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DataSource" sheetId="1" state="hidden" r:id="rId1"/>
    <sheet name="终末地装备数据" sheetId="2" state="visible" r:id="rId2"/>
  </sheets>
  <definedNames>
    <definedName name="_xlnm.Print_Titles" localSheetId="1">'终末地装备数据'!$1:$1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5">
    <fill>
      <patternFill/>
    </fill>
    <fill>
      <patternFill patternType="gray125"/>
    </fill>
    <fill>
      <patternFill patternType="solid">
        <fgColor rgb="002E75B6"/>
        <bgColor rgb="002E75B6"/>
      </patternFill>
    </fill>
    <fill>
      <patternFill patternType="solid">
        <fgColor rgb="00F0F7FC"/>
        <bgColor rgb="00F0F7FC"/>
      </patternFill>
    </fill>
    <fill>
      <patternFill patternType="solid">
        <fgColor rgb="00FFFFFF"/>
        <b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B4C6E7"/>
      </left>
      <right style="thin">
        <color rgb="00B4C6E7"/>
      </right>
      <top style="thin">
        <color rgb="00B4C6E7"/>
      </top>
      <bottom style="thin">
        <color rgb="00B4C6E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1" fontId="2" fillId="3" borderId="2" applyAlignment="1" pivotButton="0" quotePrefix="0" xfId="0">
      <alignment horizontal="center" vertical="center"/>
    </xf>
    <xf numFmtId="1" fontId="2" fillId="3" borderId="2" applyAlignment="1" applyProtection="1" pivotButton="0" quotePrefix="0" xfId="0">
      <alignment horizontal="center" vertical="center"/>
      <protection locked="0" hidden="0"/>
    </xf>
    <xf numFmtId="0" fontId="2" fillId="4" borderId="2" applyAlignment="1" pivotButton="0" quotePrefix="0" xfId="0">
      <alignment horizontal="center" vertical="center"/>
    </xf>
    <xf numFmtId="1" fontId="2" fillId="4" borderId="2" applyAlignment="1" pivotButton="0" quotePrefix="0" xfId="0">
      <alignment horizontal="center" vertical="center"/>
    </xf>
    <xf numFmtId="1" fontId="2" fillId="4"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6"/>
  <sheetViews>
    <sheetView workbookViewId="0">
      <selection activeCell="A1" sqref="A1"/>
    </sheetView>
  </sheetViews>
  <sheetFormatPr baseColWidth="8" defaultRowHeight="15"/>
  <sheetData>
    <row r="1">
      <c r="A1" t="inlineStr">
        <is>
          <t>装备ID</t>
        </is>
      </c>
      <c r="B1" t="inlineStr">
        <is>
          <t>装备名称</t>
        </is>
      </c>
      <c r="C1" t="inlineStr">
        <is>
          <t>区域</t>
        </is>
      </c>
      <c r="D1" t="inlineStr">
        <is>
          <t>等级</t>
        </is>
      </c>
      <c r="E1" t="inlineStr">
        <is>
          <t>部位</t>
        </is>
      </c>
      <c r="F1" t="inlineStr">
        <is>
          <t>稀有度</t>
        </is>
      </c>
      <c r="G1" t="inlineStr">
        <is>
          <t>主词条数值</t>
        </is>
      </c>
      <c r="H1" t="inlineStr">
        <is>
          <t>词条①精锻等级</t>
        </is>
      </c>
      <c r="I1" t="inlineStr">
        <is>
          <t>词条①精锻数值（含不可见的精确部分）</t>
        </is>
      </c>
      <c r="J1" t="inlineStr">
        <is>
          <t>词条②精锻等级</t>
        </is>
      </c>
      <c r="K1" t="inlineStr">
        <is>
          <t>词条②精锻数值（含不可见的精确部分）</t>
        </is>
      </c>
      <c r="L1" t="inlineStr">
        <is>
          <t>词条③精锻等级</t>
        </is>
      </c>
      <c r="M1" t="inlineStr">
        <is>
          <t>词条③精锻数值（含不可见的精确部分）</t>
        </is>
      </c>
      <c r="N1" t="inlineStr">
        <is>
          <t>套组ID</t>
        </is>
      </c>
      <c r="O1" t="inlineStr">
        <is>
          <t>套组名称</t>
        </is>
      </c>
      <c r="P1" t="inlineStr">
        <is>
          <t>套组技能描述</t>
        </is>
      </c>
      <c r="Q1" t="inlineStr">
        <is>
          <t>装备描述</t>
        </is>
      </c>
      <c r="S1" t="n">
        <v>0</v>
      </c>
    </row>
    <row r="2">
      <c r="A2" t="inlineStr">
        <is>
          <t>item_equip_t1_suit_stragi01_body_01</t>
        </is>
      </c>
      <c r="B2" t="inlineStr">
        <is>
          <t>集成化重甲</t>
        </is>
      </c>
      <c r="C2" t="inlineStr">
        <is>
          <t>四号谷地</t>
        </is>
      </c>
      <c r="D2" t="n">
        <v>28</v>
      </c>
      <c r="E2" t="inlineStr">
        <is>
          <t>护甲</t>
        </is>
      </c>
      <c r="F2" t="n">
        <v>2</v>
      </c>
      <c r="G2" t="inlineStr">
        <is>
          <t>防御力 +22.400000000000002</t>
        </is>
      </c>
      <c r="H2" t="n">
        <v>0</v>
      </c>
      <c r="I2" t="inlineStr"/>
      <c r="J2" t="n">
        <v>0</v>
      </c>
      <c r="K2" t="inlineStr"/>
      <c r="L2" t="n">
        <v>0</v>
      </c>
      <c r="M2" t="inlineStr"/>
      <c r="N2" t="inlineStr">
        <is>
          <t>suit_stragi01</t>
        </is>
      </c>
      <c r="O2" t="inlineStr">
        <is>
          <t>集成重型</t>
        </is>
      </c>
      <c r="P2" t="inlineStr">
        <is>
          <r>
            <rPr/>
            <t>3件套组效果：装备者生命值</t>
          </r>
          <r>
            <rPr>
              <b val="1"/>
              <color rgb="009eb7ff"/>
            </rPr>
            <t>+500</t>
          </r>
          <r>
            <rPr/>
            <t>。当装备者击败敌人后，回复</t>
          </r>
          <r>
            <rPr>
              <b val="1"/>
              <color rgb="00b4d945"/>
            </rPr>
            <t>100</t>
          </r>
          <r>
            <rPr/>
            <t>点生命值。该效果每5秒最多触发一次。</t>
          </r>
        </is>
      </c>
      <c r="Q2" t="inlineStr">
        <is>
          <t>本装备由终末地工业自研，使用集成工业系统制造，能够提高使用者的作战能力。结构简单的模块化重型防护装备。 在加重加厚了所装配的护甲片后，这些重甲多半时间会被送去集成高威力铳械。</t>
        </is>
      </c>
      <c r="S2" t="n">
        <v>1</v>
      </c>
    </row>
    <row r="3">
      <c r="A3" t="inlineStr">
        <is>
          <t>item_equip_t1_suit_stragi01_hand_01</t>
        </is>
      </c>
      <c r="B3" t="inlineStr">
        <is>
          <t>集成化手甲</t>
        </is>
      </c>
      <c r="C3" t="inlineStr">
        <is>
          <t>四号谷地</t>
        </is>
      </c>
      <c r="D3" t="n">
        <v>28</v>
      </c>
      <c r="E3" t="inlineStr">
        <is>
          <t>护手</t>
        </is>
      </c>
      <c r="F3" t="n">
        <v>2</v>
      </c>
      <c r="G3" t="inlineStr">
        <is>
          <t>防御力 +16.8</t>
        </is>
      </c>
      <c r="H3" t="n">
        <v>0</v>
      </c>
      <c r="I3" t="inlineStr"/>
      <c r="J3" t="n">
        <v>0</v>
      </c>
      <c r="K3" t="inlineStr"/>
      <c r="L3" t="n">
        <v>0</v>
      </c>
      <c r="M3" t="inlineStr"/>
      <c r="N3" t="inlineStr">
        <is>
          <t>suit_stragi01</t>
        </is>
      </c>
      <c r="O3" t="inlineStr">
        <is>
          <t>集成重型</t>
        </is>
      </c>
      <c r="P3" t="inlineStr">
        <is>
          <r>
            <rPr/>
            <t>3件套组效果：装备者生命值</t>
          </r>
          <r>
            <rPr>
              <b val="1"/>
              <color rgb="009eb7ff"/>
            </rPr>
            <t>+500</t>
          </r>
          <r>
            <rPr/>
            <t>。当装备者击败敌人后，回复</t>
          </r>
          <r>
            <rPr>
              <b val="1"/>
              <color rgb="00b4d945"/>
            </rPr>
            <t>100</t>
          </r>
          <r>
            <rPr/>
            <t>点生命值。该效果每5秒最多触发一次。</t>
          </r>
        </is>
      </c>
      <c r="Q3" t="inlineStr">
        <is>
          <t>本装备由终末地工业自研，使用集成工业系统制造，能够提高使用者的作战能力。结构简单的模块化重型防护装备。 仅用两个小巧的支撑结构就帮助穿戴者分担了百分之四十的武器重量，真是巧妙的设计。</t>
        </is>
      </c>
      <c r="S3" t="n">
        <v>2</v>
      </c>
    </row>
    <row r="4">
      <c r="A4" t="inlineStr">
        <is>
          <t>item_equip_t1_suit_stragi01_edc_01</t>
        </is>
      </c>
      <c r="B4" t="inlineStr">
        <is>
          <t>集成化重甲片</t>
        </is>
      </c>
      <c r="C4" t="inlineStr">
        <is>
          <t>四号谷地</t>
        </is>
      </c>
      <c r="D4" t="n">
        <v>28</v>
      </c>
      <c r="E4" t="inlineStr">
        <is>
          <t>配件</t>
        </is>
      </c>
      <c r="F4" t="n">
        <v>2</v>
      </c>
      <c r="G4" t="inlineStr">
        <is>
          <t>防御力 +8.4</t>
        </is>
      </c>
      <c r="H4" t="n">
        <v>0</v>
      </c>
      <c r="I4" t="inlineStr"/>
      <c r="J4" t="n">
        <v>0</v>
      </c>
      <c r="K4" t="inlineStr"/>
      <c r="L4" t="n">
        <v>0</v>
      </c>
      <c r="M4" t="inlineStr"/>
      <c r="N4" t="inlineStr">
        <is>
          <t>suit_stragi01</t>
        </is>
      </c>
      <c r="O4" t="inlineStr">
        <is>
          <t>集成重型</t>
        </is>
      </c>
      <c r="P4" t="inlineStr">
        <is>
          <r>
            <rPr/>
            <t>3件套组效果：装备者生命值</t>
          </r>
          <r>
            <rPr>
              <b val="1"/>
              <color rgb="009eb7ff"/>
            </rPr>
            <t>+500</t>
          </r>
          <r>
            <rPr/>
            <t>。当装备者击败敌人后，回复</t>
          </r>
          <r>
            <rPr>
              <b val="1"/>
              <color rgb="00b4d945"/>
            </rPr>
            <t>100</t>
          </r>
          <r>
            <rPr/>
            <t>点生命值。该效果每5秒最多触发一次。</t>
          </r>
        </is>
      </c>
      <c r="Q4" t="inlineStr">
        <is>
          <t>本装备由终末地工业自研，使用集成工业系统制造，能够提高使用者的作战能力。结构简单的模块化重型防护装备。 如果想要提升防御性能，就无法控制住激增的重量，算是这套装备最严重的痛点。</t>
        </is>
      </c>
      <c r="S4" t="n">
        <v>3</v>
      </c>
    </row>
    <row r="5">
      <c r="A5" t="inlineStr">
        <is>
          <t>item_equip_t1_suit_stragi01_edc_02</t>
        </is>
      </c>
      <c r="B5" t="inlineStr">
        <is>
          <t>集成化合金板</t>
        </is>
      </c>
      <c r="C5" t="inlineStr">
        <is>
          <t>四号谷地</t>
        </is>
      </c>
      <c r="D5" t="n">
        <v>28</v>
      </c>
      <c r="E5" t="inlineStr">
        <is>
          <t>配件</t>
        </is>
      </c>
      <c r="F5" t="n">
        <v>2</v>
      </c>
      <c r="G5" t="inlineStr">
        <is>
          <t>防御力 +8.4</t>
        </is>
      </c>
      <c r="H5" t="n">
        <v>0</v>
      </c>
      <c r="I5" t="inlineStr"/>
      <c r="J5" t="n">
        <v>0</v>
      </c>
      <c r="K5" t="inlineStr"/>
      <c r="L5" t="n">
        <v>0</v>
      </c>
      <c r="M5" t="inlineStr"/>
      <c r="N5" t="inlineStr">
        <is>
          <t>suit_stragi01</t>
        </is>
      </c>
      <c r="O5" t="inlineStr">
        <is>
          <t>集成重型</t>
        </is>
      </c>
      <c r="P5" t="inlineStr">
        <is>
          <r>
            <rPr/>
            <t>3件套组效果：装备者生命值</t>
          </r>
          <r>
            <rPr>
              <b val="1"/>
              <color rgb="009eb7ff"/>
            </rPr>
            <t>+500</t>
          </r>
          <r>
            <rPr/>
            <t>。当装备者击败敌人后，回复</t>
          </r>
          <r>
            <rPr>
              <b val="1"/>
              <color rgb="00b4d945"/>
            </rPr>
            <t>100</t>
          </r>
          <r>
            <rPr/>
            <t>点生命值。该效果每5秒最多触发一次。</t>
          </r>
        </is>
      </c>
      <c r="Q5" t="inlineStr">
        <is>
          <t>本装备由终末地工业自研，使用集成工业系统制造，能够提高使用者的作战能力。结构简单的模块化重型防护装备。 虽然成本十分之低，但胜在材料品质优秀，因此防护性能足够令人满意。</t>
        </is>
      </c>
    </row>
    <row r="6">
      <c r="A6" t="inlineStr">
        <is>
          <t>item_equip_t1_suit_wisdwill01_body_01</t>
        </is>
      </c>
      <c r="B6" t="inlineStr">
        <is>
          <t>集成化轻甲</t>
        </is>
      </c>
      <c r="C6" t="inlineStr">
        <is>
          <t>四号谷地</t>
        </is>
      </c>
      <c r="D6" t="n">
        <v>28</v>
      </c>
      <c r="E6" t="inlineStr">
        <is>
          <t>护甲</t>
        </is>
      </c>
      <c r="F6" t="n">
        <v>2</v>
      </c>
      <c r="G6" t="inlineStr">
        <is>
          <t>防御力 +22.400000000000002</t>
        </is>
      </c>
      <c r="H6" t="n">
        <v>0</v>
      </c>
      <c r="I6" t="inlineStr"/>
      <c r="J6" t="n">
        <v>0</v>
      </c>
      <c r="K6" t="inlineStr"/>
      <c r="L6" t="n">
        <v>0</v>
      </c>
      <c r="M6" t="inlineStr"/>
      <c r="N6" t="inlineStr">
        <is>
          <t>suit_wisdwill01</t>
        </is>
      </c>
      <c r="O6" t="inlineStr">
        <is>
          <t>集成轻型</t>
        </is>
      </c>
      <c r="P6" t="inlineStr">
        <is>
          <r>
            <rPr/>
            <t>3件套组效果：装备者生命值</t>
          </r>
          <r>
            <rPr>
              <b val="1"/>
              <color rgb="009eb7ff"/>
            </rPr>
            <t>+500</t>
          </r>
          <r>
            <rPr/>
            <t>。当装备者击败敌人后，攻击力</t>
          </r>
          <r>
            <rPr>
              <b val="1"/>
              <color rgb="009eb7ff"/>
            </rPr>
            <t>+20</t>
          </r>
          <r>
            <rPr/>
            <t>，持续</t>
          </r>
          <r>
            <rPr>
              <b val="1"/>
              <color rgb="009eb7ff"/>
            </rPr>
            <t>5</t>
          </r>
          <r>
            <rPr/>
            <t>秒。</t>
          </r>
        </is>
      </c>
      <c r="Q6" t="inlineStr">
        <is>
          <t>本装备由终末地工业自研，使用集成工业系统制造，能够提高使用者的作战能力。结构简单的模块化轻型防护装备。 它诞生在集成工业系统相关设备的试运行过程中，因几个尝试混合生产线的随手为之而生。</t>
        </is>
      </c>
    </row>
    <row r="7">
      <c r="A7" t="inlineStr">
        <is>
          <t>item_equip_t1_suit_wisdwill01_hand_01</t>
        </is>
      </c>
      <c r="B7" t="inlineStr">
        <is>
          <t>集成化战术手套</t>
        </is>
      </c>
      <c r="C7" t="inlineStr">
        <is>
          <t>四号谷地</t>
        </is>
      </c>
      <c r="D7" t="n">
        <v>28</v>
      </c>
      <c r="E7" t="inlineStr">
        <is>
          <t>护手</t>
        </is>
      </c>
      <c r="F7" t="n">
        <v>2</v>
      </c>
      <c r="G7" t="inlineStr">
        <is>
          <t>防御力 +16.8</t>
        </is>
      </c>
      <c r="H7" t="n">
        <v>0</v>
      </c>
      <c r="I7" t="inlineStr"/>
      <c r="J7" t="n">
        <v>0</v>
      </c>
      <c r="K7" t="inlineStr"/>
      <c r="L7" t="n">
        <v>0</v>
      </c>
      <c r="M7" t="inlineStr"/>
      <c r="N7" t="inlineStr">
        <is>
          <t>suit_wisdwill01</t>
        </is>
      </c>
      <c r="O7" t="inlineStr">
        <is>
          <t>集成轻型</t>
        </is>
      </c>
      <c r="P7" t="inlineStr">
        <is>
          <r>
            <rPr/>
            <t>3件套组效果：装备者生命值</t>
          </r>
          <r>
            <rPr>
              <b val="1"/>
              <color rgb="009eb7ff"/>
            </rPr>
            <t>+500</t>
          </r>
          <r>
            <rPr/>
            <t>。当装备者击败敌人后，攻击力</t>
          </r>
          <r>
            <rPr>
              <b val="1"/>
              <color rgb="009eb7ff"/>
            </rPr>
            <t>+20</t>
          </r>
          <r>
            <rPr/>
            <t>，持续</t>
          </r>
          <r>
            <rPr>
              <b val="1"/>
              <color rgb="009eb7ff"/>
            </rPr>
            <t>5</t>
          </r>
          <r>
            <rPr/>
            <t>秒。</t>
          </r>
        </is>
      </c>
      <c r="Q7" t="inlineStr">
        <is>
          <t>本装备由终末地工业自研，使用集成工业系统制造，能够提高使用者的作战能力。结构简单的模块化轻型防护装备。 虽然不能提供最顶级的防护，但它至少便于穿戴。</t>
        </is>
      </c>
    </row>
    <row r="8">
      <c r="A8" t="inlineStr">
        <is>
          <t>item_equip_t1_suit_wisdwill01_edc_01</t>
        </is>
      </c>
      <c r="B8" t="inlineStr">
        <is>
          <t>集成化轻甲片</t>
        </is>
      </c>
      <c r="C8" t="inlineStr">
        <is>
          <t>四号谷地</t>
        </is>
      </c>
      <c r="D8" t="n">
        <v>28</v>
      </c>
      <c r="E8" t="inlineStr">
        <is>
          <t>配件</t>
        </is>
      </c>
      <c r="F8" t="n">
        <v>2</v>
      </c>
      <c r="G8" t="inlineStr">
        <is>
          <t>防御力 +8.4</t>
        </is>
      </c>
      <c r="H8" t="n">
        <v>0</v>
      </c>
      <c r="I8" t="inlineStr"/>
      <c r="J8" t="n">
        <v>0</v>
      </c>
      <c r="K8" t="inlineStr"/>
      <c r="L8" t="n">
        <v>0</v>
      </c>
      <c r="M8" t="inlineStr"/>
      <c r="N8" t="inlineStr">
        <is>
          <t>suit_wisdwill01</t>
        </is>
      </c>
      <c r="O8" t="inlineStr">
        <is>
          <t>集成轻型</t>
        </is>
      </c>
      <c r="P8" t="inlineStr">
        <is>
          <r>
            <rPr/>
            <t>3件套组效果：装备者生命值</t>
          </r>
          <r>
            <rPr>
              <b val="1"/>
              <color rgb="009eb7ff"/>
            </rPr>
            <t>+500</t>
          </r>
          <r>
            <rPr/>
            <t>。当装备者击败敌人后，攻击力</t>
          </r>
          <r>
            <rPr>
              <b val="1"/>
              <color rgb="009eb7ff"/>
            </rPr>
            <t>+20</t>
          </r>
          <r>
            <rPr/>
            <t>，持续</t>
          </r>
          <r>
            <rPr>
              <b val="1"/>
              <color rgb="009eb7ff"/>
            </rPr>
            <t>5</t>
          </r>
          <r>
            <rPr/>
            <t>秒。</t>
          </r>
        </is>
      </c>
      <c r="Q8" t="inlineStr">
        <is>
          <t>本装备由终末地工业自研，使用集成工业系统制造，能够提高使用者的作战能力。结构简单的模块化轻型防护装备。 护甲片能够灵活装配是这套集成化装备的最大卖点。</t>
        </is>
      </c>
    </row>
    <row r="9">
      <c r="A9" t="inlineStr">
        <is>
          <t>item_equip_t1_suit_wisdwill01_edc_02</t>
        </is>
      </c>
      <c r="B9" t="inlineStr">
        <is>
          <t>集成化陶瓷板</t>
        </is>
      </c>
      <c r="C9" t="inlineStr">
        <is>
          <t>四号谷地</t>
        </is>
      </c>
      <c r="D9" t="n">
        <v>28</v>
      </c>
      <c r="E9" t="inlineStr">
        <is>
          <t>配件</t>
        </is>
      </c>
      <c r="F9" t="n">
        <v>2</v>
      </c>
      <c r="G9" t="inlineStr">
        <is>
          <t>防御力 +8.4</t>
        </is>
      </c>
      <c r="H9" t="n">
        <v>0</v>
      </c>
      <c r="I9" t="inlineStr"/>
      <c r="J9" t="n">
        <v>0</v>
      </c>
      <c r="K9" t="inlineStr"/>
      <c r="L9" t="n">
        <v>0</v>
      </c>
      <c r="M9" t="inlineStr"/>
      <c r="N9" t="inlineStr">
        <is>
          <t>suit_wisdwill01</t>
        </is>
      </c>
      <c r="O9" t="inlineStr">
        <is>
          <t>集成轻型</t>
        </is>
      </c>
      <c r="P9" t="inlineStr">
        <is>
          <r>
            <rPr/>
            <t>3件套组效果：装备者生命值</t>
          </r>
          <r>
            <rPr>
              <b val="1"/>
              <color rgb="009eb7ff"/>
            </rPr>
            <t>+500</t>
          </r>
          <r>
            <rPr/>
            <t>。当装备者击败敌人后，攻击力</t>
          </r>
          <r>
            <rPr>
              <b val="1"/>
              <color rgb="009eb7ff"/>
            </rPr>
            <t>+20</t>
          </r>
          <r>
            <rPr/>
            <t>，持续</t>
          </r>
          <r>
            <rPr>
              <b val="1"/>
              <color rgb="009eb7ff"/>
            </rPr>
            <t>5</t>
          </r>
          <r>
            <rPr/>
            <t>秒。</t>
          </r>
        </is>
      </c>
      <c r="Q9" t="inlineStr">
        <is>
          <t>本装备由终末地工业自研，使用集成工业系统制造，能够提高使用者的作战能力。结构简单的模块化轻型防护装备。 “虽然我愿意相信咱们的技术，但它是不是有些太轻了……”</t>
        </is>
      </c>
    </row>
    <row r="10">
      <c r="A10" t="inlineStr">
        <is>
          <t>item_equip_t2_suit_str01_body_01</t>
        </is>
      </c>
      <c r="B10" t="inlineStr">
        <is>
          <t>重装信使夹克</t>
        </is>
      </c>
      <c r="C10" t="inlineStr">
        <is>
          <t>四号谷地</t>
        </is>
      </c>
      <c r="D10" t="n">
        <v>36</v>
      </c>
      <c r="E10" t="inlineStr">
        <is>
          <t>护甲</t>
        </is>
      </c>
      <c r="F10" t="n">
        <v>3</v>
      </c>
      <c r="G10" t="inlineStr">
        <is>
          <t>防御力 +28.8</t>
        </is>
      </c>
      <c r="H10" t="n">
        <v>0</v>
      </c>
      <c r="I10" t="inlineStr"/>
      <c r="J10" t="n">
        <v>0</v>
      </c>
      <c r="K10" t="inlineStr"/>
      <c r="L10" t="n">
        <v>0</v>
      </c>
      <c r="M10" t="inlineStr"/>
      <c r="N10" t="inlineStr">
        <is>
          <t>suit_str01</t>
        </is>
      </c>
      <c r="O10" t="inlineStr">
        <is>
          <t>重装信使</t>
        </is>
      </c>
      <c r="P10" t="inlineStr">
        <is>
          <r>
            <rPr/>
            <t>3件套组效果：装备者力量</t>
          </r>
          <r>
            <rPr>
              <b val="1"/>
              <color rgb="009eb7ff"/>
            </rPr>
            <t>+50</t>
          </r>
          <r>
            <rPr/>
            <t>。当装备者生命值低于50%时，受到的所有类型伤害</t>
          </r>
          <r>
            <rPr>
              <b val="1"/>
              <color rgb="009eb7ff"/>
            </rPr>
            <t>-30%</t>
          </r>
          <r>
            <rPr/>
            <t>。</t>
          </r>
        </is>
      </c>
      <c r="Q10" t="inlineStr">
        <is>
          <t>本装备由终末地工业参考荒野手工艺品设计，使用集成工业系统制造，能够提高使用者的作战能力。信使们爱穿的夹克。 在塔卫二，越野摩托是一种足够物美价廉的交通工具——信使们会为它附上不同的改装模块。</t>
        </is>
      </c>
    </row>
    <row r="11">
      <c r="A11" t="inlineStr">
        <is>
          <t>item_equip_t2_suit_str01_hand_01</t>
        </is>
      </c>
      <c r="B11" t="inlineStr">
        <is>
          <t>重装信使手套</t>
        </is>
      </c>
      <c r="C11" t="inlineStr">
        <is>
          <t>四号谷地</t>
        </is>
      </c>
      <c r="D11" t="n">
        <v>36</v>
      </c>
      <c r="E11" t="inlineStr">
        <is>
          <t>护手</t>
        </is>
      </c>
      <c r="F11" t="n">
        <v>3</v>
      </c>
      <c r="G11" t="inlineStr">
        <is>
          <t>防御力 +21.599999999999998</t>
        </is>
      </c>
      <c r="H11" t="n">
        <v>0</v>
      </c>
      <c r="I11" t="inlineStr"/>
      <c r="J11" t="n">
        <v>0</v>
      </c>
      <c r="K11" t="inlineStr"/>
      <c r="L11" t="n">
        <v>0</v>
      </c>
      <c r="M11" t="inlineStr"/>
      <c r="N11" t="inlineStr">
        <is>
          <t>suit_str01</t>
        </is>
      </c>
      <c r="O11" t="inlineStr">
        <is>
          <t>重装信使</t>
        </is>
      </c>
      <c r="P11" t="inlineStr">
        <is>
          <r>
            <rPr/>
            <t>3件套组效果：装备者力量</t>
          </r>
          <r>
            <rPr>
              <b val="1"/>
              <color rgb="009eb7ff"/>
            </rPr>
            <t>+50</t>
          </r>
          <r>
            <rPr/>
            <t>。当装备者生命值低于50%时，受到的所有类型伤害</t>
          </r>
          <r>
            <rPr>
              <b val="1"/>
              <color rgb="009eb7ff"/>
            </rPr>
            <t>-30%</t>
          </r>
          <r>
            <rPr/>
            <t>。</t>
          </r>
        </is>
      </c>
      <c r="Q11" t="inlineStr">
        <is>
          <t>本装备由终末地工业参考荒野手工艺品设计，使用集成工业系统制造，能够提高使用者的作战能力。信使们爱用的护手。 大部分信使会为自己的交通工具增加一个便捷脱离装置，以便能在突发的侵蚀灾害中保全性命。</t>
        </is>
      </c>
    </row>
    <row r="12">
      <c r="A12" t="inlineStr">
        <is>
          <t>item_equip_t2_suit_str01_edc_02</t>
        </is>
      </c>
      <c r="B12" t="inlineStr">
        <is>
          <t>重装信使手电</t>
        </is>
      </c>
      <c r="C12" t="inlineStr">
        <is>
          <t>四号谷地</t>
        </is>
      </c>
      <c r="D12" t="n">
        <v>36</v>
      </c>
      <c r="E12" t="inlineStr">
        <is>
          <t>配件</t>
        </is>
      </c>
      <c r="F12" t="n">
        <v>3</v>
      </c>
      <c r="G12" t="inlineStr">
        <is>
          <t>防御力 +10.799999999999999</t>
        </is>
      </c>
      <c r="H12" t="n">
        <v>0</v>
      </c>
      <c r="I12" t="inlineStr"/>
      <c r="J12" t="n">
        <v>0</v>
      </c>
      <c r="K12" t="inlineStr"/>
      <c r="L12" t="n">
        <v>0</v>
      </c>
      <c r="M12" t="inlineStr"/>
      <c r="N12" t="inlineStr">
        <is>
          <t>suit_str01</t>
        </is>
      </c>
      <c r="O12" t="inlineStr">
        <is>
          <t>重装信使</t>
        </is>
      </c>
      <c r="P12" t="inlineStr">
        <is>
          <r>
            <rPr/>
            <t>3件套组效果：装备者力量</t>
          </r>
          <r>
            <rPr>
              <b val="1"/>
              <color rgb="009eb7ff"/>
            </rPr>
            <t>+50</t>
          </r>
          <r>
            <rPr/>
            <t>。当装备者生命值低于50%时，受到的所有类型伤害</t>
          </r>
          <r>
            <rPr>
              <b val="1"/>
              <color rgb="009eb7ff"/>
            </rPr>
            <t>-30%</t>
          </r>
          <r>
            <rPr/>
            <t>。</t>
          </r>
        </is>
      </c>
      <c r="Q12" t="inlineStr">
        <is>
          <t>本装备由终末地工业参考荒野手工艺品设计，使用集成工业系统制造，能够提高使用者的作战能力。坚固的照明手电。 它尾部的尖锥通常会被用来凿开一些不愿沟通的骨骼。</t>
        </is>
      </c>
    </row>
    <row r="13">
      <c r="A13" t="inlineStr">
        <is>
          <t>item_equip_t2_suit_str01_edc_01</t>
        </is>
      </c>
      <c r="B13" t="inlineStr">
        <is>
          <t>重装信使陀螺</t>
        </is>
      </c>
      <c r="C13" t="inlineStr">
        <is>
          <t>四号谷地</t>
        </is>
      </c>
      <c r="D13" t="n">
        <v>36</v>
      </c>
      <c r="E13" t="inlineStr">
        <is>
          <t>配件</t>
        </is>
      </c>
      <c r="F13" t="n">
        <v>3</v>
      </c>
      <c r="G13" t="inlineStr">
        <is>
          <t>防御力 +10.799999999999999</t>
        </is>
      </c>
      <c r="H13" t="n">
        <v>0</v>
      </c>
      <c r="I13" t="inlineStr"/>
      <c r="J13" t="n">
        <v>0</v>
      </c>
      <c r="K13" t="inlineStr"/>
      <c r="L13" t="n">
        <v>0</v>
      </c>
      <c r="M13" t="inlineStr"/>
      <c r="N13" t="inlineStr">
        <is>
          <t>suit_str01</t>
        </is>
      </c>
      <c r="O13" t="inlineStr">
        <is>
          <t>重装信使</t>
        </is>
      </c>
      <c r="P13" t="inlineStr">
        <is>
          <r>
            <rPr/>
            <t>3件套组效果：装备者力量</t>
          </r>
          <r>
            <rPr>
              <b val="1"/>
              <color rgb="009eb7ff"/>
            </rPr>
            <t>+50</t>
          </r>
          <r>
            <rPr/>
            <t>。当装备者生命值低于50%时，受到的所有类型伤害</t>
          </r>
          <r>
            <rPr>
              <b val="1"/>
              <color rgb="009eb7ff"/>
            </rPr>
            <t>-30%</t>
          </r>
          <r>
            <rPr/>
            <t>。</t>
          </r>
        </is>
      </c>
      <c r="Q13" t="inlineStr">
        <is>
          <t>本装备由终末地工业参考荒野手工艺品设计，使用集成工业系统制造，能够提高使用者的作战能力。小巧的解压玩具。 根据权威统计，约有百分之八十的信使会把这样的小玩具改装成微型爆破飞镖。</t>
        </is>
      </c>
    </row>
    <row r="14">
      <c r="A14" t="inlineStr">
        <is>
          <t>item_equip_t2_suit_agi01_body_01</t>
        </is>
      </c>
      <c r="B14" t="inlineStr">
        <is>
          <t>巡行信使夹克</t>
        </is>
      </c>
      <c r="C14" t="inlineStr">
        <is>
          <t>四号谷地</t>
        </is>
      </c>
      <c r="D14" t="n">
        <v>36</v>
      </c>
      <c r="E14" t="inlineStr">
        <is>
          <t>护甲</t>
        </is>
      </c>
      <c r="F14" t="n">
        <v>3</v>
      </c>
      <c r="G14" t="inlineStr">
        <is>
          <t>防御力 +28.8</t>
        </is>
      </c>
      <c r="H14" t="n">
        <v>0</v>
      </c>
      <c r="I14" t="inlineStr"/>
      <c r="J14" t="n">
        <v>0</v>
      </c>
      <c r="K14" t="inlineStr"/>
      <c r="L14" t="n">
        <v>0</v>
      </c>
      <c r="M14" t="inlineStr"/>
      <c r="N14" t="inlineStr">
        <is>
          <t>suit_agi01</t>
        </is>
      </c>
      <c r="O14" t="inlineStr">
        <is>
          <t>巡行信使</t>
        </is>
      </c>
      <c r="P14" t="inlineStr">
        <is>
          <r>
            <rPr/>
            <t>3件套组效果：装备者敏捷</t>
          </r>
          <r>
            <rPr>
              <b val="1"/>
              <color rgb="009eb7ff"/>
            </rPr>
            <t>+50</t>
          </r>
          <r>
            <rPr/>
            <t>。当装备者生命值高于80%时，造成的</t>
          </r>
          <r>
            <rPr>
              <b val="1"/>
              <color rgb="00e3c19a"/>
            </rPr>
            <t>物理伤害</t>
          </r>
          <r>
            <rPr>
              <b val="1"/>
              <color rgb="009eb7ff"/>
            </rPr>
            <t>+20%</t>
          </r>
          <r>
            <rPr/>
            <t>。</t>
          </r>
        </is>
      </c>
      <c r="Q14" t="inlineStr">
        <is>
          <t>本装备由终末地工业参考荒野手工艺品设计，使用集成工业系统制造，能够提高使用者的作战能力。信使们爱穿的夹克。 四号谷地周边的信使会为自己的交通工具喷涂大树枝干般的纹样。曾保护这片土地的事物至今仍能给予人们力量。</t>
        </is>
      </c>
    </row>
    <row r="15">
      <c r="A15" t="inlineStr">
        <is>
          <t>item_equip_t2_suit_agi01_hand_01</t>
        </is>
      </c>
      <c r="B15" t="inlineStr">
        <is>
          <t>巡行信使手套</t>
        </is>
      </c>
      <c r="C15" t="inlineStr">
        <is>
          <t>四号谷地</t>
        </is>
      </c>
      <c r="D15" t="n">
        <v>36</v>
      </c>
      <c r="E15" t="inlineStr">
        <is>
          <t>护手</t>
        </is>
      </c>
      <c r="F15" t="n">
        <v>3</v>
      </c>
      <c r="G15" t="inlineStr">
        <is>
          <t>防御力 +21.599999999999998</t>
        </is>
      </c>
      <c r="H15" t="n">
        <v>0</v>
      </c>
      <c r="I15" t="inlineStr"/>
      <c r="J15" t="n">
        <v>0</v>
      </c>
      <c r="K15" t="inlineStr"/>
      <c r="L15" t="n">
        <v>0</v>
      </c>
      <c r="M15" t="inlineStr"/>
      <c r="N15" t="inlineStr">
        <is>
          <t>suit_agi01</t>
        </is>
      </c>
      <c r="O15" t="inlineStr">
        <is>
          <t>巡行信使</t>
        </is>
      </c>
      <c r="P15" t="inlineStr">
        <is>
          <r>
            <rPr/>
            <t>3件套组效果：装备者敏捷</t>
          </r>
          <r>
            <rPr>
              <b val="1"/>
              <color rgb="009eb7ff"/>
            </rPr>
            <t>+50</t>
          </r>
          <r>
            <rPr/>
            <t>。当装备者生命值高于80%时，造成的</t>
          </r>
          <r>
            <rPr>
              <b val="1"/>
              <color rgb="00e3c19a"/>
            </rPr>
            <t>物理伤害</t>
          </r>
          <r>
            <rPr>
              <b val="1"/>
              <color rgb="009eb7ff"/>
            </rPr>
            <t>+20%</t>
          </r>
          <r>
            <rPr/>
            <t>。</t>
          </r>
        </is>
      </c>
      <c r="Q15" t="inlineStr">
        <is>
          <t>本装备由终末地工业参考荒野手工艺品设计，使用集成工业系统制造，能够提高使用者的作战能力。信使们爱用的护手。 走上擂台切磋几手也是信使们的消遣方式之一。</t>
        </is>
      </c>
    </row>
    <row r="16">
      <c r="A16" t="inlineStr">
        <is>
          <t>item_equip_t2_suit_agi01_edc_02</t>
        </is>
      </c>
      <c r="B16" t="inlineStr">
        <is>
          <t>巡行信使手电</t>
        </is>
      </c>
      <c r="C16" t="inlineStr">
        <is>
          <t>四号谷地</t>
        </is>
      </c>
      <c r="D16" t="n">
        <v>36</v>
      </c>
      <c r="E16" t="inlineStr">
        <is>
          <t>配件</t>
        </is>
      </c>
      <c r="F16" t="n">
        <v>3</v>
      </c>
      <c r="G16" t="inlineStr">
        <is>
          <t>防御力 +10.799999999999999</t>
        </is>
      </c>
      <c r="H16" t="n">
        <v>0</v>
      </c>
      <c r="I16" t="inlineStr"/>
      <c r="J16" t="n">
        <v>0</v>
      </c>
      <c r="K16" t="inlineStr"/>
      <c r="L16" t="n">
        <v>0</v>
      </c>
      <c r="M16" t="inlineStr"/>
      <c r="N16" t="inlineStr">
        <is>
          <t>suit_agi01</t>
        </is>
      </c>
      <c r="O16" t="inlineStr">
        <is>
          <t>巡行信使</t>
        </is>
      </c>
      <c r="P16" t="inlineStr">
        <is>
          <r>
            <rPr/>
            <t>3件套组效果：装备者敏捷</t>
          </r>
          <r>
            <rPr>
              <b val="1"/>
              <color rgb="009eb7ff"/>
            </rPr>
            <t>+50</t>
          </r>
          <r>
            <rPr/>
            <t>。当装备者生命值高于80%时，造成的</t>
          </r>
          <r>
            <rPr>
              <b val="1"/>
              <color rgb="00e3c19a"/>
            </rPr>
            <t>物理伤害</t>
          </r>
          <r>
            <rPr>
              <b val="1"/>
              <color rgb="009eb7ff"/>
            </rPr>
            <t>+20%</t>
          </r>
          <r>
            <rPr/>
            <t>。</t>
          </r>
        </is>
      </c>
      <c r="Q16" t="inlineStr">
        <is>
          <t>本装备由终末地工业参考荒野手工艺品设计，使用集成工业系统制造，能够提高使用者的作战能力。坚固的照明手电。 它尾部的尖锥偶尔会被用来破开一些尘封的古物。</t>
        </is>
      </c>
    </row>
    <row r="17">
      <c r="A17" t="inlineStr">
        <is>
          <t>item_equip_t2_suit_agi01_edc_01</t>
        </is>
      </c>
      <c r="B17" t="inlineStr">
        <is>
          <t>巡行信使陀螺</t>
        </is>
      </c>
      <c r="C17" t="inlineStr">
        <is>
          <t>四号谷地</t>
        </is>
      </c>
      <c r="D17" t="n">
        <v>36</v>
      </c>
      <c r="E17" t="inlineStr">
        <is>
          <t>配件</t>
        </is>
      </c>
      <c r="F17" t="n">
        <v>3</v>
      </c>
      <c r="G17" t="inlineStr">
        <is>
          <t>防御力 +10.799999999999999</t>
        </is>
      </c>
      <c r="H17" t="n">
        <v>0</v>
      </c>
      <c r="I17" t="inlineStr"/>
      <c r="J17" t="n">
        <v>0</v>
      </c>
      <c r="K17" t="inlineStr"/>
      <c r="L17" t="n">
        <v>0</v>
      </c>
      <c r="M17" t="inlineStr"/>
      <c r="N17" t="inlineStr">
        <is>
          <t>suit_agi01</t>
        </is>
      </c>
      <c r="O17" t="inlineStr">
        <is>
          <t>巡行信使</t>
        </is>
      </c>
      <c r="P17" t="inlineStr">
        <is>
          <r>
            <rPr/>
            <t>3件套组效果：装备者敏捷</t>
          </r>
          <r>
            <rPr>
              <b val="1"/>
              <color rgb="009eb7ff"/>
            </rPr>
            <t>+50</t>
          </r>
          <r>
            <rPr/>
            <t>。当装备者生命值高于80%时，造成的</t>
          </r>
          <r>
            <rPr>
              <b val="1"/>
              <color rgb="00e3c19a"/>
            </rPr>
            <t>物理伤害</t>
          </r>
          <r>
            <rPr>
              <b val="1"/>
              <color rgb="009eb7ff"/>
            </rPr>
            <t>+20%</t>
          </r>
          <r>
            <rPr/>
            <t>。</t>
          </r>
        </is>
      </c>
      <c r="Q17" t="inlineStr">
        <is>
          <t>本装备由终末地工业参考荒野手工艺品设计，使用集成工业系统制造，能够提高使用者的作战能力。小巧的解压玩具。 根据权威统计，约有百分之二十的信使会把这样的解压玩具改装为定向追踪器。</t>
        </is>
      </c>
    </row>
    <row r="18">
      <c r="A18" t="inlineStr">
        <is>
          <t>item_equip_t2_suit_wisd01_body_01</t>
        </is>
      </c>
      <c r="B18" t="inlineStr">
        <is>
          <t>蚀电屏蔽背心</t>
        </is>
      </c>
      <c r="C18" t="inlineStr">
        <is>
          <t>四号谷地</t>
        </is>
      </c>
      <c r="D18" t="n">
        <v>36</v>
      </c>
      <c r="E18" t="inlineStr">
        <is>
          <t>护甲</t>
        </is>
      </c>
      <c r="F18" t="n">
        <v>3</v>
      </c>
      <c r="G18" t="inlineStr">
        <is>
          <t>防御力 +28.8</t>
        </is>
      </c>
      <c r="H18" t="n">
        <v>0</v>
      </c>
      <c r="I18" t="inlineStr"/>
      <c r="J18" t="n">
        <v>0</v>
      </c>
      <c r="K18" t="inlineStr"/>
      <c r="L18" t="n">
        <v>0</v>
      </c>
      <c r="M18" t="inlineStr"/>
      <c r="N18" t="inlineStr">
        <is>
          <t>suit_wisd01</t>
        </is>
      </c>
      <c r="O18" t="inlineStr">
        <is>
          <t>蚀电屏蔽</t>
        </is>
      </c>
      <c r="P18" t="inlineStr">
        <is>
          <r>
            <rPr/>
            <t>3件套组效果：装备者智识</t>
          </r>
          <r>
            <rPr>
              <b val="1"/>
              <color rgb="009eb7ff"/>
            </rPr>
            <t>+50</t>
          </r>
          <r>
            <rPr/>
            <t>。当装备者生命值高于80%时，造成的</t>
          </r>
          <r>
            <rPr>
              <b val="1"/>
              <color rgb="0033c2ff"/>
            </rPr>
            <t>法术伤害</t>
          </r>
          <r>
            <rPr>
              <b val="1"/>
              <color rgb="009eb7ff"/>
            </rPr>
            <t>+20%</t>
          </r>
          <r>
            <rPr/>
            <t>。</t>
          </r>
        </is>
      </c>
      <c r="Q18" t="inlineStr">
        <is>
          <t>本装备由终末地工业自研，使用集成工业系统制造，能够提高使用者的作战能力。特殊环境作业时必备的防护装备。 严重的侵蚀灾害往往会带来有悖常理的电路故障，抢修者亦需小心。</t>
        </is>
      </c>
    </row>
    <row r="19">
      <c r="A19" t="inlineStr">
        <is>
          <t>item_equip_t2_suit_wisd01_hand_01</t>
        </is>
      </c>
      <c r="B19" t="inlineStr">
        <is>
          <t>蚀电屏蔽手套</t>
        </is>
      </c>
      <c r="C19" t="inlineStr">
        <is>
          <t>四号谷地</t>
        </is>
      </c>
      <c r="D19" t="n">
        <v>36</v>
      </c>
      <c r="E19" t="inlineStr">
        <is>
          <t>护手</t>
        </is>
      </c>
      <c r="F19" t="n">
        <v>3</v>
      </c>
      <c r="G19" t="inlineStr">
        <is>
          <t>防御力 +21.599999999999998</t>
        </is>
      </c>
      <c r="H19" t="n">
        <v>0</v>
      </c>
      <c r="I19" t="inlineStr"/>
      <c r="J19" t="n">
        <v>0</v>
      </c>
      <c r="K19" t="inlineStr"/>
      <c r="L19" t="n">
        <v>0</v>
      </c>
      <c r="M19" t="inlineStr"/>
      <c r="N19" t="inlineStr">
        <is>
          <t>suit_wisd01</t>
        </is>
      </c>
      <c r="O19" t="inlineStr">
        <is>
          <t>蚀电屏蔽</t>
        </is>
      </c>
      <c r="P19" t="inlineStr">
        <is>
          <r>
            <rPr/>
            <t>3件套组效果：装备者智识</t>
          </r>
          <r>
            <rPr>
              <b val="1"/>
              <color rgb="009eb7ff"/>
            </rPr>
            <t>+50</t>
          </r>
          <r>
            <rPr/>
            <t>。当装备者生命值高于80%时，造成的</t>
          </r>
          <r>
            <rPr>
              <b val="1"/>
              <color rgb="0033c2ff"/>
            </rPr>
            <t>法术伤害</t>
          </r>
          <r>
            <rPr>
              <b val="1"/>
              <color rgb="009eb7ff"/>
            </rPr>
            <t>+20%</t>
          </r>
          <r>
            <rPr/>
            <t>。</t>
          </r>
        </is>
      </c>
      <c r="Q19" t="inlineStr">
        <is>
          <t>本装备由终末地工业自研，使用集成工业系统制造，能够提高使用者的作战能力。特殊环境作业时必备的防护装备。 为了避免被异常爆发的电流击伤，在侵蚀灾害现场抢修电路的工程师们必须穿上特制防护服。</t>
        </is>
      </c>
    </row>
    <row r="20">
      <c r="A20" t="inlineStr">
        <is>
          <t>item_equip_t2_suit_wisd01_edc_01</t>
        </is>
      </c>
      <c r="B20" t="inlineStr">
        <is>
          <t>蚀电屏蔽扳手</t>
        </is>
      </c>
      <c r="C20" t="inlineStr">
        <is>
          <t>四号谷地</t>
        </is>
      </c>
      <c r="D20" t="n">
        <v>36</v>
      </c>
      <c r="E20" t="inlineStr">
        <is>
          <t>配件</t>
        </is>
      </c>
      <c r="F20" t="n">
        <v>3</v>
      </c>
      <c r="G20" t="inlineStr">
        <is>
          <t>防御力 +10.799999999999999</t>
        </is>
      </c>
      <c r="H20" t="n">
        <v>0</v>
      </c>
      <c r="I20" t="inlineStr"/>
      <c r="J20" t="n">
        <v>0</v>
      </c>
      <c r="K20" t="inlineStr"/>
      <c r="L20" t="n">
        <v>0</v>
      </c>
      <c r="M20" t="inlineStr"/>
      <c r="N20" t="inlineStr">
        <is>
          <t>suit_wisd01</t>
        </is>
      </c>
      <c r="O20" t="inlineStr">
        <is>
          <t>蚀电屏蔽</t>
        </is>
      </c>
      <c r="P20" t="inlineStr">
        <is>
          <r>
            <rPr/>
            <t>3件套组效果：装备者智识</t>
          </r>
          <r>
            <rPr>
              <b val="1"/>
              <color rgb="009eb7ff"/>
            </rPr>
            <t>+50</t>
          </r>
          <r>
            <rPr/>
            <t>。当装备者生命值高于80%时，造成的</t>
          </r>
          <r>
            <rPr>
              <b val="1"/>
              <color rgb="0033c2ff"/>
            </rPr>
            <t>法术伤害</t>
          </r>
          <r>
            <rPr>
              <b val="1"/>
              <color rgb="009eb7ff"/>
            </rPr>
            <t>+20%</t>
          </r>
          <r>
            <rPr/>
            <t>。</t>
          </r>
        </is>
      </c>
      <c r="Q20" t="inlineStr">
        <is>
          <t>本装备由终末地工业自研，使用集成工业系统制造，能够提高使用者的作战能力。施加了特殊防护镀层的扳手。 必要时可以当作武器使用，用来敲碎某些天使的肢体也不在话下。</t>
        </is>
      </c>
    </row>
    <row r="21">
      <c r="A21" t="inlineStr">
        <is>
          <t>item_equip_t2_suit_wisd01_edc_02</t>
        </is>
      </c>
      <c r="B21" t="inlineStr">
        <is>
          <t>蚀电屏蔽扳手·壹型</t>
        </is>
      </c>
      <c r="C21" t="inlineStr">
        <is>
          <t>四号谷地</t>
        </is>
      </c>
      <c r="D21" t="n">
        <v>36</v>
      </c>
      <c r="E21" t="inlineStr">
        <is>
          <t>配件</t>
        </is>
      </c>
      <c r="F21" t="n">
        <v>3</v>
      </c>
      <c r="G21" t="inlineStr">
        <is>
          <t>防御力 +10.799999999999999</t>
        </is>
      </c>
      <c r="H21" t="n">
        <v>0</v>
      </c>
      <c r="I21" t="inlineStr"/>
      <c r="J21" t="n">
        <v>0</v>
      </c>
      <c r="K21" t="inlineStr"/>
      <c r="L21" t="n">
        <v>0</v>
      </c>
      <c r="M21" t="inlineStr"/>
      <c r="N21" t="inlineStr">
        <is>
          <t>suit_wisd01</t>
        </is>
      </c>
      <c r="O21" t="inlineStr">
        <is>
          <t>蚀电屏蔽</t>
        </is>
      </c>
      <c r="P21" t="inlineStr">
        <is>
          <r>
            <rPr/>
            <t>3件套组效果：装备者智识</t>
          </r>
          <r>
            <rPr>
              <b val="1"/>
              <color rgb="009eb7ff"/>
            </rPr>
            <t>+50</t>
          </r>
          <r>
            <rPr/>
            <t>。当装备者生命值高于80%时，造成的</t>
          </r>
          <r>
            <rPr>
              <b val="1"/>
              <color rgb="0033c2ff"/>
            </rPr>
            <t>法术伤害</t>
          </r>
          <r>
            <rPr>
              <b val="1"/>
              <color rgb="009eb7ff"/>
            </rPr>
            <t>+20%</t>
          </r>
          <r>
            <rPr/>
            <t>。</t>
          </r>
        </is>
      </c>
      <c r="Q21" t="inlineStr">
        <is>
          <t>本装备由终末地工业自研，使用集成工业系统制造，能够提高使用者的作战能力。施加了特殊防护镀层的扳手。 必要时可以当作武器使用，用来敲碎某些天使的肢体也不在话下。</t>
        </is>
      </c>
    </row>
    <row r="22">
      <c r="A22" t="inlineStr">
        <is>
          <t>item_equip_t2_suit_wisd01_edc_03</t>
        </is>
      </c>
      <c r="B22" t="inlineStr">
        <is>
          <t>蚀电屏蔽电池</t>
        </is>
      </c>
      <c r="C22" t="inlineStr">
        <is>
          <t>四号谷地</t>
        </is>
      </c>
      <c r="D22" t="n">
        <v>36</v>
      </c>
      <c r="E22" t="inlineStr">
        <is>
          <t>配件</t>
        </is>
      </c>
      <c r="F22" t="n">
        <v>3</v>
      </c>
      <c r="G22" t="inlineStr">
        <is>
          <t>防御力 +10.799999999999999</t>
        </is>
      </c>
      <c r="H22" t="n">
        <v>0</v>
      </c>
      <c r="I22" t="inlineStr"/>
      <c r="J22" t="n">
        <v>0</v>
      </c>
      <c r="K22" t="inlineStr"/>
      <c r="L22" t="n">
        <v>0</v>
      </c>
      <c r="M22" t="inlineStr"/>
      <c r="N22" t="inlineStr">
        <is>
          <t>suit_wisd01</t>
        </is>
      </c>
      <c r="O22" t="inlineStr">
        <is>
          <t>蚀电屏蔽</t>
        </is>
      </c>
      <c r="P22" t="inlineStr">
        <is>
          <r>
            <rPr/>
            <t>3件套组效果：装备者智识</t>
          </r>
          <r>
            <rPr>
              <b val="1"/>
              <color rgb="009eb7ff"/>
            </rPr>
            <t>+50</t>
          </r>
          <r>
            <rPr/>
            <t>。当装备者生命值高于80%时，造成的</t>
          </r>
          <r>
            <rPr>
              <b val="1"/>
              <color rgb="0033c2ff"/>
            </rPr>
            <t>法术伤害</t>
          </r>
          <r>
            <rPr>
              <b val="1"/>
              <color rgb="009eb7ff"/>
            </rPr>
            <t>+20%</t>
          </r>
          <r>
            <rPr/>
            <t>。</t>
          </r>
        </is>
      </c>
      <c r="Q22" t="inlineStr">
        <is>
          <t>本装备由终末地工业自研，使用集成工业系统制造，能够提高使用者的作战能力。耐用程度极高的电池。 在塔卫二，侵蚀环境下的工程抢险作业极度危险。因此，即便是“如何使用电池”，也需按特殊标准严格培训。</t>
        </is>
      </c>
    </row>
    <row r="23">
      <c r="A23" t="inlineStr">
        <is>
          <t>item_equip_t2_suit_will01_body_01</t>
        </is>
      </c>
      <c r="B23" t="inlineStr">
        <is>
          <t>蚀电防护背心</t>
        </is>
      </c>
      <c r="C23" t="inlineStr">
        <is>
          <t>四号谷地</t>
        </is>
      </c>
      <c r="D23" t="n">
        <v>36</v>
      </c>
      <c r="E23" t="inlineStr">
        <is>
          <t>护甲</t>
        </is>
      </c>
      <c r="F23" t="n">
        <v>3</v>
      </c>
      <c r="G23" t="inlineStr">
        <is>
          <t>防御力 +28.8</t>
        </is>
      </c>
      <c r="H23" t="n">
        <v>0</v>
      </c>
      <c r="I23" t="inlineStr"/>
      <c r="J23" t="n">
        <v>0</v>
      </c>
      <c r="K23" t="inlineStr"/>
      <c r="L23" t="n">
        <v>0</v>
      </c>
      <c r="M23" t="inlineStr"/>
      <c r="N23" t="inlineStr">
        <is>
          <t>suit_will01</t>
        </is>
      </c>
      <c r="O23" t="inlineStr">
        <is>
          <t>蚀电防护</t>
        </is>
      </c>
      <c r="P23" t="inlineStr">
        <is>
          <r>
            <rPr/>
            <t>3件套组效果：装备者意志</t>
          </r>
          <r>
            <rPr>
              <b val="1"/>
              <color rgb="009eb7ff"/>
            </rPr>
            <t>+50</t>
          </r>
          <r>
            <rPr/>
            <t>。当装备者生命值低于50%时，造成的治疗效果</t>
          </r>
          <r>
            <rPr>
              <b val="1"/>
              <color rgb="009eb7ff"/>
            </rPr>
            <t>+30%</t>
          </r>
          <r>
            <rPr/>
            <t>。</t>
          </r>
        </is>
      </c>
      <c r="Q23" t="inlineStr">
        <is>
          <t>本装备由终末地工业自研，使用集成工业系统制造，能够提高使用者的作战能力。牢固的防护背心。 “在抢修现场必须穿好防护装备，不然你就会看到受损设备向你大声呼救……别给医生添麻烦，好吗？”</t>
        </is>
      </c>
    </row>
    <row r="24">
      <c r="A24" t="inlineStr">
        <is>
          <t>item_equip_t2_suit_will01_hand_01</t>
        </is>
      </c>
      <c r="B24" t="inlineStr">
        <is>
          <t>蚀电防护手套</t>
        </is>
      </c>
      <c r="C24" t="inlineStr">
        <is>
          <t>四号谷地</t>
        </is>
      </c>
      <c r="D24" t="n">
        <v>36</v>
      </c>
      <c r="E24" t="inlineStr">
        <is>
          <t>护手</t>
        </is>
      </c>
      <c r="F24" t="n">
        <v>3</v>
      </c>
      <c r="G24" t="inlineStr">
        <is>
          <t>防御力 +21.599999999999998</t>
        </is>
      </c>
      <c r="H24" t="n">
        <v>0</v>
      </c>
      <c r="I24" t="inlineStr"/>
      <c r="J24" t="n">
        <v>0</v>
      </c>
      <c r="K24" t="inlineStr"/>
      <c r="L24" t="n">
        <v>0</v>
      </c>
      <c r="M24" t="inlineStr"/>
      <c r="N24" t="inlineStr">
        <is>
          <t>suit_will01</t>
        </is>
      </c>
      <c r="O24" t="inlineStr">
        <is>
          <t>蚀电防护</t>
        </is>
      </c>
      <c r="P24" t="inlineStr">
        <is>
          <r>
            <rPr/>
            <t>3件套组效果：装备者意志</t>
          </r>
          <r>
            <rPr>
              <b val="1"/>
              <color rgb="009eb7ff"/>
            </rPr>
            <t>+50</t>
          </r>
          <r>
            <rPr/>
            <t>。当装备者生命值低于50%时，造成的治疗效果</t>
          </r>
          <r>
            <rPr>
              <b val="1"/>
              <color rgb="009eb7ff"/>
            </rPr>
            <t>+30%</t>
          </r>
          <r>
            <rPr/>
            <t>。</t>
          </r>
        </is>
      </c>
      <c r="Q24" t="inlineStr">
        <is>
          <t>本装备由终末地工业自研，使用集成工业系统制造，能够提高使用者的作战能力。格外牢固的手套。 目前人类还未研发出能够有效耐受侵蚀的防护服，现役防护装备绝大多数仅能应对侵蚀次生灾害。</t>
        </is>
      </c>
    </row>
    <row r="25">
      <c r="A25" t="inlineStr">
        <is>
          <t>item_equip_t2_suit_will01_edc_01</t>
        </is>
      </c>
      <c r="B25" t="inlineStr">
        <is>
          <t>蚀电防护扳手</t>
        </is>
      </c>
      <c r="C25" t="inlineStr">
        <is>
          <t>四号谷地</t>
        </is>
      </c>
      <c r="D25" t="n">
        <v>36</v>
      </c>
      <c r="E25" t="inlineStr">
        <is>
          <t>配件</t>
        </is>
      </c>
      <c r="F25" t="n">
        <v>3</v>
      </c>
      <c r="G25" t="inlineStr">
        <is>
          <t>防御力 +10.799999999999999</t>
        </is>
      </c>
      <c r="H25" t="n">
        <v>0</v>
      </c>
      <c r="I25" t="inlineStr"/>
      <c r="J25" t="n">
        <v>0</v>
      </c>
      <c r="K25" t="inlineStr"/>
      <c r="L25" t="n">
        <v>0</v>
      </c>
      <c r="M25" t="inlineStr"/>
      <c r="N25" t="inlineStr">
        <is>
          <t>suit_will01</t>
        </is>
      </c>
      <c r="O25" t="inlineStr">
        <is>
          <t>蚀电防护</t>
        </is>
      </c>
      <c r="P25" t="inlineStr">
        <is>
          <r>
            <rPr/>
            <t>3件套组效果：装备者意志</t>
          </r>
          <r>
            <rPr>
              <b val="1"/>
              <color rgb="009eb7ff"/>
            </rPr>
            <t>+50</t>
          </r>
          <r>
            <rPr/>
            <t>。当装备者生命值低于50%时，造成的治疗效果</t>
          </r>
          <r>
            <rPr>
              <b val="1"/>
              <color rgb="009eb7ff"/>
            </rPr>
            <t>+30%</t>
          </r>
          <r>
            <rPr/>
            <t>。</t>
          </r>
        </is>
      </c>
      <c r="Q25" t="inlineStr">
        <is>
          <t>本装备由终末地工业自研，使用集成工业系统制造，能够提高使用者的作战能力。线条流畅的扳手。 “用来当武器意外顺手！”——某位不愿透露姓名的工人。</t>
        </is>
      </c>
    </row>
    <row r="26">
      <c r="A26" t="inlineStr">
        <is>
          <t>item_equip_t2_suit_will01_edc_02</t>
        </is>
      </c>
      <c r="B26" t="inlineStr">
        <is>
          <t>蚀电防护电池</t>
        </is>
      </c>
      <c r="C26" t="inlineStr">
        <is>
          <t>四号谷地</t>
        </is>
      </c>
      <c r="D26" t="n">
        <v>36</v>
      </c>
      <c r="E26" t="inlineStr">
        <is>
          <t>配件</t>
        </is>
      </c>
      <c r="F26" t="n">
        <v>3</v>
      </c>
      <c r="G26" t="inlineStr">
        <is>
          <t>防御力 +10.799999999999999</t>
        </is>
      </c>
      <c r="H26" t="n">
        <v>0</v>
      </c>
      <c r="I26" t="inlineStr"/>
      <c r="J26" t="n">
        <v>0</v>
      </c>
      <c r="K26" t="inlineStr"/>
      <c r="L26" t="n">
        <v>0</v>
      </c>
      <c r="M26" t="inlineStr"/>
      <c r="N26" t="inlineStr">
        <is>
          <t>suit_will01</t>
        </is>
      </c>
      <c r="O26" t="inlineStr">
        <is>
          <t>蚀电防护</t>
        </is>
      </c>
      <c r="P26" t="inlineStr">
        <is>
          <r>
            <rPr/>
            <t>3件套组效果：装备者意志</t>
          </r>
          <r>
            <rPr>
              <b val="1"/>
              <color rgb="009eb7ff"/>
            </rPr>
            <t>+50</t>
          </r>
          <r>
            <rPr/>
            <t>。当装备者生命值低于50%时，造成的治疗效果</t>
          </r>
          <r>
            <rPr>
              <b val="1"/>
              <color rgb="009eb7ff"/>
            </rPr>
            <t>+30%</t>
          </r>
          <r>
            <rPr/>
            <t>。</t>
          </r>
        </is>
      </c>
      <c r="Q26" t="inlineStr">
        <is>
          <t>本装备由终末地工业自研，使用集成工业系统制造，能够提高使用者的作战能力。重量略大的电池。 经验丰富的工人可以在十分钟内将这种源石电池改装成榴弹。</t>
        </is>
      </c>
    </row>
    <row r="27">
      <c r="A27" t="inlineStr">
        <is>
          <t>item_equip_t3_suit_atk01_body_01</t>
        </is>
      </c>
      <c r="B27" t="inlineStr">
        <is>
          <t>阿伯莉重甲</t>
        </is>
      </c>
      <c r="C27" t="inlineStr">
        <is>
          <t>四号谷地</t>
        </is>
      </c>
      <c r="D27" t="n">
        <v>50</v>
      </c>
      <c r="E27" t="inlineStr">
        <is>
          <t>护甲</t>
        </is>
      </c>
      <c r="F27" t="n">
        <v>4</v>
      </c>
      <c r="G27" t="inlineStr">
        <is>
          <t>防御力 +40</t>
        </is>
      </c>
      <c r="H27" t="n">
        <v>0</v>
      </c>
      <c r="I27" t="inlineStr"/>
      <c r="J27" t="n">
        <v>0</v>
      </c>
      <c r="K27" t="inlineStr"/>
      <c r="L27" t="n">
        <v>0</v>
      </c>
      <c r="M27" t="inlineStr"/>
      <c r="N27" t="inlineStr">
        <is>
          <t>suit_atk01</t>
        </is>
      </c>
      <c r="O27" t="inlineStr">
        <is>
          <t>阿伯莉遗声</t>
        </is>
      </c>
      <c r="P27"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27" t="inlineStr">
        <is>
          <t>本装备由特里格拉夫军工厂设计，使用集成工业系统制造，能够提高使用者的作战能力。针对阿伯莉采石场作业情况做出了调整的新型防护装甲。 挖掘前文明遗物的过程中，遭遇的情况通常是多变的、突发的。因此作业中使用的装备必须兼顾防御性、灵活性，以及足够强的攻击能力。</t>
        </is>
      </c>
    </row>
    <row r="28">
      <c r="A28" t="inlineStr">
        <is>
          <t>item_equip_t3_suit_atk01_body_02</t>
        </is>
      </c>
      <c r="B28" t="inlineStr">
        <is>
          <t>阿伯莉重甲·壹型</t>
        </is>
      </c>
      <c r="C28" t="inlineStr">
        <is>
          <t>四号谷地</t>
        </is>
      </c>
      <c r="D28" t="n">
        <v>50</v>
      </c>
      <c r="E28" t="inlineStr">
        <is>
          <t>护甲</t>
        </is>
      </c>
      <c r="F28" t="n">
        <v>4</v>
      </c>
      <c r="G28" t="inlineStr">
        <is>
          <t>防御力 +40</t>
        </is>
      </c>
      <c r="H28" t="n">
        <v>0</v>
      </c>
      <c r="I28" t="inlineStr"/>
      <c r="J28" t="n">
        <v>0</v>
      </c>
      <c r="K28" t="inlineStr"/>
      <c r="L28" t="n">
        <v>0</v>
      </c>
      <c r="M28" t="inlineStr"/>
      <c r="N28" t="inlineStr">
        <is>
          <t>suit_atk01</t>
        </is>
      </c>
      <c r="O28" t="inlineStr">
        <is>
          <t>阿伯莉遗声</t>
        </is>
      </c>
      <c r="P28"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28" t="inlineStr">
        <is>
          <t>本装备由特里格拉夫军工厂设计，使用集成工业系统制造，能够提高使用者的作战能力。针对阿伯莉采石场作业情况做出了调整的新型防护装甲。 阿伯莉重甲系列的作战用型，较之标准型多出了武器连接功能，能够有效适配喷火器、榴弹发射器等装备。</t>
        </is>
      </c>
    </row>
    <row r="29">
      <c r="A29" t="inlineStr">
        <is>
          <t>item_equip_t3_suit_atk01_body_03</t>
        </is>
      </c>
      <c r="B29" t="inlineStr">
        <is>
          <t>阿伯莉轻甲</t>
        </is>
      </c>
      <c r="C29" t="inlineStr">
        <is>
          <t>四号谷地</t>
        </is>
      </c>
      <c r="D29" t="n">
        <v>50</v>
      </c>
      <c r="E29" t="inlineStr">
        <is>
          <t>护甲</t>
        </is>
      </c>
      <c r="F29" t="n">
        <v>4</v>
      </c>
      <c r="G29" t="inlineStr">
        <is>
          <t>防御力 +40</t>
        </is>
      </c>
      <c r="H29" t="n">
        <v>0</v>
      </c>
      <c r="I29" t="inlineStr"/>
      <c r="J29" t="n">
        <v>0</v>
      </c>
      <c r="K29" t="inlineStr"/>
      <c r="L29" t="n">
        <v>0</v>
      </c>
      <c r="M29" t="inlineStr"/>
      <c r="N29" t="inlineStr">
        <is>
          <t>suit_atk01</t>
        </is>
      </c>
      <c r="O29" t="inlineStr">
        <is>
          <t>阿伯莉遗声</t>
        </is>
      </c>
      <c r="P29"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29" t="inlineStr">
        <is>
          <t>本装备由特里格拉夫军工厂设计，使用集成工业系统制造，能够提高使用者的作战能力。针对阿伯莉采石场作业情况做出了调整的新型防护装甲。 “停工！停工！想办法联络寂语修会！”</t>
        </is>
      </c>
    </row>
    <row r="30">
      <c r="A30" t="inlineStr">
        <is>
          <t>item_equip_t3_suit_atk01_body_04</t>
        </is>
      </c>
      <c r="B30" t="inlineStr">
        <is>
          <t>阿伯莉轻甲·壹型</t>
        </is>
      </c>
      <c r="C30" t="inlineStr">
        <is>
          <t>四号谷地</t>
        </is>
      </c>
      <c r="D30" t="n">
        <v>50</v>
      </c>
      <c r="E30" t="inlineStr">
        <is>
          <t>护甲</t>
        </is>
      </c>
      <c r="F30" t="n">
        <v>4</v>
      </c>
      <c r="G30" t="inlineStr">
        <is>
          <t>防御力 +40</t>
        </is>
      </c>
      <c r="H30" t="n">
        <v>0</v>
      </c>
      <c r="I30" t="inlineStr"/>
      <c r="J30" t="n">
        <v>0</v>
      </c>
      <c r="K30" t="inlineStr"/>
      <c r="L30" t="n">
        <v>0</v>
      </c>
      <c r="M30" t="inlineStr"/>
      <c r="N30" t="inlineStr">
        <is>
          <t>suit_atk01</t>
        </is>
      </c>
      <c r="O30" t="inlineStr">
        <is>
          <t>阿伯莉遗声</t>
        </is>
      </c>
      <c r="P30"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0" t="inlineStr">
        <is>
          <t>本装备由特里格拉夫军工厂设计，使用集成工业系统制造，能够提高使用者的作战能力。针对阿伯莉采石场作业情况做出了调整的新型防护装甲。 “停工！停工！想办法联络寂语修会！”</t>
        </is>
      </c>
    </row>
    <row r="31">
      <c r="A31" t="inlineStr">
        <is>
          <t>item_equip_t3_suit_atk01_hand_01</t>
        </is>
      </c>
      <c r="B31" t="inlineStr">
        <is>
          <t>阿伯莉手甲</t>
        </is>
      </c>
      <c r="C31" t="inlineStr">
        <is>
          <t>四号谷地</t>
        </is>
      </c>
      <c r="D31" t="n">
        <v>50</v>
      </c>
      <c r="E31" t="inlineStr">
        <is>
          <t>护手</t>
        </is>
      </c>
      <c r="F31" t="n">
        <v>4</v>
      </c>
      <c r="G31" t="inlineStr">
        <is>
          <t>防御力 +30</t>
        </is>
      </c>
      <c r="H31" t="n">
        <v>0</v>
      </c>
      <c r="I31" t="inlineStr"/>
      <c r="J31" t="n">
        <v>0</v>
      </c>
      <c r="K31" t="inlineStr"/>
      <c r="L31" t="n">
        <v>0</v>
      </c>
      <c r="M31" t="inlineStr"/>
      <c r="N31" t="inlineStr">
        <is>
          <t>suit_atk01</t>
        </is>
      </c>
      <c r="O31" t="inlineStr">
        <is>
          <t>阿伯莉遗声</t>
        </is>
      </c>
      <c r="P31"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1" t="inlineStr">
        <is>
          <t>本装备由特里格拉夫军工厂设计，使用集成工业系统制造，能够提高使用者的作战能力。针对阿伯莉采石场作业情况做出了调整的新型防护装甲。 装配在连体防护装甲外的手部护具，指尖位置集成了六种类型、共计近百个微型传感器，能帮助装备者精确判断出自己究竟接触到了什么——哪怕他们失去了视觉。</t>
        </is>
      </c>
    </row>
    <row r="32">
      <c r="A32" t="inlineStr">
        <is>
          <t>item_equip_t3_suit_atk01_edc_01</t>
        </is>
      </c>
      <c r="B32" t="inlineStr">
        <is>
          <t>阿伯莉紫光灯</t>
        </is>
      </c>
      <c r="C32" t="inlineStr">
        <is>
          <t>四号谷地</t>
        </is>
      </c>
      <c r="D32" t="n">
        <v>50</v>
      </c>
      <c r="E32" t="inlineStr">
        <is>
          <t>配件</t>
        </is>
      </c>
      <c r="F32" t="n">
        <v>4</v>
      </c>
      <c r="G32" t="inlineStr">
        <is>
          <t>防御力 +15</t>
        </is>
      </c>
      <c r="H32" t="n">
        <v>0</v>
      </c>
      <c r="I32" t="inlineStr"/>
      <c r="J32" t="n">
        <v>0</v>
      </c>
      <c r="K32" t="inlineStr"/>
      <c r="L32" t="n">
        <v>0</v>
      </c>
      <c r="M32" t="inlineStr"/>
      <c r="N32" t="inlineStr">
        <is>
          <t>suit_atk01</t>
        </is>
      </c>
      <c r="O32" t="inlineStr">
        <is>
          <t>阿伯莉遗声</t>
        </is>
      </c>
      <c r="P32"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2" t="inlineStr">
        <is>
          <t>本装备由特里格拉夫军工厂设计，使用集成工业系统制造，能够提高使用者的作战能力。针对阿伯莉采石场作业情况做出了调整的新型防护装甲。 为了适应阿伯莉采石场突如其来的挖掘作业，工程师们连夜对这套护甲设计做出了调整，为其增添了视觉保护、听觉保护等模块。</t>
        </is>
      </c>
    </row>
    <row r="33">
      <c r="A33" t="inlineStr">
        <is>
          <t>item_equip_t3_suit_atk01_edc_04</t>
        </is>
      </c>
      <c r="B33" t="inlineStr">
        <is>
          <t>阿伯莉照明器</t>
        </is>
      </c>
      <c r="C33" t="inlineStr">
        <is>
          <t>四号谷地</t>
        </is>
      </c>
      <c r="D33" t="n">
        <v>50</v>
      </c>
      <c r="E33" t="inlineStr">
        <is>
          <t>配件</t>
        </is>
      </c>
      <c r="F33" t="n">
        <v>4</v>
      </c>
      <c r="G33" t="inlineStr">
        <is>
          <t>防御力 +15</t>
        </is>
      </c>
      <c r="H33" t="n">
        <v>0</v>
      </c>
      <c r="I33" t="inlineStr"/>
      <c r="J33" t="n">
        <v>0</v>
      </c>
      <c r="K33" t="inlineStr"/>
      <c r="L33" t="n">
        <v>0</v>
      </c>
      <c r="M33" t="inlineStr"/>
      <c r="N33" t="inlineStr">
        <is>
          <t>suit_atk01</t>
        </is>
      </c>
      <c r="O33" t="inlineStr">
        <is>
          <t>阿伯莉遗声</t>
        </is>
      </c>
      <c r="P33"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3" t="inlineStr">
        <is>
          <t>本装备由特里格拉夫军工厂设计，使用集成工业系统制造，能够提高使用者的作战能力。针对阿伯莉采石场作业情况做出了调整的新型防护装甲。 “它就那样嵌在岩石中，就像我只是挖出了混凝土里的一截钢筋，但……但我好像听到它在对我说话……”</t>
        </is>
      </c>
    </row>
    <row r="34">
      <c r="A34" t="inlineStr">
        <is>
          <t>item_equip_t3_suit_atk01_edc_02</t>
        </is>
      </c>
      <c r="B34" t="inlineStr">
        <is>
          <t>阿伯莉侦听芯片</t>
        </is>
      </c>
      <c r="C34" t="inlineStr">
        <is>
          <t>四号谷地</t>
        </is>
      </c>
      <c r="D34" t="n">
        <v>50</v>
      </c>
      <c r="E34" t="inlineStr">
        <is>
          <t>配件</t>
        </is>
      </c>
      <c r="F34" t="n">
        <v>4</v>
      </c>
      <c r="G34" t="inlineStr">
        <is>
          <t>防御力 +15</t>
        </is>
      </c>
      <c r="H34" t="n">
        <v>0</v>
      </c>
      <c r="I34" t="inlineStr"/>
      <c r="J34" t="n">
        <v>0</v>
      </c>
      <c r="K34" t="inlineStr"/>
      <c r="L34" t="n">
        <v>0</v>
      </c>
      <c r="M34" t="inlineStr"/>
      <c r="N34" t="inlineStr">
        <is>
          <t>suit_atk01</t>
        </is>
      </c>
      <c r="O34" t="inlineStr">
        <is>
          <t>阿伯莉遗声</t>
        </is>
      </c>
      <c r="P34"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4" t="inlineStr">
        <is>
          <t>本装备由特里格拉夫军工厂设计，使用集成工业系统制造，能够提高使用者的作战能力。针对阿伯莉采石场作业情况做出了调整的新型防护装甲。 在探索未知环境时，隔音性能足够强的听觉防护装备尤其重要。这款芯片能有效辅助装备者判断自身是否出现了幻听症状。</t>
        </is>
      </c>
    </row>
    <row r="35">
      <c r="A35" t="inlineStr">
        <is>
          <t>item_equip_t3_suit_atk01_edc_03</t>
        </is>
      </c>
      <c r="B35" t="inlineStr">
        <is>
          <t>阿伯莉侦听芯片·壹型</t>
        </is>
      </c>
      <c r="C35" t="inlineStr">
        <is>
          <t>四号谷地</t>
        </is>
      </c>
      <c r="D35" t="n">
        <v>50</v>
      </c>
      <c r="E35" t="inlineStr">
        <is>
          <t>配件</t>
        </is>
      </c>
      <c r="F35" t="n">
        <v>4</v>
      </c>
      <c r="G35" t="inlineStr">
        <is>
          <t>防御力 +15</t>
        </is>
      </c>
      <c r="H35" t="n">
        <v>0</v>
      </c>
      <c r="I35" t="inlineStr"/>
      <c r="J35" t="n">
        <v>0</v>
      </c>
      <c r="K35" t="inlineStr"/>
      <c r="L35" t="n">
        <v>0</v>
      </c>
      <c r="M35" t="inlineStr"/>
      <c r="N35" t="inlineStr">
        <is>
          <t>suit_atk01</t>
        </is>
      </c>
      <c r="O35" t="inlineStr">
        <is>
          <t>阿伯莉遗声</t>
        </is>
      </c>
      <c r="P35"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5" t="inlineStr">
        <is>
          <t>本装备由特里格拉夫军工厂设计，使用集成工业系统制造，能够提高使用者的作战能力。针对阿伯莉采石场作业情况做出了调整的新型防护装甲。 在探索未知环境时，隔音性能足够强的听觉防护装备尤其重要。这款芯片能有效辅助装备者判断自身是否出现了幻听症状。</t>
        </is>
      </c>
    </row>
    <row r="36">
      <c r="A36" t="inlineStr">
        <is>
          <t>item_equip_t3_suit_atk01_edc_05</t>
        </is>
      </c>
      <c r="B36" t="inlineStr">
        <is>
          <t>阿伯莉传感芯片</t>
        </is>
      </c>
      <c r="C36" t="inlineStr">
        <is>
          <t>四号谷地</t>
        </is>
      </c>
      <c r="D36" t="n">
        <v>50</v>
      </c>
      <c r="E36" t="inlineStr">
        <is>
          <t>配件</t>
        </is>
      </c>
      <c r="F36" t="n">
        <v>4</v>
      </c>
      <c r="G36" t="inlineStr">
        <is>
          <t>防御力 +15</t>
        </is>
      </c>
      <c r="H36" t="n">
        <v>0</v>
      </c>
      <c r="I36" t="inlineStr"/>
      <c r="J36" t="n">
        <v>0</v>
      </c>
      <c r="K36" t="inlineStr"/>
      <c r="L36" t="n">
        <v>0</v>
      </c>
      <c r="M36" t="inlineStr"/>
      <c r="N36" t="inlineStr">
        <is>
          <t>suit_atk01</t>
        </is>
      </c>
      <c r="O36" t="inlineStr">
        <is>
          <t>阿伯莉遗声</t>
        </is>
      </c>
      <c r="P36"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6" t="inlineStr">
        <is>
          <t>本装备由特里格拉夫军工厂设计，使用集成工业系统制造，能够提高使用者的作战能力。针对阿伯莉采石场作业情况做出了调整的新型防护装甲。 按照工程师的说法，这套防护装甲的未来迭代方向将聚焦于全面自动化——即使穿戴者失去意识，它也能够带人安全撤离。</t>
        </is>
      </c>
    </row>
    <row r="37">
      <c r="A37" t="inlineStr">
        <is>
          <t>item_equip_t3_suit_atk01_edc_06</t>
        </is>
      </c>
      <c r="B37" t="inlineStr">
        <is>
          <t>阿伯莉传感芯片·壹型</t>
        </is>
      </c>
      <c r="C37" t="inlineStr">
        <is>
          <t>四号谷地</t>
        </is>
      </c>
      <c r="D37" t="n">
        <v>50</v>
      </c>
      <c r="E37" t="inlineStr">
        <is>
          <t>配件</t>
        </is>
      </c>
      <c r="F37" t="n">
        <v>4</v>
      </c>
      <c r="G37" t="inlineStr">
        <is>
          <t>防御力 +15</t>
        </is>
      </c>
      <c r="H37" t="n">
        <v>0</v>
      </c>
      <c r="I37" t="inlineStr"/>
      <c r="J37" t="n">
        <v>0</v>
      </c>
      <c r="K37" t="inlineStr"/>
      <c r="L37" t="n">
        <v>0</v>
      </c>
      <c r="M37" t="inlineStr"/>
      <c r="N37" t="inlineStr">
        <is>
          <t>suit_atk01</t>
        </is>
      </c>
      <c r="O37" t="inlineStr">
        <is>
          <t>阿伯莉遗声</t>
        </is>
      </c>
      <c r="P37" t="inlineStr">
        <is>
          <r>
            <rPr/>
            <t>3件套组效果：装备者所有技能伤害</t>
          </r>
          <r>
            <rPr>
              <b val="1"/>
              <color rgb="009eb7ff"/>
            </rPr>
            <t>+24%</t>
          </r>
          <r>
            <rPr/>
            <t>。当装备者施放战技、连携技、终结技时，分别</t>
          </r>
          <r>
            <rPr>
              <b val="1"/>
              <color rgb="009eb7ff"/>
            </rPr>
            <t>+5%</t>
          </r>
          <r>
            <rPr/>
            <t>攻击力，持续15秒。三种增益状态独立存在，层数无法叠加。</t>
          </r>
        </is>
      </c>
      <c r="Q37" t="inlineStr">
        <is>
          <t>本装备由特里格拉夫军工厂设计，使用集成工业系统制造，能够提高使用者的作战能力。针对阿伯莉采石场作业情况做出了调整的新型防护装甲。 按照工程师的说法，这套防护装甲的未来迭代方向将聚焦于全面自动化——即使穿戴者失去意识，它也能够带人安全撤离。</t>
        </is>
      </c>
    </row>
    <row r="38">
      <c r="A38" t="inlineStr">
        <is>
          <t>item_equip_t3_suit_usp01_body_01</t>
        </is>
      </c>
      <c r="B38" t="inlineStr">
        <is>
          <t>天灾防护重甲</t>
        </is>
      </c>
      <c r="C38" t="inlineStr">
        <is>
          <t>四号谷地</t>
        </is>
      </c>
      <c r="D38" t="n">
        <v>50</v>
      </c>
      <c r="E38" t="inlineStr">
        <is>
          <t>护甲</t>
        </is>
      </c>
      <c r="F38" t="n">
        <v>4</v>
      </c>
      <c r="G38" t="inlineStr">
        <is>
          <t>防御力 +40</t>
        </is>
      </c>
      <c r="H38" t="n">
        <v>0</v>
      </c>
      <c r="I38" t="inlineStr"/>
      <c r="J38" t="n">
        <v>0</v>
      </c>
      <c r="K38" t="inlineStr"/>
      <c r="L38" t="n">
        <v>0</v>
      </c>
      <c r="M38" t="inlineStr"/>
      <c r="N38" t="inlineStr">
        <is>
          <t>suit_usp01</t>
        </is>
      </c>
      <c r="O38" t="inlineStr">
        <is>
          <t>天灾防护</t>
        </is>
      </c>
      <c r="P38" t="inlineStr">
        <is>
          <r>
            <rPr/>
            <t>3件套组效果：装备者终结技充能效率</t>
          </r>
          <r>
            <rPr>
              <b val="1"/>
              <color rgb="009eb7ff"/>
            </rPr>
            <t>+20%</t>
          </r>
          <r>
            <rPr/>
            <t>。装备者施放战技时</t>
          </r>
          <r>
            <rPr>
              <u val="single"/>
            </rPr>
            <t>返还</t>
          </r>
          <r>
            <rPr>
              <b val="1"/>
              <color rgb="009eb7ff"/>
            </rPr>
            <t>50</t>
          </r>
          <r>
            <rPr/>
            <t>点技力，此效果每场战斗最多触发一次。</t>
          </r>
        </is>
      </c>
      <c r="Q38" t="inlineStr">
        <is>
          <t>本装备由特里格拉夫军工厂设计，使用集成工业系统制造，能够提高使用者的作战能力。源石研究园种植作业中会使用的外骨骼装备。 搭载了微电流刺激系统，能有效降低穿戴者的疲劳感——工人们对这种“振奋精神”的小设计尤为满意。</t>
        </is>
      </c>
    </row>
    <row r="39">
      <c r="A39" t="inlineStr">
        <is>
          <t>item_equip_t3_suit_usp01_body_02</t>
        </is>
      </c>
      <c r="B39" t="inlineStr">
        <is>
          <t>天灾防护重甲·壹型</t>
        </is>
      </c>
      <c r="C39" t="inlineStr">
        <is>
          <t>四号谷地</t>
        </is>
      </c>
      <c r="D39" t="n">
        <v>50</v>
      </c>
      <c r="E39" t="inlineStr">
        <is>
          <t>护甲</t>
        </is>
      </c>
      <c r="F39" t="n">
        <v>4</v>
      </c>
      <c r="G39" t="inlineStr">
        <is>
          <t>防御力 +40</t>
        </is>
      </c>
      <c r="H39" t="n">
        <v>0</v>
      </c>
      <c r="I39" t="inlineStr"/>
      <c r="J39" t="n">
        <v>0</v>
      </c>
      <c r="K39" t="inlineStr"/>
      <c r="L39" t="n">
        <v>0</v>
      </c>
      <c r="M39" t="inlineStr"/>
      <c r="N39" t="inlineStr">
        <is>
          <t>suit_usp01</t>
        </is>
      </c>
      <c r="O39" t="inlineStr">
        <is>
          <t>天灾防护</t>
        </is>
      </c>
      <c r="P39" t="inlineStr">
        <is>
          <r>
            <rPr/>
            <t>3件套组效果：装备者终结技充能效率</t>
          </r>
          <r>
            <rPr>
              <b val="1"/>
              <color rgb="009eb7ff"/>
            </rPr>
            <t>+20%</t>
          </r>
          <r>
            <rPr/>
            <t>。装备者施放战技时</t>
          </r>
          <r>
            <rPr>
              <u val="single"/>
            </rPr>
            <t>返还</t>
          </r>
          <r>
            <rPr>
              <b val="1"/>
              <color rgb="009eb7ff"/>
            </rPr>
            <t>50</t>
          </r>
          <r>
            <rPr/>
            <t>点技力，此效果每场战斗最多触发一次。</t>
          </r>
        </is>
      </c>
      <c r="Q39" t="inlineStr">
        <is>
          <t>本装备由特里格拉夫军工厂设计，使用集成工业系统制造，能够提高使用者的作战能力。源石研究园种植作业中会使用的外骨骼装备。 搭载了微电流刺激系统，能有效降低穿戴者的疲劳感——工人们对这种“振奋精神”的小设计尤为满意。</t>
        </is>
      </c>
    </row>
    <row r="40">
      <c r="A40" t="inlineStr">
        <is>
          <t>item_equip_t3_suit_usp01_hand_01</t>
        </is>
      </c>
      <c r="B40" t="inlineStr">
        <is>
          <t>天灾防护手套</t>
        </is>
      </c>
      <c r="C40" t="inlineStr">
        <is>
          <t>四号谷地</t>
        </is>
      </c>
      <c r="D40" t="n">
        <v>50</v>
      </c>
      <c r="E40" t="inlineStr">
        <is>
          <t>护手</t>
        </is>
      </c>
      <c r="F40" t="n">
        <v>4</v>
      </c>
      <c r="G40" t="inlineStr">
        <is>
          <t>防御力 +30</t>
        </is>
      </c>
      <c r="H40" t="n">
        <v>0</v>
      </c>
      <c r="I40" t="inlineStr"/>
      <c r="J40" t="n">
        <v>0</v>
      </c>
      <c r="K40" t="inlineStr"/>
      <c r="L40" t="n">
        <v>0</v>
      </c>
      <c r="M40" t="inlineStr"/>
      <c r="N40" t="inlineStr">
        <is>
          <t>suit_usp01</t>
        </is>
      </c>
      <c r="O40" t="inlineStr">
        <is>
          <t>天灾防护</t>
        </is>
      </c>
      <c r="P40" t="inlineStr">
        <is>
          <r>
            <rPr/>
            <t>3件套组效果：装备者终结技充能效率</t>
          </r>
          <r>
            <rPr>
              <b val="1"/>
              <color rgb="009eb7ff"/>
            </rPr>
            <t>+20%</t>
          </r>
          <r>
            <rPr/>
            <t>。装备者施放战技时</t>
          </r>
          <r>
            <rPr>
              <u val="single"/>
            </rPr>
            <t>返还</t>
          </r>
          <r>
            <rPr>
              <b val="1"/>
              <color rgb="009eb7ff"/>
            </rPr>
            <t>50</t>
          </r>
          <r>
            <rPr/>
            <t>点技力，此效果每场战斗最多触发一次。</t>
          </r>
        </is>
      </c>
      <c r="Q40" t="inlineStr">
        <is>
          <t>本装备由特里格拉夫军工厂设计，使用集成工业系统制造，能够提高使用者的作战能力。源石研究园种植作业中会使用的外骨骼装备。 重点调整了指关节部位的支撑结构，同时提高了抓握能力，能在源石晶簇切割搬运的过程中高效辅助作业。</t>
        </is>
      </c>
    </row>
    <row r="41">
      <c r="A41" t="inlineStr">
        <is>
          <t>item_equip_t3_suit_usp01_edc_03</t>
        </is>
      </c>
      <c r="B41" t="inlineStr">
        <is>
          <t>天灾防护滤芯</t>
        </is>
      </c>
      <c r="C41" t="inlineStr">
        <is>
          <t>四号谷地</t>
        </is>
      </c>
      <c r="D41" t="n">
        <v>50</v>
      </c>
      <c r="E41" t="inlineStr">
        <is>
          <t>配件</t>
        </is>
      </c>
      <c r="F41" t="n">
        <v>4</v>
      </c>
      <c r="G41" t="inlineStr">
        <is>
          <t>防御力 +15</t>
        </is>
      </c>
      <c r="H41" t="n">
        <v>0</v>
      </c>
      <c r="I41" t="inlineStr"/>
      <c r="J41" t="n">
        <v>0</v>
      </c>
      <c r="K41" t="inlineStr"/>
      <c r="L41" t="n">
        <v>0</v>
      </c>
      <c r="M41" t="inlineStr"/>
      <c r="N41" t="inlineStr">
        <is>
          <t>suit_usp01</t>
        </is>
      </c>
      <c r="O41" t="inlineStr">
        <is>
          <t>天灾防护</t>
        </is>
      </c>
      <c r="P41" t="inlineStr">
        <is>
          <r>
            <rPr/>
            <t>3件套组效果：装备者终结技充能效率</t>
          </r>
          <r>
            <rPr>
              <b val="1"/>
              <color rgb="009eb7ff"/>
            </rPr>
            <t>+20%</t>
          </r>
          <r>
            <rPr/>
            <t>。装备者施放战技时</t>
          </r>
          <r>
            <rPr>
              <u val="single"/>
            </rPr>
            <t>返还</t>
          </r>
          <r>
            <rPr>
              <b val="1"/>
              <color rgb="009eb7ff"/>
            </rPr>
            <t>50</t>
          </r>
          <r>
            <rPr/>
            <t>点技力，此效果每场战斗最多触发一次。</t>
          </r>
        </is>
      </c>
      <c r="Q41" t="inlineStr">
        <is>
          <t>本装备由特里格拉夫军工厂设计，使用集成工业系统制造，能够提高使用者的作战能力。源石研究园种植作业中会使用的外骨骼装备。 与天灾防护面罩配套的过滤装置，应用时即插即拔，方便快捷。</t>
        </is>
      </c>
    </row>
    <row r="42">
      <c r="A42" t="inlineStr">
        <is>
          <t>item_equip_t3_suit_usp01_edc_01</t>
        </is>
      </c>
      <c r="B42" t="inlineStr">
        <is>
          <t>天灾防护净芯</t>
        </is>
      </c>
      <c r="C42" t="inlineStr">
        <is>
          <t>四号谷地</t>
        </is>
      </c>
      <c r="D42" t="n">
        <v>50</v>
      </c>
      <c r="E42" t="inlineStr">
        <is>
          <t>配件</t>
        </is>
      </c>
      <c r="F42" t="n">
        <v>4</v>
      </c>
      <c r="G42" t="inlineStr">
        <is>
          <t>防御力 +15</t>
        </is>
      </c>
      <c r="H42" t="n">
        <v>0</v>
      </c>
      <c r="I42" t="inlineStr"/>
      <c r="J42" t="n">
        <v>0</v>
      </c>
      <c r="K42" t="inlineStr"/>
      <c r="L42" t="n">
        <v>0</v>
      </c>
      <c r="M42" t="inlineStr"/>
      <c r="N42" t="inlineStr">
        <is>
          <t>suit_usp01</t>
        </is>
      </c>
      <c r="O42" t="inlineStr">
        <is>
          <t>天灾防护</t>
        </is>
      </c>
      <c r="P42" t="inlineStr">
        <is>
          <r>
            <rPr/>
            <t>3件套组效果：装备者终结技充能效率</t>
          </r>
          <r>
            <rPr>
              <b val="1"/>
              <color rgb="009eb7ff"/>
            </rPr>
            <t>+20%</t>
          </r>
          <r>
            <rPr/>
            <t>。装备者施放战技时</t>
          </r>
          <r>
            <rPr>
              <u val="single"/>
            </rPr>
            <t>返还</t>
          </r>
          <r>
            <rPr>
              <b val="1"/>
              <color rgb="009eb7ff"/>
            </rPr>
            <t>50</t>
          </r>
          <r>
            <rPr/>
            <t>点技力，此效果每场战斗最多触发一次。</t>
          </r>
        </is>
      </c>
      <c r="Q42" t="inlineStr">
        <is>
          <t>本装备由特里格拉夫军工厂设计，使用集成工业系统制造，能够提高使用者的作战能力。源石研究园种植作业中会使用的外骨骼装备。 虽然矿石病在塔卫二已能得到有效控制，但还请继续做好基础的呼吸防护。</t>
        </is>
      </c>
    </row>
    <row r="43">
      <c r="A43" t="inlineStr">
        <is>
          <t>item_equip_t3_suit_usp01_edc_02</t>
        </is>
      </c>
      <c r="B43" t="inlineStr">
        <is>
          <t>天灾防护净芯·壹型</t>
        </is>
      </c>
      <c r="C43" t="inlineStr">
        <is>
          <t>四号谷地</t>
        </is>
      </c>
      <c r="D43" t="n">
        <v>50</v>
      </c>
      <c r="E43" t="inlineStr">
        <is>
          <t>配件</t>
        </is>
      </c>
      <c r="F43" t="n">
        <v>4</v>
      </c>
      <c r="G43" t="inlineStr">
        <is>
          <t>防御力 +15</t>
        </is>
      </c>
      <c r="H43" t="n">
        <v>0</v>
      </c>
      <c r="I43" t="inlineStr"/>
      <c r="J43" t="n">
        <v>0</v>
      </c>
      <c r="K43" t="inlineStr"/>
      <c r="L43" t="n">
        <v>0</v>
      </c>
      <c r="M43" t="inlineStr"/>
      <c r="N43" t="inlineStr">
        <is>
          <t>suit_usp01</t>
        </is>
      </c>
      <c r="O43" t="inlineStr">
        <is>
          <t>天灾防护</t>
        </is>
      </c>
      <c r="P43" t="inlineStr">
        <is>
          <r>
            <rPr/>
            <t>3件套组效果：装备者终结技充能效率</t>
          </r>
          <r>
            <rPr>
              <b val="1"/>
              <color rgb="009eb7ff"/>
            </rPr>
            <t>+20%</t>
          </r>
          <r>
            <rPr/>
            <t>。装备者施放战技时</t>
          </r>
          <r>
            <rPr>
              <u val="single"/>
            </rPr>
            <t>返还</t>
          </r>
          <r>
            <rPr>
              <b val="1"/>
              <color rgb="009eb7ff"/>
            </rPr>
            <t>50</t>
          </r>
          <r>
            <rPr/>
            <t>点技力，此效果每场战斗最多触发一次。</t>
          </r>
        </is>
      </c>
      <c r="Q43" t="inlineStr">
        <is>
          <t>本装备由特里格拉夫军工厂设计，使用集成工业系统制造，能够提高使用者的作战能力。源石研究园种植作业中会使用的外骨骼装备。 虽然矿石病在塔卫二已能得到有效控制，但还请继续做好基础的呼吸防护。</t>
        </is>
      </c>
    </row>
    <row r="44">
      <c r="A44" t="inlineStr">
        <is>
          <t>item_equip_t3_suit_str01_body_01</t>
        </is>
      </c>
      <c r="B44" t="inlineStr">
        <is>
          <t>重装信使夹克·壹型</t>
        </is>
      </c>
      <c r="C44" t="inlineStr">
        <is>
          <t>四号谷地</t>
        </is>
      </c>
      <c r="D44" t="n">
        <v>50</v>
      </c>
      <c r="E44" t="inlineStr">
        <is>
          <t>护甲</t>
        </is>
      </c>
      <c r="F44" t="n">
        <v>4</v>
      </c>
      <c r="G44" t="inlineStr">
        <is>
          <t>防御力 +40</t>
        </is>
      </c>
      <c r="H44" t="n">
        <v>0</v>
      </c>
      <c r="I44" t="inlineStr"/>
      <c r="J44" t="n">
        <v>0</v>
      </c>
      <c r="K44" t="inlineStr"/>
      <c r="L44" t="n">
        <v>0</v>
      </c>
      <c r="M44" t="inlineStr"/>
      <c r="N44" t="inlineStr">
        <is>
          <t>suit_str01</t>
        </is>
      </c>
      <c r="O44" t="inlineStr">
        <is>
          <t>重装信使</t>
        </is>
      </c>
      <c r="P44" t="inlineStr">
        <is>
          <r>
            <rPr/>
            <t>3件套组效果：装备者力量</t>
          </r>
          <r>
            <rPr>
              <b val="1"/>
              <color rgb="009eb7ff"/>
            </rPr>
            <t>+50</t>
          </r>
          <r>
            <rPr/>
            <t>。当装备者生命值低于50%时，受到的所有类型伤害</t>
          </r>
          <r>
            <rPr>
              <b val="1"/>
              <color rgb="009eb7ff"/>
            </rPr>
            <t>-30%</t>
          </r>
          <r>
            <rPr/>
            <t>。</t>
          </r>
        </is>
      </c>
      <c r="Q44" t="inlineStr">
        <is>
          <t>本装备由终末地工业参考荒野手工艺品设计，使用集成工业系统制造，能够提高使用者的作战能力。信使们爱穿的夹克。 在塔卫二，越野摩托是一种足够物美价廉的交通工具——信使们会为它附上不同的改装模块。</t>
        </is>
      </c>
    </row>
    <row r="45">
      <c r="A45" t="inlineStr">
        <is>
          <t>item_equip_t3_suit_str01_hand_01</t>
        </is>
      </c>
      <c r="B45" t="inlineStr">
        <is>
          <t>重装信使手套·壹型</t>
        </is>
      </c>
      <c r="C45" t="inlineStr">
        <is>
          <t>四号谷地</t>
        </is>
      </c>
      <c r="D45" t="n">
        <v>50</v>
      </c>
      <c r="E45" t="inlineStr">
        <is>
          <t>护手</t>
        </is>
      </c>
      <c r="F45" t="n">
        <v>4</v>
      </c>
      <c r="G45" t="inlineStr">
        <is>
          <t>防御力 +30</t>
        </is>
      </c>
      <c r="H45" t="n">
        <v>0</v>
      </c>
      <c r="I45" t="inlineStr"/>
      <c r="J45" t="n">
        <v>0</v>
      </c>
      <c r="K45" t="inlineStr"/>
      <c r="L45" t="n">
        <v>0</v>
      </c>
      <c r="M45" t="inlineStr"/>
      <c r="N45" t="inlineStr">
        <is>
          <t>suit_str01</t>
        </is>
      </c>
      <c r="O45" t="inlineStr">
        <is>
          <t>重装信使</t>
        </is>
      </c>
      <c r="P45" t="inlineStr">
        <is>
          <r>
            <rPr/>
            <t>3件套组效果：装备者力量</t>
          </r>
          <r>
            <rPr>
              <b val="1"/>
              <color rgb="009eb7ff"/>
            </rPr>
            <t>+50</t>
          </r>
          <r>
            <rPr/>
            <t>。当装备者生命值低于50%时，受到的所有类型伤害</t>
          </r>
          <r>
            <rPr>
              <b val="1"/>
              <color rgb="009eb7ff"/>
            </rPr>
            <t>-30%</t>
          </r>
          <r>
            <rPr/>
            <t>。</t>
          </r>
        </is>
      </c>
      <c r="Q45" t="inlineStr">
        <is>
          <t>本装备由终末地工业参考荒野手工艺品设计，使用集成工业系统制造，能够提高使用者的作战能力。信使们爱用的护手。 大部分信使会为自己的交通工具增加一个便捷脱离装置，以便能在突发的侵蚀灾害中保全性命。</t>
        </is>
      </c>
    </row>
    <row r="46">
      <c r="A46" t="inlineStr">
        <is>
          <t>item_equip_t3_suit_str01_hand_02</t>
        </is>
      </c>
      <c r="B46" t="inlineStr">
        <is>
          <t>重装信使手套·贰型</t>
        </is>
      </c>
      <c r="C46" t="inlineStr">
        <is>
          <t>四号谷地</t>
        </is>
      </c>
      <c r="D46" t="n">
        <v>50</v>
      </c>
      <c r="E46" t="inlineStr">
        <is>
          <t>护手</t>
        </is>
      </c>
      <c r="F46" t="n">
        <v>4</v>
      </c>
      <c r="G46" t="inlineStr">
        <is>
          <t>防御力 +30</t>
        </is>
      </c>
      <c r="H46" t="n">
        <v>0</v>
      </c>
      <c r="I46" t="inlineStr"/>
      <c r="J46" t="n">
        <v>0</v>
      </c>
      <c r="K46" t="inlineStr"/>
      <c r="L46" t="n">
        <v>0</v>
      </c>
      <c r="M46" t="inlineStr"/>
      <c r="N46" t="inlineStr">
        <is>
          <t>suit_str01</t>
        </is>
      </c>
      <c r="O46" t="inlineStr">
        <is>
          <t>重装信使</t>
        </is>
      </c>
      <c r="P46" t="inlineStr">
        <is>
          <r>
            <rPr/>
            <t>3件套组效果：装备者力量</t>
          </r>
          <r>
            <rPr>
              <b val="1"/>
              <color rgb="009eb7ff"/>
            </rPr>
            <t>+50</t>
          </r>
          <r>
            <rPr/>
            <t>。当装备者生命值低于50%时，受到的所有类型伤害</t>
          </r>
          <r>
            <rPr>
              <b val="1"/>
              <color rgb="009eb7ff"/>
            </rPr>
            <t>-30%</t>
          </r>
          <r>
            <rPr/>
            <t>。</t>
          </r>
        </is>
      </c>
      <c r="Q46" t="inlineStr">
        <is>
          <t>本装备由终末地工业参考荒野手工艺品设计，使用集成工业系统制造，能够提高使用者的作战能力。信使们爱用的护手。 大部分信使会为自己的交通工具增加一个便捷脱离装置，以便能在突发的侵蚀灾害中保全性命。</t>
        </is>
      </c>
    </row>
    <row r="47">
      <c r="A47" t="inlineStr">
        <is>
          <t>item_equip_t3_suit_str01_edc_02</t>
        </is>
      </c>
      <c r="B47" t="inlineStr">
        <is>
          <t>重装信使手电·壹型</t>
        </is>
      </c>
      <c r="C47" t="inlineStr">
        <is>
          <t>四号谷地</t>
        </is>
      </c>
      <c r="D47" t="n">
        <v>50</v>
      </c>
      <c r="E47" t="inlineStr">
        <is>
          <t>配件</t>
        </is>
      </c>
      <c r="F47" t="n">
        <v>4</v>
      </c>
      <c r="G47" t="inlineStr">
        <is>
          <t>防御力 +15</t>
        </is>
      </c>
      <c r="H47" t="n">
        <v>0</v>
      </c>
      <c r="I47" t="inlineStr"/>
      <c r="J47" t="n">
        <v>0</v>
      </c>
      <c r="K47" t="inlineStr"/>
      <c r="L47" t="n">
        <v>0</v>
      </c>
      <c r="M47" t="inlineStr"/>
      <c r="N47" t="inlineStr">
        <is>
          <t>suit_str01</t>
        </is>
      </c>
      <c r="O47" t="inlineStr">
        <is>
          <t>重装信使</t>
        </is>
      </c>
      <c r="P47" t="inlineStr">
        <is>
          <r>
            <rPr/>
            <t>3件套组效果：装备者力量</t>
          </r>
          <r>
            <rPr>
              <b val="1"/>
              <color rgb="009eb7ff"/>
            </rPr>
            <t>+50</t>
          </r>
          <r>
            <rPr/>
            <t>。当装备者生命值低于50%时，受到的所有类型伤害</t>
          </r>
          <r>
            <rPr>
              <b val="1"/>
              <color rgb="009eb7ff"/>
            </rPr>
            <t>-30%</t>
          </r>
          <r>
            <rPr/>
            <t>。</t>
          </r>
        </is>
      </c>
      <c r="Q47" t="inlineStr">
        <is>
          <t>本装备由终末地工业参考荒野手工艺品设计，使用集成工业系统制造，能够提高使用者的作战能力。坚固的照明手电。 它尾部的尖锥通常会被用来凿开一些不愿沟通的骨骼。</t>
        </is>
      </c>
    </row>
    <row r="48">
      <c r="A48" t="inlineStr">
        <is>
          <t>item_equip_t3_suit_str01_edc_01</t>
        </is>
      </c>
      <c r="B48" t="inlineStr">
        <is>
          <t>重装信使陀螺·壹型</t>
        </is>
      </c>
      <c r="C48" t="inlineStr">
        <is>
          <t>四号谷地</t>
        </is>
      </c>
      <c r="D48" t="n">
        <v>50</v>
      </c>
      <c r="E48" t="inlineStr">
        <is>
          <t>配件</t>
        </is>
      </c>
      <c r="F48" t="n">
        <v>4</v>
      </c>
      <c r="G48" t="inlineStr">
        <is>
          <t>防御力 +15</t>
        </is>
      </c>
      <c r="H48" t="n">
        <v>0</v>
      </c>
      <c r="I48" t="inlineStr"/>
      <c r="J48" t="n">
        <v>0</v>
      </c>
      <c r="K48" t="inlineStr"/>
      <c r="L48" t="n">
        <v>0</v>
      </c>
      <c r="M48" t="inlineStr"/>
      <c r="N48" t="inlineStr">
        <is>
          <t>suit_str01</t>
        </is>
      </c>
      <c r="O48" t="inlineStr">
        <is>
          <t>重装信使</t>
        </is>
      </c>
      <c r="P48" t="inlineStr">
        <is>
          <r>
            <rPr/>
            <t>3件套组效果：装备者力量</t>
          </r>
          <r>
            <rPr>
              <b val="1"/>
              <color rgb="009eb7ff"/>
            </rPr>
            <t>+50</t>
          </r>
          <r>
            <rPr/>
            <t>。当装备者生命值低于50%时，受到的所有类型伤害</t>
          </r>
          <r>
            <rPr>
              <b val="1"/>
              <color rgb="009eb7ff"/>
            </rPr>
            <t>-30%</t>
          </r>
          <r>
            <rPr/>
            <t>。</t>
          </r>
        </is>
      </c>
      <c r="Q48" t="inlineStr">
        <is>
          <t>本装备由终末地工业参考荒野手工艺品设计，使用集成工业系统制造，能够提高使用者的作战能力。小巧的解压玩具。 根据权威统计，约有百分之八十的信使会把这样的小玩具改装成微型爆破飞镖。</t>
        </is>
      </c>
    </row>
    <row r="49">
      <c r="A49" t="inlineStr">
        <is>
          <t>item_equip_t3_suit_agi01_body_01</t>
        </is>
      </c>
      <c r="B49" t="inlineStr">
        <is>
          <t>巡行信使夹克·壹型</t>
        </is>
      </c>
      <c r="C49" t="inlineStr">
        <is>
          <t>四号谷地</t>
        </is>
      </c>
      <c r="D49" t="n">
        <v>50</v>
      </c>
      <c r="E49" t="inlineStr">
        <is>
          <t>护甲</t>
        </is>
      </c>
      <c r="F49" t="n">
        <v>4</v>
      </c>
      <c r="G49" t="inlineStr">
        <is>
          <t>防御力 +40</t>
        </is>
      </c>
      <c r="H49" t="n">
        <v>0</v>
      </c>
      <c r="I49" t="inlineStr"/>
      <c r="J49" t="n">
        <v>0</v>
      </c>
      <c r="K49" t="inlineStr"/>
      <c r="L49" t="n">
        <v>0</v>
      </c>
      <c r="M49" t="inlineStr"/>
      <c r="N49" t="inlineStr">
        <is>
          <t>suit_agi01</t>
        </is>
      </c>
      <c r="O49" t="inlineStr">
        <is>
          <t>巡行信使</t>
        </is>
      </c>
      <c r="P49" t="inlineStr">
        <is>
          <r>
            <rPr/>
            <t>3件套组效果：装备者敏捷</t>
          </r>
          <r>
            <rPr>
              <b val="1"/>
              <color rgb="009eb7ff"/>
            </rPr>
            <t>+50</t>
          </r>
          <r>
            <rPr/>
            <t>。当装备者生命值高于80%时，造成的</t>
          </r>
          <r>
            <rPr>
              <b val="1"/>
              <color rgb="00e3c19a"/>
            </rPr>
            <t>物理伤害</t>
          </r>
          <r>
            <rPr>
              <b val="1"/>
              <color rgb="009eb7ff"/>
            </rPr>
            <t>+20%</t>
          </r>
          <r>
            <rPr/>
            <t>。</t>
          </r>
        </is>
      </c>
      <c r="Q49" t="inlineStr">
        <is>
          <t>本装备由终末地工业参考荒野手工艺品设计，使用集成工业系统制造，能够提高使用者的作战能力。信使们爱穿的夹克。 四号谷地周边的信使会为自己的交通工具喷涂大树枝干般的纹样。曾保护这片土地的事物至今仍能给予人们力量。</t>
        </is>
      </c>
    </row>
    <row r="50">
      <c r="A50" t="inlineStr">
        <is>
          <t>item_equip_t3_suit_agi01_hand_01</t>
        </is>
      </c>
      <c r="B50" t="inlineStr">
        <is>
          <t>巡行信使手套·壹型</t>
        </is>
      </c>
      <c r="C50" t="inlineStr">
        <is>
          <t>四号谷地</t>
        </is>
      </c>
      <c r="D50" t="n">
        <v>50</v>
      </c>
      <c r="E50" t="inlineStr">
        <is>
          <t>护手</t>
        </is>
      </c>
      <c r="F50" t="n">
        <v>4</v>
      </c>
      <c r="G50" t="inlineStr">
        <is>
          <t>防御力 +30</t>
        </is>
      </c>
      <c r="H50" t="n">
        <v>0</v>
      </c>
      <c r="I50" t="inlineStr"/>
      <c r="J50" t="n">
        <v>0</v>
      </c>
      <c r="K50" t="inlineStr"/>
      <c r="L50" t="n">
        <v>0</v>
      </c>
      <c r="M50" t="inlineStr"/>
      <c r="N50" t="inlineStr">
        <is>
          <t>suit_agi01</t>
        </is>
      </c>
      <c r="O50" t="inlineStr">
        <is>
          <t>巡行信使</t>
        </is>
      </c>
      <c r="P50" t="inlineStr">
        <is>
          <r>
            <rPr/>
            <t>3件套组效果：装备者敏捷</t>
          </r>
          <r>
            <rPr>
              <b val="1"/>
              <color rgb="009eb7ff"/>
            </rPr>
            <t>+50</t>
          </r>
          <r>
            <rPr/>
            <t>。当装备者生命值高于80%时，造成的</t>
          </r>
          <r>
            <rPr>
              <b val="1"/>
              <color rgb="00e3c19a"/>
            </rPr>
            <t>物理伤害</t>
          </r>
          <r>
            <rPr>
              <b val="1"/>
              <color rgb="009eb7ff"/>
            </rPr>
            <t>+20%</t>
          </r>
          <r>
            <rPr/>
            <t>。</t>
          </r>
        </is>
      </c>
      <c r="Q50" t="inlineStr">
        <is>
          <t>本装备由终末地工业参考荒野手工艺品设计，使用集成工业系统制造，能够提高使用者的作战能力。信使们爱用的护手。 走上擂台切磋几手也是信使们的消遣方式之一。</t>
        </is>
      </c>
    </row>
    <row r="51">
      <c r="A51" t="inlineStr">
        <is>
          <t>item_equip_t3_suit_agi01_edc_01</t>
        </is>
      </c>
      <c r="B51" t="inlineStr">
        <is>
          <t>巡行信使手电·壹型</t>
        </is>
      </c>
      <c r="C51" t="inlineStr">
        <is>
          <t>四号谷地</t>
        </is>
      </c>
      <c r="D51" t="n">
        <v>50</v>
      </c>
      <c r="E51" t="inlineStr">
        <is>
          <t>配件</t>
        </is>
      </c>
      <c r="F51" t="n">
        <v>4</v>
      </c>
      <c r="G51" t="inlineStr">
        <is>
          <t>防御力 +15</t>
        </is>
      </c>
      <c r="H51" t="n">
        <v>0</v>
      </c>
      <c r="I51" t="inlineStr"/>
      <c r="J51" t="n">
        <v>0</v>
      </c>
      <c r="K51" t="inlineStr"/>
      <c r="L51" t="n">
        <v>0</v>
      </c>
      <c r="M51" t="inlineStr"/>
      <c r="N51" t="inlineStr">
        <is>
          <t>suit_agi01</t>
        </is>
      </c>
      <c r="O51" t="inlineStr">
        <is>
          <t>巡行信使</t>
        </is>
      </c>
      <c r="P51" t="inlineStr">
        <is>
          <r>
            <rPr/>
            <t>3件套组效果：装备者敏捷</t>
          </r>
          <r>
            <rPr>
              <b val="1"/>
              <color rgb="009eb7ff"/>
            </rPr>
            <t>+50</t>
          </r>
          <r>
            <rPr/>
            <t>。当装备者生命值高于80%时，造成的</t>
          </r>
          <r>
            <rPr>
              <b val="1"/>
              <color rgb="00e3c19a"/>
            </rPr>
            <t>物理伤害</t>
          </r>
          <r>
            <rPr>
              <b val="1"/>
              <color rgb="009eb7ff"/>
            </rPr>
            <t>+20%</t>
          </r>
          <r>
            <rPr/>
            <t>。</t>
          </r>
        </is>
      </c>
      <c r="Q51" t="inlineStr">
        <is>
          <t>本装备由终末地工业参考荒野手工艺品设计，使用集成工业系统制造，能够提高使用者的作战能力。坚固的照明手电。 它尾部的尖锥偶尔会被用来破开一些尘封的古物。</t>
        </is>
      </c>
    </row>
    <row r="52">
      <c r="A52" t="inlineStr">
        <is>
          <t>item_equip_t3_suit_agi01_edc_02</t>
        </is>
      </c>
      <c r="B52" t="inlineStr">
        <is>
          <t>巡行信使手电·贰型</t>
        </is>
      </c>
      <c r="C52" t="inlineStr">
        <is>
          <t>四号谷地</t>
        </is>
      </c>
      <c r="D52" t="n">
        <v>50</v>
      </c>
      <c r="E52" t="inlineStr">
        <is>
          <t>配件</t>
        </is>
      </c>
      <c r="F52" t="n">
        <v>4</v>
      </c>
      <c r="G52" t="inlineStr">
        <is>
          <t>防御力 +15</t>
        </is>
      </c>
      <c r="H52" t="n">
        <v>0</v>
      </c>
      <c r="I52" t="inlineStr"/>
      <c r="J52" t="n">
        <v>0</v>
      </c>
      <c r="K52" t="inlineStr"/>
      <c r="L52" t="n">
        <v>0</v>
      </c>
      <c r="M52" t="inlineStr"/>
      <c r="N52" t="inlineStr">
        <is>
          <t>suit_agi01</t>
        </is>
      </c>
      <c r="O52" t="inlineStr">
        <is>
          <t>巡行信使</t>
        </is>
      </c>
      <c r="P52" t="inlineStr">
        <is>
          <r>
            <rPr/>
            <t>3件套组效果：装备者敏捷</t>
          </r>
          <r>
            <rPr>
              <b val="1"/>
              <color rgb="009eb7ff"/>
            </rPr>
            <t>+50</t>
          </r>
          <r>
            <rPr/>
            <t>。当装备者生命值高于80%时，造成的</t>
          </r>
          <r>
            <rPr>
              <b val="1"/>
              <color rgb="00e3c19a"/>
            </rPr>
            <t>物理伤害</t>
          </r>
          <r>
            <rPr>
              <b val="1"/>
              <color rgb="009eb7ff"/>
            </rPr>
            <t>+20%</t>
          </r>
          <r>
            <rPr/>
            <t>。</t>
          </r>
        </is>
      </c>
      <c r="Q52" t="inlineStr">
        <is>
          <t>本装备由终末地工业参考荒野手工艺品设计，使用集成工业系统制造，能够提高使用者的作战能力。坚固的照明手电。 它尾部的尖锥偶尔会被用来破开一些尘封的古物。</t>
        </is>
      </c>
    </row>
    <row r="53">
      <c r="A53" t="inlineStr">
        <is>
          <t>item_equip_t3_suit_agi01_edc_03</t>
        </is>
      </c>
      <c r="B53" t="inlineStr">
        <is>
          <t>巡行信使陀螺·壹型</t>
        </is>
      </c>
      <c r="C53" t="inlineStr">
        <is>
          <t>四号谷地</t>
        </is>
      </c>
      <c r="D53" t="n">
        <v>50</v>
      </c>
      <c r="E53" t="inlineStr">
        <is>
          <t>配件</t>
        </is>
      </c>
      <c r="F53" t="n">
        <v>4</v>
      </c>
      <c r="G53" t="inlineStr">
        <is>
          <t>防御力 +15</t>
        </is>
      </c>
      <c r="H53" t="n">
        <v>0</v>
      </c>
      <c r="I53" t="inlineStr"/>
      <c r="J53" t="n">
        <v>0</v>
      </c>
      <c r="K53" t="inlineStr"/>
      <c r="L53" t="n">
        <v>0</v>
      </c>
      <c r="M53" t="inlineStr"/>
      <c r="N53" t="inlineStr">
        <is>
          <t>suit_agi01</t>
        </is>
      </c>
      <c r="O53" t="inlineStr">
        <is>
          <t>巡行信使</t>
        </is>
      </c>
      <c r="P53" t="inlineStr">
        <is>
          <r>
            <rPr/>
            <t>3件套组效果：装备者敏捷</t>
          </r>
          <r>
            <rPr>
              <b val="1"/>
              <color rgb="009eb7ff"/>
            </rPr>
            <t>+50</t>
          </r>
          <r>
            <rPr/>
            <t>。当装备者生命值高于80%时，造成的</t>
          </r>
          <r>
            <rPr>
              <b val="1"/>
              <color rgb="00e3c19a"/>
            </rPr>
            <t>物理伤害</t>
          </r>
          <r>
            <rPr>
              <b val="1"/>
              <color rgb="009eb7ff"/>
            </rPr>
            <t>+20%</t>
          </r>
          <r>
            <rPr/>
            <t>。</t>
          </r>
        </is>
      </c>
      <c r="Q53" t="inlineStr">
        <is>
          <t>本装备由终末地工业参考荒野手工艺品设计，使用集成工业系统制造，能够提高使用者的作战能力。小巧的解压玩具。 根据权威统计，约有百分之二十的信使会把这样的解压玩具改装为定向追踪器。</t>
        </is>
      </c>
    </row>
    <row r="54">
      <c r="A54" t="inlineStr">
        <is>
          <t>item_equip_t3_suit_wisd01_body_01</t>
        </is>
      </c>
      <c r="B54" t="inlineStr">
        <is>
          <t>蚀电屏蔽背心·壹型</t>
        </is>
      </c>
      <c r="C54" t="inlineStr">
        <is>
          <t>四号谷地</t>
        </is>
      </c>
      <c r="D54" t="n">
        <v>50</v>
      </c>
      <c r="E54" t="inlineStr">
        <is>
          <t>护甲</t>
        </is>
      </c>
      <c r="F54" t="n">
        <v>4</v>
      </c>
      <c r="G54" t="inlineStr">
        <is>
          <t>防御力 +40</t>
        </is>
      </c>
      <c r="H54" t="n">
        <v>0</v>
      </c>
      <c r="I54" t="inlineStr"/>
      <c r="J54" t="n">
        <v>0</v>
      </c>
      <c r="K54" t="inlineStr"/>
      <c r="L54" t="n">
        <v>0</v>
      </c>
      <c r="M54" t="inlineStr"/>
      <c r="N54" t="inlineStr">
        <is>
          <t>suit_wisd01</t>
        </is>
      </c>
      <c r="O54" t="inlineStr">
        <is>
          <t>蚀电屏蔽</t>
        </is>
      </c>
      <c r="P54" t="inlineStr">
        <is>
          <r>
            <rPr/>
            <t>3件套组效果：装备者智识</t>
          </r>
          <r>
            <rPr>
              <b val="1"/>
              <color rgb="009eb7ff"/>
            </rPr>
            <t>+50</t>
          </r>
          <r>
            <rPr/>
            <t>。当装备者生命值高于80%时，造成的</t>
          </r>
          <r>
            <rPr>
              <b val="1"/>
              <color rgb="0033c2ff"/>
            </rPr>
            <t>法术伤害</t>
          </r>
          <r>
            <rPr>
              <b val="1"/>
              <color rgb="009eb7ff"/>
            </rPr>
            <t>+20%</t>
          </r>
          <r>
            <rPr/>
            <t>。</t>
          </r>
        </is>
      </c>
      <c r="Q54" t="inlineStr">
        <is>
          <t>本装备由终末地工业自研，使用集成工业系统制造，能够提高使用者的作战能力。特殊环境作业时必备的防护装备。 严重的侵蚀灾害往往会带来有悖常理的电路故障，抢修者亦需小心。</t>
        </is>
      </c>
    </row>
    <row r="55">
      <c r="A55" t="inlineStr">
        <is>
          <t>item_equip_t3_suit_wisd01_body_02</t>
        </is>
      </c>
      <c r="B55" t="inlineStr">
        <is>
          <t>蚀电屏蔽背心·贰型</t>
        </is>
      </c>
      <c r="C55" t="inlineStr">
        <is>
          <t>四号谷地</t>
        </is>
      </c>
      <c r="D55" t="n">
        <v>50</v>
      </c>
      <c r="E55" t="inlineStr">
        <is>
          <t>护甲</t>
        </is>
      </c>
      <c r="F55" t="n">
        <v>4</v>
      </c>
      <c r="G55" t="inlineStr">
        <is>
          <t>防御力 +40</t>
        </is>
      </c>
      <c r="H55" t="n">
        <v>0</v>
      </c>
      <c r="I55" t="inlineStr"/>
      <c r="J55" t="n">
        <v>0</v>
      </c>
      <c r="K55" t="inlineStr"/>
      <c r="L55" t="n">
        <v>0</v>
      </c>
      <c r="M55" t="inlineStr"/>
      <c r="N55" t="inlineStr">
        <is>
          <t>suit_wisd01</t>
        </is>
      </c>
      <c r="O55" t="inlineStr">
        <is>
          <t>蚀电屏蔽</t>
        </is>
      </c>
      <c r="P55" t="inlineStr">
        <is>
          <r>
            <rPr/>
            <t>3件套组效果：装备者智识</t>
          </r>
          <r>
            <rPr>
              <b val="1"/>
              <color rgb="009eb7ff"/>
            </rPr>
            <t>+50</t>
          </r>
          <r>
            <rPr/>
            <t>。当装备者生命值高于80%时，造成的</t>
          </r>
          <r>
            <rPr>
              <b val="1"/>
              <color rgb="0033c2ff"/>
            </rPr>
            <t>法术伤害</t>
          </r>
          <r>
            <rPr>
              <b val="1"/>
              <color rgb="009eb7ff"/>
            </rPr>
            <t>+20%</t>
          </r>
          <r>
            <rPr/>
            <t>。</t>
          </r>
        </is>
      </c>
      <c r="Q55" t="inlineStr">
        <is>
          <t>本装备由终末地工业自研，使用集成工业系统制造，能够提高使用者的作战能力。特殊环境作业时必备的防护装备。 严重的侵蚀灾害往往会带来有悖常理的电路故障，抢修者亦需小心。</t>
        </is>
      </c>
    </row>
    <row r="56">
      <c r="A56" t="inlineStr">
        <is>
          <t>item_equip_t3_suit_wisd01_hand_01</t>
        </is>
      </c>
      <c r="B56" t="inlineStr">
        <is>
          <t>蚀电屏蔽手套·壹型</t>
        </is>
      </c>
      <c r="C56" t="inlineStr">
        <is>
          <t>四号谷地</t>
        </is>
      </c>
      <c r="D56" t="n">
        <v>50</v>
      </c>
      <c r="E56" t="inlineStr">
        <is>
          <t>护手</t>
        </is>
      </c>
      <c r="F56" t="n">
        <v>4</v>
      </c>
      <c r="G56" t="inlineStr">
        <is>
          <t>防御力 +30</t>
        </is>
      </c>
      <c r="H56" t="n">
        <v>0</v>
      </c>
      <c r="I56" t="inlineStr"/>
      <c r="J56" t="n">
        <v>0</v>
      </c>
      <c r="K56" t="inlineStr"/>
      <c r="L56" t="n">
        <v>0</v>
      </c>
      <c r="M56" t="inlineStr"/>
      <c r="N56" t="inlineStr">
        <is>
          <t>suit_wisd01</t>
        </is>
      </c>
      <c r="O56" t="inlineStr">
        <is>
          <t>蚀电屏蔽</t>
        </is>
      </c>
      <c r="P56" t="inlineStr">
        <is>
          <r>
            <rPr/>
            <t>3件套组效果：装备者智识</t>
          </r>
          <r>
            <rPr>
              <b val="1"/>
              <color rgb="009eb7ff"/>
            </rPr>
            <t>+50</t>
          </r>
          <r>
            <rPr/>
            <t>。当装备者生命值高于80%时，造成的</t>
          </r>
          <r>
            <rPr>
              <b val="1"/>
              <color rgb="0033c2ff"/>
            </rPr>
            <t>法术伤害</t>
          </r>
          <r>
            <rPr>
              <b val="1"/>
              <color rgb="009eb7ff"/>
            </rPr>
            <t>+20%</t>
          </r>
          <r>
            <rPr/>
            <t>。</t>
          </r>
        </is>
      </c>
      <c r="Q56" t="inlineStr">
        <is>
          <t>本装备由终末地工业自研，使用集成工业系统制造，能够提高使用者的作战能力。特殊环境作业时必备的防护装备。 为了避免被异常爆发的电流击伤，在侵蚀灾害现场抢修电路的工程师们必须穿上特制防护服。</t>
        </is>
      </c>
    </row>
    <row r="57">
      <c r="A57" t="inlineStr">
        <is>
          <t>item_equip_t3_suit_wisd01_edc_01</t>
        </is>
      </c>
      <c r="B57" t="inlineStr">
        <is>
          <t>蚀电屏蔽扳手·贰型</t>
        </is>
      </c>
      <c r="C57" t="inlineStr">
        <is>
          <t>四号谷地</t>
        </is>
      </c>
      <c r="D57" t="n">
        <v>50</v>
      </c>
      <c r="E57" t="inlineStr">
        <is>
          <t>配件</t>
        </is>
      </c>
      <c r="F57" t="n">
        <v>4</v>
      </c>
      <c r="G57" t="inlineStr">
        <is>
          <t>防御力 +15</t>
        </is>
      </c>
      <c r="H57" t="n">
        <v>0</v>
      </c>
      <c r="I57" t="inlineStr"/>
      <c r="J57" t="n">
        <v>0</v>
      </c>
      <c r="K57" t="inlineStr"/>
      <c r="L57" t="n">
        <v>0</v>
      </c>
      <c r="M57" t="inlineStr"/>
      <c r="N57" t="inlineStr">
        <is>
          <t>suit_wisd01</t>
        </is>
      </c>
      <c r="O57" t="inlineStr">
        <is>
          <t>蚀电屏蔽</t>
        </is>
      </c>
      <c r="P57" t="inlineStr">
        <is>
          <r>
            <rPr/>
            <t>3件套组效果：装备者智识</t>
          </r>
          <r>
            <rPr>
              <b val="1"/>
              <color rgb="009eb7ff"/>
            </rPr>
            <t>+50</t>
          </r>
          <r>
            <rPr/>
            <t>。当装备者生命值高于80%时，造成的</t>
          </r>
          <r>
            <rPr>
              <b val="1"/>
              <color rgb="0033c2ff"/>
            </rPr>
            <t>法术伤害</t>
          </r>
          <r>
            <rPr>
              <b val="1"/>
              <color rgb="009eb7ff"/>
            </rPr>
            <t>+20%</t>
          </r>
          <r>
            <rPr/>
            <t>。</t>
          </r>
        </is>
      </c>
      <c r="Q57" t="inlineStr">
        <is>
          <t>本装备由终末地工业自研，使用集成工业系统制造，能够提高使用者的作战能力。施加了特殊防护镀层的扳手。 必要时可以当作武器使用，用来敲碎某些天使的肢体也不在话下。</t>
        </is>
      </c>
    </row>
    <row r="58">
      <c r="A58" t="inlineStr">
        <is>
          <t>item_equip_t3_suit_wisd01_edc_02</t>
        </is>
      </c>
      <c r="B58" t="inlineStr">
        <is>
          <t>蚀电屏蔽电池·壹型</t>
        </is>
      </c>
      <c r="C58" t="inlineStr">
        <is>
          <t>四号谷地</t>
        </is>
      </c>
      <c r="D58" t="n">
        <v>50</v>
      </c>
      <c r="E58" t="inlineStr">
        <is>
          <t>配件</t>
        </is>
      </c>
      <c r="F58" t="n">
        <v>4</v>
      </c>
      <c r="G58" t="inlineStr">
        <is>
          <t>防御力 +15</t>
        </is>
      </c>
      <c r="H58" t="n">
        <v>0</v>
      </c>
      <c r="I58" t="inlineStr"/>
      <c r="J58" t="n">
        <v>0</v>
      </c>
      <c r="K58" t="inlineStr"/>
      <c r="L58" t="n">
        <v>0</v>
      </c>
      <c r="M58" t="inlineStr"/>
      <c r="N58" t="inlineStr">
        <is>
          <t>suit_wisd01</t>
        </is>
      </c>
      <c r="O58" t="inlineStr">
        <is>
          <t>蚀电屏蔽</t>
        </is>
      </c>
      <c r="P58" t="inlineStr">
        <is>
          <r>
            <rPr/>
            <t>3件套组效果：装备者智识</t>
          </r>
          <r>
            <rPr>
              <b val="1"/>
              <color rgb="009eb7ff"/>
            </rPr>
            <t>+50</t>
          </r>
          <r>
            <rPr/>
            <t>。当装备者生命值高于80%时，造成的</t>
          </r>
          <r>
            <rPr>
              <b val="1"/>
              <color rgb="0033c2ff"/>
            </rPr>
            <t>法术伤害</t>
          </r>
          <r>
            <rPr>
              <b val="1"/>
              <color rgb="009eb7ff"/>
            </rPr>
            <t>+20%</t>
          </r>
          <r>
            <rPr/>
            <t>。</t>
          </r>
        </is>
      </c>
      <c r="Q58" t="inlineStr">
        <is>
          <t>本装备由终末地工业自研，使用集成工业系统制造，能够提高使用者的作战能力。耐用程度极高的电池。 在塔卫二，侵蚀环境下的工程抢险作业极度危险。因此，即便是“如何使用电池”，也需按特殊标准严格培训。</t>
        </is>
      </c>
    </row>
    <row r="59">
      <c r="A59" t="inlineStr">
        <is>
          <t>item_equip_t3_suit_will01_body_01</t>
        </is>
      </c>
      <c r="B59" t="inlineStr">
        <is>
          <t>蚀电防护背心·壹型</t>
        </is>
      </c>
      <c r="C59" t="inlineStr">
        <is>
          <t>四号谷地</t>
        </is>
      </c>
      <c r="D59" t="n">
        <v>50</v>
      </c>
      <c r="E59" t="inlineStr">
        <is>
          <t>护甲</t>
        </is>
      </c>
      <c r="F59" t="n">
        <v>4</v>
      </c>
      <c r="G59" t="inlineStr">
        <is>
          <t>防御力 +40</t>
        </is>
      </c>
      <c r="H59" t="n">
        <v>0</v>
      </c>
      <c r="I59" t="inlineStr"/>
      <c r="J59" t="n">
        <v>0</v>
      </c>
      <c r="K59" t="inlineStr"/>
      <c r="L59" t="n">
        <v>0</v>
      </c>
      <c r="M59" t="inlineStr"/>
      <c r="N59" t="inlineStr">
        <is>
          <t>suit_will01</t>
        </is>
      </c>
      <c r="O59" t="inlineStr">
        <is>
          <t>蚀电防护</t>
        </is>
      </c>
      <c r="P59" t="inlineStr">
        <is>
          <r>
            <rPr/>
            <t>3件套组效果：装备者意志</t>
          </r>
          <r>
            <rPr>
              <b val="1"/>
              <color rgb="009eb7ff"/>
            </rPr>
            <t>+50</t>
          </r>
          <r>
            <rPr/>
            <t>。当装备者生命值低于50%时，造成的治疗效果</t>
          </r>
          <r>
            <rPr>
              <b val="1"/>
              <color rgb="009eb7ff"/>
            </rPr>
            <t>+30%</t>
          </r>
          <r>
            <rPr/>
            <t>。</t>
          </r>
        </is>
      </c>
      <c r="Q59" t="inlineStr">
        <is>
          <t>本装备由终末地工业自研，使用集成工业系统制造，能够提高使用者的作战能力。牢固的防护背心。 “在抢修现场必须穿好防护装备，不然你就会看到受损设备向你大声呼救……别给医生添麻烦，好吗？”</t>
        </is>
      </c>
    </row>
    <row r="60">
      <c r="A60" t="inlineStr">
        <is>
          <t>item_equip_t3_suit_will01_hand_01</t>
        </is>
      </c>
      <c r="B60" t="inlineStr">
        <is>
          <t>蚀电防护手套·壹型</t>
        </is>
      </c>
      <c r="C60" t="inlineStr">
        <is>
          <t>四号谷地</t>
        </is>
      </c>
      <c r="D60" t="n">
        <v>50</v>
      </c>
      <c r="E60" t="inlineStr">
        <is>
          <t>护手</t>
        </is>
      </c>
      <c r="F60" t="n">
        <v>4</v>
      </c>
      <c r="G60" t="inlineStr">
        <is>
          <t>防御力 +30</t>
        </is>
      </c>
      <c r="H60" t="n">
        <v>0</v>
      </c>
      <c r="I60" t="inlineStr"/>
      <c r="J60" t="n">
        <v>0</v>
      </c>
      <c r="K60" t="inlineStr"/>
      <c r="L60" t="n">
        <v>0</v>
      </c>
      <c r="M60" t="inlineStr"/>
      <c r="N60" t="inlineStr">
        <is>
          <t>suit_will01</t>
        </is>
      </c>
      <c r="O60" t="inlineStr">
        <is>
          <t>蚀电防护</t>
        </is>
      </c>
      <c r="P60" t="inlineStr">
        <is>
          <r>
            <rPr/>
            <t>3件套组效果：装备者意志</t>
          </r>
          <r>
            <rPr>
              <b val="1"/>
              <color rgb="009eb7ff"/>
            </rPr>
            <t>+50</t>
          </r>
          <r>
            <rPr/>
            <t>。当装备者生命值低于50%时，造成的治疗效果</t>
          </r>
          <r>
            <rPr>
              <b val="1"/>
              <color rgb="009eb7ff"/>
            </rPr>
            <t>+30%</t>
          </r>
          <r>
            <rPr/>
            <t>。</t>
          </r>
        </is>
      </c>
      <c r="Q60" t="inlineStr">
        <is>
          <t>本装备由终末地工业自研，使用集成工业系统制造，能够提高使用者的作战能力。格外牢固的手套。 目前人类还未研发出能够有效耐受侵蚀的防护服，现役防护装备绝大多数仅能应对侵蚀次生灾害。</t>
        </is>
      </c>
    </row>
    <row r="61">
      <c r="A61" t="inlineStr">
        <is>
          <t>item_equip_t3_suit_will01_edc_02</t>
        </is>
      </c>
      <c r="B61" t="inlineStr">
        <is>
          <t>蚀电防护扳手·壹型</t>
        </is>
      </c>
      <c r="C61" t="inlineStr">
        <is>
          <t>四号谷地</t>
        </is>
      </c>
      <c r="D61" t="n">
        <v>50</v>
      </c>
      <c r="E61" t="inlineStr">
        <is>
          <t>配件</t>
        </is>
      </c>
      <c r="F61" t="n">
        <v>4</v>
      </c>
      <c r="G61" t="inlineStr">
        <is>
          <t>防御力 +15</t>
        </is>
      </c>
      <c r="H61" t="n">
        <v>0</v>
      </c>
      <c r="I61" t="inlineStr"/>
      <c r="J61" t="n">
        <v>0</v>
      </c>
      <c r="K61" t="inlineStr"/>
      <c r="L61" t="n">
        <v>0</v>
      </c>
      <c r="M61" t="inlineStr"/>
      <c r="N61" t="inlineStr">
        <is>
          <t>suit_will01</t>
        </is>
      </c>
      <c r="O61" t="inlineStr">
        <is>
          <t>蚀电防护</t>
        </is>
      </c>
      <c r="P61" t="inlineStr">
        <is>
          <r>
            <rPr/>
            <t>3件套组效果：装备者意志</t>
          </r>
          <r>
            <rPr>
              <b val="1"/>
              <color rgb="009eb7ff"/>
            </rPr>
            <t>+50</t>
          </r>
          <r>
            <rPr/>
            <t>。当装备者生命值低于50%时，造成的治疗效果</t>
          </r>
          <r>
            <rPr>
              <b val="1"/>
              <color rgb="009eb7ff"/>
            </rPr>
            <t>+30%</t>
          </r>
          <r>
            <rPr/>
            <t>。</t>
          </r>
        </is>
      </c>
      <c r="Q61" t="inlineStr">
        <is>
          <t>本装备由终末地工业自研，使用集成工业系统制造，能够提高使用者的作战能力。线条流畅的扳手。 “用来当武器意外顺手！”——某位不愿透露姓名的工人。</t>
        </is>
      </c>
    </row>
    <row r="62">
      <c r="A62" t="inlineStr">
        <is>
          <t>item_equip_t3_suit_will01_edc_01</t>
        </is>
      </c>
      <c r="B62" t="inlineStr">
        <is>
          <t>蚀电防护电池·壹型</t>
        </is>
      </c>
      <c r="C62" t="inlineStr">
        <is>
          <t>四号谷地</t>
        </is>
      </c>
      <c r="D62" t="n">
        <v>50</v>
      </c>
      <c r="E62" t="inlineStr">
        <is>
          <t>配件</t>
        </is>
      </c>
      <c r="F62" t="n">
        <v>4</v>
      </c>
      <c r="G62" t="inlineStr">
        <is>
          <t>防御力 +15</t>
        </is>
      </c>
      <c r="H62" t="n">
        <v>0</v>
      </c>
      <c r="I62" t="inlineStr"/>
      <c r="J62" t="n">
        <v>0</v>
      </c>
      <c r="K62" t="inlineStr"/>
      <c r="L62" t="n">
        <v>0</v>
      </c>
      <c r="M62" t="inlineStr"/>
      <c r="N62" t="inlineStr">
        <is>
          <t>suit_will01</t>
        </is>
      </c>
      <c r="O62" t="inlineStr">
        <is>
          <t>蚀电防护</t>
        </is>
      </c>
      <c r="P62" t="inlineStr">
        <is>
          <r>
            <rPr/>
            <t>3件套组效果：装备者意志</t>
          </r>
          <r>
            <rPr>
              <b val="1"/>
              <color rgb="009eb7ff"/>
            </rPr>
            <t>+50</t>
          </r>
          <r>
            <rPr/>
            <t>。当装备者生命值低于50%时，造成的治疗效果</t>
          </r>
          <r>
            <rPr>
              <b val="1"/>
              <color rgb="009eb7ff"/>
            </rPr>
            <t>+30%</t>
          </r>
          <r>
            <rPr/>
            <t>。</t>
          </r>
        </is>
      </c>
      <c r="Q62" t="inlineStr">
        <is>
          <t>本装备由终末地工业自研，使用集成工业系统制造，能够提高使用者的作战能力。重量略大的电池。 经验丰富的工人可以在十分钟内将这种源石电池改装成榴弹。</t>
        </is>
      </c>
    </row>
    <row r="63">
      <c r="A63" t="inlineStr">
        <is>
          <t>item_equip_t4_suit_phy01_body_02</t>
        </is>
      </c>
      <c r="B63" t="inlineStr">
        <is>
          <t>点剑重装甲</t>
        </is>
      </c>
      <c r="C63" t="inlineStr">
        <is>
          <t>武陵</t>
        </is>
      </c>
      <c r="D63" t="n">
        <v>70</v>
      </c>
      <c r="E63" t="inlineStr">
        <is>
          <t>护甲</t>
        </is>
      </c>
      <c r="F63" t="n">
        <v>5</v>
      </c>
      <c r="G63" t="inlineStr">
        <is>
          <t>防御力 +56</t>
        </is>
      </c>
      <c r="H63" t="n">
        <v>0</v>
      </c>
      <c r="I63" t="inlineStr"/>
      <c r="J63" t="n">
        <v>0</v>
      </c>
      <c r="K63" t="inlineStr"/>
      <c r="L63" t="n">
        <v>0</v>
      </c>
      <c r="M63" t="inlineStr"/>
      <c r="N63" t="inlineStr">
        <is>
          <t>suit_phy01</t>
        </is>
      </c>
      <c r="O63" t="inlineStr">
        <is>
          <t>点剑</t>
        </is>
      </c>
      <c r="P63"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3" t="inlineStr">
        <is>
          <t>本装备由宏山选剑局设计，使用集成工业系统制造，能够提高使用者的作战能力。选剑局早期向市场推广的产品之一。 天师以“虚怀若谷”为设计理念，在点剑重装甲上真正实现了“化解能量攻击”这一功能。</t>
        </is>
      </c>
    </row>
    <row r="64">
      <c r="A64" t="inlineStr">
        <is>
          <t>item_equip_t4_suit_phy01_body_01</t>
        </is>
      </c>
      <c r="B64" t="inlineStr">
        <is>
          <t>点剑轻装甲</t>
        </is>
      </c>
      <c r="C64" t="inlineStr">
        <is>
          <t>武陵</t>
        </is>
      </c>
      <c r="D64" t="n">
        <v>70</v>
      </c>
      <c r="E64" t="inlineStr">
        <is>
          <t>护甲</t>
        </is>
      </c>
      <c r="F64" t="n">
        <v>5</v>
      </c>
      <c r="G64" t="inlineStr">
        <is>
          <t>防御力 +56</t>
        </is>
      </c>
      <c r="H64" t="n">
        <v>0</v>
      </c>
      <c r="I64" t="inlineStr"/>
      <c r="J64" t="n">
        <v>0</v>
      </c>
      <c r="K64" t="inlineStr"/>
      <c r="L64" t="n">
        <v>0</v>
      </c>
      <c r="M64" t="inlineStr"/>
      <c r="N64" t="inlineStr">
        <is>
          <t>suit_phy01</t>
        </is>
      </c>
      <c r="O64" t="inlineStr">
        <is>
          <t>点剑</t>
        </is>
      </c>
      <c r="P64"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4" t="inlineStr">
        <is>
          <t>本装备由宏山选剑局设计，使用集成工业系统制造，能够提高使用者的作战能力。选剑局早期向市场推广的产品之一。 其兵装图纸文件首页写着这样四个字：孤骑点剑。</t>
        </is>
      </c>
    </row>
    <row r="65">
      <c r="A65" t="inlineStr">
        <is>
          <t>item_equip_t4_suit_phy01_hand_01</t>
        </is>
      </c>
      <c r="B65" t="inlineStr">
        <is>
          <t>点剑战术手套</t>
        </is>
      </c>
      <c r="C65" t="inlineStr">
        <is>
          <t>武陵</t>
        </is>
      </c>
      <c r="D65" t="n">
        <v>70</v>
      </c>
      <c r="E65" t="inlineStr">
        <is>
          <t>护手</t>
        </is>
      </c>
      <c r="F65" t="n">
        <v>5</v>
      </c>
      <c r="G65" t="inlineStr">
        <is>
          <t>防御力 +42</t>
        </is>
      </c>
      <c r="H65" t="n">
        <v>0</v>
      </c>
      <c r="I65" t="inlineStr"/>
      <c r="J65" t="n">
        <v>0</v>
      </c>
      <c r="K65" t="inlineStr"/>
      <c r="L65" t="n">
        <v>0</v>
      </c>
      <c r="M65" t="inlineStr"/>
      <c r="N65" t="inlineStr">
        <is>
          <t>suit_phy01</t>
        </is>
      </c>
      <c r="O65" t="inlineStr">
        <is>
          <t>点剑</t>
        </is>
      </c>
      <c r="P65"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5" t="inlineStr">
        <is>
          <t>本装备由宏山选剑局设计，使用集成工业系统制造，能够提高使用者的作战能力。选剑局早期向市场推广的产品之一。 “岁末，执剑以南，见山生九首，怒号不止，吉。”</t>
        </is>
      </c>
    </row>
    <row r="66">
      <c r="A66" t="inlineStr">
        <is>
          <t>item_equip_t4_suit_phy01_hand_02</t>
        </is>
      </c>
      <c r="B66" t="inlineStr">
        <is>
          <t>点剑战术手甲</t>
        </is>
      </c>
      <c r="C66" t="inlineStr">
        <is>
          <t>武陵</t>
        </is>
      </c>
      <c r="D66" t="n">
        <v>70</v>
      </c>
      <c r="E66" t="inlineStr">
        <is>
          <t>护手</t>
        </is>
      </c>
      <c r="F66" t="n">
        <v>5</v>
      </c>
      <c r="G66" t="inlineStr">
        <is>
          <t>防御力 +42</t>
        </is>
      </c>
      <c r="H66" t="n">
        <v>0</v>
      </c>
      <c r="I66" t="inlineStr"/>
      <c r="J66" t="n">
        <v>0</v>
      </c>
      <c r="K66" t="inlineStr"/>
      <c r="L66" t="n">
        <v>0</v>
      </c>
      <c r="M66" t="inlineStr"/>
      <c r="N66" t="inlineStr">
        <is>
          <t>suit_phy01</t>
        </is>
      </c>
      <c r="O66" t="inlineStr">
        <is>
          <t>点剑</t>
        </is>
      </c>
      <c r="P66"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6" t="inlineStr">
        <is>
          <t>本装备由宏山选剑局设计，使用集成工业系统制造，能够提高使用者的作战能力。选剑局早期向市场推广的产品之一。 战术手甲的验收流程包括“穿着手甲将宣纸折成二十四层纸花”这一环节。</t>
        </is>
      </c>
    </row>
    <row r="67">
      <c r="A67" t="inlineStr">
        <is>
          <t>item_equip_t4_suit_phy01_edc_03</t>
        </is>
      </c>
      <c r="B67" t="inlineStr">
        <is>
          <t>点剑火石</t>
        </is>
      </c>
      <c r="C67" t="inlineStr">
        <is>
          <t>武陵</t>
        </is>
      </c>
      <c r="D67" t="n">
        <v>70</v>
      </c>
      <c r="E67" t="inlineStr">
        <is>
          <t>配件</t>
        </is>
      </c>
      <c r="F67" t="n">
        <v>5</v>
      </c>
      <c r="G67" t="inlineStr">
        <is>
          <t>防御力 +21</t>
        </is>
      </c>
      <c r="H67" t="n">
        <v>0</v>
      </c>
      <c r="I67" t="inlineStr"/>
      <c r="J67" t="n">
        <v>0</v>
      </c>
      <c r="K67" t="inlineStr"/>
      <c r="L67" t="n">
        <v>0</v>
      </c>
      <c r="M67" t="inlineStr"/>
      <c r="N67" t="inlineStr">
        <is>
          <t>suit_phy01</t>
        </is>
      </c>
      <c r="O67" t="inlineStr">
        <is>
          <t>点剑</t>
        </is>
      </c>
      <c r="P67"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7" t="inlineStr">
        <is>
          <t>本装备由宏山选剑局设计，使用集成工业系统制造，能够提高使用者的作战能力。选剑局早期向市场推广的产品之一。 火石会以超频方式耗光点剑护甲系统的全部能量，它的光芒只会在生命消逝前夕亮起。</t>
        </is>
      </c>
    </row>
    <row r="68">
      <c r="A68" t="inlineStr">
        <is>
          <t>item_equip_t4_suit_phy01_edc_01</t>
        </is>
      </c>
      <c r="B68" t="inlineStr">
        <is>
          <t>点剑定位信标</t>
        </is>
      </c>
      <c r="C68" t="inlineStr">
        <is>
          <t>武陵</t>
        </is>
      </c>
      <c r="D68" t="n">
        <v>70</v>
      </c>
      <c r="E68" t="inlineStr">
        <is>
          <t>配件</t>
        </is>
      </c>
      <c r="F68" t="n">
        <v>5</v>
      </c>
      <c r="G68" t="inlineStr">
        <is>
          <t>防御力 +21</t>
        </is>
      </c>
      <c r="H68" t="n">
        <v>0</v>
      </c>
      <c r="I68" t="inlineStr"/>
      <c r="J68" t="n">
        <v>0</v>
      </c>
      <c r="K68" t="inlineStr"/>
      <c r="L68" t="n">
        <v>0</v>
      </c>
      <c r="M68" t="inlineStr"/>
      <c r="N68" t="inlineStr">
        <is>
          <t>suit_phy01</t>
        </is>
      </c>
      <c r="O68" t="inlineStr">
        <is>
          <t>点剑</t>
        </is>
      </c>
      <c r="P68"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8" t="inlineStr">
        <is>
          <t>本装备由宏山选剑局设计，使用集成工业系统制造，能够提高使用者的作战能力。选剑局早期向市场推广的产品之一。 绝大部分侵蚀环境极度危险，行差踏错之下，迷途者再难回归——如同昔年武陵的事故。</t>
        </is>
      </c>
    </row>
    <row r="69">
      <c r="A69" t="inlineStr">
        <is>
          <t>item_equip_t4_suit_phy01_edc_02</t>
        </is>
      </c>
      <c r="B69" t="inlineStr">
        <is>
          <t>点剑微型滤芯</t>
        </is>
      </c>
      <c r="C69" t="inlineStr">
        <is>
          <t>武陵</t>
        </is>
      </c>
      <c r="D69" t="n">
        <v>70</v>
      </c>
      <c r="E69" t="inlineStr">
        <is>
          <t>配件</t>
        </is>
      </c>
      <c r="F69" t="n">
        <v>5</v>
      </c>
      <c r="G69" t="inlineStr">
        <is>
          <t>防御力 +21</t>
        </is>
      </c>
      <c r="H69" t="n">
        <v>0</v>
      </c>
      <c r="I69" t="inlineStr"/>
      <c r="J69" t="n">
        <v>0</v>
      </c>
      <c r="K69" t="inlineStr"/>
      <c r="L69" t="n">
        <v>0</v>
      </c>
      <c r="M69" t="inlineStr"/>
      <c r="N69" t="inlineStr">
        <is>
          <t>suit_phy01</t>
        </is>
      </c>
      <c r="O69" t="inlineStr">
        <is>
          <t>点剑</t>
        </is>
      </c>
      <c r="P69" t="inlineStr">
        <is>
          <r>
            <rPr/>
            <t>3件套组效果：装备者失衡效率加成</t>
          </r>
          <r>
            <rPr>
              <b val="1"/>
              <color rgb="009eb7ff"/>
            </rPr>
            <t>+20%</t>
          </r>
          <r>
            <rPr/>
            <t>。当装备者造成</t>
          </r>
          <r>
            <rPr>
              <b val="1"/>
              <color rgb="00e3c19a"/>
              <u val="single"/>
            </rPr>
            <t>物理异常</t>
          </r>
          <r>
            <rPr/>
            <t>后，额外造成一次250%攻击力的物理伤害[</t>
          </r>
          <r>
            <rPr>
              <b val="1"/>
              <color rgb="00ffae6b"/>
            </rPr>
            <t>10</t>
          </r>
          <r>
            <rPr/>
            <t>点失衡值]。该效果每15秒最多触发一次。</t>
          </r>
        </is>
      </c>
      <c r="Q69" t="inlineStr">
        <is>
          <t>本装备由宏山选剑局设计，使用集成工业系统制造，能够提高使用者的作战能力。选剑局早期向市场推广的产品之一。 “侵蚀环境里，一道烟雾都可能是致命的，戴好呼吸防护器！”</t>
        </is>
      </c>
    </row>
    <row r="70">
      <c r="A70" t="inlineStr">
        <is>
          <t>item_equip_t4_suit_heal01_body_01</t>
        </is>
      </c>
      <c r="B70" t="inlineStr">
        <is>
          <t>生物辅助重甲</t>
        </is>
      </c>
      <c r="C70" t="inlineStr">
        <is>
          <t>武陵</t>
        </is>
      </c>
      <c r="D70" t="n">
        <v>70</v>
      </c>
      <c r="E70" t="inlineStr">
        <is>
          <t>护甲</t>
        </is>
      </c>
      <c r="F70" t="n">
        <v>5</v>
      </c>
      <c r="G70" t="inlineStr">
        <is>
          <t>防御力 +56</t>
        </is>
      </c>
      <c r="H70" t="n">
        <v>0</v>
      </c>
      <c r="I70" t="inlineStr"/>
      <c r="J70" t="n">
        <v>0</v>
      </c>
      <c r="K70" t="inlineStr"/>
      <c r="L70" t="n">
        <v>0</v>
      </c>
      <c r="M70" t="inlineStr"/>
      <c r="N70" t="inlineStr">
        <is>
          <t>suit_heal01</t>
        </is>
      </c>
      <c r="O70" t="inlineStr">
        <is>
          <t>生物辅助</t>
        </is>
      </c>
      <c r="P70"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0" t="inlineStr">
        <is>
          <t>本装备由罗德岛设计，使用集成工业系统制造，能够提高使用者的作战能力。医疗者们爱用装备的加重款。 穿着生物辅助胸甲的作战人员通常会被人戏称为“移动药品库”，他们通常会在护甲各处塞满急救药物。</t>
        </is>
      </c>
    </row>
    <row r="71">
      <c r="A71" t="inlineStr">
        <is>
          <t>item_equip_t4_suit_heal01_body_02</t>
        </is>
      </c>
      <c r="B71" t="inlineStr">
        <is>
          <t>生物辅助胸甲</t>
        </is>
      </c>
      <c r="C71" t="inlineStr">
        <is>
          <t>武陵</t>
        </is>
      </c>
      <c r="D71" t="n">
        <v>70</v>
      </c>
      <c r="E71" t="inlineStr">
        <is>
          <t>护甲</t>
        </is>
      </c>
      <c r="F71" t="n">
        <v>5</v>
      </c>
      <c r="G71" t="inlineStr">
        <is>
          <t>防御力 +56</t>
        </is>
      </c>
      <c r="H71" t="n">
        <v>0</v>
      </c>
      <c r="I71" t="inlineStr"/>
      <c r="J71" t="n">
        <v>0</v>
      </c>
      <c r="K71" t="inlineStr"/>
      <c r="L71" t="n">
        <v>0</v>
      </c>
      <c r="M71" t="inlineStr"/>
      <c r="N71" t="inlineStr">
        <is>
          <t>suit_heal01</t>
        </is>
      </c>
      <c r="O71" t="inlineStr">
        <is>
          <t>生物辅助</t>
        </is>
      </c>
      <c r="P71"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1" t="inlineStr">
        <is>
          <t>本装备由罗德岛设计，使用集成工业系统制造，能够提高使用者的作战能力。医疗者们爱用的装备。 穿着生物辅助胸甲的作战人员通常会被人戏称为“移动药品库”，他们通常会在护甲各处塞满急救药物。</t>
        </is>
      </c>
    </row>
    <row r="72">
      <c r="A72" t="inlineStr">
        <is>
          <t>item_equip_t4_suit_heal01_hand_01</t>
        </is>
      </c>
      <c r="B72" t="inlineStr">
        <is>
          <t>生物辅助臂甲</t>
        </is>
      </c>
      <c r="C72" t="inlineStr">
        <is>
          <t>武陵</t>
        </is>
      </c>
      <c r="D72" t="n">
        <v>70</v>
      </c>
      <c r="E72" t="inlineStr">
        <is>
          <t>护手</t>
        </is>
      </c>
      <c r="F72" t="n">
        <v>5</v>
      </c>
      <c r="G72" t="inlineStr">
        <is>
          <t>防御力 +42</t>
        </is>
      </c>
      <c r="H72" t="n">
        <v>0</v>
      </c>
      <c r="I72" t="inlineStr"/>
      <c r="J72" t="n">
        <v>0</v>
      </c>
      <c r="K72" t="inlineStr"/>
      <c r="L72" t="n">
        <v>0</v>
      </c>
      <c r="M72" t="inlineStr"/>
      <c r="N72" t="inlineStr">
        <is>
          <t>suit_heal01</t>
        </is>
      </c>
      <c r="O72" t="inlineStr">
        <is>
          <t>生物辅助</t>
        </is>
      </c>
      <c r="P72"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2" t="inlineStr">
        <is>
          <t>本装备由罗德岛设计，使用集成工业系统制造，能够提高使用者的作战能力。医疗者们爱用装备的加重款。 罗德岛仍保留着在装备上配置矿石病监测模组的习惯。</t>
        </is>
      </c>
    </row>
    <row r="73">
      <c r="A73" t="inlineStr">
        <is>
          <t>item_equip_t4_suit_heal01_hand_02</t>
        </is>
      </c>
      <c r="B73" t="inlineStr">
        <is>
          <t>生物辅助手甲</t>
        </is>
      </c>
      <c r="C73" t="inlineStr">
        <is>
          <t>武陵</t>
        </is>
      </c>
      <c r="D73" t="n">
        <v>70</v>
      </c>
      <c r="E73" t="inlineStr">
        <is>
          <t>护手</t>
        </is>
      </c>
      <c r="F73" t="n">
        <v>5</v>
      </c>
      <c r="G73" t="inlineStr">
        <is>
          <t>防御力 +42</t>
        </is>
      </c>
      <c r="H73" t="n">
        <v>0</v>
      </c>
      <c r="I73" t="inlineStr"/>
      <c r="J73" t="n">
        <v>0</v>
      </c>
      <c r="K73" t="inlineStr"/>
      <c r="L73" t="n">
        <v>0</v>
      </c>
      <c r="M73" t="inlineStr"/>
      <c r="N73" t="inlineStr">
        <is>
          <t>suit_heal01</t>
        </is>
      </c>
      <c r="O73" t="inlineStr">
        <is>
          <t>生物辅助</t>
        </is>
      </c>
      <c r="P73"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3" t="inlineStr">
        <is>
          <t>本装备由罗德岛设计，使用集成工业系统制造，能够提高使用者的作战能力。医疗者们爱用的装备。 罗德岛仍保留着在装备上配置矿石病监测模组的习惯。</t>
        </is>
      </c>
    </row>
    <row r="74">
      <c r="A74" t="inlineStr">
        <is>
          <t>item_equip_t4_suit_heal01_edc_01</t>
        </is>
      </c>
      <c r="B74" t="inlineStr">
        <is>
          <t>生物辅助接驳器</t>
        </is>
      </c>
      <c r="C74" t="inlineStr">
        <is>
          <t>武陵</t>
        </is>
      </c>
      <c r="D74" t="n">
        <v>70</v>
      </c>
      <c r="E74" t="inlineStr">
        <is>
          <t>配件</t>
        </is>
      </c>
      <c r="F74" t="n">
        <v>5</v>
      </c>
      <c r="G74" t="inlineStr">
        <is>
          <t>防御力 +21</t>
        </is>
      </c>
      <c r="H74" t="n">
        <v>0</v>
      </c>
      <c r="I74" t="inlineStr"/>
      <c r="J74" t="n">
        <v>0</v>
      </c>
      <c r="K74" t="inlineStr"/>
      <c r="L74" t="n">
        <v>0</v>
      </c>
      <c r="M74" t="inlineStr"/>
      <c r="N74" t="inlineStr">
        <is>
          <t>suit_heal01</t>
        </is>
      </c>
      <c r="O74" t="inlineStr">
        <is>
          <t>生物辅助</t>
        </is>
      </c>
      <c r="P74"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4" t="inlineStr">
        <is>
          <t>本装备由罗德岛设计，使用集成工业系统制造，能够提高使用者的作战能力。医疗者们爱用的装备。 罗德岛开发了能够校准数据的接驳单元，以便在紧急状况下接入不同的维生系统，完成急救作业。</t>
        </is>
      </c>
    </row>
    <row r="75">
      <c r="A75" t="inlineStr">
        <is>
          <t>item_equip_t4_suit_heal01_edc_05</t>
        </is>
      </c>
      <c r="B75" t="inlineStr">
        <is>
          <t>生物辅助接驳器·壹型</t>
        </is>
      </c>
      <c r="C75" t="inlineStr">
        <is>
          <t>武陵</t>
        </is>
      </c>
      <c r="D75" t="n">
        <v>70</v>
      </c>
      <c r="E75" t="inlineStr">
        <is>
          <t>配件</t>
        </is>
      </c>
      <c r="F75" t="n">
        <v>5</v>
      </c>
      <c r="G75" t="inlineStr">
        <is>
          <t>防御力 +21</t>
        </is>
      </c>
      <c r="H75" t="n">
        <v>0</v>
      </c>
      <c r="I75" t="inlineStr"/>
      <c r="J75" t="n">
        <v>0</v>
      </c>
      <c r="K75" t="inlineStr"/>
      <c r="L75" t="n">
        <v>0</v>
      </c>
      <c r="M75" t="inlineStr"/>
      <c r="N75" t="inlineStr">
        <is>
          <t>suit_heal01</t>
        </is>
      </c>
      <c r="O75" t="inlineStr">
        <is>
          <t>生物辅助</t>
        </is>
      </c>
      <c r="P75"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5" t="inlineStr">
        <is>
          <t>本装备由罗德岛设计，使用集成工业系统制造，能够提高使用者的作战能力。医疗者们爱用的装备。 罗德岛开发了能够校准数据的接驳单元，以便在紧急状况下接入不同的维生系统，完成急救作业。</t>
        </is>
      </c>
    </row>
    <row r="76">
      <c r="A76" t="inlineStr">
        <is>
          <t>item_equip_t4_suit_heal01_edc_02</t>
        </is>
      </c>
      <c r="B76" t="inlineStr">
        <is>
          <t>生物辅助接驳器·贰型</t>
        </is>
      </c>
      <c r="C76" t="inlineStr">
        <is>
          <t>武陵</t>
        </is>
      </c>
      <c r="D76" t="n">
        <v>70</v>
      </c>
      <c r="E76" t="inlineStr">
        <is>
          <t>配件</t>
        </is>
      </c>
      <c r="F76" t="n">
        <v>5</v>
      </c>
      <c r="G76" t="inlineStr">
        <is>
          <t>防御力 +21</t>
        </is>
      </c>
      <c r="H76" t="n">
        <v>0</v>
      </c>
      <c r="I76" t="inlineStr"/>
      <c r="J76" t="n">
        <v>0</v>
      </c>
      <c r="K76" t="inlineStr"/>
      <c r="L76" t="n">
        <v>0</v>
      </c>
      <c r="M76" t="inlineStr"/>
      <c r="N76" t="inlineStr">
        <is>
          <t>suit_heal01</t>
        </is>
      </c>
      <c r="O76" t="inlineStr">
        <is>
          <t>生物辅助</t>
        </is>
      </c>
      <c r="P76"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6" t="inlineStr">
        <is>
          <t>本装备由罗德岛设计，使用集成工业系统制造，能够提高使用者的作战能力。医疗者们爱用的装备。 罗德岛开发了能够校准数据的接驳单元，以便在紧急状况下接入不同的维生系统，完成急救作业。</t>
        </is>
      </c>
    </row>
    <row r="77">
      <c r="A77" t="inlineStr">
        <is>
          <t>item_equip_t4_suit_heal01_edc_03</t>
        </is>
      </c>
      <c r="B77" t="inlineStr">
        <is>
          <t>生物辅助护板</t>
        </is>
      </c>
      <c r="C77" t="inlineStr">
        <is>
          <t>武陵</t>
        </is>
      </c>
      <c r="D77" t="n">
        <v>70</v>
      </c>
      <c r="E77" t="inlineStr">
        <is>
          <t>配件</t>
        </is>
      </c>
      <c r="F77" t="n">
        <v>5</v>
      </c>
      <c r="G77" t="inlineStr">
        <is>
          <t>防御力 +21</t>
        </is>
      </c>
      <c r="H77" t="n">
        <v>0</v>
      </c>
      <c r="I77" t="inlineStr"/>
      <c r="J77" t="n">
        <v>0</v>
      </c>
      <c r="K77" t="inlineStr"/>
      <c r="L77" t="n">
        <v>0</v>
      </c>
      <c r="M77" t="inlineStr"/>
      <c r="N77" t="inlineStr">
        <is>
          <t>suit_heal01</t>
        </is>
      </c>
      <c r="O77" t="inlineStr">
        <is>
          <t>生物辅助</t>
        </is>
      </c>
      <c r="P77"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7" t="inlineStr">
        <is>
          <t>本装备由罗德岛设计，使用集成工业系统制造，能够提高使用者的作战能力。医疗者们爱用的装备。 侵蚀造成的伤害有时并不明显，因此装甲板上也需配置灵活敏锐的探测单元。</t>
        </is>
      </c>
    </row>
    <row r="78">
      <c r="A78" t="inlineStr">
        <is>
          <t>item_equip_t4_suit_heal01_edc_04</t>
        </is>
      </c>
      <c r="B78" t="inlineStr">
        <is>
          <t>生物辅助护盾针</t>
        </is>
      </c>
      <c r="C78" t="inlineStr">
        <is>
          <t>武陵</t>
        </is>
      </c>
      <c r="D78" t="n">
        <v>70</v>
      </c>
      <c r="E78" t="inlineStr">
        <is>
          <t>配件</t>
        </is>
      </c>
      <c r="F78" t="n">
        <v>5</v>
      </c>
      <c r="G78" t="inlineStr">
        <is>
          <t>防御力 +21</t>
        </is>
      </c>
      <c r="H78" t="n">
        <v>0</v>
      </c>
      <c r="I78" t="inlineStr"/>
      <c r="J78" t="n">
        <v>0</v>
      </c>
      <c r="K78" t="inlineStr"/>
      <c r="L78" t="n">
        <v>0</v>
      </c>
      <c r="M78" t="inlineStr"/>
      <c r="N78" t="inlineStr">
        <is>
          <t>suit_heal01</t>
        </is>
      </c>
      <c r="O78" t="inlineStr">
        <is>
          <t>生物辅助</t>
        </is>
      </c>
      <c r="P78" t="inlineStr">
        <is>
          <r>
            <rPr/>
            <t>3件套组效果：装备者治疗效率</t>
          </r>
          <r>
            <rPr>
              <b val="1"/>
              <color rgb="009eb7ff"/>
            </rPr>
            <t>+20%</t>
          </r>
          <r>
            <rPr/>
            <t>。当装备者治疗我方目标后，使该目标在10秒内受到的所有类型伤害</t>
          </r>
          <r>
            <rPr>
              <b val="1"/>
              <color rgb="009eb7ff"/>
            </rPr>
            <t>-15%</t>
          </r>
          <r>
            <rPr/>
            <t>；如果该目标受到的治疗量溢出，则受到的所有类型伤害</t>
          </r>
          <r>
            <rPr>
              <b val="1"/>
              <color rgb="009eb7ff"/>
            </rPr>
            <t>-30%</t>
          </r>
          <r>
            <rPr/>
            <t>。上述效果无法叠加。</t>
          </r>
        </is>
      </c>
      <c r="Q78" t="inlineStr">
        <is>
          <t>本装备由罗德岛设计，使用集成工业系统制造，能够提高使用者的作战能力。医疗者们爱用的装备。 除去填补护盾裂口这一作用，在紧急状况下，生物辅助护盾针也可以被用来封闭伤口。</t>
        </is>
      </c>
    </row>
    <row r="79">
      <c r="A79" t="inlineStr">
        <is>
          <t>item_equip_t4_suit_poise01_body_01</t>
        </is>
      </c>
      <c r="B79" t="inlineStr">
        <is>
          <t>轻超域护板</t>
        </is>
      </c>
      <c r="C79" t="inlineStr">
        <is>
          <t>武陵</t>
        </is>
      </c>
      <c r="D79" t="n">
        <v>70</v>
      </c>
      <c r="E79" t="inlineStr">
        <is>
          <t>护甲</t>
        </is>
      </c>
      <c r="F79" t="n">
        <v>5</v>
      </c>
      <c r="G79" t="inlineStr">
        <is>
          <t>防御力 +56</t>
        </is>
      </c>
      <c r="H79" t="n">
        <v>0</v>
      </c>
      <c r="I79" t="inlineStr"/>
      <c r="J79" t="n">
        <v>0</v>
      </c>
      <c r="K79" t="inlineStr"/>
      <c r="L79" t="n">
        <v>0</v>
      </c>
      <c r="M79" t="inlineStr"/>
      <c r="N79" t="inlineStr">
        <is>
          <t>suit_poise01</t>
        </is>
      </c>
      <c r="O79" t="inlineStr">
        <is>
          <t>轻超域</t>
        </is>
      </c>
      <c r="P79"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79" t="inlineStr">
        <is>
          <t>本装备由轻超域技术实验室设计，使用集成工业系统制造，能够提高使用者的作战能力。轻巧的实验型防护装备。 “宏山人会以羽毛比喻重量之轻，本实验室的反重力系列产品距此标准仅有一步之遥。”</t>
        </is>
      </c>
    </row>
    <row r="80">
      <c r="A80" t="inlineStr">
        <is>
          <t>item_equip_t4_suit_poise01_hand_01</t>
        </is>
      </c>
      <c r="B80" t="inlineStr">
        <is>
          <t>轻超域护手</t>
        </is>
      </c>
      <c r="C80" t="inlineStr">
        <is>
          <t>武陵</t>
        </is>
      </c>
      <c r="D80" t="n">
        <v>70</v>
      </c>
      <c r="E80" t="inlineStr">
        <is>
          <t>护手</t>
        </is>
      </c>
      <c r="F80" t="n">
        <v>5</v>
      </c>
      <c r="G80" t="inlineStr">
        <is>
          <t>防御力 +42</t>
        </is>
      </c>
      <c r="H80" t="n">
        <v>0</v>
      </c>
      <c r="I80" t="inlineStr"/>
      <c r="J80" t="n">
        <v>0</v>
      </c>
      <c r="K80" t="inlineStr"/>
      <c r="L80" t="n">
        <v>0</v>
      </c>
      <c r="M80" t="inlineStr"/>
      <c r="N80" t="inlineStr">
        <is>
          <t>suit_poise01</t>
        </is>
      </c>
      <c r="O80" t="inlineStr">
        <is>
          <t>轻超域</t>
        </is>
      </c>
      <c r="P80"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80" t="inlineStr">
        <is>
          <t>本装备由轻超域技术实验室设计，使用集成工业系统制造，能够提高使用者的作战能力。轻巧的实验型防护装备。 “请在佩戴本实验室产品时额外装配内衬装备，若您出现幻听、幻视等症状，请卸下本实验室产品并及时进食。”</t>
        </is>
      </c>
    </row>
    <row r="81">
      <c r="A81" t="inlineStr">
        <is>
          <t>item_equip_t4_suit_poise01_hand_02</t>
        </is>
      </c>
      <c r="B81" t="inlineStr">
        <is>
          <t>轻超域轻护手</t>
        </is>
      </c>
      <c r="C81" t="inlineStr">
        <is>
          <t>武陵</t>
        </is>
      </c>
      <c r="D81" t="n">
        <v>70</v>
      </c>
      <c r="E81" t="inlineStr">
        <is>
          <t>护手</t>
        </is>
      </c>
      <c r="F81" t="n">
        <v>5</v>
      </c>
      <c r="G81" t="inlineStr">
        <is>
          <t>防御力 +42</t>
        </is>
      </c>
      <c r="H81" t="n">
        <v>0</v>
      </c>
      <c r="I81" t="inlineStr"/>
      <c r="J81" t="n">
        <v>0</v>
      </c>
      <c r="K81" t="inlineStr"/>
      <c r="L81" t="n">
        <v>0</v>
      </c>
      <c r="M81" t="inlineStr"/>
      <c r="N81" t="inlineStr">
        <is>
          <t>suit_poise01</t>
        </is>
      </c>
      <c r="O81" t="inlineStr">
        <is>
          <t>轻超域</t>
        </is>
      </c>
      <c r="P81"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81" t="inlineStr">
        <is>
          <t>本装备由轻超域技术实验室设计，使用集成工业系统制造，能够提高使用者的作战能力。轻巧的实验型防护装备。 “请在佩戴本实验室产品时额外装配内衬装备，若您出现幻听、幻视等症状，请卸下本实验室产品并及时进食。”</t>
        </is>
      </c>
    </row>
    <row r="82">
      <c r="A82" t="inlineStr">
        <is>
          <t>item_equip_t4_suit_poise01_edc_01</t>
        </is>
      </c>
      <c r="B82" t="inlineStr">
        <is>
          <t>轻超域分析环</t>
        </is>
      </c>
      <c r="C82" t="inlineStr">
        <is>
          <t>武陵</t>
        </is>
      </c>
      <c r="D82" t="n">
        <v>70</v>
      </c>
      <c r="E82" t="inlineStr">
        <is>
          <t>配件</t>
        </is>
      </c>
      <c r="F82" t="n">
        <v>5</v>
      </c>
      <c r="G82" t="inlineStr">
        <is>
          <t>防御力 +21</t>
        </is>
      </c>
      <c r="H82" t="n">
        <v>0</v>
      </c>
      <c r="I82" t="inlineStr"/>
      <c r="J82" t="n">
        <v>0</v>
      </c>
      <c r="K82" t="inlineStr"/>
      <c r="L82" t="n">
        <v>0</v>
      </c>
      <c r="M82" t="inlineStr"/>
      <c r="N82" t="inlineStr">
        <is>
          <t>suit_poise01</t>
        </is>
      </c>
      <c r="O82" t="inlineStr">
        <is>
          <t>轻超域</t>
        </is>
      </c>
      <c r="P82"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82" t="inlineStr">
        <is>
          <t>本装备由轻超域技术实验室设计，使用集成工业系统制造，能够提高使用者的作战能力。轻巧的实验型防护装备。 “本实验室正在潜心研究侵蚀扩散痕迹的数据化分析方法，欢迎报名参与产品试用。”</t>
        </is>
      </c>
    </row>
    <row r="83">
      <c r="A83" t="inlineStr">
        <is>
          <t>item_equip_t4_suit_poise01_edc_02</t>
        </is>
      </c>
      <c r="B83" t="inlineStr">
        <is>
          <t>轻超域稳定盘</t>
        </is>
      </c>
      <c r="C83" t="inlineStr">
        <is>
          <t>武陵</t>
        </is>
      </c>
      <c r="D83" t="n">
        <v>70</v>
      </c>
      <c r="E83" t="inlineStr">
        <is>
          <t>配件</t>
        </is>
      </c>
      <c r="F83" t="n">
        <v>5</v>
      </c>
      <c r="G83" t="inlineStr">
        <is>
          <t>防御力 +21</t>
        </is>
      </c>
      <c r="H83" t="n">
        <v>0</v>
      </c>
      <c r="I83" t="inlineStr"/>
      <c r="J83" t="n">
        <v>0</v>
      </c>
      <c r="K83" t="inlineStr"/>
      <c r="L83" t="n">
        <v>0</v>
      </c>
      <c r="M83" t="inlineStr"/>
      <c r="N83" t="inlineStr">
        <is>
          <t>suit_poise01</t>
        </is>
      </c>
      <c r="O83" t="inlineStr">
        <is>
          <t>轻超域</t>
        </is>
      </c>
      <c r="P83"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83" t="inlineStr">
        <is>
          <t>本装备由轻超域技术实验室设计，使用集成工业系统制造，能够提高使用者的作战能力。轻巧的实验型防护装备。 “为了避免参数混乱导致您像气球一样飘向高空，请随身携带配套稳定盘，谢谢。”</t>
        </is>
      </c>
    </row>
    <row r="84">
      <c r="A84" t="inlineStr">
        <is>
          <t>item_equip_t4_suit_poise01_edc_03</t>
        </is>
      </c>
      <c r="B84" t="inlineStr">
        <is>
          <t>轻超域稳定盘·壹型</t>
        </is>
      </c>
      <c r="C84" t="inlineStr">
        <is>
          <t>武陵</t>
        </is>
      </c>
      <c r="D84" t="n">
        <v>70</v>
      </c>
      <c r="E84" t="inlineStr">
        <is>
          <t>配件</t>
        </is>
      </c>
      <c r="F84" t="n">
        <v>5</v>
      </c>
      <c r="G84" t="inlineStr">
        <is>
          <t>防御力 +21</t>
        </is>
      </c>
      <c r="H84" t="n">
        <v>0</v>
      </c>
      <c r="I84" t="inlineStr"/>
      <c r="J84" t="n">
        <v>0</v>
      </c>
      <c r="K84" t="inlineStr"/>
      <c r="L84" t="n">
        <v>0</v>
      </c>
      <c r="M84" t="inlineStr"/>
      <c r="N84" t="inlineStr">
        <is>
          <t>suit_poise01</t>
        </is>
      </c>
      <c r="O84" t="inlineStr">
        <is>
          <t>轻超域</t>
        </is>
      </c>
      <c r="P84"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84" t="inlineStr">
        <is>
          <t>本装备由轻超域技术实验室设计，使用集成工业系统制造，能够提高使用者的作战能力。轻巧的实验型防护装备。 “为了避免参数混乱导致您像气球一样飘向高空，请随身携带配套稳定盘，谢谢。”</t>
        </is>
      </c>
    </row>
    <row r="85">
      <c r="A85" t="inlineStr">
        <is>
          <t>item_equip_t4_suit_poise01_edc_04</t>
        </is>
      </c>
      <c r="B85" t="inlineStr">
        <is>
          <t>轻超域腕表</t>
        </is>
      </c>
      <c r="C85" t="inlineStr">
        <is>
          <t>武陵</t>
        </is>
      </c>
      <c r="D85" t="n">
        <v>70</v>
      </c>
      <c r="E85" t="inlineStr">
        <is>
          <t>配件</t>
        </is>
      </c>
      <c r="F85" t="n">
        <v>5</v>
      </c>
      <c r="G85" t="inlineStr">
        <is>
          <t>防御力 +21</t>
        </is>
      </c>
      <c r="H85" t="n">
        <v>0</v>
      </c>
      <c r="I85" t="inlineStr"/>
      <c r="J85" t="n">
        <v>0</v>
      </c>
      <c r="K85" t="inlineStr"/>
      <c r="L85" t="n">
        <v>0</v>
      </c>
      <c r="M85" t="inlineStr"/>
      <c r="N85" t="inlineStr">
        <is>
          <t>suit_poise01</t>
        </is>
      </c>
      <c r="O85" t="inlineStr">
        <is>
          <t>轻超域</t>
        </is>
      </c>
      <c r="P85" t="inlineStr">
        <is>
          <r>
            <rPr/>
            <t>3件套组效果：装备者攻击力</t>
          </r>
          <r>
            <rPr>
              <b val="1"/>
              <color rgb="009eb7ff"/>
            </rPr>
            <t>+8%</t>
          </r>
          <r>
            <rPr/>
            <t>。装备者施加</t>
          </r>
          <r>
            <rPr>
              <b val="1"/>
              <color rgb="00e3c19a"/>
              <u val="single"/>
            </rPr>
            <t>破防</t>
          </r>
          <r>
            <rPr/>
            <t>后，</t>
          </r>
          <r>
            <rPr>
              <b val="1"/>
              <color rgb="00e3c19a"/>
            </rPr>
            <t>物理伤害</t>
          </r>
          <r>
            <rPr>
              <b val="1"/>
              <color rgb="009eb7ff"/>
            </rPr>
            <t>+8%</t>
          </r>
          <r>
            <rPr/>
            <t>，持续15秒，最多可叠加4层。若使目标达到4层</t>
          </r>
          <r>
            <rPr>
              <b val="1"/>
              <color rgb="00e3c19a"/>
              <u val="single"/>
            </rPr>
            <t>破防</t>
          </r>
          <r>
            <rPr/>
            <t>，物理伤害额外</t>
          </r>
          <r>
            <rPr>
              <b val="1"/>
              <color rgb="009eb7ff"/>
            </rPr>
            <t>+16%</t>
          </r>
          <r>
            <rPr/>
            <t>，持续10秒，该效果无法叠加。</t>
          </r>
        </is>
      </c>
      <c r="Q85" t="inlineStr">
        <is>
          <t>本装备由轻超域技术实验室设计，使用集成工业系统制造，能够提高使用者的作战能力。轻巧的实验型防护装备。 “部分消费者质疑本实验室产品会导致使用者的血液在一定程度上发生异变，这完全是无稽之谈。”</t>
        </is>
      </c>
    </row>
    <row r="86">
      <c r="A86" t="inlineStr">
        <is>
          <t>item_equip_t4_suit_attri01_body_01</t>
        </is>
      </c>
      <c r="B86" t="inlineStr">
        <is>
          <t>碾骨重护甲</t>
        </is>
      </c>
      <c r="C86" t="inlineStr">
        <is>
          <t>武陵</t>
        </is>
      </c>
      <c r="D86" t="n">
        <v>70</v>
      </c>
      <c r="E86" t="inlineStr">
        <is>
          <t>护甲</t>
        </is>
      </c>
      <c r="F86" t="n">
        <v>5</v>
      </c>
      <c r="G86" t="inlineStr">
        <is>
          <t>防御力 +56</t>
        </is>
      </c>
      <c r="H86" t="n">
        <v>0</v>
      </c>
      <c r="I86" t="inlineStr"/>
      <c r="J86" t="n">
        <v>0</v>
      </c>
      <c r="K86" t="inlineStr"/>
      <c r="L86" t="n">
        <v>0</v>
      </c>
      <c r="M86" t="inlineStr"/>
      <c r="N86" t="inlineStr">
        <is>
          <t>suit_attri01</t>
        </is>
      </c>
      <c r="O86" t="inlineStr">
        <is>
          <t>碾骨</t>
        </is>
      </c>
      <c r="P86"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86" t="inlineStr">
        <is>
          <t>本装备由终末地工业参考荒野手工艺品设计，使用集成工业系统制造，能够提高使用者的作战能力。设计灵感来自于碾骨氏族的装备。 厚重护甲不单单具有防护能力，在荒地行人眼中，它也代表着一种冷酷残忍的行事风格。</t>
        </is>
      </c>
    </row>
    <row r="87">
      <c r="A87" t="inlineStr">
        <is>
          <t>item_equip_t4_suit_attri01_body_02</t>
        </is>
      </c>
      <c r="B87" t="inlineStr">
        <is>
          <t>碾骨重护甲·壹型</t>
        </is>
      </c>
      <c r="C87" t="inlineStr">
        <is>
          <t>武陵</t>
        </is>
      </c>
      <c r="D87" t="n">
        <v>70</v>
      </c>
      <c r="E87" t="inlineStr">
        <is>
          <t>护甲</t>
        </is>
      </c>
      <c r="F87" t="n">
        <v>5</v>
      </c>
      <c r="G87" t="inlineStr">
        <is>
          <t>防御力 +56</t>
        </is>
      </c>
      <c r="H87" t="n">
        <v>0</v>
      </c>
      <c r="I87" t="inlineStr"/>
      <c r="J87" t="n">
        <v>0</v>
      </c>
      <c r="K87" t="inlineStr"/>
      <c r="L87" t="n">
        <v>0</v>
      </c>
      <c r="M87" t="inlineStr"/>
      <c r="N87" t="inlineStr">
        <is>
          <t>suit_attri01</t>
        </is>
      </c>
      <c r="O87" t="inlineStr">
        <is>
          <t>碾骨</t>
        </is>
      </c>
      <c r="P87"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87" t="inlineStr">
        <is>
          <t>本装备由终末地工业参考荒野手工艺品设计，使用集成工业系统制造，能够提高使用者的作战能力。设计灵感来自于碾骨氏族的装备。 厚重护甲不单单具有防护能力，在荒地行人眼中，它也代表着一种冷酷残忍的行事风格。</t>
        </is>
      </c>
    </row>
    <row r="88">
      <c r="A88" t="inlineStr">
        <is>
          <t>item_equip_t4_suit_attri01_body_05</t>
        </is>
      </c>
      <c r="B88" t="inlineStr">
        <is>
          <t>碾骨重护甲·贰型</t>
        </is>
      </c>
      <c r="C88" t="inlineStr">
        <is>
          <t>武陵</t>
        </is>
      </c>
      <c r="D88" t="n">
        <v>70</v>
      </c>
      <c r="E88" t="inlineStr">
        <is>
          <t>护甲</t>
        </is>
      </c>
      <c r="F88" t="n">
        <v>5</v>
      </c>
      <c r="G88" t="inlineStr">
        <is>
          <t>防御力 +56</t>
        </is>
      </c>
      <c r="H88" t="n">
        <v>0</v>
      </c>
      <c r="I88" t="inlineStr"/>
      <c r="J88" t="n">
        <v>0</v>
      </c>
      <c r="K88" t="inlineStr"/>
      <c r="L88" t="n">
        <v>0</v>
      </c>
      <c r="M88" t="inlineStr"/>
      <c r="N88" t="inlineStr">
        <is>
          <t>suit_attri01</t>
        </is>
      </c>
      <c r="O88" t="inlineStr">
        <is>
          <t>碾骨</t>
        </is>
      </c>
      <c r="P88"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88" t="inlineStr">
        <is>
          <t>本装备由终末地工业参考荒野手工艺品设计，使用集成工业系统制造，能够提高使用者的作战能力。 设计灵感来自于碾骨氏族的装备。 厚重护甲不单单具有防护能力，在荒地行人眼中，它也代表着一种冷酷残忍的行事风格。</t>
        </is>
      </c>
    </row>
    <row r="89">
      <c r="A89" t="inlineStr">
        <is>
          <t>item_equip_t4_suit_attri01_body_03</t>
        </is>
      </c>
      <c r="B89" t="inlineStr">
        <is>
          <t>碾骨披巾</t>
        </is>
      </c>
      <c r="C89" t="inlineStr">
        <is>
          <t>武陵</t>
        </is>
      </c>
      <c r="D89" t="n">
        <v>70</v>
      </c>
      <c r="E89" t="inlineStr">
        <is>
          <t>护甲</t>
        </is>
      </c>
      <c r="F89" t="n">
        <v>5</v>
      </c>
      <c r="G89" t="inlineStr">
        <is>
          <t>防御力 +56</t>
        </is>
      </c>
      <c r="H89" t="n">
        <v>0</v>
      </c>
      <c r="I89" t="inlineStr"/>
      <c r="J89" t="n">
        <v>0</v>
      </c>
      <c r="K89" t="inlineStr"/>
      <c r="L89" t="n">
        <v>0</v>
      </c>
      <c r="M89" t="inlineStr"/>
      <c r="N89" t="inlineStr">
        <is>
          <t>suit_attri01</t>
        </is>
      </c>
      <c r="O89" t="inlineStr">
        <is>
          <t>碾骨</t>
        </is>
      </c>
      <c r="P89"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89" t="inlineStr">
        <is>
          <t>本装备由终末地工业参考荒野手工艺品设计，使用集成工业系统制造，能够提高使用者的作战能力。设计灵感来自于碾骨氏族的装备。 实际上，披巾并不具备什么防护性能，它通常会作为身份标识，就像是某种旗帜的变形。</t>
        </is>
      </c>
    </row>
    <row r="90">
      <c r="A90" t="inlineStr">
        <is>
          <t>item_equip_t4_suit_attri01_body_04</t>
        </is>
      </c>
      <c r="B90" t="inlineStr">
        <is>
          <t>碾骨披巾·壹型</t>
        </is>
      </c>
      <c r="C90" t="inlineStr">
        <is>
          <t>武陵</t>
        </is>
      </c>
      <c r="D90" t="n">
        <v>70</v>
      </c>
      <c r="E90" t="inlineStr">
        <is>
          <t>护甲</t>
        </is>
      </c>
      <c r="F90" t="n">
        <v>5</v>
      </c>
      <c r="G90" t="inlineStr">
        <is>
          <t>防御力 +56</t>
        </is>
      </c>
      <c r="H90" t="n">
        <v>0</v>
      </c>
      <c r="I90" t="inlineStr"/>
      <c r="J90" t="n">
        <v>0</v>
      </c>
      <c r="K90" t="inlineStr"/>
      <c r="L90" t="n">
        <v>0</v>
      </c>
      <c r="M90" t="inlineStr"/>
      <c r="N90" t="inlineStr">
        <is>
          <t>suit_attri01</t>
        </is>
      </c>
      <c r="O90" t="inlineStr">
        <is>
          <t>碾骨</t>
        </is>
      </c>
      <c r="P90"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0" t="inlineStr">
        <is>
          <t>本装备由终末地工业参考荒野手工艺品设计，使用集成工业系统制造，能够提高使用者的作战能力。设计灵感来自于碾骨氏族的装备。 实际上，披巾并不具备什么防护性能，它通常会作为身份标识，就像是某种旗帜的变形。</t>
        </is>
      </c>
    </row>
    <row r="91">
      <c r="A91" t="inlineStr">
        <is>
          <t>item_equip_t4_suit_attri01_hand_01</t>
        </is>
      </c>
      <c r="B91" t="inlineStr">
        <is>
          <t>碾骨腕带</t>
        </is>
      </c>
      <c r="C91" t="inlineStr">
        <is>
          <t>武陵</t>
        </is>
      </c>
      <c r="D91" t="n">
        <v>70</v>
      </c>
      <c r="E91" t="inlineStr">
        <is>
          <t>护手</t>
        </is>
      </c>
      <c r="F91" t="n">
        <v>5</v>
      </c>
      <c r="G91" t="inlineStr">
        <is>
          <t>防御力 +42</t>
        </is>
      </c>
      <c r="H91" t="n">
        <v>0</v>
      </c>
      <c r="I91" t="inlineStr"/>
      <c r="J91" t="n">
        <v>0</v>
      </c>
      <c r="K91" t="inlineStr"/>
      <c r="L91" t="n">
        <v>0</v>
      </c>
      <c r="M91" t="inlineStr"/>
      <c r="N91" t="inlineStr">
        <is>
          <t>suit_attri01</t>
        </is>
      </c>
      <c r="O91" t="inlineStr">
        <is>
          <t>碾骨</t>
        </is>
      </c>
      <c r="P91"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1" t="inlineStr">
        <is>
          <t>本装备由终末地工业参考荒野手工艺品设计，使用集成工业系统制造，能够提高使用者的作战能力。设计灵感来自于碾骨氏族的装备。 并非每一个走上荒野的人都会变成裂地者，但被荒野束缚住的人永远无法回头。</t>
        </is>
      </c>
    </row>
    <row r="92">
      <c r="A92" t="inlineStr">
        <is>
          <t>item_equip_t4_suit_attri01_hand_02</t>
        </is>
      </c>
      <c r="B92" t="inlineStr">
        <is>
          <t>碾骨腕带·壹型</t>
        </is>
      </c>
      <c r="C92" t="inlineStr">
        <is>
          <t>武陵</t>
        </is>
      </c>
      <c r="D92" t="n">
        <v>70</v>
      </c>
      <c r="E92" t="inlineStr">
        <is>
          <t>护手</t>
        </is>
      </c>
      <c r="F92" t="n">
        <v>5</v>
      </c>
      <c r="G92" t="inlineStr">
        <is>
          <t>防御力 +42</t>
        </is>
      </c>
      <c r="H92" t="n">
        <v>0</v>
      </c>
      <c r="I92" t="inlineStr"/>
      <c r="J92" t="n">
        <v>0</v>
      </c>
      <c r="K92" t="inlineStr"/>
      <c r="L92" t="n">
        <v>0</v>
      </c>
      <c r="M92" t="inlineStr"/>
      <c r="N92" t="inlineStr">
        <is>
          <t>suit_attri01</t>
        </is>
      </c>
      <c r="O92" t="inlineStr">
        <is>
          <t>碾骨</t>
        </is>
      </c>
      <c r="P92"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2" t="inlineStr">
        <is>
          <t>本装备由终末地工业参考荒野手工艺品设计，使用集成工业系统制造，能够提高使用者的作战能力。设计灵感来自于碾骨氏族的装备。 并非每一个走上荒野的人都会变成裂地者，但被荒野束缚住的人永远无法回头。</t>
        </is>
      </c>
    </row>
    <row r="93">
      <c r="A93" t="inlineStr">
        <is>
          <t>item_equip_t4_suit_attri01_edc_04</t>
        </is>
      </c>
      <c r="B93" t="inlineStr">
        <is>
          <t>碾骨面具</t>
        </is>
      </c>
      <c r="C93" t="inlineStr">
        <is>
          <t>武陵</t>
        </is>
      </c>
      <c r="D93" t="n">
        <v>70</v>
      </c>
      <c r="E93" t="inlineStr">
        <is>
          <t>配件</t>
        </is>
      </c>
      <c r="F93" t="n">
        <v>5</v>
      </c>
      <c r="G93" t="inlineStr">
        <is>
          <t>防御力 +21</t>
        </is>
      </c>
      <c r="H93" t="n">
        <v>0</v>
      </c>
      <c r="I93" t="inlineStr"/>
      <c r="J93" t="n">
        <v>0</v>
      </c>
      <c r="K93" t="inlineStr"/>
      <c r="L93" t="n">
        <v>0</v>
      </c>
      <c r="M93" t="inlineStr"/>
      <c r="N93" t="inlineStr">
        <is>
          <t>suit_attri01</t>
        </is>
      </c>
      <c r="O93" t="inlineStr">
        <is>
          <t>碾骨</t>
        </is>
      </c>
      <c r="P93"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3" t="inlineStr">
        <is>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is>
      </c>
    </row>
    <row r="94">
      <c r="A94" t="inlineStr">
        <is>
          <t>item_equip_t4_suit_attri01_edc_05</t>
        </is>
      </c>
      <c r="B94" t="inlineStr">
        <is>
          <t>碾骨面具·壹型</t>
        </is>
      </c>
      <c r="C94" t="inlineStr">
        <is>
          <t>武陵</t>
        </is>
      </c>
      <c r="D94" t="n">
        <v>70</v>
      </c>
      <c r="E94" t="inlineStr">
        <is>
          <t>配件</t>
        </is>
      </c>
      <c r="F94" t="n">
        <v>5</v>
      </c>
      <c r="G94" t="inlineStr">
        <is>
          <t>防御力 +21</t>
        </is>
      </c>
      <c r="H94" t="n">
        <v>0</v>
      </c>
      <c r="I94" t="inlineStr"/>
      <c r="J94" t="n">
        <v>0</v>
      </c>
      <c r="K94" t="inlineStr"/>
      <c r="L94" t="n">
        <v>0</v>
      </c>
      <c r="M94" t="inlineStr"/>
      <c r="N94" t="inlineStr">
        <is>
          <t>suit_attri01</t>
        </is>
      </c>
      <c r="O94" t="inlineStr">
        <is>
          <t>碾骨</t>
        </is>
      </c>
      <c r="P94"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4" t="inlineStr">
        <is>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is>
      </c>
    </row>
    <row r="95">
      <c r="A95" t="inlineStr">
        <is>
          <t>item_equip_t4_suit_attri01_edc_07</t>
        </is>
      </c>
      <c r="B95" t="inlineStr">
        <is>
          <t>碾骨面具·贰型</t>
        </is>
      </c>
      <c r="C95" t="inlineStr">
        <is>
          <t>武陵</t>
        </is>
      </c>
      <c r="D95" t="n">
        <v>70</v>
      </c>
      <c r="E95" t="inlineStr">
        <is>
          <t>配件</t>
        </is>
      </c>
      <c r="F95" t="n">
        <v>5</v>
      </c>
      <c r="G95" t="inlineStr">
        <is>
          <t>防御力 +21</t>
        </is>
      </c>
      <c r="H95" t="n">
        <v>0</v>
      </c>
      <c r="I95" t="inlineStr"/>
      <c r="J95" t="n">
        <v>0</v>
      </c>
      <c r="K95" t="inlineStr"/>
      <c r="L95" t="n">
        <v>0</v>
      </c>
      <c r="M95" t="inlineStr"/>
      <c r="N95" t="inlineStr">
        <is>
          <t>suit_attri01</t>
        </is>
      </c>
      <c r="O95" t="inlineStr">
        <is>
          <t>碾骨</t>
        </is>
      </c>
      <c r="P95"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5" t="inlineStr">
        <is>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is>
      </c>
    </row>
    <row r="96">
      <c r="A96" t="inlineStr">
        <is>
          <t>item_equip_t4_suit_attri01_edc_03</t>
        </is>
      </c>
      <c r="B96" t="inlineStr">
        <is>
          <t>碾骨小雕像</t>
        </is>
      </c>
      <c r="C96" t="inlineStr">
        <is>
          <t>武陵</t>
        </is>
      </c>
      <c r="D96" t="n">
        <v>70</v>
      </c>
      <c r="E96" t="inlineStr">
        <is>
          <t>配件</t>
        </is>
      </c>
      <c r="F96" t="n">
        <v>5</v>
      </c>
      <c r="G96" t="inlineStr">
        <is>
          <t>防御力 +21</t>
        </is>
      </c>
      <c r="H96" t="n">
        <v>0</v>
      </c>
      <c r="I96" t="inlineStr"/>
      <c r="J96" t="n">
        <v>0</v>
      </c>
      <c r="K96" t="inlineStr"/>
      <c r="L96" t="n">
        <v>0</v>
      </c>
      <c r="M96" t="inlineStr"/>
      <c r="N96" t="inlineStr">
        <is>
          <t>suit_attri01</t>
        </is>
      </c>
      <c r="O96" t="inlineStr">
        <is>
          <t>碾骨</t>
        </is>
      </c>
      <c r="P96"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6" t="inlineStr">
        <is>
          <t>本装备由终末地工业参考荒野手工艺品设计，使用集成工业系统制造，能够提高使用者的作战能力。并无什么实际意义的小工艺品，但设计者宣称它能有效调动人的亢奋情绪。</t>
        </is>
      </c>
    </row>
    <row r="97">
      <c r="A97" t="inlineStr">
        <is>
          <t>item_equip_t4_suit_attri01_edc_06</t>
        </is>
      </c>
      <c r="B97" t="inlineStr">
        <is>
          <t>碾骨小雕像·壹型</t>
        </is>
      </c>
      <c r="C97" t="inlineStr">
        <is>
          <t>武陵</t>
        </is>
      </c>
      <c r="D97" t="n">
        <v>70</v>
      </c>
      <c r="E97" t="inlineStr">
        <is>
          <t>配件</t>
        </is>
      </c>
      <c r="F97" t="n">
        <v>5</v>
      </c>
      <c r="G97" t="inlineStr">
        <is>
          <t>防御力 +21</t>
        </is>
      </c>
      <c r="H97" t="n">
        <v>0</v>
      </c>
      <c r="I97" t="inlineStr"/>
      <c r="J97" t="n">
        <v>0</v>
      </c>
      <c r="K97" t="inlineStr"/>
      <c r="L97" t="n">
        <v>0</v>
      </c>
      <c r="M97" t="inlineStr"/>
      <c r="N97" t="inlineStr">
        <is>
          <t>suit_attri01</t>
        </is>
      </c>
      <c r="O97" t="inlineStr">
        <is>
          <t>碾骨</t>
        </is>
      </c>
      <c r="P97" t="inlineStr">
        <is>
          <r>
            <rPr/>
            <t>3件套组效果：装备者攻击力</t>
          </r>
          <r>
            <rPr>
              <b val="1"/>
              <color rgb="009eb7ff"/>
            </rPr>
            <t>+15%</t>
          </r>
          <r>
            <rPr/>
            <t>。当装备者施放连携技时，获得一层</t>
          </r>
          <r>
            <rPr>
              <b val="1"/>
              <color rgb="0033c2ff"/>
            </rPr>
            <t>碾骨重压</t>
          </r>
          <r>
            <rPr/>
            <t>，下一次的战技伤害</t>
          </r>
          <r>
            <rPr>
              <b val="1"/>
              <color rgb="009eb7ff"/>
            </rPr>
            <t>+30%</t>
          </r>
          <r>
            <rPr/>
            <t>，</t>
          </r>
          <r>
            <rPr>
              <b val="1"/>
              <color rgb="0033c2ff"/>
            </rPr>
            <t>碾骨重压</t>
          </r>
          <r>
            <rPr/>
            <t>最多可叠加2层。</t>
          </r>
        </is>
      </c>
      <c r="Q97" t="inlineStr">
        <is>
          <t>本装备由终末地工业参考荒野手工艺品设计，使用集成工业系统制造，能够提高使用者的作战能力。并无什么实际意义的小工艺品，但设计者宣称它能有效调动人的亢奋情绪。</t>
        </is>
      </c>
    </row>
    <row r="98">
      <c r="A98" t="inlineStr">
        <is>
          <t>item_equip_t4_suit_pulse_cryst01_body_01</t>
        </is>
      </c>
      <c r="B98" t="inlineStr">
        <is>
          <t>脉冲式干扰服</t>
        </is>
      </c>
      <c r="C98" t="inlineStr">
        <is>
          <t>武陵</t>
        </is>
      </c>
      <c r="D98" t="n">
        <v>70</v>
      </c>
      <c r="E98" t="inlineStr">
        <is>
          <t>护甲</t>
        </is>
      </c>
      <c r="F98" t="n">
        <v>5</v>
      </c>
      <c r="G98" t="inlineStr">
        <is>
          <t>防御力 +56</t>
        </is>
      </c>
      <c r="H98" t="n">
        <v>0</v>
      </c>
      <c r="I98" t="inlineStr"/>
      <c r="J98" t="n">
        <v>0</v>
      </c>
      <c r="K98" t="inlineStr"/>
      <c r="L98" t="n">
        <v>0</v>
      </c>
      <c r="M98" t="inlineStr"/>
      <c r="N98" t="inlineStr">
        <is>
          <t>suit_pulse_cryst01</t>
        </is>
      </c>
      <c r="O98" t="inlineStr">
        <is>
          <t>脉冲式</t>
        </is>
      </c>
      <c r="P98" t="inlineStr">
        <is>
          <r>
            <rPr/>
            <t>3件套组效果：装备者源石技艺强度</t>
          </r>
          <r>
            <rPr>
              <b val="1"/>
              <color rgb="009eb7ff"/>
            </rPr>
            <t>+30</t>
          </r>
          <r>
            <rPr/>
            <t>。当装备者施加</t>
          </r>
          <r>
            <rPr>
              <b val="1"/>
              <color rgb="00ffcc00"/>
              <u val="single"/>
            </rPr>
            <t>导电</t>
          </r>
          <r>
            <rPr/>
            <t>后，</t>
          </r>
          <r>
            <rPr>
              <b val="1"/>
              <color rgb="00ffcc00"/>
            </rPr>
            <t>电磁伤害</t>
          </r>
          <r>
            <rPr>
              <b val="1"/>
              <color rgb="009eb7ff"/>
            </rPr>
            <t>+50%</t>
          </r>
          <r>
            <rPr/>
            <t>，持续10秒，该效果无法叠加；当装备者施加</t>
          </r>
          <r>
            <rPr>
              <b val="1"/>
              <color rgb="0030d6e0"/>
              <u val="single"/>
            </rPr>
            <t>冻结</t>
          </r>
          <r>
            <rPr/>
            <t>后，</t>
          </r>
          <r>
            <rPr>
              <b val="1"/>
              <color rgb="0030d6e0"/>
            </rPr>
            <t>寒冷伤害</t>
          </r>
          <r>
            <rPr>
              <b val="1"/>
              <color rgb="009eb7ff"/>
            </rPr>
            <t>+50%</t>
          </r>
          <r>
            <rPr/>
            <t>，持续10秒，该效果无法叠加。</t>
          </r>
        </is>
      </c>
      <c r="Q98" t="inlineStr">
        <is>
          <t>本装备由终末地工业自研，使用集成工业系统制造，能够提高使用者的作战能力。设计新颖的装备。 很少有人能理解终末地工业为什么要研发这套适用于信息化战争的防御装备。</t>
        </is>
      </c>
    </row>
    <row r="99">
      <c r="A99" t="inlineStr">
        <is>
          <t>item_equip_t4_suit_pulse_cryst01_hand_01</t>
        </is>
      </c>
      <c r="B99" t="inlineStr">
        <is>
          <t>脉冲式手套</t>
        </is>
      </c>
      <c r="C99" t="inlineStr">
        <is>
          <t>武陵</t>
        </is>
      </c>
      <c r="D99" t="n">
        <v>70</v>
      </c>
      <c r="E99" t="inlineStr">
        <is>
          <t>护手</t>
        </is>
      </c>
      <c r="F99" t="n">
        <v>5</v>
      </c>
      <c r="G99" t="inlineStr">
        <is>
          <t>防御力 +42</t>
        </is>
      </c>
      <c r="H99" t="n">
        <v>0</v>
      </c>
      <c r="I99" t="inlineStr"/>
      <c r="J99" t="n">
        <v>0</v>
      </c>
      <c r="K99" t="inlineStr"/>
      <c r="L99" t="n">
        <v>0</v>
      </c>
      <c r="M99" t="inlineStr"/>
      <c r="N99" t="inlineStr">
        <is>
          <t>suit_pulse_cryst01</t>
        </is>
      </c>
      <c r="O99" t="inlineStr">
        <is>
          <t>脉冲式</t>
        </is>
      </c>
      <c r="P99" t="inlineStr">
        <is>
          <r>
            <rPr/>
            <t>3件套组效果：装备者源石技艺强度</t>
          </r>
          <r>
            <rPr>
              <b val="1"/>
              <color rgb="009eb7ff"/>
            </rPr>
            <t>+30</t>
          </r>
          <r>
            <rPr/>
            <t>。当装备者施加</t>
          </r>
          <r>
            <rPr>
              <b val="1"/>
              <color rgb="00ffcc00"/>
              <u val="single"/>
            </rPr>
            <t>导电</t>
          </r>
          <r>
            <rPr/>
            <t>后，</t>
          </r>
          <r>
            <rPr>
              <b val="1"/>
              <color rgb="00ffcc00"/>
            </rPr>
            <t>电磁伤害</t>
          </r>
          <r>
            <rPr>
              <b val="1"/>
              <color rgb="009eb7ff"/>
            </rPr>
            <t>+50%</t>
          </r>
          <r>
            <rPr/>
            <t>，持续10秒，该效果无法叠加；当装备者施加</t>
          </r>
          <r>
            <rPr>
              <b val="1"/>
              <color rgb="0030d6e0"/>
              <u val="single"/>
            </rPr>
            <t>冻结</t>
          </r>
          <r>
            <rPr/>
            <t>后，</t>
          </r>
          <r>
            <rPr>
              <b val="1"/>
              <color rgb="0030d6e0"/>
            </rPr>
            <t>寒冷伤害</t>
          </r>
          <r>
            <rPr>
              <b val="1"/>
              <color rgb="009eb7ff"/>
            </rPr>
            <t>+50%</t>
          </r>
          <r>
            <rPr/>
            <t>，持续10秒，该效果无法叠加。</t>
          </r>
        </is>
      </c>
      <c r="Q99" t="inlineStr">
        <is>
          <t>本装备由终末地工业自研，使用集成工业系统制造，能够提高使用者的作战能力。设计新颖的装备。 很少有人能理解终末地工业为什么要提高脉冲系列装备的低温耐受能力。</t>
        </is>
      </c>
    </row>
    <row r="100">
      <c r="A100" t="inlineStr">
        <is>
          <t>item_equip_t4_suit_pulse_cryst01_edc_02</t>
        </is>
      </c>
      <c r="B100" t="inlineStr">
        <is>
          <t>脉冲式校准器</t>
        </is>
      </c>
      <c r="C100" t="inlineStr">
        <is>
          <t>武陵</t>
        </is>
      </c>
      <c r="D100" t="n">
        <v>70</v>
      </c>
      <c r="E100" t="inlineStr">
        <is>
          <t>配件</t>
        </is>
      </c>
      <c r="F100" t="n">
        <v>5</v>
      </c>
      <c r="G100" t="inlineStr">
        <is>
          <t>防御力 +21</t>
        </is>
      </c>
      <c r="H100" t="n">
        <v>0</v>
      </c>
      <c r="I100" t="inlineStr"/>
      <c r="J100" t="n">
        <v>0</v>
      </c>
      <c r="K100" t="inlineStr"/>
      <c r="L100" t="n">
        <v>0</v>
      </c>
      <c r="M100" t="inlineStr"/>
      <c r="N100" t="inlineStr">
        <is>
          <t>suit_pulse_cryst01</t>
        </is>
      </c>
      <c r="O100" t="inlineStr">
        <is>
          <t>脉冲式</t>
        </is>
      </c>
      <c r="P100" t="inlineStr">
        <is>
          <r>
            <rPr/>
            <t>3件套组效果：装备者源石技艺强度</t>
          </r>
          <r>
            <rPr>
              <b val="1"/>
              <color rgb="009eb7ff"/>
            </rPr>
            <t>+30</t>
          </r>
          <r>
            <rPr/>
            <t>。当装备者施加</t>
          </r>
          <r>
            <rPr>
              <b val="1"/>
              <color rgb="00ffcc00"/>
              <u val="single"/>
            </rPr>
            <t>导电</t>
          </r>
          <r>
            <rPr/>
            <t>后，</t>
          </r>
          <r>
            <rPr>
              <b val="1"/>
              <color rgb="00ffcc00"/>
            </rPr>
            <t>电磁伤害</t>
          </r>
          <r>
            <rPr>
              <b val="1"/>
              <color rgb="009eb7ff"/>
            </rPr>
            <t>+50%</t>
          </r>
          <r>
            <rPr/>
            <t>，持续10秒，该效果无法叠加；当装备者施加</t>
          </r>
          <r>
            <rPr>
              <b val="1"/>
              <color rgb="0030d6e0"/>
              <u val="single"/>
            </rPr>
            <t>冻结</t>
          </r>
          <r>
            <rPr/>
            <t>后，</t>
          </r>
          <r>
            <rPr>
              <b val="1"/>
              <color rgb="0030d6e0"/>
            </rPr>
            <t>寒冷伤害</t>
          </r>
          <r>
            <rPr>
              <b val="1"/>
              <color rgb="009eb7ff"/>
            </rPr>
            <t>+50%</t>
          </r>
          <r>
            <rPr/>
            <t>，持续10秒，该效果无法叠加。</t>
          </r>
        </is>
      </c>
      <c r="Q100" t="inlineStr">
        <is>
          <t>本装备由终末地工业自研，使用集成工业系统制造，能够提高使用者的作战能力。设计新颖的装备。 它能在无边的数据之海中抹去几根善于藏匿的“金针”。</t>
        </is>
      </c>
    </row>
    <row r="101">
      <c r="A101" t="inlineStr">
        <is>
          <t>item_equip_t4_suit_pulse_cryst01_edc_01</t>
        </is>
      </c>
      <c r="B101" t="inlineStr">
        <is>
          <t>脉冲式探针</t>
        </is>
      </c>
      <c r="C101" t="inlineStr">
        <is>
          <t>武陵</t>
        </is>
      </c>
      <c r="D101" t="n">
        <v>70</v>
      </c>
      <c r="E101" t="inlineStr">
        <is>
          <t>配件</t>
        </is>
      </c>
      <c r="F101" t="n">
        <v>5</v>
      </c>
      <c r="G101" t="inlineStr">
        <is>
          <t>防御力 +21</t>
        </is>
      </c>
      <c r="H101" t="n">
        <v>0</v>
      </c>
      <c r="I101" t="inlineStr"/>
      <c r="J101" t="n">
        <v>0</v>
      </c>
      <c r="K101" t="inlineStr"/>
      <c r="L101" t="n">
        <v>0</v>
      </c>
      <c r="M101" t="inlineStr"/>
      <c r="N101" t="inlineStr">
        <is>
          <t>suit_pulse_cryst01</t>
        </is>
      </c>
      <c r="O101" t="inlineStr">
        <is>
          <t>脉冲式</t>
        </is>
      </c>
      <c r="P101" t="inlineStr">
        <is>
          <r>
            <rPr/>
            <t>3件套组效果：装备者源石技艺强度</t>
          </r>
          <r>
            <rPr>
              <b val="1"/>
              <color rgb="009eb7ff"/>
            </rPr>
            <t>+30</t>
          </r>
          <r>
            <rPr/>
            <t>。当装备者施加</t>
          </r>
          <r>
            <rPr>
              <b val="1"/>
              <color rgb="00ffcc00"/>
              <u val="single"/>
            </rPr>
            <t>导电</t>
          </r>
          <r>
            <rPr/>
            <t>后，</t>
          </r>
          <r>
            <rPr>
              <b val="1"/>
              <color rgb="00ffcc00"/>
            </rPr>
            <t>电磁伤害</t>
          </r>
          <r>
            <rPr>
              <b val="1"/>
              <color rgb="009eb7ff"/>
            </rPr>
            <t>+50%</t>
          </r>
          <r>
            <rPr/>
            <t>，持续10秒，该效果无法叠加；当装备者施加</t>
          </r>
          <r>
            <rPr>
              <b val="1"/>
              <color rgb="0030d6e0"/>
              <u val="single"/>
            </rPr>
            <t>冻结</t>
          </r>
          <r>
            <rPr/>
            <t>后，</t>
          </r>
          <r>
            <rPr>
              <b val="1"/>
              <color rgb="0030d6e0"/>
            </rPr>
            <t>寒冷伤害</t>
          </r>
          <r>
            <rPr>
              <b val="1"/>
              <color rgb="009eb7ff"/>
            </rPr>
            <t>+50%</t>
          </r>
          <r>
            <rPr/>
            <t>，持续10秒，该效果无法叠加。</t>
          </r>
        </is>
      </c>
      <c r="Q101" t="inlineStr">
        <is>
          <t>本装备由终末地工业自研，使用集成工业系统制造，能够提高使用者的作战能力。设计新颖的装备。 它能在黑暗的冻雾中找到些许失落的痕迹。</t>
        </is>
      </c>
    </row>
    <row r="102">
      <c r="A102" t="inlineStr">
        <is>
          <t>item_equip_t4_suit_pulse_cryst01_edc_03</t>
        </is>
      </c>
      <c r="B102" t="inlineStr">
        <is>
          <t>脉冲式侵入核</t>
        </is>
      </c>
      <c r="C102" t="inlineStr">
        <is>
          <t>武陵</t>
        </is>
      </c>
      <c r="D102" t="n">
        <v>70</v>
      </c>
      <c r="E102" t="inlineStr">
        <is>
          <t>配件</t>
        </is>
      </c>
      <c r="F102" t="n">
        <v>5</v>
      </c>
      <c r="G102" t="inlineStr">
        <is>
          <t>防御力 +21</t>
        </is>
      </c>
      <c r="H102" t="n">
        <v>0</v>
      </c>
      <c r="I102" t="inlineStr"/>
      <c r="J102" t="n">
        <v>0</v>
      </c>
      <c r="K102" t="inlineStr"/>
      <c r="L102" t="n">
        <v>0</v>
      </c>
      <c r="M102" t="inlineStr"/>
      <c r="N102" t="inlineStr">
        <is>
          <t>suit_pulse_cryst01</t>
        </is>
      </c>
      <c r="O102" t="inlineStr">
        <is>
          <t>脉冲式</t>
        </is>
      </c>
      <c r="P102" t="inlineStr">
        <is>
          <r>
            <rPr/>
            <t>3件套组效果：装备者源石技艺强度</t>
          </r>
          <r>
            <rPr>
              <b val="1"/>
              <color rgb="009eb7ff"/>
            </rPr>
            <t>+30</t>
          </r>
          <r>
            <rPr/>
            <t>。当装备者施加</t>
          </r>
          <r>
            <rPr>
              <b val="1"/>
              <color rgb="00ffcc00"/>
              <u val="single"/>
            </rPr>
            <t>导电</t>
          </r>
          <r>
            <rPr/>
            <t>后，</t>
          </r>
          <r>
            <rPr>
              <b val="1"/>
              <color rgb="00ffcc00"/>
            </rPr>
            <t>电磁伤害</t>
          </r>
          <r>
            <rPr>
              <b val="1"/>
              <color rgb="009eb7ff"/>
            </rPr>
            <t>+50%</t>
          </r>
          <r>
            <rPr/>
            <t>，持续10秒，该效果无法叠加；当装备者施加</t>
          </r>
          <r>
            <rPr>
              <b val="1"/>
              <color rgb="0030d6e0"/>
              <u val="single"/>
            </rPr>
            <t>冻结</t>
          </r>
          <r>
            <rPr/>
            <t>后，</t>
          </r>
          <r>
            <rPr>
              <b val="1"/>
              <color rgb="0030d6e0"/>
            </rPr>
            <t>寒冷伤害</t>
          </r>
          <r>
            <rPr>
              <b val="1"/>
              <color rgb="009eb7ff"/>
            </rPr>
            <t>+50%</t>
          </r>
          <r>
            <rPr/>
            <t>，持续10秒，该效果无法叠加。</t>
          </r>
        </is>
      </c>
      <c r="Q102" t="inlineStr">
        <is>
          <t>本装备由终末地工业自研，使用集成工业系统制造，能够提高使用者的作战能力。设计新颖的装备。 在寂语修会的支持下，脉冲式侵入核能破解绝大部分终端的防火墙。</t>
        </is>
      </c>
    </row>
    <row r="103">
      <c r="A103" t="inlineStr">
        <is>
          <t>item_equip_t4_suit_atb01_body_01</t>
        </is>
      </c>
      <c r="B103" t="inlineStr">
        <is>
          <t>拓荒护甲</t>
        </is>
      </c>
      <c r="C103" t="inlineStr">
        <is>
          <t>武陵</t>
        </is>
      </c>
      <c r="D103" t="n">
        <v>70</v>
      </c>
      <c r="E103" t="inlineStr">
        <is>
          <t>护甲</t>
        </is>
      </c>
      <c r="F103" t="n">
        <v>5</v>
      </c>
      <c r="G103" t="inlineStr">
        <is>
          <t>防御力 +56</t>
        </is>
      </c>
      <c r="H103" t="n">
        <v>0</v>
      </c>
      <c r="I103" t="inlineStr"/>
      <c r="J103" t="n">
        <v>0</v>
      </c>
      <c r="K103" t="inlineStr"/>
      <c r="L103" t="n">
        <v>0</v>
      </c>
      <c r="M103" t="inlineStr"/>
      <c r="N103" t="inlineStr">
        <is>
          <t>suit_atb01</t>
        </is>
      </c>
      <c r="O103" t="inlineStr">
        <is>
          <t>拓荒</t>
        </is>
      </c>
      <c r="P103" t="inlineStr">
        <is>
          <r>
            <rPr/>
            <t>3件套组效果：装备者连携技冷却缩减</t>
          </r>
          <r>
            <rPr>
              <b val="1"/>
              <color rgb="009eb7ff"/>
            </rPr>
            <t>+15%</t>
          </r>
          <r>
            <rPr/>
            <t>。装备者通过技能恢复技力后，全队造成的伤害</t>
          </r>
          <r>
            <rPr>
              <b val="1"/>
              <color rgb="009eb7ff"/>
            </rPr>
            <t>+16%</t>
          </r>
          <r>
            <rPr/>
            <t>，持续15秒，该效果无法叠加。</t>
          </r>
        </is>
      </c>
      <c r="Q103" t="inlineStr">
        <is>
          <t>本装备由北进重工支援所设计，使用集成工业系统制造，能够提高使用者的作战能力。拓荒者系列护甲重框体型号——为了能够在肩部加装重火炮而额外加装了人造脊椎机构。</t>
        </is>
      </c>
    </row>
    <row r="104">
      <c r="A104" t="inlineStr">
        <is>
          <t>item_equip_t4_suit_atb01_body_02</t>
        </is>
      </c>
      <c r="B104" t="inlineStr">
        <is>
          <t>拓荒护甲·壹型</t>
        </is>
      </c>
      <c r="C104" t="inlineStr">
        <is>
          <t>武陵</t>
        </is>
      </c>
      <c r="D104" t="n">
        <v>70</v>
      </c>
      <c r="E104" t="inlineStr">
        <is>
          <t>护甲</t>
        </is>
      </c>
      <c r="F104" t="n">
        <v>5</v>
      </c>
      <c r="G104" t="inlineStr">
        <is>
          <t>防御力 +56</t>
        </is>
      </c>
      <c r="H104" t="n">
        <v>0</v>
      </c>
      <c r="I104" t="inlineStr"/>
      <c r="J104" t="n">
        <v>0</v>
      </c>
      <c r="K104" t="inlineStr"/>
      <c r="L104" t="n">
        <v>0</v>
      </c>
      <c r="M104" t="inlineStr"/>
      <c r="N104" t="inlineStr">
        <is>
          <t>suit_atb01</t>
        </is>
      </c>
      <c r="O104" t="inlineStr">
        <is>
          <t>拓荒</t>
        </is>
      </c>
      <c r="P104" t="inlineStr">
        <is>
          <r>
            <rPr/>
            <t>3件套组效果：装备者连携技冷却缩减</t>
          </r>
          <r>
            <rPr>
              <b val="1"/>
              <color rgb="009eb7ff"/>
            </rPr>
            <t>+15%</t>
          </r>
          <r>
            <rPr/>
            <t>。装备者通过技能恢复技力后，全队造成的伤害</t>
          </r>
          <r>
            <rPr>
              <b val="1"/>
              <color rgb="009eb7ff"/>
            </rPr>
            <t>+16%</t>
          </r>
          <r>
            <rPr/>
            <t>，持续15秒，该效果无法叠加。</t>
          </r>
        </is>
      </c>
      <c r="Q104" t="inlineStr">
        <is>
          <t>本装备由北进重工支援所设计，使用集成工业系统制造，能够提高使用者的作战能力。拓荒者系列护甲重框体型号——为了能够在肩部加装重火炮而额外加装了人造脊椎机构。</t>
        </is>
      </c>
    </row>
    <row r="105">
      <c r="A105" t="inlineStr">
        <is>
          <t>item_equip_t4_suit_atb01_body_03</t>
        </is>
      </c>
      <c r="B105" t="inlineStr">
        <is>
          <t>拓荒护甲·贰型</t>
        </is>
      </c>
      <c r="C105" t="inlineStr">
        <is>
          <t>武陵</t>
        </is>
      </c>
      <c r="D105" t="n">
        <v>70</v>
      </c>
      <c r="E105" t="inlineStr">
        <is>
          <t>护甲</t>
        </is>
      </c>
      <c r="F105" t="n">
        <v>5</v>
      </c>
      <c r="G105" t="inlineStr">
        <is>
          <t>防御力 +56</t>
        </is>
      </c>
      <c r="H105" t="n">
        <v>0</v>
      </c>
      <c r="I105" t="inlineStr"/>
      <c r="J105" t="n">
        <v>0</v>
      </c>
      <c r="K105" t="inlineStr"/>
      <c r="L105" t="n">
        <v>0</v>
      </c>
      <c r="M105" t="inlineStr"/>
      <c r="N105" t="inlineStr">
        <is>
          <t>suit_atb01</t>
        </is>
      </c>
      <c r="O105" t="inlineStr">
        <is>
          <t>拓荒</t>
        </is>
      </c>
      <c r="P105" t="inlineStr">
        <is>
          <r>
            <rPr/>
            <t>3件套组效果：装备者连携技冷却缩减</t>
          </r>
          <r>
            <rPr>
              <b val="1"/>
              <color rgb="009eb7ff"/>
            </rPr>
            <t>+15%</t>
          </r>
          <r>
            <rPr/>
            <t>。装备者通过技能恢复技力后，全队造成的伤害</t>
          </r>
          <r>
            <rPr>
              <b val="1"/>
              <color rgb="009eb7ff"/>
            </rPr>
            <t>+16%</t>
          </r>
          <r>
            <rPr/>
            <t>，持续15秒，该效果无法叠加。</t>
          </r>
        </is>
      </c>
      <c r="Q105" t="inlineStr">
        <is>
          <t>本装备由北进重工支援所设计，使用集成工业系统制造，能够提高使用者的作战能力。拓荒者系列护甲重框体型号——为了能够在肩部加装重火炮而额外加装了人造脊椎机构。</t>
        </is>
      </c>
    </row>
    <row r="106">
      <c r="A106" t="inlineStr">
        <is>
          <t>item_equip_t4_suit_atb01_body_04</t>
        </is>
      </c>
      <c r="B106" t="inlineStr">
        <is>
          <t>拓荒护甲·叁型</t>
        </is>
      </c>
      <c r="C106" t="inlineStr">
        <is>
          <t>武陵</t>
        </is>
      </c>
      <c r="D106" t="n">
        <v>70</v>
      </c>
      <c r="E106" t="inlineStr">
        <is>
          <t>护甲</t>
        </is>
      </c>
      <c r="F106" t="n">
        <v>5</v>
      </c>
      <c r="G106" t="inlineStr">
        <is>
          <t>防御力 +56</t>
        </is>
      </c>
      <c r="H106" t="n">
        <v>0</v>
      </c>
      <c r="I106" t="inlineStr"/>
      <c r="J106" t="n">
        <v>0</v>
      </c>
      <c r="K106" t="inlineStr"/>
      <c r="L106" t="n">
        <v>0</v>
      </c>
      <c r="M106" t="inlineStr"/>
      <c r="N106" t="inlineStr">
        <is>
          <t>suit_atb01</t>
        </is>
      </c>
      <c r="O106" t="inlineStr">
        <is>
          <t>拓荒</t>
        </is>
      </c>
      <c r="P106" t="inlineStr">
        <is>
          <r>
            <rPr/>
            <t>3件套组效果：装备者连携技冷却缩减</t>
          </r>
          <r>
            <rPr>
              <b val="1"/>
              <color rgb="009eb7ff"/>
            </rPr>
            <t>+15%</t>
          </r>
          <r>
            <rPr/>
            <t>。装备者通过技能恢复技力后，全队造成的伤害</t>
          </r>
          <r>
            <rPr>
              <b val="1"/>
              <color rgb="009eb7ff"/>
            </rPr>
            <t>+16%</t>
          </r>
          <r>
            <rPr/>
            <t>，持续15秒，该效果无法叠加。</t>
          </r>
        </is>
      </c>
      <c r="Q106" t="inlineStr">
        <is>
          <t>本装备由北进重工支援所设计，使用集成工业系统制造，能够提高使用者的作战能力。拓荒者系列护甲重框体型号——为了能够在肩部加装重火炮而额外加装了人造脊椎机构。</t>
        </is>
      </c>
    </row>
    <row r="107">
      <c r="A107" t="inlineStr">
        <is>
          <t>item_equip_t4_suit_atb01_body_05</t>
        </is>
      </c>
      <c r="B107" t="inlineStr">
        <is>
          <t>拓荒护服</t>
        </is>
      </c>
      <c r="C107" t="inlineStr">
        <is>
          <t>武陵</t>
        </is>
      </c>
      <c r="D107" t="n">
        <v>70</v>
      </c>
      <c r="E107" t="inlineStr">
        <is>
          <t>护甲</t>
        </is>
      </c>
      <c r="F107" t="n">
        <v>5</v>
      </c>
      <c r="G107" t="inlineStr">
        <is>
          <t>防御力 +56</t>
        </is>
      </c>
      <c r="H107" t="n">
        <v>0</v>
      </c>
      <c r="I107" t="inlineStr"/>
      <c r="J107" t="n">
        <v>0</v>
      </c>
      <c r="K107" t="inlineStr"/>
      <c r="L107" t="n">
        <v>0</v>
      </c>
      <c r="M107" t="inlineStr"/>
      <c r="N107" t="inlineStr">
        <is>
          <t>suit_atb01</t>
        </is>
      </c>
      <c r="O107" t="inlineStr">
        <is>
          <t>拓荒</t>
        </is>
      </c>
      <c r="P107" t="inlineStr">
        <is>
          <r>
            <rPr/>
            <t>3件套组效果：装备者连携技冷却缩减</t>
          </r>
          <r>
            <rPr>
              <b val="1"/>
              <color rgb="009eb7ff"/>
            </rPr>
            <t>+15%</t>
          </r>
          <r>
            <rPr/>
            <t>。装备者通过技能恢复技力后，全队造成的伤害</t>
          </r>
          <r>
            <rPr>
              <b val="1"/>
              <color rgb="009eb7ff"/>
            </rPr>
            <t>+16%</t>
          </r>
          <r>
            <rPr/>
            <t>，持续15秒，该效果无法叠加。</t>
          </r>
        </is>
      </c>
      <c r="Q107" t="inlineStr">
        <is>
          <t>本装备由北进重工支援所设计，使用集成工业系统制造，能够提高使用者的作战能力。拓荒者系列护甲指挥官型号——降低了防护装甲的厚度，额外加装了远程武器组与加密通信组。</t>
        </is>
      </c>
    </row>
    <row r="108">
      <c r="A108" t="inlineStr">
        <is>
          <t>item_equip_t4_suit_atb01_hand_01</t>
        </is>
      </c>
      <c r="B108" t="inlineStr">
        <is>
          <t>拓荒耐蚀手套</t>
        </is>
      </c>
      <c r="C108" t="inlineStr">
        <is>
          <t>武陵</t>
        </is>
      </c>
      <c r="D108" t="n">
        <v>70</v>
      </c>
      <c r="E108" t="inlineStr">
        <is>
          <t>护手</t>
        </is>
      </c>
      <c r="F108" t="n">
        <v>5</v>
      </c>
      <c r="G108" t="inlineStr">
        <is>
          <t>防御力 +42</t>
        </is>
      </c>
      <c r="H108" t="n">
        <v>0</v>
      </c>
      <c r="I108" t="inlineStr"/>
      <c r="J108" t="n">
        <v>0</v>
      </c>
      <c r="K108" t="inlineStr"/>
      <c r="L108" t="n">
        <v>0</v>
      </c>
      <c r="M108" t="inlineStr"/>
      <c r="N108" t="inlineStr">
        <is>
          <t>suit_atb01</t>
        </is>
      </c>
      <c r="O108" t="inlineStr">
        <is>
          <t>拓荒</t>
        </is>
      </c>
      <c r="P108" t="inlineStr">
        <is>
          <r>
            <rPr/>
            <t>3件套组效果：装备者连携技冷却缩减</t>
          </r>
          <r>
            <rPr>
              <b val="1"/>
              <color rgb="009eb7ff"/>
            </rPr>
            <t>+15%</t>
          </r>
          <r>
            <rPr/>
            <t>。装备者通过技能恢复技力后，全队造成的伤害</t>
          </r>
          <r>
            <rPr>
              <b val="1"/>
              <color rgb="009eb7ff"/>
            </rPr>
            <t>+16%</t>
          </r>
          <r>
            <rPr/>
            <t>，持续15秒，该效果无法叠加。</t>
          </r>
        </is>
      </c>
      <c r="Q108" t="inlineStr">
        <is>
          <t>本装备由北进重工支援所设计，使用集成工业系统制造，能够提高使用者的作战能力。拓荒者系列装备的设计目的是使一支三至五人小队能够拥有正面歼灭小股天使集群的作战能力。</t>
        </is>
      </c>
    </row>
    <row r="109">
      <c r="A109" t="inlineStr">
        <is>
          <t>item_equip_t4_suit_atb01_hand_02</t>
        </is>
      </c>
      <c r="B109" t="inlineStr">
        <is>
          <t>拓荒纤维手套</t>
        </is>
      </c>
      <c r="C109" t="inlineStr">
        <is>
          <t>武陵</t>
        </is>
      </c>
      <c r="D109" t="n">
        <v>70</v>
      </c>
      <c r="E109" t="inlineStr">
        <is>
          <t>护手</t>
        </is>
      </c>
      <c r="F109" t="n">
        <v>5</v>
      </c>
      <c r="G109" t="inlineStr">
        <is>
          <t>防御力 +42</t>
        </is>
      </c>
      <c r="H109" t="n">
        <v>0</v>
      </c>
      <c r="I109" t="inlineStr"/>
      <c r="J109" t="n">
        <v>0</v>
      </c>
      <c r="K109" t="inlineStr"/>
      <c r="L109" t="n">
        <v>0</v>
      </c>
      <c r="M109" t="inlineStr"/>
      <c r="N109" t="inlineStr">
        <is>
          <t>suit_atb01</t>
        </is>
      </c>
      <c r="O109" t="inlineStr">
        <is>
          <t>拓荒</t>
        </is>
      </c>
      <c r="P109" t="inlineStr">
        <is>
          <r>
            <rPr/>
            <t>3件套组效果：装备者连携技冷却缩减</t>
          </r>
          <r>
            <rPr>
              <b val="1"/>
              <color rgb="009eb7ff"/>
            </rPr>
            <t>+15%</t>
          </r>
          <r>
            <rPr/>
            <t>。装备者通过技能恢复技力后，全队造成的伤害</t>
          </r>
          <r>
            <rPr>
              <b val="1"/>
              <color rgb="009eb7ff"/>
            </rPr>
            <t>+16%</t>
          </r>
          <r>
            <rPr/>
            <t>，持续15秒，该效果无法叠加。</t>
          </r>
        </is>
      </c>
      <c r="Q109" t="inlineStr">
        <is>
          <t>本装备由北进重工支援所设计，使用集成工业系统制造，能够提高使用者的作战能力。拓荒者系列护甲水下作战型号——独特的纤维编织技术使手套也拥有了供氧循环功能。</t>
        </is>
      </c>
    </row>
    <row r="110">
      <c r="A110" t="inlineStr">
        <is>
          <t>item_equip_t4_suit_atb01_edc_01</t>
        </is>
      </c>
      <c r="B110" t="inlineStr">
        <is>
          <t>拓荒通信器</t>
        </is>
      </c>
      <c r="C110" t="inlineStr">
        <is>
          <t>武陵</t>
        </is>
      </c>
      <c r="D110" t="n">
        <v>70</v>
      </c>
      <c r="E110" t="inlineStr">
        <is>
          <t>配件</t>
        </is>
      </c>
      <c r="F110" t="n">
        <v>5</v>
      </c>
      <c r="G110" t="inlineStr">
        <is>
          <t>防御力 +21</t>
        </is>
      </c>
      <c r="H110" t="n">
        <v>0</v>
      </c>
      <c r="I110" t="inlineStr"/>
      <c r="J110" t="n">
        <v>0</v>
      </c>
      <c r="K110" t="inlineStr"/>
      <c r="L110" t="n">
        <v>0</v>
      </c>
      <c r="M110" t="inlineStr"/>
      <c r="N110" t="inlineStr">
        <is>
          <t>suit_atb01</t>
        </is>
      </c>
      <c r="O110" t="inlineStr">
        <is>
          <t>拓荒</t>
        </is>
      </c>
      <c r="P110" t="inlineStr">
        <is>
          <r>
            <rPr/>
            <t>3件套组效果：装备者连携技冷却缩减</t>
          </r>
          <r>
            <rPr>
              <b val="1"/>
              <color rgb="009eb7ff"/>
            </rPr>
            <t>+15%</t>
          </r>
          <r>
            <rPr/>
            <t>。装备者通过技能恢复技力后，全队造成的伤害</t>
          </r>
          <r>
            <rPr>
              <b val="1"/>
              <color rgb="009eb7ff"/>
            </rPr>
            <t>+16%</t>
          </r>
          <r>
            <rPr/>
            <t>，持续15秒，该效果无法叠加。</t>
          </r>
        </is>
      </c>
      <c r="Q110" t="inlineStr">
        <is>
          <t>本装备由北进重工支援所设计，使用集成工业系统制造，能够提高使用者的作战能力。厚重的通信器。为了在状况复杂的地下遗迹开掘现场保证通信质量，设计师仅为拓荒通信器保留了信息传递功能。</t>
        </is>
      </c>
    </row>
    <row r="111">
      <c r="A111" t="inlineStr">
        <is>
          <t>item_equip_t4_suit_atb01_edc_02</t>
        </is>
      </c>
      <c r="B111" t="inlineStr">
        <is>
          <t>拓荒通信器·壹型</t>
        </is>
      </c>
      <c r="C111" t="inlineStr">
        <is>
          <t>武陵</t>
        </is>
      </c>
      <c r="D111" t="n">
        <v>70</v>
      </c>
      <c r="E111" t="inlineStr">
        <is>
          <t>配件</t>
        </is>
      </c>
      <c r="F111" t="n">
        <v>5</v>
      </c>
      <c r="G111" t="inlineStr">
        <is>
          <t>防御力 +21</t>
        </is>
      </c>
      <c r="H111" t="n">
        <v>0</v>
      </c>
      <c r="I111" t="inlineStr"/>
      <c r="J111" t="n">
        <v>0</v>
      </c>
      <c r="K111" t="inlineStr"/>
      <c r="L111" t="n">
        <v>0</v>
      </c>
      <c r="M111" t="inlineStr"/>
      <c r="N111" t="inlineStr">
        <is>
          <t>suit_atb01</t>
        </is>
      </c>
      <c r="O111" t="inlineStr">
        <is>
          <t>拓荒</t>
        </is>
      </c>
      <c r="P111" t="inlineStr">
        <is>
          <r>
            <rPr/>
            <t>3件套组效果：装备者连携技冷却缩减</t>
          </r>
          <r>
            <rPr>
              <b val="1"/>
              <color rgb="009eb7ff"/>
            </rPr>
            <t>+15%</t>
          </r>
          <r>
            <rPr/>
            <t>。装备者通过技能恢复技力后，全队造成的伤害</t>
          </r>
          <r>
            <rPr>
              <b val="1"/>
              <color rgb="009eb7ff"/>
            </rPr>
            <t>+16%</t>
          </r>
          <r>
            <rPr/>
            <t>，持续15秒，该效果无法叠加。</t>
          </r>
        </is>
      </c>
      <c r="Q111" t="inlineStr">
        <is>
          <t>本装备由北进重工支援所设计，使用集成工业系统制造，能够提高使用者的作战能力。厚重的通信器。为了在状况复杂的地下遗迹开掘现场保证通信质量，设计师仅为拓荒通信器保留了信息传递功能。</t>
        </is>
      </c>
    </row>
    <row r="112">
      <c r="A112" t="inlineStr">
        <is>
          <t>item_equip_t4_suit_atb01_edc_03</t>
        </is>
      </c>
      <c r="B112" t="inlineStr">
        <is>
          <t>拓荒分析仪</t>
        </is>
      </c>
      <c r="C112" t="inlineStr">
        <is>
          <t>武陵</t>
        </is>
      </c>
      <c r="D112" t="n">
        <v>70</v>
      </c>
      <c r="E112" t="inlineStr">
        <is>
          <t>配件</t>
        </is>
      </c>
      <c r="F112" t="n">
        <v>5</v>
      </c>
      <c r="G112" t="inlineStr">
        <is>
          <t>防御力 +21</t>
        </is>
      </c>
      <c r="H112" t="n">
        <v>0</v>
      </c>
      <c r="I112" t="inlineStr"/>
      <c r="J112" t="n">
        <v>0</v>
      </c>
      <c r="K112" t="inlineStr"/>
      <c r="L112" t="n">
        <v>0</v>
      </c>
      <c r="M112" t="inlineStr"/>
      <c r="N112" t="inlineStr">
        <is>
          <t>suit_atb01</t>
        </is>
      </c>
      <c r="O112" t="inlineStr">
        <is>
          <t>拓荒</t>
        </is>
      </c>
      <c r="P112" t="inlineStr">
        <is>
          <r>
            <rPr/>
            <t>3件套组效果：装备者连携技冷却缩减</t>
          </r>
          <r>
            <rPr>
              <b val="1"/>
              <color rgb="009eb7ff"/>
            </rPr>
            <t>+15%</t>
          </r>
          <r>
            <rPr/>
            <t>。装备者通过技能恢复技力后，全队造成的伤害</t>
          </r>
          <r>
            <rPr>
              <b val="1"/>
              <color rgb="009eb7ff"/>
            </rPr>
            <t>+16%</t>
          </r>
          <r>
            <rPr/>
            <t>，持续15秒，该效果无法叠加。</t>
          </r>
        </is>
      </c>
      <c r="Q112" t="inlineStr">
        <is>
          <t>本装备由北进重工支援所设计，使用集成工业系统制造，能够提高使用者的作战能力。拓荒者系列辅助装备安全性分析仪器——它能够以图像识别的方式，对未知物做出基础安全性评估。</t>
        </is>
      </c>
    </row>
    <row r="113">
      <c r="A113" t="inlineStr">
        <is>
          <t>item_equip_t4_suit_atb01_edc_04</t>
        </is>
      </c>
      <c r="B113" t="inlineStr">
        <is>
          <t>拓荒增量供氧栓</t>
        </is>
      </c>
      <c r="C113" t="inlineStr">
        <is>
          <t>武陵</t>
        </is>
      </c>
      <c r="D113" t="n">
        <v>70</v>
      </c>
      <c r="E113" t="inlineStr">
        <is>
          <t>配件</t>
        </is>
      </c>
      <c r="F113" t="n">
        <v>5</v>
      </c>
      <c r="G113" t="inlineStr">
        <is>
          <t>防御力 +21</t>
        </is>
      </c>
      <c r="H113" t="n">
        <v>0</v>
      </c>
      <c r="I113" t="inlineStr"/>
      <c r="J113" t="n">
        <v>0</v>
      </c>
      <c r="K113" t="inlineStr"/>
      <c r="L113" t="n">
        <v>0</v>
      </c>
      <c r="M113" t="inlineStr"/>
      <c r="N113" t="inlineStr">
        <is>
          <t>suit_atb01</t>
        </is>
      </c>
      <c r="O113" t="inlineStr">
        <is>
          <t>拓荒</t>
        </is>
      </c>
      <c r="P113" t="inlineStr">
        <is>
          <r>
            <rPr/>
            <t>3件套组效果：装备者连携技冷却缩减</t>
          </r>
          <r>
            <rPr>
              <b val="1"/>
              <color rgb="009eb7ff"/>
            </rPr>
            <t>+15%</t>
          </r>
          <r>
            <rPr/>
            <t>。装备者通过技能恢复技力后，全队造成的伤害</t>
          </r>
          <r>
            <rPr>
              <b val="1"/>
              <color rgb="009eb7ff"/>
            </rPr>
            <t>+16%</t>
          </r>
          <r>
            <rPr/>
            <t>，持续15秒，该效果无法叠加。</t>
          </r>
        </is>
      </c>
      <c r="Q113" t="inlineStr">
        <is>
          <t>本装备由北进重工支援所设计，使用集成工业系统制造，能够提高使用者的作战能力。在拓荒者系列装备的循环供氧技术支持下，供氧栓保障了使用者至少能够进行四小时水下高压作业。升级后，作业时间能延长至六小时。</t>
        </is>
      </c>
    </row>
    <row r="114">
      <c r="A114" t="inlineStr">
        <is>
          <t>item_equip_t4_suit_atb01_edc_05</t>
        </is>
      </c>
      <c r="B114" t="inlineStr">
        <is>
          <t>拓荒供氧栓</t>
        </is>
      </c>
      <c r="C114" t="inlineStr">
        <is>
          <t>武陵</t>
        </is>
      </c>
      <c r="D114" t="n">
        <v>70</v>
      </c>
      <c r="E114" t="inlineStr">
        <is>
          <t>配件</t>
        </is>
      </c>
      <c r="F114" t="n">
        <v>5</v>
      </c>
      <c r="G114" t="inlineStr">
        <is>
          <t>防御力 +21</t>
        </is>
      </c>
      <c r="H114" t="n">
        <v>0</v>
      </c>
      <c r="I114" t="inlineStr"/>
      <c r="J114" t="n">
        <v>0</v>
      </c>
      <c r="K114" t="inlineStr"/>
      <c r="L114" t="n">
        <v>0</v>
      </c>
      <c r="M114" t="inlineStr"/>
      <c r="N114" t="inlineStr">
        <is>
          <t>suit_atb01</t>
        </is>
      </c>
      <c r="O114" t="inlineStr">
        <is>
          <t>拓荒</t>
        </is>
      </c>
      <c r="P114" t="inlineStr">
        <is>
          <r>
            <rPr/>
            <t>3件套组效果：装备者连携技冷却缩减</t>
          </r>
          <r>
            <rPr>
              <b val="1"/>
              <color rgb="009eb7ff"/>
            </rPr>
            <t>+15%</t>
          </r>
          <r>
            <rPr/>
            <t>。装备者通过技能恢复技力后，全队造成的伤害</t>
          </r>
          <r>
            <rPr>
              <b val="1"/>
              <color rgb="009eb7ff"/>
            </rPr>
            <t>+16%</t>
          </r>
          <r>
            <rPr/>
            <t>，持续15秒，该效果无法叠加。</t>
          </r>
        </is>
      </c>
      <c r="Q114" t="inlineStr">
        <is>
          <t>本装备由北进重工支援所设计，使用集成工业系统制造，能够提高使用者的作战能力。在拓荒者系列装备的循环供氧技术支持下，供氧栓保障了使用者至少能够进行四小时水下高压作业。</t>
        </is>
      </c>
    </row>
    <row r="115">
      <c r="A115" t="inlineStr">
        <is>
          <t>item_equip_t4_suit_fire_natr01_body_01</t>
        </is>
      </c>
      <c r="B115" t="inlineStr">
        <is>
          <t>动火用外骨骼</t>
        </is>
      </c>
      <c r="C115" t="inlineStr">
        <is>
          <t>武陵</t>
        </is>
      </c>
      <c r="D115" t="n">
        <v>70</v>
      </c>
      <c r="E115" t="inlineStr">
        <is>
          <t>护甲</t>
        </is>
      </c>
      <c r="F115" t="n">
        <v>5</v>
      </c>
      <c r="G115" t="inlineStr">
        <is>
          <t>防御力 +56</t>
        </is>
      </c>
      <c r="H115" t="n">
        <v>0</v>
      </c>
      <c r="I115" t="inlineStr"/>
      <c r="J115" t="n">
        <v>0</v>
      </c>
      <c r="K115" t="inlineStr"/>
      <c r="L115" t="n">
        <v>0</v>
      </c>
      <c r="M115" t="inlineStr"/>
      <c r="N115" t="inlineStr">
        <is>
          <t>suit_fire_natr01</t>
        </is>
      </c>
      <c r="O115" t="inlineStr">
        <is>
          <t>动火用</t>
        </is>
      </c>
      <c r="P115"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15" t="inlineStr">
        <is>
          <t>本装备由终末地工业自研，使用集成工业系统制造，能够提高使用者的作战能力。耐火性极强的装备。 “人类必将踏遍塔卫二每一寸土地”，奉献者们如此相信，因此愿意在大海之中遏止激流，在焦土之上降伏火焰。</t>
        </is>
      </c>
    </row>
    <row r="116">
      <c r="A116" t="inlineStr">
        <is>
          <t>item_equip_t4_suit_fire_natr01_body_02</t>
        </is>
      </c>
      <c r="B116" t="inlineStr">
        <is>
          <t>动火用辅助骨骼</t>
        </is>
      </c>
      <c r="C116" t="inlineStr">
        <is>
          <t>武陵</t>
        </is>
      </c>
      <c r="D116" t="n">
        <v>70</v>
      </c>
      <c r="E116" t="inlineStr">
        <is>
          <t>护甲</t>
        </is>
      </c>
      <c r="F116" t="n">
        <v>5</v>
      </c>
      <c r="G116" t="inlineStr">
        <is>
          <t>防御力 +56</t>
        </is>
      </c>
      <c r="H116" t="n">
        <v>0</v>
      </c>
      <c r="I116" t="inlineStr"/>
      <c r="J116" t="n">
        <v>0</v>
      </c>
      <c r="K116" t="inlineStr"/>
      <c r="L116" t="n">
        <v>0</v>
      </c>
      <c r="M116" t="inlineStr"/>
      <c r="N116" t="inlineStr">
        <is>
          <t>suit_fire_natr01</t>
        </is>
      </c>
      <c r="O116" t="inlineStr">
        <is>
          <t>动火用</t>
        </is>
      </c>
      <c r="P116"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16" t="inlineStr">
        <is>
          <t>本装备由终末地工业自研，使用集成工业系统制造，能够提高使用者的作战能力。耐火性极强的装备。 高温仍是消灭生物最高效的手段。</t>
        </is>
      </c>
    </row>
    <row r="117">
      <c r="A117" t="inlineStr">
        <is>
          <t>item_equip_t4_suit_fire_natr01_hand_02</t>
        </is>
      </c>
      <c r="B117" t="inlineStr">
        <is>
          <t>动火用手甲</t>
        </is>
      </c>
      <c r="C117" t="inlineStr">
        <is>
          <t>武陵</t>
        </is>
      </c>
      <c r="D117" t="n">
        <v>70</v>
      </c>
      <c r="E117" t="inlineStr">
        <is>
          <t>护手</t>
        </is>
      </c>
      <c r="F117" t="n">
        <v>5</v>
      </c>
      <c r="G117" t="inlineStr">
        <is>
          <t>防御力 +42</t>
        </is>
      </c>
      <c r="H117" t="n">
        <v>0</v>
      </c>
      <c r="I117" t="inlineStr"/>
      <c r="J117" t="n">
        <v>0</v>
      </c>
      <c r="K117" t="inlineStr"/>
      <c r="L117" t="n">
        <v>0</v>
      </c>
      <c r="M117" t="inlineStr"/>
      <c r="N117" t="inlineStr">
        <is>
          <t>suit_fire_natr01</t>
        </is>
      </c>
      <c r="O117" t="inlineStr">
        <is>
          <t>动火用</t>
        </is>
      </c>
      <c r="P117"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17" t="inlineStr">
        <is>
          <t>本装备由终末地工业自研，使用集成工业系统制造，能够提高使用者的作战能力。耐火性极强的装备。 “嘘，小声点，你就要唤醒它了。”</t>
        </is>
      </c>
    </row>
    <row r="118">
      <c r="A118" t="inlineStr">
        <is>
          <t>item_equip_t4_suit_fire_natr01_hand_03</t>
        </is>
      </c>
      <c r="B118" t="inlineStr">
        <is>
          <t>动火用手甲·壹型</t>
        </is>
      </c>
      <c r="C118" t="inlineStr">
        <is>
          <t>武陵</t>
        </is>
      </c>
      <c r="D118" t="n">
        <v>70</v>
      </c>
      <c r="E118" t="inlineStr">
        <is>
          <t>护手</t>
        </is>
      </c>
      <c r="F118" t="n">
        <v>5</v>
      </c>
      <c r="G118" t="inlineStr">
        <is>
          <t>防御力 +42</t>
        </is>
      </c>
      <c r="H118" t="n">
        <v>0</v>
      </c>
      <c r="I118" t="inlineStr"/>
      <c r="J118" t="n">
        <v>0</v>
      </c>
      <c r="K118" t="inlineStr"/>
      <c r="L118" t="n">
        <v>0</v>
      </c>
      <c r="M118" t="inlineStr"/>
      <c r="N118" t="inlineStr">
        <is>
          <t>suit_fire_natr01</t>
        </is>
      </c>
      <c r="O118" t="inlineStr">
        <is>
          <t>动火用</t>
        </is>
      </c>
      <c r="P118"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18" t="inlineStr">
        <is>
          <t>本装备由终末地工业自研，使用集成工业系统制造，能够提高使用者的作战能力。耐火性极强的装备。 “嘘，小声点，你就要唤醒它了。”</t>
        </is>
      </c>
    </row>
    <row r="119">
      <c r="A119" t="inlineStr">
        <is>
          <t>item_equip_t4_suit_fire_natr01_hand_01</t>
        </is>
      </c>
      <c r="B119" t="inlineStr">
        <is>
          <t>动火用手套</t>
        </is>
      </c>
      <c r="C119" t="inlineStr">
        <is>
          <t>武陵</t>
        </is>
      </c>
      <c r="D119" t="n">
        <v>70</v>
      </c>
      <c r="E119" t="inlineStr">
        <is>
          <t>护手</t>
        </is>
      </c>
      <c r="F119" t="n">
        <v>5</v>
      </c>
      <c r="G119" t="inlineStr">
        <is>
          <t>防御力 +42</t>
        </is>
      </c>
      <c r="H119" t="n">
        <v>0</v>
      </c>
      <c r="I119" t="inlineStr"/>
      <c r="J119" t="n">
        <v>0</v>
      </c>
      <c r="K119" t="inlineStr"/>
      <c r="L119" t="n">
        <v>0</v>
      </c>
      <c r="M119" t="inlineStr"/>
      <c r="N119" t="inlineStr">
        <is>
          <t>suit_fire_natr01</t>
        </is>
      </c>
      <c r="O119" t="inlineStr">
        <is>
          <t>动火用</t>
        </is>
      </c>
      <c r="P119"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19" t="inlineStr">
        <is>
          <t>本装备由终末地工业自研，使用集成工业系统制造，能够提高使用者的作战能力。耐火性极强的装备。 为了深入高温环境进行探索，联盟工团与终末地工业合力研发了动火用系列装备。</t>
        </is>
      </c>
    </row>
    <row r="120">
      <c r="A120" t="inlineStr">
        <is>
          <t>item_equip_t4_suit_fire_natr01_edc_02</t>
        </is>
      </c>
      <c r="B120" t="inlineStr">
        <is>
          <t>动火用测温镜</t>
        </is>
      </c>
      <c r="C120" t="inlineStr">
        <is>
          <t>武陵</t>
        </is>
      </c>
      <c r="D120" t="n">
        <v>70</v>
      </c>
      <c r="E120" t="inlineStr">
        <is>
          <t>配件</t>
        </is>
      </c>
      <c r="F120" t="n">
        <v>5</v>
      </c>
      <c r="G120" t="inlineStr">
        <is>
          <t>防御力 +21</t>
        </is>
      </c>
      <c r="H120" t="n">
        <v>0</v>
      </c>
      <c r="I120" t="inlineStr"/>
      <c r="J120" t="n">
        <v>0</v>
      </c>
      <c r="K120" t="inlineStr"/>
      <c r="L120" t="n">
        <v>0</v>
      </c>
      <c r="M120" t="inlineStr"/>
      <c r="N120" t="inlineStr">
        <is>
          <t>suit_fire_natr01</t>
        </is>
      </c>
      <c r="O120" t="inlineStr">
        <is>
          <t>动火用</t>
        </is>
      </c>
      <c r="P120"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20" t="inlineStr">
        <is>
          <t>本装备由终末地工业自研，使用集成工业系统制造，能够提高使用者的作战能力。耐火性极强的装备。 极高温的环境并不可怕，但若是一处环境的温度会毫无理由地变化，那就需要警惕了。</t>
        </is>
      </c>
    </row>
    <row r="121">
      <c r="A121" t="inlineStr">
        <is>
          <t>item_equip_t4_suit_fire_natr01_edc_01</t>
        </is>
      </c>
      <c r="B121" t="inlineStr">
        <is>
          <t>动火用储能匣</t>
        </is>
      </c>
      <c r="C121" t="inlineStr">
        <is>
          <t>武陵</t>
        </is>
      </c>
      <c r="D121" t="n">
        <v>70</v>
      </c>
      <c r="E121" t="inlineStr">
        <is>
          <t>配件</t>
        </is>
      </c>
      <c r="F121" t="n">
        <v>5</v>
      </c>
      <c r="G121" t="inlineStr">
        <is>
          <t>防御力 +21</t>
        </is>
      </c>
      <c r="H121" t="n">
        <v>0</v>
      </c>
      <c r="I121" t="inlineStr"/>
      <c r="J121" t="n">
        <v>0</v>
      </c>
      <c r="K121" t="inlineStr"/>
      <c r="L121" t="n">
        <v>0</v>
      </c>
      <c r="M121" t="inlineStr"/>
      <c r="N121" t="inlineStr">
        <is>
          <t>suit_fire_natr01</t>
        </is>
      </c>
      <c r="O121" t="inlineStr">
        <is>
          <t>动火用</t>
        </is>
      </c>
      <c r="P121"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21" t="inlineStr">
        <is>
          <t>本装备由终末地工业自研，使用集成工业系统制造，能够提高使用者的作战能力。耐火性极强的装备。 动火用储能匣也可以被视为一个微型发电站，它能够有效利用环境高温，为使用者提供能源。</t>
        </is>
      </c>
    </row>
    <row r="122">
      <c r="A122" t="inlineStr">
        <is>
          <t>item_equip_t4_suit_fire_natr01_edc_03</t>
        </is>
      </c>
      <c r="B122" t="inlineStr">
        <is>
          <t>动火用电力匣</t>
        </is>
      </c>
      <c r="C122" t="inlineStr">
        <is>
          <t>武陵</t>
        </is>
      </c>
      <c r="D122" t="n">
        <v>70</v>
      </c>
      <c r="E122" t="inlineStr">
        <is>
          <t>配件</t>
        </is>
      </c>
      <c r="F122" t="n">
        <v>5</v>
      </c>
      <c r="G122" t="inlineStr">
        <is>
          <t>防御力 +21</t>
        </is>
      </c>
      <c r="H122" t="n">
        <v>0</v>
      </c>
      <c r="I122" t="inlineStr"/>
      <c r="J122" t="n">
        <v>0</v>
      </c>
      <c r="K122" t="inlineStr"/>
      <c r="L122" t="n">
        <v>0</v>
      </c>
      <c r="M122" t="inlineStr"/>
      <c r="N122" t="inlineStr">
        <is>
          <t>suit_fire_natr01</t>
        </is>
      </c>
      <c r="O122" t="inlineStr">
        <is>
          <t>动火用</t>
        </is>
      </c>
      <c r="P122" t="inlineStr">
        <is>
          <r>
            <rPr/>
            <t>3件套组效果：装备者源石技艺强度</t>
          </r>
          <r>
            <rPr>
              <b val="1"/>
              <color rgb="009eb7ff"/>
            </rPr>
            <t>+30</t>
          </r>
          <r>
            <rPr/>
            <t>。当装备者施加</t>
          </r>
          <r>
            <rPr>
              <b val="1"/>
              <color rgb="00ff8e59"/>
              <u val="single"/>
            </rPr>
            <t>燃烧</t>
          </r>
          <r>
            <rPr/>
            <t>后，</t>
          </r>
          <r>
            <rPr>
              <b val="1"/>
              <color rgb="00ff8e59"/>
            </rPr>
            <t>灼热伤害</t>
          </r>
          <r>
            <rPr/>
            <t>+</t>
          </r>
          <r>
            <rPr>
              <b val="1"/>
              <color rgb="009eb7ff"/>
            </rPr>
            <t>50%</t>
          </r>
          <r>
            <rPr/>
            <t>，持续10秒，该效果无法叠加；当装备者施加</t>
          </r>
          <r>
            <rPr>
              <b val="1"/>
              <color rgb="00b4d945"/>
              <u val="single"/>
            </rPr>
            <t>腐蚀</t>
          </r>
          <r>
            <rPr/>
            <t>后，</t>
          </r>
          <r>
            <rPr>
              <b val="1"/>
              <color rgb="00b4d945"/>
            </rPr>
            <t>自然伤害</t>
          </r>
          <r>
            <rPr/>
            <t>+</t>
          </r>
          <r>
            <rPr>
              <b val="1"/>
              <color rgb="009eb7ff"/>
            </rPr>
            <t>50%</t>
          </r>
          <r>
            <rPr/>
            <t>，持续10秒，该效果无法叠加。</t>
          </r>
        </is>
      </c>
      <c r="Q122" t="inlineStr">
        <is>
          <t>本装备由终末地工业自研，使用集成工业系统制造，能够提高使用者的作战能力。耐火性极强的装备。 “在那座火山中，有人听到了歌声。”</t>
        </is>
      </c>
    </row>
    <row r="123">
      <c r="A123" t="inlineStr">
        <is>
          <t>item_equip_t4_suit_criti01_body_01</t>
        </is>
      </c>
      <c r="B123" t="inlineStr">
        <is>
          <t>M.I.警用护甲</t>
        </is>
      </c>
      <c r="C123" t="inlineStr">
        <is>
          <t>武陵</t>
        </is>
      </c>
      <c r="D123" t="n">
        <v>70</v>
      </c>
      <c r="E123" t="inlineStr">
        <is>
          <t>护甲</t>
        </is>
      </c>
      <c r="F123" t="n">
        <v>5</v>
      </c>
      <c r="G123" t="inlineStr">
        <is>
          <t>防御力 +56</t>
        </is>
      </c>
      <c r="H123" t="n">
        <v>0</v>
      </c>
      <c r="I123" t="inlineStr"/>
      <c r="J123" t="n">
        <v>0</v>
      </c>
      <c r="K123" t="inlineStr"/>
      <c r="L123" t="n">
        <v>0</v>
      </c>
      <c r="M123" t="inlineStr"/>
      <c r="N123" t="inlineStr">
        <is>
          <t>suit_criti01</t>
        </is>
      </c>
      <c r="O123" t="inlineStr">
        <is>
          <t>M.I.警用</t>
        </is>
      </c>
      <c r="P123"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3" t="inlineStr">
        <is>
          <t>本装备由梅什科工业设计，使用集成工业系统制造，能够提高使用者的作战能力。M.I.警用系列装备。 它最初服役于人类与天使对抗的一线战场。</t>
        </is>
      </c>
    </row>
    <row r="124">
      <c r="A124" t="inlineStr">
        <is>
          <t>item_equip_t4_suit_criti01_body_06</t>
        </is>
      </c>
      <c r="B124" t="inlineStr">
        <is>
          <t>M.I.警用护甲·壹型</t>
        </is>
      </c>
      <c r="C124" t="inlineStr">
        <is>
          <t>武陵</t>
        </is>
      </c>
      <c r="D124" t="n">
        <v>70</v>
      </c>
      <c r="E124" t="inlineStr">
        <is>
          <t>护甲</t>
        </is>
      </c>
      <c r="F124" t="n">
        <v>5</v>
      </c>
      <c r="G124" t="inlineStr">
        <is>
          <t>防御力 +56</t>
        </is>
      </c>
      <c r="H124" t="n">
        <v>0</v>
      </c>
      <c r="I124" t="inlineStr"/>
      <c r="J124" t="n">
        <v>0</v>
      </c>
      <c r="K124" t="inlineStr"/>
      <c r="L124" t="n">
        <v>0</v>
      </c>
      <c r="M124" t="inlineStr"/>
      <c r="N124" t="inlineStr">
        <is>
          <t>suit_criti01</t>
        </is>
      </c>
      <c r="O124" t="inlineStr">
        <is>
          <t>M.I.警用</t>
        </is>
      </c>
      <c r="P124"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4" t="inlineStr">
        <is>
          <t>本装备由梅什科工业设计，使用集成工业系统制造，能够提高使用者的作战能力。 M.I.警用系列装备。 它最初服役于人类与天使对抗的一线战场。</t>
        </is>
      </c>
    </row>
    <row r="125">
      <c r="A125" t="inlineStr">
        <is>
          <t>item_equip_t4_suit_criti01_body_02</t>
        </is>
      </c>
      <c r="B125" t="inlineStr">
        <is>
          <t>M.I.警用罩衣</t>
        </is>
      </c>
      <c r="C125" t="inlineStr">
        <is>
          <t>武陵</t>
        </is>
      </c>
      <c r="D125" t="n">
        <v>70</v>
      </c>
      <c r="E125" t="inlineStr">
        <is>
          <t>护甲</t>
        </is>
      </c>
      <c r="F125" t="n">
        <v>5</v>
      </c>
      <c r="G125" t="inlineStr">
        <is>
          <t>防御力 +56</t>
        </is>
      </c>
      <c r="H125" t="n">
        <v>0</v>
      </c>
      <c r="I125" t="inlineStr"/>
      <c r="J125" t="n">
        <v>0</v>
      </c>
      <c r="K125" t="inlineStr"/>
      <c r="L125" t="n">
        <v>0</v>
      </c>
      <c r="M125" t="inlineStr"/>
      <c r="N125" t="inlineStr">
        <is>
          <t>suit_criti01</t>
        </is>
      </c>
      <c r="O125" t="inlineStr">
        <is>
          <t>M.I.警用</t>
        </is>
      </c>
      <c r="P125"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5" t="inlineStr">
        <is>
          <t>本装备由梅什科工业设计，使用集成工业系统制造，能够提高使用者的作战能力。M.I.警用系列装备。 在战争结束后，梅什科工业调整了生产线，以优秀的轻量化工艺获得了城市警用装备的供应资格。</t>
        </is>
      </c>
    </row>
    <row r="126">
      <c r="A126" t="inlineStr">
        <is>
          <t>item_equip_t4_suit_criti01_body_03</t>
        </is>
      </c>
      <c r="B126" t="inlineStr">
        <is>
          <t>M.I.警用罩衣·壹型</t>
        </is>
      </c>
      <c r="C126" t="inlineStr">
        <is>
          <t>武陵</t>
        </is>
      </c>
      <c r="D126" t="n">
        <v>70</v>
      </c>
      <c r="E126" t="inlineStr">
        <is>
          <t>护甲</t>
        </is>
      </c>
      <c r="F126" t="n">
        <v>5</v>
      </c>
      <c r="G126" t="inlineStr">
        <is>
          <t>防御力 +56</t>
        </is>
      </c>
      <c r="H126" t="n">
        <v>0</v>
      </c>
      <c r="I126" t="inlineStr"/>
      <c r="J126" t="n">
        <v>0</v>
      </c>
      <c r="K126" t="inlineStr"/>
      <c r="L126" t="n">
        <v>0</v>
      </c>
      <c r="M126" t="inlineStr"/>
      <c r="N126" t="inlineStr">
        <is>
          <t>suit_criti01</t>
        </is>
      </c>
      <c r="O126" t="inlineStr">
        <is>
          <t>M.I.警用</t>
        </is>
      </c>
      <c r="P126"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6" t="inlineStr">
        <is>
          <t>本装备由梅什科工业设计，使用集成工业系统制造，能够提高使用者的作战能力。M.I.警用系列装备。 在战争结束后，梅什科工业调整了生产线，以优秀的轻量化工艺获得了城市警用装备的供应资格。</t>
        </is>
      </c>
    </row>
    <row r="127">
      <c r="A127" t="inlineStr">
        <is>
          <t>item_equip_t4_suit_criti01_body_04</t>
        </is>
      </c>
      <c r="B127" t="inlineStr">
        <is>
          <t>M.I.警用罩衣·贰型</t>
        </is>
      </c>
      <c r="C127" t="inlineStr">
        <is>
          <t>武陵</t>
        </is>
      </c>
      <c r="D127" t="n">
        <v>70</v>
      </c>
      <c r="E127" t="inlineStr">
        <is>
          <t>护甲</t>
        </is>
      </c>
      <c r="F127" t="n">
        <v>5</v>
      </c>
      <c r="G127" t="inlineStr">
        <is>
          <t>防御力 +56</t>
        </is>
      </c>
      <c r="H127" t="n">
        <v>0</v>
      </c>
      <c r="I127" t="inlineStr"/>
      <c r="J127" t="n">
        <v>0</v>
      </c>
      <c r="K127" t="inlineStr"/>
      <c r="L127" t="n">
        <v>0</v>
      </c>
      <c r="M127" t="inlineStr"/>
      <c r="N127" t="inlineStr">
        <is>
          <t>suit_criti01</t>
        </is>
      </c>
      <c r="O127" t="inlineStr">
        <is>
          <t>M.I.警用</t>
        </is>
      </c>
      <c r="P127"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7" t="inlineStr">
        <is>
          <t>本装备由梅什科工业设计，使用集成工业系统制造，能够提高使用者的作战能力。M.I.警用系列装备。 在战争结束后，梅什科工业调整了生产线，以优秀的轻量化工艺获得了城市警用装备的供应资格。</t>
        </is>
      </c>
    </row>
    <row r="128">
      <c r="A128" t="inlineStr">
        <is>
          <t>item_equip_t4_suit_criti01_hand_01</t>
        </is>
      </c>
      <c r="B128" t="inlineStr">
        <is>
          <t>M.I.警用手套</t>
        </is>
      </c>
      <c r="C128" t="inlineStr">
        <is>
          <t>武陵</t>
        </is>
      </c>
      <c r="D128" t="n">
        <v>70</v>
      </c>
      <c r="E128" t="inlineStr">
        <is>
          <t>护手</t>
        </is>
      </c>
      <c r="F128" t="n">
        <v>5</v>
      </c>
      <c r="G128" t="inlineStr">
        <is>
          <t>防御力 +42</t>
        </is>
      </c>
      <c r="H128" t="n">
        <v>0</v>
      </c>
      <c r="I128" t="inlineStr"/>
      <c r="J128" t="n">
        <v>0</v>
      </c>
      <c r="K128" t="inlineStr"/>
      <c r="L128" t="n">
        <v>0</v>
      </c>
      <c r="M128" t="inlineStr"/>
      <c r="N128" t="inlineStr">
        <is>
          <t>suit_criti01</t>
        </is>
      </c>
      <c r="O128" t="inlineStr">
        <is>
          <t>M.I.警用</t>
        </is>
      </c>
      <c r="P128"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8" t="inlineStr">
        <is>
          <t>本装备由梅什科工业设计，使用集成工业系统制造，能够提高使用者的作战能力。M.I.警用系列装备。 这款手套同时具备攻击属性，其验收流程中存在“能否有效击碎天使肢体”这一环节。</t>
        </is>
      </c>
    </row>
    <row r="129">
      <c r="A129" t="inlineStr">
        <is>
          <t>item_equip_t4_suit_criti01_hand_04</t>
        </is>
      </c>
      <c r="B129" t="inlineStr">
        <is>
          <t>M.I.警用手套·壹型</t>
        </is>
      </c>
      <c r="C129" t="inlineStr">
        <is>
          <t>武陵</t>
        </is>
      </c>
      <c r="D129" t="n">
        <v>70</v>
      </c>
      <c r="E129" t="inlineStr">
        <is>
          <t>护手</t>
        </is>
      </c>
      <c r="F129" t="n">
        <v>5</v>
      </c>
      <c r="G129" t="inlineStr">
        <is>
          <t>防御力 +42</t>
        </is>
      </c>
      <c r="H129" t="n">
        <v>0</v>
      </c>
      <c r="I129" t="inlineStr"/>
      <c r="J129" t="n">
        <v>0</v>
      </c>
      <c r="K129" t="inlineStr"/>
      <c r="L129" t="n">
        <v>0</v>
      </c>
      <c r="M129" t="inlineStr"/>
      <c r="N129" t="inlineStr">
        <is>
          <t>suit_criti01</t>
        </is>
      </c>
      <c r="O129" t="inlineStr">
        <is>
          <t>M.I.警用</t>
        </is>
      </c>
      <c r="P129"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29" t="inlineStr">
        <is>
          <t>本装备由梅什科工业设计，使用集成工业系统制造，能够提高使用者的作战能力。 M.I.警用系列装备。 这款手套同时具备攻击属性，其验收流程中存在“能否有效击碎天使肢体”这一环节。</t>
        </is>
      </c>
    </row>
    <row r="130">
      <c r="A130" t="inlineStr">
        <is>
          <t>item_equip_t4_suit_criti01_hand_02</t>
        </is>
      </c>
      <c r="B130" t="inlineStr">
        <is>
          <t>M.I.警用手环</t>
        </is>
      </c>
      <c r="C130" t="inlineStr">
        <is>
          <t>武陵</t>
        </is>
      </c>
      <c r="D130" t="n">
        <v>70</v>
      </c>
      <c r="E130" t="inlineStr">
        <is>
          <t>护手</t>
        </is>
      </c>
      <c r="F130" t="n">
        <v>5</v>
      </c>
      <c r="G130" t="inlineStr">
        <is>
          <t>防御力 +42</t>
        </is>
      </c>
      <c r="H130" t="n">
        <v>0</v>
      </c>
      <c r="I130" t="inlineStr"/>
      <c r="J130" t="n">
        <v>0</v>
      </c>
      <c r="K130" t="inlineStr"/>
      <c r="L130" t="n">
        <v>0</v>
      </c>
      <c r="M130" t="inlineStr"/>
      <c r="N130" t="inlineStr">
        <is>
          <t>suit_criti01</t>
        </is>
      </c>
      <c r="O130" t="inlineStr">
        <is>
          <t>M.I.警用</t>
        </is>
      </c>
      <c r="P130"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0" t="inlineStr">
        <is>
          <t>本装备由梅什科工业设计，使用集成工业系统制造，能够提高使用者的作战能力。M.I.警用系列装备。 手环内嵌了微型镇暴用施术单元，整体能量传导性能相当优秀。</t>
        </is>
      </c>
    </row>
    <row r="131">
      <c r="A131" t="inlineStr">
        <is>
          <t>item_equip_t4_suit_criti01_hand_03</t>
        </is>
      </c>
      <c r="B131" t="inlineStr">
        <is>
          <t>M.I.警用手环·壹型</t>
        </is>
      </c>
      <c r="C131" t="inlineStr">
        <is>
          <t>武陵</t>
        </is>
      </c>
      <c r="D131" t="n">
        <v>70</v>
      </c>
      <c r="E131" t="inlineStr">
        <is>
          <t>护手</t>
        </is>
      </c>
      <c r="F131" t="n">
        <v>5</v>
      </c>
      <c r="G131" t="inlineStr">
        <is>
          <t>防御力 +42</t>
        </is>
      </c>
      <c r="H131" t="n">
        <v>0</v>
      </c>
      <c r="I131" t="inlineStr"/>
      <c r="J131" t="n">
        <v>0</v>
      </c>
      <c r="K131" t="inlineStr"/>
      <c r="L131" t="n">
        <v>0</v>
      </c>
      <c r="M131" t="inlineStr"/>
      <c r="N131" t="inlineStr">
        <is>
          <t>suit_criti01</t>
        </is>
      </c>
      <c r="O131" t="inlineStr">
        <is>
          <t>M.I.警用</t>
        </is>
      </c>
      <c r="P131"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1" t="inlineStr">
        <is>
          <t>本装备由梅什科工业设计，使用集成工业系统制造，能够提高使用者的作战能力。M.I.警用系列装备。 手环内嵌了微型镇暴用施术单元，整体能量传导性能相当优秀。</t>
        </is>
      </c>
    </row>
    <row r="132">
      <c r="A132" t="inlineStr">
        <is>
          <t>item_equip_t4_suit_criti01_edc_01</t>
        </is>
      </c>
      <c r="B132" t="inlineStr">
        <is>
          <t>M.I.警用臂环</t>
        </is>
      </c>
      <c r="C132" t="inlineStr">
        <is>
          <t>武陵</t>
        </is>
      </c>
      <c r="D132" t="n">
        <v>70</v>
      </c>
      <c r="E132" t="inlineStr">
        <is>
          <t>配件</t>
        </is>
      </c>
      <c r="F132" t="n">
        <v>5</v>
      </c>
      <c r="G132" t="inlineStr">
        <is>
          <t>防御力 +21</t>
        </is>
      </c>
      <c r="H132" t="n">
        <v>0</v>
      </c>
      <c r="I132" t="inlineStr"/>
      <c r="J132" t="n">
        <v>0</v>
      </c>
      <c r="K132" t="inlineStr"/>
      <c r="L132" t="n">
        <v>0</v>
      </c>
      <c r="M132" t="inlineStr"/>
      <c r="N132" t="inlineStr">
        <is>
          <t>suit_criti01</t>
        </is>
      </c>
      <c r="O132" t="inlineStr">
        <is>
          <t>M.I.警用</t>
        </is>
      </c>
      <c r="P132"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2" t="inlineStr">
        <is>
          <t>本装备由梅什科工业设计，使用集成工业系统制造，能够提高使用者的作战能力。M.I.警用系列装备。 “不要寄望于敌人的怜悯，不要寄望于奇迹的降临，你只能相信你的利刃。”</t>
        </is>
      </c>
    </row>
    <row r="133">
      <c r="A133" t="inlineStr">
        <is>
          <t>item_equip_t4_suit_criti01_edc_02</t>
        </is>
      </c>
      <c r="B133" t="inlineStr">
        <is>
          <t>M.I.警用瞄具</t>
        </is>
      </c>
      <c r="C133" t="inlineStr">
        <is>
          <t>武陵</t>
        </is>
      </c>
      <c r="D133" t="n">
        <v>70</v>
      </c>
      <c r="E133" t="inlineStr">
        <is>
          <t>配件</t>
        </is>
      </c>
      <c r="F133" t="n">
        <v>5</v>
      </c>
      <c r="G133" t="inlineStr">
        <is>
          <t>防御力 +21</t>
        </is>
      </c>
      <c r="H133" t="n">
        <v>0</v>
      </c>
      <c r="I133" t="inlineStr"/>
      <c r="J133" t="n">
        <v>0</v>
      </c>
      <c r="K133" t="inlineStr"/>
      <c r="L133" t="n">
        <v>0</v>
      </c>
      <c r="M133" t="inlineStr"/>
      <c r="N133" t="inlineStr">
        <is>
          <t>suit_criti01</t>
        </is>
      </c>
      <c r="O133" t="inlineStr">
        <is>
          <t>M.I.警用</t>
        </is>
      </c>
      <c r="P133"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3" t="inlineStr">
        <is>
          <t>本装备由梅什科工业设计，使用集成工业系统制造，能够提高使用者的作战能力。M.I.警用系列装备。 梅什科工业的部分产品会被走私到荒野上。在一些裂地者暗杀者手中，M.I.警用瞄具是上等品。</t>
        </is>
      </c>
    </row>
    <row r="134">
      <c r="A134" t="inlineStr">
        <is>
          <t>item_equip_t4_suit_criti01_edc_06</t>
        </is>
      </c>
      <c r="B134" t="inlineStr">
        <is>
          <t>M.I.警用瞄具·壹型</t>
        </is>
      </c>
      <c r="C134" t="inlineStr">
        <is>
          <t>武陵</t>
        </is>
      </c>
      <c r="D134" t="n">
        <v>70</v>
      </c>
      <c r="E134" t="inlineStr">
        <is>
          <t>配件</t>
        </is>
      </c>
      <c r="F134" t="n">
        <v>5</v>
      </c>
      <c r="G134" t="inlineStr">
        <is>
          <t>防御力 +21</t>
        </is>
      </c>
      <c r="H134" t="n">
        <v>0</v>
      </c>
      <c r="I134" t="inlineStr"/>
      <c r="J134" t="n">
        <v>0</v>
      </c>
      <c r="K134" t="inlineStr"/>
      <c r="L134" t="n">
        <v>0</v>
      </c>
      <c r="M134" t="inlineStr"/>
      <c r="N134" t="inlineStr">
        <is>
          <t>suit_criti01</t>
        </is>
      </c>
      <c r="O134" t="inlineStr">
        <is>
          <t>M.I.警用</t>
        </is>
      </c>
      <c r="P134"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4" t="inlineStr">
        <is>
          <t>本装备由梅什科工业设计，使用集成工业系统制造，能够提高使用者的作战能力。 M.I.警用系列装备。 梅什科工业的部分产品会被走私到荒野上。在一些裂地者暗杀者手中，M.I.警用瞄具是上等品。</t>
        </is>
      </c>
    </row>
    <row r="135">
      <c r="A135" t="inlineStr">
        <is>
          <t>item_equip_t4_suit_criti01_edc_03</t>
        </is>
      </c>
      <c r="B135" t="inlineStr">
        <is>
          <t>M.I.警用工具组</t>
        </is>
      </c>
      <c r="C135" t="inlineStr">
        <is>
          <t>武陵</t>
        </is>
      </c>
      <c r="D135" t="n">
        <v>70</v>
      </c>
      <c r="E135" t="inlineStr">
        <is>
          <t>配件</t>
        </is>
      </c>
      <c r="F135" t="n">
        <v>5</v>
      </c>
      <c r="G135" t="inlineStr">
        <is>
          <t>防御力 +21</t>
        </is>
      </c>
      <c r="H135" t="n">
        <v>0</v>
      </c>
      <c r="I135" t="inlineStr"/>
      <c r="J135" t="n">
        <v>0</v>
      </c>
      <c r="K135" t="inlineStr"/>
      <c r="L135" t="n">
        <v>0</v>
      </c>
      <c r="M135" t="inlineStr"/>
      <c r="N135" t="inlineStr">
        <is>
          <t>suit_criti01</t>
        </is>
      </c>
      <c r="O135" t="inlineStr">
        <is>
          <t>M.I.警用</t>
        </is>
      </c>
      <c r="P135"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5" t="inlineStr">
        <is>
          <t>本装备由梅什科工业设计，使用集成工业系统制造，能够提高使用者的作战能力。M.I.警用系列装备。 “感谢警员先生，我保证这是我这个月最后一次因为没带钥匙而报警了，我保证！”</t>
        </is>
      </c>
    </row>
    <row r="136">
      <c r="A136" t="inlineStr">
        <is>
          <t>item_equip_t4_suit_criti01_edc_04</t>
        </is>
      </c>
      <c r="B136" t="inlineStr">
        <is>
          <t>M.I.警用刺刃</t>
        </is>
      </c>
      <c r="C136" t="inlineStr">
        <is>
          <t>武陵</t>
        </is>
      </c>
      <c r="D136" t="n">
        <v>70</v>
      </c>
      <c r="E136" t="inlineStr">
        <is>
          <t>配件</t>
        </is>
      </c>
      <c r="F136" t="n">
        <v>5</v>
      </c>
      <c r="G136" t="inlineStr">
        <is>
          <t>防御力 +21</t>
        </is>
      </c>
      <c r="H136" t="n">
        <v>0</v>
      </c>
      <c r="I136" t="inlineStr"/>
      <c r="J136" t="n">
        <v>0</v>
      </c>
      <c r="K136" t="inlineStr"/>
      <c r="L136" t="n">
        <v>0</v>
      </c>
      <c r="M136" t="inlineStr"/>
      <c r="N136" t="inlineStr">
        <is>
          <t>suit_criti01</t>
        </is>
      </c>
      <c r="O136" t="inlineStr">
        <is>
          <t>M.I.警用</t>
        </is>
      </c>
      <c r="P136"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6" t="inlineStr">
        <is>
          <t>本装备由梅什科工业设计，使用集成工业系统制造，能够提高使用者的作战能力。M.I.警用系列装备。 握柄中填装了源石火药。抵住目标，扣下扳机，短刃会瞬间撕开敌人的装甲和血肉，就像切蛋糕一般顺滑。</t>
        </is>
      </c>
    </row>
    <row r="137">
      <c r="A137" t="inlineStr">
        <is>
          <t>item_equip_t4_suit_criti01_edc_05</t>
        </is>
      </c>
      <c r="B137" t="inlineStr">
        <is>
          <t>M.I.警用刺刃·壹型</t>
        </is>
      </c>
      <c r="C137" t="inlineStr">
        <is>
          <t>武陵</t>
        </is>
      </c>
      <c r="D137" t="n">
        <v>70</v>
      </c>
      <c r="E137" t="inlineStr">
        <is>
          <t>配件</t>
        </is>
      </c>
      <c r="F137" t="n">
        <v>5</v>
      </c>
      <c r="G137" t="inlineStr">
        <is>
          <t>防御力 +21</t>
        </is>
      </c>
      <c r="H137" t="n">
        <v>0</v>
      </c>
      <c r="I137" t="inlineStr"/>
      <c r="J137" t="n">
        <v>0</v>
      </c>
      <c r="K137" t="inlineStr"/>
      <c r="L137" t="n">
        <v>0</v>
      </c>
      <c r="M137" t="inlineStr"/>
      <c r="N137" t="inlineStr">
        <is>
          <t>suit_criti01</t>
        </is>
      </c>
      <c r="O137" t="inlineStr">
        <is>
          <t>M.I.警用</t>
        </is>
      </c>
      <c r="P137" t="inlineStr">
        <is>
          <r>
            <rPr/>
            <t>3件套组效果：装备者暴击率</t>
          </r>
          <r>
            <rPr>
              <b val="1"/>
              <color rgb="009eb7ff"/>
            </rPr>
            <t>+5%</t>
          </r>
          <r>
            <rPr/>
            <t>。当装备者触发暴击后，5秒内</t>
          </r>
          <r>
            <rPr>
              <b val="1"/>
              <color rgb="009eb7ff"/>
            </rPr>
            <t>+5%</t>
          </r>
          <r>
            <rPr/>
            <t>攻击力，该效果最多叠加5层。层数叠满后，额外</t>
          </r>
          <r>
            <rPr>
              <b val="1"/>
              <color rgb="009eb7ff"/>
            </rPr>
            <t>+5%</t>
          </r>
          <r>
            <rPr/>
            <t>暴击率，该效果无法叠加。</t>
          </r>
        </is>
      </c>
      <c r="Q137" t="inlineStr">
        <is>
          <t>本装备由梅什科工业设计，使用集成工业系统制造，能够提高使用者的作战能力。M.I.警用系列装备。 握柄中填装了源石火药。抵住目标，扣下扳机，短刃会瞬间撕开敌人的装甲和血肉，就像切蛋糕一般顺滑。</t>
        </is>
      </c>
    </row>
    <row r="138">
      <c r="A138" t="inlineStr">
        <is>
          <t>item_equip_t4_suit_atk02_body_01</t>
        </is>
      </c>
      <c r="B138" t="inlineStr">
        <is>
          <t>50式应龙重甲</t>
        </is>
      </c>
      <c r="C138" t="inlineStr">
        <is>
          <t>武陵</t>
        </is>
      </c>
      <c r="D138" t="n">
        <v>70</v>
      </c>
      <c r="E138" t="inlineStr">
        <is>
          <t>护甲</t>
        </is>
      </c>
      <c r="F138" t="n">
        <v>5</v>
      </c>
      <c r="G138" t="inlineStr">
        <is>
          <t>防御力 +56</t>
        </is>
      </c>
      <c r="H138" t="n">
        <v>0</v>
      </c>
      <c r="I138" t="inlineStr"/>
      <c r="J138" t="n">
        <v>0</v>
      </c>
      <c r="K138" t="inlineStr"/>
      <c r="L138" t="n">
        <v>0</v>
      </c>
      <c r="M138" t="inlineStr"/>
      <c r="N138" t="inlineStr">
        <is>
          <t>suit_atk02</t>
        </is>
      </c>
      <c r="O138" t="inlineStr">
        <is>
          <t>50式应龙</t>
        </is>
      </c>
      <c r="P138"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38"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39">
      <c r="A139" t="inlineStr">
        <is>
          <t>item_equip_t4_suit_atk02_body_02</t>
        </is>
      </c>
      <c r="B139" t="inlineStr">
        <is>
          <t>50式应龙重甲·壹型</t>
        </is>
      </c>
      <c r="C139" t="inlineStr">
        <is>
          <t>武陵</t>
        </is>
      </c>
      <c r="D139" t="n">
        <v>70</v>
      </c>
      <c r="E139" t="inlineStr">
        <is>
          <t>护甲</t>
        </is>
      </c>
      <c r="F139" t="n">
        <v>5</v>
      </c>
      <c r="G139" t="inlineStr">
        <is>
          <t>防御力 +56</t>
        </is>
      </c>
      <c r="H139" t="n">
        <v>0</v>
      </c>
      <c r="I139" t="inlineStr"/>
      <c r="J139" t="n">
        <v>0</v>
      </c>
      <c r="K139" t="inlineStr"/>
      <c r="L139" t="n">
        <v>0</v>
      </c>
      <c r="M139" t="inlineStr"/>
      <c r="N139" t="inlineStr">
        <is>
          <t>suit_atk02</t>
        </is>
      </c>
      <c r="O139" t="inlineStr">
        <is>
          <t>50式应龙</t>
        </is>
      </c>
      <c r="P139"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39"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40">
      <c r="A140" t="inlineStr">
        <is>
          <t>item_equip_t4_suit_atk02_body_03</t>
        </is>
      </c>
      <c r="B140" t="inlineStr">
        <is>
          <t>50式应龙重甲·贰型</t>
        </is>
      </c>
      <c r="C140" t="inlineStr">
        <is>
          <t>武陵</t>
        </is>
      </c>
      <c r="D140" t="n">
        <v>70</v>
      </c>
      <c r="E140" t="inlineStr">
        <is>
          <t>护甲</t>
        </is>
      </c>
      <c r="F140" t="n">
        <v>5</v>
      </c>
      <c r="G140" t="inlineStr">
        <is>
          <t>防御力 +56</t>
        </is>
      </c>
      <c r="H140" t="n">
        <v>0</v>
      </c>
      <c r="I140" t="inlineStr"/>
      <c r="J140" t="n">
        <v>0</v>
      </c>
      <c r="K140" t="inlineStr"/>
      <c r="L140" t="n">
        <v>0</v>
      </c>
      <c r="M140" t="inlineStr"/>
      <c r="N140" t="inlineStr">
        <is>
          <t>suit_atk02</t>
        </is>
      </c>
      <c r="O140" t="inlineStr">
        <is>
          <t>50式应龙</t>
        </is>
      </c>
      <c r="P140"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0"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41">
      <c r="A141" t="inlineStr">
        <is>
          <t>item_equip_t4_suit_atk02_body_04</t>
        </is>
      </c>
      <c r="B141" t="inlineStr">
        <is>
          <t>50式应龙轻甲</t>
        </is>
      </c>
      <c r="C141" t="inlineStr">
        <is>
          <t>武陵</t>
        </is>
      </c>
      <c r="D141" t="n">
        <v>70</v>
      </c>
      <c r="E141" t="inlineStr">
        <is>
          <t>护甲</t>
        </is>
      </c>
      <c r="F141" t="n">
        <v>5</v>
      </c>
      <c r="G141" t="inlineStr">
        <is>
          <t>防御力 +56</t>
        </is>
      </c>
      <c r="H141" t="n">
        <v>0</v>
      </c>
      <c r="I141" t="inlineStr"/>
      <c r="J141" t="n">
        <v>0</v>
      </c>
      <c r="K141" t="inlineStr"/>
      <c r="L141" t="n">
        <v>0</v>
      </c>
      <c r="M141" t="inlineStr"/>
      <c r="N141" t="inlineStr">
        <is>
          <t>suit_atk02</t>
        </is>
      </c>
      <c r="O141" t="inlineStr">
        <is>
          <t>50式应龙</t>
        </is>
      </c>
      <c r="P141"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1"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42">
      <c r="A142" t="inlineStr">
        <is>
          <t>item_equip_t4_suit_atk02_hand_01</t>
        </is>
      </c>
      <c r="B142" t="inlineStr">
        <is>
          <t>50式应龙护手</t>
        </is>
      </c>
      <c r="C142" t="inlineStr">
        <is>
          <t>武陵</t>
        </is>
      </c>
      <c r="D142" t="n">
        <v>70</v>
      </c>
      <c r="E142" t="inlineStr">
        <is>
          <t>护手</t>
        </is>
      </c>
      <c r="F142" t="n">
        <v>5</v>
      </c>
      <c r="G142" t="inlineStr">
        <is>
          <t>防御力 +42</t>
        </is>
      </c>
      <c r="H142" t="n">
        <v>0</v>
      </c>
      <c r="I142" t="inlineStr"/>
      <c r="J142" t="n">
        <v>0</v>
      </c>
      <c r="K142" t="inlineStr"/>
      <c r="L142" t="n">
        <v>0</v>
      </c>
      <c r="M142" t="inlineStr"/>
      <c r="N142" t="inlineStr">
        <is>
          <t>suit_atk02</t>
        </is>
      </c>
      <c r="O142" t="inlineStr">
        <is>
          <t>50式应龙</t>
        </is>
      </c>
      <c r="P142"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2" t="inlineStr">
        <is>
          <t>本装备由宏山选剑局设计，使用集成工业系统制造，能够提高使用者的作战能力。应龙特勤队所配装备的民用版，缺少了关键力量，但具备了普适性。 “我并不觊觎那份被赠与的力量，我离它十分遥远，我该成为支撑他们的骨骼。”</t>
        </is>
      </c>
    </row>
    <row r="143">
      <c r="A143" t="inlineStr">
        <is>
          <t>item_equip_t4_suit_atk02_hand_02</t>
        </is>
      </c>
      <c r="B143" t="inlineStr">
        <is>
          <t>50式应龙护手·壹型</t>
        </is>
      </c>
      <c r="C143" t="inlineStr">
        <is>
          <t>武陵</t>
        </is>
      </c>
      <c r="D143" t="n">
        <v>70</v>
      </c>
      <c r="E143" t="inlineStr">
        <is>
          <t>护手</t>
        </is>
      </c>
      <c r="F143" t="n">
        <v>5</v>
      </c>
      <c r="G143" t="inlineStr">
        <is>
          <t>防御力 +42</t>
        </is>
      </c>
      <c r="H143" t="n">
        <v>0</v>
      </c>
      <c r="I143" t="inlineStr"/>
      <c r="J143" t="n">
        <v>0</v>
      </c>
      <c r="K143" t="inlineStr"/>
      <c r="L143" t="n">
        <v>0</v>
      </c>
      <c r="M143" t="inlineStr"/>
      <c r="N143" t="inlineStr">
        <is>
          <t>suit_atk02</t>
        </is>
      </c>
      <c r="O143" t="inlineStr">
        <is>
          <t>50式应龙</t>
        </is>
      </c>
      <c r="P143"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3" t="inlineStr">
        <is>
          <t>本装备由宏山选剑局设计，使用集成工业系统制造，能够提高使用者的作战能力。应龙特勤队所配装备的民用版，缺少了关键力量，但具备了普适性。 “我并不觊觎那份被赠与的力量，我离它十分遥远，我该成为支撑他们的骨骼。”</t>
        </is>
      </c>
    </row>
    <row r="144">
      <c r="A144" t="inlineStr">
        <is>
          <t>item_equip_t4_suit_atk02_edc_04</t>
        </is>
      </c>
      <c r="B144" t="inlineStr">
        <is>
          <t>50式应龙短刃</t>
        </is>
      </c>
      <c r="C144" t="inlineStr">
        <is>
          <t>武陵</t>
        </is>
      </c>
      <c r="D144" t="n">
        <v>70</v>
      </c>
      <c r="E144" t="inlineStr">
        <is>
          <t>配件</t>
        </is>
      </c>
      <c r="F144" t="n">
        <v>5</v>
      </c>
      <c r="G144" t="inlineStr">
        <is>
          <t>防御力 +21</t>
        </is>
      </c>
      <c r="H144" t="n">
        <v>0</v>
      </c>
      <c r="I144" t="inlineStr"/>
      <c r="J144" t="n">
        <v>0</v>
      </c>
      <c r="K144" t="inlineStr"/>
      <c r="L144" t="n">
        <v>0</v>
      </c>
      <c r="M144" t="inlineStr"/>
      <c r="N144" t="inlineStr">
        <is>
          <t>suit_atk02</t>
        </is>
      </c>
      <c r="O144" t="inlineStr">
        <is>
          <t>50式应龙</t>
        </is>
      </c>
      <c r="P144"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4" t="inlineStr">
        <is>
          <t>本装备由宏山选剑局设计，使用集成工业系统制造，能够提高使用者的作战能力。应龙特勤队所配装备的民用版，缺少了关键力量，但具备了普适性。 “曾和我一起训练的熟面孔，我看着他们担起重责，镇守重地，这让我觉得……我像个从惨烈战场上逃走的战败者，一个逃兵。”</t>
        </is>
      </c>
    </row>
    <row r="145">
      <c r="A145" t="inlineStr">
        <is>
          <t>item_equip_t4_suit_atk02_edc_05</t>
        </is>
      </c>
      <c r="B145" t="inlineStr">
        <is>
          <t>50式应龙短刃·壹型</t>
        </is>
      </c>
      <c r="C145" t="inlineStr">
        <is>
          <t>武陵</t>
        </is>
      </c>
      <c r="D145" t="n">
        <v>70</v>
      </c>
      <c r="E145" t="inlineStr">
        <is>
          <t>配件</t>
        </is>
      </c>
      <c r="F145" t="n">
        <v>5</v>
      </c>
      <c r="G145" t="inlineStr">
        <is>
          <t>防御力 +21</t>
        </is>
      </c>
      <c r="H145" t="n">
        <v>0</v>
      </c>
      <c r="I145" t="inlineStr"/>
      <c r="J145" t="n">
        <v>0</v>
      </c>
      <c r="K145" t="inlineStr"/>
      <c r="L145" t="n">
        <v>0</v>
      </c>
      <c r="M145" t="inlineStr"/>
      <c r="N145" t="inlineStr">
        <is>
          <t>suit_atk02</t>
        </is>
      </c>
      <c r="O145" t="inlineStr">
        <is>
          <t>50式应龙</t>
        </is>
      </c>
      <c r="P145"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5" t="inlineStr">
        <is>
          <t>本装备由宏山选剑局设计，使用集成工业系统制造，能够提高使用者的作战能力。应龙特勤队所配装备的民用版，缺少了关键力量，但具备了普适性。 “曾和我一起训练的熟面孔，我看着他们担起重责，镇守重地，这让我觉得……我像个从惨烈战场上逃走的战败者，一个逃兵。”</t>
        </is>
      </c>
    </row>
    <row r="146">
      <c r="A146" t="inlineStr">
        <is>
          <t>item_equip_t4_suit_atk02_edc_01</t>
        </is>
      </c>
      <c r="B146" t="inlineStr">
        <is>
          <t>50式应龙雷达</t>
        </is>
      </c>
      <c r="C146" t="inlineStr">
        <is>
          <t>武陵</t>
        </is>
      </c>
      <c r="D146" t="n">
        <v>70</v>
      </c>
      <c r="E146" t="inlineStr">
        <is>
          <t>配件</t>
        </is>
      </c>
      <c r="F146" t="n">
        <v>5</v>
      </c>
      <c r="G146" t="inlineStr">
        <is>
          <t>防御力 +21</t>
        </is>
      </c>
      <c r="H146" t="n">
        <v>0</v>
      </c>
      <c r="I146" t="inlineStr"/>
      <c r="J146" t="n">
        <v>0</v>
      </c>
      <c r="K146" t="inlineStr"/>
      <c r="L146" t="n">
        <v>0</v>
      </c>
      <c r="M146" t="inlineStr"/>
      <c r="N146" t="inlineStr">
        <is>
          <t>suit_atk02</t>
        </is>
      </c>
      <c r="O146" t="inlineStr">
        <is>
          <t>50式应龙</t>
        </is>
      </c>
      <c r="P146"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6" t="inlineStr">
        <is>
          <t>本装备由宏山选剑局设计，使用集成工业系统制造，能够提高使用者的作战能力。应龙特勤队所配装备的民用版，缺少了关键力量，但具备了普适性。 优化设计完成那天，他提起笔，在设计图边留下几个字——“天坼地裂，我亦胜之”。</t>
        </is>
      </c>
    </row>
    <row r="147">
      <c r="A147" t="inlineStr">
        <is>
          <t>item_equip_t4_suit_atk02_edc_02</t>
        </is>
      </c>
      <c r="B147" t="inlineStr">
        <is>
          <t>50式应龙雷达·壹型</t>
        </is>
      </c>
      <c r="C147" t="inlineStr">
        <is>
          <t>武陵</t>
        </is>
      </c>
      <c r="D147" t="n">
        <v>70</v>
      </c>
      <c r="E147" t="inlineStr">
        <is>
          <t>配件</t>
        </is>
      </c>
      <c r="F147" t="n">
        <v>5</v>
      </c>
      <c r="G147" t="inlineStr">
        <is>
          <t>防御力 +21</t>
        </is>
      </c>
      <c r="H147" t="n">
        <v>0</v>
      </c>
      <c r="I147" t="inlineStr"/>
      <c r="J147" t="n">
        <v>0</v>
      </c>
      <c r="K147" t="inlineStr"/>
      <c r="L147" t="n">
        <v>0</v>
      </c>
      <c r="M147" t="inlineStr"/>
      <c r="N147" t="inlineStr">
        <is>
          <t>suit_atk02</t>
        </is>
      </c>
      <c r="O147" t="inlineStr">
        <is>
          <t>50式应龙</t>
        </is>
      </c>
      <c r="P147"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7" t="inlineStr">
        <is>
          <t>本装备由宏山选剑局设计，使用集成工业系统制造，能够提高使用者的作战能力。应龙特勤队所配装备的民用版，缺少了关键力量，但具备了普适性。 优化设计完成那天，他提起笔，在设计图边留下几个字——“天坼地裂，我亦胜之”。</t>
        </is>
      </c>
    </row>
    <row r="148">
      <c r="A148" t="inlineStr">
        <is>
          <t>item_equip_t4_suit_atk02_edc_03</t>
        </is>
      </c>
      <c r="B148" t="inlineStr">
        <is>
          <t>50式应龙雷达·贰型</t>
        </is>
      </c>
      <c r="C148" t="inlineStr">
        <is>
          <t>武陵</t>
        </is>
      </c>
      <c r="D148" t="n">
        <v>70</v>
      </c>
      <c r="E148" t="inlineStr">
        <is>
          <t>配件</t>
        </is>
      </c>
      <c r="F148" t="n">
        <v>5</v>
      </c>
      <c r="G148" t="inlineStr">
        <is>
          <t>防御力 +21</t>
        </is>
      </c>
      <c r="H148" t="n">
        <v>0</v>
      </c>
      <c r="I148" t="inlineStr"/>
      <c r="J148" t="n">
        <v>0</v>
      </c>
      <c r="K148" t="inlineStr"/>
      <c r="L148" t="n">
        <v>0</v>
      </c>
      <c r="M148" t="inlineStr"/>
      <c r="N148" t="inlineStr">
        <is>
          <t>suit_atk02</t>
        </is>
      </c>
      <c r="O148" t="inlineStr">
        <is>
          <t>50式应龙</t>
        </is>
      </c>
      <c r="P148" t="inlineStr">
        <is>
          <r>
            <rPr/>
            <t>3件套组效果：装备者攻击力</t>
          </r>
          <r>
            <rPr>
              <b val="1"/>
              <color rgb="009eb7ff"/>
            </rPr>
            <t>+15%</t>
          </r>
          <r>
            <rPr/>
            <t>。当小队内任意干员施放战技时，装备者获得一层</t>
          </r>
          <r>
            <rPr>
              <b val="1"/>
              <color rgb="0033c2ff"/>
            </rPr>
            <t>应龙之锐</t>
          </r>
          <r>
            <rPr/>
            <t>，使得该干员下一次连携技伤害</t>
          </r>
          <r>
            <rPr>
              <b val="1"/>
              <color rgb="009eb7ff"/>
            </rPr>
            <t>+20%</t>
          </r>
          <r>
            <rPr/>
            <t>，</t>
          </r>
          <r>
            <rPr>
              <b val="1"/>
              <color rgb="0033c2ff"/>
            </rPr>
            <t>应龙之锐</t>
          </r>
          <r>
            <rPr/>
            <t>最多叠加3层。</t>
          </r>
        </is>
      </c>
      <c r="Q148" t="inlineStr">
        <is>
          <t>本装备由宏山选剑局设计，使用集成工业系统制造，能够提高使用者的作战能力。应龙特勤队所配装备的民用版，缺少了关键力量，但具备了普适性。 优化设计完成那天，他提起笔，在设计图边留下几个字——“天坼地裂，我亦胜之”。</t>
        </is>
      </c>
    </row>
    <row r="149">
      <c r="A149" t="inlineStr">
        <is>
          <t>item_equip_t4_suit_burst01_body_01</t>
        </is>
      </c>
      <c r="B149" t="inlineStr">
        <is>
          <t>落潮轻甲</t>
        </is>
      </c>
      <c r="C149" t="inlineStr">
        <is>
          <t>武陵</t>
        </is>
      </c>
      <c r="D149" t="n">
        <v>70</v>
      </c>
      <c r="E149" t="inlineStr">
        <is>
          <t>护甲</t>
        </is>
      </c>
      <c r="F149" t="n">
        <v>5</v>
      </c>
      <c r="G149" t="inlineStr">
        <is>
          <t>防御力 +56</t>
        </is>
      </c>
      <c r="H149" t="n">
        <v>0</v>
      </c>
      <c r="I149" t="inlineStr"/>
      <c r="J149" t="n">
        <v>0</v>
      </c>
      <c r="K149" t="inlineStr"/>
      <c r="L149" t="n">
        <v>0</v>
      </c>
      <c r="M149" t="inlineStr"/>
      <c r="N149" t="inlineStr">
        <is>
          <t>suit_burst01</t>
        </is>
      </c>
      <c r="O149" t="inlineStr">
        <is>
          <t>潮涌</t>
        </is>
      </c>
      <c r="P149" t="inlineStr">
        <is>
          <r>
            <rPr/>
            <t>3件套组效果：装备者所有技能伤害</t>
          </r>
          <r>
            <rPr>
              <b val="1"/>
              <color rgb="009eb7ff"/>
            </rPr>
            <t>+20%</t>
          </r>
          <r>
            <rPr/>
            <t>。装备者使敌人达到</t>
          </r>
          <r>
            <rPr>
              <b val="1"/>
              <color rgb="0033c2ff"/>
            </rPr>
            <t>2</t>
          </r>
          <r>
            <rPr/>
            <t>层及以上</t>
          </r>
          <r>
            <rPr>
              <b val="1"/>
              <color rgb="0033c2ff"/>
              <u val="single"/>
            </rPr>
            <t>法术附着</t>
          </r>
          <r>
            <rPr/>
            <t>后，造成的</t>
          </r>
          <r>
            <rPr>
              <b val="1"/>
              <color rgb="0033c2ff"/>
            </rPr>
            <t>法术伤害</t>
          </r>
          <r>
            <rPr>
              <b val="1"/>
              <color rgb="009eb7ff"/>
            </rPr>
            <t>+35%</t>
          </r>
          <r>
            <rPr/>
            <t>，持续15秒，该效果无法叠加。</t>
          </r>
        </is>
      </c>
      <c r="Q149" t="inlineStr">
        <is>
          <t>本装备由宏山选剑局设计，使用集成工业系统制造，能够提高使用者的作战能力。选剑局为侵蚀潮周边作业所设计的套组装备。 它是一段有关侵蚀潮的记忆：无情大潮始终拒绝生命。</t>
        </is>
      </c>
    </row>
    <row r="150">
      <c r="A150" t="inlineStr">
        <is>
          <t>item_equip_t4_suit_burst01_hand_01</t>
        </is>
      </c>
      <c r="B150" t="inlineStr">
        <is>
          <t>潮涌手甲</t>
        </is>
      </c>
      <c r="C150" t="inlineStr">
        <is>
          <t>武陵</t>
        </is>
      </c>
      <c r="D150" t="n">
        <v>70</v>
      </c>
      <c r="E150" t="inlineStr">
        <is>
          <t>护手</t>
        </is>
      </c>
      <c r="F150" t="n">
        <v>5</v>
      </c>
      <c r="G150" t="inlineStr">
        <is>
          <t>防御力 +42</t>
        </is>
      </c>
      <c r="H150" t="n">
        <v>0</v>
      </c>
      <c r="I150" t="inlineStr"/>
      <c r="J150" t="n">
        <v>0</v>
      </c>
      <c r="K150" t="inlineStr"/>
      <c r="L150" t="n">
        <v>0</v>
      </c>
      <c r="M150" t="inlineStr"/>
      <c r="N150" t="inlineStr">
        <is>
          <t>suit_burst01</t>
        </is>
      </c>
      <c r="O150" t="inlineStr">
        <is>
          <t>潮涌</t>
        </is>
      </c>
      <c r="P150" t="inlineStr">
        <is>
          <r>
            <rPr/>
            <t>3件套组效果：装备者所有技能伤害</t>
          </r>
          <r>
            <rPr>
              <b val="1"/>
              <color rgb="009eb7ff"/>
            </rPr>
            <t>+20%</t>
          </r>
          <r>
            <rPr/>
            <t>。装备者使敌人达到</t>
          </r>
          <r>
            <rPr>
              <b val="1"/>
              <color rgb="0033c2ff"/>
            </rPr>
            <t>2</t>
          </r>
          <r>
            <rPr/>
            <t>层及以上</t>
          </r>
          <r>
            <rPr>
              <b val="1"/>
              <color rgb="0033c2ff"/>
              <u val="single"/>
            </rPr>
            <t>法术附着</t>
          </r>
          <r>
            <rPr/>
            <t>后，造成的</t>
          </r>
          <r>
            <rPr>
              <b val="1"/>
              <color rgb="0033c2ff"/>
            </rPr>
            <t>法术伤害</t>
          </r>
          <r>
            <rPr>
              <b val="1"/>
              <color rgb="009eb7ff"/>
            </rPr>
            <t>+35%</t>
          </r>
          <r>
            <rPr/>
            <t>，持续15秒，该效果无法叠加。</t>
          </r>
        </is>
      </c>
      <c r="Q150" t="inlineStr">
        <is>
          <t>本装备由宏山选剑局设计，使用集成工业系统制造，能够提高使用者的作战能力。选剑局为侵蚀潮周边作业所设计的套组装备。 它是一声有关侵蚀潮的疑问：古老堤堰是否溃自其内？</t>
        </is>
      </c>
    </row>
    <row r="151">
      <c r="A151" t="inlineStr">
        <is>
          <t>item_equip_t4_suit_burst01_edc_01</t>
        </is>
      </c>
      <c r="B151" t="inlineStr">
        <is>
          <t>悬河供氧栓</t>
        </is>
      </c>
      <c r="C151" t="inlineStr">
        <is>
          <t>武陵</t>
        </is>
      </c>
      <c r="D151" t="n">
        <v>70</v>
      </c>
      <c r="E151" t="inlineStr">
        <is>
          <t>配件</t>
        </is>
      </c>
      <c r="F151" t="n">
        <v>5</v>
      </c>
      <c r="G151" t="inlineStr">
        <is>
          <t>防御力 +21</t>
        </is>
      </c>
      <c r="H151" t="n">
        <v>0</v>
      </c>
      <c r="I151" t="inlineStr"/>
      <c r="J151" t="n">
        <v>0</v>
      </c>
      <c r="K151" t="inlineStr"/>
      <c r="L151" t="n">
        <v>0</v>
      </c>
      <c r="M151" t="inlineStr"/>
      <c r="N151" t="inlineStr">
        <is>
          <t>suit_burst01</t>
        </is>
      </c>
      <c r="O151" t="inlineStr">
        <is>
          <t>潮涌</t>
        </is>
      </c>
      <c r="P151" t="inlineStr">
        <is>
          <r>
            <rPr/>
            <t>3件套组效果：装备者所有技能伤害</t>
          </r>
          <r>
            <rPr>
              <b val="1"/>
              <color rgb="009eb7ff"/>
            </rPr>
            <t>+20%</t>
          </r>
          <r>
            <rPr/>
            <t>。装备者使敌人达到</t>
          </r>
          <r>
            <rPr>
              <b val="1"/>
              <color rgb="0033c2ff"/>
            </rPr>
            <t>2</t>
          </r>
          <r>
            <rPr/>
            <t>层及以上</t>
          </r>
          <r>
            <rPr>
              <b val="1"/>
              <color rgb="0033c2ff"/>
              <u val="single"/>
            </rPr>
            <t>法术附着</t>
          </r>
          <r>
            <rPr/>
            <t>后，造成的</t>
          </r>
          <r>
            <rPr>
              <b val="1"/>
              <color rgb="0033c2ff"/>
            </rPr>
            <t>法术伤害</t>
          </r>
          <r>
            <rPr>
              <b val="1"/>
              <color rgb="009eb7ff"/>
            </rPr>
            <t>+35%</t>
          </r>
          <r>
            <rPr/>
            <t>，持续15秒，该效果无法叠加。</t>
          </r>
        </is>
      </c>
      <c r="Q151" t="inlineStr">
        <is>
          <t>本装备由宏山选剑局设计，使用集成工业系统制造，能够提高使用者的作战能力。选剑局为侵蚀潮周边作业所设计的套组装备。 它是一丝有关侵蚀潮的绝望：未知浊流早已席卷大地。</t>
        </is>
      </c>
    </row>
    <row r="152">
      <c r="A152" t="inlineStr">
        <is>
          <t>item_equip_t4_suit_burst01_edc_02</t>
        </is>
      </c>
      <c r="B152" t="inlineStr">
        <is>
          <t>浊流切割炬</t>
        </is>
      </c>
      <c r="C152" t="inlineStr">
        <is>
          <t>武陵</t>
        </is>
      </c>
      <c r="D152" t="n">
        <v>70</v>
      </c>
      <c r="E152" t="inlineStr">
        <is>
          <t>配件</t>
        </is>
      </c>
      <c r="F152" t="n">
        <v>5</v>
      </c>
      <c r="G152" t="inlineStr">
        <is>
          <t>防御力 +21</t>
        </is>
      </c>
      <c r="H152" t="n">
        <v>0</v>
      </c>
      <c r="I152" t="inlineStr"/>
      <c r="J152" t="n">
        <v>0</v>
      </c>
      <c r="K152" t="inlineStr"/>
      <c r="L152" t="n">
        <v>0</v>
      </c>
      <c r="M152" t="inlineStr"/>
      <c r="N152" t="inlineStr">
        <is>
          <t>suit_burst01</t>
        </is>
      </c>
      <c r="O152" t="inlineStr">
        <is>
          <t>潮涌</t>
        </is>
      </c>
      <c r="P152" t="inlineStr">
        <is>
          <r>
            <rPr/>
            <t>3件套组效果：装备者所有技能伤害</t>
          </r>
          <r>
            <rPr>
              <b val="1"/>
              <color rgb="009eb7ff"/>
            </rPr>
            <t>+20%</t>
          </r>
          <r>
            <rPr/>
            <t>。装备者使敌人达到</t>
          </r>
          <r>
            <rPr>
              <b val="1"/>
              <color rgb="0033c2ff"/>
            </rPr>
            <t>2</t>
          </r>
          <r>
            <rPr/>
            <t>层及以上</t>
          </r>
          <r>
            <rPr>
              <b val="1"/>
              <color rgb="0033c2ff"/>
              <u val="single"/>
            </rPr>
            <t>法术附着</t>
          </r>
          <r>
            <rPr/>
            <t>后，造成的</t>
          </r>
          <r>
            <rPr>
              <b val="1"/>
              <color rgb="0033c2ff"/>
            </rPr>
            <t>法术伤害</t>
          </r>
          <r>
            <rPr>
              <b val="1"/>
              <color rgb="009eb7ff"/>
            </rPr>
            <t>+35%</t>
          </r>
          <r>
            <rPr/>
            <t>，持续15秒，该效果无法叠加。</t>
          </r>
        </is>
      </c>
      <c r="Q152" t="inlineStr">
        <is>
          <t>本装备由宏山选剑局设计，使用集成工业系统制造，能够提高使用者的作战能力。选剑局为侵蚀潮周边作业所设计的套组装备。 它是一缕有关侵蚀潮的恐惧：高悬灾厄何时坠入眼眸？</t>
        </is>
      </c>
    </row>
    <row r="153">
      <c r="A153" t="inlineStr">
        <is>
          <t>item_equip_t4_suit_usp02_body_01</t>
        </is>
      </c>
      <c r="B153" t="inlineStr">
        <is>
          <t>长息装甲</t>
        </is>
      </c>
      <c r="C153" t="inlineStr">
        <is>
          <t>武陵</t>
        </is>
      </c>
      <c r="D153" t="n">
        <v>70</v>
      </c>
      <c r="E153" t="inlineStr">
        <is>
          <t>护甲</t>
        </is>
      </c>
      <c r="F153" t="n">
        <v>5</v>
      </c>
      <c r="G153" t="inlineStr">
        <is>
          <t>防御力 +56</t>
        </is>
      </c>
      <c r="H153" t="n">
        <v>0</v>
      </c>
      <c r="I153" t="inlineStr"/>
      <c r="J153" t="n">
        <v>0</v>
      </c>
      <c r="K153" t="inlineStr"/>
      <c r="L153" t="n">
        <v>0</v>
      </c>
      <c r="M153" t="inlineStr"/>
      <c r="N153" t="inlineStr">
        <is>
          <t>suit_usp02</t>
        </is>
      </c>
      <c r="O153" t="inlineStr">
        <is>
          <t>长息</t>
        </is>
      </c>
      <c r="P153" t="inlineStr">
        <is>
          <r>
            <rPr/>
            <t>3件套组效果：装备者生命值</t>
          </r>
          <r>
            <rPr>
              <b val="1"/>
              <color rgb="009eb7ff"/>
            </rPr>
            <t>+1000</t>
          </r>
          <r>
            <rPr/>
            <t>。装备者施加</t>
          </r>
          <r>
            <rPr>
              <b val="1"/>
              <color rgb="0033c2ff"/>
              <u val="single"/>
            </rPr>
            <t>增幅</t>
          </r>
          <r>
            <rPr/>
            <t>、</t>
          </r>
          <r>
            <rPr>
              <b val="1"/>
              <color rgb="0033c2ff"/>
              <u val="single"/>
            </rPr>
            <t>庇护</t>
          </r>
          <r>
            <rPr/>
            <t>、</t>
          </r>
          <r>
            <rPr>
              <b val="1"/>
              <color rgb="0033c2ff"/>
              <u val="single"/>
            </rPr>
            <t>脆弱</t>
          </r>
          <r>
            <rPr/>
            <t>、</t>
          </r>
          <r>
            <rPr>
              <b val="1"/>
              <color rgb="0033c2ff"/>
              <u val="single"/>
            </rPr>
            <t>虚弱</t>
          </r>
          <r>
            <rPr/>
            <t>后，使其他队友造成的伤害</t>
          </r>
          <r>
            <rPr>
              <b val="1"/>
              <color rgb="009eb7ff"/>
            </rPr>
            <t>+16%</t>
          </r>
          <r>
            <rPr/>
            <t>，持续15秒。该效果无法叠加。</t>
          </r>
        </is>
      </c>
      <c r="Q153" t="inlineStr">
        <is>
          <t>本装备由宏山选剑局设计，使用集成工业系统制造，能够提高使用者的作战能力。某位“疯狂”天师的遗世之作。 常人或许很难将厨艺与息壤供能联系在一起，但武陵城中偏偏有人能在餐馆中获得设计灵感。</t>
        </is>
      </c>
    </row>
    <row r="154">
      <c r="A154" t="inlineStr">
        <is>
          <t>item_equip_t4_suit_usp02_hand_01</t>
        </is>
      </c>
      <c r="B154" t="inlineStr">
        <is>
          <t>长息护手</t>
        </is>
      </c>
      <c r="C154" t="inlineStr">
        <is>
          <t>武陵</t>
        </is>
      </c>
      <c r="D154" t="n">
        <v>70</v>
      </c>
      <c r="E154" t="inlineStr">
        <is>
          <t>护手</t>
        </is>
      </c>
      <c r="F154" t="n">
        <v>5</v>
      </c>
      <c r="G154" t="inlineStr">
        <is>
          <t>防御力 +42</t>
        </is>
      </c>
      <c r="H154" t="n">
        <v>0</v>
      </c>
      <c r="I154" t="inlineStr"/>
      <c r="J154" t="n">
        <v>0</v>
      </c>
      <c r="K154" t="inlineStr"/>
      <c r="L154" t="n">
        <v>0</v>
      </c>
      <c r="M154" t="inlineStr"/>
      <c r="N154" t="inlineStr">
        <is>
          <t>suit_usp02</t>
        </is>
      </c>
      <c r="O154" t="inlineStr">
        <is>
          <t>长息</t>
        </is>
      </c>
      <c r="P154" t="inlineStr">
        <is>
          <r>
            <rPr/>
            <t>3件套组效果：装备者生命值</t>
          </r>
          <r>
            <rPr>
              <b val="1"/>
              <color rgb="009eb7ff"/>
            </rPr>
            <t>+1000</t>
          </r>
          <r>
            <rPr/>
            <t>。装备者施加</t>
          </r>
          <r>
            <rPr>
              <b val="1"/>
              <color rgb="0033c2ff"/>
              <u val="single"/>
            </rPr>
            <t>增幅</t>
          </r>
          <r>
            <rPr/>
            <t>、</t>
          </r>
          <r>
            <rPr>
              <b val="1"/>
              <color rgb="0033c2ff"/>
              <u val="single"/>
            </rPr>
            <t>庇护</t>
          </r>
          <r>
            <rPr/>
            <t>、</t>
          </r>
          <r>
            <rPr>
              <b val="1"/>
              <color rgb="0033c2ff"/>
              <u val="single"/>
            </rPr>
            <t>脆弱</t>
          </r>
          <r>
            <rPr/>
            <t>、</t>
          </r>
          <r>
            <rPr>
              <b val="1"/>
              <color rgb="0033c2ff"/>
              <u val="single"/>
            </rPr>
            <t>虚弱</t>
          </r>
          <r>
            <rPr/>
            <t>后，使其他队友造成的伤害</t>
          </r>
          <r>
            <rPr>
              <b val="1"/>
              <color rgb="009eb7ff"/>
            </rPr>
            <t>+16%</t>
          </r>
          <r>
            <rPr/>
            <t>，持续15秒。该效果无法叠加。</t>
          </r>
        </is>
      </c>
      <c r="Q154" t="inlineStr">
        <is>
          <t>本装备由宏山选剑局设计，使用集成工业系统制造，能够提高使用者的作战能力。某位“疯狂”天师的遗世之作。 ……数日后，疯狂的天师开始拒绝一切“不能让自己获得灵感”的食物，随即，为了探寻“能吞入腹中的息壤”，骨瘦如柴的他消失在了荒野中。</t>
        </is>
      </c>
    </row>
    <row r="155">
      <c r="A155" t="inlineStr">
        <is>
          <t>item_equip_t4_suit_usp02_hand_02</t>
        </is>
      </c>
      <c r="B155" t="inlineStr">
        <is>
          <t>长息护手·壹型</t>
        </is>
      </c>
      <c r="C155" t="inlineStr">
        <is>
          <t>武陵</t>
        </is>
      </c>
      <c r="D155" t="n">
        <v>70</v>
      </c>
      <c r="E155" t="inlineStr">
        <is>
          <t>护手</t>
        </is>
      </c>
      <c r="F155" t="n">
        <v>5</v>
      </c>
      <c r="G155" t="inlineStr">
        <is>
          <t>防御力 +42</t>
        </is>
      </c>
      <c r="H155" t="n">
        <v>0</v>
      </c>
      <c r="I155" t="inlineStr"/>
      <c r="J155" t="n">
        <v>0</v>
      </c>
      <c r="K155" t="inlineStr"/>
      <c r="L155" t="n">
        <v>0</v>
      </c>
      <c r="M155" t="inlineStr"/>
      <c r="N155" t="inlineStr">
        <is>
          <t>suit_usp02</t>
        </is>
      </c>
      <c r="O155" t="inlineStr">
        <is>
          <t>长息</t>
        </is>
      </c>
      <c r="P155" t="inlineStr">
        <is>
          <r>
            <rPr/>
            <t>3件套组效果：装备者生命值</t>
          </r>
          <r>
            <rPr>
              <b val="1"/>
              <color rgb="009eb7ff"/>
            </rPr>
            <t>+1000</t>
          </r>
          <r>
            <rPr/>
            <t>。装备者施加</t>
          </r>
          <r>
            <rPr>
              <b val="1"/>
              <color rgb="0033c2ff"/>
              <u val="single"/>
            </rPr>
            <t>增幅</t>
          </r>
          <r>
            <rPr/>
            <t>、</t>
          </r>
          <r>
            <rPr>
              <b val="1"/>
              <color rgb="0033c2ff"/>
              <u val="single"/>
            </rPr>
            <t>庇护</t>
          </r>
          <r>
            <rPr/>
            <t>、</t>
          </r>
          <r>
            <rPr>
              <b val="1"/>
              <color rgb="0033c2ff"/>
              <u val="single"/>
            </rPr>
            <t>脆弱</t>
          </r>
          <r>
            <rPr/>
            <t>、</t>
          </r>
          <r>
            <rPr>
              <b val="1"/>
              <color rgb="0033c2ff"/>
              <u val="single"/>
            </rPr>
            <t>虚弱</t>
          </r>
          <r>
            <rPr/>
            <t>后，使其他队友造成的伤害</t>
          </r>
          <r>
            <rPr>
              <b val="1"/>
              <color rgb="009eb7ff"/>
            </rPr>
            <t>+16%</t>
          </r>
          <r>
            <rPr/>
            <t>，持续15秒。该效果无法叠加。</t>
          </r>
        </is>
      </c>
      <c r="Q155" t="inlineStr">
        <is>
          <t>本装备由宏山选剑局设计，使用集成工业系统制造，能够提高使用者的作战能力。某位“疯狂”天师的遗世之作。 ……数日后，疯狂的天师开始拒绝一切“不能让自己获得灵感”的食物，随即，为了探寻“能吞入腹中的息壤”，骨瘦如柴的他消失在了荒野中。</t>
        </is>
      </c>
    </row>
    <row r="156">
      <c r="A156" t="inlineStr">
        <is>
          <t>item_equip_t4_suit_usp02_edc_01</t>
        </is>
      </c>
      <c r="B156" t="inlineStr">
        <is>
          <t>长息蓄电核</t>
        </is>
      </c>
      <c r="C156" t="inlineStr">
        <is>
          <t>武陵</t>
        </is>
      </c>
      <c r="D156" t="n">
        <v>70</v>
      </c>
      <c r="E156" t="inlineStr">
        <is>
          <t>配件</t>
        </is>
      </c>
      <c r="F156" t="n">
        <v>5</v>
      </c>
      <c r="G156" t="inlineStr">
        <is>
          <t>防御力 +21</t>
        </is>
      </c>
      <c r="H156" t="n">
        <v>0</v>
      </c>
      <c r="I156" t="inlineStr"/>
      <c r="J156" t="n">
        <v>0</v>
      </c>
      <c r="K156" t="inlineStr"/>
      <c r="L156" t="n">
        <v>0</v>
      </c>
      <c r="M156" t="inlineStr"/>
      <c r="N156" t="inlineStr">
        <is>
          <t>suit_usp02</t>
        </is>
      </c>
      <c r="O156" t="inlineStr">
        <is>
          <t>长息</t>
        </is>
      </c>
      <c r="P156" t="inlineStr">
        <is>
          <r>
            <rPr/>
            <t>3件套组效果：装备者生命值</t>
          </r>
          <r>
            <rPr>
              <b val="1"/>
              <color rgb="009eb7ff"/>
            </rPr>
            <t>+1000</t>
          </r>
          <r>
            <rPr/>
            <t>。装备者施加</t>
          </r>
          <r>
            <rPr>
              <b val="1"/>
              <color rgb="0033c2ff"/>
              <u val="single"/>
            </rPr>
            <t>增幅</t>
          </r>
          <r>
            <rPr/>
            <t>、</t>
          </r>
          <r>
            <rPr>
              <b val="1"/>
              <color rgb="0033c2ff"/>
              <u val="single"/>
            </rPr>
            <t>庇护</t>
          </r>
          <r>
            <rPr/>
            <t>、</t>
          </r>
          <r>
            <rPr>
              <b val="1"/>
              <color rgb="0033c2ff"/>
              <u val="single"/>
            </rPr>
            <t>脆弱</t>
          </r>
          <r>
            <rPr/>
            <t>、</t>
          </r>
          <r>
            <rPr>
              <b val="1"/>
              <color rgb="0033c2ff"/>
              <u val="single"/>
            </rPr>
            <t>虚弱</t>
          </r>
          <r>
            <rPr/>
            <t>后，使其他队友造成的伤害</t>
          </r>
          <r>
            <rPr>
              <b val="1"/>
              <color rgb="009eb7ff"/>
            </rPr>
            <t>+16%</t>
          </r>
          <r>
            <rPr/>
            <t>，持续15秒。该效果无法叠加。</t>
          </r>
        </is>
      </c>
      <c r="Q156" t="inlineStr">
        <is>
          <t>本装备由宏山选剑局设计，使用集成工业系统制造，能够提高使用者的作战能力。某位“疯狂”天师的遗世之作。 ……他也曾端着一盆“竹沥炖豆腐”穿街而过，并宣称新一代息壤冷却技术终于被他烹饪了出来。</t>
        </is>
      </c>
    </row>
    <row r="157">
      <c r="A157" t="inlineStr">
        <is>
          <t>item_equip_t4_suit_usp02_edc_02</t>
        </is>
      </c>
      <c r="B157" t="inlineStr">
        <is>
          <t>长息蓄电核·壹型</t>
        </is>
      </c>
      <c r="C157" t="inlineStr">
        <is>
          <t>武陵</t>
        </is>
      </c>
      <c r="D157" t="n">
        <v>70</v>
      </c>
      <c r="E157" t="inlineStr">
        <is>
          <t>配件</t>
        </is>
      </c>
      <c r="F157" t="n">
        <v>5</v>
      </c>
      <c r="G157" t="inlineStr">
        <is>
          <t>防御力 +21</t>
        </is>
      </c>
      <c r="H157" t="n">
        <v>0</v>
      </c>
      <c r="I157" t="inlineStr"/>
      <c r="J157" t="n">
        <v>0</v>
      </c>
      <c r="K157" t="inlineStr"/>
      <c r="L157" t="n">
        <v>0</v>
      </c>
      <c r="M157" t="inlineStr"/>
      <c r="N157" t="inlineStr">
        <is>
          <t>suit_usp02</t>
        </is>
      </c>
      <c r="O157" t="inlineStr">
        <is>
          <t>长息</t>
        </is>
      </c>
      <c r="P157" t="inlineStr">
        <is>
          <r>
            <rPr/>
            <t>3件套组效果：装备者生命值</t>
          </r>
          <r>
            <rPr>
              <b val="1"/>
              <color rgb="009eb7ff"/>
            </rPr>
            <t>+1000</t>
          </r>
          <r>
            <rPr/>
            <t>。装备者施加</t>
          </r>
          <r>
            <rPr>
              <b val="1"/>
              <color rgb="0033c2ff"/>
              <u val="single"/>
            </rPr>
            <t>增幅</t>
          </r>
          <r>
            <rPr/>
            <t>、</t>
          </r>
          <r>
            <rPr>
              <b val="1"/>
              <color rgb="0033c2ff"/>
              <u val="single"/>
            </rPr>
            <t>庇护</t>
          </r>
          <r>
            <rPr/>
            <t>、</t>
          </r>
          <r>
            <rPr>
              <b val="1"/>
              <color rgb="0033c2ff"/>
              <u val="single"/>
            </rPr>
            <t>脆弱</t>
          </r>
          <r>
            <rPr/>
            <t>、</t>
          </r>
          <r>
            <rPr>
              <b val="1"/>
              <color rgb="0033c2ff"/>
              <u val="single"/>
            </rPr>
            <t>虚弱</t>
          </r>
          <r>
            <rPr/>
            <t>后，使其他队友造成的伤害</t>
          </r>
          <r>
            <rPr>
              <b val="1"/>
              <color rgb="009eb7ff"/>
            </rPr>
            <t>+16%</t>
          </r>
          <r>
            <rPr/>
            <t>，持续15秒。该效果无法叠加。</t>
          </r>
        </is>
      </c>
      <c r="Q157" t="inlineStr">
        <is>
          <t>本装备由宏山选剑局设计，使用集成工业系统制造，能够提高使用者的作战能力。某位“疯狂”天师的遗世之作。 ……他也曾端着一盆“竹沥炖豆腐”穿街而过，并宣称新一代息壤冷却技术终于被他烹饪了出来。</t>
        </is>
      </c>
    </row>
    <row r="158">
      <c r="A158" t="inlineStr">
        <is>
          <t>item_equip_t4_suit_usp02_edc_03</t>
        </is>
      </c>
      <c r="B158" t="inlineStr">
        <is>
          <t>长息辅助臂</t>
        </is>
      </c>
      <c r="C158" t="inlineStr">
        <is>
          <t>武陵</t>
        </is>
      </c>
      <c r="D158" t="n">
        <v>70</v>
      </c>
      <c r="E158" t="inlineStr">
        <is>
          <t>配件</t>
        </is>
      </c>
      <c r="F158" t="n">
        <v>5</v>
      </c>
      <c r="G158" t="inlineStr">
        <is>
          <t>防御力 +21</t>
        </is>
      </c>
      <c r="H158" t="n">
        <v>0</v>
      </c>
      <c r="I158" t="inlineStr"/>
      <c r="J158" t="n">
        <v>0</v>
      </c>
      <c r="K158" t="inlineStr"/>
      <c r="L158" t="n">
        <v>0</v>
      </c>
      <c r="M158" t="inlineStr"/>
      <c r="N158" t="inlineStr">
        <is>
          <t>suit_usp02</t>
        </is>
      </c>
      <c r="O158" t="inlineStr">
        <is>
          <t>长息</t>
        </is>
      </c>
      <c r="P158" t="inlineStr">
        <is>
          <r>
            <rPr/>
            <t>3件套组效果：装备者生命值</t>
          </r>
          <r>
            <rPr>
              <b val="1"/>
              <color rgb="009eb7ff"/>
            </rPr>
            <t>+1000</t>
          </r>
          <r>
            <rPr/>
            <t>。装备者施加</t>
          </r>
          <r>
            <rPr>
              <b val="1"/>
              <color rgb="0033c2ff"/>
              <u val="single"/>
            </rPr>
            <t>增幅</t>
          </r>
          <r>
            <rPr/>
            <t>、</t>
          </r>
          <r>
            <rPr>
              <b val="1"/>
              <color rgb="0033c2ff"/>
              <u val="single"/>
            </rPr>
            <t>庇护</t>
          </r>
          <r>
            <rPr/>
            <t>、</t>
          </r>
          <r>
            <rPr>
              <b val="1"/>
              <color rgb="0033c2ff"/>
              <u val="single"/>
            </rPr>
            <t>脆弱</t>
          </r>
          <r>
            <rPr/>
            <t>、</t>
          </r>
          <r>
            <rPr>
              <b val="1"/>
              <color rgb="0033c2ff"/>
              <u val="single"/>
            </rPr>
            <t>虚弱</t>
          </r>
          <r>
            <rPr/>
            <t>后，使其他队友造成的伤害</t>
          </r>
          <r>
            <rPr>
              <b val="1"/>
              <color rgb="009eb7ff"/>
            </rPr>
            <t>+16%</t>
          </r>
          <r>
            <rPr/>
            <t>，持续15秒。该效果无法叠加。</t>
          </r>
        </is>
      </c>
      <c r="Q158" t="inlineStr">
        <is>
          <t>本装备由宏山选剑局设计，使用集成工业系统制造，能够提高使用者的作战能力。某位“疯狂”天师的遗世之作。 ……据说这位疯狂天师在乌萨斯厨师端上桌的火锅中看到了一种“生生不息的循环”，成功将长息装甲的续航时间提高了一倍。</t>
        </is>
      </c>
    </row>
    <row r="159">
      <c r="A159" t="inlineStr">
        <is>
          <t>item_equip_t0_parts_tundra01_body_01</t>
        </is>
      </c>
      <c r="B159" t="inlineStr">
        <is>
          <t>简易护甲</t>
        </is>
      </c>
      <c r="C159" t="inlineStr">
        <is>
          <t>四号谷地</t>
        </is>
      </c>
      <c r="D159" t="n">
        <v>10</v>
      </c>
      <c r="E159" t="inlineStr">
        <is>
          <t>护甲</t>
        </is>
      </c>
      <c r="F159" t="n">
        <v>1</v>
      </c>
      <c r="G159" t="inlineStr">
        <is>
          <t>防御力 +8</t>
        </is>
      </c>
      <c r="H159" t="n">
        <v>0</v>
      </c>
      <c r="I159" t="inlineStr"/>
      <c r="J159" t="n">
        <v>0</v>
      </c>
      <c r="K159" t="inlineStr"/>
      <c r="L159" t="n">
        <v>0</v>
      </c>
      <c r="M159" t="inlineStr"/>
      <c r="N159" t="inlineStr">
        <is>
          <t>无</t>
        </is>
      </c>
      <c r="O159" t="inlineStr">
        <is>
          <t>无</t>
        </is>
      </c>
      <c r="P159" t="inlineStr">
        <is>
          <r>
            <rPr/>
            <t>无</t>
          </r>
        </is>
      </c>
      <c r="Q159" t="inlineStr">
        <is>
          <t>本装备为临时制品，未通过终末地工业产品检验流程验证，防御能力有限。 结构简单的初级护甲。 它在心理上给人的鼓励远大于它的实际防御性能。</t>
        </is>
      </c>
    </row>
    <row r="160">
      <c r="A160" t="inlineStr">
        <is>
          <t>item_equip_t0_parts_tundra01_body_02</t>
        </is>
      </c>
      <c r="B160" t="inlineStr">
        <is>
          <t>简易护服</t>
        </is>
      </c>
      <c r="C160" t="inlineStr">
        <is>
          <t>四号谷地</t>
        </is>
      </c>
      <c r="D160" t="n">
        <v>10</v>
      </c>
      <c r="E160" t="inlineStr">
        <is>
          <t>护甲</t>
        </is>
      </c>
      <c r="F160" t="n">
        <v>1</v>
      </c>
      <c r="G160" t="inlineStr">
        <is>
          <t>防御力 +8</t>
        </is>
      </c>
      <c r="H160" t="n">
        <v>0</v>
      </c>
      <c r="I160" t="inlineStr"/>
      <c r="J160" t="n">
        <v>0</v>
      </c>
      <c r="K160" t="inlineStr"/>
      <c r="L160" t="n">
        <v>0</v>
      </c>
      <c r="M160" t="inlineStr"/>
      <c r="N160" t="inlineStr">
        <is>
          <t>无</t>
        </is>
      </c>
      <c r="O160" t="inlineStr">
        <is>
          <t>无</t>
        </is>
      </c>
      <c r="P160" t="inlineStr">
        <is>
          <r>
            <rPr/>
            <t>无</t>
          </r>
        </is>
      </c>
      <c r="Q160" t="inlineStr">
        <is>
          <t>本装备为临时制品，未通过终末地工业产品检验流程验证，防御能力有限。 结构简单的初级护甲。 它在心理上给人的鼓励远大于它的实际防御性能。</t>
        </is>
      </c>
    </row>
    <row r="161">
      <c r="A161" t="inlineStr">
        <is>
          <t>item_equip_t0_parts_tundra01_hand_01</t>
        </is>
      </c>
      <c r="B161" t="inlineStr">
        <is>
          <t>简易手甲</t>
        </is>
      </c>
      <c r="C161" t="inlineStr">
        <is>
          <t>四号谷地</t>
        </is>
      </c>
      <c r="D161" t="n">
        <v>10</v>
      </c>
      <c r="E161" t="inlineStr">
        <is>
          <t>护手</t>
        </is>
      </c>
      <c r="F161" t="n">
        <v>1</v>
      </c>
      <c r="G161" t="inlineStr">
        <is>
          <t>防御力 +6</t>
        </is>
      </c>
      <c r="H161" t="n">
        <v>0</v>
      </c>
      <c r="I161" t="inlineStr"/>
      <c r="J161" t="n">
        <v>0</v>
      </c>
      <c r="K161" t="inlineStr"/>
      <c r="L161" t="n">
        <v>0</v>
      </c>
      <c r="M161" t="inlineStr"/>
      <c r="N161" t="inlineStr">
        <is>
          <t>无</t>
        </is>
      </c>
      <c r="O161" t="inlineStr">
        <is>
          <t>无</t>
        </is>
      </c>
      <c r="P161" t="inlineStr">
        <is>
          <r>
            <rPr/>
            <t>无</t>
          </r>
        </is>
      </c>
      <c r="Q161" t="inlineStr">
        <is>
          <t>本装备为临时制品，未通过终末地工业产品检验流程验证，防御能力有限。 结构简单的初级护甲。 它在心理上给人的鼓励远大于它的实际防御性能。</t>
        </is>
      </c>
    </row>
    <row r="162">
      <c r="A162" t="inlineStr">
        <is>
          <t>item_equip_t0_parts_tundra01_hand_02</t>
        </is>
      </c>
      <c r="B162" t="inlineStr">
        <is>
          <t>简易护手</t>
        </is>
      </c>
      <c r="C162" t="inlineStr">
        <is>
          <t>四号谷地</t>
        </is>
      </c>
      <c r="D162" t="n">
        <v>10</v>
      </c>
      <c r="E162" t="inlineStr">
        <is>
          <t>护手</t>
        </is>
      </c>
      <c r="F162" t="n">
        <v>1</v>
      </c>
      <c r="G162" t="inlineStr">
        <is>
          <t>防御力 +6</t>
        </is>
      </c>
      <c r="H162" t="n">
        <v>0</v>
      </c>
      <c r="I162" t="inlineStr"/>
      <c r="J162" t="n">
        <v>0</v>
      </c>
      <c r="K162" t="inlineStr"/>
      <c r="L162" t="n">
        <v>0</v>
      </c>
      <c r="M162" t="inlineStr"/>
      <c r="N162" t="inlineStr">
        <is>
          <t>无</t>
        </is>
      </c>
      <c r="O162" t="inlineStr">
        <is>
          <t>无</t>
        </is>
      </c>
      <c r="P162" t="inlineStr">
        <is>
          <r>
            <rPr/>
            <t>无</t>
          </r>
        </is>
      </c>
      <c r="Q162" t="inlineStr">
        <is>
          <t>本装备为临时制品，未通过终末地工业产品检验流程验证，防御能力有限。 结构简单的初级护甲。 它在心理上给人的鼓励远大于它的实际防御性能。</t>
        </is>
      </c>
    </row>
    <row r="163">
      <c r="A163" t="inlineStr">
        <is>
          <t>item_equip_t1_parts_tundra01_body_02</t>
        </is>
      </c>
      <c r="B163" t="inlineStr">
        <is>
          <t>矿场防护服</t>
        </is>
      </c>
      <c r="C163" t="inlineStr">
        <is>
          <t>四号谷地</t>
        </is>
      </c>
      <c r="D163" t="n">
        <v>20</v>
      </c>
      <c r="E163" t="inlineStr">
        <is>
          <t>护甲</t>
        </is>
      </c>
      <c r="F163" t="n">
        <v>2</v>
      </c>
      <c r="G163" t="inlineStr">
        <is>
          <t>防御力 +16</t>
        </is>
      </c>
      <c r="H163" t="n">
        <v>0</v>
      </c>
      <c r="I163" t="inlineStr"/>
      <c r="J163" t="n">
        <v>0</v>
      </c>
      <c r="K163" t="inlineStr"/>
      <c r="L163" t="n">
        <v>0</v>
      </c>
      <c r="M163" t="inlineStr"/>
      <c r="N163" t="inlineStr">
        <is>
          <t>无</t>
        </is>
      </c>
      <c r="O163" t="inlineStr">
        <is>
          <t>无</t>
        </is>
      </c>
      <c r="P163" t="inlineStr">
        <is>
          <r>
            <rPr/>
            <t>无</t>
          </r>
        </is>
      </c>
      <c r="Q163"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4">
      <c r="A164" t="inlineStr">
        <is>
          <t>item_equip_t1_parts_tundra01_body_01</t>
        </is>
      </c>
      <c r="B164" t="inlineStr">
        <is>
          <t>矿场护甲</t>
        </is>
      </c>
      <c r="C164" t="inlineStr">
        <is>
          <t>四号谷地</t>
        </is>
      </c>
      <c r="D164" t="n">
        <v>20</v>
      </c>
      <c r="E164" t="inlineStr">
        <is>
          <t>护甲</t>
        </is>
      </c>
      <c r="F164" t="n">
        <v>2</v>
      </c>
      <c r="G164" t="inlineStr">
        <is>
          <t>防御力 +16</t>
        </is>
      </c>
      <c r="H164" t="n">
        <v>0</v>
      </c>
      <c r="I164" t="inlineStr"/>
      <c r="J164" t="n">
        <v>0</v>
      </c>
      <c r="K164" t="inlineStr"/>
      <c r="L164" t="n">
        <v>0</v>
      </c>
      <c r="M164" t="inlineStr"/>
      <c r="N164" t="inlineStr">
        <is>
          <t>无</t>
        </is>
      </c>
      <c r="O164" t="inlineStr">
        <is>
          <t>无</t>
        </is>
      </c>
      <c r="P164" t="inlineStr">
        <is>
          <r>
            <rPr/>
            <t>无</t>
          </r>
        </is>
      </c>
      <c r="Q164"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5">
      <c r="A165" t="inlineStr">
        <is>
          <t>item_equip_t1_parts_tundra01_hand_03</t>
        </is>
      </c>
      <c r="B165" t="inlineStr">
        <is>
          <t>矿场手套</t>
        </is>
      </c>
      <c r="C165" t="inlineStr">
        <is>
          <t>四号谷地</t>
        </is>
      </c>
      <c r="D165" t="n">
        <v>20</v>
      </c>
      <c r="E165" t="inlineStr">
        <is>
          <t>护手</t>
        </is>
      </c>
      <c r="F165" t="n">
        <v>2</v>
      </c>
      <c r="G165" t="inlineStr">
        <is>
          <t>防御力 +12</t>
        </is>
      </c>
      <c r="H165" t="n">
        <v>0</v>
      </c>
      <c r="I165" t="inlineStr"/>
      <c r="J165" t="n">
        <v>0</v>
      </c>
      <c r="K165" t="inlineStr"/>
      <c r="L165" t="n">
        <v>0</v>
      </c>
      <c r="M165" t="inlineStr"/>
      <c r="N165" t="inlineStr">
        <is>
          <t>无</t>
        </is>
      </c>
      <c r="O165" t="inlineStr">
        <is>
          <t>无</t>
        </is>
      </c>
      <c r="P165" t="inlineStr">
        <is>
          <r>
            <rPr/>
            <t>无</t>
          </r>
        </is>
      </c>
      <c r="Q16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6">
      <c r="A166" t="inlineStr">
        <is>
          <t>item_equip_t1_parts_tundra01_hand_01</t>
        </is>
      </c>
      <c r="B166" t="inlineStr">
        <is>
          <t>矿场手甲</t>
        </is>
      </c>
      <c r="C166" t="inlineStr">
        <is>
          <t>四号谷地</t>
        </is>
      </c>
      <c r="D166" t="n">
        <v>20</v>
      </c>
      <c r="E166" t="inlineStr">
        <is>
          <t>护手</t>
        </is>
      </c>
      <c r="F166" t="n">
        <v>2</v>
      </c>
      <c r="G166" t="inlineStr">
        <is>
          <t>防御力 +12</t>
        </is>
      </c>
      <c r="H166" t="n">
        <v>0</v>
      </c>
      <c r="I166" t="inlineStr"/>
      <c r="J166" t="n">
        <v>0</v>
      </c>
      <c r="K166" t="inlineStr"/>
      <c r="L166" t="n">
        <v>0</v>
      </c>
      <c r="M166" t="inlineStr"/>
      <c r="N166" t="inlineStr">
        <is>
          <t>无</t>
        </is>
      </c>
      <c r="O166" t="inlineStr">
        <is>
          <t>无</t>
        </is>
      </c>
      <c r="P166" t="inlineStr">
        <is>
          <r>
            <rPr/>
            <t>无</t>
          </r>
        </is>
      </c>
      <c r="Q166"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7">
      <c r="A167" t="inlineStr">
        <is>
          <t>item_equip_t1_parts_tundra01_edc_02</t>
        </is>
      </c>
      <c r="B167" t="inlineStr">
        <is>
          <t>应急压缩核</t>
        </is>
      </c>
      <c r="C167" t="inlineStr">
        <is>
          <t>四号谷地</t>
        </is>
      </c>
      <c r="D167" t="n">
        <v>20</v>
      </c>
      <c r="E167" t="inlineStr">
        <is>
          <t>配件</t>
        </is>
      </c>
      <c r="F167" t="n">
        <v>2</v>
      </c>
      <c r="G167" t="inlineStr">
        <is>
          <t>防御力 +6</t>
        </is>
      </c>
      <c r="H167" t="n">
        <v>0</v>
      </c>
      <c r="I167" t="inlineStr"/>
      <c r="J167" t="n">
        <v>0</v>
      </c>
      <c r="K167" t="inlineStr"/>
      <c r="L167" t="n">
        <v>0</v>
      </c>
      <c r="M167" t="inlineStr"/>
      <c r="N167" t="inlineStr">
        <is>
          <t>无</t>
        </is>
      </c>
      <c r="O167" t="inlineStr">
        <is>
          <t>无</t>
        </is>
      </c>
      <c r="P167" t="inlineStr">
        <is>
          <r>
            <rPr/>
            <t>无</t>
          </r>
        </is>
      </c>
      <c r="Q167"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8">
      <c r="A168" t="inlineStr">
        <is>
          <t>item_equip_t1_parts_tundra01_edc_01</t>
        </is>
      </c>
      <c r="B168" t="inlineStr">
        <is>
          <t>应急联络仪</t>
        </is>
      </c>
      <c r="C168" t="inlineStr">
        <is>
          <t>四号谷地</t>
        </is>
      </c>
      <c r="D168" t="n">
        <v>20</v>
      </c>
      <c r="E168" t="inlineStr">
        <is>
          <t>配件</t>
        </is>
      </c>
      <c r="F168" t="n">
        <v>2</v>
      </c>
      <c r="G168" t="inlineStr">
        <is>
          <t>防御力 +6</t>
        </is>
      </c>
      <c r="H168" t="n">
        <v>0</v>
      </c>
      <c r="I168" t="inlineStr"/>
      <c r="J168" t="n">
        <v>0</v>
      </c>
      <c r="K168" t="inlineStr"/>
      <c r="L168" t="n">
        <v>0</v>
      </c>
      <c r="M168" t="inlineStr"/>
      <c r="N168" t="inlineStr">
        <is>
          <t>无</t>
        </is>
      </c>
      <c r="O168" t="inlineStr">
        <is>
          <t>无</t>
        </is>
      </c>
      <c r="P168" t="inlineStr">
        <is>
          <r>
            <rPr/>
            <t>无</t>
          </r>
        </is>
      </c>
      <c r="Q168"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9">
      <c r="A169" t="inlineStr">
        <is>
          <t>item_equip_t1_parts_tundra01_body_03</t>
        </is>
      </c>
      <c r="B169" t="inlineStr">
        <is>
          <t>测试型重甲</t>
        </is>
      </c>
      <c r="C169" t="inlineStr">
        <is>
          <t>四号谷地</t>
        </is>
      </c>
      <c r="D169" t="n">
        <v>28</v>
      </c>
      <c r="E169" t="inlineStr">
        <is>
          <t>护甲</t>
        </is>
      </c>
      <c r="F169" t="n">
        <v>2</v>
      </c>
      <c r="G169" t="inlineStr">
        <is>
          <t>防御力 +22.400000000000002</t>
        </is>
      </c>
      <c r="H169" t="n">
        <v>0</v>
      </c>
      <c r="I169" t="inlineStr"/>
      <c r="J169" t="n">
        <v>0</v>
      </c>
      <c r="K169" t="inlineStr"/>
      <c r="L169" t="n">
        <v>0</v>
      </c>
      <c r="M169" t="inlineStr"/>
      <c r="N169" t="inlineStr">
        <is>
          <t>无</t>
        </is>
      </c>
      <c r="O169" t="inlineStr">
        <is>
          <t>无</t>
        </is>
      </c>
      <c r="P169" t="inlineStr">
        <is>
          <r>
            <rPr/>
            <t>无</t>
          </r>
        </is>
      </c>
      <c r="Q169" t="inlineStr">
        <is>
          <t>本装备由终末地工业自研，使用集成工业系统制造，能够提高使用者的作战能力。临时制成的装备。虽然足够重，但防护能力有限。</t>
        </is>
      </c>
    </row>
    <row r="170">
      <c r="A170" t="inlineStr">
        <is>
          <t>item_equip_t1_parts_tundra01_body_04</t>
        </is>
      </c>
      <c r="B170" t="inlineStr">
        <is>
          <t>测试型重甲·壹型</t>
        </is>
      </c>
      <c r="C170" t="inlineStr">
        <is>
          <t>四号谷地</t>
        </is>
      </c>
      <c r="D170" t="n">
        <v>28</v>
      </c>
      <c r="E170" t="inlineStr">
        <is>
          <t>护甲</t>
        </is>
      </c>
      <c r="F170" t="n">
        <v>2</v>
      </c>
      <c r="G170" t="inlineStr">
        <is>
          <t>防御力 +22.400000000000002</t>
        </is>
      </c>
      <c r="H170" t="n">
        <v>0</v>
      </c>
      <c r="I170" t="inlineStr"/>
      <c r="J170" t="n">
        <v>0</v>
      </c>
      <c r="K170" t="inlineStr"/>
      <c r="L170" t="n">
        <v>0</v>
      </c>
      <c r="M170" t="inlineStr"/>
      <c r="N170" t="inlineStr">
        <is>
          <t>无</t>
        </is>
      </c>
      <c r="O170" t="inlineStr">
        <is>
          <t>无</t>
        </is>
      </c>
      <c r="P170" t="inlineStr">
        <is>
          <r>
            <rPr/>
            <t>无</t>
          </r>
        </is>
      </c>
      <c r="Q170" t="inlineStr">
        <is>
          <t>本装备由终末地工业自研，使用集成工业系统制造，能够提高使用者的作战能力。临时制成的装备，较之标准型有所微调。虽然足够重，但防护能力有限。</t>
        </is>
      </c>
    </row>
    <row r="171">
      <c r="A171" t="inlineStr">
        <is>
          <t>item_equip_t1_parts_tundra01_body_05</t>
        </is>
      </c>
      <c r="B171" t="inlineStr">
        <is>
          <t>矿场轻甲</t>
        </is>
      </c>
      <c r="C171" t="inlineStr">
        <is>
          <t>四号谷地</t>
        </is>
      </c>
      <c r="D171" t="n">
        <v>28</v>
      </c>
      <c r="E171" t="inlineStr">
        <is>
          <t>护甲</t>
        </is>
      </c>
      <c r="F171" t="n">
        <v>2</v>
      </c>
      <c r="G171" t="inlineStr">
        <is>
          <t>防御力 +22.400000000000002</t>
        </is>
      </c>
      <c r="H171" t="n">
        <v>0</v>
      </c>
      <c r="I171" t="inlineStr"/>
      <c r="J171" t="n">
        <v>0</v>
      </c>
      <c r="K171" t="inlineStr"/>
      <c r="L171" t="n">
        <v>0</v>
      </c>
      <c r="M171" t="inlineStr"/>
      <c r="N171" t="inlineStr">
        <is>
          <t>无</t>
        </is>
      </c>
      <c r="O171" t="inlineStr">
        <is>
          <t>无</t>
        </is>
      </c>
      <c r="P171" t="inlineStr">
        <is>
          <r>
            <rPr/>
            <t>无</t>
          </r>
        </is>
      </c>
      <c r="Q171"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2">
      <c r="A172" t="inlineStr">
        <is>
          <t>item_equip_t1_parts_tundra01_body_06</t>
        </is>
      </c>
      <c r="B172" t="inlineStr">
        <is>
          <t>矿场滤尘衣</t>
        </is>
      </c>
      <c r="C172" t="inlineStr">
        <is>
          <t>四号谷地</t>
        </is>
      </c>
      <c r="D172" t="n">
        <v>28</v>
      </c>
      <c r="E172" t="inlineStr">
        <is>
          <t>护甲</t>
        </is>
      </c>
      <c r="F172" t="n">
        <v>2</v>
      </c>
      <c r="G172" t="inlineStr">
        <is>
          <t>防御力 +22.400000000000002</t>
        </is>
      </c>
      <c r="H172" t="n">
        <v>0</v>
      </c>
      <c r="I172" t="inlineStr"/>
      <c r="J172" t="n">
        <v>0</v>
      </c>
      <c r="K172" t="inlineStr"/>
      <c r="L172" t="n">
        <v>0</v>
      </c>
      <c r="M172" t="inlineStr"/>
      <c r="N172" t="inlineStr">
        <is>
          <t>无</t>
        </is>
      </c>
      <c r="O172" t="inlineStr">
        <is>
          <t>无</t>
        </is>
      </c>
      <c r="P172" t="inlineStr">
        <is>
          <r>
            <rPr/>
            <t>无</t>
          </r>
        </is>
      </c>
      <c r="Q17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3">
      <c r="A173" t="inlineStr">
        <is>
          <t>item_equip_t1_parts_tundra01_hand_02</t>
        </is>
      </c>
      <c r="B173" t="inlineStr">
        <is>
          <t>矿场护腕</t>
        </is>
      </c>
      <c r="C173" t="inlineStr">
        <is>
          <t>四号谷地</t>
        </is>
      </c>
      <c r="D173" t="n">
        <v>28</v>
      </c>
      <c r="E173" t="inlineStr">
        <is>
          <t>护手</t>
        </is>
      </c>
      <c r="F173" t="n">
        <v>2</v>
      </c>
      <c r="G173" t="inlineStr">
        <is>
          <t>防御力 +16.8</t>
        </is>
      </c>
      <c r="H173" t="n">
        <v>0</v>
      </c>
      <c r="I173" t="inlineStr"/>
      <c r="J173" t="n">
        <v>0</v>
      </c>
      <c r="K173" t="inlineStr"/>
      <c r="L173" t="n">
        <v>0</v>
      </c>
      <c r="M173" t="inlineStr"/>
      <c r="N173" t="inlineStr">
        <is>
          <t>无</t>
        </is>
      </c>
      <c r="O173" t="inlineStr">
        <is>
          <t>无</t>
        </is>
      </c>
      <c r="P173" t="inlineStr">
        <is>
          <r>
            <rPr/>
            <t>无</t>
          </r>
        </is>
      </c>
      <c r="Q173"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4">
      <c r="A174" t="inlineStr">
        <is>
          <t>item_equip_t1_parts_tundra01_hand_04</t>
        </is>
      </c>
      <c r="B174" t="inlineStr">
        <is>
          <t>矿场护手</t>
        </is>
      </c>
      <c r="C174" t="inlineStr">
        <is>
          <t>四号谷地</t>
        </is>
      </c>
      <c r="D174" t="n">
        <v>28</v>
      </c>
      <c r="E174" t="inlineStr">
        <is>
          <t>护手</t>
        </is>
      </c>
      <c r="F174" t="n">
        <v>2</v>
      </c>
      <c r="G174" t="inlineStr">
        <is>
          <t>防御力 +16.8</t>
        </is>
      </c>
      <c r="H174" t="n">
        <v>0</v>
      </c>
      <c r="I174" t="inlineStr"/>
      <c r="J174" t="n">
        <v>0</v>
      </c>
      <c r="K174" t="inlineStr"/>
      <c r="L174" t="n">
        <v>0</v>
      </c>
      <c r="M174" t="inlineStr"/>
      <c r="N174" t="inlineStr">
        <is>
          <t>无</t>
        </is>
      </c>
      <c r="O174" t="inlineStr">
        <is>
          <t>无</t>
        </is>
      </c>
      <c r="P174" t="inlineStr">
        <is>
          <r>
            <rPr/>
            <t>无</t>
          </r>
        </is>
      </c>
      <c r="Q174"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5">
      <c r="A175" t="inlineStr">
        <is>
          <t>item_equip_t2_parts_tundra01_hand_01</t>
        </is>
      </c>
      <c r="B175" t="inlineStr">
        <is>
          <t>矿场手甲·壹型</t>
        </is>
      </c>
      <c r="C175" t="inlineStr">
        <is>
          <t>四号谷地</t>
        </is>
      </c>
      <c r="D175" t="n">
        <v>36</v>
      </c>
      <c r="E175" t="inlineStr">
        <is>
          <t>护手</t>
        </is>
      </c>
      <c r="F175" t="n">
        <v>3</v>
      </c>
      <c r="G175" t="inlineStr">
        <is>
          <t>防御力 +21.599999999999998</t>
        </is>
      </c>
      <c r="H175" t="n">
        <v>0</v>
      </c>
      <c r="I175" t="inlineStr"/>
      <c r="J175" t="n">
        <v>0</v>
      </c>
      <c r="K175" t="inlineStr"/>
      <c r="L175" t="n">
        <v>0</v>
      </c>
      <c r="M175" t="inlineStr"/>
      <c r="N175" t="inlineStr">
        <is>
          <t>无</t>
        </is>
      </c>
      <c r="O175" t="inlineStr">
        <is>
          <t>无</t>
        </is>
      </c>
      <c r="P175" t="inlineStr">
        <is>
          <r>
            <rPr/>
            <t>无</t>
          </r>
        </is>
      </c>
      <c r="Q17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6">
      <c r="A176" t="inlineStr">
        <is>
          <t>item_equip_t2_parts_tundra01_hand_02</t>
        </is>
      </c>
      <c r="B176" t="inlineStr">
        <is>
          <t>矿场手套·壹型</t>
        </is>
      </c>
      <c r="C176" t="inlineStr">
        <is>
          <t>四号谷地</t>
        </is>
      </c>
      <c r="D176" t="n">
        <v>36</v>
      </c>
      <c r="E176" t="inlineStr">
        <is>
          <t>护手</t>
        </is>
      </c>
      <c r="F176" t="n">
        <v>3</v>
      </c>
      <c r="G176" t="inlineStr">
        <is>
          <t>防御力 +21.599999999999998</t>
        </is>
      </c>
      <c r="H176" t="n">
        <v>0</v>
      </c>
      <c r="I176" t="inlineStr"/>
      <c r="J176" t="n">
        <v>0</v>
      </c>
      <c r="K176" t="inlineStr"/>
      <c r="L176" t="n">
        <v>0</v>
      </c>
      <c r="M176" t="inlineStr"/>
      <c r="N176" t="inlineStr">
        <is>
          <t>无</t>
        </is>
      </c>
      <c r="O176" t="inlineStr">
        <is>
          <t>无</t>
        </is>
      </c>
      <c r="P176" t="inlineStr">
        <is>
          <r>
            <rPr/>
            <t>无</t>
          </r>
        </is>
      </c>
      <c r="Q176"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7">
      <c r="A177" t="inlineStr">
        <is>
          <t>item_equip_t2_parts_tundra01_edc_01</t>
        </is>
      </c>
      <c r="B177" t="inlineStr">
        <is>
          <t>矿场增压轮</t>
        </is>
      </c>
      <c r="C177" t="inlineStr">
        <is>
          <t>四号谷地</t>
        </is>
      </c>
      <c r="D177" t="n">
        <v>36</v>
      </c>
      <c r="E177" t="inlineStr">
        <is>
          <t>配件</t>
        </is>
      </c>
      <c r="F177" t="n">
        <v>3</v>
      </c>
      <c r="G177" t="inlineStr">
        <is>
          <t>防御力 +10.799999999999999</t>
        </is>
      </c>
      <c r="H177" t="n">
        <v>0</v>
      </c>
      <c r="I177" t="inlineStr"/>
      <c r="J177" t="n">
        <v>0</v>
      </c>
      <c r="K177" t="inlineStr"/>
      <c r="L177" t="n">
        <v>0</v>
      </c>
      <c r="M177" t="inlineStr"/>
      <c r="N177" t="inlineStr">
        <is>
          <t>无</t>
        </is>
      </c>
      <c r="O177" t="inlineStr">
        <is>
          <t>无</t>
        </is>
      </c>
      <c r="P177" t="inlineStr">
        <is>
          <r>
            <rPr/>
            <t>无</t>
          </r>
        </is>
      </c>
      <c r="Q177"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8">
      <c r="A178" t="inlineStr">
        <is>
          <t>item_equip_t2_parts_tundra01_edc_02</t>
        </is>
      </c>
      <c r="B178" t="inlineStr">
        <is>
          <t>矿场传动轮</t>
        </is>
      </c>
      <c r="C178" t="inlineStr">
        <is>
          <t>四号谷地</t>
        </is>
      </c>
      <c r="D178" t="n">
        <v>36</v>
      </c>
      <c r="E178" t="inlineStr">
        <is>
          <t>配件</t>
        </is>
      </c>
      <c r="F178" t="n">
        <v>3</v>
      </c>
      <c r="G178" t="inlineStr">
        <is>
          <t>防御力 +10.799999999999999</t>
        </is>
      </c>
      <c r="H178" t="n">
        <v>0</v>
      </c>
      <c r="I178" t="inlineStr"/>
      <c r="J178" t="n">
        <v>0</v>
      </c>
      <c r="K178" t="inlineStr"/>
      <c r="L178" t="n">
        <v>0</v>
      </c>
      <c r="M178" t="inlineStr"/>
      <c r="N178" t="inlineStr">
        <is>
          <t>无</t>
        </is>
      </c>
      <c r="O178" t="inlineStr">
        <is>
          <t>无</t>
        </is>
      </c>
      <c r="P178" t="inlineStr">
        <is>
          <r>
            <rPr/>
            <t>无</t>
          </r>
        </is>
      </c>
      <c r="Q178"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9">
      <c r="A179" t="inlineStr">
        <is>
          <t>item_equip_t2_parts_tundra01_edc_03</t>
        </is>
      </c>
      <c r="B179" t="inlineStr">
        <is>
          <t>矿场压缩核</t>
        </is>
      </c>
      <c r="C179" t="inlineStr">
        <is>
          <t>四号谷地</t>
        </is>
      </c>
      <c r="D179" t="n">
        <v>36</v>
      </c>
      <c r="E179" t="inlineStr">
        <is>
          <t>配件</t>
        </is>
      </c>
      <c r="F179" t="n">
        <v>3</v>
      </c>
      <c r="G179" t="inlineStr">
        <is>
          <t>防御力 +10.799999999999999</t>
        </is>
      </c>
      <c r="H179" t="n">
        <v>0</v>
      </c>
      <c r="I179" t="inlineStr"/>
      <c r="J179" t="n">
        <v>0</v>
      </c>
      <c r="K179" t="inlineStr"/>
      <c r="L179" t="n">
        <v>0</v>
      </c>
      <c r="M179" t="inlineStr"/>
      <c r="N179" t="inlineStr">
        <is>
          <t>无</t>
        </is>
      </c>
      <c r="O179" t="inlineStr">
        <is>
          <t>无</t>
        </is>
      </c>
      <c r="P179" t="inlineStr">
        <is>
          <r>
            <rPr/>
            <t>无</t>
          </r>
        </is>
      </c>
      <c r="Q179"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0">
      <c r="A180" t="inlineStr">
        <is>
          <t>item_equip_t2_parts_tundra01_edc_04</t>
        </is>
      </c>
      <c r="B180" t="inlineStr">
        <is>
          <t>矿场联络仪</t>
        </is>
      </c>
      <c r="C180" t="inlineStr">
        <is>
          <t>四号谷地</t>
        </is>
      </c>
      <c r="D180" t="n">
        <v>36</v>
      </c>
      <c r="E180" t="inlineStr">
        <is>
          <t>配件</t>
        </is>
      </c>
      <c r="F180" t="n">
        <v>3</v>
      </c>
      <c r="G180" t="inlineStr">
        <is>
          <t>防御力 +10.799999999999999</t>
        </is>
      </c>
      <c r="H180" t="n">
        <v>0</v>
      </c>
      <c r="I180" t="inlineStr"/>
      <c r="J180" t="n">
        <v>0</v>
      </c>
      <c r="K180" t="inlineStr"/>
      <c r="L180" t="n">
        <v>0</v>
      </c>
      <c r="M180" t="inlineStr"/>
      <c r="N180" t="inlineStr">
        <is>
          <t>无</t>
        </is>
      </c>
      <c r="O180" t="inlineStr">
        <is>
          <t>无</t>
        </is>
      </c>
      <c r="P180" t="inlineStr">
        <is>
          <r>
            <rPr/>
            <t>无</t>
          </r>
        </is>
      </c>
      <c r="Q180"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1">
      <c r="A181" t="inlineStr">
        <is>
          <t>item_equip_t3_parts_tundra01_body_01</t>
        </is>
      </c>
      <c r="B181" t="inlineStr">
        <is>
          <t>矿场护甲·壹型</t>
        </is>
      </c>
      <c r="C181" t="inlineStr">
        <is>
          <t>四号谷地</t>
        </is>
      </c>
      <c r="D181" t="n">
        <v>50</v>
      </c>
      <c r="E181" t="inlineStr">
        <is>
          <t>护甲</t>
        </is>
      </c>
      <c r="F181" t="n">
        <v>4</v>
      </c>
      <c r="G181" t="inlineStr">
        <is>
          <t>防御力 +40</t>
        </is>
      </c>
      <c r="H181" t="n">
        <v>0</v>
      </c>
      <c r="I181" t="inlineStr"/>
      <c r="J181" t="n">
        <v>0</v>
      </c>
      <c r="K181" t="inlineStr"/>
      <c r="L181" t="n">
        <v>0</v>
      </c>
      <c r="M181" t="inlineStr"/>
      <c r="N181" t="inlineStr">
        <is>
          <t>无</t>
        </is>
      </c>
      <c r="O181" t="inlineStr">
        <is>
          <t>无</t>
        </is>
      </c>
      <c r="P181" t="inlineStr">
        <is>
          <r>
            <rPr/>
            <t>无</t>
          </r>
        </is>
      </c>
      <c r="Q181"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2">
      <c r="A182" t="inlineStr">
        <is>
          <t>item_equip_t3_parts_tundra01_body_02</t>
        </is>
      </c>
      <c r="B182" t="inlineStr">
        <is>
          <t>矿场防护服·壹型</t>
        </is>
      </c>
      <c r="C182" t="inlineStr">
        <is>
          <t>四号谷地</t>
        </is>
      </c>
      <c r="D182" t="n">
        <v>50</v>
      </c>
      <c r="E182" t="inlineStr">
        <is>
          <t>护甲</t>
        </is>
      </c>
      <c r="F182" t="n">
        <v>4</v>
      </c>
      <c r="G182" t="inlineStr">
        <is>
          <t>防御力 +40</t>
        </is>
      </c>
      <c r="H182" t="n">
        <v>0</v>
      </c>
      <c r="I182" t="inlineStr"/>
      <c r="J182" t="n">
        <v>0</v>
      </c>
      <c r="K182" t="inlineStr"/>
      <c r="L182" t="n">
        <v>0</v>
      </c>
      <c r="M182" t="inlineStr"/>
      <c r="N182" t="inlineStr">
        <is>
          <t>无</t>
        </is>
      </c>
      <c r="O182" t="inlineStr">
        <is>
          <t>无</t>
        </is>
      </c>
      <c r="P182" t="inlineStr">
        <is>
          <r>
            <rPr/>
            <t>无</t>
          </r>
        </is>
      </c>
      <c r="Q18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3">
      <c r="A183" t="inlineStr">
        <is>
          <t>item_equip_t3_parts_tundra01_hand_01</t>
        </is>
      </c>
      <c r="B183" t="inlineStr">
        <is>
          <t>矿场手套·贰型</t>
        </is>
      </c>
      <c r="C183" t="inlineStr">
        <is>
          <t>四号谷地</t>
        </is>
      </c>
      <c r="D183" t="n">
        <v>50</v>
      </c>
      <c r="E183" t="inlineStr">
        <is>
          <t>护手</t>
        </is>
      </c>
      <c r="F183" t="n">
        <v>4</v>
      </c>
      <c r="G183" t="inlineStr">
        <is>
          <t>防御力 +30</t>
        </is>
      </c>
      <c r="H183" t="n">
        <v>0</v>
      </c>
      <c r="I183" t="inlineStr"/>
      <c r="J183" t="n">
        <v>0</v>
      </c>
      <c r="K183" t="inlineStr"/>
      <c r="L183" t="n">
        <v>0</v>
      </c>
      <c r="M183" t="inlineStr"/>
      <c r="N183" t="inlineStr">
        <is>
          <t>无</t>
        </is>
      </c>
      <c r="O183" t="inlineStr">
        <is>
          <t>无</t>
        </is>
      </c>
      <c r="P183" t="inlineStr">
        <is>
          <r>
            <rPr/>
            <t>无</t>
          </r>
        </is>
      </c>
      <c r="Q183"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4">
      <c r="A184" t="inlineStr">
        <is>
          <t>item_equip_t3_parts_tundra01_hand_02</t>
        </is>
      </c>
      <c r="B184" t="inlineStr">
        <is>
          <t>矿场护手·壹型</t>
        </is>
      </c>
      <c r="C184" t="inlineStr">
        <is>
          <t>四号谷地</t>
        </is>
      </c>
      <c r="D184" t="n">
        <v>50</v>
      </c>
      <c r="E184" t="inlineStr">
        <is>
          <t>护手</t>
        </is>
      </c>
      <c r="F184" t="n">
        <v>4</v>
      </c>
      <c r="G184" t="inlineStr">
        <is>
          <t>防御力 +30</t>
        </is>
      </c>
      <c r="H184" t="n">
        <v>0</v>
      </c>
      <c r="I184" t="inlineStr"/>
      <c r="J184" t="n">
        <v>0</v>
      </c>
      <c r="K184" t="inlineStr"/>
      <c r="L184" t="n">
        <v>0</v>
      </c>
      <c r="M184" t="inlineStr"/>
      <c r="N184" t="inlineStr">
        <is>
          <t>无</t>
        </is>
      </c>
      <c r="O184" t="inlineStr">
        <is>
          <t>无</t>
        </is>
      </c>
      <c r="P184" t="inlineStr">
        <is>
          <r>
            <rPr/>
            <t>无</t>
          </r>
        </is>
      </c>
      <c r="Q184"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5">
      <c r="A185" t="inlineStr">
        <is>
          <t>item_equip_t3_parts_tundra01_edc_01</t>
        </is>
      </c>
      <c r="B185" t="inlineStr">
        <is>
          <t>矿场增压轮·壹型</t>
        </is>
      </c>
      <c r="C185" t="inlineStr">
        <is>
          <t>四号谷地</t>
        </is>
      </c>
      <c r="D185" t="n">
        <v>50</v>
      </c>
      <c r="E185" t="inlineStr">
        <is>
          <t>配件</t>
        </is>
      </c>
      <c r="F185" t="n">
        <v>4</v>
      </c>
      <c r="G185" t="inlineStr">
        <is>
          <t>防御力 +15</t>
        </is>
      </c>
      <c r="H185" t="n">
        <v>0</v>
      </c>
      <c r="I185" t="inlineStr"/>
      <c r="J185" t="n">
        <v>0</v>
      </c>
      <c r="K185" t="inlineStr"/>
      <c r="L185" t="n">
        <v>0</v>
      </c>
      <c r="M185" t="inlineStr"/>
      <c r="N185" t="inlineStr">
        <is>
          <t>无</t>
        </is>
      </c>
      <c r="O185" t="inlineStr">
        <is>
          <t>无</t>
        </is>
      </c>
      <c r="P185" t="inlineStr">
        <is>
          <r>
            <rPr/>
            <t>无</t>
          </r>
        </is>
      </c>
      <c r="Q18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6">
      <c r="A186" t="inlineStr">
        <is>
          <t>item_equip_t3_parts_tundra01_edc_02</t>
        </is>
      </c>
      <c r="B186" t="inlineStr">
        <is>
          <t>矿场传动轮·壹型</t>
        </is>
      </c>
      <c r="C186" t="inlineStr">
        <is>
          <t>四号谷地</t>
        </is>
      </c>
      <c r="D186" t="n">
        <v>50</v>
      </c>
      <c r="E186" t="inlineStr">
        <is>
          <t>配件</t>
        </is>
      </c>
      <c r="F186" t="n">
        <v>4</v>
      </c>
      <c r="G186" t="inlineStr">
        <is>
          <t>防御力 +15</t>
        </is>
      </c>
      <c r="H186" t="n">
        <v>0</v>
      </c>
      <c r="I186" t="inlineStr"/>
      <c r="J186" t="n">
        <v>0</v>
      </c>
      <c r="K186" t="inlineStr"/>
      <c r="L186" t="n">
        <v>0</v>
      </c>
      <c r="M186" t="inlineStr"/>
      <c r="N186" t="inlineStr">
        <is>
          <t>无</t>
        </is>
      </c>
      <c r="O186" t="inlineStr">
        <is>
          <t>无</t>
        </is>
      </c>
      <c r="P186" t="inlineStr">
        <is>
          <r>
            <rPr/>
            <t>无</t>
          </r>
        </is>
      </c>
      <c r="Q186"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7">
      <c r="A187" t="inlineStr">
        <is>
          <t>item_equip_t3_parts_tundra01_edc_03</t>
        </is>
      </c>
      <c r="B187" t="inlineStr">
        <is>
          <t>矿场压缩核·壹型</t>
        </is>
      </c>
      <c r="C187" t="inlineStr">
        <is>
          <t>四号谷地</t>
        </is>
      </c>
      <c r="D187" t="n">
        <v>50</v>
      </c>
      <c r="E187" t="inlineStr">
        <is>
          <t>配件</t>
        </is>
      </c>
      <c r="F187" t="n">
        <v>4</v>
      </c>
      <c r="G187" t="inlineStr">
        <is>
          <t>防御力 +15</t>
        </is>
      </c>
      <c r="H187" t="n">
        <v>0</v>
      </c>
      <c r="I187" t="inlineStr"/>
      <c r="J187" t="n">
        <v>0</v>
      </c>
      <c r="K187" t="inlineStr"/>
      <c r="L187" t="n">
        <v>0</v>
      </c>
      <c r="M187" t="inlineStr"/>
      <c r="N187" t="inlineStr">
        <is>
          <t>无</t>
        </is>
      </c>
      <c r="O187" t="inlineStr">
        <is>
          <t>无</t>
        </is>
      </c>
      <c r="P187" t="inlineStr">
        <is>
          <r>
            <rPr/>
            <t>无</t>
          </r>
        </is>
      </c>
      <c r="Q187"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8">
      <c r="A188" t="inlineStr">
        <is>
          <t>item_equip_t3_parts_tundra01_edc_04</t>
        </is>
      </c>
      <c r="B188" t="inlineStr">
        <is>
          <t>矿场联络仪·壹型</t>
        </is>
      </c>
      <c r="C188" t="inlineStr">
        <is>
          <t>四号谷地</t>
        </is>
      </c>
      <c r="D188" t="n">
        <v>50</v>
      </c>
      <c r="E188" t="inlineStr">
        <is>
          <t>配件</t>
        </is>
      </c>
      <c r="F188" t="n">
        <v>4</v>
      </c>
      <c r="G188" t="inlineStr">
        <is>
          <t>防御力 +15</t>
        </is>
      </c>
      <c r="H188" t="n">
        <v>0</v>
      </c>
      <c r="I188" t="inlineStr"/>
      <c r="J188" t="n">
        <v>0</v>
      </c>
      <c r="K188" t="inlineStr"/>
      <c r="L188" t="n">
        <v>0</v>
      </c>
      <c r="M188" t="inlineStr"/>
      <c r="N188" t="inlineStr">
        <is>
          <t>无</t>
        </is>
      </c>
      <c r="O188" t="inlineStr">
        <is>
          <t>无</t>
        </is>
      </c>
      <c r="P188" t="inlineStr">
        <is>
          <r>
            <rPr/>
            <t>无</t>
          </r>
        </is>
      </c>
      <c r="Q188"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9">
      <c r="A189" t="inlineStr">
        <is>
          <t>item_equip_t4_parts_wuling01_body_01</t>
        </is>
      </c>
      <c r="B189" t="inlineStr">
        <is>
          <t>纾难重甲</t>
        </is>
      </c>
      <c r="C189" t="inlineStr">
        <is>
          <t>武陵</t>
        </is>
      </c>
      <c r="D189" t="n">
        <v>70</v>
      </c>
      <c r="E189" t="inlineStr">
        <is>
          <t>护甲</t>
        </is>
      </c>
      <c r="F189" t="n">
        <v>5</v>
      </c>
      <c r="G189" t="inlineStr">
        <is>
          <t>防御力 +56</t>
        </is>
      </c>
      <c r="H189" t="n">
        <v>0</v>
      </c>
      <c r="I189" t="inlineStr"/>
      <c r="J189" t="n">
        <v>0</v>
      </c>
      <c r="K189" t="inlineStr"/>
      <c r="L189" t="n">
        <v>0</v>
      </c>
      <c r="M189" t="inlineStr"/>
      <c r="N189" t="inlineStr">
        <is>
          <t>无</t>
        </is>
      </c>
      <c r="O189" t="inlineStr">
        <is>
          <t>无</t>
        </is>
      </c>
      <c r="P189" t="inlineStr">
        <is>
          <r>
            <rPr/>
            <t>无</t>
          </r>
        </is>
      </c>
      <c r="Q189" t="inlineStr">
        <is>
          <t>本装备由宏山选剑局设计，使用集成工业系统制造，能够提高使用者的作战能力。象征着艰辛前路的装备。“事未竟，路犹长。”</t>
        </is>
      </c>
    </row>
    <row r="190">
      <c r="A190" t="inlineStr">
        <is>
          <t>item_equip_t4_parts_wuling01_body_02</t>
        </is>
      </c>
      <c r="B190" t="inlineStr">
        <is>
          <t>纾难护甲</t>
        </is>
      </c>
      <c r="C190" t="inlineStr">
        <is>
          <t>武陵</t>
        </is>
      </c>
      <c r="D190" t="n">
        <v>70</v>
      </c>
      <c r="E190" t="inlineStr">
        <is>
          <t>护甲</t>
        </is>
      </c>
      <c r="F190" t="n">
        <v>5</v>
      </c>
      <c r="G190" t="inlineStr">
        <is>
          <t>防御力 +56</t>
        </is>
      </c>
      <c r="H190" t="n">
        <v>0</v>
      </c>
      <c r="I190" t="inlineStr"/>
      <c r="J190" t="n">
        <v>0</v>
      </c>
      <c r="K190" t="inlineStr"/>
      <c r="L190" t="n">
        <v>0</v>
      </c>
      <c r="M190" t="inlineStr"/>
      <c r="N190" t="inlineStr">
        <is>
          <t>无</t>
        </is>
      </c>
      <c r="O190" t="inlineStr">
        <is>
          <t>无</t>
        </is>
      </c>
      <c r="P190" t="inlineStr">
        <is>
          <r>
            <rPr/>
            <t>无</t>
          </r>
        </is>
      </c>
      <c r="Q190" t="inlineStr">
        <is>
          <t>本装备由宏山选剑局设计，使用集成工业系统制造，能够提高使用者的作战能力。象征着艰辛前路的装备。“事未竟，路犹长。”</t>
        </is>
      </c>
    </row>
    <row r="191">
      <c r="A191" t="inlineStr">
        <is>
          <t>item_equip_t4_parts_wuling01_hand_01</t>
        </is>
      </c>
      <c r="B191" t="inlineStr">
        <is>
          <t>纾难护手</t>
        </is>
      </c>
      <c r="C191" t="inlineStr">
        <is>
          <t>武陵</t>
        </is>
      </c>
      <c r="D191" t="n">
        <v>70</v>
      </c>
      <c r="E191" t="inlineStr">
        <is>
          <t>护手</t>
        </is>
      </c>
      <c r="F191" t="n">
        <v>5</v>
      </c>
      <c r="G191" t="inlineStr">
        <is>
          <t>防御力 +42</t>
        </is>
      </c>
      <c r="H191" t="n">
        <v>0</v>
      </c>
      <c r="I191" t="inlineStr"/>
      <c r="J191" t="n">
        <v>0</v>
      </c>
      <c r="K191" t="inlineStr"/>
      <c r="L191" t="n">
        <v>0</v>
      </c>
      <c r="M191" t="inlineStr"/>
      <c r="N191" t="inlineStr">
        <is>
          <t>无</t>
        </is>
      </c>
      <c r="O191" t="inlineStr">
        <is>
          <t>无</t>
        </is>
      </c>
      <c r="P191" t="inlineStr">
        <is>
          <r>
            <rPr/>
            <t>无</t>
          </r>
        </is>
      </c>
      <c r="Q191" t="inlineStr">
        <is>
          <t>本装备由宏山选剑局设计，使用集成工业系统制造，能够提高使用者的作战能力。象征着艰辛前路的装备。“事未竟，路犹长。”</t>
        </is>
      </c>
    </row>
    <row r="192">
      <c r="A192" t="inlineStr">
        <is>
          <t>item_equip_t4_parts_wuling01_hand_02</t>
        </is>
      </c>
      <c r="B192" t="inlineStr">
        <is>
          <t>纾难手套</t>
        </is>
      </c>
      <c r="C192" t="inlineStr">
        <is>
          <t>武陵</t>
        </is>
      </c>
      <c r="D192" t="n">
        <v>70</v>
      </c>
      <c r="E192" t="inlineStr">
        <is>
          <t>护手</t>
        </is>
      </c>
      <c r="F192" t="n">
        <v>5</v>
      </c>
      <c r="G192" t="inlineStr">
        <is>
          <t>防御力 +42</t>
        </is>
      </c>
      <c r="H192" t="n">
        <v>0</v>
      </c>
      <c r="I192" t="inlineStr"/>
      <c r="J192" t="n">
        <v>0</v>
      </c>
      <c r="K192" t="inlineStr"/>
      <c r="L192" t="n">
        <v>0</v>
      </c>
      <c r="M192" t="inlineStr"/>
      <c r="N192" t="inlineStr">
        <is>
          <t>无</t>
        </is>
      </c>
      <c r="O192" t="inlineStr">
        <is>
          <t>无</t>
        </is>
      </c>
      <c r="P192" t="inlineStr">
        <is>
          <r>
            <rPr/>
            <t>无</t>
          </r>
        </is>
      </c>
      <c r="Q192" t="inlineStr">
        <is>
          <t>本装备由宏山选剑局设计，使用集成工业系统制造，能够提高使用者的作战能力。象征着艰辛前路的装备。“事未竟，路犹长。”</t>
        </is>
      </c>
    </row>
    <row r="193">
      <c r="A193" t="inlineStr">
        <is>
          <t>item_equip_t4_parts_wuling01_edc_01</t>
        </is>
      </c>
      <c r="B193" t="inlineStr">
        <is>
          <t>纾难识别牌</t>
        </is>
      </c>
      <c r="C193" t="inlineStr">
        <is>
          <t>武陵</t>
        </is>
      </c>
      <c r="D193" t="n">
        <v>70</v>
      </c>
      <c r="E193" t="inlineStr">
        <is>
          <t>配件</t>
        </is>
      </c>
      <c r="F193" t="n">
        <v>5</v>
      </c>
      <c r="G193" t="inlineStr">
        <is>
          <t>防御力 +21</t>
        </is>
      </c>
      <c r="H193" t="n">
        <v>0</v>
      </c>
      <c r="I193" t="inlineStr"/>
      <c r="J193" t="n">
        <v>0</v>
      </c>
      <c r="K193" t="inlineStr"/>
      <c r="L193" t="n">
        <v>0</v>
      </c>
      <c r="M193" t="inlineStr"/>
      <c r="N193" t="inlineStr">
        <is>
          <t>无</t>
        </is>
      </c>
      <c r="O193" t="inlineStr">
        <is>
          <t>无</t>
        </is>
      </c>
      <c r="P193" t="inlineStr">
        <is>
          <r>
            <rPr/>
            <t>无</t>
          </r>
        </is>
      </c>
      <c r="Q193" t="inlineStr">
        <is>
          <t>本装备由宏山选剑局设计，使用集成工业系统制造，能够提高使用者的作战能力。象征着艰辛前路的装备。“事未竟，路犹长。”</t>
        </is>
      </c>
    </row>
    <row r="194">
      <c r="A194" t="inlineStr">
        <is>
          <t>item_equip_t4_parts_wuling01_edc_02</t>
        </is>
      </c>
      <c r="B194" t="inlineStr">
        <is>
          <t>纾难识别牌·壹型</t>
        </is>
      </c>
      <c r="C194" t="inlineStr">
        <is>
          <t>武陵</t>
        </is>
      </c>
      <c r="D194" t="n">
        <v>70</v>
      </c>
      <c r="E194" t="inlineStr">
        <is>
          <t>配件</t>
        </is>
      </c>
      <c r="F194" t="n">
        <v>5</v>
      </c>
      <c r="G194" t="inlineStr">
        <is>
          <t>防御力 +21</t>
        </is>
      </c>
      <c r="H194" t="n">
        <v>0</v>
      </c>
      <c r="I194" t="inlineStr"/>
      <c r="J194" t="n">
        <v>0</v>
      </c>
      <c r="K194" t="inlineStr"/>
      <c r="L194" t="n">
        <v>0</v>
      </c>
      <c r="M194" t="inlineStr"/>
      <c r="N194" t="inlineStr">
        <is>
          <t>无</t>
        </is>
      </c>
      <c r="O194" t="inlineStr">
        <is>
          <t>无</t>
        </is>
      </c>
      <c r="P194" t="inlineStr">
        <is>
          <r>
            <rPr/>
            <t>无</t>
          </r>
        </is>
      </c>
      <c r="Q194" t="inlineStr">
        <is>
          <t>本装备由宏山选剑局设计，使用集成工业系统制造，能够提高使用者的作战能力。象征着艰辛前路的装备。“事未竟，路犹长。”</t>
        </is>
      </c>
    </row>
    <row r="195">
      <c r="A195" t="inlineStr">
        <is>
          <t>item_equip_t4_parts_wuling01_edc_03</t>
        </is>
      </c>
      <c r="B195" t="inlineStr">
        <is>
          <t>纾难印章</t>
        </is>
      </c>
      <c r="C195" t="inlineStr">
        <is>
          <t>武陵</t>
        </is>
      </c>
      <c r="D195" t="n">
        <v>70</v>
      </c>
      <c r="E195" t="inlineStr">
        <is>
          <t>配件</t>
        </is>
      </c>
      <c r="F195" t="n">
        <v>5</v>
      </c>
      <c r="G195" t="inlineStr">
        <is>
          <t>防御力 +21</t>
        </is>
      </c>
      <c r="H195" t="n">
        <v>0</v>
      </c>
      <c r="I195" t="inlineStr"/>
      <c r="J195" t="n">
        <v>0</v>
      </c>
      <c r="K195" t="inlineStr"/>
      <c r="L195" t="n">
        <v>0</v>
      </c>
      <c r="M195" t="inlineStr"/>
      <c r="N195" t="inlineStr">
        <is>
          <t>无</t>
        </is>
      </c>
      <c r="O195" t="inlineStr">
        <is>
          <t>无</t>
        </is>
      </c>
      <c r="P195" t="inlineStr">
        <is>
          <r>
            <rPr/>
            <t>无</t>
          </r>
        </is>
      </c>
      <c r="Q195" t="inlineStr">
        <is>
          <t>本装备由宏山选剑局设计，使用集成工业系统制造，能够提高使用者的作战能力。象征着艰辛前路的装备。“事未竟，路犹长。”</t>
        </is>
      </c>
    </row>
    <row r="196">
      <c r="A196" t="inlineStr">
        <is>
          <t>item_equip_t4_parts_wuling01_edc_04</t>
        </is>
      </c>
      <c r="B196" t="inlineStr">
        <is>
          <t>纾难印章·壹型</t>
        </is>
      </c>
      <c r="C196" t="inlineStr">
        <is>
          <t>武陵</t>
        </is>
      </c>
      <c r="D196" t="n">
        <v>70</v>
      </c>
      <c r="E196" t="inlineStr">
        <is>
          <t>配件</t>
        </is>
      </c>
      <c r="F196" t="n">
        <v>5</v>
      </c>
      <c r="G196" t="inlineStr">
        <is>
          <t>防御力 +21</t>
        </is>
      </c>
      <c r="H196" t="n">
        <v>0</v>
      </c>
      <c r="I196" t="inlineStr"/>
      <c r="J196" t="n">
        <v>0</v>
      </c>
      <c r="K196" t="inlineStr"/>
      <c r="L196" t="n">
        <v>0</v>
      </c>
      <c r="M196" t="inlineStr"/>
      <c r="N196" t="inlineStr">
        <is>
          <t>无</t>
        </is>
      </c>
      <c r="O196" t="inlineStr">
        <is>
          <t>无</t>
        </is>
      </c>
      <c r="P196" t="inlineStr">
        <is>
          <r>
            <rPr/>
            <t>无</t>
          </r>
        </is>
      </c>
      <c r="Q196" t="inlineStr">
        <is>
          <t>本装备由宏山选剑局设计，使用集成工业系统制造，能够提高使用者的作战能力。象征着艰辛前路的装备。“事未竟，路犹长。”</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Q1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7.3" customWidth="1" min="1" max="1"/>
    <col width="19.25" customWidth="1" min="2" max="2"/>
    <col width="12" customWidth="1" min="3" max="3"/>
    <col width="12" customWidth="1" min="4" max="4"/>
    <col width="12" customWidth="1" min="5" max="5"/>
    <col width="12" customWidth="1" min="6" max="6"/>
    <col width="30.25" customWidth="1" min="7" max="7"/>
    <col width="17.6" customWidth="1" min="8" max="8"/>
    <col width="39.6" customWidth="1" min="9" max="9"/>
    <col width="17.6" customWidth="1" min="10" max="10"/>
    <col width="39.6" customWidth="1" min="11" max="11"/>
    <col width="17.6" customWidth="1" min="12" max="12"/>
    <col width="39.6" customWidth="1" min="13" max="13"/>
    <col width="23.1" customWidth="1" min="14" max="14"/>
    <col width="12.1" customWidth="1" min="15" max="15"/>
    <col width="143" customWidth="1" min="16" max="16"/>
    <col width="223.3" customWidth="1" min="17" max="17"/>
  </cols>
  <sheetData>
    <row r="1" ht="25" customHeight="1">
      <c r="A1" s="1" t="inlineStr">
        <is>
          <t>装备ID</t>
        </is>
      </c>
      <c r="B1" s="1" t="inlineStr">
        <is>
          <t>装备名称</t>
        </is>
      </c>
      <c r="C1" s="1" t="inlineStr">
        <is>
          <t>区域</t>
        </is>
      </c>
      <c r="D1" s="1" t="inlineStr">
        <is>
          <t>等级</t>
        </is>
      </c>
      <c r="E1" s="1" t="inlineStr">
        <is>
          <t>部位</t>
        </is>
      </c>
      <c r="F1" s="1" t="inlineStr">
        <is>
          <t>稀有度</t>
        </is>
      </c>
      <c r="G1" s="1" t="inlineStr">
        <is>
          <t>主词条数值</t>
        </is>
      </c>
      <c r="H1" s="1" t="inlineStr">
        <is>
          <t>词条①精锻等级</t>
        </is>
      </c>
      <c r="I1" s="1" t="inlineStr">
        <is>
          <t>词条①精锻数值（含不可见的精确部分）</t>
        </is>
      </c>
      <c r="J1" s="1" t="inlineStr">
        <is>
          <t>词条②精锻等级</t>
        </is>
      </c>
      <c r="K1" s="1" t="inlineStr">
        <is>
          <t>词条②精锻数值（含不可见的精确部分）</t>
        </is>
      </c>
      <c r="L1" s="1" t="inlineStr">
        <is>
          <t>词条③精锻等级</t>
        </is>
      </c>
      <c r="M1" s="1" t="inlineStr">
        <is>
          <t>词条③精锻数值（含不可见的精确部分）</t>
        </is>
      </c>
      <c r="N1" s="1" t="inlineStr">
        <is>
          <t>套组ID</t>
        </is>
      </c>
      <c r="O1" s="1" t="inlineStr">
        <is>
          <t>套组名称</t>
        </is>
      </c>
      <c r="P1" s="1" t="inlineStr">
        <is>
          <t>套组技能描述</t>
        </is>
      </c>
      <c r="Q1" s="1" t="inlineStr">
        <is>
          <t>装备描述</t>
        </is>
      </c>
    </row>
    <row r="2" ht="22" customHeight="1">
      <c r="A2" s="2" t="inlineStr">
        <is>
          <t>item_equip_t1_suit_stragi01_body_01</t>
        </is>
      </c>
      <c r="B2" s="2" t="inlineStr">
        <is>
          <t>集成化重甲</t>
        </is>
      </c>
      <c r="C2" s="2" t="inlineStr">
        <is>
          <t>四号谷地</t>
        </is>
      </c>
      <c r="D2" s="3" t="n">
        <v>28</v>
      </c>
      <c r="E2" s="2" t="inlineStr">
        <is>
          <t>护甲</t>
        </is>
      </c>
      <c r="F2" s="3" t="n">
        <v>2</v>
      </c>
      <c r="G2" s="2" t="inlineStr">
        <is>
          <t>防御力 +22.400000000000002</t>
        </is>
      </c>
      <c r="H2" s="4" t="n">
        <v>0</v>
      </c>
      <c r="I2" s="2">
        <f>CHOOSE($H2+1, "力量 +30", "无", "无", "无")</f>
        <v/>
      </c>
      <c r="J2" s="4" t="n">
        <v>0</v>
      </c>
      <c r="K2" s="2">
        <f>CHOOSE($J2+1, "敏捷 +30", "无", "无", "无")</f>
        <v/>
      </c>
      <c r="L2" s="4" t="n">
        <v>0</v>
      </c>
      <c r="M2" s="2">
        <f>CHOOSE($L2+1, "全伤害减免 3.89235944257569%", "无", "无", "无")</f>
        <v/>
      </c>
      <c r="N2" s="2" t="inlineStr">
        <is>
          <t>suit_stragi01</t>
        </is>
      </c>
      <c r="O2" s="2" t="inlineStr">
        <is>
          <t>集成重型</t>
        </is>
      </c>
      <c r="P2" s="2" t="inlineStr">
        <is>
          <r>
            <rPr>
              <rFont val="微软雅黑"/>
              <sz val="10"/>
            </rPr>
            <t>3件套组效果：装备者生命值</t>
          </r>
          <r>
            <rPr>
              <rFont val="微软雅黑"/>
              <b val="1"/>
              <color rgb="009eb7ff"/>
              <sz val="10"/>
            </rPr>
            <t>+500</t>
          </r>
          <r>
            <rPr>
              <rFont val="微软雅黑"/>
              <sz val="10"/>
            </rPr>
            <t>。当装备者击败敌人后，回复</t>
          </r>
          <r>
            <rPr>
              <rFont val="微软雅黑"/>
              <b val="1"/>
              <color rgb="00b4d945"/>
              <sz val="10"/>
            </rPr>
            <t>100</t>
          </r>
          <r>
            <rPr>
              <rFont val="微软雅黑"/>
              <sz val="10"/>
            </rPr>
            <t>点生命值。该效果每5秒最多触发一次。</t>
          </r>
        </is>
      </c>
      <c r="Q2" s="2" t="inlineStr">
        <is>
          <t>本装备由终末地工业自研，使用集成工业系统制造，能够提高使用者的作战能力。结构简单的模块化重型防护装备。 在加重加厚了所装配的护甲片后，这些重甲多半时间会被送去集成高威力铳械。</t>
        </is>
      </c>
    </row>
    <row r="3" ht="22" customHeight="1">
      <c r="A3" s="5" t="inlineStr">
        <is>
          <t>item_equip_t1_suit_stragi01_hand_01</t>
        </is>
      </c>
      <c r="B3" s="5" t="inlineStr">
        <is>
          <t>集成化手甲</t>
        </is>
      </c>
      <c r="C3" s="5" t="inlineStr">
        <is>
          <t>四号谷地</t>
        </is>
      </c>
      <c r="D3" s="6" t="n">
        <v>28</v>
      </c>
      <c r="E3" s="5" t="inlineStr">
        <is>
          <t>护手</t>
        </is>
      </c>
      <c r="F3" s="6" t="n">
        <v>2</v>
      </c>
      <c r="G3" s="5" t="inlineStr">
        <is>
          <t>防御力 +16.8</t>
        </is>
      </c>
      <c r="H3" s="7" t="n">
        <v>0</v>
      </c>
      <c r="I3" s="5">
        <f>CHOOSE($H3+1, "力量 +23", "无", "无", "无")</f>
        <v/>
      </c>
      <c r="J3" s="7" t="n">
        <v>0</v>
      </c>
      <c r="K3" s="5">
        <f>CHOOSE($J3+1, "意志 +23", "无", "无", "无")</f>
        <v/>
      </c>
      <c r="L3" s="7" t="n">
        <v>0</v>
      </c>
      <c r="M3" s="5">
        <f>CHOOSE($L3+1, "全伤害减免 6.3231850117096%", "无", "无", "无")</f>
        <v/>
      </c>
      <c r="N3" s="5" t="inlineStr">
        <is>
          <t>suit_stragi01</t>
        </is>
      </c>
      <c r="O3" s="5" t="inlineStr">
        <is>
          <t>集成重型</t>
        </is>
      </c>
      <c r="P3" s="5" t="inlineStr">
        <is>
          <r>
            <rPr>
              <rFont val="微软雅黑"/>
              <sz val="10"/>
            </rPr>
            <t>3件套组效果：装备者生命值</t>
          </r>
          <r>
            <rPr>
              <rFont val="微软雅黑"/>
              <b val="1"/>
              <color rgb="009eb7ff"/>
              <sz val="10"/>
            </rPr>
            <t>+500</t>
          </r>
          <r>
            <rPr>
              <rFont val="微软雅黑"/>
              <sz val="10"/>
            </rPr>
            <t>。当装备者击败敌人后，回复</t>
          </r>
          <r>
            <rPr>
              <rFont val="微软雅黑"/>
              <b val="1"/>
              <color rgb="00b4d945"/>
              <sz val="10"/>
            </rPr>
            <t>100</t>
          </r>
          <r>
            <rPr>
              <rFont val="微软雅黑"/>
              <sz val="10"/>
            </rPr>
            <t>点生命值。该效果每5秒最多触发一次。</t>
          </r>
        </is>
      </c>
      <c r="Q3" s="5" t="inlineStr">
        <is>
          <t>本装备由终末地工业自研，使用集成工业系统制造，能够提高使用者的作战能力。结构简单的模块化重型防护装备。 仅用两个小巧的支撑结构就帮助穿戴者分担了百分之四十的武器重量，真是巧妙的设计。</t>
        </is>
      </c>
    </row>
    <row r="4" ht="22" customHeight="1">
      <c r="A4" s="2" t="inlineStr">
        <is>
          <t>item_equip_t1_suit_stragi01_edc_01</t>
        </is>
      </c>
      <c r="B4" s="2" t="inlineStr">
        <is>
          <t>集成化重甲片</t>
        </is>
      </c>
      <c r="C4" s="2" t="inlineStr">
        <is>
          <t>四号谷地</t>
        </is>
      </c>
      <c r="D4" s="3" t="n">
        <v>28</v>
      </c>
      <c r="E4" s="2" t="inlineStr">
        <is>
          <t>配件</t>
        </is>
      </c>
      <c r="F4" s="3" t="n">
        <v>2</v>
      </c>
      <c r="G4" s="2" t="inlineStr">
        <is>
          <t>防御力 +8.4</t>
        </is>
      </c>
      <c r="H4" s="4" t="n">
        <v>0</v>
      </c>
      <c r="I4" s="2">
        <f>CHOOSE($H4+1, "力量 +16", "无", "无", "无")</f>
        <v/>
      </c>
      <c r="J4" s="4" t="n">
        <v>0</v>
      </c>
      <c r="K4" s="2">
        <f>CHOOSE($J4+1, "全伤害减免 7.49306197964847%", "无", "无", "无")</f>
        <v/>
      </c>
      <c r="L4" s="4" t="n">
        <v>0</v>
      </c>
      <c r="M4" s="2" t="inlineStr">
        <is>
          <t>无</t>
        </is>
      </c>
      <c r="N4" s="2" t="inlineStr">
        <is>
          <t>suit_stragi01</t>
        </is>
      </c>
      <c r="O4" s="2" t="inlineStr">
        <is>
          <t>集成重型</t>
        </is>
      </c>
      <c r="P4" s="2" t="inlineStr">
        <is>
          <r>
            <rPr>
              <rFont val="微软雅黑"/>
              <sz val="10"/>
            </rPr>
            <t>3件套组效果：装备者生命值</t>
          </r>
          <r>
            <rPr>
              <rFont val="微软雅黑"/>
              <b val="1"/>
              <color rgb="009eb7ff"/>
              <sz val="10"/>
            </rPr>
            <t>+500</t>
          </r>
          <r>
            <rPr>
              <rFont val="微软雅黑"/>
              <sz val="10"/>
            </rPr>
            <t>。当装备者击败敌人后，回复</t>
          </r>
          <r>
            <rPr>
              <rFont val="微软雅黑"/>
              <b val="1"/>
              <color rgb="00b4d945"/>
              <sz val="10"/>
            </rPr>
            <t>100</t>
          </r>
          <r>
            <rPr>
              <rFont val="微软雅黑"/>
              <sz val="10"/>
            </rPr>
            <t>点生命值。该效果每5秒最多触发一次。</t>
          </r>
        </is>
      </c>
      <c r="Q4" s="2" t="inlineStr">
        <is>
          <t>本装备由终末地工业自研，使用集成工业系统制造，能够提高使用者的作战能力。结构简单的模块化重型防护装备。 如果想要提升防御性能，就无法控制住激增的重量，算是这套装备最严重的痛点。</t>
        </is>
      </c>
    </row>
    <row r="5" ht="22" customHeight="1">
      <c r="A5" s="5" t="inlineStr">
        <is>
          <t>item_equip_t1_suit_stragi01_edc_02</t>
        </is>
      </c>
      <c r="B5" s="5" t="inlineStr">
        <is>
          <t>集成化合金板</t>
        </is>
      </c>
      <c r="C5" s="5" t="inlineStr">
        <is>
          <t>四号谷地</t>
        </is>
      </c>
      <c r="D5" s="6" t="n">
        <v>28</v>
      </c>
      <c r="E5" s="5" t="inlineStr">
        <is>
          <t>配件</t>
        </is>
      </c>
      <c r="F5" s="6" t="n">
        <v>2</v>
      </c>
      <c r="G5" s="5" t="inlineStr">
        <is>
          <t>防御力 +8.4</t>
        </is>
      </c>
      <c r="H5" s="7" t="n">
        <v>0</v>
      </c>
      <c r="I5" s="5">
        <f>CHOOSE($H5+1, "敏捷 +16", "无", "无", "无")</f>
        <v/>
      </c>
      <c r="J5" s="7" t="n">
        <v>0</v>
      </c>
      <c r="K5" s="5">
        <f>CHOOSE($J5+1, "全伤害减免 7.49306197964847%", "无", "无", "无")</f>
        <v/>
      </c>
      <c r="L5" s="7" t="n">
        <v>0</v>
      </c>
      <c r="M5" s="5" t="inlineStr">
        <is>
          <t>无</t>
        </is>
      </c>
      <c r="N5" s="5" t="inlineStr">
        <is>
          <t>suit_stragi01</t>
        </is>
      </c>
      <c r="O5" s="5" t="inlineStr">
        <is>
          <t>集成重型</t>
        </is>
      </c>
      <c r="P5" s="5" t="inlineStr">
        <is>
          <r>
            <rPr>
              <rFont val="微软雅黑"/>
              <sz val="10"/>
            </rPr>
            <t>3件套组效果：装备者生命值</t>
          </r>
          <r>
            <rPr>
              <rFont val="微软雅黑"/>
              <b val="1"/>
              <color rgb="009eb7ff"/>
              <sz val="10"/>
            </rPr>
            <t>+500</t>
          </r>
          <r>
            <rPr>
              <rFont val="微软雅黑"/>
              <sz val="10"/>
            </rPr>
            <t>。当装备者击败敌人后，回复</t>
          </r>
          <r>
            <rPr>
              <rFont val="微软雅黑"/>
              <b val="1"/>
              <color rgb="00b4d945"/>
              <sz val="10"/>
            </rPr>
            <t>100</t>
          </r>
          <r>
            <rPr>
              <rFont val="微软雅黑"/>
              <sz val="10"/>
            </rPr>
            <t>点生命值。该效果每5秒最多触发一次。</t>
          </r>
        </is>
      </c>
      <c r="Q5" s="5" t="inlineStr">
        <is>
          <t>本装备由终末地工业自研，使用集成工业系统制造，能够提高使用者的作战能力。结构简单的模块化重型防护装备。 虽然成本十分之低，但胜在材料品质优秀，因此防护性能足够令人满意。</t>
        </is>
      </c>
    </row>
    <row r="6" ht="22" customHeight="1">
      <c r="A6" s="2" t="inlineStr">
        <is>
          <t>item_equip_t1_suit_wisdwill01_body_01</t>
        </is>
      </c>
      <c r="B6" s="2" t="inlineStr">
        <is>
          <t>集成化轻甲</t>
        </is>
      </c>
      <c r="C6" s="2" t="inlineStr">
        <is>
          <t>四号谷地</t>
        </is>
      </c>
      <c r="D6" s="3" t="n">
        <v>28</v>
      </c>
      <c r="E6" s="2" t="inlineStr">
        <is>
          <t>护甲</t>
        </is>
      </c>
      <c r="F6" s="3" t="n">
        <v>2</v>
      </c>
      <c r="G6" s="2" t="inlineStr">
        <is>
          <t>防御力 +22.400000000000002</t>
        </is>
      </c>
      <c r="H6" s="4" t="n">
        <v>0</v>
      </c>
      <c r="I6" s="2">
        <f>CHOOSE($H6+1, "智识 +30", "无", "无", "无")</f>
        <v/>
      </c>
      <c r="J6" s="4" t="n">
        <v>0</v>
      </c>
      <c r="K6" s="2">
        <f>CHOOSE($J6+1, "意志 +30", "无", "无", "无")</f>
        <v/>
      </c>
      <c r="L6" s="4" t="n">
        <v>0</v>
      </c>
      <c r="M6" s="2">
        <f>CHOOSE($L6+1, "战技伤害加成 +8.1%", "无", "无", "无")</f>
        <v/>
      </c>
      <c r="N6" s="2" t="inlineStr">
        <is>
          <t>suit_wisdwill01</t>
        </is>
      </c>
      <c r="O6" s="2" t="inlineStr">
        <is>
          <t>集成轻型</t>
        </is>
      </c>
      <c r="P6" s="2" t="inlineStr">
        <is>
          <r>
            <rPr>
              <rFont val="微软雅黑"/>
              <sz val="10"/>
            </rPr>
            <t>3件套组效果：装备者生命值</t>
          </r>
          <r>
            <rPr>
              <rFont val="微软雅黑"/>
              <b val="1"/>
              <color rgb="009eb7ff"/>
              <sz val="10"/>
            </rPr>
            <t>+500</t>
          </r>
          <r>
            <rPr>
              <rFont val="微软雅黑"/>
              <sz val="10"/>
            </rPr>
            <t>。当装备者击败敌人后，攻击力</t>
          </r>
          <r>
            <rPr>
              <rFont val="微软雅黑"/>
              <b val="1"/>
              <color rgb="009eb7ff"/>
              <sz val="10"/>
            </rPr>
            <t>+20</t>
          </r>
          <r>
            <rPr>
              <rFont val="微软雅黑"/>
              <sz val="10"/>
            </rPr>
            <t>，持续</t>
          </r>
          <r>
            <rPr>
              <rFont val="微软雅黑"/>
              <b val="1"/>
              <color rgb="009eb7ff"/>
              <sz val="10"/>
            </rPr>
            <t>5</t>
          </r>
          <r>
            <rPr>
              <rFont val="微软雅黑"/>
              <sz val="10"/>
            </rPr>
            <t>秒。</t>
          </r>
        </is>
      </c>
      <c r="Q6" s="2" t="inlineStr">
        <is>
          <t>本装备由终末地工业自研，使用集成工业系统制造，能够提高使用者的作战能力。结构简单的模块化轻型防护装备。 它诞生在集成工业系统相关设备的试运行过程中，因几个尝试混合生产线的随手为之而生。</t>
        </is>
      </c>
    </row>
    <row r="7" ht="22" customHeight="1">
      <c r="A7" s="5" t="inlineStr">
        <is>
          <t>item_equip_t1_suit_wisdwill01_hand_01</t>
        </is>
      </c>
      <c r="B7" s="5" t="inlineStr">
        <is>
          <t>集成化战术手套</t>
        </is>
      </c>
      <c r="C7" s="5" t="inlineStr">
        <is>
          <t>四号谷地</t>
        </is>
      </c>
      <c r="D7" s="6" t="n">
        <v>28</v>
      </c>
      <c r="E7" s="5" t="inlineStr">
        <is>
          <t>护手</t>
        </is>
      </c>
      <c r="F7" s="6" t="n">
        <v>2</v>
      </c>
      <c r="G7" s="5" t="inlineStr">
        <is>
          <t>防御力 +16.8</t>
        </is>
      </c>
      <c r="H7" s="7" t="n">
        <v>0</v>
      </c>
      <c r="I7" s="5">
        <f>CHOOSE($H7+1, "智识 +23", "无", "无", "无")</f>
        <v/>
      </c>
      <c r="J7" s="7" t="n">
        <v>0</v>
      </c>
      <c r="K7" s="5">
        <f>CHOOSE($J7+1, "敏捷 +23", "无", "无", "无")</f>
        <v/>
      </c>
      <c r="L7" s="7" t="n">
        <v>0</v>
      </c>
      <c r="M7" s="5">
        <f>CHOOSE($L7+1, "连携技伤害加成 +13.5%", "无", "无", "无")</f>
        <v/>
      </c>
      <c r="N7" s="5" t="inlineStr">
        <is>
          <t>suit_wisdwill01</t>
        </is>
      </c>
      <c r="O7" s="5" t="inlineStr">
        <is>
          <t>集成轻型</t>
        </is>
      </c>
      <c r="P7" s="5" t="inlineStr">
        <is>
          <r>
            <rPr>
              <rFont val="微软雅黑"/>
              <sz val="10"/>
            </rPr>
            <t>3件套组效果：装备者生命值</t>
          </r>
          <r>
            <rPr>
              <rFont val="微软雅黑"/>
              <b val="1"/>
              <color rgb="009eb7ff"/>
              <sz val="10"/>
            </rPr>
            <t>+500</t>
          </r>
          <r>
            <rPr>
              <rFont val="微软雅黑"/>
              <sz val="10"/>
            </rPr>
            <t>。当装备者击败敌人后，攻击力</t>
          </r>
          <r>
            <rPr>
              <rFont val="微软雅黑"/>
              <b val="1"/>
              <color rgb="009eb7ff"/>
              <sz val="10"/>
            </rPr>
            <t>+20</t>
          </r>
          <r>
            <rPr>
              <rFont val="微软雅黑"/>
              <sz val="10"/>
            </rPr>
            <t>，持续</t>
          </r>
          <r>
            <rPr>
              <rFont val="微软雅黑"/>
              <b val="1"/>
              <color rgb="009eb7ff"/>
              <sz val="10"/>
            </rPr>
            <t>5</t>
          </r>
          <r>
            <rPr>
              <rFont val="微软雅黑"/>
              <sz val="10"/>
            </rPr>
            <t>秒。</t>
          </r>
        </is>
      </c>
      <c r="Q7" s="5" t="inlineStr">
        <is>
          <t>本装备由终末地工业自研，使用集成工业系统制造，能够提高使用者的作战能力。结构简单的模块化轻型防护装备。 虽然不能提供最顶级的防护，但它至少便于穿戴。</t>
        </is>
      </c>
    </row>
    <row r="8" ht="22" customHeight="1">
      <c r="A8" s="2" t="inlineStr">
        <is>
          <t>item_equip_t1_suit_wisdwill01_edc_01</t>
        </is>
      </c>
      <c r="B8" s="2" t="inlineStr">
        <is>
          <t>集成化轻甲片</t>
        </is>
      </c>
      <c r="C8" s="2" t="inlineStr">
        <is>
          <t>四号谷地</t>
        </is>
      </c>
      <c r="D8" s="3" t="n">
        <v>28</v>
      </c>
      <c r="E8" s="2" t="inlineStr">
        <is>
          <t>配件</t>
        </is>
      </c>
      <c r="F8" s="3" t="n">
        <v>2</v>
      </c>
      <c r="G8" s="2" t="inlineStr">
        <is>
          <t>防御力 +8.4</t>
        </is>
      </c>
      <c r="H8" s="4" t="n">
        <v>0</v>
      </c>
      <c r="I8" s="2">
        <f>CHOOSE($H8+1, "智识 +16", "无", "无", "无")</f>
        <v/>
      </c>
      <c r="J8" s="4" t="n">
        <v>0</v>
      </c>
      <c r="K8" s="2">
        <f>CHOOSE($J8+1, "连携技伤害加成 +16.2%", "无", "无", "无")</f>
        <v/>
      </c>
      <c r="L8" s="4" t="n">
        <v>0</v>
      </c>
      <c r="M8" s="2" t="inlineStr">
        <is>
          <t>无</t>
        </is>
      </c>
      <c r="N8" s="2" t="inlineStr">
        <is>
          <t>suit_wisdwill01</t>
        </is>
      </c>
      <c r="O8" s="2" t="inlineStr">
        <is>
          <t>集成轻型</t>
        </is>
      </c>
      <c r="P8" s="2" t="inlineStr">
        <is>
          <r>
            <rPr>
              <rFont val="微软雅黑"/>
              <sz val="10"/>
            </rPr>
            <t>3件套组效果：装备者生命值</t>
          </r>
          <r>
            <rPr>
              <rFont val="微软雅黑"/>
              <b val="1"/>
              <color rgb="009eb7ff"/>
              <sz val="10"/>
            </rPr>
            <t>+500</t>
          </r>
          <r>
            <rPr>
              <rFont val="微软雅黑"/>
              <sz val="10"/>
            </rPr>
            <t>。当装备者击败敌人后，攻击力</t>
          </r>
          <r>
            <rPr>
              <rFont val="微软雅黑"/>
              <b val="1"/>
              <color rgb="009eb7ff"/>
              <sz val="10"/>
            </rPr>
            <t>+20</t>
          </r>
          <r>
            <rPr>
              <rFont val="微软雅黑"/>
              <sz val="10"/>
            </rPr>
            <t>，持续</t>
          </r>
          <r>
            <rPr>
              <rFont val="微软雅黑"/>
              <b val="1"/>
              <color rgb="009eb7ff"/>
              <sz val="10"/>
            </rPr>
            <t>5</t>
          </r>
          <r>
            <rPr>
              <rFont val="微软雅黑"/>
              <sz val="10"/>
            </rPr>
            <t>秒。</t>
          </r>
        </is>
      </c>
      <c r="Q8" s="2" t="inlineStr">
        <is>
          <t>本装备由终末地工业自研，使用集成工业系统制造，能够提高使用者的作战能力。结构简单的模块化轻型防护装备。 护甲片能够灵活装配是这套集成化装备的最大卖点。</t>
        </is>
      </c>
    </row>
    <row r="9" ht="22" customHeight="1">
      <c r="A9" s="5" t="inlineStr">
        <is>
          <t>item_equip_t1_suit_wisdwill01_edc_02</t>
        </is>
      </c>
      <c r="B9" s="5" t="inlineStr">
        <is>
          <t>集成化陶瓷板</t>
        </is>
      </c>
      <c r="C9" s="5" t="inlineStr">
        <is>
          <t>四号谷地</t>
        </is>
      </c>
      <c r="D9" s="6" t="n">
        <v>28</v>
      </c>
      <c r="E9" s="5" t="inlineStr">
        <is>
          <t>配件</t>
        </is>
      </c>
      <c r="F9" s="6" t="n">
        <v>2</v>
      </c>
      <c r="G9" s="5" t="inlineStr">
        <is>
          <t>防御力 +8.4</t>
        </is>
      </c>
      <c r="H9" s="7" t="n">
        <v>0</v>
      </c>
      <c r="I9" s="5">
        <f>CHOOSE($H9+1, "意志 +16", "无", "无", "无")</f>
        <v/>
      </c>
      <c r="J9" s="7" t="n">
        <v>0</v>
      </c>
      <c r="K9" s="5">
        <f>CHOOSE($J9+1, "战技伤害加成 +16.2%", "无", "无", "无")</f>
        <v/>
      </c>
      <c r="L9" s="7" t="n">
        <v>0</v>
      </c>
      <c r="M9" s="5" t="inlineStr">
        <is>
          <t>无</t>
        </is>
      </c>
      <c r="N9" s="5" t="inlineStr">
        <is>
          <t>suit_wisdwill01</t>
        </is>
      </c>
      <c r="O9" s="5" t="inlineStr">
        <is>
          <t>集成轻型</t>
        </is>
      </c>
      <c r="P9" s="5" t="inlineStr">
        <is>
          <r>
            <rPr>
              <rFont val="微软雅黑"/>
              <sz val="10"/>
            </rPr>
            <t>3件套组效果：装备者生命值</t>
          </r>
          <r>
            <rPr>
              <rFont val="微软雅黑"/>
              <b val="1"/>
              <color rgb="009eb7ff"/>
              <sz val="10"/>
            </rPr>
            <t>+500</t>
          </r>
          <r>
            <rPr>
              <rFont val="微软雅黑"/>
              <sz val="10"/>
            </rPr>
            <t>。当装备者击败敌人后，攻击力</t>
          </r>
          <r>
            <rPr>
              <rFont val="微软雅黑"/>
              <b val="1"/>
              <color rgb="009eb7ff"/>
              <sz val="10"/>
            </rPr>
            <t>+20</t>
          </r>
          <r>
            <rPr>
              <rFont val="微软雅黑"/>
              <sz val="10"/>
            </rPr>
            <t>，持续</t>
          </r>
          <r>
            <rPr>
              <rFont val="微软雅黑"/>
              <b val="1"/>
              <color rgb="009eb7ff"/>
              <sz val="10"/>
            </rPr>
            <t>5</t>
          </r>
          <r>
            <rPr>
              <rFont val="微软雅黑"/>
              <sz val="10"/>
            </rPr>
            <t>秒。</t>
          </r>
        </is>
      </c>
      <c r="Q9" s="5" t="inlineStr">
        <is>
          <t>本装备由终末地工业自研，使用集成工业系统制造，能够提高使用者的作战能力。结构简单的模块化轻型防护装备。 “虽然我愿意相信咱们的技术，但它是不是有些太轻了……”</t>
        </is>
      </c>
    </row>
    <row r="10" ht="22" customHeight="1">
      <c r="A10" s="2" t="inlineStr">
        <is>
          <t>item_equip_t2_suit_str01_body_01</t>
        </is>
      </c>
      <c r="B10" s="2" t="inlineStr">
        <is>
          <t>重装信使夹克</t>
        </is>
      </c>
      <c r="C10" s="2" t="inlineStr">
        <is>
          <t>四号谷地</t>
        </is>
      </c>
      <c r="D10" s="3" t="n">
        <v>36</v>
      </c>
      <c r="E10" s="2" t="inlineStr">
        <is>
          <t>护甲</t>
        </is>
      </c>
      <c r="F10" s="3" t="n">
        <v>3</v>
      </c>
      <c r="G10" s="2" t="inlineStr">
        <is>
          <t>防御力 +28.8</t>
        </is>
      </c>
      <c r="H10" s="4" t="n">
        <v>0</v>
      </c>
      <c r="I10" s="2">
        <f>CHOOSE($H10+1, "力量 +44", "无", "无", "无")</f>
        <v/>
      </c>
      <c r="J10" s="4" t="n">
        <v>0</v>
      </c>
      <c r="K10" s="2">
        <f>CHOOSE($J10+1, "敏捷 +29", "无", "无", "无")</f>
        <v/>
      </c>
      <c r="L10" s="4" t="n">
        <v>0</v>
      </c>
      <c r="M10" s="2">
        <f>CHOOSE($L10+1, "生命值 +10.5%", "无", "无", "无")</f>
        <v/>
      </c>
      <c r="N10" s="2" t="inlineStr">
        <is>
          <t>suit_str01</t>
        </is>
      </c>
      <c r="O10" s="2" t="inlineStr">
        <is>
          <t>重装信使</t>
        </is>
      </c>
      <c r="P10" s="2"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10" s="2" t="inlineStr">
        <is>
          <t>本装备由终末地工业参考荒野手工艺品设计，使用集成工业系统制造，能够提高使用者的作战能力。信使们爱穿的夹克。 在塔卫二，越野摩托是一种足够物美价廉的交通工具——信使们会为它附上不同的改装模块。</t>
        </is>
      </c>
    </row>
    <row r="11" ht="22" customHeight="1">
      <c r="A11" s="5" t="inlineStr">
        <is>
          <t>item_equip_t2_suit_str01_hand_01</t>
        </is>
      </c>
      <c r="B11" s="5" t="inlineStr">
        <is>
          <t>重装信使手套</t>
        </is>
      </c>
      <c r="C11" s="5" t="inlineStr">
        <is>
          <t>四号谷地</t>
        </is>
      </c>
      <c r="D11" s="6" t="n">
        <v>36</v>
      </c>
      <c r="E11" s="5" t="inlineStr">
        <is>
          <t>护手</t>
        </is>
      </c>
      <c r="F11" s="6" t="n">
        <v>3</v>
      </c>
      <c r="G11" s="5" t="inlineStr">
        <is>
          <t>防御力 +21.599999999999998</t>
        </is>
      </c>
      <c r="H11" s="7" t="n">
        <v>0</v>
      </c>
      <c r="I11" s="5">
        <f>CHOOSE($H11+1, "力量 +33", "无", "无", "无")</f>
        <v/>
      </c>
      <c r="J11" s="7" t="n">
        <v>0</v>
      </c>
      <c r="K11" s="5">
        <f>CHOOSE($J11+1, "意志 +22", "无", "无", "无")</f>
        <v/>
      </c>
      <c r="L11" s="7" t="n">
        <v>0</v>
      </c>
      <c r="M11" s="5">
        <f>CHOOSE($L11+1, "全伤害减免 8.04597701149424%", "无", "无", "无")</f>
        <v/>
      </c>
      <c r="N11" s="5" t="inlineStr">
        <is>
          <t>suit_str01</t>
        </is>
      </c>
      <c r="O11" s="5" t="inlineStr">
        <is>
          <t>重装信使</t>
        </is>
      </c>
      <c r="P11" s="5"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11" s="5" t="inlineStr">
        <is>
          <t>本装备由终末地工业参考荒野手工艺品设计，使用集成工业系统制造，能够提高使用者的作战能力。信使们爱用的护手。 大部分信使会为自己的交通工具增加一个便捷脱离装置，以便能在突发的侵蚀灾害中保全性命。</t>
        </is>
      </c>
    </row>
    <row r="12" ht="22" customHeight="1">
      <c r="A12" s="2" t="inlineStr">
        <is>
          <t>item_equip_t2_suit_str01_edc_02</t>
        </is>
      </c>
      <c r="B12" s="2" t="inlineStr">
        <is>
          <t>重装信使手电</t>
        </is>
      </c>
      <c r="C12" s="2" t="inlineStr">
        <is>
          <t>四号谷地</t>
        </is>
      </c>
      <c r="D12" s="3" t="n">
        <v>36</v>
      </c>
      <c r="E12" s="2" t="inlineStr">
        <is>
          <t>配件</t>
        </is>
      </c>
      <c r="F12" s="3" t="n">
        <v>3</v>
      </c>
      <c r="G12" s="2" t="inlineStr">
        <is>
          <t>防御力 +10.799999999999999</t>
        </is>
      </c>
      <c r="H12" s="4" t="n">
        <v>0</v>
      </c>
      <c r="I12" s="2">
        <f>CHOOSE($H12+1, "力量 +21", "无", "无", "无")</f>
        <v/>
      </c>
      <c r="J12" s="4" t="n">
        <v>0</v>
      </c>
      <c r="K12" s="2">
        <f>CHOOSE($J12+1, "生命值 +21%", "无", "无", "无")</f>
        <v/>
      </c>
      <c r="L12" s="4" t="n">
        <v>0</v>
      </c>
      <c r="M12" s="2" t="inlineStr">
        <is>
          <t>无</t>
        </is>
      </c>
      <c r="N12" s="2" t="inlineStr">
        <is>
          <t>suit_str01</t>
        </is>
      </c>
      <c r="O12" s="2" t="inlineStr">
        <is>
          <t>重装信使</t>
        </is>
      </c>
      <c r="P12" s="2"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12" s="2" t="inlineStr">
        <is>
          <t>本装备由终末地工业参考荒野手工艺品设计，使用集成工业系统制造，能够提高使用者的作战能力。坚固的照明手电。 它尾部的尖锥通常会被用来凿开一些不愿沟通的骨骼。</t>
        </is>
      </c>
    </row>
    <row r="13" ht="22" customHeight="1">
      <c r="A13" s="5" t="inlineStr">
        <is>
          <t>item_equip_t2_suit_str01_edc_01</t>
        </is>
      </c>
      <c r="B13" s="5" t="inlineStr">
        <is>
          <t>重装信使陀螺</t>
        </is>
      </c>
      <c r="C13" s="5" t="inlineStr">
        <is>
          <t>四号谷地</t>
        </is>
      </c>
      <c r="D13" s="6" t="n">
        <v>36</v>
      </c>
      <c r="E13" s="5" t="inlineStr">
        <is>
          <t>配件</t>
        </is>
      </c>
      <c r="F13" s="6" t="n">
        <v>3</v>
      </c>
      <c r="G13" s="5" t="inlineStr">
        <is>
          <t>防御力 +10.799999999999999</t>
        </is>
      </c>
      <c r="H13" s="7" t="n">
        <v>0</v>
      </c>
      <c r="I13" s="5">
        <f>CHOOSE($H13+1, "力量 +21", "无", "无", "无")</f>
        <v/>
      </c>
      <c r="J13" s="7" t="n">
        <v>0</v>
      </c>
      <c r="K13" s="5">
        <f>CHOOSE($J13+1, "攻击力 +10.5%", "无", "无", "无")</f>
        <v/>
      </c>
      <c r="L13" s="7" t="n">
        <v>0</v>
      </c>
      <c r="M13" s="5" t="inlineStr">
        <is>
          <t>无</t>
        </is>
      </c>
      <c r="N13" s="5" t="inlineStr">
        <is>
          <t>suit_str01</t>
        </is>
      </c>
      <c r="O13" s="5" t="inlineStr">
        <is>
          <t>重装信使</t>
        </is>
      </c>
      <c r="P13" s="5"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13" s="5" t="inlineStr">
        <is>
          <t>本装备由终末地工业参考荒野手工艺品设计，使用集成工业系统制造，能够提高使用者的作战能力。小巧的解压玩具。 根据权威统计，约有百分之八十的信使会把这样的小玩具改装成微型爆破飞镖。</t>
        </is>
      </c>
    </row>
    <row r="14" ht="22" customHeight="1">
      <c r="A14" s="2" t="inlineStr">
        <is>
          <t>item_equip_t2_suit_agi01_body_01</t>
        </is>
      </c>
      <c r="B14" s="2" t="inlineStr">
        <is>
          <t>巡行信使夹克</t>
        </is>
      </c>
      <c r="C14" s="2" t="inlineStr">
        <is>
          <t>四号谷地</t>
        </is>
      </c>
      <c r="D14" s="3" t="n">
        <v>36</v>
      </c>
      <c r="E14" s="2" t="inlineStr">
        <is>
          <t>护甲</t>
        </is>
      </c>
      <c r="F14" s="3" t="n">
        <v>3</v>
      </c>
      <c r="G14" s="2" t="inlineStr">
        <is>
          <t>防御力 +28.8</t>
        </is>
      </c>
      <c r="H14" s="4" t="n">
        <v>0</v>
      </c>
      <c r="I14" s="2">
        <f>CHOOSE($H14+1, "敏捷 +44", "无", "无", "无")</f>
        <v/>
      </c>
      <c r="J14" s="4" t="n">
        <v>0</v>
      </c>
      <c r="K14" s="2">
        <f>CHOOSE($J14+1, "智识 +29", "无", "无", "无")</f>
        <v/>
      </c>
      <c r="L14" s="4" t="n">
        <v>0</v>
      </c>
      <c r="M14" s="2">
        <f>CHOOSE($L14+1, "攻击力 +16.187704477740866", "无", "无", "无")</f>
        <v/>
      </c>
      <c r="N14" s="2" t="inlineStr">
        <is>
          <t>suit_agi01</t>
        </is>
      </c>
      <c r="O14" s="2" t="inlineStr">
        <is>
          <t>巡行信使</t>
        </is>
      </c>
      <c r="P14" s="2"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14" s="2" t="inlineStr">
        <is>
          <t>本装备由终末地工业参考荒野手工艺品设计，使用集成工业系统制造，能够提高使用者的作战能力。信使们爱穿的夹克。 四号谷地周边的信使会为自己的交通工具喷涂大树枝干般的纹样。曾保护这片土地的事物至今仍能给予人们力量。</t>
        </is>
      </c>
    </row>
    <row r="15" ht="22" customHeight="1">
      <c r="A15" s="5" t="inlineStr">
        <is>
          <t>item_equip_t2_suit_agi01_hand_01</t>
        </is>
      </c>
      <c r="B15" s="5" t="inlineStr">
        <is>
          <t>巡行信使手套</t>
        </is>
      </c>
      <c r="C15" s="5" t="inlineStr">
        <is>
          <t>四号谷地</t>
        </is>
      </c>
      <c r="D15" s="6" t="n">
        <v>36</v>
      </c>
      <c r="E15" s="5" t="inlineStr">
        <is>
          <t>护手</t>
        </is>
      </c>
      <c r="F15" s="6" t="n">
        <v>3</v>
      </c>
      <c r="G15" s="5" t="inlineStr">
        <is>
          <t>防御力 +21.599999999999998</t>
        </is>
      </c>
      <c r="H15" s="7" t="n">
        <v>0</v>
      </c>
      <c r="I15" s="5">
        <f>CHOOSE($H15+1, "敏捷 +33", "无", "无", "无")</f>
        <v/>
      </c>
      <c r="J15" s="7" t="n">
        <v>0</v>
      </c>
      <c r="K15" s="5">
        <f>CHOOSE($J15+1, "力量 +22", "无", "无", "无")</f>
        <v/>
      </c>
      <c r="L15" s="7" t="n">
        <v>0</v>
      </c>
      <c r="M15" s="5">
        <f>CHOOSE($L15+1, "物理伤害加成 +9.722222222222222%", "无", "无", "无")</f>
        <v/>
      </c>
      <c r="N15" s="5" t="inlineStr">
        <is>
          <t>suit_agi01</t>
        </is>
      </c>
      <c r="O15" s="5" t="inlineStr">
        <is>
          <t>巡行信使</t>
        </is>
      </c>
      <c r="P15" s="5"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15" s="5" t="inlineStr">
        <is>
          <t>本装备由终末地工业参考荒野手工艺品设计，使用集成工业系统制造，能够提高使用者的作战能力。信使们爱用的护手。 走上擂台切磋几手也是信使们的消遣方式之一。</t>
        </is>
      </c>
    </row>
    <row r="16" ht="22" customHeight="1">
      <c r="A16" s="2" t="inlineStr">
        <is>
          <t>item_equip_t2_suit_agi01_edc_02</t>
        </is>
      </c>
      <c r="B16" s="2" t="inlineStr">
        <is>
          <t>巡行信使手电</t>
        </is>
      </c>
      <c r="C16" s="2" t="inlineStr">
        <is>
          <t>四号谷地</t>
        </is>
      </c>
      <c r="D16" s="3" t="n">
        <v>36</v>
      </c>
      <c r="E16" s="2" t="inlineStr">
        <is>
          <t>配件</t>
        </is>
      </c>
      <c r="F16" s="3" t="n">
        <v>3</v>
      </c>
      <c r="G16" s="2" t="inlineStr">
        <is>
          <t>防御力 +10.799999999999999</t>
        </is>
      </c>
      <c r="H16" s="4" t="n">
        <v>0</v>
      </c>
      <c r="I16" s="2">
        <f>CHOOSE($H16+1, "敏捷 +21", "无", "无", "无")</f>
        <v/>
      </c>
      <c r="J16" s="4" t="n">
        <v>0</v>
      </c>
      <c r="K16" s="2">
        <f>CHOOSE($J16+1, "连携技伤害加成 +21%", "无", "无", "无")</f>
        <v/>
      </c>
      <c r="L16" s="4" t="n">
        <v>0</v>
      </c>
      <c r="M16" s="2" t="inlineStr">
        <is>
          <t>无</t>
        </is>
      </c>
      <c r="N16" s="2" t="inlineStr">
        <is>
          <t>suit_agi01</t>
        </is>
      </c>
      <c r="O16" s="2" t="inlineStr">
        <is>
          <t>巡行信使</t>
        </is>
      </c>
      <c r="P16" s="2"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16" s="2" t="inlineStr">
        <is>
          <t>本装备由终末地工业参考荒野手工艺品设计，使用集成工业系统制造，能够提高使用者的作战能力。坚固的照明手电。 它尾部的尖锥偶尔会被用来破开一些尘封的古物。</t>
        </is>
      </c>
    </row>
    <row r="17" ht="22" customHeight="1">
      <c r="A17" s="5" t="inlineStr">
        <is>
          <t>item_equip_t2_suit_agi01_edc_01</t>
        </is>
      </c>
      <c r="B17" s="5" t="inlineStr">
        <is>
          <t>巡行信使陀螺</t>
        </is>
      </c>
      <c r="C17" s="5" t="inlineStr">
        <is>
          <t>四号谷地</t>
        </is>
      </c>
      <c r="D17" s="6" t="n">
        <v>36</v>
      </c>
      <c r="E17" s="5" t="inlineStr">
        <is>
          <t>配件</t>
        </is>
      </c>
      <c r="F17" s="6" t="n">
        <v>3</v>
      </c>
      <c r="G17" s="5" t="inlineStr">
        <is>
          <t>防御力 +10.799999999999999</t>
        </is>
      </c>
      <c r="H17" s="7" t="n">
        <v>0</v>
      </c>
      <c r="I17" s="5">
        <f>CHOOSE($H17+1, "敏捷 +21", "无", "无", "无")</f>
        <v/>
      </c>
      <c r="J17" s="7" t="n">
        <v>0</v>
      </c>
      <c r="K17" s="5">
        <f>CHOOSE($J17+1, "攻击力 +10.5%", "无", "无", "无")</f>
        <v/>
      </c>
      <c r="L17" s="7" t="n">
        <v>0</v>
      </c>
      <c r="M17" s="5" t="inlineStr">
        <is>
          <t>无</t>
        </is>
      </c>
      <c r="N17" s="5" t="inlineStr">
        <is>
          <t>suit_agi01</t>
        </is>
      </c>
      <c r="O17" s="5" t="inlineStr">
        <is>
          <t>巡行信使</t>
        </is>
      </c>
      <c r="P17" s="5"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17" s="5" t="inlineStr">
        <is>
          <t>本装备由终末地工业参考荒野手工艺品设计，使用集成工业系统制造，能够提高使用者的作战能力。小巧的解压玩具。 根据权威统计，约有百分之二十的信使会把这样的解压玩具改装为定向追踪器。</t>
        </is>
      </c>
    </row>
    <row r="18" ht="22" customHeight="1">
      <c r="A18" s="2" t="inlineStr">
        <is>
          <t>item_equip_t2_suit_wisd01_body_01</t>
        </is>
      </c>
      <c r="B18" s="2" t="inlineStr">
        <is>
          <t>蚀电屏蔽背心</t>
        </is>
      </c>
      <c r="C18" s="2" t="inlineStr">
        <is>
          <t>四号谷地</t>
        </is>
      </c>
      <c r="D18" s="3" t="n">
        <v>36</v>
      </c>
      <c r="E18" s="2" t="inlineStr">
        <is>
          <t>护甲</t>
        </is>
      </c>
      <c r="F18" s="3" t="n">
        <v>3</v>
      </c>
      <c r="G18" s="2" t="inlineStr">
        <is>
          <t>防御力 +28.8</t>
        </is>
      </c>
      <c r="H18" s="4" t="n">
        <v>0</v>
      </c>
      <c r="I18" s="2">
        <f>CHOOSE($H18+1, "智识 +44", "无", "无", "无")</f>
        <v/>
      </c>
      <c r="J18" s="4" t="n">
        <v>0</v>
      </c>
      <c r="K18" s="2">
        <f>CHOOSE($J18+1, "力量 +29", "无", "无", "无")</f>
        <v/>
      </c>
      <c r="L18" s="4" t="n">
        <v>0</v>
      </c>
      <c r="M18" s="2">
        <f>CHOOSE($L18+1, "攻击力 +16.187704477740866", "无", "无", "无")</f>
        <v/>
      </c>
      <c r="N18" s="2" t="inlineStr">
        <is>
          <t>suit_wisd01</t>
        </is>
      </c>
      <c r="O18" s="2" t="inlineStr">
        <is>
          <t>蚀电屏蔽</t>
        </is>
      </c>
      <c r="P18" s="2"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18" s="2" t="inlineStr">
        <is>
          <t>本装备由终末地工业自研，使用集成工业系统制造，能够提高使用者的作战能力。特殊环境作业时必备的防护装备。 严重的侵蚀灾害往往会带来有悖常理的电路故障，抢修者亦需小心。</t>
        </is>
      </c>
    </row>
    <row r="19" ht="22" customHeight="1">
      <c r="A19" s="5" t="inlineStr">
        <is>
          <t>item_equip_t2_suit_wisd01_hand_01</t>
        </is>
      </c>
      <c r="B19" s="5" t="inlineStr">
        <is>
          <t>蚀电屏蔽手套</t>
        </is>
      </c>
      <c r="C19" s="5" t="inlineStr">
        <is>
          <t>四号谷地</t>
        </is>
      </c>
      <c r="D19" s="6" t="n">
        <v>36</v>
      </c>
      <c r="E19" s="5" t="inlineStr">
        <is>
          <t>护手</t>
        </is>
      </c>
      <c r="F19" s="6" t="n">
        <v>3</v>
      </c>
      <c r="G19" s="5" t="inlineStr">
        <is>
          <t>防御力 +21.599999999999998</t>
        </is>
      </c>
      <c r="H19" s="7" t="n">
        <v>0</v>
      </c>
      <c r="I19" s="5">
        <f>CHOOSE($H19+1, "智识 +33", "无", "无", "无")</f>
        <v/>
      </c>
      <c r="J19" s="7" t="n">
        <v>0</v>
      </c>
      <c r="K19" s="5">
        <f>CHOOSE($J19+1, "意志 +22", "无", "无", "无")</f>
        <v/>
      </c>
      <c r="L19" s="7" t="n">
        <v>0</v>
      </c>
      <c r="M19" s="5">
        <f>CHOOSE($L19+1, "法术伤害加成 +9.210526315789473%", "无", "无", "无")</f>
        <v/>
      </c>
      <c r="N19" s="5" t="inlineStr">
        <is>
          <t>suit_wisd01</t>
        </is>
      </c>
      <c r="O19" s="5" t="inlineStr">
        <is>
          <t>蚀电屏蔽</t>
        </is>
      </c>
      <c r="P19" s="5"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19" s="5" t="inlineStr">
        <is>
          <t>本装备由终末地工业自研，使用集成工业系统制造，能够提高使用者的作战能力。特殊环境作业时必备的防护装备。 为了避免被异常爆发的电流击伤，在侵蚀灾害现场抢修电路的工程师们必须穿上特制防护服。</t>
        </is>
      </c>
    </row>
    <row r="20" ht="22" customHeight="1">
      <c r="A20" s="2" t="inlineStr">
        <is>
          <t>item_equip_t2_suit_wisd01_edc_01</t>
        </is>
      </c>
      <c r="B20" s="2" t="inlineStr">
        <is>
          <t>蚀电屏蔽扳手</t>
        </is>
      </c>
      <c r="C20" s="2" t="inlineStr">
        <is>
          <t>四号谷地</t>
        </is>
      </c>
      <c r="D20" s="3" t="n">
        <v>36</v>
      </c>
      <c r="E20" s="2" t="inlineStr">
        <is>
          <t>配件</t>
        </is>
      </c>
      <c r="F20" s="3" t="n">
        <v>3</v>
      </c>
      <c r="G20" s="2" t="inlineStr">
        <is>
          <t>防御力 +10.799999999999999</t>
        </is>
      </c>
      <c r="H20" s="4" t="n">
        <v>0</v>
      </c>
      <c r="I20" s="2">
        <f>CHOOSE($H20+1, "智识 +21", "无", "无", "无")</f>
        <v/>
      </c>
      <c r="J20" s="4" t="n">
        <v>0</v>
      </c>
      <c r="K20" s="2">
        <f>CHOOSE($J20+1, "攻击力 +10.5%", "无", "无", "无")</f>
        <v/>
      </c>
      <c r="L20" s="4" t="n">
        <v>0</v>
      </c>
      <c r="M20" s="2" t="inlineStr">
        <is>
          <t>无</t>
        </is>
      </c>
      <c r="N20" s="2" t="inlineStr">
        <is>
          <t>suit_wisd01</t>
        </is>
      </c>
      <c r="O20" s="2" t="inlineStr">
        <is>
          <t>蚀电屏蔽</t>
        </is>
      </c>
      <c r="P20" s="2"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20" s="2" t="inlineStr">
        <is>
          <t>本装备由终末地工业自研，使用集成工业系统制造，能够提高使用者的作战能力。施加了特殊防护镀层的扳手。 必要时可以当作武器使用，用来敲碎某些天使的肢体也不在话下。</t>
        </is>
      </c>
    </row>
    <row r="21" ht="22" customHeight="1">
      <c r="A21" s="5" t="inlineStr">
        <is>
          <t>item_equip_t2_suit_wisd01_edc_02</t>
        </is>
      </c>
      <c r="B21" s="5" t="inlineStr">
        <is>
          <t>蚀电屏蔽扳手·壹型</t>
        </is>
      </c>
      <c r="C21" s="5" t="inlineStr">
        <is>
          <t>四号谷地</t>
        </is>
      </c>
      <c r="D21" s="6" t="n">
        <v>36</v>
      </c>
      <c r="E21" s="5" t="inlineStr">
        <is>
          <t>配件</t>
        </is>
      </c>
      <c r="F21" s="6" t="n">
        <v>3</v>
      </c>
      <c r="G21" s="5" t="inlineStr">
        <is>
          <t>防御力 +10.799999999999999</t>
        </is>
      </c>
      <c r="H21" s="7" t="n">
        <v>0</v>
      </c>
      <c r="I21" s="5">
        <f>CHOOSE($H21+1, "智识 +21", "无", "无", "无")</f>
        <v/>
      </c>
      <c r="J21" s="7" t="n">
        <v>0</v>
      </c>
      <c r="K21" s="5">
        <f>CHOOSE($J21+1, "寒冷和电磁伤害加成 +11.666666666666667%", "无", "无", "无")</f>
        <v/>
      </c>
      <c r="L21" s="7" t="n">
        <v>0</v>
      </c>
      <c r="M21" s="5" t="inlineStr">
        <is>
          <t>无</t>
        </is>
      </c>
      <c r="N21" s="5" t="inlineStr">
        <is>
          <t>suit_wisd01</t>
        </is>
      </c>
      <c r="O21" s="5" t="inlineStr">
        <is>
          <t>蚀电屏蔽</t>
        </is>
      </c>
      <c r="P21" s="5"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21" s="5" t="inlineStr">
        <is>
          <t>本装备由终末地工业自研，使用集成工业系统制造，能够提高使用者的作战能力。施加了特殊防护镀层的扳手。 必要时可以当作武器使用，用来敲碎某些天使的肢体也不在话下。</t>
        </is>
      </c>
    </row>
    <row r="22" ht="22" customHeight="1">
      <c r="A22" s="2" t="inlineStr">
        <is>
          <t>item_equip_t2_suit_wisd01_edc_03</t>
        </is>
      </c>
      <c r="B22" s="2" t="inlineStr">
        <is>
          <t>蚀电屏蔽电池</t>
        </is>
      </c>
      <c r="C22" s="2" t="inlineStr">
        <is>
          <t>四号谷地</t>
        </is>
      </c>
      <c r="D22" s="3" t="n">
        <v>36</v>
      </c>
      <c r="E22" s="2" t="inlineStr">
        <is>
          <t>配件</t>
        </is>
      </c>
      <c r="F22" s="3" t="n">
        <v>3</v>
      </c>
      <c r="G22" s="2" t="inlineStr">
        <is>
          <t>防御力 +10.799999999999999</t>
        </is>
      </c>
      <c r="H22" s="4" t="n">
        <v>0</v>
      </c>
      <c r="I22" s="2">
        <f>CHOOSE($H22+1, "智识 +21", "无", "无", "无")</f>
        <v/>
      </c>
      <c r="J22" s="4" t="n">
        <v>0</v>
      </c>
      <c r="K22" s="2">
        <f>CHOOSE($J22+1, "暴击率 +5.25%", "无", "无", "无")</f>
        <v/>
      </c>
      <c r="L22" s="4" t="n">
        <v>0</v>
      </c>
      <c r="M22" s="2" t="inlineStr">
        <is>
          <t>无</t>
        </is>
      </c>
      <c r="N22" s="2" t="inlineStr">
        <is>
          <t>suit_wisd01</t>
        </is>
      </c>
      <c r="O22" s="2" t="inlineStr">
        <is>
          <t>蚀电屏蔽</t>
        </is>
      </c>
      <c r="P22" s="2"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22" s="2" t="inlineStr">
        <is>
          <t>本装备由终末地工业自研，使用集成工业系统制造，能够提高使用者的作战能力。耐用程度极高的电池。 在塔卫二，侵蚀环境下的工程抢险作业极度危险。因此，即便是“如何使用电池”，也需按特殊标准严格培训。</t>
        </is>
      </c>
    </row>
    <row r="23" ht="22" customHeight="1">
      <c r="A23" s="5" t="inlineStr">
        <is>
          <t>item_equip_t2_suit_will01_body_01</t>
        </is>
      </c>
      <c r="B23" s="5" t="inlineStr">
        <is>
          <t>蚀电防护背心</t>
        </is>
      </c>
      <c r="C23" s="5" t="inlineStr">
        <is>
          <t>四号谷地</t>
        </is>
      </c>
      <c r="D23" s="6" t="n">
        <v>36</v>
      </c>
      <c r="E23" s="5" t="inlineStr">
        <is>
          <t>护甲</t>
        </is>
      </c>
      <c r="F23" s="6" t="n">
        <v>3</v>
      </c>
      <c r="G23" s="5" t="inlineStr">
        <is>
          <t>防御力 +28.8</t>
        </is>
      </c>
      <c r="H23" s="7" t="n">
        <v>0</v>
      </c>
      <c r="I23" s="5">
        <f>CHOOSE($H23+1, "意志 +44", "无", "无", "无")</f>
        <v/>
      </c>
      <c r="J23" s="7" t="n">
        <v>0</v>
      </c>
      <c r="K23" s="5">
        <f>CHOOSE($J23+1, "敏捷 +29", "无", "无", "无")</f>
        <v/>
      </c>
      <c r="L23" s="7" t="n">
        <v>0</v>
      </c>
      <c r="M23" s="5">
        <f>CHOOSE($L23+1, "生命值 +10.5%", "无", "无", "无")</f>
        <v/>
      </c>
      <c r="N23" s="5" t="inlineStr">
        <is>
          <t>suit_will01</t>
        </is>
      </c>
      <c r="O23" s="5" t="inlineStr">
        <is>
          <t>蚀电防护</t>
        </is>
      </c>
      <c r="P23" s="5"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23" s="5" t="inlineStr">
        <is>
          <t>本装备由终末地工业自研，使用集成工业系统制造，能够提高使用者的作战能力。牢固的防护背心。 “在抢修现场必须穿好防护装备，不然你就会看到受损设备向你大声呼救……别给医生添麻烦，好吗？”</t>
        </is>
      </c>
    </row>
    <row r="24" ht="22" customHeight="1">
      <c r="A24" s="2" t="inlineStr">
        <is>
          <t>item_equip_t2_suit_will01_hand_01</t>
        </is>
      </c>
      <c r="B24" s="2" t="inlineStr">
        <is>
          <t>蚀电防护手套</t>
        </is>
      </c>
      <c r="C24" s="2" t="inlineStr">
        <is>
          <t>四号谷地</t>
        </is>
      </c>
      <c r="D24" s="3" t="n">
        <v>36</v>
      </c>
      <c r="E24" s="2" t="inlineStr">
        <is>
          <t>护手</t>
        </is>
      </c>
      <c r="F24" s="3" t="n">
        <v>3</v>
      </c>
      <c r="G24" s="2" t="inlineStr">
        <is>
          <t>防御力 +21.599999999999998</t>
        </is>
      </c>
      <c r="H24" s="4" t="n">
        <v>0</v>
      </c>
      <c r="I24" s="2">
        <f>CHOOSE($H24+1, "意志 +33", "无", "无", "无")</f>
        <v/>
      </c>
      <c r="J24" s="4" t="n">
        <v>0</v>
      </c>
      <c r="K24" s="2">
        <f>CHOOSE($J24+1, "智识 +22", "无", "无", "无")</f>
        <v/>
      </c>
      <c r="L24" s="4" t="n">
        <v>0</v>
      </c>
      <c r="M24" s="2">
        <f>CHOOSE($L24+1, "治疗效率加成 +8.75%", "无", "无", "无")</f>
        <v/>
      </c>
      <c r="N24" s="2" t="inlineStr">
        <is>
          <t>suit_will01</t>
        </is>
      </c>
      <c r="O24" s="2" t="inlineStr">
        <is>
          <t>蚀电防护</t>
        </is>
      </c>
      <c r="P24" s="2"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24" s="2" t="inlineStr">
        <is>
          <t>本装备由终末地工业自研，使用集成工业系统制造，能够提高使用者的作战能力。格外牢固的手套。 目前人类还未研发出能够有效耐受侵蚀的防护服，现役防护装备绝大多数仅能应对侵蚀次生灾害。</t>
        </is>
      </c>
    </row>
    <row r="25" ht="22" customHeight="1">
      <c r="A25" s="5" t="inlineStr">
        <is>
          <t>item_equip_t2_suit_will01_edc_01</t>
        </is>
      </c>
      <c r="B25" s="5" t="inlineStr">
        <is>
          <t>蚀电防护扳手</t>
        </is>
      </c>
      <c r="C25" s="5" t="inlineStr">
        <is>
          <t>四号谷地</t>
        </is>
      </c>
      <c r="D25" s="6" t="n">
        <v>36</v>
      </c>
      <c r="E25" s="5" t="inlineStr">
        <is>
          <t>配件</t>
        </is>
      </c>
      <c r="F25" s="6" t="n">
        <v>3</v>
      </c>
      <c r="G25" s="5" t="inlineStr">
        <is>
          <t>防御力 +10.799999999999999</t>
        </is>
      </c>
      <c r="H25" s="7" t="n">
        <v>0</v>
      </c>
      <c r="I25" s="5">
        <f>CHOOSE($H25+1, "意志 +21", "无", "无", "无")</f>
        <v/>
      </c>
      <c r="J25" s="7" t="n">
        <v>0</v>
      </c>
      <c r="K25" s="5">
        <f>CHOOSE($J25+1, "攻击力 +10.5%", "无", "无", "无")</f>
        <v/>
      </c>
      <c r="L25" s="7" t="n">
        <v>0</v>
      </c>
      <c r="M25" s="5" t="inlineStr">
        <is>
          <t>无</t>
        </is>
      </c>
      <c r="N25" s="5" t="inlineStr">
        <is>
          <t>suit_will01</t>
        </is>
      </c>
      <c r="O25" s="5" t="inlineStr">
        <is>
          <t>蚀电防护</t>
        </is>
      </c>
      <c r="P25" s="5"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25" s="5" t="inlineStr">
        <is>
          <t>本装备由终末地工业自研，使用集成工业系统制造，能够提高使用者的作战能力。线条流畅的扳手。 “用来当武器意外顺手！”——某位不愿透露姓名的工人。</t>
        </is>
      </c>
    </row>
    <row r="26" ht="22" customHeight="1">
      <c r="A26" s="2" t="inlineStr">
        <is>
          <t>item_equip_t2_suit_will01_edc_02</t>
        </is>
      </c>
      <c r="B26" s="2" t="inlineStr">
        <is>
          <t>蚀电防护电池</t>
        </is>
      </c>
      <c r="C26" s="2" t="inlineStr">
        <is>
          <t>四号谷地</t>
        </is>
      </c>
      <c r="D26" s="3" t="n">
        <v>36</v>
      </c>
      <c r="E26" s="2" t="inlineStr">
        <is>
          <t>配件</t>
        </is>
      </c>
      <c r="F26" s="3" t="n">
        <v>3</v>
      </c>
      <c r="G26" s="2" t="inlineStr">
        <is>
          <t>防御力 +10.799999999999999</t>
        </is>
      </c>
      <c r="H26" s="4" t="n">
        <v>0</v>
      </c>
      <c r="I26" s="2">
        <f>CHOOSE($H26+1, "意志 +21", "无", "无", "无")</f>
        <v/>
      </c>
      <c r="J26" s="4" t="n">
        <v>0</v>
      </c>
      <c r="K26" s="2">
        <f>CHOOSE($J26+1, "治疗效率加成 +10.5%", "无", "无", "无")</f>
        <v/>
      </c>
      <c r="L26" s="4" t="n">
        <v>0</v>
      </c>
      <c r="M26" s="2" t="inlineStr">
        <is>
          <t>无</t>
        </is>
      </c>
      <c r="N26" s="2" t="inlineStr">
        <is>
          <t>suit_will01</t>
        </is>
      </c>
      <c r="O26" s="2" t="inlineStr">
        <is>
          <t>蚀电防护</t>
        </is>
      </c>
      <c r="P26" s="2"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26" s="2" t="inlineStr">
        <is>
          <t>本装备由终末地工业自研，使用集成工业系统制造，能够提高使用者的作战能力。重量略大的电池。 经验丰富的工人可以在十分钟内将这种源石电池改装成榴弹。</t>
        </is>
      </c>
    </row>
    <row r="27" ht="22" customHeight="1">
      <c r="A27" s="5" t="inlineStr">
        <is>
          <t>item_equip_t3_suit_atk01_body_01</t>
        </is>
      </c>
      <c r="B27" s="5" t="inlineStr">
        <is>
          <t>阿伯莉重甲</t>
        </is>
      </c>
      <c r="C27" s="5" t="inlineStr">
        <is>
          <t>四号谷地</t>
        </is>
      </c>
      <c r="D27" s="6" t="n">
        <v>50</v>
      </c>
      <c r="E27" s="5" t="inlineStr">
        <is>
          <t>护甲</t>
        </is>
      </c>
      <c r="F27" s="6" t="n">
        <v>4</v>
      </c>
      <c r="G27" s="5" t="inlineStr">
        <is>
          <t>防御力 +40</t>
        </is>
      </c>
      <c r="H27" s="7" t="n">
        <v>0</v>
      </c>
      <c r="I27" s="5">
        <f>CHOOSE($H27+1, "力量 +61", "无", "无", "无")</f>
        <v/>
      </c>
      <c r="J27" s="7" t="n">
        <v>0</v>
      </c>
      <c r="K27" s="5">
        <f>CHOOSE($J27+1, "敏捷 +41", "无", "无", "无")</f>
        <v/>
      </c>
      <c r="L27" s="7" t="n">
        <v>0</v>
      </c>
      <c r="M27" s="5">
        <f>CHOOSE($L27+1, "所有技能伤害加成 +9.799999999999999%", "无", "无", "无")</f>
        <v/>
      </c>
      <c r="N27" s="5" t="inlineStr">
        <is>
          <t>suit_atk01</t>
        </is>
      </c>
      <c r="O27" s="5" t="inlineStr">
        <is>
          <t>阿伯莉遗声</t>
        </is>
      </c>
      <c r="P27" s="5"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27" s="5" t="inlineStr">
        <is>
          <t>本装备由特里格拉夫军工厂设计，使用集成工业系统制造，能够提高使用者的作战能力。针对阿伯莉采石场作业情况做出了调整的新型防护装甲。 挖掘前文明遗物的过程中，遭遇的情况通常是多变的、突发的。因此作业中使用的装备必须兼顾防御性、灵活性，以及足够强的攻击能力。</t>
        </is>
      </c>
    </row>
    <row r="28" ht="22" customHeight="1">
      <c r="A28" s="2" t="inlineStr">
        <is>
          <t>item_equip_t3_suit_atk01_body_02</t>
        </is>
      </c>
      <c r="B28" s="2" t="inlineStr">
        <is>
          <t>阿伯莉重甲·壹型</t>
        </is>
      </c>
      <c r="C28" s="2" t="inlineStr">
        <is>
          <t>四号谷地</t>
        </is>
      </c>
      <c r="D28" s="3" t="n">
        <v>50</v>
      </c>
      <c r="E28" s="2" t="inlineStr">
        <is>
          <t>护甲</t>
        </is>
      </c>
      <c r="F28" s="3" t="n">
        <v>4</v>
      </c>
      <c r="G28" s="2" t="inlineStr">
        <is>
          <t>防御力 +40</t>
        </is>
      </c>
      <c r="H28" s="4" t="n">
        <v>0</v>
      </c>
      <c r="I28" s="2">
        <f>CHOOSE($H28+1, "敏捷 +61", "无", "无", "无")</f>
        <v/>
      </c>
      <c r="J28" s="4" t="n">
        <v>0</v>
      </c>
      <c r="K28" s="2">
        <f>CHOOSE($J28+1, "力量 +41", "无", "无", "无")</f>
        <v/>
      </c>
      <c r="L28" s="4" t="n">
        <v>0</v>
      </c>
      <c r="M28" s="2">
        <f>CHOOSE($L28+1, "连携技伤害加成 +14.7%", "无", "无", "无")</f>
        <v/>
      </c>
      <c r="N28" s="2" t="inlineStr">
        <is>
          <t>suit_atk01</t>
        </is>
      </c>
      <c r="O28" s="2" t="inlineStr">
        <is>
          <t>阿伯莉遗声</t>
        </is>
      </c>
      <c r="P28" s="2"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28" s="2" t="inlineStr">
        <is>
          <t>本装备由特里格拉夫军工厂设计，使用集成工业系统制造，能够提高使用者的作战能力。针对阿伯莉采石场作业情况做出了调整的新型防护装甲。 阿伯莉重甲系列的作战用型，较之标准型多出了武器连接功能，能够有效适配喷火器、榴弹发射器等装备。</t>
        </is>
      </c>
    </row>
    <row r="29" ht="22" customHeight="1">
      <c r="A29" s="5" t="inlineStr">
        <is>
          <t>item_equip_t3_suit_atk01_body_03</t>
        </is>
      </c>
      <c r="B29" s="5" t="inlineStr">
        <is>
          <t>阿伯莉轻甲</t>
        </is>
      </c>
      <c r="C29" s="5" t="inlineStr">
        <is>
          <t>四号谷地</t>
        </is>
      </c>
      <c r="D29" s="6" t="n">
        <v>50</v>
      </c>
      <c r="E29" s="5" t="inlineStr">
        <is>
          <t>护甲</t>
        </is>
      </c>
      <c r="F29" s="6" t="n">
        <v>4</v>
      </c>
      <c r="G29" s="5" t="inlineStr">
        <is>
          <t>防御力 +40</t>
        </is>
      </c>
      <c r="H29" s="7" t="n">
        <v>0</v>
      </c>
      <c r="I29" s="5">
        <f>CHOOSE($H29+1, "智识 +61", "无", "无", "无")</f>
        <v/>
      </c>
      <c r="J29" s="7" t="n">
        <v>0</v>
      </c>
      <c r="K29" s="5">
        <f>CHOOSE($J29+1, "力量 +41", "无", "无", "无")</f>
        <v/>
      </c>
      <c r="L29" s="7" t="n">
        <v>0</v>
      </c>
      <c r="M29" s="5">
        <f>CHOOSE($L29+1, "终结技充能效率 +8.75%", "无", "无", "无")</f>
        <v/>
      </c>
      <c r="N29" s="5" t="inlineStr">
        <is>
          <t>suit_atk01</t>
        </is>
      </c>
      <c r="O29" s="5" t="inlineStr">
        <is>
          <t>阿伯莉遗声</t>
        </is>
      </c>
      <c r="P29" s="5"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29" s="5" t="inlineStr">
        <is>
          <t>本装备由特里格拉夫军工厂设计，使用集成工业系统制造，能够提高使用者的作战能力。针对阿伯莉采石场作业情况做出了调整的新型防护装甲。 “停工！停工！想办法联络寂语修会！”</t>
        </is>
      </c>
    </row>
    <row r="30" ht="22" customHeight="1">
      <c r="A30" s="2" t="inlineStr">
        <is>
          <t>item_equip_t3_suit_atk01_body_04</t>
        </is>
      </c>
      <c r="B30" s="2" t="inlineStr">
        <is>
          <t>阿伯莉轻甲·壹型</t>
        </is>
      </c>
      <c r="C30" s="2" t="inlineStr">
        <is>
          <t>四号谷地</t>
        </is>
      </c>
      <c r="D30" s="3" t="n">
        <v>50</v>
      </c>
      <c r="E30" s="2" t="inlineStr">
        <is>
          <t>护甲</t>
        </is>
      </c>
      <c r="F30" s="3" t="n">
        <v>4</v>
      </c>
      <c r="G30" s="2" t="inlineStr">
        <is>
          <t>防御力 +40</t>
        </is>
      </c>
      <c r="H30" s="4" t="n">
        <v>0</v>
      </c>
      <c r="I30" s="2">
        <f>CHOOSE($H30+1, "意志 +61", "无", "无", "无")</f>
        <v/>
      </c>
      <c r="J30" s="4" t="n">
        <v>0</v>
      </c>
      <c r="K30" s="2">
        <f>CHOOSE($J30+1, "敏捷 +41", "无", "无", "无")</f>
        <v/>
      </c>
      <c r="L30" s="4" t="n">
        <v>0</v>
      </c>
      <c r="M30" s="2">
        <f>CHOOSE($L30+1, "战技伤害加成 +14.7%", "无", "无", "无")</f>
        <v/>
      </c>
      <c r="N30" s="2" t="inlineStr">
        <is>
          <t>suit_atk01</t>
        </is>
      </c>
      <c r="O30" s="2" t="inlineStr">
        <is>
          <t>阿伯莉遗声</t>
        </is>
      </c>
      <c r="P30" s="2"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0" s="2" t="inlineStr">
        <is>
          <t>本装备由特里格拉夫军工厂设计，使用集成工业系统制造，能够提高使用者的作战能力。针对阿伯莉采石场作业情况做出了调整的新型防护装甲。 “停工！停工！想办法联络寂语修会！”</t>
        </is>
      </c>
    </row>
    <row r="31" ht="22" customHeight="1">
      <c r="A31" s="5" t="inlineStr">
        <is>
          <t>item_equip_t3_suit_atk01_hand_01</t>
        </is>
      </c>
      <c r="B31" s="5" t="inlineStr">
        <is>
          <t>阿伯莉手甲</t>
        </is>
      </c>
      <c r="C31" s="5" t="inlineStr">
        <is>
          <t>四号谷地</t>
        </is>
      </c>
      <c r="D31" s="6" t="n">
        <v>50</v>
      </c>
      <c r="E31" s="5" t="inlineStr">
        <is>
          <t>护手</t>
        </is>
      </c>
      <c r="F31" s="6" t="n">
        <v>4</v>
      </c>
      <c r="G31" s="5" t="inlineStr">
        <is>
          <t>防御力 +30</t>
        </is>
      </c>
      <c r="H31" s="7" t="n">
        <v>0</v>
      </c>
      <c r="I31" s="5">
        <f>CHOOSE($H31+1, "力量 +46", "无", "无", "无")</f>
        <v/>
      </c>
      <c r="J31" s="7" t="n">
        <v>0</v>
      </c>
      <c r="K31" s="5">
        <f>CHOOSE($J31+1, "意志 +30", "无", "无", "无")</f>
        <v/>
      </c>
      <c r="L31" s="7" t="n">
        <v>0</v>
      </c>
      <c r="M31" s="5">
        <f>CHOOSE($L31+1, "对失衡目标伤害加成 +24.5%", "无", "无", "无")</f>
        <v/>
      </c>
      <c r="N31" s="5" t="inlineStr">
        <is>
          <t>suit_atk01</t>
        </is>
      </c>
      <c r="O31" s="5" t="inlineStr">
        <is>
          <t>阿伯莉遗声</t>
        </is>
      </c>
      <c r="P31" s="5"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1" s="5" t="inlineStr">
        <is>
          <t>本装备由特里格拉夫军工厂设计，使用集成工业系统制造，能够提高使用者的作战能力。针对阿伯莉采石场作业情况做出了调整的新型防护装甲。 装配在连体防护装甲外的手部护具，指尖位置集成了六种类型、共计近百个微型传感器，能帮助装备者精确判断出自己究竟接触到了什么——哪怕他们失去了视觉。</t>
        </is>
      </c>
    </row>
    <row r="32" ht="22" customHeight="1">
      <c r="A32" s="2" t="inlineStr">
        <is>
          <t>item_equip_t3_suit_atk01_edc_01</t>
        </is>
      </c>
      <c r="B32" s="2" t="inlineStr">
        <is>
          <t>阿伯莉紫光灯</t>
        </is>
      </c>
      <c r="C32" s="2" t="inlineStr">
        <is>
          <t>四号谷地</t>
        </is>
      </c>
      <c r="D32" s="3" t="n">
        <v>50</v>
      </c>
      <c r="E32" s="2" t="inlineStr">
        <is>
          <t>配件</t>
        </is>
      </c>
      <c r="F32" s="3" t="n">
        <v>4</v>
      </c>
      <c r="G32" s="2" t="inlineStr">
        <is>
          <t>防御力 +15</t>
        </is>
      </c>
      <c r="H32" s="4" t="n">
        <v>0</v>
      </c>
      <c r="I32" s="2">
        <f>CHOOSE($H32+1, "力量 +23", "无", "无", "无")</f>
        <v/>
      </c>
      <c r="J32" s="4" t="n">
        <v>0</v>
      </c>
      <c r="K32" s="2">
        <f>CHOOSE($J32+1, "敏捷 +15", "无", "无", "无")</f>
        <v/>
      </c>
      <c r="L32" s="4" t="n">
        <v>0</v>
      </c>
      <c r="M32" s="2">
        <f>CHOOSE($L32+1, "所有技能伤害加成 +19.599999999999998%", "无", "无", "无")</f>
        <v/>
      </c>
      <c r="N32" s="2" t="inlineStr">
        <is>
          <t>suit_atk01</t>
        </is>
      </c>
      <c r="O32" s="2" t="inlineStr">
        <is>
          <t>阿伯莉遗声</t>
        </is>
      </c>
      <c r="P32" s="2"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2" s="2" t="inlineStr">
        <is>
          <t>本装备由特里格拉夫军工厂设计，使用集成工业系统制造，能够提高使用者的作战能力。针对阿伯莉采石场作业情况做出了调整的新型防护装甲。 为了适应阿伯莉采石场突如其来的挖掘作业，工程师们连夜对这套护甲设计做出了调整，为其增添了视觉保护、听觉保护等模块。</t>
        </is>
      </c>
    </row>
    <row r="33" ht="22" customHeight="1">
      <c r="A33" s="5" t="inlineStr">
        <is>
          <t>item_equip_t3_suit_atk01_edc_04</t>
        </is>
      </c>
      <c r="B33" s="5" t="inlineStr">
        <is>
          <t>阿伯莉照明器</t>
        </is>
      </c>
      <c r="C33" s="5" t="inlineStr">
        <is>
          <t>四号谷地</t>
        </is>
      </c>
      <c r="D33" s="6" t="n">
        <v>50</v>
      </c>
      <c r="E33" s="5" t="inlineStr">
        <is>
          <t>配件</t>
        </is>
      </c>
      <c r="F33" s="6" t="n">
        <v>4</v>
      </c>
      <c r="G33" s="5" t="inlineStr">
        <is>
          <t>防御力 +15</t>
        </is>
      </c>
      <c r="H33" s="7" t="n">
        <v>0</v>
      </c>
      <c r="I33" s="5">
        <f>CHOOSE($H33+1, "智识 +23", "无", "无", "无")</f>
        <v/>
      </c>
      <c r="J33" s="7" t="n">
        <v>0</v>
      </c>
      <c r="K33" s="5">
        <f>CHOOSE($J33+1, "力量 +15", "无", "无", "无")</f>
        <v/>
      </c>
      <c r="L33" s="7" t="n">
        <v>0</v>
      </c>
      <c r="M33" s="5">
        <f>CHOOSE($L33+1, "终结技充能效率 +17.5%", "无", "无", "无")</f>
        <v/>
      </c>
      <c r="N33" s="5" t="inlineStr">
        <is>
          <t>suit_atk01</t>
        </is>
      </c>
      <c r="O33" s="5" t="inlineStr">
        <is>
          <t>阿伯莉遗声</t>
        </is>
      </c>
      <c r="P33" s="5"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3" s="5" t="inlineStr">
        <is>
          <t>本装备由特里格拉夫军工厂设计，使用集成工业系统制造，能够提高使用者的作战能力。针对阿伯莉采石场作业情况做出了调整的新型防护装甲。 “它就那样嵌在岩石中，就像我只是挖出了混凝土里的一截钢筋，但……但我好像听到它在对我说话……”</t>
        </is>
      </c>
    </row>
    <row r="34" ht="22" customHeight="1">
      <c r="A34" s="2" t="inlineStr">
        <is>
          <t>item_equip_t3_suit_atk01_edc_02</t>
        </is>
      </c>
      <c r="B34" s="2" t="inlineStr">
        <is>
          <t>阿伯莉侦听芯片</t>
        </is>
      </c>
      <c r="C34" s="2" t="inlineStr">
        <is>
          <t>四号谷地</t>
        </is>
      </c>
      <c r="D34" s="3" t="n">
        <v>50</v>
      </c>
      <c r="E34" s="2" t="inlineStr">
        <is>
          <t>配件</t>
        </is>
      </c>
      <c r="F34" s="3" t="n">
        <v>4</v>
      </c>
      <c r="G34" s="2" t="inlineStr">
        <is>
          <t>防御力 +15</t>
        </is>
      </c>
      <c r="H34" s="4" t="n">
        <v>0</v>
      </c>
      <c r="I34" s="2">
        <f>CHOOSE($H34+1, "力量 +23", "无", "无", "无")</f>
        <v/>
      </c>
      <c r="J34" s="4" t="n">
        <v>0</v>
      </c>
      <c r="K34" s="2">
        <f>CHOOSE($J34+1, "意志 +15", "无", "无", "无")</f>
        <v/>
      </c>
      <c r="L34" s="4" t="n">
        <v>0</v>
      </c>
      <c r="M34" s="2">
        <f>CHOOSE($L34+1, "对失衡目标伤害加成 +29.4%", "无", "无", "无")</f>
        <v/>
      </c>
      <c r="N34" s="2" t="inlineStr">
        <is>
          <t>suit_atk01</t>
        </is>
      </c>
      <c r="O34" s="2" t="inlineStr">
        <is>
          <t>阿伯莉遗声</t>
        </is>
      </c>
      <c r="P34" s="2"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4" s="2" t="inlineStr">
        <is>
          <t>本装备由特里格拉夫军工厂设计，使用集成工业系统制造，能够提高使用者的作战能力。针对阿伯莉采石场作业情况做出了调整的新型防护装甲。 在探索未知环境时，隔音性能足够强的听觉防护装备尤其重要。这款芯片能有效辅助装备者判断自身是否出现了幻听症状。</t>
        </is>
      </c>
    </row>
    <row r="35" ht="22" customHeight="1">
      <c r="A35" s="5" t="inlineStr">
        <is>
          <t>item_equip_t3_suit_atk01_edc_03</t>
        </is>
      </c>
      <c r="B35" s="5" t="inlineStr">
        <is>
          <t>阿伯莉侦听芯片·壹型</t>
        </is>
      </c>
      <c r="C35" s="5" t="inlineStr">
        <is>
          <t>四号谷地</t>
        </is>
      </c>
      <c r="D35" s="6" t="n">
        <v>50</v>
      </c>
      <c r="E35" s="5" t="inlineStr">
        <is>
          <t>配件</t>
        </is>
      </c>
      <c r="F35" s="6" t="n">
        <v>4</v>
      </c>
      <c r="G35" s="5" t="inlineStr">
        <is>
          <t>防御力 +15</t>
        </is>
      </c>
      <c r="H35" s="7" t="n">
        <v>0</v>
      </c>
      <c r="I35" s="5">
        <f>CHOOSE($H35+1, "敏捷 +23", "无", "无", "无")</f>
        <v/>
      </c>
      <c r="J35" s="7" t="n">
        <v>0</v>
      </c>
      <c r="K35" s="5">
        <f>CHOOSE($J35+1, "力量 +15", "无", "无", "无")</f>
        <v/>
      </c>
      <c r="L35" s="7" t="n">
        <v>0</v>
      </c>
      <c r="M35" s="5">
        <f>CHOOSE($L35+1, "连携技伤害加成 +29.4%", "无", "无", "无")</f>
        <v/>
      </c>
      <c r="N35" s="5" t="inlineStr">
        <is>
          <t>suit_atk01</t>
        </is>
      </c>
      <c r="O35" s="5" t="inlineStr">
        <is>
          <t>阿伯莉遗声</t>
        </is>
      </c>
      <c r="P35" s="5"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5" s="5" t="inlineStr">
        <is>
          <t>本装备由特里格拉夫军工厂设计，使用集成工业系统制造，能够提高使用者的作战能力。针对阿伯莉采石场作业情况做出了调整的新型防护装甲。 在探索未知环境时，隔音性能足够强的听觉防护装备尤其重要。这款芯片能有效辅助装备者判断自身是否出现了幻听症状。</t>
        </is>
      </c>
    </row>
    <row r="36" ht="22" customHeight="1">
      <c r="A36" s="2" t="inlineStr">
        <is>
          <t>item_equip_t3_suit_atk01_edc_05</t>
        </is>
      </c>
      <c r="B36" s="2" t="inlineStr">
        <is>
          <t>阿伯莉传感芯片</t>
        </is>
      </c>
      <c r="C36" s="2" t="inlineStr">
        <is>
          <t>四号谷地</t>
        </is>
      </c>
      <c r="D36" s="3" t="n">
        <v>50</v>
      </c>
      <c r="E36" s="2" t="inlineStr">
        <is>
          <t>配件</t>
        </is>
      </c>
      <c r="F36" s="3" t="n">
        <v>4</v>
      </c>
      <c r="G36" s="2" t="inlineStr">
        <is>
          <t>防御力 +15</t>
        </is>
      </c>
      <c r="H36" s="4" t="n">
        <v>0</v>
      </c>
      <c r="I36" s="2">
        <f>CHOOSE($H36+1, "意志 +23", "无", "无", "无")</f>
        <v/>
      </c>
      <c r="J36" s="4" t="n">
        <v>0</v>
      </c>
      <c r="K36" s="2">
        <f>CHOOSE($J36+1, "敏捷 +15", "无", "无", "无")</f>
        <v/>
      </c>
      <c r="L36" s="4" t="n">
        <v>0</v>
      </c>
      <c r="M36" s="2">
        <f>CHOOSE($L36+1, "战技伤害加成 +29.4%", "无", "无", "无")</f>
        <v/>
      </c>
      <c r="N36" s="2" t="inlineStr">
        <is>
          <t>suit_atk01</t>
        </is>
      </c>
      <c r="O36" s="2" t="inlineStr">
        <is>
          <t>阿伯莉遗声</t>
        </is>
      </c>
      <c r="P36" s="2"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6" s="2" t="inlineStr">
        <is>
          <t>本装备由特里格拉夫军工厂设计，使用集成工业系统制造，能够提高使用者的作战能力。针对阿伯莉采石场作业情况做出了调整的新型防护装甲。 按照工程师的说法，这套防护装甲的未来迭代方向将聚焦于全面自动化——即使穿戴者失去意识，它也能够带人安全撤离。</t>
        </is>
      </c>
    </row>
    <row r="37" ht="22" customHeight="1">
      <c r="A37" s="5" t="inlineStr">
        <is>
          <t>item_equip_t3_suit_atk01_edc_06</t>
        </is>
      </c>
      <c r="B37" s="5" t="inlineStr">
        <is>
          <t>阿伯莉传感芯片·壹型</t>
        </is>
      </c>
      <c r="C37" s="5" t="inlineStr">
        <is>
          <t>四号谷地</t>
        </is>
      </c>
      <c r="D37" s="6" t="n">
        <v>50</v>
      </c>
      <c r="E37" s="5" t="inlineStr">
        <is>
          <t>配件</t>
        </is>
      </c>
      <c r="F37" s="6" t="n">
        <v>4</v>
      </c>
      <c r="G37" s="5" t="inlineStr">
        <is>
          <t>防御力 +15</t>
        </is>
      </c>
      <c r="H37" s="7" t="n">
        <v>0</v>
      </c>
      <c r="I37" s="5">
        <f>CHOOSE($H37+1, "意志 +23", "无", "无", "无")</f>
        <v/>
      </c>
      <c r="J37" s="7" t="n">
        <v>0</v>
      </c>
      <c r="K37" s="5">
        <f>CHOOSE($J37+1, "智识 +15", "无", "无", "无")</f>
        <v/>
      </c>
      <c r="L37" s="7" t="n">
        <v>0</v>
      </c>
      <c r="M37" s="5">
        <f>CHOOSE($L37+1, "战技伤害加成 +29.4%", "无", "无", "无")</f>
        <v/>
      </c>
      <c r="N37" s="5" t="inlineStr">
        <is>
          <t>suit_atk01</t>
        </is>
      </c>
      <c r="O37" s="5" t="inlineStr">
        <is>
          <t>阿伯莉遗声</t>
        </is>
      </c>
      <c r="P37" s="5" t="inlineStr">
        <is>
          <r>
            <rPr>
              <rFont val="微软雅黑"/>
              <sz val="10"/>
            </rPr>
            <t>3件套组效果：装备者所有技能伤害</t>
          </r>
          <r>
            <rPr>
              <rFont val="微软雅黑"/>
              <b val="1"/>
              <color rgb="009eb7ff"/>
              <sz val="10"/>
            </rPr>
            <t>+24%</t>
          </r>
          <r>
            <rPr>
              <rFont val="微软雅黑"/>
              <sz val="10"/>
            </rPr>
            <t>。当装备者施放战技、连携技、终结技时，分别</t>
          </r>
          <r>
            <rPr>
              <rFont val="微软雅黑"/>
              <b val="1"/>
              <color rgb="009eb7ff"/>
              <sz val="10"/>
            </rPr>
            <t>+5%</t>
          </r>
          <r>
            <rPr>
              <rFont val="微软雅黑"/>
              <sz val="10"/>
            </rPr>
            <t>攻击力，持续15秒。三种增益状态独立存在，层数无法叠加。</t>
          </r>
        </is>
      </c>
      <c r="Q37" s="5" t="inlineStr">
        <is>
          <t>本装备由特里格拉夫军工厂设计，使用集成工业系统制造，能够提高使用者的作战能力。针对阿伯莉采石场作业情况做出了调整的新型防护装甲。 按照工程师的说法，这套防护装甲的未来迭代方向将聚焦于全面自动化——即使穿戴者失去意识，它也能够带人安全撤离。</t>
        </is>
      </c>
    </row>
    <row r="38" ht="22" customHeight="1">
      <c r="A38" s="2" t="inlineStr">
        <is>
          <t>item_equip_t3_suit_usp01_body_01</t>
        </is>
      </c>
      <c r="B38" s="2" t="inlineStr">
        <is>
          <t>天灾防护重甲</t>
        </is>
      </c>
      <c r="C38" s="2" t="inlineStr">
        <is>
          <t>四号谷地</t>
        </is>
      </c>
      <c r="D38" s="3" t="n">
        <v>50</v>
      </c>
      <c r="E38" s="2" t="inlineStr">
        <is>
          <t>护甲</t>
        </is>
      </c>
      <c r="F38" s="3" t="n">
        <v>4</v>
      </c>
      <c r="G38" s="2" t="inlineStr">
        <is>
          <t>防御力 +40</t>
        </is>
      </c>
      <c r="H38" s="4" t="n">
        <v>0</v>
      </c>
      <c r="I38" s="2">
        <f>CHOOSE($H38+1, "力量 +61", "无", "无", "无")</f>
        <v/>
      </c>
      <c r="J38" s="4" t="n">
        <v>0</v>
      </c>
      <c r="K38" s="2">
        <f>CHOOSE($J38+1, "智识 +41", "无", "无", "无")</f>
        <v/>
      </c>
      <c r="L38" s="4" t="n">
        <v>0</v>
      </c>
      <c r="M38" s="2">
        <f>CHOOSE($L38+1, "终结技伤害加成 +18.375%", "无", "无", "无")</f>
        <v/>
      </c>
      <c r="N38" s="2" t="inlineStr">
        <is>
          <t>suit_usp01</t>
        </is>
      </c>
      <c r="O38" s="2" t="inlineStr">
        <is>
          <t>天灾防护</t>
        </is>
      </c>
      <c r="P38" s="2" t="inlineStr">
        <is>
          <r>
            <rPr>
              <rFont val="微软雅黑"/>
              <sz val="10"/>
            </rPr>
            <t>3件套组效果：装备者终结技充能效率</t>
          </r>
          <r>
            <rPr>
              <rFont val="微软雅黑"/>
              <b val="1"/>
              <color rgb="009eb7ff"/>
              <sz val="10"/>
            </rPr>
            <t>+20%</t>
          </r>
          <r>
            <rPr>
              <rFont val="微软雅黑"/>
              <sz val="10"/>
            </rPr>
            <t>。装备者施放战技时</t>
          </r>
          <r>
            <rPr>
              <rFont val="微软雅黑"/>
              <sz val="10"/>
              <u val="single"/>
            </rPr>
            <t>返还</t>
          </r>
          <r>
            <rPr>
              <rFont val="微软雅黑"/>
              <b val="1"/>
              <color rgb="009eb7ff"/>
              <sz val="10"/>
            </rPr>
            <t>50</t>
          </r>
          <r>
            <rPr>
              <rFont val="微软雅黑"/>
              <sz val="10"/>
            </rPr>
            <t>点技力，此效果每场战斗最多触发一次。</t>
          </r>
        </is>
      </c>
      <c r="Q38" s="2" t="inlineStr">
        <is>
          <t>本装备由特里格拉夫军工厂设计，使用集成工业系统制造，能够提高使用者的作战能力。源石研究园种植作业中会使用的外骨骼装备。 搭载了微电流刺激系统，能有效降低穿戴者的疲劳感——工人们对这种“振奋精神”的小设计尤为满意。</t>
        </is>
      </c>
    </row>
    <row r="39" ht="22" customHeight="1">
      <c r="A39" s="5" t="inlineStr">
        <is>
          <t>item_equip_t3_suit_usp01_body_02</t>
        </is>
      </c>
      <c r="B39" s="5" t="inlineStr">
        <is>
          <t>天灾防护重甲·壹型</t>
        </is>
      </c>
      <c r="C39" s="5" t="inlineStr">
        <is>
          <t>四号谷地</t>
        </is>
      </c>
      <c r="D39" s="6" t="n">
        <v>50</v>
      </c>
      <c r="E39" s="5" t="inlineStr">
        <is>
          <t>护甲</t>
        </is>
      </c>
      <c r="F39" s="6" t="n">
        <v>4</v>
      </c>
      <c r="G39" s="5" t="inlineStr">
        <is>
          <t>防御力 +40</t>
        </is>
      </c>
      <c r="H39" s="7" t="n">
        <v>0</v>
      </c>
      <c r="I39" s="5">
        <f>CHOOSE($H39+1, "力量 +61", "无", "无", "无")</f>
        <v/>
      </c>
      <c r="J39" s="7" t="n">
        <v>0</v>
      </c>
      <c r="K39" s="5">
        <f>CHOOSE($J39+1, "意志 +41", "无", "无", "无")</f>
        <v/>
      </c>
      <c r="L39" s="7" t="n">
        <v>0</v>
      </c>
      <c r="M39" s="5">
        <f>CHOOSE($L39+1, "终结技充能效率 +8.75%", "无", "无", "无")</f>
        <v/>
      </c>
      <c r="N39" s="5" t="inlineStr">
        <is>
          <t>suit_usp01</t>
        </is>
      </c>
      <c r="O39" s="5" t="inlineStr">
        <is>
          <t>天灾防护</t>
        </is>
      </c>
      <c r="P39" s="5" t="inlineStr">
        <is>
          <r>
            <rPr>
              <rFont val="微软雅黑"/>
              <sz val="10"/>
            </rPr>
            <t>3件套组效果：装备者终结技充能效率</t>
          </r>
          <r>
            <rPr>
              <rFont val="微软雅黑"/>
              <b val="1"/>
              <color rgb="009eb7ff"/>
              <sz val="10"/>
            </rPr>
            <t>+20%</t>
          </r>
          <r>
            <rPr>
              <rFont val="微软雅黑"/>
              <sz val="10"/>
            </rPr>
            <t>。装备者施放战技时</t>
          </r>
          <r>
            <rPr>
              <rFont val="微软雅黑"/>
              <sz val="10"/>
              <u val="single"/>
            </rPr>
            <t>返还</t>
          </r>
          <r>
            <rPr>
              <rFont val="微软雅黑"/>
              <b val="1"/>
              <color rgb="009eb7ff"/>
              <sz val="10"/>
            </rPr>
            <t>50</t>
          </r>
          <r>
            <rPr>
              <rFont val="微软雅黑"/>
              <sz val="10"/>
            </rPr>
            <t>点技力，此效果每场战斗最多触发一次。</t>
          </r>
        </is>
      </c>
      <c r="Q39" s="5" t="inlineStr">
        <is>
          <t>本装备由特里格拉夫军工厂设计，使用集成工业系统制造，能够提高使用者的作战能力。源石研究园种植作业中会使用的外骨骼装备。 搭载了微电流刺激系统，能有效降低穿戴者的疲劳感——工人们对这种“振奋精神”的小设计尤为满意。</t>
        </is>
      </c>
    </row>
    <row r="40" ht="22" customHeight="1">
      <c r="A40" s="2" t="inlineStr">
        <is>
          <t>item_equip_t3_suit_usp01_hand_01</t>
        </is>
      </c>
      <c r="B40" s="2" t="inlineStr">
        <is>
          <t>天灾防护手套</t>
        </is>
      </c>
      <c r="C40" s="2" t="inlineStr">
        <is>
          <t>四号谷地</t>
        </is>
      </c>
      <c r="D40" s="3" t="n">
        <v>50</v>
      </c>
      <c r="E40" s="2" t="inlineStr">
        <is>
          <t>护手</t>
        </is>
      </c>
      <c r="F40" s="3" t="n">
        <v>4</v>
      </c>
      <c r="G40" s="2" t="inlineStr">
        <is>
          <t>防御力 +30</t>
        </is>
      </c>
      <c r="H40" s="4" t="n">
        <v>0</v>
      </c>
      <c r="I40" s="2">
        <f>CHOOSE($H40+1, "意志 +46", "无", "无", "无")</f>
        <v/>
      </c>
      <c r="J40" s="4" t="n">
        <v>0</v>
      </c>
      <c r="K40" s="2">
        <f>CHOOSE($J40+1, "智识 +30", "无", "无", "无")</f>
        <v/>
      </c>
      <c r="L40" s="4" t="n">
        <v>0</v>
      </c>
      <c r="M40" s="2">
        <f>CHOOSE($L40+1, "源石技艺强度 +24.5", "无", "无", "无")</f>
        <v/>
      </c>
      <c r="N40" s="2" t="inlineStr">
        <is>
          <t>suit_usp01</t>
        </is>
      </c>
      <c r="O40" s="2" t="inlineStr">
        <is>
          <t>天灾防护</t>
        </is>
      </c>
      <c r="P40" s="2" t="inlineStr">
        <is>
          <r>
            <rPr>
              <rFont val="微软雅黑"/>
              <sz val="10"/>
            </rPr>
            <t>3件套组效果：装备者终结技充能效率</t>
          </r>
          <r>
            <rPr>
              <rFont val="微软雅黑"/>
              <b val="1"/>
              <color rgb="009eb7ff"/>
              <sz val="10"/>
            </rPr>
            <t>+20%</t>
          </r>
          <r>
            <rPr>
              <rFont val="微软雅黑"/>
              <sz val="10"/>
            </rPr>
            <t>。装备者施放战技时</t>
          </r>
          <r>
            <rPr>
              <rFont val="微软雅黑"/>
              <sz val="10"/>
              <u val="single"/>
            </rPr>
            <t>返还</t>
          </r>
          <r>
            <rPr>
              <rFont val="微软雅黑"/>
              <b val="1"/>
              <color rgb="009eb7ff"/>
              <sz val="10"/>
            </rPr>
            <t>50</t>
          </r>
          <r>
            <rPr>
              <rFont val="微软雅黑"/>
              <sz val="10"/>
            </rPr>
            <t>点技力，此效果每场战斗最多触发一次。</t>
          </r>
        </is>
      </c>
      <c r="Q40" s="2" t="inlineStr">
        <is>
          <t>本装备由特里格拉夫军工厂设计，使用集成工业系统制造，能够提高使用者的作战能力。源石研究园种植作业中会使用的外骨骼装备。 重点调整了指关节部位的支撑结构，同时提高了抓握能力，能在源石晶簇切割搬运的过程中高效辅助作业。</t>
        </is>
      </c>
    </row>
    <row r="41" ht="22" customHeight="1">
      <c r="A41" s="5" t="inlineStr">
        <is>
          <t>item_equip_t3_suit_usp01_edc_03</t>
        </is>
      </c>
      <c r="B41" s="5" t="inlineStr">
        <is>
          <t>天灾防护滤芯</t>
        </is>
      </c>
      <c r="C41" s="5" t="inlineStr">
        <is>
          <t>四号谷地</t>
        </is>
      </c>
      <c r="D41" s="6" t="n">
        <v>50</v>
      </c>
      <c r="E41" s="5" t="inlineStr">
        <is>
          <t>配件</t>
        </is>
      </c>
      <c r="F41" s="6" t="n">
        <v>4</v>
      </c>
      <c r="G41" s="5" t="inlineStr">
        <is>
          <t>防御力 +15</t>
        </is>
      </c>
      <c r="H41" s="7" t="n">
        <v>0</v>
      </c>
      <c r="I41" s="5">
        <f>CHOOSE($H41+1, "意志 +23", "无", "无", "无")</f>
        <v/>
      </c>
      <c r="J41" s="7" t="n">
        <v>0</v>
      </c>
      <c r="K41" s="5">
        <f>CHOOSE($J41+1, "智识 +15", "无", "无", "无")</f>
        <v/>
      </c>
      <c r="L41" s="7" t="n">
        <v>0</v>
      </c>
      <c r="M41" s="5">
        <f>CHOOSE($L41+1, "源石技艺强度 +29.4", "无", "无", "无")</f>
        <v/>
      </c>
      <c r="N41" s="5" t="inlineStr">
        <is>
          <t>suit_usp01</t>
        </is>
      </c>
      <c r="O41" s="5" t="inlineStr">
        <is>
          <t>天灾防护</t>
        </is>
      </c>
      <c r="P41" s="5" t="inlineStr">
        <is>
          <r>
            <rPr>
              <rFont val="微软雅黑"/>
              <sz val="10"/>
            </rPr>
            <t>3件套组效果：装备者终结技充能效率</t>
          </r>
          <r>
            <rPr>
              <rFont val="微软雅黑"/>
              <b val="1"/>
              <color rgb="009eb7ff"/>
              <sz val="10"/>
            </rPr>
            <t>+20%</t>
          </r>
          <r>
            <rPr>
              <rFont val="微软雅黑"/>
              <sz val="10"/>
            </rPr>
            <t>。装备者施放战技时</t>
          </r>
          <r>
            <rPr>
              <rFont val="微软雅黑"/>
              <sz val="10"/>
              <u val="single"/>
            </rPr>
            <t>返还</t>
          </r>
          <r>
            <rPr>
              <rFont val="微软雅黑"/>
              <b val="1"/>
              <color rgb="009eb7ff"/>
              <sz val="10"/>
            </rPr>
            <t>50</t>
          </r>
          <r>
            <rPr>
              <rFont val="微软雅黑"/>
              <sz val="10"/>
            </rPr>
            <t>点技力，此效果每场战斗最多触发一次。</t>
          </r>
        </is>
      </c>
      <c r="Q41" s="5" t="inlineStr">
        <is>
          <t>本装备由特里格拉夫军工厂设计，使用集成工业系统制造，能够提高使用者的作战能力。源石研究园种植作业中会使用的外骨骼装备。 与天灾防护面罩配套的过滤装置，应用时即插即拔，方便快捷。</t>
        </is>
      </c>
    </row>
    <row r="42" ht="22" customHeight="1">
      <c r="A42" s="2" t="inlineStr">
        <is>
          <t>item_equip_t3_suit_usp01_edc_01</t>
        </is>
      </c>
      <c r="B42" s="2" t="inlineStr">
        <is>
          <t>天灾防护净芯</t>
        </is>
      </c>
      <c r="C42" s="2" t="inlineStr">
        <is>
          <t>四号谷地</t>
        </is>
      </c>
      <c r="D42" s="3" t="n">
        <v>50</v>
      </c>
      <c r="E42" s="2" t="inlineStr">
        <is>
          <t>配件</t>
        </is>
      </c>
      <c r="F42" s="3" t="n">
        <v>4</v>
      </c>
      <c r="G42" s="2" t="inlineStr">
        <is>
          <t>防御力 +15</t>
        </is>
      </c>
      <c r="H42" s="4" t="n">
        <v>0</v>
      </c>
      <c r="I42" s="2">
        <f>CHOOSE($H42+1, "力量 +23", "无", "无", "无")</f>
        <v/>
      </c>
      <c r="J42" s="4" t="n">
        <v>0</v>
      </c>
      <c r="K42" s="2">
        <f>CHOOSE($J42+1, "智识 +15", "无", "无", "无")</f>
        <v/>
      </c>
      <c r="L42" s="4" t="n">
        <v>0</v>
      </c>
      <c r="M42" s="2">
        <f>CHOOSE($L42+1, "终结技伤害加成 +36.75%", "无", "无", "无")</f>
        <v/>
      </c>
      <c r="N42" s="2" t="inlineStr">
        <is>
          <t>suit_usp01</t>
        </is>
      </c>
      <c r="O42" s="2" t="inlineStr">
        <is>
          <t>天灾防护</t>
        </is>
      </c>
      <c r="P42" s="2" t="inlineStr">
        <is>
          <r>
            <rPr>
              <rFont val="微软雅黑"/>
              <sz val="10"/>
            </rPr>
            <t>3件套组效果：装备者终结技充能效率</t>
          </r>
          <r>
            <rPr>
              <rFont val="微软雅黑"/>
              <b val="1"/>
              <color rgb="009eb7ff"/>
              <sz val="10"/>
            </rPr>
            <t>+20%</t>
          </r>
          <r>
            <rPr>
              <rFont val="微软雅黑"/>
              <sz val="10"/>
            </rPr>
            <t>。装备者施放战技时</t>
          </r>
          <r>
            <rPr>
              <rFont val="微软雅黑"/>
              <sz val="10"/>
              <u val="single"/>
            </rPr>
            <t>返还</t>
          </r>
          <r>
            <rPr>
              <rFont val="微软雅黑"/>
              <b val="1"/>
              <color rgb="009eb7ff"/>
              <sz val="10"/>
            </rPr>
            <t>50</t>
          </r>
          <r>
            <rPr>
              <rFont val="微软雅黑"/>
              <sz val="10"/>
            </rPr>
            <t>点技力，此效果每场战斗最多触发一次。</t>
          </r>
        </is>
      </c>
      <c r="Q42" s="2" t="inlineStr">
        <is>
          <t>本装备由特里格拉夫军工厂设计，使用集成工业系统制造，能够提高使用者的作战能力。源石研究园种植作业中会使用的外骨骼装备。 虽然矿石病在塔卫二已能得到有效控制，但还请继续做好基础的呼吸防护。</t>
        </is>
      </c>
    </row>
    <row r="43" ht="22" customHeight="1">
      <c r="A43" s="5" t="inlineStr">
        <is>
          <t>item_equip_t3_suit_usp01_edc_02</t>
        </is>
      </c>
      <c r="B43" s="5" t="inlineStr">
        <is>
          <t>天灾防护净芯·壹型</t>
        </is>
      </c>
      <c r="C43" s="5" t="inlineStr">
        <is>
          <t>四号谷地</t>
        </is>
      </c>
      <c r="D43" s="6" t="n">
        <v>50</v>
      </c>
      <c r="E43" s="5" t="inlineStr">
        <is>
          <t>配件</t>
        </is>
      </c>
      <c r="F43" s="6" t="n">
        <v>4</v>
      </c>
      <c r="G43" s="5" t="inlineStr">
        <is>
          <t>防御力 +15</t>
        </is>
      </c>
      <c r="H43" s="7" t="n">
        <v>0</v>
      </c>
      <c r="I43" s="5">
        <f>CHOOSE($H43+1, "力量 +23", "无", "无", "无")</f>
        <v/>
      </c>
      <c r="J43" s="7" t="n">
        <v>0</v>
      </c>
      <c r="K43" s="5">
        <f>CHOOSE($J43+1, "意志 +15", "无", "无", "无")</f>
        <v/>
      </c>
      <c r="L43" s="7" t="n">
        <v>0</v>
      </c>
      <c r="M43" s="5">
        <f>CHOOSE($L43+1, "副能力 +14.701266544257816%", "无", "无", "无")</f>
        <v/>
      </c>
      <c r="N43" s="5" t="inlineStr">
        <is>
          <t>suit_usp01</t>
        </is>
      </c>
      <c r="O43" s="5" t="inlineStr">
        <is>
          <t>天灾防护</t>
        </is>
      </c>
      <c r="P43" s="5" t="inlineStr">
        <is>
          <r>
            <rPr>
              <rFont val="微软雅黑"/>
              <sz val="10"/>
            </rPr>
            <t>3件套组效果：装备者终结技充能效率</t>
          </r>
          <r>
            <rPr>
              <rFont val="微软雅黑"/>
              <b val="1"/>
              <color rgb="009eb7ff"/>
              <sz val="10"/>
            </rPr>
            <t>+20%</t>
          </r>
          <r>
            <rPr>
              <rFont val="微软雅黑"/>
              <sz val="10"/>
            </rPr>
            <t>。装备者施放战技时</t>
          </r>
          <r>
            <rPr>
              <rFont val="微软雅黑"/>
              <sz val="10"/>
              <u val="single"/>
            </rPr>
            <t>返还</t>
          </r>
          <r>
            <rPr>
              <rFont val="微软雅黑"/>
              <b val="1"/>
              <color rgb="009eb7ff"/>
              <sz val="10"/>
            </rPr>
            <t>50</t>
          </r>
          <r>
            <rPr>
              <rFont val="微软雅黑"/>
              <sz val="10"/>
            </rPr>
            <t>点技力，此效果每场战斗最多触发一次。</t>
          </r>
        </is>
      </c>
      <c r="Q43" s="5" t="inlineStr">
        <is>
          <t>本装备由特里格拉夫军工厂设计，使用集成工业系统制造，能够提高使用者的作战能力。源石研究园种植作业中会使用的外骨骼装备。 虽然矿石病在塔卫二已能得到有效控制，但还请继续做好基础的呼吸防护。</t>
        </is>
      </c>
    </row>
    <row r="44" ht="22" customHeight="1">
      <c r="A44" s="2" t="inlineStr">
        <is>
          <t>item_equip_t3_suit_str01_body_01</t>
        </is>
      </c>
      <c r="B44" s="2" t="inlineStr">
        <is>
          <t>重装信使夹克·壹型</t>
        </is>
      </c>
      <c r="C44" s="2" t="inlineStr">
        <is>
          <t>四号谷地</t>
        </is>
      </c>
      <c r="D44" s="3" t="n">
        <v>50</v>
      </c>
      <c r="E44" s="2" t="inlineStr">
        <is>
          <t>护甲</t>
        </is>
      </c>
      <c r="F44" s="3" t="n">
        <v>4</v>
      </c>
      <c r="G44" s="2" t="inlineStr">
        <is>
          <t>防御力 +40</t>
        </is>
      </c>
      <c r="H44" s="4" t="n">
        <v>0</v>
      </c>
      <c r="I44" s="2">
        <f>CHOOSE($H44+1, "力量 +61", "无", "无", "无")</f>
        <v/>
      </c>
      <c r="J44" s="4" t="n">
        <v>0</v>
      </c>
      <c r="K44" s="2">
        <f>CHOOSE($J44+1, "意志 +41", "无", "无", "无")</f>
        <v/>
      </c>
      <c r="L44" s="4" t="n">
        <v>0</v>
      </c>
      <c r="M44" s="2">
        <f>CHOOSE($L44+1, "生命值 +14.7%", "无", "无", "无")</f>
        <v/>
      </c>
      <c r="N44" s="2" t="inlineStr">
        <is>
          <t>suit_str01</t>
        </is>
      </c>
      <c r="O44" s="2" t="inlineStr">
        <is>
          <t>重装信使</t>
        </is>
      </c>
      <c r="P44" s="2"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44" s="2" t="inlineStr">
        <is>
          <t>本装备由终末地工业参考荒野手工艺品设计，使用集成工业系统制造，能够提高使用者的作战能力。信使们爱穿的夹克。 在塔卫二，越野摩托是一种足够物美价廉的交通工具——信使们会为它附上不同的改装模块。</t>
        </is>
      </c>
    </row>
    <row r="45" ht="22" customHeight="1">
      <c r="A45" s="5" t="inlineStr">
        <is>
          <t>item_equip_t3_suit_str01_hand_01</t>
        </is>
      </c>
      <c r="B45" s="5" t="inlineStr">
        <is>
          <t>重装信使手套·壹型</t>
        </is>
      </c>
      <c r="C45" s="5" t="inlineStr">
        <is>
          <t>四号谷地</t>
        </is>
      </c>
      <c r="D45" s="6" t="n">
        <v>50</v>
      </c>
      <c r="E45" s="5" t="inlineStr">
        <is>
          <t>护手</t>
        </is>
      </c>
      <c r="F45" s="6" t="n">
        <v>4</v>
      </c>
      <c r="G45" s="5" t="inlineStr">
        <is>
          <t>防御力 +30</t>
        </is>
      </c>
      <c r="H45" s="7" t="n">
        <v>0</v>
      </c>
      <c r="I45" s="5">
        <f>CHOOSE($H45+1, "力量 +46", "无", "无", "无")</f>
        <v/>
      </c>
      <c r="J45" s="7" t="n">
        <v>0</v>
      </c>
      <c r="K45" s="5">
        <f>CHOOSE($J45+1, "敏捷 +30", "无", "无", "无")</f>
        <v/>
      </c>
      <c r="L45" s="7" t="n">
        <v>0</v>
      </c>
      <c r="M45" s="5">
        <f>CHOOSE($L45+1, "攻击力 +12.25%", "无", "无", "无")</f>
        <v/>
      </c>
      <c r="N45" s="5" t="inlineStr">
        <is>
          <t>suit_str01</t>
        </is>
      </c>
      <c r="O45" s="5" t="inlineStr">
        <is>
          <t>重装信使</t>
        </is>
      </c>
      <c r="P45" s="5"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45" s="5" t="inlineStr">
        <is>
          <t>本装备由终末地工业参考荒野手工艺品设计，使用集成工业系统制造，能够提高使用者的作战能力。信使们爱用的护手。 大部分信使会为自己的交通工具增加一个便捷脱离装置，以便能在突发的侵蚀灾害中保全性命。</t>
        </is>
      </c>
    </row>
    <row r="46" ht="22" customHeight="1">
      <c r="A46" s="2" t="inlineStr">
        <is>
          <t>item_equip_t3_suit_str01_hand_02</t>
        </is>
      </c>
      <c r="B46" s="2" t="inlineStr">
        <is>
          <t>重装信使手套·贰型</t>
        </is>
      </c>
      <c r="C46" s="2" t="inlineStr">
        <is>
          <t>四号谷地</t>
        </is>
      </c>
      <c r="D46" s="3" t="n">
        <v>50</v>
      </c>
      <c r="E46" s="2" t="inlineStr">
        <is>
          <t>护手</t>
        </is>
      </c>
      <c r="F46" s="3" t="n">
        <v>4</v>
      </c>
      <c r="G46" s="2" t="inlineStr">
        <is>
          <t>防御力 +30</t>
        </is>
      </c>
      <c r="H46" s="4" t="n">
        <v>0</v>
      </c>
      <c r="I46" s="2">
        <f>CHOOSE($H46+1, "力量 +46", "无", "无", "无")</f>
        <v/>
      </c>
      <c r="J46" s="4" t="n">
        <v>0</v>
      </c>
      <c r="K46" s="2">
        <f>CHOOSE($J46+1, "敏捷 +30", "无", "无", "无")</f>
        <v/>
      </c>
      <c r="L46" s="4" t="n">
        <v>0</v>
      </c>
      <c r="M46" s="2">
        <f>CHOOSE($L46+1, "连携技伤害加成 +24.5%", "无", "无", "无")</f>
        <v/>
      </c>
      <c r="N46" s="2" t="inlineStr">
        <is>
          <t>suit_str01</t>
        </is>
      </c>
      <c r="O46" s="2" t="inlineStr">
        <is>
          <t>重装信使</t>
        </is>
      </c>
      <c r="P46" s="2"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46" s="2" t="inlineStr">
        <is>
          <t>本装备由终末地工业参考荒野手工艺品设计，使用集成工业系统制造，能够提高使用者的作战能力。信使们爱用的护手。 大部分信使会为自己的交通工具增加一个便捷脱离装置，以便能在突发的侵蚀灾害中保全性命。</t>
        </is>
      </c>
    </row>
    <row r="47" ht="22" customHeight="1">
      <c r="A47" s="5" t="inlineStr">
        <is>
          <t>item_equip_t3_suit_str01_edc_02</t>
        </is>
      </c>
      <c r="B47" s="5" t="inlineStr">
        <is>
          <t>重装信使手电·壹型</t>
        </is>
      </c>
      <c r="C47" s="5" t="inlineStr">
        <is>
          <t>四号谷地</t>
        </is>
      </c>
      <c r="D47" s="6" t="n">
        <v>50</v>
      </c>
      <c r="E47" s="5" t="inlineStr">
        <is>
          <t>配件</t>
        </is>
      </c>
      <c r="F47" s="6" t="n">
        <v>4</v>
      </c>
      <c r="G47" s="5" t="inlineStr">
        <is>
          <t>防御力 +15</t>
        </is>
      </c>
      <c r="H47" s="7" t="n">
        <v>0</v>
      </c>
      <c r="I47" s="5">
        <f>CHOOSE($H47+1, "力量 +23", "无", "无", "无")</f>
        <v/>
      </c>
      <c r="J47" s="7" t="n">
        <v>0</v>
      </c>
      <c r="K47" s="5">
        <f>CHOOSE($J47+1, "敏捷 +15", "无", "无", "无")</f>
        <v/>
      </c>
      <c r="L47" s="7" t="n">
        <v>0</v>
      </c>
      <c r="M47" s="5">
        <f>CHOOSE($L47+1, "暴击率 +7.35%", "无", "无", "无")</f>
        <v/>
      </c>
      <c r="N47" s="5" t="inlineStr">
        <is>
          <t>suit_str01</t>
        </is>
      </c>
      <c r="O47" s="5" t="inlineStr">
        <is>
          <t>重装信使</t>
        </is>
      </c>
      <c r="P47" s="5"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47" s="5" t="inlineStr">
        <is>
          <t>本装备由终末地工业参考荒野手工艺品设计，使用集成工业系统制造，能够提高使用者的作战能力。坚固的照明手电。 它尾部的尖锥通常会被用来凿开一些不愿沟通的骨骼。</t>
        </is>
      </c>
    </row>
    <row r="48" ht="22" customHeight="1">
      <c r="A48" s="2" t="inlineStr">
        <is>
          <t>item_equip_t3_suit_str01_edc_01</t>
        </is>
      </c>
      <c r="B48" s="2" t="inlineStr">
        <is>
          <t>重装信使陀螺·壹型</t>
        </is>
      </c>
      <c r="C48" s="2" t="inlineStr">
        <is>
          <t>四号谷地</t>
        </is>
      </c>
      <c r="D48" s="3" t="n">
        <v>50</v>
      </c>
      <c r="E48" s="2" t="inlineStr">
        <is>
          <t>配件</t>
        </is>
      </c>
      <c r="F48" s="3" t="n">
        <v>4</v>
      </c>
      <c r="G48" s="2" t="inlineStr">
        <is>
          <t>防御力 +15</t>
        </is>
      </c>
      <c r="H48" s="4" t="n">
        <v>0</v>
      </c>
      <c r="I48" s="2">
        <f>CHOOSE($H48+1, "力量 +23", "无", "无", "无")</f>
        <v/>
      </c>
      <c r="J48" s="4" t="n">
        <v>0</v>
      </c>
      <c r="K48" s="2">
        <f>CHOOSE($J48+1, "意志 +15", "无", "无", "无")</f>
        <v/>
      </c>
      <c r="L48" s="4" t="n">
        <v>0</v>
      </c>
      <c r="M48" s="2">
        <f>CHOOSE($L48+1, "攻击力 +14.7%", "无", "无", "无")</f>
        <v/>
      </c>
      <c r="N48" s="2" t="inlineStr">
        <is>
          <t>suit_str01</t>
        </is>
      </c>
      <c r="O48" s="2" t="inlineStr">
        <is>
          <t>重装信使</t>
        </is>
      </c>
      <c r="P48" s="2" t="inlineStr">
        <is>
          <r>
            <rPr>
              <rFont val="微软雅黑"/>
              <sz val="10"/>
            </rPr>
            <t>3件套组效果：装备者力量</t>
          </r>
          <r>
            <rPr>
              <rFont val="微软雅黑"/>
              <b val="1"/>
              <color rgb="009eb7ff"/>
              <sz val="10"/>
            </rPr>
            <t>+50</t>
          </r>
          <r>
            <rPr>
              <rFont val="微软雅黑"/>
              <sz val="10"/>
            </rPr>
            <t>。当装备者生命值低于50%时，受到的所有类型伤害</t>
          </r>
          <r>
            <rPr>
              <rFont val="微软雅黑"/>
              <b val="1"/>
              <color rgb="009eb7ff"/>
              <sz val="10"/>
            </rPr>
            <t>-30%</t>
          </r>
          <r>
            <rPr>
              <rFont val="微软雅黑"/>
              <sz val="10"/>
            </rPr>
            <t>。</t>
          </r>
        </is>
      </c>
      <c r="Q48" s="2" t="inlineStr">
        <is>
          <t>本装备由终末地工业参考荒野手工艺品设计，使用集成工业系统制造，能够提高使用者的作战能力。小巧的解压玩具。 根据权威统计，约有百分之八十的信使会把这样的小玩具改装成微型爆破飞镖。</t>
        </is>
      </c>
    </row>
    <row r="49" ht="22" customHeight="1">
      <c r="A49" s="5" t="inlineStr">
        <is>
          <t>item_equip_t3_suit_agi01_body_01</t>
        </is>
      </c>
      <c r="B49" s="5" t="inlineStr">
        <is>
          <t>巡行信使夹克·壹型</t>
        </is>
      </c>
      <c r="C49" s="5" t="inlineStr">
        <is>
          <t>四号谷地</t>
        </is>
      </c>
      <c r="D49" s="6" t="n">
        <v>50</v>
      </c>
      <c r="E49" s="5" t="inlineStr">
        <is>
          <t>护甲</t>
        </is>
      </c>
      <c r="F49" s="6" t="n">
        <v>4</v>
      </c>
      <c r="G49" s="5" t="inlineStr">
        <is>
          <t>防御力 +40</t>
        </is>
      </c>
      <c r="H49" s="7" t="n">
        <v>0</v>
      </c>
      <c r="I49" s="5">
        <f>CHOOSE($H49+1, "敏捷 +61", "无", "无", "无")</f>
        <v/>
      </c>
      <c r="J49" s="7" t="n">
        <v>0</v>
      </c>
      <c r="K49" s="5">
        <f>CHOOSE($J49+1, "智识 +41", "无", "无", "无")</f>
        <v/>
      </c>
      <c r="L49" s="7" t="n">
        <v>0</v>
      </c>
      <c r="M49" s="5">
        <f>CHOOSE($L49+1, "生命值 +14.7%", "无", "无", "无")</f>
        <v/>
      </c>
      <c r="N49" s="5" t="inlineStr">
        <is>
          <t>suit_agi01</t>
        </is>
      </c>
      <c r="O49" s="5" t="inlineStr">
        <is>
          <t>巡行信使</t>
        </is>
      </c>
      <c r="P49" s="5"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49" s="5" t="inlineStr">
        <is>
          <t>本装备由终末地工业参考荒野手工艺品设计，使用集成工业系统制造，能够提高使用者的作战能力。信使们爱穿的夹克。 四号谷地周边的信使会为自己的交通工具喷涂大树枝干般的纹样。曾保护这片土地的事物至今仍能给予人们力量。</t>
        </is>
      </c>
    </row>
    <row r="50" ht="22" customHeight="1">
      <c r="A50" s="2" t="inlineStr">
        <is>
          <t>item_equip_t3_suit_agi01_hand_01</t>
        </is>
      </c>
      <c r="B50" s="2" t="inlineStr">
        <is>
          <t>巡行信使手套·壹型</t>
        </is>
      </c>
      <c r="C50" s="2" t="inlineStr">
        <is>
          <t>四号谷地</t>
        </is>
      </c>
      <c r="D50" s="3" t="n">
        <v>50</v>
      </c>
      <c r="E50" s="2" t="inlineStr">
        <is>
          <t>护手</t>
        </is>
      </c>
      <c r="F50" s="3" t="n">
        <v>4</v>
      </c>
      <c r="G50" s="2" t="inlineStr">
        <is>
          <t>防御力 +30</t>
        </is>
      </c>
      <c r="H50" s="4" t="n">
        <v>0</v>
      </c>
      <c r="I50" s="2">
        <f>CHOOSE($H50+1, "敏捷 +46", "无", "无", "无")</f>
        <v/>
      </c>
      <c r="J50" s="4" t="n">
        <v>0</v>
      </c>
      <c r="K50" s="2">
        <f>CHOOSE($J50+1, "力量 +30", "无", "无", "无")</f>
        <v/>
      </c>
      <c r="L50" s="4" t="n">
        <v>0</v>
      </c>
      <c r="M50" s="2">
        <f>CHOOSE($L50+1, "攻击力 +12.25%", "无", "无", "无")</f>
        <v/>
      </c>
      <c r="N50" s="2" t="inlineStr">
        <is>
          <t>suit_agi01</t>
        </is>
      </c>
      <c r="O50" s="2" t="inlineStr">
        <is>
          <t>巡行信使</t>
        </is>
      </c>
      <c r="P50" s="2"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50" s="2" t="inlineStr">
        <is>
          <t>本装备由终末地工业参考荒野手工艺品设计，使用集成工业系统制造，能够提高使用者的作战能力。信使们爱用的护手。 走上擂台切磋几手也是信使们的消遣方式之一。</t>
        </is>
      </c>
    </row>
    <row r="51" ht="22" customHeight="1">
      <c r="A51" s="5" t="inlineStr">
        <is>
          <t>item_equip_t3_suit_agi01_edc_01</t>
        </is>
      </c>
      <c r="B51" s="5" t="inlineStr">
        <is>
          <t>巡行信使手电·壹型</t>
        </is>
      </c>
      <c r="C51" s="5" t="inlineStr">
        <is>
          <t>四号谷地</t>
        </is>
      </c>
      <c r="D51" s="6" t="n">
        <v>50</v>
      </c>
      <c r="E51" s="5" t="inlineStr">
        <is>
          <t>配件</t>
        </is>
      </c>
      <c r="F51" s="6" t="n">
        <v>4</v>
      </c>
      <c r="G51" s="5" t="inlineStr">
        <is>
          <t>防御力 +15</t>
        </is>
      </c>
      <c r="H51" s="7" t="n">
        <v>0</v>
      </c>
      <c r="I51" s="5">
        <f>CHOOSE($H51+1, "敏捷 +23", "无", "无", "无")</f>
        <v/>
      </c>
      <c r="J51" s="7" t="n">
        <v>0</v>
      </c>
      <c r="K51" s="5">
        <f>CHOOSE($J51+1, "力量 +15", "无", "无", "无")</f>
        <v/>
      </c>
      <c r="L51" s="7" t="n">
        <v>0</v>
      </c>
      <c r="M51" s="5">
        <f>CHOOSE($L51+1, "连携技伤害加成 +29.4%", "无", "无", "无")</f>
        <v/>
      </c>
      <c r="N51" s="5" t="inlineStr">
        <is>
          <t>suit_agi01</t>
        </is>
      </c>
      <c r="O51" s="5" t="inlineStr">
        <is>
          <t>巡行信使</t>
        </is>
      </c>
      <c r="P51" s="5"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51" s="5" t="inlineStr">
        <is>
          <t>本装备由终末地工业参考荒野手工艺品设计，使用集成工业系统制造，能够提高使用者的作战能力。坚固的照明手电。 它尾部的尖锥偶尔会被用来破开一些尘封的古物。</t>
        </is>
      </c>
    </row>
    <row r="52" ht="22" customHeight="1">
      <c r="A52" s="2" t="inlineStr">
        <is>
          <t>item_equip_t3_suit_agi01_edc_02</t>
        </is>
      </c>
      <c r="B52" s="2" t="inlineStr">
        <is>
          <t>巡行信使手电·贰型</t>
        </is>
      </c>
      <c r="C52" s="2" t="inlineStr">
        <is>
          <t>四号谷地</t>
        </is>
      </c>
      <c r="D52" s="3" t="n">
        <v>50</v>
      </c>
      <c r="E52" s="2" t="inlineStr">
        <is>
          <t>配件</t>
        </is>
      </c>
      <c r="F52" s="3" t="n">
        <v>4</v>
      </c>
      <c r="G52" s="2" t="inlineStr">
        <is>
          <t>防御力 +15</t>
        </is>
      </c>
      <c r="H52" s="4" t="n">
        <v>0</v>
      </c>
      <c r="I52" s="2">
        <f>CHOOSE($H52+1, "敏捷 +23", "无", "无", "无")</f>
        <v/>
      </c>
      <c r="J52" s="4" t="n">
        <v>0</v>
      </c>
      <c r="K52" s="2">
        <f>CHOOSE($J52+1, "力量 +15", "无", "无", "无")</f>
        <v/>
      </c>
      <c r="L52" s="4" t="n">
        <v>0</v>
      </c>
      <c r="M52" s="2">
        <f>CHOOSE($L52+1, "终结技伤害加成 +36.75%", "无", "无", "无")</f>
        <v/>
      </c>
      <c r="N52" s="2" t="inlineStr">
        <is>
          <t>suit_agi01</t>
        </is>
      </c>
      <c r="O52" s="2" t="inlineStr">
        <is>
          <t>巡行信使</t>
        </is>
      </c>
      <c r="P52" s="2"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52" s="2" t="inlineStr">
        <is>
          <t>本装备由终末地工业参考荒野手工艺品设计，使用集成工业系统制造，能够提高使用者的作战能力。坚固的照明手电。 它尾部的尖锥偶尔会被用来破开一些尘封的古物。</t>
        </is>
      </c>
    </row>
    <row r="53" ht="22" customHeight="1">
      <c r="A53" s="5" t="inlineStr">
        <is>
          <t>item_equip_t3_suit_agi01_edc_03</t>
        </is>
      </c>
      <c r="B53" s="5" t="inlineStr">
        <is>
          <t>巡行信使陀螺·壹型</t>
        </is>
      </c>
      <c r="C53" s="5" t="inlineStr">
        <is>
          <t>四号谷地</t>
        </is>
      </c>
      <c r="D53" s="6" t="n">
        <v>50</v>
      </c>
      <c r="E53" s="5" t="inlineStr">
        <is>
          <t>配件</t>
        </is>
      </c>
      <c r="F53" s="6" t="n">
        <v>4</v>
      </c>
      <c r="G53" s="5" t="inlineStr">
        <is>
          <t>防御力 +15</t>
        </is>
      </c>
      <c r="H53" s="7" t="n">
        <v>0</v>
      </c>
      <c r="I53" s="5">
        <f>CHOOSE($H53+1, "敏捷 +23", "无", "无", "无")</f>
        <v/>
      </c>
      <c r="J53" s="7" t="n">
        <v>0</v>
      </c>
      <c r="K53" s="5">
        <f>CHOOSE($J53+1, "智识 +15", "无", "无", "无")</f>
        <v/>
      </c>
      <c r="L53" s="7" t="n">
        <v>0</v>
      </c>
      <c r="M53" s="5">
        <f>CHOOSE($L53+1, "攻击力 +14.7%", "无", "无", "无")</f>
        <v/>
      </c>
      <c r="N53" s="5" t="inlineStr">
        <is>
          <t>suit_agi01</t>
        </is>
      </c>
      <c r="O53" s="5" t="inlineStr">
        <is>
          <t>巡行信使</t>
        </is>
      </c>
      <c r="P53" s="5" t="inlineStr">
        <is>
          <r>
            <rPr>
              <rFont val="微软雅黑"/>
              <sz val="10"/>
            </rPr>
            <t>3件套组效果：装备者敏捷</t>
          </r>
          <r>
            <rPr>
              <rFont val="微软雅黑"/>
              <b val="1"/>
              <color rgb="009eb7ff"/>
              <sz val="10"/>
            </rPr>
            <t>+50</t>
          </r>
          <r>
            <rPr>
              <rFont val="微软雅黑"/>
              <sz val="10"/>
            </rPr>
            <t>。当装备者生命值高于80%时，造成的</t>
          </r>
          <r>
            <rPr>
              <rFont val="微软雅黑"/>
              <b val="1"/>
              <color rgb="00e3c19a"/>
              <sz val="10"/>
            </rPr>
            <t>物理伤害</t>
          </r>
          <r>
            <rPr>
              <rFont val="微软雅黑"/>
              <b val="1"/>
              <color rgb="009eb7ff"/>
              <sz val="10"/>
            </rPr>
            <t>+20%</t>
          </r>
          <r>
            <rPr>
              <rFont val="微软雅黑"/>
              <sz val="10"/>
            </rPr>
            <t>。</t>
          </r>
        </is>
      </c>
      <c r="Q53" s="5" t="inlineStr">
        <is>
          <t>本装备由终末地工业参考荒野手工艺品设计，使用集成工业系统制造，能够提高使用者的作战能力。小巧的解压玩具。 根据权威统计，约有百分之二十的信使会把这样的解压玩具改装为定向追踪器。</t>
        </is>
      </c>
    </row>
    <row r="54" ht="22" customHeight="1">
      <c r="A54" s="2" t="inlineStr">
        <is>
          <t>item_equip_t3_suit_wisd01_body_01</t>
        </is>
      </c>
      <c r="B54" s="2" t="inlineStr">
        <is>
          <t>蚀电屏蔽背心·壹型</t>
        </is>
      </c>
      <c r="C54" s="2" t="inlineStr">
        <is>
          <t>四号谷地</t>
        </is>
      </c>
      <c r="D54" s="3" t="n">
        <v>50</v>
      </c>
      <c r="E54" s="2" t="inlineStr">
        <is>
          <t>护甲</t>
        </is>
      </c>
      <c r="F54" s="3" t="n">
        <v>4</v>
      </c>
      <c r="G54" s="2" t="inlineStr">
        <is>
          <t>防御力 +40</t>
        </is>
      </c>
      <c r="H54" s="4" t="n">
        <v>0</v>
      </c>
      <c r="I54" s="2">
        <f>CHOOSE($H54+1, "智识 +61", "无", "无", "无")</f>
        <v/>
      </c>
      <c r="J54" s="4" t="n">
        <v>0</v>
      </c>
      <c r="K54" s="2">
        <f>CHOOSE($J54+1, "敏捷 +41", "无", "无", "无")</f>
        <v/>
      </c>
      <c r="L54" s="4" t="n">
        <v>0</v>
      </c>
      <c r="M54" s="2">
        <f>CHOOSE($L54+1, "普通攻击伤害加成 +9.799999999999999%", "无", "无", "无")</f>
        <v/>
      </c>
      <c r="N54" s="2" t="inlineStr">
        <is>
          <t>suit_wisd01</t>
        </is>
      </c>
      <c r="O54" s="2" t="inlineStr">
        <is>
          <t>蚀电屏蔽</t>
        </is>
      </c>
      <c r="P54" s="2"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54" s="2" t="inlineStr">
        <is>
          <t>本装备由终末地工业自研，使用集成工业系统制造，能够提高使用者的作战能力。特殊环境作业时必备的防护装备。 严重的侵蚀灾害往往会带来有悖常理的电路故障，抢修者亦需小心。</t>
        </is>
      </c>
    </row>
    <row r="55" ht="22" customHeight="1">
      <c r="A55" s="5" t="inlineStr">
        <is>
          <t>item_equip_t3_suit_wisd01_body_02</t>
        </is>
      </c>
      <c r="B55" s="5" t="inlineStr">
        <is>
          <t>蚀电屏蔽背心·贰型</t>
        </is>
      </c>
      <c r="C55" s="5" t="inlineStr">
        <is>
          <t>四号谷地</t>
        </is>
      </c>
      <c r="D55" s="6" t="n">
        <v>50</v>
      </c>
      <c r="E55" s="5" t="inlineStr">
        <is>
          <t>护甲</t>
        </is>
      </c>
      <c r="F55" s="6" t="n">
        <v>4</v>
      </c>
      <c r="G55" s="5" t="inlineStr">
        <is>
          <t>防御力 +40</t>
        </is>
      </c>
      <c r="H55" s="7" t="n">
        <v>0</v>
      </c>
      <c r="I55" s="5">
        <f>CHOOSE($H55+1, "智识 +61", "无", "无", "无")</f>
        <v/>
      </c>
      <c r="J55" s="7" t="n">
        <v>0</v>
      </c>
      <c r="K55" s="5">
        <f>CHOOSE($J55+1, "意志 +41", "无", "无", "无")</f>
        <v/>
      </c>
      <c r="L55" s="7" t="n">
        <v>0</v>
      </c>
      <c r="M55" s="5">
        <f>CHOOSE($L55+1, "生命值 +14.7%", "无", "无", "无")</f>
        <v/>
      </c>
      <c r="N55" s="5" t="inlineStr">
        <is>
          <t>suit_wisd01</t>
        </is>
      </c>
      <c r="O55" s="5" t="inlineStr">
        <is>
          <t>蚀电屏蔽</t>
        </is>
      </c>
      <c r="P55" s="5"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55" s="5" t="inlineStr">
        <is>
          <t>本装备由终末地工业自研，使用集成工业系统制造，能够提高使用者的作战能力。特殊环境作业时必备的防护装备。 严重的侵蚀灾害往往会带来有悖常理的电路故障，抢修者亦需小心。</t>
        </is>
      </c>
    </row>
    <row r="56" ht="22" customHeight="1">
      <c r="A56" s="2" t="inlineStr">
        <is>
          <t>item_equip_t3_suit_wisd01_hand_01</t>
        </is>
      </c>
      <c r="B56" s="2" t="inlineStr">
        <is>
          <t>蚀电屏蔽手套·壹型</t>
        </is>
      </c>
      <c r="C56" s="2" t="inlineStr">
        <is>
          <t>四号谷地</t>
        </is>
      </c>
      <c r="D56" s="3" t="n">
        <v>50</v>
      </c>
      <c r="E56" s="2" t="inlineStr">
        <is>
          <t>护手</t>
        </is>
      </c>
      <c r="F56" s="3" t="n">
        <v>4</v>
      </c>
      <c r="G56" s="2" t="inlineStr">
        <is>
          <t>防御力 +30</t>
        </is>
      </c>
      <c r="H56" s="4" t="n">
        <v>0</v>
      </c>
      <c r="I56" s="2">
        <f>CHOOSE($H56+1, "智识 +46", "无", "无", "无")</f>
        <v/>
      </c>
      <c r="J56" s="4" t="n">
        <v>0</v>
      </c>
      <c r="K56" s="2">
        <f>CHOOSE($J56+1, "力量 +30", "无", "无", "无")</f>
        <v/>
      </c>
      <c r="L56" s="4" t="n">
        <v>0</v>
      </c>
      <c r="M56" s="2">
        <f>CHOOSE($L56+1, "攻击力 +12.25%", "无", "无", "无")</f>
        <v/>
      </c>
      <c r="N56" s="2" t="inlineStr">
        <is>
          <t>suit_wisd01</t>
        </is>
      </c>
      <c r="O56" s="2" t="inlineStr">
        <is>
          <t>蚀电屏蔽</t>
        </is>
      </c>
      <c r="P56" s="2"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56" s="2" t="inlineStr">
        <is>
          <t>本装备由终末地工业自研，使用集成工业系统制造，能够提高使用者的作战能力。特殊环境作业时必备的防护装备。 为了避免被异常爆发的电流击伤，在侵蚀灾害现场抢修电路的工程师们必须穿上特制防护服。</t>
        </is>
      </c>
    </row>
    <row r="57" ht="22" customHeight="1">
      <c r="A57" s="5" t="inlineStr">
        <is>
          <t>item_equip_t3_suit_wisd01_edc_01</t>
        </is>
      </c>
      <c r="B57" s="5" t="inlineStr">
        <is>
          <t>蚀电屏蔽扳手·贰型</t>
        </is>
      </c>
      <c r="C57" s="5" t="inlineStr">
        <is>
          <t>四号谷地</t>
        </is>
      </c>
      <c r="D57" s="6" t="n">
        <v>50</v>
      </c>
      <c r="E57" s="5" t="inlineStr">
        <is>
          <t>配件</t>
        </is>
      </c>
      <c r="F57" s="6" t="n">
        <v>4</v>
      </c>
      <c r="G57" s="5" t="inlineStr">
        <is>
          <t>防御力 +15</t>
        </is>
      </c>
      <c r="H57" s="7" t="n">
        <v>0</v>
      </c>
      <c r="I57" s="5">
        <f>CHOOSE($H57+1, "智识 +23", "无", "无", "无")</f>
        <v/>
      </c>
      <c r="J57" s="7" t="n">
        <v>0</v>
      </c>
      <c r="K57" s="5">
        <f>CHOOSE($J57+1, "敏捷 +15", "无", "无", "无")</f>
        <v/>
      </c>
      <c r="L57" s="7" t="n">
        <v>0</v>
      </c>
      <c r="M57" s="5">
        <f>CHOOSE($L57+1, "攻击力 +14.7%", "无", "无", "无")</f>
        <v/>
      </c>
      <c r="N57" s="5" t="inlineStr">
        <is>
          <t>suit_wisd01</t>
        </is>
      </c>
      <c r="O57" s="5" t="inlineStr">
        <is>
          <t>蚀电屏蔽</t>
        </is>
      </c>
      <c r="P57" s="5"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57" s="5" t="inlineStr">
        <is>
          <t>本装备由终末地工业自研，使用集成工业系统制造，能够提高使用者的作战能力。施加了特殊防护镀层的扳手。 必要时可以当作武器使用，用来敲碎某些天使的肢体也不在话下。</t>
        </is>
      </c>
    </row>
    <row r="58" ht="22" customHeight="1">
      <c r="A58" s="2" t="inlineStr">
        <is>
          <t>item_equip_t3_suit_wisd01_edc_02</t>
        </is>
      </c>
      <c r="B58" s="2" t="inlineStr">
        <is>
          <t>蚀电屏蔽电池·壹型</t>
        </is>
      </c>
      <c r="C58" s="2" t="inlineStr">
        <is>
          <t>四号谷地</t>
        </is>
      </c>
      <c r="D58" s="3" t="n">
        <v>50</v>
      </c>
      <c r="E58" s="2" t="inlineStr">
        <is>
          <t>配件</t>
        </is>
      </c>
      <c r="F58" s="3" t="n">
        <v>4</v>
      </c>
      <c r="G58" s="2" t="inlineStr">
        <is>
          <t>防御力 +15</t>
        </is>
      </c>
      <c r="H58" s="4" t="n">
        <v>0</v>
      </c>
      <c r="I58" s="2">
        <f>CHOOSE($H58+1, "智识 +29", "无", "无", "无")</f>
        <v/>
      </c>
      <c r="J58" s="4" t="n">
        <v>0</v>
      </c>
      <c r="K58" s="2">
        <f>CHOOSE($J58+1, "终结技充能效率 +17.5%", "无", "无", "无")</f>
        <v/>
      </c>
      <c r="L58" s="4" t="n">
        <v>0</v>
      </c>
      <c r="M58" s="2" t="inlineStr">
        <is>
          <t>无</t>
        </is>
      </c>
      <c r="N58" s="2" t="inlineStr">
        <is>
          <t>suit_wisd01</t>
        </is>
      </c>
      <c r="O58" s="2" t="inlineStr">
        <is>
          <t>蚀电屏蔽</t>
        </is>
      </c>
      <c r="P58" s="2" t="inlineStr">
        <is>
          <r>
            <rPr>
              <rFont val="微软雅黑"/>
              <sz val="10"/>
            </rPr>
            <t>3件套组效果：装备者智识</t>
          </r>
          <r>
            <rPr>
              <rFont val="微软雅黑"/>
              <b val="1"/>
              <color rgb="009eb7ff"/>
              <sz val="10"/>
            </rPr>
            <t>+50</t>
          </r>
          <r>
            <rPr>
              <rFont val="微软雅黑"/>
              <sz val="10"/>
            </rPr>
            <t>。当装备者生命值高于80%时，造成的</t>
          </r>
          <r>
            <rPr>
              <rFont val="微软雅黑"/>
              <b val="1"/>
              <color rgb="0033c2ff"/>
              <sz val="10"/>
            </rPr>
            <t>法术伤害</t>
          </r>
          <r>
            <rPr>
              <rFont val="微软雅黑"/>
              <b val="1"/>
              <color rgb="009eb7ff"/>
              <sz val="10"/>
            </rPr>
            <t>+20%</t>
          </r>
          <r>
            <rPr>
              <rFont val="微软雅黑"/>
              <sz val="10"/>
            </rPr>
            <t>。</t>
          </r>
        </is>
      </c>
      <c r="Q58" s="2" t="inlineStr">
        <is>
          <t>本装备由终末地工业自研，使用集成工业系统制造，能够提高使用者的作战能力。耐用程度极高的电池。 在塔卫二，侵蚀环境下的工程抢险作业极度危险。因此，即便是“如何使用电池”，也需按特殊标准严格培训。</t>
        </is>
      </c>
    </row>
    <row r="59" ht="22" customHeight="1">
      <c r="A59" s="5" t="inlineStr">
        <is>
          <t>item_equip_t3_suit_will01_body_01</t>
        </is>
      </c>
      <c r="B59" s="5" t="inlineStr">
        <is>
          <t>蚀电防护背心·壹型</t>
        </is>
      </c>
      <c r="C59" s="5" t="inlineStr">
        <is>
          <t>四号谷地</t>
        </is>
      </c>
      <c r="D59" s="6" t="n">
        <v>50</v>
      </c>
      <c r="E59" s="5" t="inlineStr">
        <is>
          <t>护甲</t>
        </is>
      </c>
      <c r="F59" s="6" t="n">
        <v>4</v>
      </c>
      <c r="G59" s="5" t="inlineStr">
        <is>
          <t>防御力 +40</t>
        </is>
      </c>
      <c r="H59" s="7" t="n">
        <v>0</v>
      </c>
      <c r="I59" s="5">
        <f>CHOOSE($H59+1, "意志 +61", "无", "无", "无")</f>
        <v/>
      </c>
      <c r="J59" s="7" t="n">
        <v>0</v>
      </c>
      <c r="K59" s="5">
        <f>CHOOSE($J59+1, "智识 +41", "无", "无", "无")</f>
        <v/>
      </c>
      <c r="L59" s="7" t="n">
        <v>0</v>
      </c>
      <c r="M59" s="5">
        <f>CHOOSE($L59+1, "生命值 +14.7%", "无", "无", "无")</f>
        <v/>
      </c>
      <c r="N59" s="5" t="inlineStr">
        <is>
          <t>suit_will01</t>
        </is>
      </c>
      <c r="O59" s="5" t="inlineStr">
        <is>
          <t>蚀电防护</t>
        </is>
      </c>
      <c r="P59" s="5"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59" s="5" t="inlineStr">
        <is>
          <t>本装备由终末地工业自研，使用集成工业系统制造，能够提高使用者的作战能力。牢固的防护背心。 “在抢修现场必须穿好防护装备，不然你就会看到受损设备向你大声呼救……别给医生添麻烦，好吗？”</t>
        </is>
      </c>
    </row>
    <row r="60" ht="22" customHeight="1">
      <c r="A60" s="2" t="inlineStr">
        <is>
          <t>item_equip_t3_suit_will01_hand_01</t>
        </is>
      </c>
      <c r="B60" s="2" t="inlineStr">
        <is>
          <t>蚀电防护手套·壹型</t>
        </is>
      </c>
      <c r="C60" s="2" t="inlineStr">
        <is>
          <t>四号谷地</t>
        </is>
      </c>
      <c r="D60" s="3" t="n">
        <v>50</v>
      </c>
      <c r="E60" s="2" t="inlineStr">
        <is>
          <t>护手</t>
        </is>
      </c>
      <c r="F60" s="3" t="n">
        <v>4</v>
      </c>
      <c r="G60" s="2" t="inlineStr">
        <is>
          <t>防御力 +30</t>
        </is>
      </c>
      <c r="H60" s="4" t="n">
        <v>0</v>
      </c>
      <c r="I60" s="2">
        <f>CHOOSE($H60+1, "意志 +46", "无", "无", "无")</f>
        <v/>
      </c>
      <c r="J60" s="4" t="n">
        <v>0</v>
      </c>
      <c r="K60" s="2">
        <f>CHOOSE($J60+1, "敏捷 +30", "无", "无", "无")</f>
        <v/>
      </c>
      <c r="L60" s="4" t="n">
        <v>0</v>
      </c>
      <c r="M60" s="2">
        <f>CHOOSE($L60+1, "攻击力 +12.25%", "无", "无", "无")</f>
        <v/>
      </c>
      <c r="N60" s="2" t="inlineStr">
        <is>
          <t>suit_will01</t>
        </is>
      </c>
      <c r="O60" s="2" t="inlineStr">
        <is>
          <t>蚀电防护</t>
        </is>
      </c>
      <c r="P60" s="2"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60" s="2" t="inlineStr">
        <is>
          <t>本装备由终末地工业自研，使用集成工业系统制造，能够提高使用者的作战能力。格外牢固的手套。 目前人类还未研发出能够有效耐受侵蚀的防护服，现役防护装备绝大多数仅能应对侵蚀次生灾害。</t>
        </is>
      </c>
    </row>
    <row r="61" ht="22" customHeight="1">
      <c r="A61" s="5" t="inlineStr">
        <is>
          <t>item_equip_t3_suit_will01_edc_02</t>
        </is>
      </c>
      <c r="B61" s="5" t="inlineStr">
        <is>
          <t>蚀电防护扳手·壹型</t>
        </is>
      </c>
      <c r="C61" s="5" t="inlineStr">
        <is>
          <t>四号谷地</t>
        </is>
      </c>
      <c r="D61" s="6" t="n">
        <v>50</v>
      </c>
      <c r="E61" s="5" t="inlineStr">
        <is>
          <t>配件</t>
        </is>
      </c>
      <c r="F61" s="6" t="n">
        <v>4</v>
      </c>
      <c r="G61" s="5" t="inlineStr">
        <is>
          <t>防御力 +15</t>
        </is>
      </c>
      <c r="H61" s="7" t="n">
        <v>0</v>
      </c>
      <c r="I61" s="5">
        <f>CHOOSE($H61+1, "意志 +23", "无", "无", "无")</f>
        <v/>
      </c>
      <c r="J61" s="7" t="n">
        <v>0</v>
      </c>
      <c r="K61" s="5">
        <f>CHOOSE($J61+1, "智识 +15", "无", "无", "无")</f>
        <v/>
      </c>
      <c r="L61" s="7" t="n">
        <v>0</v>
      </c>
      <c r="M61" s="5">
        <f>CHOOSE($L61+1, "攻击力 +14.7%", "无", "无", "无")</f>
        <v/>
      </c>
      <c r="N61" s="5" t="inlineStr">
        <is>
          <t>suit_will01</t>
        </is>
      </c>
      <c r="O61" s="5" t="inlineStr">
        <is>
          <t>蚀电防护</t>
        </is>
      </c>
      <c r="P61" s="5"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61" s="5" t="inlineStr">
        <is>
          <t>本装备由终末地工业自研，使用集成工业系统制造，能够提高使用者的作战能力。线条流畅的扳手。 “用来当武器意外顺手！”——某位不愿透露姓名的工人。</t>
        </is>
      </c>
    </row>
    <row r="62" ht="22" customHeight="1">
      <c r="A62" s="2" t="inlineStr">
        <is>
          <t>item_equip_t3_suit_will01_edc_01</t>
        </is>
      </c>
      <c r="B62" s="2" t="inlineStr">
        <is>
          <t>蚀电防护电池·壹型</t>
        </is>
      </c>
      <c r="C62" s="2" t="inlineStr">
        <is>
          <t>四号谷地</t>
        </is>
      </c>
      <c r="D62" s="3" t="n">
        <v>50</v>
      </c>
      <c r="E62" s="2" t="inlineStr">
        <is>
          <t>配件</t>
        </is>
      </c>
      <c r="F62" s="3" t="n">
        <v>4</v>
      </c>
      <c r="G62" s="2" t="inlineStr">
        <is>
          <t>防御力 +15</t>
        </is>
      </c>
      <c r="H62" s="4" t="n">
        <v>0</v>
      </c>
      <c r="I62" s="2">
        <f>CHOOSE($H62+1, "意志 +23", "无", "无", "无")</f>
        <v/>
      </c>
      <c r="J62" s="4" t="n">
        <v>0</v>
      </c>
      <c r="K62" s="2">
        <f>CHOOSE($J62+1, "敏捷 +15", "无", "无", "无")</f>
        <v/>
      </c>
      <c r="L62" s="4" t="n">
        <v>0</v>
      </c>
      <c r="M62" s="2">
        <f>CHOOSE($L62+1, "治疗效率加成 +14.7%", "无", "无", "无")</f>
        <v/>
      </c>
      <c r="N62" s="2" t="inlineStr">
        <is>
          <t>suit_will01</t>
        </is>
      </c>
      <c r="O62" s="2" t="inlineStr">
        <is>
          <t>蚀电防护</t>
        </is>
      </c>
      <c r="P62" s="2" t="inlineStr">
        <is>
          <r>
            <rPr>
              <rFont val="微软雅黑"/>
              <sz val="10"/>
            </rPr>
            <t>3件套组效果：装备者意志</t>
          </r>
          <r>
            <rPr>
              <rFont val="微软雅黑"/>
              <b val="1"/>
              <color rgb="009eb7ff"/>
              <sz val="10"/>
            </rPr>
            <t>+50</t>
          </r>
          <r>
            <rPr>
              <rFont val="微软雅黑"/>
              <sz val="10"/>
            </rPr>
            <t>。当装备者生命值低于50%时，造成的治疗效果</t>
          </r>
          <r>
            <rPr>
              <rFont val="微软雅黑"/>
              <b val="1"/>
              <color rgb="009eb7ff"/>
              <sz val="10"/>
            </rPr>
            <t>+30%</t>
          </r>
          <r>
            <rPr>
              <rFont val="微软雅黑"/>
              <sz val="10"/>
            </rPr>
            <t>。</t>
          </r>
        </is>
      </c>
      <c r="Q62" s="2" t="inlineStr">
        <is>
          <t>本装备由终末地工业自研，使用集成工业系统制造，能够提高使用者的作战能力。重量略大的电池。 经验丰富的工人可以在十分钟内将这种源石电池改装成榴弹。</t>
        </is>
      </c>
    </row>
    <row r="63" ht="22" customHeight="1">
      <c r="A63" s="5" t="inlineStr">
        <is>
          <t>item_equip_t4_suit_phy01_body_02</t>
        </is>
      </c>
      <c r="B63" s="5" t="inlineStr">
        <is>
          <t>点剑重装甲</t>
        </is>
      </c>
      <c r="C63" s="5" t="inlineStr">
        <is>
          <t>武陵</t>
        </is>
      </c>
      <c r="D63" s="6" t="n">
        <v>70</v>
      </c>
      <c r="E63" s="5" t="inlineStr">
        <is>
          <t>护甲</t>
        </is>
      </c>
      <c r="F63" s="6" t="n">
        <v>5</v>
      </c>
      <c r="G63" s="5" t="inlineStr">
        <is>
          <t>防御力 +56</t>
        </is>
      </c>
      <c r="H63" s="7" t="n">
        <v>0</v>
      </c>
      <c r="I63" s="5">
        <f>CHOOSE($H63+1, "敏捷 +87", "敏捷 +95", "敏捷 +104", "敏捷 +113")</f>
        <v/>
      </c>
      <c r="J63" s="7" t="n">
        <v>0</v>
      </c>
      <c r="K63" s="5">
        <f>CHOOSE($J63+1, "力量 +58", "力量 +63", "力量 +69", "力量 +75")</f>
        <v/>
      </c>
      <c r="L63" s="7" t="n">
        <v>0</v>
      </c>
      <c r="M63" s="5">
        <f>CHOOSE($L63+1, "源石技艺强度 +20.7", "源石技艺强度 +22.77", "源石技艺强度 +24.84", "源石技艺强度 +26.91")</f>
        <v/>
      </c>
      <c r="N63" s="5" t="inlineStr">
        <is>
          <t>suit_phy01</t>
        </is>
      </c>
      <c r="O63" s="5" t="inlineStr">
        <is>
          <t>点剑</t>
        </is>
      </c>
      <c r="P63" s="5"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3" s="5" t="inlineStr">
        <is>
          <t>本装备由宏山选剑局设计，使用集成工业系统制造，能够提高使用者的作战能力。选剑局早期向市场推广的产品之一。 天师以“虚怀若谷”为设计理念，在点剑重装甲上真正实现了“化解能量攻击”这一功能。</t>
        </is>
      </c>
    </row>
    <row r="64" ht="22" customHeight="1">
      <c r="A64" s="2" t="inlineStr">
        <is>
          <t>item_equip_t4_suit_phy01_body_01</t>
        </is>
      </c>
      <c r="B64" s="2" t="inlineStr">
        <is>
          <t>点剑轻装甲</t>
        </is>
      </c>
      <c r="C64" s="2" t="inlineStr">
        <is>
          <t>武陵</t>
        </is>
      </c>
      <c r="D64" s="3" t="n">
        <v>70</v>
      </c>
      <c r="E64" s="2" t="inlineStr">
        <is>
          <t>护甲</t>
        </is>
      </c>
      <c r="F64" s="3" t="n">
        <v>5</v>
      </c>
      <c r="G64" s="2" t="inlineStr">
        <is>
          <t>防御力 +56</t>
        </is>
      </c>
      <c r="H64" s="4" t="n">
        <v>0</v>
      </c>
      <c r="I64" s="2">
        <f>CHOOSE($H64+1, "力量 +87", "力量 +95", "力量 +104", "力量 +113")</f>
        <v/>
      </c>
      <c r="J64" s="4" t="n">
        <v>0</v>
      </c>
      <c r="K64" s="2">
        <f>CHOOSE($J64+1, "意志 +58", "意志 +63", "意志 +69", "意志 +75")</f>
        <v/>
      </c>
      <c r="L64" s="4" t="n">
        <v>0</v>
      </c>
      <c r="M64" s="2">
        <f>CHOOSE($L64+1, "终结技充能效率 +12.32142857142857%", "终结技充能效率 +13.553572%", "终结技充能效率 +14.785714%", "终结技充能效率 +16.017857%")</f>
        <v/>
      </c>
      <c r="N64" s="2" t="inlineStr">
        <is>
          <t>suit_phy01</t>
        </is>
      </c>
      <c r="O64" s="2" t="inlineStr">
        <is>
          <t>点剑</t>
        </is>
      </c>
      <c r="P64" s="2"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4" s="2" t="inlineStr">
        <is>
          <t>本装备由宏山选剑局设计，使用集成工业系统制造，能够提高使用者的作战能力。选剑局早期向市场推广的产品之一。 其兵装图纸文件首页写着这样四个字：孤骑点剑。</t>
        </is>
      </c>
    </row>
    <row r="65" ht="22" customHeight="1">
      <c r="A65" s="5" t="inlineStr">
        <is>
          <t>item_equip_t4_suit_phy01_hand_01</t>
        </is>
      </c>
      <c r="B65" s="5" t="inlineStr">
        <is>
          <t>点剑战术手套</t>
        </is>
      </c>
      <c r="C65" s="5" t="inlineStr">
        <is>
          <t>武陵</t>
        </is>
      </c>
      <c r="D65" s="6" t="n">
        <v>70</v>
      </c>
      <c r="E65" s="5" t="inlineStr">
        <is>
          <t>护手</t>
        </is>
      </c>
      <c r="F65" s="6" t="n">
        <v>5</v>
      </c>
      <c r="G65" s="5" t="inlineStr">
        <is>
          <t>防御力 +42</t>
        </is>
      </c>
      <c r="H65" s="7" t="n">
        <v>0</v>
      </c>
      <c r="I65" s="5">
        <f>CHOOSE($H65+1, "力量 +65", "力量 +71", "力量 +78", "力量 +84")</f>
        <v/>
      </c>
      <c r="J65" s="7" t="n">
        <v>0</v>
      </c>
      <c r="K65" s="5">
        <f>CHOOSE($J65+1, "意志 +43", "意志 +47", "意志 +51", "意志 +55")</f>
        <v/>
      </c>
      <c r="L65" s="7" t="n">
        <v>0</v>
      </c>
      <c r="M65" s="5">
        <f>CHOOSE($L65+1, "物理伤害加成 +19.166666666666668%", "物理伤害加成 +21.083333%", "物理伤害加成 +23%", "物理伤害加成 +24.916667%")</f>
        <v/>
      </c>
      <c r="N65" s="5" t="inlineStr">
        <is>
          <t>suit_phy01</t>
        </is>
      </c>
      <c r="O65" s="5" t="inlineStr">
        <is>
          <t>点剑</t>
        </is>
      </c>
      <c r="P65" s="5"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5" s="5" t="inlineStr">
        <is>
          <t>本装备由宏山选剑局设计，使用集成工业系统制造，能够提高使用者的作战能力。选剑局早期向市场推广的产品之一。 “岁末，执剑以南，见山生九首，怒号不止，吉。”</t>
        </is>
      </c>
    </row>
    <row r="66" ht="22" customHeight="1">
      <c r="A66" s="2" t="inlineStr">
        <is>
          <t>item_equip_t4_suit_phy01_hand_02</t>
        </is>
      </c>
      <c r="B66" s="2" t="inlineStr">
        <is>
          <t>点剑战术手甲</t>
        </is>
      </c>
      <c r="C66" s="2" t="inlineStr">
        <is>
          <t>武陵</t>
        </is>
      </c>
      <c r="D66" s="3" t="n">
        <v>70</v>
      </c>
      <c r="E66" s="2" t="inlineStr">
        <is>
          <t>护手</t>
        </is>
      </c>
      <c r="F66" s="3" t="n">
        <v>5</v>
      </c>
      <c r="G66" s="2" t="inlineStr">
        <is>
          <t>防御力 +42</t>
        </is>
      </c>
      <c r="H66" s="4" t="n">
        <v>0</v>
      </c>
      <c r="I66" s="2">
        <f>CHOOSE($H66+1, "敏捷 +65", "敏捷 +71", "敏捷 +78", "敏捷 +84")</f>
        <v/>
      </c>
      <c r="J66" s="4" t="n">
        <v>0</v>
      </c>
      <c r="K66" s="2">
        <f>CHOOSE($J66+1, "力量 +43", "力量 +47", "力量 +51", "力量 +55")</f>
        <v/>
      </c>
      <c r="L66" s="4" t="n">
        <v>0</v>
      </c>
      <c r="M66" s="2">
        <f>CHOOSE($L66+1, "终结技伤害加成 +43.125%", "终结技伤害加成 +47.4375%", "终结技伤害加成 +51.75%", "终结技伤害加成 +56.0625%")</f>
        <v/>
      </c>
      <c r="N66" s="2" t="inlineStr">
        <is>
          <t>suit_phy01</t>
        </is>
      </c>
      <c r="O66" s="2" t="inlineStr">
        <is>
          <t>点剑</t>
        </is>
      </c>
      <c r="P66" s="2"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6" s="2" t="inlineStr">
        <is>
          <t>本装备由宏山选剑局设计，使用集成工业系统制造，能够提高使用者的作战能力。选剑局早期向市场推广的产品之一。 战术手甲的验收流程包括“穿着手甲将宣纸折成二十四层纸花”这一环节。</t>
        </is>
      </c>
    </row>
    <row r="67" ht="22" customHeight="1">
      <c r="A67" s="5" t="inlineStr">
        <is>
          <t>item_equip_t4_suit_phy01_edc_03</t>
        </is>
      </c>
      <c r="B67" s="5" t="inlineStr">
        <is>
          <t>点剑火石</t>
        </is>
      </c>
      <c r="C67" s="5" t="inlineStr">
        <is>
          <t>武陵</t>
        </is>
      </c>
      <c r="D67" s="6" t="n">
        <v>70</v>
      </c>
      <c r="E67" s="5" t="inlineStr">
        <is>
          <t>配件</t>
        </is>
      </c>
      <c r="F67" s="6" t="n">
        <v>5</v>
      </c>
      <c r="G67" s="5" t="inlineStr">
        <is>
          <t>防御力 +21</t>
        </is>
      </c>
      <c r="H67" s="7" t="n">
        <v>0</v>
      </c>
      <c r="I67" s="5">
        <f>CHOOSE($H67+1, "敏捷 +32", "敏捷 +35", "敏捷 +38", "敏捷 +41")</f>
        <v/>
      </c>
      <c r="J67" s="7" t="n">
        <v>0</v>
      </c>
      <c r="K67" s="5">
        <f>CHOOSE($J67+1, "力量 +21", "力量 +23", "力量 +25", "力量 +27")</f>
        <v/>
      </c>
      <c r="L67" s="7" t="n">
        <v>0</v>
      </c>
      <c r="M67" s="5">
        <f>CHOOSE($L67+1, "物理伤害加成 +22.999999999999998%", "物理伤害加成 +25.3%", "物理伤害加成 +27.6%", "物理伤害加成 +29.9%")</f>
        <v/>
      </c>
      <c r="N67" s="5" t="inlineStr">
        <is>
          <t>suit_phy01</t>
        </is>
      </c>
      <c r="O67" s="5" t="inlineStr">
        <is>
          <t>点剑</t>
        </is>
      </c>
      <c r="P67" s="5"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7" s="5" t="inlineStr">
        <is>
          <t>本装备由宏山选剑局设计，使用集成工业系统制造，能够提高使用者的作战能力。选剑局早期向市场推广的产品之一。 火石会以超频方式耗光点剑护甲系统的全部能量，它的光芒只会在生命消逝前夕亮起。</t>
        </is>
      </c>
    </row>
    <row r="68" ht="22" customHeight="1">
      <c r="A68" s="2" t="inlineStr">
        <is>
          <t>item_equip_t4_suit_phy01_edc_01</t>
        </is>
      </c>
      <c r="B68" s="2" t="inlineStr">
        <is>
          <t>点剑定位信标</t>
        </is>
      </c>
      <c r="C68" s="2" t="inlineStr">
        <is>
          <t>武陵</t>
        </is>
      </c>
      <c r="D68" s="3" t="n">
        <v>70</v>
      </c>
      <c r="E68" s="2" t="inlineStr">
        <is>
          <t>配件</t>
        </is>
      </c>
      <c r="F68" s="3" t="n">
        <v>5</v>
      </c>
      <c r="G68" s="2" t="inlineStr">
        <is>
          <t>防御力 +21</t>
        </is>
      </c>
      <c r="H68" s="4" t="n">
        <v>0</v>
      </c>
      <c r="I68" s="2">
        <f>CHOOSE($H68+1, "力量 +41", "力量 +45", "力量 +49", "力量 +53")</f>
        <v/>
      </c>
      <c r="J68" s="4" t="n">
        <v>0</v>
      </c>
      <c r="K68" s="2">
        <f>CHOOSE($J68+1, "源石技艺强度 +41.4", "源石技艺强度 +45.54", "源石技艺强度 +49.68", "源石技艺强度 +53.82")</f>
        <v/>
      </c>
      <c r="L68" s="4" t="n">
        <v>0</v>
      </c>
      <c r="M68" s="2" t="inlineStr">
        <is>
          <t>无</t>
        </is>
      </c>
      <c r="N68" s="2" t="inlineStr">
        <is>
          <t>suit_phy01</t>
        </is>
      </c>
      <c r="O68" s="2" t="inlineStr">
        <is>
          <t>点剑</t>
        </is>
      </c>
      <c r="P68" s="2"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8" s="2" t="inlineStr">
        <is>
          <t>本装备由宏山选剑局设计，使用集成工业系统制造，能够提高使用者的作战能力。选剑局早期向市场推广的产品之一。 绝大部分侵蚀环境极度危险，行差踏错之下，迷途者再难回归——如同昔年武陵的事故。</t>
        </is>
      </c>
    </row>
    <row r="69" ht="22" customHeight="1">
      <c r="A69" s="5" t="inlineStr">
        <is>
          <t>item_equip_t4_suit_phy01_edc_02</t>
        </is>
      </c>
      <c r="B69" s="5" t="inlineStr">
        <is>
          <t>点剑微型滤芯</t>
        </is>
      </c>
      <c r="C69" s="5" t="inlineStr">
        <is>
          <t>武陵</t>
        </is>
      </c>
      <c r="D69" s="6" t="n">
        <v>70</v>
      </c>
      <c r="E69" s="5" t="inlineStr">
        <is>
          <t>配件</t>
        </is>
      </c>
      <c r="F69" s="6" t="n">
        <v>5</v>
      </c>
      <c r="G69" s="5" t="inlineStr">
        <is>
          <t>防御力 +21</t>
        </is>
      </c>
      <c r="H69" s="7" t="n">
        <v>0</v>
      </c>
      <c r="I69" s="5">
        <f>CHOOSE($H69+1, "力量 +32", "力量 +35", "力量 +38", "力量 +41")</f>
        <v/>
      </c>
      <c r="J69" s="7" t="n">
        <v>0</v>
      </c>
      <c r="K69" s="5">
        <f>CHOOSE($J69+1, "意志 +21", "意志 +23", "意志 +25", "意志 +27")</f>
        <v/>
      </c>
      <c r="L69" s="7" t="n">
        <v>0</v>
      </c>
      <c r="M69" s="5">
        <f>CHOOSE($L69+1, "物理伤害加成 +22.999999999999998%", "物理伤害加成 +25.3%", "物理伤害加成 +27.6%", "物理伤害加成 +29.9%")</f>
        <v/>
      </c>
      <c r="N69" s="5" t="inlineStr">
        <is>
          <t>suit_phy01</t>
        </is>
      </c>
      <c r="O69" s="5" t="inlineStr">
        <is>
          <t>点剑</t>
        </is>
      </c>
      <c r="P69" s="5" t="inlineStr">
        <is>
          <r>
            <rPr>
              <rFont val="微软雅黑"/>
              <sz val="10"/>
            </rPr>
            <t>3件套组效果：装备者失衡效率加成</t>
          </r>
          <r>
            <rPr>
              <rFont val="微软雅黑"/>
              <b val="1"/>
              <color rgb="009eb7ff"/>
              <sz val="10"/>
            </rPr>
            <t>+20%</t>
          </r>
          <r>
            <rPr>
              <rFont val="微软雅黑"/>
              <sz val="10"/>
            </rPr>
            <t>。当装备者造成</t>
          </r>
          <r>
            <rPr>
              <rFont val="微软雅黑"/>
              <b val="1"/>
              <color rgb="00e3c19a"/>
              <sz val="10"/>
              <u val="single"/>
            </rPr>
            <t>物理异常</t>
          </r>
          <r>
            <rPr>
              <rFont val="微软雅黑"/>
              <sz val="10"/>
            </rPr>
            <t>后，额外造成一次250%攻击力的物理伤害[</t>
          </r>
          <r>
            <rPr>
              <rFont val="微软雅黑"/>
              <b val="1"/>
              <color rgb="00ffae6b"/>
              <sz val="10"/>
            </rPr>
            <t>10</t>
          </r>
          <r>
            <rPr>
              <rFont val="微软雅黑"/>
              <sz val="10"/>
            </rPr>
            <t>点失衡值]。该效果每15秒最多触发一次。</t>
          </r>
        </is>
      </c>
      <c r="Q69" s="5" t="inlineStr">
        <is>
          <t>本装备由宏山选剑局设计，使用集成工业系统制造，能够提高使用者的作战能力。选剑局早期向市场推广的产品之一。 “侵蚀环境里，一道烟雾都可能是致命的，戴好呼吸防护器！”</t>
        </is>
      </c>
    </row>
    <row r="70" ht="22" customHeight="1">
      <c r="A70" s="2" t="inlineStr">
        <is>
          <t>item_equip_t4_suit_heal01_body_01</t>
        </is>
      </c>
      <c r="B70" s="2" t="inlineStr">
        <is>
          <t>生物辅助重甲</t>
        </is>
      </c>
      <c r="C70" s="2" t="inlineStr">
        <is>
          <t>武陵</t>
        </is>
      </c>
      <c r="D70" s="3" t="n">
        <v>70</v>
      </c>
      <c r="E70" s="2" t="inlineStr">
        <is>
          <t>护甲</t>
        </is>
      </c>
      <c r="F70" s="3" t="n">
        <v>5</v>
      </c>
      <c r="G70" s="2" t="inlineStr">
        <is>
          <t>防御力 +56</t>
        </is>
      </c>
      <c r="H70" s="4" t="n">
        <v>0</v>
      </c>
      <c r="I70" s="2">
        <f>CHOOSE($H70+1, "力量 +87", "力量 +95", "力量 +104", "力量 +113")</f>
        <v/>
      </c>
      <c r="J70" s="4" t="n">
        <v>0</v>
      </c>
      <c r="K70" s="2">
        <f>CHOOSE($J70+1, "意志 +58", "意志 +63", "意志 +69", "意志 +75")</f>
        <v/>
      </c>
      <c r="L70" s="4" t="n">
        <v>0</v>
      </c>
      <c r="M70" s="2">
        <f>CHOOSE($L70+1, "治疗效率加成 +10.35%", "治疗效率加成 +11.385%", "治疗效率加成 +12.42%", "治疗效率加成 +13.455%")</f>
        <v/>
      </c>
      <c r="N70" s="2" t="inlineStr">
        <is>
          <t>suit_heal01</t>
        </is>
      </c>
      <c r="O70" s="2" t="inlineStr">
        <is>
          <t>生物辅助</t>
        </is>
      </c>
      <c r="P70" s="2"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0" s="2" t="inlineStr">
        <is>
          <t>本装备由罗德岛设计，使用集成工业系统制造，能够提高使用者的作战能力。医疗者们爱用装备的加重款。 穿着生物辅助胸甲的作战人员通常会被人戏称为“移动药品库”，他们通常会在护甲各处塞满急救药物。</t>
        </is>
      </c>
    </row>
    <row r="71" ht="22" customHeight="1">
      <c r="A71" s="5" t="inlineStr">
        <is>
          <t>item_equip_t4_suit_heal01_body_02</t>
        </is>
      </c>
      <c r="B71" s="5" t="inlineStr">
        <is>
          <t>生物辅助胸甲</t>
        </is>
      </c>
      <c r="C71" s="5" t="inlineStr">
        <is>
          <t>武陵</t>
        </is>
      </c>
      <c r="D71" s="6" t="n">
        <v>70</v>
      </c>
      <c r="E71" s="5" t="inlineStr">
        <is>
          <t>护甲</t>
        </is>
      </c>
      <c r="F71" s="6" t="n">
        <v>5</v>
      </c>
      <c r="G71" s="5" t="inlineStr">
        <is>
          <t>防御力 +56</t>
        </is>
      </c>
      <c r="H71" s="7" t="n">
        <v>0</v>
      </c>
      <c r="I71" s="5">
        <f>CHOOSE($H71+1, "意志 +87", "意志 +95", "意志 +104", "意志 +113")</f>
        <v/>
      </c>
      <c r="J71" s="7" t="n">
        <v>0</v>
      </c>
      <c r="K71" s="5">
        <f>CHOOSE($J71+1, "智识 +58", "智识 +63", "智识 +69", "智识 +75")</f>
        <v/>
      </c>
      <c r="L71" s="7" t="n">
        <v>0</v>
      </c>
      <c r="M71" s="5">
        <f>CHOOSE($L71+1, "治疗效率加成 +10.35%", "治疗效率加成 +11.385%", "治疗效率加成 +12.42%", "治疗效率加成 +13.455%")</f>
        <v/>
      </c>
      <c r="N71" s="5" t="inlineStr">
        <is>
          <t>suit_heal01</t>
        </is>
      </c>
      <c r="O71" s="5" t="inlineStr">
        <is>
          <t>生物辅助</t>
        </is>
      </c>
      <c r="P71" s="5"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1" s="5" t="inlineStr">
        <is>
          <t>本装备由罗德岛设计，使用集成工业系统制造，能够提高使用者的作战能力。医疗者们爱用的装备。 穿着生物辅助胸甲的作战人员通常会被人戏称为“移动药品库”，他们通常会在护甲各处塞满急救药物。</t>
        </is>
      </c>
    </row>
    <row r="72" ht="22" customHeight="1">
      <c r="A72" s="2" t="inlineStr">
        <is>
          <t>item_equip_t4_suit_heal01_hand_01</t>
        </is>
      </c>
      <c r="B72" s="2" t="inlineStr">
        <is>
          <t>生物辅助臂甲</t>
        </is>
      </c>
      <c r="C72" s="2" t="inlineStr">
        <is>
          <t>武陵</t>
        </is>
      </c>
      <c r="D72" s="3" t="n">
        <v>70</v>
      </c>
      <c r="E72" s="2" t="inlineStr">
        <is>
          <t>护手</t>
        </is>
      </c>
      <c r="F72" s="3" t="n">
        <v>5</v>
      </c>
      <c r="G72" s="2" t="inlineStr">
        <is>
          <t>防御力 +42</t>
        </is>
      </c>
      <c r="H72" s="4" t="n">
        <v>0</v>
      </c>
      <c r="I72" s="2">
        <f>CHOOSE($H72+1, "力量 +65", "力量 +71", "力量 +78", "力量 +84")</f>
        <v/>
      </c>
      <c r="J72" s="4" t="n">
        <v>0</v>
      </c>
      <c r="K72" s="2">
        <f>CHOOSE($J72+1, "意志 +43", "意志 +47", "意志 +51", "意志 +55")</f>
        <v/>
      </c>
      <c r="L72" s="4" t="n">
        <v>0</v>
      </c>
      <c r="M72" s="2">
        <f>CHOOSE($L72+1, "终结技充能效率 +20.535714285714285%", "终结技充能效率 +22.589286%", "终结技充能效率 +24.642856%", "终结技充能效率 +26.69643%")</f>
        <v/>
      </c>
      <c r="N72" s="2" t="inlineStr">
        <is>
          <t>suit_heal01</t>
        </is>
      </c>
      <c r="O72" s="2" t="inlineStr">
        <is>
          <t>生物辅助</t>
        </is>
      </c>
      <c r="P72" s="2"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2" s="2" t="inlineStr">
        <is>
          <t>本装备由罗德岛设计，使用集成工业系统制造，能够提高使用者的作战能力。医疗者们爱用装备的加重款。 罗德岛仍保留着在装备上配置矿石病监测模组的习惯。</t>
        </is>
      </c>
    </row>
    <row r="73" ht="22" customHeight="1">
      <c r="A73" s="5" t="inlineStr">
        <is>
          <t>item_equip_t4_suit_heal01_hand_02</t>
        </is>
      </c>
      <c r="B73" s="5" t="inlineStr">
        <is>
          <t>生物辅助手甲</t>
        </is>
      </c>
      <c r="C73" s="5" t="inlineStr">
        <is>
          <t>武陵</t>
        </is>
      </c>
      <c r="D73" s="6" t="n">
        <v>70</v>
      </c>
      <c r="E73" s="5" t="inlineStr">
        <is>
          <t>护手</t>
        </is>
      </c>
      <c r="F73" s="6" t="n">
        <v>5</v>
      </c>
      <c r="G73" s="5" t="inlineStr">
        <is>
          <t>防御力 +42</t>
        </is>
      </c>
      <c r="H73" s="7" t="n">
        <v>0</v>
      </c>
      <c r="I73" s="5">
        <f>CHOOSE($H73+1, "意志 +65", "意志 +71", "意志 +78", "意志 +84")</f>
        <v/>
      </c>
      <c r="J73" s="7" t="n">
        <v>0</v>
      </c>
      <c r="K73" s="5">
        <f>CHOOSE($J73+1, "力量 +43", "力量 +47", "力量 +51", "力量 +55")</f>
        <v/>
      </c>
      <c r="L73" s="7" t="n">
        <v>0</v>
      </c>
      <c r="M73" s="5">
        <f>CHOOSE($L73+1, "治疗效率加成 +17.25%", "治疗效率加成 +18.975%", "治疗效率加成 +20.7%", "治疗效率加成 +22.425%")</f>
        <v/>
      </c>
      <c r="N73" s="5" t="inlineStr">
        <is>
          <t>suit_heal01</t>
        </is>
      </c>
      <c r="O73" s="5" t="inlineStr">
        <is>
          <t>生物辅助</t>
        </is>
      </c>
      <c r="P73" s="5"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3" s="5" t="inlineStr">
        <is>
          <t>本装备由罗德岛设计，使用集成工业系统制造，能够提高使用者的作战能力。医疗者们爱用的装备。 罗德岛仍保留着在装备上配置矿石病监测模组的习惯。</t>
        </is>
      </c>
    </row>
    <row r="74" ht="22" customHeight="1">
      <c r="A74" s="2" t="inlineStr">
        <is>
          <t>item_equip_t4_suit_heal01_edc_01</t>
        </is>
      </c>
      <c r="B74" s="2" t="inlineStr">
        <is>
          <t>生物辅助接驳器</t>
        </is>
      </c>
      <c r="C74" s="2" t="inlineStr">
        <is>
          <t>武陵</t>
        </is>
      </c>
      <c r="D74" s="3" t="n">
        <v>70</v>
      </c>
      <c r="E74" s="2" t="inlineStr">
        <is>
          <t>配件</t>
        </is>
      </c>
      <c r="F74" s="3" t="n">
        <v>5</v>
      </c>
      <c r="G74" s="2" t="inlineStr">
        <is>
          <t>防御力 +21</t>
        </is>
      </c>
      <c r="H74" s="4" t="n">
        <v>0</v>
      </c>
      <c r="I74" s="2">
        <f>CHOOSE($H74+1, "力量 +32", "力量 +35", "力量 +38", "力量 +41")</f>
        <v/>
      </c>
      <c r="J74" s="4" t="n">
        <v>0</v>
      </c>
      <c r="K74" s="2">
        <f>CHOOSE($J74+1, "意志 +21", "意志 +23", "意志 +25", "意志 +27")</f>
        <v/>
      </c>
      <c r="L74" s="4" t="n">
        <v>0</v>
      </c>
      <c r="M74" s="2">
        <f>CHOOSE($L74+1, "全伤害减免 17.1499585749793%", "全伤害减免 18.546873%", "全伤害减免 19.897467%", "全伤害减免 21.204%")</f>
        <v/>
      </c>
      <c r="N74" s="2" t="inlineStr">
        <is>
          <t>suit_heal01</t>
        </is>
      </c>
      <c r="O74" s="2" t="inlineStr">
        <is>
          <t>生物辅助</t>
        </is>
      </c>
      <c r="P74" s="2"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4" s="2" t="inlineStr">
        <is>
          <t>本装备由罗德岛设计，使用集成工业系统制造，能够提高使用者的作战能力。医疗者们爱用的装备。 罗德岛开发了能够校准数据的接驳单元，以便在紧急状况下接入不同的维生系统，完成急救作业。</t>
        </is>
      </c>
    </row>
    <row r="75" ht="22" customHeight="1">
      <c r="A75" s="5" t="inlineStr">
        <is>
          <t>item_equip_t4_suit_heal01_edc_05</t>
        </is>
      </c>
      <c r="B75" s="5" t="inlineStr">
        <is>
          <t>生物辅助接驳器·壹型</t>
        </is>
      </c>
      <c r="C75" s="5" t="inlineStr">
        <is>
          <t>武陵</t>
        </is>
      </c>
      <c r="D75" s="6" t="n">
        <v>70</v>
      </c>
      <c r="E75" s="5" t="inlineStr">
        <is>
          <t>配件</t>
        </is>
      </c>
      <c r="F75" s="6" t="n">
        <v>5</v>
      </c>
      <c r="G75" s="5" t="inlineStr">
        <is>
          <t>防御力 +21</t>
        </is>
      </c>
      <c r="H75" s="7" t="n">
        <v>0</v>
      </c>
      <c r="I75" s="5">
        <f>CHOOSE($H75+1, "力量 +32", "力量 +35", "力量 +38", "力量 +41")</f>
        <v/>
      </c>
      <c r="J75" s="7" t="n">
        <v>0</v>
      </c>
      <c r="K75" s="5">
        <f>CHOOSE($J75+1, "意志 +21", "意志 +23", "意志 +25", "意志 +27")</f>
        <v/>
      </c>
      <c r="L75" s="7" t="n">
        <v>0</v>
      </c>
      <c r="M75" s="5">
        <f>CHOOSE($L75+1, "生命值 +41.4%", "生命值 +45.54%", "生命值 +49.68%", "生命值 +53.82%")</f>
        <v/>
      </c>
      <c r="N75" s="5" t="inlineStr">
        <is>
          <t>suit_heal01</t>
        </is>
      </c>
      <c r="O75" s="5" t="inlineStr">
        <is>
          <t>生物辅助</t>
        </is>
      </c>
      <c r="P75" s="5"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5" s="5" t="inlineStr">
        <is>
          <t>本装备由罗德岛设计，使用集成工业系统制造，能够提高使用者的作战能力。医疗者们爱用的装备。 罗德岛开发了能够校准数据的接驳单元，以便在紧急状况下接入不同的维生系统，完成急救作业。</t>
        </is>
      </c>
    </row>
    <row r="76" ht="22" customHeight="1">
      <c r="A76" s="2" t="inlineStr">
        <is>
          <t>item_equip_t4_suit_heal01_edc_02</t>
        </is>
      </c>
      <c r="B76" s="2" t="inlineStr">
        <is>
          <t>生物辅助接驳器·贰型</t>
        </is>
      </c>
      <c r="C76" s="2" t="inlineStr">
        <is>
          <t>武陵</t>
        </is>
      </c>
      <c r="D76" s="3" t="n">
        <v>70</v>
      </c>
      <c r="E76" s="2" t="inlineStr">
        <is>
          <t>配件</t>
        </is>
      </c>
      <c r="F76" s="3" t="n">
        <v>5</v>
      </c>
      <c r="G76" s="2" t="inlineStr">
        <is>
          <t>防御力 +21</t>
        </is>
      </c>
      <c r="H76" s="4" t="n">
        <v>0</v>
      </c>
      <c r="I76" s="2">
        <f>CHOOSE($H76+1, "力量 +41", "力量 +45", "力量 +49", "力量 +53")</f>
        <v/>
      </c>
      <c r="J76" s="4" t="n">
        <v>0</v>
      </c>
      <c r="K76" s="2">
        <f>CHOOSE($J76+1, "生命值 +41.4%", "生命值 +45.54%", "生命值 +49.68%", "生命值 +53.82%")</f>
        <v/>
      </c>
      <c r="L76" s="4" t="n">
        <v>0</v>
      </c>
      <c r="M76" s="2" t="inlineStr">
        <is>
          <t>无</t>
        </is>
      </c>
      <c r="N76" s="2" t="inlineStr">
        <is>
          <t>suit_heal01</t>
        </is>
      </c>
      <c r="O76" s="2" t="inlineStr">
        <is>
          <t>生物辅助</t>
        </is>
      </c>
      <c r="P76" s="2"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6" s="2" t="inlineStr">
        <is>
          <t>本装备由罗德岛设计，使用集成工业系统制造，能够提高使用者的作战能力。医疗者们爱用的装备。 罗德岛开发了能够校准数据的接驳单元，以便在紧急状况下接入不同的维生系统，完成急救作业。</t>
        </is>
      </c>
    </row>
    <row r="77" ht="22" customHeight="1">
      <c r="A77" s="5" t="inlineStr">
        <is>
          <t>item_equip_t4_suit_heal01_edc_03</t>
        </is>
      </c>
      <c r="B77" s="5" t="inlineStr">
        <is>
          <t>生物辅助护板</t>
        </is>
      </c>
      <c r="C77" s="5" t="inlineStr">
        <is>
          <t>武陵</t>
        </is>
      </c>
      <c r="D77" s="6" t="n">
        <v>70</v>
      </c>
      <c r="E77" s="5" t="inlineStr">
        <is>
          <t>配件</t>
        </is>
      </c>
      <c r="F77" s="6" t="n">
        <v>5</v>
      </c>
      <c r="G77" s="5" t="inlineStr">
        <is>
          <t>防御力 +21</t>
        </is>
      </c>
      <c r="H77" s="7" t="n">
        <v>0</v>
      </c>
      <c r="I77" s="5">
        <f>CHOOSE($H77+1, "意志 +32", "意志 +35", "意志 +38", "意志 +41")</f>
        <v/>
      </c>
      <c r="J77" s="7" t="n">
        <v>0</v>
      </c>
      <c r="K77" s="5">
        <f>CHOOSE($J77+1, "智识 +21", "智识 +23", "智识 +25", "智识 +27")</f>
        <v/>
      </c>
      <c r="L77" s="7" t="n">
        <v>0</v>
      </c>
      <c r="M77" s="5">
        <f>CHOOSE($L77+1, "主能力 +20.70178350109774%", "主能力 +22.771962%", "主能力 +24.84214%", "主能力 +26.91232%")</f>
        <v/>
      </c>
      <c r="N77" s="5" t="inlineStr">
        <is>
          <t>suit_heal01</t>
        </is>
      </c>
      <c r="O77" s="5" t="inlineStr">
        <is>
          <t>生物辅助</t>
        </is>
      </c>
      <c r="P77" s="5"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7" s="5" t="inlineStr">
        <is>
          <t>本装备由罗德岛设计，使用集成工业系统制造，能够提高使用者的作战能力。医疗者们爱用的装备。 侵蚀造成的伤害有时并不明显，因此装甲板上也需配置灵活敏锐的探测单元。</t>
        </is>
      </c>
    </row>
    <row r="78" ht="22" customHeight="1">
      <c r="A78" s="2" t="inlineStr">
        <is>
          <t>item_equip_t4_suit_heal01_edc_04</t>
        </is>
      </c>
      <c r="B78" s="2" t="inlineStr">
        <is>
          <t>生物辅助护盾针</t>
        </is>
      </c>
      <c r="C78" s="2" t="inlineStr">
        <is>
          <t>武陵</t>
        </is>
      </c>
      <c r="D78" s="3" t="n">
        <v>70</v>
      </c>
      <c r="E78" s="2" t="inlineStr">
        <is>
          <t>配件</t>
        </is>
      </c>
      <c r="F78" s="3" t="n">
        <v>5</v>
      </c>
      <c r="G78" s="2" t="inlineStr">
        <is>
          <t>防御力 +21</t>
        </is>
      </c>
      <c r="H78" s="4" t="n">
        <v>0</v>
      </c>
      <c r="I78" s="2">
        <f>CHOOSE($H78+1, "意志 +41", "意志 +45", "意志 +49", "意志 +53")</f>
        <v/>
      </c>
      <c r="J78" s="4" t="n">
        <v>0</v>
      </c>
      <c r="K78" s="2">
        <f>CHOOSE($J78+1, "治疗效率加成 +20.7%", "治疗效率加成 +22.77%", "治疗效率加成 +24.84%", "治疗效率加成 +26.91%")</f>
        <v/>
      </c>
      <c r="L78" s="4" t="n">
        <v>0</v>
      </c>
      <c r="M78" s="2" t="inlineStr">
        <is>
          <t>无</t>
        </is>
      </c>
      <c r="N78" s="2" t="inlineStr">
        <is>
          <t>suit_heal01</t>
        </is>
      </c>
      <c r="O78" s="2" t="inlineStr">
        <is>
          <t>生物辅助</t>
        </is>
      </c>
      <c r="P78" s="2" t="inlineStr">
        <is>
          <r>
            <rPr>
              <rFont val="微软雅黑"/>
              <sz val="10"/>
            </rPr>
            <t>3件套组效果：装备者治疗效率</t>
          </r>
          <r>
            <rPr>
              <rFont val="微软雅黑"/>
              <b val="1"/>
              <color rgb="009eb7ff"/>
              <sz val="10"/>
            </rPr>
            <t>+20%</t>
          </r>
          <r>
            <rPr>
              <rFont val="微软雅黑"/>
              <sz val="10"/>
            </rPr>
            <t>。当装备者治疗我方目标后，使该目标在10秒内受到的所有类型伤害</t>
          </r>
          <r>
            <rPr>
              <rFont val="微软雅黑"/>
              <b val="1"/>
              <color rgb="009eb7ff"/>
              <sz val="10"/>
            </rPr>
            <t>-15%</t>
          </r>
          <r>
            <rPr>
              <rFont val="微软雅黑"/>
              <sz val="10"/>
            </rPr>
            <t>；如果该目标受到的治疗量溢出，则受到的所有类型伤害</t>
          </r>
          <r>
            <rPr>
              <rFont val="微软雅黑"/>
              <b val="1"/>
              <color rgb="009eb7ff"/>
              <sz val="10"/>
            </rPr>
            <t>-30%</t>
          </r>
          <r>
            <rPr>
              <rFont val="微软雅黑"/>
              <sz val="10"/>
            </rPr>
            <t>。上述效果无法叠加。</t>
          </r>
        </is>
      </c>
      <c r="Q78" s="2" t="inlineStr">
        <is>
          <t>本装备由罗德岛设计，使用集成工业系统制造，能够提高使用者的作战能力。医疗者们爱用的装备。 除去填补护盾裂口这一作用，在紧急状况下，生物辅助护盾针也可以被用来封闭伤口。</t>
        </is>
      </c>
    </row>
    <row r="79" ht="22" customHeight="1">
      <c r="A79" s="5" t="inlineStr">
        <is>
          <t>item_equip_t4_suit_poise01_body_01</t>
        </is>
      </c>
      <c r="B79" s="5" t="inlineStr">
        <is>
          <t>轻超域护板</t>
        </is>
      </c>
      <c r="C79" s="5" t="inlineStr">
        <is>
          <t>武陵</t>
        </is>
      </c>
      <c r="D79" s="6" t="n">
        <v>70</v>
      </c>
      <c r="E79" s="5" t="inlineStr">
        <is>
          <t>护甲</t>
        </is>
      </c>
      <c r="F79" s="6" t="n">
        <v>5</v>
      </c>
      <c r="G79" s="5" t="inlineStr">
        <is>
          <t>防御力 +56</t>
        </is>
      </c>
      <c r="H79" s="7" t="n">
        <v>0</v>
      </c>
      <c r="I79" s="5">
        <f>CHOOSE($H79+1, "力量 +87", "力量 +95", "力量 +104", "力量 +113")</f>
        <v/>
      </c>
      <c r="J79" s="7" t="n">
        <v>0</v>
      </c>
      <c r="K79" s="5">
        <f>CHOOSE($J79+1, "意志 +58", "意志 +63", "意志 +69", "意志 +75")</f>
        <v/>
      </c>
      <c r="L79" s="7" t="n">
        <v>0</v>
      </c>
      <c r="M79" s="5">
        <f>CHOOSE($L79+1, "对失衡目标伤害加成 +20.7%", "对失衡目标伤害加成 +22.77%", "对失衡目标伤害加成 +24.84%", "对失衡目标伤害加成 +26.91%")</f>
        <v/>
      </c>
      <c r="N79" s="5" t="inlineStr">
        <is>
          <t>suit_poise01</t>
        </is>
      </c>
      <c r="O79" s="5" t="inlineStr">
        <is>
          <t>轻超域</t>
        </is>
      </c>
      <c r="P79" s="5"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79" s="5" t="inlineStr">
        <is>
          <t>本装备由轻超域技术实验室设计，使用集成工业系统制造，能够提高使用者的作战能力。轻巧的实验型防护装备。 “宏山人会以羽毛比喻重量之轻，本实验室的反重力系列产品距此标准仅有一步之遥。”</t>
        </is>
      </c>
    </row>
    <row r="80" ht="22" customHeight="1">
      <c r="A80" s="2" t="inlineStr">
        <is>
          <t>item_equip_t4_suit_poise01_hand_01</t>
        </is>
      </c>
      <c r="B80" s="2" t="inlineStr">
        <is>
          <t>轻超域护手</t>
        </is>
      </c>
      <c r="C80" s="2" t="inlineStr">
        <is>
          <t>武陵</t>
        </is>
      </c>
      <c r="D80" s="3" t="n">
        <v>70</v>
      </c>
      <c r="E80" s="2" t="inlineStr">
        <is>
          <t>护手</t>
        </is>
      </c>
      <c r="F80" s="3" t="n">
        <v>5</v>
      </c>
      <c r="G80" s="2" t="inlineStr">
        <is>
          <t>防御力 +42</t>
        </is>
      </c>
      <c r="H80" s="4" t="n">
        <v>0</v>
      </c>
      <c r="I80" s="2">
        <f>CHOOSE($H80+1, "敏捷 +65", "敏捷 +71", "敏捷 +78", "敏捷 +84")</f>
        <v/>
      </c>
      <c r="J80" s="4" t="n">
        <v>0</v>
      </c>
      <c r="K80" s="2">
        <f>CHOOSE($J80+1, "力量 +43", "力量 +47", "力量 +51", "力量 +55")</f>
        <v/>
      </c>
      <c r="L80" s="4" t="n">
        <v>0</v>
      </c>
      <c r="M80" s="2">
        <f>CHOOSE($L80+1, "源石技艺强度 +34.5", "源石技艺强度 +37.95", "源石技艺强度 +41.4", "源石技艺强度 +44.85")</f>
        <v/>
      </c>
      <c r="N80" s="2" t="inlineStr">
        <is>
          <t>suit_poise01</t>
        </is>
      </c>
      <c r="O80" s="2" t="inlineStr">
        <is>
          <t>轻超域</t>
        </is>
      </c>
      <c r="P80" s="2"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80" s="2" t="inlineStr">
        <is>
          <t>本装备由轻超域技术实验室设计，使用集成工业系统制造，能够提高使用者的作战能力。轻巧的实验型防护装备。 “请在佩戴本实验室产品时额外装配内衬装备，若您出现幻听、幻视等症状，请卸下本实验室产品并及时进食。”</t>
        </is>
      </c>
    </row>
    <row r="81" ht="22" customHeight="1">
      <c r="A81" s="5" t="inlineStr">
        <is>
          <t>item_equip_t4_suit_poise01_hand_02</t>
        </is>
      </c>
      <c r="B81" s="5" t="inlineStr">
        <is>
          <t>轻超域轻护手</t>
        </is>
      </c>
      <c r="C81" s="5" t="inlineStr">
        <is>
          <t>武陵</t>
        </is>
      </c>
      <c r="D81" s="6" t="n">
        <v>70</v>
      </c>
      <c r="E81" s="5" t="inlineStr">
        <is>
          <t>护手</t>
        </is>
      </c>
      <c r="F81" s="6" t="n">
        <v>5</v>
      </c>
      <c r="G81" s="5" t="inlineStr">
        <is>
          <t>防御力 +42</t>
        </is>
      </c>
      <c r="H81" s="7" t="n">
        <v>0</v>
      </c>
      <c r="I81" s="5">
        <f>CHOOSE($H81+1, "意志 +65", "意志 +71", "意志 +78", "意志 +84")</f>
        <v/>
      </c>
      <c r="J81" s="7" t="n">
        <v>0</v>
      </c>
      <c r="K81" s="5">
        <f>CHOOSE($J81+1, "敏捷 +43", "敏捷 +47", "敏捷 +51", "敏捷 +55")</f>
        <v/>
      </c>
      <c r="L81" s="7" t="n">
        <v>0</v>
      </c>
      <c r="M81" s="5">
        <f>CHOOSE($L81+1, "所有技能伤害加成 +23%", "所有技能伤害加成 +25.3%", "所有技能伤害加成 +27.6%", "所有技能伤害加成 +29.9%")</f>
        <v/>
      </c>
      <c r="N81" s="5" t="inlineStr">
        <is>
          <t>suit_poise01</t>
        </is>
      </c>
      <c r="O81" s="5" t="inlineStr">
        <is>
          <t>轻超域</t>
        </is>
      </c>
      <c r="P81" s="5"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81" s="5" t="inlineStr">
        <is>
          <t>本装备由轻超域技术实验室设计，使用集成工业系统制造，能够提高使用者的作战能力。轻巧的实验型防护装备。 “请在佩戴本实验室产品时额外装配内衬装备，若您出现幻听、幻视等症状，请卸下本实验室产品并及时进食。”</t>
        </is>
      </c>
    </row>
    <row r="82" ht="22" customHeight="1">
      <c r="A82" s="2" t="inlineStr">
        <is>
          <t>item_equip_t4_suit_poise01_edc_01</t>
        </is>
      </c>
      <c r="B82" s="2" t="inlineStr">
        <is>
          <t>轻超域分析环</t>
        </is>
      </c>
      <c r="C82" s="2" t="inlineStr">
        <is>
          <t>武陵</t>
        </is>
      </c>
      <c r="D82" s="3" t="n">
        <v>70</v>
      </c>
      <c r="E82" s="2" t="inlineStr">
        <is>
          <t>配件</t>
        </is>
      </c>
      <c r="F82" s="3" t="n">
        <v>5</v>
      </c>
      <c r="G82" s="2" t="inlineStr">
        <is>
          <t>防御力 +21</t>
        </is>
      </c>
      <c r="H82" s="4" t="n">
        <v>0</v>
      </c>
      <c r="I82" s="2">
        <f>CHOOSE($H82+1, "力量 +32", "力量 +35", "力量 +38", "力量 +41")</f>
        <v/>
      </c>
      <c r="J82" s="4" t="n">
        <v>0</v>
      </c>
      <c r="K82" s="2">
        <f>CHOOSE($J82+1, "意志 +21", "意志 +23", "意志 +25", "意志 +27")</f>
        <v/>
      </c>
      <c r="L82" s="4" t="n">
        <v>0</v>
      </c>
      <c r="M82" s="2">
        <f>CHOOSE($L82+1, "物理伤害加成 +22.999999999999998%", "物理伤害加成 +25.3%", "物理伤害加成 +27.6%", "物理伤害加成 +29.9%")</f>
        <v/>
      </c>
      <c r="N82" s="2" t="inlineStr">
        <is>
          <t>suit_poise01</t>
        </is>
      </c>
      <c r="O82" s="2" t="inlineStr">
        <is>
          <t>轻超域</t>
        </is>
      </c>
      <c r="P82" s="2"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82" s="2" t="inlineStr">
        <is>
          <t>本装备由轻超域技术实验室设计，使用集成工业系统制造，能够提高使用者的作战能力。轻巧的实验型防护装备。 “本实验室正在潜心研究侵蚀扩散痕迹的数据化分析方法，欢迎报名参与产品试用。”</t>
        </is>
      </c>
    </row>
    <row r="83" ht="22" customHeight="1">
      <c r="A83" s="5" t="inlineStr">
        <is>
          <t>item_equip_t4_suit_poise01_edc_02</t>
        </is>
      </c>
      <c r="B83" s="5" t="inlineStr">
        <is>
          <t>轻超域稳定盘</t>
        </is>
      </c>
      <c r="C83" s="5" t="inlineStr">
        <is>
          <t>武陵</t>
        </is>
      </c>
      <c r="D83" s="6" t="n">
        <v>70</v>
      </c>
      <c r="E83" s="5" t="inlineStr">
        <is>
          <t>配件</t>
        </is>
      </c>
      <c r="F83" s="6" t="n">
        <v>5</v>
      </c>
      <c r="G83" s="5" t="inlineStr">
        <is>
          <t>防御力 +21</t>
        </is>
      </c>
      <c r="H83" s="7" t="n">
        <v>0</v>
      </c>
      <c r="I83" s="5">
        <f>CHOOSE($H83+1, "敏捷 +32", "敏捷 +35", "敏捷 +38", "敏捷 +41")</f>
        <v/>
      </c>
      <c r="J83" s="7" t="n">
        <v>0</v>
      </c>
      <c r="K83" s="5">
        <f>CHOOSE($J83+1, "力量 +21", "力量 +23", "力量 +25", "力量 +27")</f>
        <v/>
      </c>
      <c r="L83" s="7" t="n">
        <v>0</v>
      </c>
      <c r="M83" s="5">
        <f>CHOOSE($L83+1, "源石技艺强度 +41.4", "源石技艺强度 +45.54", "源石技艺强度 +49.68", "源石技艺强度 +53.82")</f>
        <v/>
      </c>
      <c r="N83" s="5" t="inlineStr">
        <is>
          <t>suit_poise01</t>
        </is>
      </c>
      <c r="O83" s="5" t="inlineStr">
        <is>
          <t>轻超域</t>
        </is>
      </c>
      <c r="P83" s="5"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83" s="5" t="inlineStr">
        <is>
          <t>本装备由轻超域技术实验室设计，使用集成工业系统制造，能够提高使用者的作战能力。轻巧的实验型防护装备。 “为了避免参数混乱导致您像气球一样飘向高空，请随身携带配套稳定盘，谢谢。”</t>
        </is>
      </c>
    </row>
    <row r="84" ht="22" customHeight="1">
      <c r="A84" s="2" t="inlineStr">
        <is>
          <t>item_equip_t4_suit_poise01_edc_03</t>
        </is>
      </c>
      <c r="B84" s="2" t="inlineStr">
        <is>
          <t>轻超域稳定盘·壹型</t>
        </is>
      </c>
      <c r="C84" s="2" t="inlineStr">
        <is>
          <t>武陵</t>
        </is>
      </c>
      <c r="D84" s="3" t="n">
        <v>70</v>
      </c>
      <c r="E84" s="2" t="inlineStr">
        <is>
          <t>配件</t>
        </is>
      </c>
      <c r="F84" s="3" t="n">
        <v>5</v>
      </c>
      <c r="G84" s="2" t="inlineStr">
        <is>
          <t>防御力 +21</t>
        </is>
      </c>
      <c r="H84" s="4" t="n">
        <v>0</v>
      </c>
      <c r="I84" s="2">
        <f>CHOOSE($H84+1, "敏捷 +32", "敏捷 +35", "敏捷 +38", "敏捷 +41")</f>
        <v/>
      </c>
      <c r="J84" s="4" t="n">
        <v>0</v>
      </c>
      <c r="K84" s="2">
        <f>CHOOSE($J84+1, "力量 +21", "力量 +23", "力量 +25", "力量 +27")</f>
        <v/>
      </c>
      <c r="L84" s="4" t="n">
        <v>0</v>
      </c>
      <c r="M84" s="2">
        <f>CHOOSE($L84+1, "物理伤害加成 +22.999999999999998%", "物理伤害加成 +25.3%", "物理伤害加成 +27.6%", "物理伤害加成 +29.9%")</f>
        <v/>
      </c>
      <c r="N84" s="2" t="inlineStr">
        <is>
          <t>suit_poise01</t>
        </is>
      </c>
      <c r="O84" s="2" t="inlineStr">
        <is>
          <t>轻超域</t>
        </is>
      </c>
      <c r="P84" s="2"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84" s="2" t="inlineStr">
        <is>
          <t>本装备由轻超域技术实验室设计，使用集成工业系统制造，能够提高使用者的作战能力。轻巧的实验型防护装备。 “为了避免参数混乱导致您像气球一样飘向高空，请随身携带配套稳定盘，谢谢。”</t>
        </is>
      </c>
    </row>
    <row r="85" ht="22" customHeight="1">
      <c r="A85" s="5" t="inlineStr">
        <is>
          <t>item_equip_t4_suit_poise01_edc_04</t>
        </is>
      </c>
      <c r="B85" s="5" t="inlineStr">
        <is>
          <t>轻超域腕表</t>
        </is>
      </c>
      <c r="C85" s="5" t="inlineStr">
        <is>
          <t>武陵</t>
        </is>
      </c>
      <c r="D85" s="6" t="n">
        <v>70</v>
      </c>
      <c r="E85" s="5" t="inlineStr">
        <is>
          <t>配件</t>
        </is>
      </c>
      <c r="F85" s="6" t="n">
        <v>5</v>
      </c>
      <c r="G85" s="5" t="inlineStr">
        <is>
          <t>防御力 +21</t>
        </is>
      </c>
      <c r="H85" s="7" t="n">
        <v>0</v>
      </c>
      <c r="I85" s="5">
        <f>CHOOSE($H85+1, "力量 +32", "力量 +35", "力量 +38", "力量 +41")</f>
        <v/>
      </c>
      <c r="J85" s="7" t="n">
        <v>0</v>
      </c>
      <c r="K85" s="5">
        <f>CHOOSE($J85+1, "敏捷 +21", "敏捷 +23", "敏捷 +25", "敏捷 +27")</f>
        <v/>
      </c>
      <c r="L85" s="7" t="n">
        <v>0</v>
      </c>
      <c r="M85" s="5">
        <f>CHOOSE($L85+1, "战技伤害加成 +41.4%", "战技伤害加成 +45.54%", "战技伤害加成 +49.68%", "战技伤害加成 +53.82%")</f>
        <v/>
      </c>
      <c r="N85" s="5" t="inlineStr">
        <is>
          <t>suit_poise01</t>
        </is>
      </c>
      <c r="O85" s="5" t="inlineStr">
        <is>
          <t>轻超域</t>
        </is>
      </c>
      <c r="P85" s="5" t="inlineStr">
        <is>
          <r>
            <rPr>
              <rFont val="微软雅黑"/>
              <sz val="10"/>
            </rPr>
            <t>3件套组效果：装备者攻击力</t>
          </r>
          <r>
            <rPr>
              <rFont val="微软雅黑"/>
              <b val="1"/>
              <color rgb="009eb7ff"/>
              <sz val="10"/>
            </rPr>
            <t>+8%</t>
          </r>
          <r>
            <rPr>
              <rFont val="微软雅黑"/>
              <sz val="10"/>
            </rPr>
            <t>。装备者施加</t>
          </r>
          <r>
            <rPr>
              <rFont val="微软雅黑"/>
              <b val="1"/>
              <color rgb="00e3c19a"/>
              <sz val="10"/>
              <u val="single"/>
            </rPr>
            <t>破防</t>
          </r>
          <r>
            <rPr>
              <rFont val="微软雅黑"/>
              <sz val="10"/>
            </rPr>
            <t>后，</t>
          </r>
          <r>
            <rPr>
              <rFont val="微软雅黑"/>
              <b val="1"/>
              <color rgb="00e3c19a"/>
              <sz val="10"/>
            </rPr>
            <t>物理伤害</t>
          </r>
          <r>
            <rPr>
              <rFont val="微软雅黑"/>
              <b val="1"/>
              <color rgb="009eb7ff"/>
              <sz val="10"/>
            </rPr>
            <t>+8%</t>
          </r>
          <r>
            <rPr>
              <rFont val="微软雅黑"/>
              <sz val="10"/>
            </rPr>
            <t>，持续15秒，最多可叠加4层。若使目标达到4层</t>
          </r>
          <r>
            <rPr>
              <rFont val="微软雅黑"/>
              <b val="1"/>
              <color rgb="00e3c19a"/>
              <sz val="10"/>
              <u val="single"/>
            </rPr>
            <t>破防</t>
          </r>
          <r>
            <rPr>
              <rFont val="微软雅黑"/>
              <sz val="10"/>
            </rPr>
            <t>，物理伤害额外</t>
          </r>
          <r>
            <rPr>
              <rFont val="微软雅黑"/>
              <b val="1"/>
              <color rgb="009eb7ff"/>
              <sz val="10"/>
            </rPr>
            <t>+16%</t>
          </r>
          <r>
            <rPr>
              <rFont val="微软雅黑"/>
              <sz val="10"/>
            </rPr>
            <t>，持续10秒，该效果无法叠加。</t>
          </r>
        </is>
      </c>
      <c r="Q85" s="5" t="inlineStr">
        <is>
          <t>本装备由轻超域技术实验室设计，使用集成工业系统制造，能够提高使用者的作战能力。轻巧的实验型防护装备。 “部分消费者质疑本实验室产品会导致使用者的血液在一定程度上发生异变，这完全是无稽之谈。”</t>
        </is>
      </c>
    </row>
    <row r="86" ht="22" customHeight="1">
      <c r="A86" s="2" t="inlineStr">
        <is>
          <t>item_equip_t4_suit_attri01_body_01</t>
        </is>
      </c>
      <c r="B86" s="2" t="inlineStr">
        <is>
          <t>碾骨重护甲</t>
        </is>
      </c>
      <c r="C86" s="2" t="inlineStr">
        <is>
          <t>武陵</t>
        </is>
      </c>
      <c r="D86" s="3" t="n">
        <v>70</v>
      </c>
      <c r="E86" s="2" t="inlineStr">
        <is>
          <t>护甲</t>
        </is>
      </c>
      <c r="F86" s="3" t="n">
        <v>5</v>
      </c>
      <c r="G86" s="2" t="inlineStr">
        <is>
          <t>防御力 +56</t>
        </is>
      </c>
      <c r="H86" s="4" t="n">
        <v>0</v>
      </c>
      <c r="I86" s="2">
        <f>CHOOSE($H86+1, "敏捷 +87", "敏捷 +95", "敏捷 +104", "敏捷 +113")</f>
        <v/>
      </c>
      <c r="J86" s="4" t="n">
        <v>0</v>
      </c>
      <c r="K86" s="2">
        <f>CHOOSE($J86+1, "智识 +58", "智识 +63", "智识 +69", "智识 +75")</f>
        <v/>
      </c>
      <c r="L86" s="4" t="n">
        <v>0</v>
      </c>
      <c r="M86" s="2">
        <f>CHOOSE($L86+1, "终结技充能效率 +12.32142857142857%", "终结技充能效率 +13.553572%", "终结技充能效率 +14.785714%", "终结技充能效率 +16.017857%")</f>
        <v/>
      </c>
      <c r="N86" s="2" t="inlineStr">
        <is>
          <t>suit_attri01</t>
        </is>
      </c>
      <c r="O86" s="2" t="inlineStr">
        <is>
          <t>碾骨</t>
        </is>
      </c>
      <c r="P86" s="2"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86" s="2" t="inlineStr">
        <is>
          <t>本装备由终末地工业参考荒野手工艺品设计，使用集成工业系统制造，能够提高使用者的作战能力。设计灵感来自于碾骨氏族的装备。 厚重护甲不单单具有防护能力，在荒地行人眼中，它也代表着一种冷酷残忍的行事风格。</t>
        </is>
      </c>
    </row>
    <row r="87" ht="22" customHeight="1">
      <c r="A87" s="5" t="inlineStr">
        <is>
          <t>item_equip_t4_suit_attri01_body_02</t>
        </is>
      </c>
      <c r="B87" s="5" t="inlineStr">
        <is>
          <t>碾骨重护甲·壹型</t>
        </is>
      </c>
      <c r="C87" s="5" t="inlineStr">
        <is>
          <t>武陵</t>
        </is>
      </c>
      <c r="D87" s="6" t="n">
        <v>70</v>
      </c>
      <c r="E87" s="5" t="inlineStr">
        <is>
          <t>护甲</t>
        </is>
      </c>
      <c r="F87" s="6" t="n">
        <v>5</v>
      </c>
      <c r="G87" s="5" t="inlineStr">
        <is>
          <t>防御力 +56</t>
        </is>
      </c>
      <c r="H87" s="7" t="n">
        <v>0</v>
      </c>
      <c r="I87" s="5">
        <f>CHOOSE($H87+1, "敏捷 +87", "敏捷 +95", "敏捷 +104", "敏捷 +113")</f>
        <v/>
      </c>
      <c r="J87" s="7" t="n">
        <v>0</v>
      </c>
      <c r="K87" s="5">
        <f>CHOOSE($J87+1, "力量 +58", "力量 +63", "力量 +69", "力量 +75")</f>
        <v/>
      </c>
      <c r="L87" s="7" t="n">
        <v>0</v>
      </c>
      <c r="M87" s="5">
        <f>CHOOSE($L87+1, "连携技伤害加成 +20.7%", "连携技伤害加成 +22.77%", "连携技伤害加成 +24.84%", "连携技伤害加成 +26.91%")</f>
        <v/>
      </c>
      <c r="N87" s="5" t="inlineStr">
        <is>
          <t>suit_attri01</t>
        </is>
      </c>
      <c r="O87" s="5" t="inlineStr">
        <is>
          <t>碾骨</t>
        </is>
      </c>
      <c r="P87" s="5"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87" s="5" t="inlineStr">
        <is>
          <t>本装备由终末地工业参考荒野手工艺品设计，使用集成工业系统制造，能够提高使用者的作战能力。设计灵感来自于碾骨氏族的装备。 厚重护甲不单单具有防护能力，在荒地行人眼中，它也代表着一种冷酷残忍的行事风格。</t>
        </is>
      </c>
    </row>
    <row r="88" ht="22" customHeight="1">
      <c r="A88" s="2" t="inlineStr">
        <is>
          <t>item_equip_t4_suit_attri01_body_05</t>
        </is>
      </c>
      <c r="B88" s="2" t="inlineStr">
        <is>
          <t>碾骨重护甲·贰型</t>
        </is>
      </c>
      <c r="C88" s="2" t="inlineStr">
        <is>
          <t>武陵</t>
        </is>
      </c>
      <c r="D88" s="3" t="n">
        <v>70</v>
      </c>
      <c r="E88" s="2" t="inlineStr">
        <is>
          <t>护甲</t>
        </is>
      </c>
      <c r="F88" s="3" t="n">
        <v>5</v>
      </c>
      <c r="G88" s="2" t="inlineStr">
        <is>
          <t>防御力 +56</t>
        </is>
      </c>
      <c r="H88" s="4" t="n">
        <v>0</v>
      </c>
      <c r="I88" s="2">
        <f>CHOOSE($H88+1, "敏捷 +87", "敏捷 +95", "敏捷 +104", "敏捷 +113")</f>
        <v/>
      </c>
      <c r="J88" s="4" t="n">
        <v>0</v>
      </c>
      <c r="K88" s="2">
        <f>CHOOSE($J88+1, "力量 +58", "力量 +63", "力量 +69", "力量 +75")</f>
        <v/>
      </c>
      <c r="L88" s="4" t="n">
        <v>0</v>
      </c>
      <c r="M88" s="2">
        <f>CHOOSE($L88+1, "寒冷和电磁伤害加成 +11.499999999999999%", "寒冷和电磁伤害加成 +12.65%", "寒冷和电磁伤害加成 +13.8%", "寒冷和电磁伤害加成 +14.95%")</f>
        <v/>
      </c>
      <c r="N88" s="2" t="inlineStr">
        <is>
          <t>suit_attri01</t>
        </is>
      </c>
      <c r="O88" s="2" t="inlineStr">
        <is>
          <t>碾骨</t>
        </is>
      </c>
      <c r="P88" s="2"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88" s="2" t="inlineStr">
        <is>
          <t>本装备由终末地工业参考荒野手工艺品设计，使用集成工业系统制造，能够提高使用者的作战能力。 设计灵感来自于碾骨氏族的装备。 厚重护甲不单单具有防护能力，在荒地行人眼中，它也代表着一种冷酷残忍的行事风格。</t>
        </is>
      </c>
    </row>
    <row r="89" ht="22" customHeight="1">
      <c r="A89" s="5" t="inlineStr">
        <is>
          <t>item_equip_t4_suit_attri01_body_03</t>
        </is>
      </c>
      <c r="B89" s="5" t="inlineStr">
        <is>
          <t>碾骨披巾</t>
        </is>
      </c>
      <c r="C89" s="5" t="inlineStr">
        <is>
          <t>武陵</t>
        </is>
      </c>
      <c r="D89" s="6" t="n">
        <v>70</v>
      </c>
      <c r="E89" s="5" t="inlineStr">
        <is>
          <t>护甲</t>
        </is>
      </c>
      <c r="F89" s="6" t="n">
        <v>5</v>
      </c>
      <c r="G89" s="5" t="inlineStr">
        <is>
          <t>防御力 +56</t>
        </is>
      </c>
      <c r="H89" s="7" t="n">
        <v>0</v>
      </c>
      <c r="I89" s="5">
        <f>CHOOSE($H89+1, "意志 +87", "意志 +95", "意志 +104", "意志 +113")</f>
        <v/>
      </c>
      <c r="J89" s="7" t="n">
        <v>0</v>
      </c>
      <c r="K89" s="5">
        <f>CHOOSE($J89+1, "力量 +58", "力量 +63", "力量 +69", "力量 +75")</f>
        <v/>
      </c>
      <c r="L89" s="7" t="n">
        <v>0</v>
      </c>
      <c r="M89" s="5">
        <f>CHOOSE($L89+1, "连携技伤害加成 +20.7%", "连携技伤害加成 +22.77%", "连携技伤害加成 +24.84%", "连携技伤害加成 +26.91%")</f>
        <v/>
      </c>
      <c r="N89" s="5" t="inlineStr">
        <is>
          <t>suit_attri01</t>
        </is>
      </c>
      <c r="O89" s="5" t="inlineStr">
        <is>
          <t>碾骨</t>
        </is>
      </c>
      <c r="P89" s="5"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89" s="5" t="inlineStr">
        <is>
          <t>本装备由终末地工业参考荒野手工艺品设计，使用集成工业系统制造，能够提高使用者的作战能力。设计灵感来自于碾骨氏族的装备。 实际上，披巾并不具备什么防护性能，它通常会作为身份标识，就像是某种旗帜的变形。</t>
        </is>
      </c>
    </row>
    <row r="90" ht="22" customHeight="1">
      <c r="A90" s="2" t="inlineStr">
        <is>
          <t>item_equip_t4_suit_attri01_body_04</t>
        </is>
      </c>
      <c r="B90" s="2" t="inlineStr">
        <is>
          <t>碾骨披巾·壹型</t>
        </is>
      </c>
      <c r="C90" s="2" t="inlineStr">
        <is>
          <t>武陵</t>
        </is>
      </c>
      <c r="D90" s="3" t="n">
        <v>70</v>
      </c>
      <c r="E90" s="2" t="inlineStr">
        <is>
          <t>护甲</t>
        </is>
      </c>
      <c r="F90" s="3" t="n">
        <v>5</v>
      </c>
      <c r="G90" s="2" t="inlineStr">
        <is>
          <t>防御力 +56</t>
        </is>
      </c>
      <c r="H90" s="4" t="n">
        <v>0</v>
      </c>
      <c r="I90" s="2">
        <f>CHOOSE($H90+1, "意志 +87", "意志 +95", "意志 +104", "意志 +113")</f>
        <v/>
      </c>
      <c r="J90" s="4" t="n">
        <v>0</v>
      </c>
      <c r="K90" s="2">
        <f>CHOOSE($J90+1, "敏捷 +58", "敏捷 +63", "敏捷 +69", "敏捷 +75")</f>
        <v/>
      </c>
      <c r="L90" s="4" t="n">
        <v>0</v>
      </c>
      <c r="M90" s="2">
        <f>CHOOSE($L90+1, "终结技充能效率 +12.32142857142857%", "终结技充能效率 +13.553572%", "终结技充能效率 +14.785714%", "终结技充能效率 +16.017857%")</f>
        <v/>
      </c>
      <c r="N90" s="2" t="inlineStr">
        <is>
          <t>suit_attri01</t>
        </is>
      </c>
      <c r="O90" s="2" t="inlineStr">
        <is>
          <t>碾骨</t>
        </is>
      </c>
      <c r="P90" s="2"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0" s="2" t="inlineStr">
        <is>
          <t>本装备由终末地工业参考荒野手工艺品设计，使用集成工业系统制造，能够提高使用者的作战能力。设计灵感来自于碾骨氏族的装备。 实际上，披巾并不具备什么防护性能，它通常会作为身份标识，就像是某种旗帜的变形。</t>
        </is>
      </c>
    </row>
    <row r="91" ht="22" customHeight="1">
      <c r="A91" s="5" t="inlineStr">
        <is>
          <t>item_equip_t4_suit_attri01_hand_01</t>
        </is>
      </c>
      <c r="B91" s="5" t="inlineStr">
        <is>
          <t>碾骨腕带</t>
        </is>
      </c>
      <c r="C91" s="5" t="inlineStr">
        <is>
          <t>武陵</t>
        </is>
      </c>
      <c r="D91" s="6" t="n">
        <v>70</v>
      </c>
      <c r="E91" s="5" t="inlineStr">
        <is>
          <t>护手</t>
        </is>
      </c>
      <c r="F91" s="6" t="n">
        <v>5</v>
      </c>
      <c r="G91" s="5" t="inlineStr">
        <is>
          <t>防御力 +42</t>
        </is>
      </c>
      <c r="H91" s="7" t="n">
        <v>0</v>
      </c>
      <c r="I91" s="5">
        <f>CHOOSE($H91+1, "力量 +65", "力量 +71", "力量 +78", "力量 +84")</f>
        <v/>
      </c>
      <c r="J91" s="7" t="n">
        <v>0</v>
      </c>
      <c r="K91" s="5">
        <f>CHOOSE($J91+1, "敏捷 +43", "敏捷 +47", "敏捷 +51", "敏捷 +55")</f>
        <v/>
      </c>
      <c r="L91" s="7" t="n">
        <v>0</v>
      </c>
      <c r="M91" s="5">
        <f>CHOOSE($L91+1, "灼热和自然伤害加成 +19.166666666666668%", "灼热和自然伤害加成 +21.083333%", "灼热和自然伤害加成 +23%", "灼热和自然伤害加成 +24.916667%")</f>
        <v/>
      </c>
      <c r="N91" s="5" t="inlineStr">
        <is>
          <t>suit_attri01</t>
        </is>
      </c>
      <c r="O91" s="5" t="inlineStr">
        <is>
          <t>碾骨</t>
        </is>
      </c>
      <c r="P91" s="5"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1" s="5" t="inlineStr">
        <is>
          <t>本装备由终末地工业参考荒野手工艺品设计，使用集成工业系统制造，能够提高使用者的作战能力。设计灵感来自于碾骨氏族的装备。 并非每一个走上荒野的人都会变成裂地者，但被荒野束缚住的人永远无法回头。</t>
        </is>
      </c>
    </row>
    <row r="92" ht="22" customHeight="1">
      <c r="A92" s="2" t="inlineStr">
        <is>
          <t>item_equip_t4_suit_attri01_hand_02</t>
        </is>
      </c>
      <c r="B92" s="2" t="inlineStr">
        <is>
          <t>碾骨腕带·壹型</t>
        </is>
      </c>
      <c r="C92" s="2" t="inlineStr">
        <is>
          <t>武陵</t>
        </is>
      </c>
      <c r="D92" s="3" t="n">
        <v>70</v>
      </c>
      <c r="E92" s="2" t="inlineStr">
        <is>
          <t>护手</t>
        </is>
      </c>
      <c r="F92" s="3" t="n">
        <v>5</v>
      </c>
      <c r="G92" s="2" t="inlineStr">
        <is>
          <t>防御力 +42</t>
        </is>
      </c>
      <c r="H92" s="4" t="n">
        <v>0</v>
      </c>
      <c r="I92" s="2">
        <f>CHOOSE($H92+1, "敏捷 +65", "敏捷 +71", "敏捷 +78", "敏捷 +84")</f>
        <v/>
      </c>
      <c r="J92" s="4" t="n">
        <v>0</v>
      </c>
      <c r="K92" s="2">
        <f>CHOOSE($J92+1, "力量 +43", "力量 +47", "力量 +51", "力量 +55")</f>
        <v/>
      </c>
      <c r="L92" s="4" t="n">
        <v>0</v>
      </c>
      <c r="M92" s="2">
        <f>CHOOSE($L92+1, "寒冷和电磁伤害加成 +19.166666666666668%", "寒冷和电磁伤害加成 +21.083333%", "寒冷和电磁伤害加成 +23%", "寒冷和电磁伤害加成 +24.916667%")</f>
        <v/>
      </c>
      <c r="N92" s="2" t="inlineStr">
        <is>
          <t>suit_attri01</t>
        </is>
      </c>
      <c r="O92" s="2" t="inlineStr">
        <is>
          <t>碾骨</t>
        </is>
      </c>
      <c r="P92" s="2"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2" s="2" t="inlineStr">
        <is>
          <t>本装备由终末地工业参考荒野手工艺品设计，使用集成工业系统制造，能够提高使用者的作战能力。设计灵感来自于碾骨氏族的装备。 并非每一个走上荒野的人都会变成裂地者，但被荒野束缚住的人永远无法回头。</t>
        </is>
      </c>
    </row>
    <row r="93" ht="22" customHeight="1">
      <c r="A93" s="5" t="inlineStr">
        <is>
          <t>item_equip_t4_suit_attri01_edc_04</t>
        </is>
      </c>
      <c r="B93" s="5" t="inlineStr">
        <is>
          <t>碾骨面具</t>
        </is>
      </c>
      <c r="C93" s="5" t="inlineStr">
        <is>
          <t>武陵</t>
        </is>
      </c>
      <c r="D93" s="6" t="n">
        <v>70</v>
      </c>
      <c r="E93" s="5" t="inlineStr">
        <is>
          <t>配件</t>
        </is>
      </c>
      <c r="F93" s="6" t="n">
        <v>5</v>
      </c>
      <c r="G93" s="5" t="inlineStr">
        <is>
          <t>防御力 +21</t>
        </is>
      </c>
      <c r="H93" s="7" t="n">
        <v>0</v>
      </c>
      <c r="I93" s="5">
        <f>CHOOSE($H93+1, "敏捷 +32", "敏捷 +35", "敏捷 +38", "敏捷 +41")</f>
        <v/>
      </c>
      <c r="J93" s="7" t="n">
        <v>0</v>
      </c>
      <c r="K93" s="5">
        <f>CHOOSE($J93+1, "力量 +21", "力量 +23", "力量 +25", "力量 +27")</f>
        <v/>
      </c>
      <c r="L93" s="7" t="n">
        <v>0</v>
      </c>
      <c r="M93" s="5">
        <f>CHOOSE($L93+1, "对失衡目标伤害加成 +41.4%", "对失衡目标伤害加成 +45.54%", "对失衡目标伤害加成 +49.68%", "对失衡目标伤害加成 +53.82%")</f>
        <v/>
      </c>
      <c r="N93" s="5" t="inlineStr">
        <is>
          <t>suit_attri01</t>
        </is>
      </c>
      <c r="O93" s="5" t="inlineStr">
        <is>
          <t>碾骨</t>
        </is>
      </c>
      <c r="P93" s="5"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3" s="5" t="inlineStr">
        <is>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is>
      </c>
    </row>
    <row r="94" ht="22" customHeight="1">
      <c r="A94" s="2" t="inlineStr">
        <is>
          <t>item_equip_t4_suit_attri01_edc_05</t>
        </is>
      </c>
      <c r="B94" s="2" t="inlineStr">
        <is>
          <t>碾骨面具·壹型</t>
        </is>
      </c>
      <c r="C94" s="2" t="inlineStr">
        <is>
          <t>武陵</t>
        </is>
      </c>
      <c r="D94" s="3" t="n">
        <v>70</v>
      </c>
      <c r="E94" s="2" t="inlineStr">
        <is>
          <t>配件</t>
        </is>
      </c>
      <c r="F94" s="3" t="n">
        <v>5</v>
      </c>
      <c r="G94" s="2" t="inlineStr">
        <is>
          <t>防御力 +21</t>
        </is>
      </c>
      <c r="H94" s="4" t="n">
        <v>0</v>
      </c>
      <c r="I94" s="2">
        <f>CHOOSE($H94+1, "敏捷 +32", "敏捷 +35", "敏捷 +38", "敏捷 +41")</f>
        <v/>
      </c>
      <c r="J94" s="4" t="n">
        <v>0</v>
      </c>
      <c r="K94" s="2">
        <f>CHOOSE($J94+1, "力量 +21", "力量 +23", "力量 +25", "力量 +27")</f>
        <v/>
      </c>
      <c r="L94" s="4" t="n">
        <v>0</v>
      </c>
      <c r="M94" s="2">
        <f>CHOOSE($L94+1, "暴击率 +10.35%", "暴击率 +11.385%", "暴击率 +12.42%", "暴击率 +13.455%")</f>
        <v/>
      </c>
      <c r="N94" s="2" t="inlineStr">
        <is>
          <t>suit_attri01</t>
        </is>
      </c>
      <c r="O94" s="2" t="inlineStr">
        <is>
          <t>碾骨</t>
        </is>
      </c>
      <c r="P94" s="2"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4" s="2" t="inlineStr">
        <is>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is>
      </c>
    </row>
    <row r="95" ht="22" customHeight="1">
      <c r="A95" s="5" t="inlineStr">
        <is>
          <t>item_equip_t4_suit_attri01_edc_07</t>
        </is>
      </c>
      <c r="B95" s="5" t="inlineStr">
        <is>
          <t>碾骨面具·贰型</t>
        </is>
      </c>
      <c r="C95" s="5" t="inlineStr">
        <is>
          <t>武陵</t>
        </is>
      </c>
      <c r="D95" s="6" t="n">
        <v>70</v>
      </c>
      <c r="E95" s="5" t="inlineStr">
        <is>
          <t>配件</t>
        </is>
      </c>
      <c r="F95" s="6" t="n">
        <v>5</v>
      </c>
      <c r="G95" s="5" t="inlineStr">
        <is>
          <t>防御力 +21</t>
        </is>
      </c>
      <c r="H95" s="7" t="n">
        <v>0</v>
      </c>
      <c r="I95" s="5">
        <f>CHOOSE($H95+1, "敏捷 +32", "敏捷 +35", "敏捷 +38", "敏捷 +41")</f>
        <v/>
      </c>
      <c r="J95" s="7" t="n">
        <v>0</v>
      </c>
      <c r="K95" s="5">
        <f>CHOOSE($J95+1, "力量 +21", "力量 +23", "力量 +25", "力量 +27")</f>
        <v/>
      </c>
      <c r="L95" s="7" t="n">
        <v>0</v>
      </c>
      <c r="M95" s="5">
        <f>CHOOSE($L95+1, "战技伤害加成 +41.4%", "战技伤害加成 +45.54%", "战技伤害加成 +49.68%", "战技伤害加成 +53.82%")</f>
        <v/>
      </c>
      <c r="N95" s="5" t="inlineStr">
        <is>
          <t>suit_attri01</t>
        </is>
      </c>
      <c r="O95" s="5" t="inlineStr">
        <is>
          <t>碾骨</t>
        </is>
      </c>
      <c r="P95" s="5"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5" s="5" t="inlineStr">
        <is>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is>
      </c>
    </row>
    <row r="96" ht="22" customHeight="1">
      <c r="A96" s="2" t="inlineStr">
        <is>
          <t>item_equip_t4_suit_attri01_edc_03</t>
        </is>
      </c>
      <c r="B96" s="2" t="inlineStr">
        <is>
          <t>碾骨小雕像</t>
        </is>
      </c>
      <c r="C96" s="2" t="inlineStr">
        <is>
          <t>武陵</t>
        </is>
      </c>
      <c r="D96" s="3" t="n">
        <v>70</v>
      </c>
      <c r="E96" s="2" t="inlineStr">
        <is>
          <t>配件</t>
        </is>
      </c>
      <c r="F96" s="3" t="n">
        <v>5</v>
      </c>
      <c r="G96" s="2" t="inlineStr">
        <is>
          <t>防御力 +21</t>
        </is>
      </c>
      <c r="H96" s="4" t="n">
        <v>0</v>
      </c>
      <c r="I96" s="2">
        <f>CHOOSE($H96+1, "意志 +32", "意志 +35", "意志 +38", "意志 +41")</f>
        <v/>
      </c>
      <c r="J96" s="4" t="n">
        <v>0</v>
      </c>
      <c r="K96" s="2">
        <f>CHOOSE($J96+1, "敏捷 +21", "敏捷 +23", "敏捷 +25", "敏捷 +27")</f>
        <v/>
      </c>
      <c r="L96" s="4" t="n">
        <v>0</v>
      </c>
      <c r="M96" s="2">
        <f>CHOOSE($L96+1, "战技伤害加成 +41.4%", "战技伤害加成 +45.54%", "战技伤害加成 +49.68%", "战技伤害加成 +53.82%")</f>
        <v/>
      </c>
      <c r="N96" s="2" t="inlineStr">
        <is>
          <t>suit_attri01</t>
        </is>
      </c>
      <c r="O96" s="2" t="inlineStr">
        <is>
          <t>碾骨</t>
        </is>
      </c>
      <c r="P96" s="2"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6" s="2" t="inlineStr">
        <is>
          <t>本装备由终末地工业参考荒野手工艺品设计，使用集成工业系统制造，能够提高使用者的作战能力。并无什么实际意义的小工艺品，但设计者宣称它能有效调动人的亢奋情绪。</t>
        </is>
      </c>
    </row>
    <row r="97" ht="22" customHeight="1">
      <c r="A97" s="5" t="inlineStr">
        <is>
          <t>item_equip_t4_suit_attri01_edc_06</t>
        </is>
      </c>
      <c r="B97" s="5" t="inlineStr">
        <is>
          <t>碾骨小雕像·壹型</t>
        </is>
      </c>
      <c r="C97" s="5" t="inlineStr">
        <is>
          <t>武陵</t>
        </is>
      </c>
      <c r="D97" s="6" t="n">
        <v>70</v>
      </c>
      <c r="E97" s="5" t="inlineStr">
        <is>
          <t>配件</t>
        </is>
      </c>
      <c r="F97" s="6" t="n">
        <v>5</v>
      </c>
      <c r="G97" s="5" t="inlineStr">
        <is>
          <t>防御力 +21</t>
        </is>
      </c>
      <c r="H97" s="7" t="n">
        <v>0</v>
      </c>
      <c r="I97" s="5">
        <f>CHOOSE($H97+1, "意志 +32", "意志 +35", "意志 +38", "意志 +41")</f>
        <v/>
      </c>
      <c r="J97" s="7" t="n">
        <v>0</v>
      </c>
      <c r="K97" s="5">
        <f>CHOOSE($J97+1, "智识 +21", "智识 +23", "智识 +25", "智识 +27")</f>
        <v/>
      </c>
      <c r="L97" s="7" t="n">
        <v>0</v>
      </c>
      <c r="M97" s="5">
        <f>CHOOSE($L97+1, "连携技伤害加成 +41.4%", "连携技伤害加成 +45.54%", "连携技伤害加成 +49.68%", "连携技伤害加成 +53.82%")</f>
        <v/>
      </c>
      <c r="N97" s="5" t="inlineStr">
        <is>
          <t>suit_attri01</t>
        </is>
      </c>
      <c r="O97" s="5" t="inlineStr">
        <is>
          <t>碾骨</t>
        </is>
      </c>
      <c r="P97" s="5" t="inlineStr">
        <is>
          <r>
            <rPr>
              <rFont val="微软雅黑"/>
              <sz val="10"/>
            </rPr>
            <t>3件套组效果：装备者攻击力</t>
          </r>
          <r>
            <rPr>
              <rFont val="微软雅黑"/>
              <b val="1"/>
              <color rgb="009eb7ff"/>
              <sz val="10"/>
            </rPr>
            <t>+15%</t>
          </r>
          <r>
            <rPr>
              <rFont val="微软雅黑"/>
              <sz val="10"/>
            </rPr>
            <t>。当装备者施放连携技时，获得一层</t>
          </r>
          <r>
            <rPr>
              <rFont val="微软雅黑"/>
              <b val="1"/>
              <color rgb="0033c2ff"/>
              <sz val="10"/>
            </rPr>
            <t>碾骨重压</t>
          </r>
          <r>
            <rPr>
              <rFont val="微软雅黑"/>
              <sz val="10"/>
            </rPr>
            <t>，下一次的战技伤害</t>
          </r>
          <r>
            <rPr>
              <rFont val="微软雅黑"/>
              <b val="1"/>
              <color rgb="009eb7ff"/>
              <sz val="10"/>
            </rPr>
            <t>+30%</t>
          </r>
          <r>
            <rPr>
              <rFont val="微软雅黑"/>
              <sz val="10"/>
            </rPr>
            <t>，</t>
          </r>
          <r>
            <rPr>
              <rFont val="微软雅黑"/>
              <b val="1"/>
              <color rgb="0033c2ff"/>
              <sz val="10"/>
            </rPr>
            <t>碾骨重压</t>
          </r>
          <r>
            <rPr>
              <rFont val="微软雅黑"/>
              <sz val="10"/>
            </rPr>
            <t>最多可叠加2层。</t>
          </r>
        </is>
      </c>
      <c r="Q97" s="5" t="inlineStr">
        <is>
          <t>本装备由终末地工业参考荒野手工艺品设计，使用集成工业系统制造，能够提高使用者的作战能力。并无什么实际意义的小工艺品，但设计者宣称它能有效调动人的亢奋情绪。</t>
        </is>
      </c>
    </row>
    <row r="98" ht="22" customHeight="1">
      <c r="A98" s="2" t="inlineStr">
        <is>
          <t>item_equip_t4_suit_pulse_cryst01_body_01</t>
        </is>
      </c>
      <c r="B98" s="2" t="inlineStr">
        <is>
          <t>脉冲式干扰服</t>
        </is>
      </c>
      <c r="C98" s="2" t="inlineStr">
        <is>
          <t>武陵</t>
        </is>
      </c>
      <c r="D98" s="3" t="n">
        <v>70</v>
      </c>
      <c r="E98" s="2" t="inlineStr">
        <is>
          <t>护甲</t>
        </is>
      </c>
      <c r="F98" s="3" t="n">
        <v>5</v>
      </c>
      <c r="G98" s="2" t="inlineStr">
        <is>
          <t>防御力 +56</t>
        </is>
      </c>
      <c r="H98" s="4" t="n">
        <v>0</v>
      </c>
      <c r="I98" s="2">
        <f>CHOOSE($H98+1, "智识 +87", "智识 +95", "智识 +104", "智识 +113")</f>
        <v/>
      </c>
      <c r="J98" s="4" t="n">
        <v>0</v>
      </c>
      <c r="K98" s="2">
        <f>CHOOSE($J98+1, "意志 +58", "意志 +63", "意志 +69", "意志 +75")</f>
        <v/>
      </c>
      <c r="L98" s="4" t="n">
        <v>0</v>
      </c>
      <c r="M98" s="2">
        <f>CHOOSE($L98+1, "源石技艺强度 +20.7", "源石技艺强度 +22.77", "源石技艺强度 +24.84", "源石技艺强度 +26.91")</f>
        <v/>
      </c>
      <c r="N98" s="2" t="inlineStr">
        <is>
          <t>suit_pulse_cryst01</t>
        </is>
      </c>
      <c r="O98" s="2" t="inlineStr">
        <is>
          <t>脉冲式</t>
        </is>
      </c>
      <c r="P98"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cc00"/>
              <sz val="10"/>
              <u val="single"/>
            </rPr>
            <t>导电</t>
          </r>
          <r>
            <rPr>
              <rFont val="微软雅黑"/>
              <sz val="10"/>
            </rPr>
            <t>后，</t>
          </r>
          <r>
            <rPr>
              <rFont val="微软雅黑"/>
              <b val="1"/>
              <color rgb="00ffcc00"/>
              <sz val="10"/>
            </rPr>
            <t>电磁伤害</t>
          </r>
          <r>
            <rPr>
              <rFont val="微软雅黑"/>
              <b val="1"/>
              <color rgb="009eb7ff"/>
              <sz val="10"/>
            </rPr>
            <t>+50%</t>
          </r>
          <r>
            <rPr>
              <rFont val="微软雅黑"/>
              <sz val="10"/>
            </rPr>
            <t>，持续10秒，该效果无法叠加；当装备者施加</t>
          </r>
          <r>
            <rPr>
              <rFont val="微软雅黑"/>
              <b val="1"/>
              <color rgb="0030d6e0"/>
              <sz val="10"/>
              <u val="single"/>
            </rPr>
            <t>冻结</t>
          </r>
          <r>
            <rPr>
              <rFont val="微软雅黑"/>
              <sz val="10"/>
            </rPr>
            <t>后，</t>
          </r>
          <r>
            <rPr>
              <rFont val="微软雅黑"/>
              <b val="1"/>
              <color rgb="0030d6e0"/>
              <sz val="10"/>
            </rPr>
            <t>寒冷伤害</t>
          </r>
          <r>
            <rPr>
              <rFont val="微软雅黑"/>
              <b val="1"/>
              <color rgb="009eb7ff"/>
              <sz val="10"/>
            </rPr>
            <t>+50%</t>
          </r>
          <r>
            <rPr>
              <rFont val="微软雅黑"/>
              <sz val="10"/>
            </rPr>
            <t>，持续10秒，该效果无法叠加。</t>
          </r>
        </is>
      </c>
      <c r="Q98" s="2" t="inlineStr">
        <is>
          <t>本装备由终末地工业自研，使用集成工业系统制造，能够提高使用者的作战能力。设计新颖的装备。 很少有人能理解终末地工业为什么要研发这套适用于信息化战争的防御装备。</t>
        </is>
      </c>
    </row>
    <row r="99" ht="22" customHeight="1">
      <c r="A99" s="5" t="inlineStr">
        <is>
          <t>item_equip_t4_suit_pulse_cryst01_hand_01</t>
        </is>
      </c>
      <c r="B99" s="5" t="inlineStr">
        <is>
          <t>脉冲式手套</t>
        </is>
      </c>
      <c r="C99" s="5" t="inlineStr">
        <is>
          <t>武陵</t>
        </is>
      </c>
      <c r="D99" s="6" t="n">
        <v>70</v>
      </c>
      <c r="E99" s="5" t="inlineStr">
        <is>
          <t>护手</t>
        </is>
      </c>
      <c r="F99" s="6" t="n">
        <v>5</v>
      </c>
      <c r="G99" s="5" t="inlineStr">
        <is>
          <t>防御力 +42</t>
        </is>
      </c>
      <c r="H99" s="7" t="n">
        <v>0</v>
      </c>
      <c r="I99" s="5">
        <f>CHOOSE($H99+1, "意志 +65", "意志 +71", "意志 +78", "意志 +84")</f>
        <v/>
      </c>
      <c r="J99" s="7" t="n">
        <v>0</v>
      </c>
      <c r="K99" s="5">
        <f>CHOOSE($J99+1, "智识 +43", "智识 +47", "智识 +51", "智识 +55")</f>
        <v/>
      </c>
      <c r="L99" s="7" t="n">
        <v>0</v>
      </c>
      <c r="M99" s="5">
        <f>CHOOSE($L99+1, "寒冷和电磁伤害加成 +19.166666666666668%", "寒冷和电磁伤害加成 +21.083333%", "寒冷和电磁伤害加成 +23%", "寒冷和电磁伤害加成 +24.916667%")</f>
        <v/>
      </c>
      <c r="N99" s="5" t="inlineStr">
        <is>
          <t>suit_pulse_cryst01</t>
        </is>
      </c>
      <c r="O99" s="5" t="inlineStr">
        <is>
          <t>脉冲式</t>
        </is>
      </c>
      <c r="P99" s="5"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cc00"/>
              <sz val="10"/>
              <u val="single"/>
            </rPr>
            <t>导电</t>
          </r>
          <r>
            <rPr>
              <rFont val="微软雅黑"/>
              <sz val="10"/>
            </rPr>
            <t>后，</t>
          </r>
          <r>
            <rPr>
              <rFont val="微软雅黑"/>
              <b val="1"/>
              <color rgb="00ffcc00"/>
              <sz val="10"/>
            </rPr>
            <t>电磁伤害</t>
          </r>
          <r>
            <rPr>
              <rFont val="微软雅黑"/>
              <b val="1"/>
              <color rgb="009eb7ff"/>
              <sz val="10"/>
            </rPr>
            <t>+50%</t>
          </r>
          <r>
            <rPr>
              <rFont val="微软雅黑"/>
              <sz val="10"/>
            </rPr>
            <t>，持续10秒，该效果无法叠加；当装备者施加</t>
          </r>
          <r>
            <rPr>
              <rFont val="微软雅黑"/>
              <b val="1"/>
              <color rgb="0030d6e0"/>
              <sz val="10"/>
              <u val="single"/>
            </rPr>
            <t>冻结</t>
          </r>
          <r>
            <rPr>
              <rFont val="微软雅黑"/>
              <sz val="10"/>
            </rPr>
            <t>后，</t>
          </r>
          <r>
            <rPr>
              <rFont val="微软雅黑"/>
              <b val="1"/>
              <color rgb="0030d6e0"/>
              <sz val="10"/>
            </rPr>
            <t>寒冷伤害</t>
          </r>
          <r>
            <rPr>
              <rFont val="微软雅黑"/>
              <b val="1"/>
              <color rgb="009eb7ff"/>
              <sz val="10"/>
            </rPr>
            <t>+50%</t>
          </r>
          <r>
            <rPr>
              <rFont val="微软雅黑"/>
              <sz val="10"/>
            </rPr>
            <t>，持续10秒，该效果无法叠加。</t>
          </r>
        </is>
      </c>
      <c r="Q99" s="5" t="inlineStr">
        <is>
          <t>本装备由终末地工业自研，使用集成工业系统制造，能够提高使用者的作战能力。设计新颖的装备。 很少有人能理解终末地工业为什么要提高脉冲系列装备的低温耐受能力。</t>
        </is>
      </c>
    </row>
    <row r="100" ht="22" customHeight="1">
      <c r="A100" s="2" t="inlineStr">
        <is>
          <t>item_equip_t4_suit_pulse_cryst01_edc_02</t>
        </is>
      </c>
      <c r="B100" s="2" t="inlineStr">
        <is>
          <t>脉冲式校准器</t>
        </is>
      </c>
      <c r="C100" s="2" t="inlineStr">
        <is>
          <t>武陵</t>
        </is>
      </c>
      <c r="D100" s="3" t="n">
        <v>70</v>
      </c>
      <c r="E100" s="2" t="inlineStr">
        <is>
          <t>配件</t>
        </is>
      </c>
      <c r="F100" s="3" t="n">
        <v>5</v>
      </c>
      <c r="G100" s="2" t="inlineStr">
        <is>
          <t>防御力 +21</t>
        </is>
      </c>
      <c r="H100" s="4" t="n">
        <v>0</v>
      </c>
      <c r="I100" s="2">
        <f>CHOOSE($H100+1, "智识 +41", "智识 +45", "智识 +49", "智识 +53")</f>
        <v/>
      </c>
      <c r="J100" s="4" t="n">
        <v>0</v>
      </c>
      <c r="K100" s="2">
        <f>CHOOSE($J100+1, "源石技艺强度 +41.4", "源石技艺强度 +45.54", "源石技艺强度 +49.68", "源石技艺强度 +53.82")</f>
        <v/>
      </c>
      <c r="L100" s="4" t="n">
        <v>0</v>
      </c>
      <c r="M100" s="2" t="inlineStr">
        <is>
          <t>无</t>
        </is>
      </c>
      <c r="N100" s="2" t="inlineStr">
        <is>
          <t>suit_pulse_cryst01</t>
        </is>
      </c>
      <c r="O100" s="2" t="inlineStr">
        <is>
          <t>脉冲式</t>
        </is>
      </c>
      <c r="P100"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cc00"/>
              <sz val="10"/>
              <u val="single"/>
            </rPr>
            <t>导电</t>
          </r>
          <r>
            <rPr>
              <rFont val="微软雅黑"/>
              <sz val="10"/>
            </rPr>
            <t>后，</t>
          </r>
          <r>
            <rPr>
              <rFont val="微软雅黑"/>
              <b val="1"/>
              <color rgb="00ffcc00"/>
              <sz val="10"/>
            </rPr>
            <t>电磁伤害</t>
          </r>
          <r>
            <rPr>
              <rFont val="微软雅黑"/>
              <b val="1"/>
              <color rgb="009eb7ff"/>
              <sz val="10"/>
            </rPr>
            <t>+50%</t>
          </r>
          <r>
            <rPr>
              <rFont val="微软雅黑"/>
              <sz val="10"/>
            </rPr>
            <t>，持续10秒，该效果无法叠加；当装备者施加</t>
          </r>
          <r>
            <rPr>
              <rFont val="微软雅黑"/>
              <b val="1"/>
              <color rgb="0030d6e0"/>
              <sz val="10"/>
              <u val="single"/>
            </rPr>
            <t>冻结</t>
          </r>
          <r>
            <rPr>
              <rFont val="微软雅黑"/>
              <sz val="10"/>
            </rPr>
            <t>后，</t>
          </r>
          <r>
            <rPr>
              <rFont val="微软雅黑"/>
              <b val="1"/>
              <color rgb="0030d6e0"/>
              <sz val="10"/>
            </rPr>
            <t>寒冷伤害</t>
          </r>
          <r>
            <rPr>
              <rFont val="微软雅黑"/>
              <b val="1"/>
              <color rgb="009eb7ff"/>
              <sz val="10"/>
            </rPr>
            <t>+50%</t>
          </r>
          <r>
            <rPr>
              <rFont val="微软雅黑"/>
              <sz val="10"/>
            </rPr>
            <t>，持续10秒，该效果无法叠加。</t>
          </r>
        </is>
      </c>
      <c r="Q100" s="2" t="inlineStr">
        <is>
          <t>本装备由终末地工业自研，使用集成工业系统制造，能够提高使用者的作战能力。设计新颖的装备。 它能在无边的数据之海中抹去几根善于藏匿的“金针”。</t>
        </is>
      </c>
    </row>
    <row r="101" ht="22" customHeight="1">
      <c r="A101" s="5" t="inlineStr">
        <is>
          <t>item_equip_t4_suit_pulse_cryst01_edc_01</t>
        </is>
      </c>
      <c r="B101" s="5" t="inlineStr">
        <is>
          <t>脉冲式探针</t>
        </is>
      </c>
      <c r="C101" s="5" t="inlineStr">
        <is>
          <t>武陵</t>
        </is>
      </c>
      <c r="D101" s="6" t="n">
        <v>70</v>
      </c>
      <c r="E101" s="5" t="inlineStr">
        <is>
          <t>配件</t>
        </is>
      </c>
      <c r="F101" s="6" t="n">
        <v>5</v>
      </c>
      <c r="G101" s="5" t="inlineStr">
        <is>
          <t>防御力 +21</t>
        </is>
      </c>
      <c r="H101" s="7" t="n">
        <v>0</v>
      </c>
      <c r="I101" s="5">
        <f>CHOOSE($H101+1, "智识 +32", "智识 +35", "智识 +38", "智识 +41")</f>
        <v/>
      </c>
      <c r="J101" s="7" t="n">
        <v>0</v>
      </c>
      <c r="K101" s="5">
        <f>CHOOSE($J101+1, "敏捷 +21", "敏捷 +23", "敏捷 +25", "敏捷 +27")</f>
        <v/>
      </c>
      <c r="L101" s="7" t="n">
        <v>0</v>
      </c>
      <c r="M101" s="5">
        <f>CHOOSE($L101+1, "源石技艺强度 +41.4", "源石技艺强度 +45.54", "源石技艺强度 +49.68", "源石技艺强度 +53.82")</f>
        <v/>
      </c>
      <c r="N101" s="5" t="inlineStr">
        <is>
          <t>suit_pulse_cryst01</t>
        </is>
      </c>
      <c r="O101" s="5" t="inlineStr">
        <is>
          <t>脉冲式</t>
        </is>
      </c>
      <c r="P101" s="5"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cc00"/>
              <sz val="10"/>
              <u val="single"/>
            </rPr>
            <t>导电</t>
          </r>
          <r>
            <rPr>
              <rFont val="微软雅黑"/>
              <sz val="10"/>
            </rPr>
            <t>后，</t>
          </r>
          <r>
            <rPr>
              <rFont val="微软雅黑"/>
              <b val="1"/>
              <color rgb="00ffcc00"/>
              <sz val="10"/>
            </rPr>
            <t>电磁伤害</t>
          </r>
          <r>
            <rPr>
              <rFont val="微软雅黑"/>
              <b val="1"/>
              <color rgb="009eb7ff"/>
              <sz val="10"/>
            </rPr>
            <t>+50%</t>
          </r>
          <r>
            <rPr>
              <rFont val="微软雅黑"/>
              <sz val="10"/>
            </rPr>
            <t>，持续10秒，该效果无法叠加；当装备者施加</t>
          </r>
          <r>
            <rPr>
              <rFont val="微软雅黑"/>
              <b val="1"/>
              <color rgb="0030d6e0"/>
              <sz val="10"/>
              <u val="single"/>
            </rPr>
            <t>冻结</t>
          </r>
          <r>
            <rPr>
              <rFont val="微软雅黑"/>
              <sz val="10"/>
            </rPr>
            <t>后，</t>
          </r>
          <r>
            <rPr>
              <rFont val="微软雅黑"/>
              <b val="1"/>
              <color rgb="0030d6e0"/>
              <sz val="10"/>
            </rPr>
            <t>寒冷伤害</t>
          </r>
          <r>
            <rPr>
              <rFont val="微软雅黑"/>
              <b val="1"/>
              <color rgb="009eb7ff"/>
              <sz val="10"/>
            </rPr>
            <t>+50%</t>
          </r>
          <r>
            <rPr>
              <rFont val="微软雅黑"/>
              <sz val="10"/>
            </rPr>
            <t>，持续10秒，该效果无法叠加。</t>
          </r>
        </is>
      </c>
      <c r="Q101" s="5" t="inlineStr">
        <is>
          <t>本装备由终末地工业自研，使用集成工业系统制造，能够提高使用者的作战能力。设计新颖的装备。 它能在黑暗的冻雾中找到些许失落的痕迹。</t>
        </is>
      </c>
    </row>
    <row r="102" ht="22" customHeight="1">
      <c r="A102" s="2" t="inlineStr">
        <is>
          <t>item_equip_t4_suit_pulse_cryst01_edc_03</t>
        </is>
      </c>
      <c r="B102" s="2" t="inlineStr">
        <is>
          <t>脉冲式侵入核</t>
        </is>
      </c>
      <c r="C102" s="2" t="inlineStr">
        <is>
          <t>武陵</t>
        </is>
      </c>
      <c r="D102" s="3" t="n">
        <v>70</v>
      </c>
      <c r="E102" s="2" t="inlineStr">
        <is>
          <t>配件</t>
        </is>
      </c>
      <c r="F102" s="3" t="n">
        <v>5</v>
      </c>
      <c r="G102" s="2" t="inlineStr">
        <is>
          <t>防御力 +21</t>
        </is>
      </c>
      <c r="H102" s="4" t="n">
        <v>0</v>
      </c>
      <c r="I102" s="2">
        <f>CHOOSE($H102+1, "意志 +41", "意志 +45", "意志 +49", "意志 +53")</f>
        <v/>
      </c>
      <c r="J102" s="4" t="n">
        <v>0</v>
      </c>
      <c r="K102" s="2">
        <f>CHOOSE($J102+1, "终结技伤害加成 +51.75%", "终结技伤害加成 +56.925%", "终结技伤害加成 +62.1%", "终结技伤害加成 +67.275%")</f>
        <v/>
      </c>
      <c r="L102" s="4" t="n">
        <v>0</v>
      </c>
      <c r="M102" s="2" t="inlineStr">
        <is>
          <t>无</t>
        </is>
      </c>
      <c r="N102" s="2" t="inlineStr">
        <is>
          <t>suit_pulse_cryst01</t>
        </is>
      </c>
      <c r="O102" s="2" t="inlineStr">
        <is>
          <t>脉冲式</t>
        </is>
      </c>
      <c r="P102"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cc00"/>
              <sz val="10"/>
              <u val="single"/>
            </rPr>
            <t>导电</t>
          </r>
          <r>
            <rPr>
              <rFont val="微软雅黑"/>
              <sz val="10"/>
            </rPr>
            <t>后，</t>
          </r>
          <r>
            <rPr>
              <rFont val="微软雅黑"/>
              <b val="1"/>
              <color rgb="00ffcc00"/>
              <sz val="10"/>
            </rPr>
            <t>电磁伤害</t>
          </r>
          <r>
            <rPr>
              <rFont val="微软雅黑"/>
              <b val="1"/>
              <color rgb="009eb7ff"/>
              <sz val="10"/>
            </rPr>
            <t>+50%</t>
          </r>
          <r>
            <rPr>
              <rFont val="微软雅黑"/>
              <sz val="10"/>
            </rPr>
            <t>，持续10秒，该效果无法叠加；当装备者施加</t>
          </r>
          <r>
            <rPr>
              <rFont val="微软雅黑"/>
              <b val="1"/>
              <color rgb="0030d6e0"/>
              <sz val="10"/>
              <u val="single"/>
            </rPr>
            <t>冻结</t>
          </r>
          <r>
            <rPr>
              <rFont val="微软雅黑"/>
              <sz val="10"/>
            </rPr>
            <t>后，</t>
          </r>
          <r>
            <rPr>
              <rFont val="微软雅黑"/>
              <b val="1"/>
              <color rgb="0030d6e0"/>
              <sz val="10"/>
            </rPr>
            <t>寒冷伤害</t>
          </r>
          <r>
            <rPr>
              <rFont val="微软雅黑"/>
              <b val="1"/>
              <color rgb="009eb7ff"/>
              <sz val="10"/>
            </rPr>
            <t>+50%</t>
          </r>
          <r>
            <rPr>
              <rFont val="微软雅黑"/>
              <sz val="10"/>
            </rPr>
            <t>，持续10秒，该效果无法叠加。</t>
          </r>
        </is>
      </c>
      <c r="Q102" s="2" t="inlineStr">
        <is>
          <t>本装备由终末地工业自研，使用集成工业系统制造，能够提高使用者的作战能力。设计新颖的装备。 在寂语修会的支持下，脉冲式侵入核能破解绝大部分终端的防火墙。</t>
        </is>
      </c>
    </row>
    <row r="103" ht="22" customHeight="1">
      <c r="A103" s="5" t="inlineStr">
        <is>
          <t>item_equip_t4_suit_atb01_body_01</t>
        </is>
      </c>
      <c r="B103" s="5" t="inlineStr">
        <is>
          <t>拓荒护甲</t>
        </is>
      </c>
      <c r="C103" s="5" t="inlineStr">
        <is>
          <t>武陵</t>
        </is>
      </c>
      <c r="D103" s="6" t="n">
        <v>70</v>
      </c>
      <c r="E103" s="5" t="inlineStr">
        <is>
          <t>护甲</t>
        </is>
      </c>
      <c r="F103" s="6" t="n">
        <v>5</v>
      </c>
      <c r="G103" s="5" t="inlineStr">
        <is>
          <t>防御力 +56</t>
        </is>
      </c>
      <c r="H103" s="7" t="n">
        <v>0</v>
      </c>
      <c r="I103" s="5">
        <f>CHOOSE($H103+1, "力量 +87", "力量 +95", "力量 +104", "力量 +113")</f>
        <v/>
      </c>
      <c r="J103" s="7" t="n">
        <v>0</v>
      </c>
      <c r="K103" s="5">
        <f>CHOOSE($J103+1, "智识 +58", "智识 +63", "智识 +69", "智识 +75")</f>
        <v/>
      </c>
      <c r="L103" s="7" t="n">
        <v>0</v>
      </c>
      <c r="M103" s="5">
        <f>CHOOSE($L103+1, "终结技伤害加成 +25.875%", "终结技伤害加成 +28.4625%", "终结技伤害加成 +31.05%", "终结技伤害加成 +33.6375%")</f>
        <v/>
      </c>
      <c r="N103" s="5" t="inlineStr">
        <is>
          <t>suit_atb01</t>
        </is>
      </c>
      <c r="O103" s="5" t="inlineStr">
        <is>
          <t>拓荒</t>
        </is>
      </c>
      <c r="P103" s="5"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3" s="5" t="inlineStr">
        <is>
          <t>本装备由北进重工支援所设计，使用集成工业系统制造，能够提高使用者的作战能力。拓荒者系列护甲重框体型号——为了能够在肩部加装重火炮而额外加装了人造脊椎机构。</t>
        </is>
      </c>
    </row>
    <row r="104" ht="22" customHeight="1">
      <c r="A104" s="2" t="inlineStr">
        <is>
          <t>item_equip_t4_suit_atb01_body_02</t>
        </is>
      </c>
      <c r="B104" s="2" t="inlineStr">
        <is>
          <t>拓荒护甲·壹型</t>
        </is>
      </c>
      <c r="C104" s="2" t="inlineStr">
        <is>
          <t>武陵</t>
        </is>
      </c>
      <c r="D104" s="3" t="n">
        <v>70</v>
      </c>
      <c r="E104" s="2" t="inlineStr">
        <is>
          <t>护甲</t>
        </is>
      </c>
      <c r="F104" s="3" t="n">
        <v>5</v>
      </c>
      <c r="G104" s="2" t="inlineStr">
        <is>
          <t>防御力 +56</t>
        </is>
      </c>
      <c r="H104" s="4" t="n">
        <v>0</v>
      </c>
      <c r="I104" s="2">
        <f>CHOOSE($H104+1, "力量 +87", "力量 +95", "力量 +104", "力量 +113")</f>
        <v/>
      </c>
      <c r="J104" s="4" t="n">
        <v>0</v>
      </c>
      <c r="K104" s="2">
        <f>CHOOSE($J104+1, "敏捷 +58", "敏捷 +63", "敏捷 +69", "敏捷 +75")</f>
        <v/>
      </c>
      <c r="L104" s="4" t="n">
        <v>0</v>
      </c>
      <c r="M104" s="2">
        <f>CHOOSE($L104+1, "战技伤害加成 +20.7%", "战技伤害加成 +22.77%", "战技伤害加成 +24.84%", "战技伤害加成 +26.91%")</f>
        <v/>
      </c>
      <c r="N104" s="2" t="inlineStr">
        <is>
          <t>suit_atb01</t>
        </is>
      </c>
      <c r="O104" s="2" t="inlineStr">
        <is>
          <t>拓荒</t>
        </is>
      </c>
      <c r="P104" s="2"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4" s="2" t="inlineStr">
        <is>
          <t>本装备由北进重工支援所设计，使用集成工业系统制造，能够提高使用者的作战能力。拓荒者系列护甲重框体型号——为了能够在肩部加装重火炮而额外加装了人造脊椎机构。</t>
        </is>
      </c>
    </row>
    <row r="105" ht="22" customHeight="1">
      <c r="A105" s="5" t="inlineStr">
        <is>
          <t>item_equip_t4_suit_atb01_body_03</t>
        </is>
      </c>
      <c r="B105" s="5" t="inlineStr">
        <is>
          <t>拓荒护甲·贰型</t>
        </is>
      </c>
      <c r="C105" s="5" t="inlineStr">
        <is>
          <t>武陵</t>
        </is>
      </c>
      <c r="D105" s="6" t="n">
        <v>70</v>
      </c>
      <c r="E105" s="5" t="inlineStr">
        <is>
          <t>护甲</t>
        </is>
      </c>
      <c r="F105" s="6" t="n">
        <v>5</v>
      </c>
      <c r="G105" s="5" t="inlineStr">
        <is>
          <t>防御力 +56</t>
        </is>
      </c>
      <c r="H105" s="7" t="n">
        <v>0</v>
      </c>
      <c r="I105" s="5">
        <f>CHOOSE($H105+1, "敏捷 +87", "敏捷 +95", "敏捷 +104", "敏捷 +113")</f>
        <v/>
      </c>
      <c r="J105" s="7" t="n">
        <v>0</v>
      </c>
      <c r="K105" s="5">
        <f>CHOOSE($J105+1, "智识 +58", "智识 +63", "智识 +69", "智识 +75")</f>
        <v/>
      </c>
      <c r="L105" s="7" t="n">
        <v>0</v>
      </c>
      <c r="M105" s="5">
        <f>CHOOSE($L105+1, "战技伤害加成 +20.7%", "战技伤害加成 +22.77%", "战技伤害加成 +24.84%", "战技伤害加成 +26.91%")</f>
        <v/>
      </c>
      <c r="N105" s="5" t="inlineStr">
        <is>
          <t>suit_atb01</t>
        </is>
      </c>
      <c r="O105" s="5" t="inlineStr">
        <is>
          <t>拓荒</t>
        </is>
      </c>
      <c r="P105" s="5"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5" s="5" t="inlineStr">
        <is>
          <t>本装备由北进重工支援所设计，使用集成工业系统制造，能够提高使用者的作战能力。拓荒者系列护甲重框体型号——为了能够在肩部加装重火炮而额外加装了人造脊椎机构。</t>
        </is>
      </c>
    </row>
    <row r="106" ht="22" customHeight="1">
      <c r="A106" s="2" t="inlineStr">
        <is>
          <t>item_equip_t4_suit_atb01_body_04</t>
        </is>
      </c>
      <c r="B106" s="2" t="inlineStr">
        <is>
          <t>拓荒护甲·叁型</t>
        </is>
      </c>
      <c r="C106" s="2" t="inlineStr">
        <is>
          <t>武陵</t>
        </is>
      </c>
      <c r="D106" s="3" t="n">
        <v>70</v>
      </c>
      <c r="E106" s="2" t="inlineStr">
        <is>
          <t>护甲</t>
        </is>
      </c>
      <c r="F106" s="3" t="n">
        <v>5</v>
      </c>
      <c r="G106" s="2" t="inlineStr">
        <is>
          <t>防御力 +56</t>
        </is>
      </c>
      <c r="H106" s="4" t="n">
        <v>0</v>
      </c>
      <c r="I106" s="2">
        <f>CHOOSE($H106+1, "敏捷 +87", "敏捷 +95", "敏捷 +104", "敏捷 +113")</f>
        <v/>
      </c>
      <c r="J106" s="4" t="n">
        <v>0</v>
      </c>
      <c r="K106" s="2">
        <f>CHOOSE($J106+1, "智识 +58", "智识 +63", "智识 +69", "智识 +75")</f>
        <v/>
      </c>
      <c r="L106" s="4" t="n">
        <v>0</v>
      </c>
      <c r="M106" s="2">
        <f>CHOOSE($L106+1, "副能力 +10.35089175054887%", "副能力 +11.385981%", "副能力 +12.42107%", "副能力 +13.45616%")</f>
        <v/>
      </c>
      <c r="N106" s="2" t="inlineStr">
        <is>
          <t>suit_atb01</t>
        </is>
      </c>
      <c r="O106" s="2" t="inlineStr">
        <is>
          <t>拓荒</t>
        </is>
      </c>
      <c r="P106" s="2"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6" s="2" t="inlineStr">
        <is>
          <t>本装备由北进重工支援所设计，使用集成工业系统制造，能够提高使用者的作战能力。拓荒者系列护甲重框体型号——为了能够在肩部加装重火炮而额外加装了人造脊椎机构。</t>
        </is>
      </c>
    </row>
    <row r="107" ht="22" customHeight="1">
      <c r="A107" s="5" t="inlineStr">
        <is>
          <t>item_equip_t4_suit_atb01_body_05</t>
        </is>
      </c>
      <c r="B107" s="5" t="inlineStr">
        <is>
          <t>拓荒护服</t>
        </is>
      </c>
      <c r="C107" s="5" t="inlineStr">
        <is>
          <t>武陵</t>
        </is>
      </c>
      <c r="D107" s="6" t="n">
        <v>70</v>
      </c>
      <c r="E107" s="5" t="inlineStr">
        <is>
          <t>护甲</t>
        </is>
      </c>
      <c r="F107" s="6" t="n">
        <v>5</v>
      </c>
      <c r="G107" s="5" t="inlineStr">
        <is>
          <t>防御力 +56</t>
        </is>
      </c>
      <c r="H107" s="7" t="n">
        <v>0</v>
      </c>
      <c r="I107" s="5">
        <f>CHOOSE($H107+1, "智识 +87", "智识 +95", "智识 +104", "智识 +113")</f>
        <v/>
      </c>
      <c r="J107" s="7" t="n">
        <v>0</v>
      </c>
      <c r="K107" s="5">
        <f>CHOOSE($J107+1, "敏捷 +58", "敏捷 +63", "敏捷 +69", "敏捷 +75")</f>
        <v/>
      </c>
      <c r="L107" s="7" t="n">
        <v>0</v>
      </c>
      <c r="M107" s="5">
        <f>CHOOSE($L107+1, "终结技充能效率 +12.32142857142857%", "终结技充能效率 +13.553572%", "终结技充能效率 +14.785714%", "终结技充能效率 +16.017857%")</f>
        <v/>
      </c>
      <c r="N107" s="5" t="inlineStr">
        <is>
          <t>suit_atb01</t>
        </is>
      </c>
      <c r="O107" s="5" t="inlineStr">
        <is>
          <t>拓荒</t>
        </is>
      </c>
      <c r="P107" s="5"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7" s="5" t="inlineStr">
        <is>
          <t>本装备由北进重工支援所设计，使用集成工业系统制造，能够提高使用者的作战能力。拓荒者系列护甲指挥官型号——降低了防护装甲的厚度，额外加装了远程武器组与加密通信组。</t>
        </is>
      </c>
    </row>
    <row r="108" ht="22" customHeight="1">
      <c r="A108" s="2" t="inlineStr">
        <is>
          <t>item_equip_t4_suit_atb01_hand_01</t>
        </is>
      </c>
      <c r="B108" s="2" t="inlineStr">
        <is>
          <t>拓荒耐蚀手套</t>
        </is>
      </c>
      <c r="C108" s="2" t="inlineStr">
        <is>
          <t>武陵</t>
        </is>
      </c>
      <c r="D108" s="3" t="n">
        <v>70</v>
      </c>
      <c r="E108" s="2" t="inlineStr">
        <is>
          <t>护手</t>
        </is>
      </c>
      <c r="F108" s="3" t="n">
        <v>5</v>
      </c>
      <c r="G108" s="2" t="inlineStr">
        <is>
          <t>防御力 +42</t>
        </is>
      </c>
      <c r="H108" s="4" t="n">
        <v>0</v>
      </c>
      <c r="I108" s="2">
        <f>CHOOSE($H108+1, "敏捷 +65", "敏捷 +71", "敏捷 +78", "敏捷 +84")</f>
        <v/>
      </c>
      <c r="J108" s="4" t="n">
        <v>0</v>
      </c>
      <c r="K108" s="2">
        <f>CHOOSE($J108+1, "智识 +43", "智识 +47", "智识 +51", "智识 +55")</f>
        <v/>
      </c>
      <c r="L108" s="4" t="n">
        <v>0</v>
      </c>
      <c r="M108" s="2">
        <f>CHOOSE($L108+1, "战技伤害加成 +34.5%", "战技伤害加成 +37.95%", "战技伤害加成 +41.4%", "战技伤害加成 +44.85%")</f>
        <v/>
      </c>
      <c r="N108" s="2" t="inlineStr">
        <is>
          <t>suit_atb01</t>
        </is>
      </c>
      <c r="O108" s="2" t="inlineStr">
        <is>
          <t>拓荒</t>
        </is>
      </c>
      <c r="P108" s="2"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8" s="2" t="inlineStr">
        <is>
          <t>本装备由北进重工支援所设计，使用集成工业系统制造，能够提高使用者的作战能力。拓荒者系列装备的设计目的是使一支三至五人小队能够拥有正面歼灭小股天使集群的作战能力。</t>
        </is>
      </c>
    </row>
    <row r="109" ht="22" customHeight="1">
      <c r="A109" s="5" t="inlineStr">
        <is>
          <t>item_equip_t4_suit_atb01_hand_02</t>
        </is>
      </c>
      <c r="B109" s="5" t="inlineStr">
        <is>
          <t>拓荒纤维手套</t>
        </is>
      </c>
      <c r="C109" s="5" t="inlineStr">
        <is>
          <t>武陵</t>
        </is>
      </c>
      <c r="D109" s="6" t="n">
        <v>70</v>
      </c>
      <c r="E109" s="5" t="inlineStr">
        <is>
          <t>护手</t>
        </is>
      </c>
      <c r="F109" s="6" t="n">
        <v>5</v>
      </c>
      <c r="G109" s="5" t="inlineStr">
        <is>
          <t>防御力 +42</t>
        </is>
      </c>
      <c r="H109" s="7" t="n">
        <v>0</v>
      </c>
      <c r="I109" s="5">
        <f>CHOOSE($H109+1, "意志 +65", "意志 +71", "意志 +78", "意志 +84")</f>
        <v/>
      </c>
      <c r="J109" s="7" t="n">
        <v>0</v>
      </c>
      <c r="K109" s="5">
        <f>CHOOSE($J109+1, "力量 +43", "力量 +47", "力量 +51", "力量 +55")</f>
        <v/>
      </c>
      <c r="L109" s="7" t="n">
        <v>0</v>
      </c>
      <c r="M109" s="5">
        <f>CHOOSE($L109+1, "所有技能伤害加成 +23%", "所有技能伤害加成 +25.3%", "所有技能伤害加成 +27.6%", "所有技能伤害加成 +29.9%")</f>
        <v/>
      </c>
      <c r="N109" s="5" t="inlineStr">
        <is>
          <t>suit_atb01</t>
        </is>
      </c>
      <c r="O109" s="5" t="inlineStr">
        <is>
          <t>拓荒</t>
        </is>
      </c>
      <c r="P109" s="5"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09" s="5" t="inlineStr">
        <is>
          <t>本装备由北进重工支援所设计，使用集成工业系统制造，能够提高使用者的作战能力。拓荒者系列护甲水下作战型号——独特的纤维编织技术使手套也拥有了供氧循环功能。</t>
        </is>
      </c>
    </row>
    <row r="110" ht="22" customHeight="1">
      <c r="A110" s="2" t="inlineStr">
        <is>
          <t>item_equip_t4_suit_atb01_edc_01</t>
        </is>
      </c>
      <c r="B110" s="2" t="inlineStr">
        <is>
          <t>拓荒通信器</t>
        </is>
      </c>
      <c r="C110" s="2" t="inlineStr">
        <is>
          <t>武陵</t>
        </is>
      </c>
      <c r="D110" s="3" t="n">
        <v>70</v>
      </c>
      <c r="E110" s="2" t="inlineStr">
        <is>
          <t>配件</t>
        </is>
      </c>
      <c r="F110" s="3" t="n">
        <v>5</v>
      </c>
      <c r="G110" s="2" t="inlineStr">
        <is>
          <t>防御力 +21</t>
        </is>
      </c>
      <c r="H110" s="4" t="n">
        <v>0</v>
      </c>
      <c r="I110" s="2">
        <f>CHOOSE($H110+1, "力量 +32", "力量 +35", "力量 +38", "力量 +41")</f>
        <v/>
      </c>
      <c r="J110" s="4" t="n">
        <v>0</v>
      </c>
      <c r="K110" s="2">
        <f>CHOOSE($J110+1, "敏捷 +21", "敏捷 +23", "敏捷 +25", "敏捷 +27")</f>
        <v/>
      </c>
      <c r="L110" s="4" t="n">
        <v>0</v>
      </c>
      <c r="M110" s="2">
        <f>CHOOSE($L110+1, "连携技伤害加成 +41.4%", "连携技伤害加成 +45.54%", "连携技伤害加成 +49.68%", "连携技伤害加成 +53.82%")</f>
        <v/>
      </c>
      <c r="N110" s="2" t="inlineStr">
        <is>
          <t>suit_atb01</t>
        </is>
      </c>
      <c r="O110" s="2" t="inlineStr">
        <is>
          <t>拓荒</t>
        </is>
      </c>
      <c r="P110" s="2"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10" s="2" t="inlineStr">
        <is>
          <t>本装备由北进重工支援所设计，使用集成工业系统制造，能够提高使用者的作战能力。厚重的通信器。为了在状况复杂的地下遗迹开掘现场保证通信质量，设计师仅为拓荒通信器保留了信息传递功能。</t>
        </is>
      </c>
    </row>
    <row r="111" ht="22" customHeight="1">
      <c r="A111" s="5" t="inlineStr">
        <is>
          <t>item_equip_t4_suit_atb01_edc_02</t>
        </is>
      </c>
      <c r="B111" s="5" t="inlineStr">
        <is>
          <t>拓荒通信器·壹型</t>
        </is>
      </c>
      <c r="C111" s="5" t="inlineStr">
        <is>
          <t>武陵</t>
        </is>
      </c>
      <c r="D111" s="6" t="n">
        <v>70</v>
      </c>
      <c r="E111" s="5" t="inlineStr">
        <is>
          <t>配件</t>
        </is>
      </c>
      <c r="F111" s="6" t="n">
        <v>5</v>
      </c>
      <c r="G111" s="5" t="inlineStr">
        <is>
          <t>防御力 +21</t>
        </is>
      </c>
      <c r="H111" s="7" t="n">
        <v>0</v>
      </c>
      <c r="I111" s="5">
        <f>CHOOSE($H111+1, "力量 +32", "力量 +35", "力量 +38", "力量 +41")</f>
        <v/>
      </c>
      <c r="J111" s="7" t="n">
        <v>0</v>
      </c>
      <c r="K111" s="5">
        <f>CHOOSE($J111+1, "智识 +21", "智识 +23", "智识 +25", "智识 +27")</f>
        <v/>
      </c>
      <c r="L111" s="7" t="n">
        <v>0</v>
      </c>
      <c r="M111" s="5">
        <f>CHOOSE($L111+1, "寒冷和电磁伤害加成 +22.999999999999998%", "寒冷和电磁伤害加成 +25.3%", "寒冷和电磁伤害加成 +27.6%", "寒冷和电磁伤害加成 +29.9%")</f>
        <v/>
      </c>
      <c r="N111" s="5" t="inlineStr">
        <is>
          <t>suit_atb01</t>
        </is>
      </c>
      <c r="O111" s="5" t="inlineStr">
        <is>
          <t>拓荒</t>
        </is>
      </c>
      <c r="P111" s="5"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11" s="5" t="inlineStr">
        <is>
          <t>本装备由北进重工支援所设计，使用集成工业系统制造，能够提高使用者的作战能力。厚重的通信器。为了在状况复杂的地下遗迹开掘现场保证通信质量，设计师仅为拓荒通信器保留了信息传递功能。</t>
        </is>
      </c>
    </row>
    <row r="112" ht="22" customHeight="1">
      <c r="A112" s="2" t="inlineStr">
        <is>
          <t>item_equip_t4_suit_atb01_edc_03</t>
        </is>
      </c>
      <c r="B112" s="2" t="inlineStr">
        <is>
          <t>拓荒分析仪</t>
        </is>
      </c>
      <c r="C112" s="2" t="inlineStr">
        <is>
          <t>武陵</t>
        </is>
      </c>
      <c r="D112" s="3" t="n">
        <v>70</v>
      </c>
      <c r="E112" s="2" t="inlineStr">
        <is>
          <t>配件</t>
        </is>
      </c>
      <c r="F112" s="3" t="n">
        <v>5</v>
      </c>
      <c r="G112" s="2" t="inlineStr">
        <is>
          <t>防御力 +21</t>
        </is>
      </c>
      <c r="H112" s="4" t="n">
        <v>0</v>
      </c>
      <c r="I112" s="2">
        <f>CHOOSE($H112+1, "力量 +41", "力量 +45", "力量 +49", "力量 +53")</f>
        <v/>
      </c>
      <c r="J112" s="4" t="n">
        <v>0</v>
      </c>
      <c r="K112" s="2">
        <f>CHOOSE($J112+1, "终结技伤害加成 +51.75%", "终结技伤害加成 +56.925%", "终结技伤害加成 +62.1%", "终结技伤害加成 +67.275%")</f>
        <v/>
      </c>
      <c r="L112" s="4" t="n">
        <v>0</v>
      </c>
      <c r="M112" s="2" t="inlineStr">
        <is>
          <t>无</t>
        </is>
      </c>
      <c r="N112" s="2" t="inlineStr">
        <is>
          <t>suit_atb01</t>
        </is>
      </c>
      <c r="O112" s="2" t="inlineStr">
        <is>
          <t>拓荒</t>
        </is>
      </c>
      <c r="P112" s="2"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12" s="2" t="inlineStr">
        <is>
          <t>本装备由北进重工支援所设计，使用集成工业系统制造，能够提高使用者的作战能力。拓荒者系列辅助装备安全性分析仪器——它能够以图像识别的方式，对未知物做出基础安全性评估。</t>
        </is>
      </c>
    </row>
    <row r="113" ht="22" customHeight="1">
      <c r="A113" s="5" t="inlineStr">
        <is>
          <t>item_equip_t4_suit_atb01_edc_04</t>
        </is>
      </c>
      <c r="B113" s="5" t="inlineStr">
        <is>
          <t>拓荒增量供氧栓</t>
        </is>
      </c>
      <c r="C113" s="5" t="inlineStr">
        <is>
          <t>武陵</t>
        </is>
      </c>
      <c r="D113" s="6" t="n">
        <v>70</v>
      </c>
      <c r="E113" s="5" t="inlineStr">
        <is>
          <t>配件</t>
        </is>
      </c>
      <c r="F113" s="6" t="n">
        <v>5</v>
      </c>
      <c r="G113" s="5" t="inlineStr">
        <is>
          <t>防御力 +21</t>
        </is>
      </c>
      <c r="H113" s="7" t="n">
        <v>0</v>
      </c>
      <c r="I113" s="5">
        <f>CHOOSE($H113+1, "敏捷 +32", "敏捷 +35", "敏捷 +38", "敏捷 +41")</f>
        <v/>
      </c>
      <c r="J113" s="7" t="n">
        <v>0</v>
      </c>
      <c r="K113" s="5">
        <f>CHOOSE($J113+1, "智识 +21", "智识 +23", "智识 +25", "智识 +27")</f>
        <v/>
      </c>
      <c r="L113" s="7" t="n">
        <v>0</v>
      </c>
      <c r="M113" s="5">
        <f>CHOOSE($L113+1, "副能力 +20.70178350109774%", "副能力 +22.771962%", "副能力 +24.84214%", "副能力 +26.91232%")</f>
        <v/>
      </c>
      <c r="N113" s="5" t="inlineStr">
        <is>
          <t>suit_atb01</t>
        </is>
      </c>
      <c r="O113" s="5" t="inlineStr">
        <is>
          <t>拓荒</t>
        </is>
      </c>
      <c r="P113" s="5"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13" s="5" t="inlineStr">
        <is>
          <t>本装备由北进重工支援所设计，使用集成工业系统制造，能够提高使用者的作战能力。在拓荒者系列装备的循环供氧技术支持下，供氧栓保障了使用者至少能够进行四小时水下高压作业。升级后，作业时间能延长至六小时。</t>
        </is>
      </c>
    </row>
    <row r="114" ht="22" customHeight="1">
      <c r="A114" s="2" t="inlineStr">
        <is>
          <t>item_equip_t4_suit_atb01_edc_05</t>
        </is>
      </c>
      <c r="B114" s="2" t="inlineStr">
        <is>
          <t>拓荒供氧栓</t>
        </is>
      </c>
      <c r="C114" s="2" t="inlineStr">
        <is>
          <t>武陵</t>
        </is>
      </c>
      <c r="D114" s="3" t="n">
        <v>70</v>
      </c>
      <c r="E114" s="2" t="inlineStr">
        <is>
          <t>配件</t>
        </is>
      </c>
      <c r="F114" s="3" t="n">
        <v>5</v>
      </c>
      <c r="G114" s="2" t="inlineStr">
        <is>
          <t>防御力 +21</t>
        </is>
      </c>
      <c r="H114" s="4" t="n">
        <v>0</v>
      </c>
      <c r="I114" s="2">
        <f>CHOOSE($H114+1, "意志 +41", "意志 +45", "意志 +49", "意志 +53")</f>
        <v/>
      </c>
      <c r="J114" s="4" t="n">
        <v>0</v>
      </c>
      <c r="K114" s="2">
        <f>CHOOSE($J114+1, "物理伤害加成 +22.999999999999998%", "物理伤害加成 +25.3%", "物理伤害加成 +27.6%", "物理伤害加成 +29.9%")</f>
        <v/>
      </c>
      <c r="L114" s="4" t="n">
        <v>0</v>
      </c>
      <c r="M114" s="2" t="inlineStr">
        <is>
          <t>无</t>
        </is>
      </c>
      <c r="N114" s="2" t="inlineStr">
        <is>
          <t>suit_atb01</t>
        </is>
      </c>
      <c r="O114" s="2" t="inlineStr">
        <is>
          <t>拓荒</t>
        </is>
      </c>
      <c r="P114" s="2" t="inlineStr">
        <is>
          <r>
            <rPr>
              <rFont val="微软雅黑"/>
              <sz val="10"/>
            </rPr>
            <t>3件套组效果：装备者连携技冷却缩减</t>
          </r>
          <r>
            <rPr>
              <rFont val="微软雅黑"/>
              <b val="1"/>
              <color rgb="009eb7ff"/>
              <sz val="10"/>
            </rPr>
            <t>+15%</t>
          </r>
          <r>
            <rPr>
              <rFont val="微软雅黑"/>
              <sz val="10"/>
            </rPr>
            <t>。装备者通过技能恢复技力后，全队造成的伤害</t>
          </r>
          <r>
            <rPr>
              <rFont val="微软雅黑"/>
              <b val="1"/>
              <color rgb="009eb7ff"/>
              <sz val="10"/>
            </rPr>
            <t>+16%</t>
          </r>
          <r>
            <rPr>
              <rFont val="微软雅黑"/>
              <sz val="10"/>
            </rPr>
            <t>，持续15秒，该效果无法叠加。</t>
          </r>
        </is>
      </c>
      <c r="Q114" s="2" t="inlineStr">
        <is>
          <t>本装备由北进重工支援所设计，使用集成工业系统制造，能够提高使用者的作战能力。在拓荒者系列装备的循环供氧技术支持下，供氧栓保障了使用者至少能够进行四小时水下高压作业。</t>
        </is>
      </c>
    </row>
    <row r="115" ht="22" customHeight="1">
      <c r="A115" s="5" t="inlineStr">
        <is>
          <t>item_equip_t4_suit_fire_natr01_body_01</t>
        </is>
      </c>
      <c r="B115" s="5" t="inlineStr">
        <is>
          <t>动火用外骨骼</t>
        </is>
      </c>
      <c r="C115" s="5" t="inlineStr">
        <is>
          <t>武陵</t>
        </is>
      </c>
      <c r="D115" s="6" t="n">
        <v>70</v>
      </c>
      <c r="E115" s="5" t="inlineStr">
        <is>
          <t>护甲</t>
        </is>
      </c>
      <c r="F115" s="6" t="n">
        <v>5</v>
      </c>
      <c r="G115" s="5" t="inlineStr">
        <is>
          <t>防御力 +56</t>
        </is>
      </c>
      <c r="H115" s="7" t="n">
        <v>0</v>
      </c>
      <c r="I115" s="5">
        <f>CHOOSE($H115+1, "力量 +87", "力量 +95", "力量 +104", "力量 +113")</f>
        <v/>
      </c>
      <c r="J115" s="7" t="n">
        <v>0</v>
      </c>
      <c r="K115" s="5">
        <f>CHOOSE($J115+1, "敏捷 +58", "敏捷 +63", "敏捷 +69", "敏捷 +75")</f>
        <v/>
      </c>
      <c r="L115" s="7" t="n">
        <v>0</v>
      </c>
      <c r="M115" s="5">
        <f>CHOOSE($L115+1, "灼热和自然伤害加成 +11.499999999999999%", "灼热和自然伤害加成 +12.65%", "灼热和自然伤害加成 +13.8%", "灼热和自然伤害加成 +14.95%")</f>
        <v/>
      </c>
      <c r="N115" s="5" t="inlineStr">
        <is>
          <t>suit_fire_natr01</t>
        </is>
      </c>
      <c r="O115" s="5" t="inlineStr">
        <is>
          <t>动火用</t>
        </is>
      </c>
      <c r="P115" s="5"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15" s="5" t="inlineStr">
        <is>
          <t>本装备由终末地工业自研，使用集成工业系统制造，能够提高使用者的作战能力。耐火性极强的装备。 “人类必将踏遍塔卫二每一寸土地”，奉献者们如此相信，因此愿意在大海之中遏止激流，在焦土之上降伏火焰。</t>
        </is>
      </c>
    </row>
    <row r="116" ht="22" customHeight="1">
      <c r="A116" s="2" t="inlineStr">
        <is>
          <t>item_equip_t4_suit_fire_natr01_body_02</t>
        </is>
      </c>
      <c r="B116" s="2" t="inlineStr">
        <is>
          <t>动火用辅助骨骼</t>
        </is>
      </c>
      <c r="C116" s="2" t="inlineStr">
        <is>
          <t>武陵</t>
        </is>
      </c>
      <c r="D116" s="3" t="n">
        <v>70</v>
      </c>
      <c r="E116" s="2" t="inlineStr">
        <is>
          <t>护甲</t>
        </is>
      </c>
      <c r="F116" s="3" t="n">
        <v>5</v>
      </c>
      <c r="G116" s="2" t="inlineStr">
        <is>
          <t>防御力 +56</t>
        </is>
      </c>
      <c r="H116" s="4" t="n">
        <v>0</v>
      </c>
      <c r="I116" s="2">
        <f>CHOOSE($H116+1, "智识 +87", "智识 +95", "智识 +104", "智识 +113")</f>
        <v/>
      </c>
      <c r="J116" s="4" t="n">
        <v>0</v>
      </c>
      <c r="K116" s="2">
        <f>CHOOSE($J116+1, "意志 +58", "意志 +63", "意志 +69", "意志 +75")</f>
        <v/>
      </c>
      <c r="L116" s="4" t="n">
        <v>0</v>
      </c>
      <c r="M116" s="2">
        <f>CHOOSE($L116+1, "灼热和自然伤害加成 +11.499999999999999%", "灼热和自然伤害加成 +12.65%", "灼热和自然伤害加成 +13.8%", "灼热和自然伤害加成 +14.95%")</f>
        <v/>
      </c>
      <c r="N116" s="2" t="inlineStr">
        <is>
          <t>suit_fire_natr01</t>
        </is>
      </c>
      <c r="O116" s="2" t="inlineStr">
        <is>
          <t>动火用</t>
        </is>
      </c>
      <c r="P116"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16" s="2" t="inlineStr">
        <is>
          <t>本装备由终末地工业自研，使用集成工业系统制造，能够提高使用者的作战能力。耐火性极强的装备。 高温仍是消灭生物最高效的手段。</t>
        </is>
      </c>
    </row>
    <row r="117" ht="22" customHeight="1">
      <c r="A117" s="5" t="inlineStr">
        <is>
          <t>item_equip_t4_suit_fire_natr01_hand_02</t>
        </is>
      </c>
      <c r="B117" s="5" t="inlineStr">
        <is>
          <t>动火用手甲</t>
        </is>
      </c>
      <c r="C117" s="5" t="inlineStr">
        <is>
          <t>武陵</t>
        </is>
      </c>
      <c r="D117" s="6" t="n">
        <v>70</v>
      </c>
      <c r="E117" s="5" t="inlineStr">
        <is>
          <t>护手</t>
        </is>
      </c>
      <c r="F117" s="6" t="n">
        <v>5</v>
      </c>
      <c r="G117" s="5" t="inlineStr">
        <is>
          <t>防御力 +42</t>
        </is>
      </c>
      <c r="H117" s="7" t="n">
        <v>0</v>
      </c>
      <c r="I117" s="5">
        <f>CHOOSE($H117+1, "智识 +65", "智识 +71", "智识 +78", "智识 +84")</f>
        <v/>
      </c>
      <c r="J117" s="7" t="n">
        <v>0</v>
      </c>
      <c r="K117" s="5">
        <f>CHOOSE($J117+1, "力量 +43", "力量 +47", "力量 +51", "力量 +55")</f>
        <v/>
      </c>
      <c r="L117" s="7" t="n">
        <v>0</v>
      </c>
      <c r="M117" s="5">
        <f>CHOOSE($L117+1, "灼热和自然伤害加成 +19.166666666666668%", "灼热和自然伤害加成 +21.083333%", "灼热和自然伤害加成 +23%", "灼热和自然伤害加成 +24.916667%")</f>
        <v/>
      </c>
      <c r="N117" s="5" t="inlineStr">
        <is>
          <t>suit_fire_natr01</t>
        </is>
      </c>
      <c r="O117" s="5" t="inlineStr">
        <is>
          <t>动火用</t>
        </is>
      </c>
      <c r="P117" s="5"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17" s="5" t="inlineStr">
        <is>
          <t>本装备由终末地工业自研，使用集成工业系统制造，能够提高使用者的作战能力。耐火性极强的装备。 “嘘，小声点，你就要唤醒它了。”</t>
        </is>
      </c>
    </row>
    <row r="118" ht="22" customHeight="1">
      <c r="A118" s="2" t="inlineStr">
        <is>
          <t>item_equip_t4_suit_fire_natr01_hand_03</t>
        </is>
      </c>
      <c r="B118" s="2" t="inlineStr">
        <is>
          <t>动火用手甲·壹型</t>
        </is>
      </c>
      <c r="C118" s="2" t="inlineStr">
        <is>
          <t>武陵</t>
        </is>
      </c>
      <c r="D118" s="3" t="n">
        <v>70</v>
      </c>
      <c r="E118" s="2" t="inlineStr">
        <is>
          <t>护手</t>
        </is>
      </c>
      <c r="F118" s="3" t="n">
        <v>5</v>
      </c>
      <c r="G118" s="2" t="inlineStr">
        <is>
          <t>防御力 +42</t>
        </is>
      </c>
      <c r="H118" s="4" t="n">
        <v>0</v>
      </c>
      <c r="I118" s="2">
        <f>CHOOSE($H118+1, "意志 +65", "意志 +71", "意志 +78", "意志 +84")</f>
        <v/>
      </c>
      <c r="J118" s="4" t="n">
        <v>0</v>
      </c>
      <c r="K118" s="2">
        <f>CHOOSE($J118+1, "智识 +43", "智识 +47", "智识 +51", "智识 +55")</f>
        <v/>
      </c>
      <c r="L118" s="4" t="n">
        <v>0</v>
      </c>
      <c r="M118" s="2">
        <f>CHOOSE($L118+1, "灼热和自然伤害加成 +19.166666666666668%", "灼热和自然伤害加成 +21.083333%", "灼热和自然伤害加成 +23%", "灼热和自然伤害加成 +24.916667%")</f>
        <v/>
      </c>
      <c r="N118" s="2" t="inlineStr">
        <is>
          <t>suit_fire_natr01</t>
        </is>
      </c>
      <c r="O118" s="2" t="inlineStr">
        <is>
          <t>动火用</t>
        </is>
      </c>
      <c r="P118"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18" s="2" t="inlineStr">
        <is>
          <t>本装备由终末地工业自研，使用集成工业系统制造，能够提高使用者的作战能力。耐火性极强的装备。 “嘘，小声点，你就要唤醒它了。”</t>
        </is>
      </c>
    </row>
    <row r="119" ht="22" customHeight="1">
      <c r="A119" s="5" t="inlineStr">
        <is>
          <t>item_equip_t4_suit_fire_natr01_hand_01</t>
        </is>
      </c>
      <c r="B119" s="5" t="inlineStr">
        <is>
          <t>动火用手套</t>
        </is>
      </c>
      <c r="C119" s="5" t="inlineStr">
        <is>
          <t>武陵</t>
        </is>
      </c>
      <c r="D119" s="6" t="n">
        <v>70</v>
      </c>
      <c r="E119" s="5" t="inlineStr">
        <is>
          <t>护手</t>
        </is>
      </c>
      <c r="F119" s="6" t="n">
        <v>5</v>
      </c>
      <c r="G119" s="5" t="inlineStr">
        <is>
          <t>防御力 +42</t>
        </is>
      </c>
      <c r="H119" s="7" t="n">
        <v>0</v>
      </c>
      <c r="I119" s="5">
        <f>CHOOSE($H119+1, "力量 +65", "力量 +71", "力量 +78", "力量 +84")</f>
        <v/>
      </c>
      <c r="J119" s="7" t="n">
        <v>0</v>
      </c>
      <c r="K119" s="5">
        <f>CHOOSE($J119+1, "意志 +43", "意志 +47", "意志 +51", "意志 +55")</f>
        <v/>
      </c>
      <c r="L119" s="7" t="n">
        <v>0</v>
      </c>
      <c r="M119" s="5">
        <f>CHOOSE($L119+1, "源石技艺强度 +34.5", "源石技艺强度 +37.95", "源石技艺强度 +41.4", "源石技艺强度 +44.85")</f>
        <v/>
      </c>
      <c r="N119" s="5" t="inlineStr">
        <is>
          <t>suit_fire_natr01</t>
        </is>
      </c>
      <c r="O119" s="5" t="inlineStr">
        <is>
          <t>动火用</t>
        </is>
      </c>
      <c r="P119" s="5"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19" s="5" t="inlineStr">
        <is>
          <t>本装备由终末地工业自研，使用集成工业系统制造，能够提高使用者的作战能力。耐火性极强的装备。 为了深入高温环境进行探索，联盟工团与终末地工业合力研发了动火用系列装备。</t>
        </is>
      </c>
    </row>
    <row r="120" ht="22" customHeight="1">
      <c r="A120" s="2" t="inlineStr">
        <is>
          <t>item_equip_t4_suit_fire_natr01_edc_02</t>
        </is>
      </c>
      <c r="B120" s="2" t="inlineStr">
        <is>
          <t>动火用测温镜</t>
        </is>
      </c>
      <c r="C120" s="2" t="inlineStr">
        <is>
          <t>武陵</t>
        </is>
      </c>
      <c r="D120" s="3" t="n">
        <v>70</v>
      </c>
      <c r="E120" s="2" t="inlineStr">
        <is>
          <t>配件</t>
        </is>
      </c>
      <c r="F120" s="3" t="n">
        <v>5</v>
      </c>
      <c r="G120" s="2" t="inlineStr">
        <is>
          <t>防御力 +21</t>
        </is>
      </c>
      <c r="H120" s="4" t="n">
        <v>0</v>
      </c>
      <c r="I120" s="2">
        <f>CHOOSE($H120+1, "智识 +41", "智识 +45", "智识 +49", "智识 +53")</f>
        <v/>
      </c>
      <c r="J120" s="4" t="n">
        <v>0</v>
      </c>
      <c r="K120" s="2">
        <f>CHOOSE($J120+1, "战技伤害加成 +41.4%", "战技伤害加成 +45.54%", "战技伤害加成 +49.68%", "战技伤害加成 +53.82%")</f>
        <v/>
      </c>
      <c r="L120" s="4" t="n">
        <v>0</v>
      </c>
      <c r="M120" s="2" t="inlineStr">
        <is>
          <t>无</t>
        </is>
      </c>
      <c r="N120" s="2" t="inlineStr">
        <is>
          <t>suit_fire_natr01</t>
        </is>
      </c>
      <c r="O120" s="2" t="inlineStr">
        <is>
          <t>动火用</t>
        </is>
      </c>
      <c r="P120"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20" s="2" t="inlineStr">
        <is>
          <t>本装备由终末地工业自研，使用集成工业系统制造，能够提高使用者的作战能力。耐火性极强的装备。 极高温的环境并不可怕，但若是一处环境的温度会毫无理由地变化，那就需要警惕了。</t>
        </is>
      </c>
    </row>
    <row r="121" ht="22" customHeight="1">
      <c r="A121" s="5" t="inlineStr">
        <is>
          <t>item_equip_t4_suit_fire_natr01_edc_01</t>
        </is>
      </c>
      <c r="B121" s="5" t="inlineStr">
        <is>
          <t>动火用储能匣</t>
        </is>
      </c>
      <c r="C121" s="5" t="inlineStr">
        <is>
          <t>武陵</t>
        </is>
      </c>
      <c r="D121" s="6" t="n">
        <v>70</v>
      </c>
      <c r="E121" s="5" t="inlineStr">
        <is>
          <t>配件</t>
        </is>
      </c>
      <c r="F121" s="6" t="n">
        <v>5</v>
      </c>
      <c r="G121" s="5" t="inlineStr">
        <is>
          <t>防御力 +21</t>
        </is>
      </c>
      <c r="H121" s="7" t="n">
        <v>0</v>
      </c>
      <c r="I121" s="5">
        <f>CHOOSE($H121+1, "力量 +32", "力量 +35", "力量 +38", "力量 +41")</f>
        <v/>
      </c>
      <c r="J121" s="7" t="n">
        <v>0</v>
      </c>
      <c r="K121" s="5">
        <f>CHOOSE($J121+1, "敏捷 +21", "敏捷 +23", "敏捷 +25", "敏捷 +27")</f>
        <v/>
      </c>
      <c r="L121" s="7" t="n">
        <v>0</v>
      </c>
      <c r="M121" s="5">
        <f>CHOOSE($L121+1, "源石技艺强度 +41.4", "源石技艺强度 +45.54", "源石技艺强度 +49.68", "源石技艺强度 +53.82")</f>
        <v/>
      </c>
      <c r="N121" s="5" t="inlineStr">
        <is>
          <t>suit_fire_natr01</t>
        </is>
      </c>
      <c r="O121" s="5" t="inlineStr">
        <is>
          <t>动火用</t>
        </is>
      </c>
      <c r="P121" s="5"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21" s="5" t="inlineStr">
        <is>
          <t>本装备由终末地工业自研，使用集成工业系统制造，能够提高使用者的作战能力。耐火性极强的装备。 动火用储能匣也可以被视为一个微型发电站，它能够有效利用环境高温，为使用者提供能源。</t>
        </is>
      </c>
    </row>
    <row r="122" ht="22" customHeight="1">
      <c r="A122" s="2" t="inlineStr">
        <is>
          <t>item_equip_t4_suit_fire_natr01_edc_03</t>
        </is>
      </c>
      <c r="B122" s="2" t="inlineStr">
        <is>
          <t>动火用电力匣</t>
        </is>
      </c>
      <c r="C122" s="2" t="inlineStr">
        <is>
          <t>武陵</t>
        </is>
      </c>
      <c r="D122" s="3" t="n">
        <v>70</v>
      </c>
      <c r="E122" s="2" t="inlineStr">
        <is>
          <t>配件</t>
        </is>
      </c>
      <c r="F122" s="3" t="n">
        <v>5</v>
      </c>
      <c r="G122" s="2" t="inlineStr">
        <is>
          <t>防御力 +21</t>
        </is>
      </c>
      <c r="H122" s="4" t="n">
        <v>0</v>
      </c>
      <c r="I122" s="2">
        <f>CHOOSE($H122+1, "意志 +32", "意志 +35", "意志 +38", "意志 +41")</f>
        <v/>
      </c>
      <c r="J122" s="4" t="n">
        <v>0</v>
      </c>
      <c r="K122" s="2">
        <f>CHOOSE($J122+1, "智识 +21", "智识 +23", "智识 +25", "智识 +27")</f>
        <v/>
      </c>
      <c r="L122" s="4" t="n">
        <v>0</v>
      </c>
      <c r="M122" s="2">
        <f>CHOOSE($L122+1, "源石技艺强度 +41.4", "源石技艺强度 +45.54", "源石技艺强度 +49.68", "源石技艺强度 +53.82")</f>
        <v/>
      </c>
      <c r="N122" s="2" t="inlineStr">
        <is>
          <t>suit_fire_natr01</t>
        </is>
      </c>
      <c r="O122" s="2" t="inlineStr">
        <is>
          <t>动火用</t>
        </is>
      </c>
      <c r="P122" s="2" t="inlineStr">
        <is>
          <r>
            <rPr>
              <rFont val="微软雅黑"/>
              <sz val="10"/>
            </rPr>
            <t>3件套组效果：装备者源石技艺强度</t>
          </r>
          <r>
            <rPr>
              <rFont val="微软雅黑"/>
              <b val="1"/>
              <color rgb="009eb7ff"/>
              <sz val="10"/>
            </rPr>
            <t>+30</t>
          </r>
          <r>
            <rPr>
              <rFont val="微软雅黑"/>
              <sz val="10"/>
            </rPr>
            <t>。当装备者施加</t>
          </r>
          <r>
            <rPr>
              <rFont val="微软雅黑"/>
              <b val="1"/>
              <color rgb="00ff8e59"/>
              <sz val="10"/>
              <u val="single"/>
            </rPr>
            <t>燃烧</t>
          </r>
          <r>
            <rPr>
              <rFont val="微软雅黑"/>
              <sz val="10"/>
            </rPr>
            <t>后，</t>
          </r>
          <r>
            <rPr>
              <rFont val="微软雅黑"/>
              <b val="1"/>
              <color rgb="00ff8e59"/>
              <sz val="10"/>
            </rPr>
            <t>灼热伤害</t>
          </r>
          <r>
            <rPr>
              <rFont val="微软雅黑"/>
              <sz val="10"/>
            </rPr>
            <t>+</t>
          </r>
          <r>
            <rPr>
              <rFont val="微软雅黑"/>
              <b val="1"/>
              <color rgb="009eb7ff"/>
              <sz val="10"/>
            </rPr>
            <t>50%</t>
          </r>
          <r>
            <rPr>
              <rFont val="微软雅黑"/>
              <sz val="10"/>
            </rPr>
            <t>，持续10秒，该效果无法叠加；当装备者施加</t>
          </r>
          <r>
            <rPr>
              <rFont val="微软雅黑"/>
              <b val="1"/>
              <color rgb="00b4d945"/>
              <sz val="10"/>
              <u val="single"/>
            </rPr>
            <t>腐蚀</t>
          </r>
          <r>
            <rPr>
              <rFont val="微软雅黑"/>
              <sz val="10"/>
            </rPr>
            <t>后，</t>
          </r>
          <r>
            <rPr>
              <rFont val="微软雅黑"/>
              <b val="1"/>
              <color rgb="00b4d945"/>
              <sz val="10"/>
            </rPr>
            <t>自然伤害</t>
          </r>
          <r>
            <rPr>
              <rFont val="微软雅黑"/>
              <sz val="10"/>
            </rPr>
            <t>+</t>
          </r>
          <r>
            <rPr>
              <rFont val="微软雅黑"/>
              <b val="1"/>
              <color rgb="009eb7ff"/>
              <sz val="10"/>
            </rPr>
            <t>50%</t>
          </r>
          <r>
            <rPr>
              <rFont val="微软雅黑"/>
              <sz val="10"/>
            </rPr>
            <t>，持续10秒，该效果无法叠加。</t>
          </r>
        </is>
      </c>
      <c r="Q122" s="2" t="inlineStr">
        <is>
          <t>本装备由终末地工业自研，使用集成工业系统制造，能够提高使用者的作战能力。耐火性极强的装备。 “在那座火山中，有人听到了歌声。”</t>
        </is>
      </c>
    </row>
    <row r="123" ht="22" customHeight="1">
      <c r="A123" s="5" t="inlineStr">
        <is>
          <t>item_equip_t4_suit_criti01_body_01</t>
        </is>
      </c>
      <c r="B123" s="5" t="inlineStr">
        <is>
          <t>M.I.警用护甲</t>
        </is>
      </c>
      <c r="C123" s="5" t="inlineStr">
        <is>
          <t>武陵</t>
        </is>
      </c>
      <c r="D123" s="6" t="n">
        <v>70</v>
      </c>
      <c r="E123" s="5" t="inlineStr">
        <is>
          <t>护甲</t>
        </is>
      </c>
      <c r="F123" s="6" t="n">
        <v>5</v>
      </c>
      <c r="G123" s="5" t="inlineStr">
        <is>
          <t>防御力 +56</t>
        </is>
      </c>
      <c r="H123" s="7" t="n">
        <v>0</v>
      </c>
      <c r="I123" s="5">
        <f>CHOOSE($H123+1, "敏捷 +87", "敏捷 +95", "敏捷 +104", "敏捷 +113")</f>
        <v/>
      </c>
      <c r="J123" s="7" t="n">
        <v>0</v>
      </c>
      <c r="K123" s="5">
        <f>CHOOSE($J123+1, "力量 +58", "力量 +63", "力量 +69", "力量 +75")</f>
        <v/>
      </c>
      <c r="L123" s="7" t="n">
        <v>0</v>
      </c>
      <c r="M123" s="5">
        <f>CHOOSE($L123+1, "源石技艺强度 +20.7", "源石技艺强度 +22.77", "源石技艺强度 +24.84", "源石技艺强度 +26.91")</f>
        <v/>
      </c>
      <c r="N123" s="5" t="inlineStr">
        <is>
          <t>suit_criti01</t>
        </is>
      </c>
      <c r="O123" s="5" t="inlineStr">
        <is>
          <t>M.I.警用</t>
        </is>
      </c>
      <c r="P123"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3" s="5" t="inlineStr">
        <is>
          <t>本装备由梅什科工业设计，使用集成工业系统制造，能够提高使用者的作战能力。M.I.警用系列装备。 它最初服役于人类与天使对抗的一线战场。</t>
        </is>
      </c>
    </row>
    <row r="124" ht="22" customHeight="1">
      <c r="A124" s="2" t="inlineStr">
        <is>
          <t>item_equip_t4_suit_criti01_body_06</t>
        </is>
      </c>
      <c r="B124" s="2" t="inlineStr">
        <is>
          <t>M.I.警用护甲·壹型</t>
        </is>
      </c>
      <c r="C124" s="2" t="inlineStr">
        <is>
          <t>武陵</t>
        </is>
      </c>
      <c r="D124" s="3" t="n">
        <v>70</v>
      </c>
      <c r="E124" s="2" t="inlineStr">
        <is>
          <t>护甲</t>
        </is>
      </c>
      <c r="F124" s="3" t="n">
        <v>5</v>
      </c>
      <c r="G124" s="2" t="inlineStr">
        <is>
          <t>防御力 +56</t>
        </is>
      </c>
      <c r="H124" s="4" t="n">
        <v>0</v>
      </c>
      <c r="I124" s="2">
        <f>CHOOSE($H124+1, "敏捷 +87", "敏捷 +95", "敏捷 +104", "敏捷 +113")</f>
        <v/>
      </c>
      <c r="J124" s="4" t="n">
        <v>0</v>
      </c>
      <c r="K124" s="2">
        <f>CHOOSE($J124+1, "智识 +58", "智识 +63", "智识 +69", "智识 +75")</f>
        <v/>
      </c>
      <c r="L124" s="4" t="n">
        <v>0</v>
      </c>
      <c r="M124" s="2">
        <f>CHOOSE($L124+1, "终结技充能效率 +12.32142857142857%", "终结技充能效率 +13.553572%", "终结技充能效率 +14.785714%", "终结技充能效率 +16.017857%")</f>
        <v/>
      </c>
      <c r="N124" s="2" t="inlineStr">
        <is>
          <t>suit_criti01</t>
        </is>
      </c>
      <c r="O124" s="2" t="inlineStr">
        <is>
          <t>M.I.警用</t>
        </is>
      </c>
      <c r="P124"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4" s="2" t="inlineStr">
        <is>
          <t>本装备由梅什科工业设计，使用集成工业系统制造，能够提高使用者的作战能力。 M.I.警用系列装备。 它最初服役于人类与天使对抗的一线战场。</t>
        </is>
      </c>
    </row>
    <row r="125" ht="22" customHeight="1">
      <c r="A125" s="5" t="inlineStr">
        <is>
          <t>item_equip_t4_suit_criti01_body_02</t>
        </is>
      </c>
      <c r="B125" s="5" t="inlineStr">
        <is>
          <t>M.I.警用罩衣</t>
        </is>
      </c>
      <c r="C125" s="5" t="inlineStr">
        <is>
          <t>武陵</t>
        </is>
      </c>
      <c r="D125" s="6" t="n">
        <v>70</v>
      </c>
      <c r="E125" s="5" t="inlineStr">
        <is>
          <t>护甲</t>
        </is>
      </c>
      <c r="F125" s="6" t="n">
        <v>5</v>
      </c>
      <c r="G125" s="5" t="inlineStr">
        <is>
          <t>防御力 +56</t>
        </is>
      </c>
      <c r="H125" s="7" t="n">
        <v>0</v>
      </c>
      <c r="I125" s="5">
        <f>CHOOSE($H125+1, "智识 +87", "智识 +95", "智识 +104", "智识 +113")</f>
        <v/>
      </c>
      <c r="J125" s="7" t="n">
        <v>0</v>
      </c>
      <c r="K125" s="5">
        <f>CHOOSE($J125+1, "敏捷 +58", "敏捷 +63", "敏捷 +69", "敏捷 +75")</f>
        <v/>
      </c>
      <c r="L125" s="7" t="n">
        <v>0</v>
      </c>
      <c r="M125" s="5">
        <f>CHOOSE($L125+1, "普通攻击伤害加成 +13.799999999999998%", "普通攻击伤害加成 +15.18%", "普通攻击伤害加成 +16.56%", "普通攻击伤害加成 +17.94%")</f>
        <v/>
      </c>
      <c r="N125" s="5" t="inlineStr">
        <is>
          <t>suit_criti01</t>
        </is>
      </c>
      <c r="O125" s="5" t="inlineStr">
        <is>
          <t>M.I.警用</t>
        </is>
      </c>
      <c r="P125"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5" s="5" t="inlineStr">
        <is>
          <t>本装备由梅什科工业设计，使用集成工业系统制造，能够提高使用者的作战能力。M.I.警用系列装备。 在战争结束后，梅什科工业调整了生产线，以优秀的轻量化工艺获得了城市警用装备的供应资格。</t>
        </is>
      </c>
    </row>
    <row r="126" ht="22" customHeight="1">
      <c r="A126" s="2" t="inlineStr">
        <is>
          <t>item_equip_t4_suit_criti01_body_03</t>
        </is>
      </c>
      <c r="B126" s="2" t="inlineStr">
        <is>
          <t>M.I.警用罩衣·壹型</t>
        </is>
      </c>
      <c r="C126" s="2" t="inlineStr">
        <is>
          <t>武陵</t>
        </is>
      </c>
      <c r="D126" s="3" t="n">
        <v>70</v>
      </c>
      <c r="E126" s="2" t="inlineStr">
        <is>
          <t>护甲</t>
        </is>
      </c>
      <c r="F126" s="3" t="n">
        <v>5</v>
      </c>
      <c r="G126" s="2" t="inlineStr">
        <is>
          <t>防御力 +56</t>
        </is>
      </c>
      <c r="H126" s="4" t="n">
        <v>0</v>
      </c>
      <c r="I126" s="2">
        <f>CHOOSE($H126+1, "智识 +87", "智识 +95", "智识 +104", "智识 +113")</f>
        <v/>
      </c>
      <c r="J126" s="4" t="n">
        <v>0</v>
      </c>
      <c r="K126" s="2">
        <f>CHOOSE($J126+1, "意志 +58", "意志 +63", "意志 +69", "意志 +75")</f>
        <v/>
      </c>
      <c r="L126" s="4" t="n">
        <v>0</v>
      </c>
      <c r="M126" s="2">
        <f>CHOOSE($L126+1, "暴击率 +5.175%", "暴击率 +5.6925%", "暴击率 +6.21%", "暴击率 +6.7275%")</f>
        <v/>
      </c>
      <c r="N126" s="2" t="inlineStr">
        <is>
          <t>suit_criti01</t>
        </is>
      </c>
      <c r="O126" s="2" t="inlineStr">
        <is>
          <t>M.I.警用</t>
        </is>
      </c>
      <c r="P126"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6" s="2" t="inlineStr">
        <is>
          <t>本装备由梅什科工业设计，使用集成工业系统制造，能够提高使用者的作战能力。M.I.警用系列装备。 在战争结束后，梅什科工业调整了生产线，以优秀的轻量化工艺获得了城市警用装备的供应资格。</t>
        </is>
      </c>
    </row>
    <row r="127" ht="22" customHeight="1">
      <c r="A127" s="5" t="inlineStr">
        <is>
          <t>item_equip_t4_suit_criti01_body_04</t>
        </is>
      </c>
      <c r="B127" s="5" t="inlineStr">
        <is>
          <t>M.I.警用罩衣·贰型</t>
        </is>
      </c>
      <c r="C127" s="5" t="inlineStr">
        <is>
          <t>武陵</t>
        </is>
      </c>
      <c r="D127" s="6" t="n">
        <v>70</v>
      </c>
      <c r="E127" s="5" t="inlineStr">
        <is>
          <t>护甲</t>
        </is>
      </c>
      <c r="F127" s="6" t="n">
        <v>5</v>
      </c>
      <c r="G127" s="5" t="inlineStr">
        <is>
          <t>防御力 +56</t>
        </is>
      </c>
      <c r="H127" s="7" t="n">
        <v>0</v>
      </c>
      <c r="I127" s="5">
        <f>CHOOSE($H127+1, "意志 +87", "意志 +95", "意志 +104", "意志 +113")</f>
        <v/>
      </c>
      <c r="J127" s="7" t="n">
        <v>0</v>
      </c>
      <c r="K127" s="5">
        <f>CHOOSE($J127+1, "敏捷 +58", "敏捷 +63", "敏捷 +69", "敏捷 +75")</f>
        <v/>
      </c>
      <c r="L127" s="7" t="n">
        <v>0</v>
      </c>
      <c r="M127" s="5">
        <f>CHOOSE($L127+1, "战技伤害加成 +20.7%", "战技伤害加成 +22.77%", "战技伤害加成 +24.84%", "战技伤害加成 +26.91%")</f>
        <v/>
      </c>
      <c r="N127" s="5" t="inlineStr">
        <is>
          <t>suit_criti01</t>
        </is>
      </c>
      <c r="O127" s="5" t="inlineStr">
        <is>
          <t>M.I.警用</t>
        </is>
      </c>
      <c r="P127"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7" s="5" t="inlineStr">
        <is>
          <t>本装备由梅什科工业设计，使用集成工业系统制造，能够提高使用者的作战能力。M.I.警用系列装备。 在战争结束后，梅什科工业调整了生产线，以优秀的轻量化工艺获得了城市警用装备的供应资格。</t>
        </is>
      </c>
    </row>
    <row r="128" ht="22" customHeight="1">
      <c r="A128" s="2" t="inlineStr">
        <is>
          <t>item_equip_t4_suit_criti01_hand_01</t>
        </is>
      </c>
      <c r="B128" s="2" t="inlineStr">
        <is>
          <t>M.I.警用手套</t>
        </is>
      </c>
      <c r="C128" s="2" t="inlineStr">
        <is>
          <t>武陵</t>
        </is>
      </c>
      <c r="D128" s="3" t="n">
        <v>70</v>
      </c>
      <c r="E128" s="2" t="inlineStr">
        <is>
          <t>护手</t>
        </is>
      </c>
      <c r="F128" s="3" t="n">
        <v>5</v>
      </c>
      <c r="G128" s="2" t="inlineStr">
        <is>
          <t>防御力 +42</t>
        </is>
      </c>
      <c r="H128" s="4" t="n">
        <v>0</v>
      </c>
      <c r="I128" s="2">
        <f>CHOOSE($H128+1, "敏捷 +65", "敏捷 +71", "敏捷 +78", "敏捷 +84")</f>
        <v/>
      </c>
      <c r="J128" s="4" t="n">
        <v>0</v>
      </c>
      <c r="K128" s="2">
        <f>CHOOSE($J128+1, "力量 +43", "力量 +47", "力量 +51", "力量 +55")</f>
        <v/>
      </c>
      <c r="L128" s="4" t="n">
        <v>0</v>
      </c>
      <c r="M128" s="2">
        <f>CHOOSE($L128+1, "战技伤害加成 +34.5%", "战技伤害加成 +37.95%", "战技伤害加成 +41.4%", "战技伤害加成 +44.85%")</f>
        <v/>
      </c>
      <c r="N128" s="2" t="inlineStr">
        <is>
          <t>suit_criti01</t>
        </is>
      </c>
      <c r="O128" s="2" t="inlineStr">
        <is>
          <t>M.I.警用</t>
        </is>
      </c>
      <c r="P128"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8" s="2" t="inlineStr">
        <is>
          <t>本装备由梅什科工业设计，使用集成工业系统制造，能够提高使用者的作战能力。M.I.警用系列装备。 这款手套同时具备攻击属性，其验收流程中存在“能否有效击碎天使肢体”这一环节。</t>
        </is>
      </c>
    </row>
    <row r="129" ht="22" customHeight="1">
      <c r="A129" s="5" t="inlineStr">
        <is>
          <t>item_equip_t4_suit_criti01_hand_04</t>
        </is>
      </c>
      <c r="B129" s="5" t="inlineStr">
        <is>
          <t>M.I.警用手套·壹型</t>
        </is>
      </c>
      <c r="C129" s="5" t="inlineStr">
        <is>
          <t>武陵</t>
        </is>
      </c>
      <c r="D129" s="6" t="n">
        <v>70</v>
      </c>
      <c r="E129" s="5" t="inlineStr">
        <is>
          <t>护手</t>
        </is>
      </c>
      <c r="F129" s="6" t="n">
        <v>5</v>
      </c>
      <c r="G129" s="5" t="inlineStr">
        <is>
          <t>防御力 +42</t>
        </is>
      </c>
      <c r="H129" s="7" t="n">
        <v>0</v>
      </c>
      <c r="I129" s="5">
        <f>CHOOSE($H129+1, "敏捷 +65", "敏捷 +71", "敏捷 +78", "敏捷 +84")</f>
        <v/>
      </c>
      <c r="J129" s="7" t="n">
        <v>0</v>
      </c>
      <c r="K129" s="5">
        <f>CHOOSE($J129+1, "智识 +43", "智识 +47", "智识 +51", "智识 +55")</f>
        <v/>
      </c>
      <c r="L129" s="7" t="n">
        <v>0</v>
      </c>
      <c r="M129" s="5">
        <f>CHOOSE($L129+1, "终结技伤害加成 +43.125%", "终结技伤害加成 +47.4375%", "终结技伤害加成 +51.75%", "终结技伤害加成 +56.0625%")</f>
        <v/>
      </c>
      <c r="N129" s="5" t="inlineStr">
        <is>
          <t>suit_criti01</t>
        </is>
      </c>
      <c r="O129" s="5" t="inlineStr">
        <is>
          <t>M.I.警用</t>
        </is>
      </c>
      <c r="P129"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29" s="5" t="inlineStr">
        <is>
          <t>本装备由梅什科工业设计，使用集成工业系统制造，能够提高使用者的作战能力。 M.I.警用系列装备。 这款手套同时具备攻击属性，其验收流程中存在“能否有效击碎天使肢体”这一环节。</t>
        </is>
      </c>
    </row>
    <row r="130" ht="22" customHeight="1">
      <c r="A130" s="2" t="inlineStr">
        <is>
          <t>item_equip_t4_suit_criti01_hand_02</t>
        </is>
      </c>
      <c r="B130" s="2" t="inlineStr">
        <is>
          <t>M.I.警用手环</t>
        </is>
      </c>
      <c r="C130" s="2" t="inlineStr">
        <is>
          <t>武陵</t>
        </is>
      </c>
      <c r="D130" s="3" t="n">
        <v>70</v>
      </c>
      <c r="E130" s="2" t="inlineStr">
        <is>
          <t>护手</t>
        </is>
      </c>
      <c r="F130" s="3" t="n">
        <v>5</v>
      </c>
      <c r="G130" s="2" t="inlineStr">
        <is>
          <t>防御力 +42</t>
        </is>
      </c>
      <c r="H130" s="4" t="n">
        <v>0</v>
      </c>
      <c r="I130" s="2">
        <f>CHOOSE($H130+1, "智识 +65", "智识 +71", "智识 +78", "智识 +84")</f>
        <v/>
      </c>
      <c r="J130" s="4" t="n">
        <v>0</v>
      </c>
      <c r="K130" s="2">
        <f>CHOOSE($J130+1, "敏捷 +43", "敏捷 +47", "敏捷 +51", "敏捷 +55")</f>
        <v/>
      </c>
      <c r="L130" s="4" t="n">
        <v>0</v>
      </c>
      <c r="M130" s="2">
        <f>CHOOSE($L130+1, "普通攻击伤害加成 +23%", "普通攻击伤害加成 +25.3%", "普通攻击伤害加成 +27.6%", "普通攻击伤害加成 +29.9%")</f>
        <v/>
      </c>
      <c r="N130" s="2" t="inlineStr">
        <is>
          <t>suit_criti01</t>
        </is>
      </c>
      <c r="O130" s="2" t="inlineStr">
        <is>
          <t>M.I.警用</t>
        </is>
      </c>
      <c r="P130"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0" s="2" t="inlineStr">
        <is>
          <t>本装备由梅什科工业设计，使用集成工业系统制造，能够提高使用者的作战能力。M.I.警用系列装备。 手环内嵌了微型镇暴用施术单元，整体能量传导性能相当优秀。</t>
        </is>
      </c>
    </row>
    <row r="131" ht="22" customHeight="1">
      <c r="A131" s="5" t="inlineStr">
        <is>
          <t>item_equip_t4_suit_criti01_hand_03</t>
        </is>
      </c>
      <c r="B131" s="5" t="inlineStr">
        <is>
          <t>M.I.警用手环·壹型</t>
        </is>
      </c>
      <c r="C131" s="5" t="inlineStr">
        <is>
          <t>武陵</t>
        </is>
      </c>
      <c r="D131" s="6" t="n">
        <v>70</v>
      </c>
      <c r="E131" s="5" t="inlineStr">
        <is>
          <t>护手</t>
        </is>
      </c>
      <c r="F131" s="6" t="n">
        <v>5</v>
      </c>
      <c r="G131" s="5" t="inlineStr">
        <is>
          <t>防御力 +42</t>
        </is>
      </c>
      <c r="H131" s="7" t="n">
        <v>0</v>
      </c>
      <c r="I131" s="5">
        <f>CHOOSE($H131+1, "智识 +65", "智识 +71", "智识 +78", "智识 +84")</f>
        <v/>
      </c>
      <c r="J131" s="7" t="n">
        <v>0</v>
      </c>
      <c r="K131" s="5">
        <f>CHOOSE($J131+1, "意志 +43", "意志 +47", "意志 +51", "意志 +55")</f>
        <v/>
      </c>
      <c r="L131" s="7" t="n">
        <v>0</v>
      </c>
      <c r="M131" s="5">
        <f>CHOOSE($L131+1, "暴击率 +8.625%", "暴击率 +9.4875%", "暴击率 +10.35%", "暴击率 +11.2125%")</f>
        <v/>
      </c>
      <c r="N131" s="5" t="inlineStr">
        <is>
          <t>suit_criti01</t>
        </is>
      </c>
      <c r="O131" s="5" t="inlineStr">
        <is>
          <t>M.I.警用</t>
        </is>
      </c>
      <c r="P131"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1" s="5" t="inlineStr">
        <is>
          <t>本装备由梅什科工业设计，使用集成工业系统制造，能够提高使用者的作战能力。M.I.警用系列装备。 手环内嵌了微型镇暴用施术单元，整体能量传导性能相当优秀。</t>
        </is>
      </c>
    </row>
    <row r="132" ht="22" customHeight="1">
      <c r="A132" s="2" t="inlineStr">
        <is>
          <t>item_equip_t4_suit_criti01_edc_01</t>
        </is>
      </c>
      <c r="B132" s="2" t="inlineStr">
        <is>
          <t>M.I.警用臂环</t>
        </is>
      </c>
      <c r="C132" s="2" t="inlineStr">
        <is>
          <t>武陵</t>
        </is>
      </c>
      <c r="D132" s="3" t="n">
        <v>70</v>
      </c>
      <c r="E132" s="2" t="inlineStr">
        <is>
          <t>配件</t>
        </is>
      </c>
      <c r="F132" s="3" t="n">
        <v>5</v>
      </c>
      <c r="G132" s="2" t="inlineStr">
        <is>
          <t>防御力 +21</t>
        </is>
      </c>
      <c r="H132" s="4" t="n">
        <v>0</v>
      </c>
      <c r="I132" s="2">
        <f>CHOOSE($H132+1, "力量 +32", "力量 +35", "力量 +38", "力量 +41")</f>
        <v/>
      </c>
      <c r="J132" s="4" t="n">
        <v>0</v>
      </c>
      <c r="K132" s="2">
        <f>CHOOSE($J132+1, "意志 +21", "意志 +23", "意志 +25", "意志 +27")</f>
        <v/>
      </c>
      <c r="L132" s="4" t="n">
        <v>0</v>
      </c>
      <c r="M132" s="2">
        <f>CHOOSE($L132+1, "寒冷和电磁伤害加成 +22.999999999999998%", "寒冷和电磁伤害加成 +25.3%", "寒冷和电磁伤害加成 +27.6%", "寒冷和电磁伤害加成 +29.9%")</f>
        <v/>
      </c>
      <c r="N132" s="2" t="inlineStr">
        <is>
          <t>suit_criti01</t>
        </is>
      </c>
      <c r="O132" s="2" t="inlineStr">
        <is>
          <t>M.I.警用</t>
        </is>
      </c>
      <c r="P132"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2" s="2" t="inlineStr">
        <is>
          <t>本装备由梅什科工业设计，使用集成工业系统制造，能够提高使用者的作战能力。M.I.警用系列装备。 “不要寄望于敌人的怜悯，不要寄望于奇迹的降临，你只能相信你的利刃。”</t>
        </is>
      </c>
    </row>
    <row r="133" ht="22" customHeight="1">
      <c r="A133" s="5" t="inlineStr">
        <is>
          <t>item_equip_t4_suit_criti01_edc_02</t>
        </is>
      </c>
      <c r="B133" s="5" t="inlineStr">
        <is>
          <t>M.I.警用瞄具</t>
        </is>
      </c>
      <c r="C133" s="5" t="inlineStr">
        <is>
          <t>武陵</t>
        </is>
      </c>
      <c r="D133" s="6" t="n">
        <v>70</v>
      </c>
      <c r="E133" s="5" t="inlineStr">
        <is>
          <t>配件</t>
        </is>
      </c>
      <c r="F133" s="6" t="n">
        <v>5</v>
      </c>
      <c r="G133" s="5" t="inlineStr">
        <is>
          <t>防御力 +21</t>
        </is>
      </c>
      <c r="H133" s="7" t="n">
        <v>0</v>
      </c>
      <c r="I133" s="5">
        <f>CHOOSE($H133+1, "敏捷 +32", "敏捷 +35", "敏捷 +38", "敏捷 +41")</f>
        <v/>
      </c>
      <c r="J133" s="7" t="n">
        <v>0</v>
      </c>
      <c r="K133" s="5">
        <f>CHOOSE($J133+1, "力量 +21", "力量 +23", "力量 +25", "力量 +27")</f>
        <v/>
      </c>
      <c r="L133" s="7" t="n">
        <v>0</v>
      </c>
      <c r="M133" s="5">
        <f>CHOOSE($L133+1, "战技伤害加成 +41.4%", "战技伤害加成 +45.54%", "战技伤害加成 +49.68%", "战技伤害加成 +53.82%")</f>
        <v/>
      </c>
      <c r="N133" s="5" t="inlineStr">
        <is>
          <t>suit_criti01</t>
        </is>
      </c>
      <c r="O133" s="5" t="inlineStr">
        <is>
          <t>M.I.警用</t>
        </is>
      </c>
      <c r="P133"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3" s="5" t="inlineStr">
        <is>
          <t>本装备由梅什科工业设计，使用集成工业系统制造，能够提高使用者的作战能力。M.I.警用系列装备。 梅什科工业的部分产品会被走私到荒野上。在一些裂地者暗杀者手中，M.I.警用瞄具是上等品。</t>
        </is>
      </c>
    </row>
    <row r="134" ht="22" customHeight="1">
      <c r="A134" s="2" t="inlineStr">
        <is>
          <t>item_equip_t4_suit_criti01_edc_06</t>
        </is>
      </c>
      <c r="B134" s="2" t="inlineStr">
        <is>
          <t>M.I.警用瞄具·壹型</t>
        </is>
      </c>
      <c r="C134" s="2" t="inlineStr">
        <is>
          <t>武陵</t>
        </is>
      </c>
      <c r="D134" s="3" t="n">
        <v>70</v>
      </c>
      <c r="E134" s="2" t="inlineStr">
        <is>
          <t>配件</t>
        </is>
      </c>
      <c r="F134" s="3" t="n">
        <v>5</v>
      </c>
      <c r="G134" s="2" t="inlineStr">
        <is>
          <t>防御力 +21</t>
        </is>
      </c>
      <c r="H134" s="4" t="n">
        <v>0</v>
      </c>
      <c r="I134" s="2">
        <f>CHOOSE($H134+1, "敏捷 +32", "敏捷 +35", "敏捷 +38", "敏捷 +41")</f>
        <v/>
      </c>
      <c r="J134" s="4" t="n">
        <v>0</v>
      </c>
      <c r="K134" s="2">
        <f>CHOOSE($J134+1, "智识 +21", "智识 +23", "智识 +25", "智识 +27")</f>
        <v/>
      </c>
      <c r="L134" s="4" t="n">
        <v>0</v>
      </c>
      <c r="M134" s="2">
        <f>CHOOSE($L134+1, "暴击率 +10.35%", "暴击率 +11.385%", "暴击率 +12.42%", "暴击率 +13.455%")</f>
        <v/>
      </c>
      <c r="N134" s="2" t="inlineStr">
        <is>
          <t>suit_criti01</t>
        </is>
      </c>
      <c r="O134" s="2" t="inlineStr">
        <is>
          <t>M.I.警用</t>
        </is>
      </c>
      <c r="P134"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4" s="2" t="inlineStr">
        <is>
          <t>本装备由梅什科工业设计，使用集成工业系统制造，能够提高使用者的作战能力。 M.I.警用系列装备。 梅什科工业的部分产品会被走私到荒野上。在一些裂地者暗杀者手中，M.I.警用瞄具是上等品。</t>
        </is>
      </c>
    </row>
    <row r="135" ht="22" customHeight="1">
      <c r="A135" s="5" t="inlineStr">
        <is>
          <t>item_equip_t4_suit_criti01_edc_03</t>
        </is>
      </c>
      <c r="B135" s="5" t="inlineStr">
        <is>
          <t>M.I.警用工具组</t>
        </is>
      </c>
      <c r="C135" s="5" t="inlineStr">
        <is>
          <t>武陵</t>
        </is>
      </c>
      <c r="D135" s="6" t="n">
        <v>70</v>
      </c>
      <c r="E135" s="5" t="inlineStr">
        <is>
          <t>配件</t>
        </is>
      </c>
      <c r="F135" s="6" t="n">
        <v>5</v>
      </c>
      <c r="G135" s="5" t="inlineStr">
        <is>
          <t>防御力 +21</t>
        </is>
      </c>
      <c r="H135" s="7" t="n">
        <v>0</v>
      </c>
      <c r="I135" s="5">
        <f>CHOOSE($H135+1, "智识 +32", "智识 +35", "智识 +38", "智识 +41")</f>
        <v/>
      </c>
      <c r="J135" s="7" t="n">
        <v>0</v>
      </c>
      <c r="K135" s="5">
        <f>CHOOSE($J135+1, "敏捷 +21", "敏捷 +23", "敏捷 +25", "敏捷 +27")</f>
        <v/>
      </c>
      <c r="L135" s="7" t="n">
        <v>0</v>
      </c>
      <c r="M135" s="5">
        <f>CHOOSE($L135+1, "暴击率 +10.35%", "暴击率 +11.385%", "暴击率 +12.42%", "暴击率 +13.455%")</f>
        <v/>
      </c>
      <c r="N135" s="5" t="inlineStr">
        <is>
          <t>suit_criti01</t>
        </is>
      </c>
      <c r="O135" s="5" t="inlineStr">
        <is>
          <t>M.I.警用</t>
        </is>
      </c>
      <c r="P135"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5" s="5" t="inlineStr">
        <is>
          <t>本装备由梅什科工业设计，使用集成工业系统制造，能够提高使用者的作战能力。M.I.警用系列装备。 “感谢警员先生，我保证这是我这个月最后一次因为没带钥匙而报警了，我保证！”</t>
        </is>
      </c>
    </row>
    <row r="136" ht="22" customHeight="1">
      <c r="A136" s="2" t="inlineStr">
        <is>
          <t>item_equip_t4_suit_criti01_edc_04</t>
        </is>
      </c>
      <c r="B136" s="2" t="inlineStr">
        <is>
          <t>M.I.警用刺刃</t>
        </is>
      </c>
      <c r="C136" s="2" t="inlineStr">
        <is>
          <t>武陵</t>
        </is>
      </c>
      <c r="D136" s="3" t="n">
        <v>70</v>
      </c>
      <c r="E136" s="2" t="inlineStr">
        <is>
          <t>配件</t>
        </is>
      </c>
      <c r="F136" s="3" t="n">
        <v>5</v>
      </c>
      <c r="G136" s="2" t="inlineStr">
        <is>
          <t>防御力 +21</t>
        </is>
      </c>
      <c r="H136" s="4" t="n">
        <v>0</v>
      </c>
      <c r="I136" s="2">
        <f>CHOOSE($H136+1, "意志 +32", "意志 +35", "意志 +38", "意志 +41")</f>
        <v/>
      </c>
      <c r="J136" s="4" t="n">
        <v>0</v>
      </c>
      <c r="K136" s="2">
        <f>CHOOSE($J136+1, "智识 +21", "智识 +23", "智识 +25", "智识 +27")</f>
        <v/>
      </c>
      <c r="L136" s="4" t="n">
        <v>0</v>
      </c>
      <c r="M136" s="2">
        <f>CHOOSE($L136+1, "灼热和自然伤害加成 +22.999999999999998%", "灼热和自然伤害加成 +25.3%", "灼热和自然伤害加成 +27.6%", "灼热和自然伤害加成 +29.9%")</f>
        <v/>
      </c>
      <c r="N136" s="2" t="inlineStr">
        <is>
          <t>suit_criti01</t>
        </is>
      </c>
      <c r="O136" s="2" t="inlineStr">
        <is>
          <t>M.I.警用</t>
        </is>
      </c>
      <c r="P136" s="2"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6" s="2" t="inlineStr">
        <is>
          <t>本装备由梅什科工业设计，使用集成工业系统制造，能够提高使用者的作战能力。M.I.警用系列装备。 握柄中填装了源石火药。抵住目标，扣下扳机，短刃会瞬间撕开敌人的装甲和血肉，就像切蛋糕一般顺滑。</t>
        </is>
      </c>
    </row>
    <row r="137" ht="22" customHeight="1">
      <c r="A137" s="5" t="inlineStr">
        <is>
          <t>item_equip_t4_suit_criti01_edc_05</t>
        </is>
      </c>
      <c r="B137" s="5" t="inlineStr">
        <is>
          <t>M.I.警用刺刃·壹型</t>
        </is>
      </c>
      <c r="C137" s="5" t="inlineStr">
        <is>
          <t>武陵</t>
        </is>
      </c>
      <c r="D137" s="6" t="n">
        <v>70</v>
      </c>
      <c r="E137" s="5" t="inlineStr">
        <is>
          <t>配件</t>
        </is>
      </c>
      <c r="F137" s="6" t="n">
        <v>5</v>
      </c>
      <c r="G137" s="5" t="inlineStr">
        <is>
          <t>防御力 +21</t>
        </is>
      </c>
      <c r="H137" s="7" t="n">
        <v>0</v>
      </c>
      <c r="I137" s="5">
        <f>CHOOSE($H137+1, "意志 +32", "意志 +35", "意志 +38", "意志 +41")</f>
        <v/>
      </c>
      <c r="J137" s="7" t="n">
        <v>0</v>
      </c>
      <c r="K137" s="5">
        <f>CHOOSE($J137+1, "敏捷 +21", "敏捷 +23", "敏捷 +25", "敏捷 +27")</f>
        <v/>
      </c>
      <c r="L137" s="7" t="n">
        <v>0</v>
      </c>
      <c r="M137" s="5">
        <f>CHOOSE($L137+1, "战技伤害加成 +41.4%", "战技伤害加成 +45.54%", "战技伤害加成 +49.68%", "战技伤害加成 +53.82%")</f>
        <v/>
      </c>
      <c r="N137" s="5" t="inlineStr">
        <is>
          <t>suit_criti01</t>
        </is>
      </c>
      <c r="O137" s="5" t="inlineStr">
        <is>
          <t>M.I.警用</t>
        </is>
      </c>
      <c r="P137" s="5" t="inlineStr">
        <is>
          <r>
            <rPr>
              <rFont val="微软雅黑"/>
              <sz val="10"/>
            </rPr>
            <t>3件套组效果：装备者暴击率</t>
          </r>
          <r>
            <rPr>
              <rFont val="微软雅黑"/>
              <b val="1"/>
              <color rgb="009eb7ff"/>
              <sz val="10"/>
            </rPr>
            <t>+5%</t>
          </r>
          <r>
            <rPr>
              <rFont val="微软雅黑"/>
              <sz val="10"/>
            </rPr>
            <t>。当装备者触发暴击后，5秒内</t>
          </r>
          <r>
            <rPr>
              <rFont val="微软雅黑"/>
              <b val="1"/>
              <color rgb="009eb7ff"/>
              <sz val="10"/>
            </rPr>
            <t>+5%</t>
          </r>
          <r>
            <rPr>
              <rFont val="微软雅黑"/>
              <sz val="10"/>
            </rPr>
            <t>攻击力，该效果最多叠加5层。层数叠满后，额外</t>
          </r>
          <r>
            <rPr>
              <rFont val="微软雅黑"/>
              <b val="1"/>
              <color rgb="009eb7ff"/>
              <sz val="10"/>
            </rPr>
            <t>+5%</t>
          </r>
          <r>
            <rPr>
              <rFont val="微软雅黑"/>
              <sz val="10"/>
            </rPr>
            <t>暴击率，该效果无法叠加。</t>
          </r>
        </is>
      </c>
      <c r="Q137" s="5" t="inlineStr">
        <is>
          <t>本装备由梅什科工业设计，使用集成工业系统制造，能够提高使用者的作战能力。M.I.警用系列装备。 握柄中填装了源石火药。抵住目标，扣下扳机，短刃会瞬间撕开敌人的装甲和血肉，就像切蛋糕一般顺滑。</t>
        </is>
      </c>
    </row>
    <row r="138" ht="22" customHeight="1">
      <c r="A138" s="2" t="inlineStr">
        <is>
          <t>item_equip_t4_suit_atk02_body_01</t>
        </is>
      </c>
      <c r="B138" s="2" t="inlineStr">
        <is>
          <t>50式应龙重甲</t>
        </is>
      </c>
      <c r="C138" s="2" t="inlineStr">
        <is>
          <t>武陵</t>
        </is>
      </c>
      <c r="D138" s="3" t="n">
        <v>70</v>
      </c>
      <c r="E138" s="2" t="inlineStr">
        <is>
          <t>护甲</t>
        </is>
      </c>
      <c r="F138" s="3" t="n">
        <v>5</v>
      </c>
      <c r="G138" s="2" t="inlineStr">
        <is>
          <t>防御力 +56</t>
        </is>
      </c>
      <c r="H138" s="4" t="n">
        <v>0</v>
      </c>
      <c r="I138" s="2">
        <f>CHOOSE($H138+1, "力量 +87", "力量 +95", "力量 +104", "力量 +113")</f>
        <v/>
      </c>
      <c r="J138" s="4" t="n">
        <v>0</v>
      </c>
      <c r="K138" s="2">
        <f>CHOOSE($J138+1, "意志 +58", "意志 +63", "意志 +69", "意志 +75")</f>
        <v/>
      </c>
      <c r="L138" s="4" t="n">
        <v>0</v>
      </c>
      <c r="M138" s="2">
        <f>CHOOSE($L138+1, "物理伤害加成 +11.499999999999999%", "物理伤害加成 +12.65%", "物理伤害加成 +13.8%", "物理伤害加成 +14.95%")</f>
        <v/>
      </c>
      <c r="N138" s="2" t="inlineStr">
        <is>
          <t>suit_atk02</t>
        </is>
      </c>
      <c r="O138" s="2" t="inlineStr">
        <is>
          <t>50式应龙</t>
        </is>
      </c>
      <c r="P138" s="2"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38" s="2"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39" ht="22" customHeight="1">
      <c r="A139" s="5" t="inlineStr">
        <is>
          <t>item_equip_t4_suit_atk02_body_02</t>
        </is>
      </c>
      <c r="B139" s="5" t="inlineStr">
        <is>
          <t>50式应龙重甲·壹型</t>
        </is>
      </c>
      <c r="C139" s="5" t="inlineStr">
        <is>
          <t>武陵</t>
        </is>
      </c>
      <c r="D139" s="6" t="n">
        <v>70</v>
      </c>
      <c r="E139" s="5" t="inlineStr">
        <is>
          <t>护甲</t>
        </is>
      </c>
      <c r="F139" s="6" t="n">
        <v>5</v>
      </c>
      <c r="G139" s="5" t="inlineStr">
        <is>
          <t>防御力 +56</t>
        </is>
      </c>
      <c r="H139" s="7" t="n">
        <v>0</v>
      </c>
      <c r="I139" s="5">
        <f>CHOOSE($H139+1, "敏捷 +87", "敏捷 +95", "敏捷 +104", "敏捷 +113")</f>
        <v/>
      </c>
      <c r="J139" s="7" t="n">
        <v>0</v>
      </c>
      <c r="K139" s="5">
        <f>CHOOSE($J139+1, "力量 +58", "力量 +63", "力量 +69", "力量 +75")</f>
        <v/>
      </c>
      <c r="L139" s="7" t="n">
        <v>0</v>
      </c>
      <c r="M139" s="5">
        <f>CHOOSE($L139+1, "终结技充能效率 +12.32142857142857%", "终结技充能效率 +13.553572%", "终结技充能效率 +14.785714%", "终结技充能效率 +16.017857%")</f>
        <v/>
      </c>
      <c r="N139" s="5" t="inlineStr">
        <is>
          <t>suit_atk02</t>
        </is>
      </c>
      <c r="O139" s="5" t="inlineStr">
        <is>
          <t>50式应龙</t>
        </is>
      </c>
      <c r="P139" s="5"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39" s="5"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40" ht="22" customHeight="1">
      <c r="A140" s="2" t="inlineStr">
        <is>
          <t>item_equip_t4_suit_atk02_body_03</t>
        </is>
      </c>
      <c r="B140" s="2" t="inlineStr">
        <is>
          <t>50式应龙重甲·贰型</t>
        </is>
      </c>
      <c r="C140" s="2" t="inlineStr">
        <is>
          <t>武陵</t>
        </is>
      </c>
      <c r="D140" s="3" t="n">
        <v>70</v>
      </c>
      <c r="E140" s="2" t="inlineStr">
        <is>
          <t>护甲</t>
        </is>
      </c>
      <c r="F140" s="3" t="n">
        <v>5</v>
      </c>
      <c r="G140" s="2" t="inlineStr">
        <is>
          <t>防御力 +56</t>
        </is>
      </c>
      <c r="H140" s="4" t="n">
        <v>0</v>
      </c>
      <c r="I140" s="2">
        <f>CHOOSE($H140+1, "敏捷 +87", "敏捷 +95", "敏捷 +104", "敏捷 +113")</f>
        <v/>
      </c>
      <c r="J140" s="4" t="n">
        <v>0</v>
      </c>
      <c r="K140" s="2">
        <f>CHOOSE($J140+1, "智识 +58", "智识 +63", "智识 +69", "智识 +75")</f>
        <v/>
      </c>
      <c r="L140" s="4" t="n">
        <v>0</v>
      </c>
      <c r="M140" s="2">
        <f>CHOOSE($L140+1, "连携技伤害加成 +20.7%", "连携技伤害加成 +22.77%", "连携技伤害加成 +24.84%", "连携技伤害加成 +26.91%")</f>
        <v/>
      </c>
      <c r="N140" s="2" t="inlineStr">
        <is>
          <t>suit_atk02</t>
        </is>
      </c>
      <c r="O140" s="2" t="inlineStr">
        <is>
          <t>50式应龙</t>
        </is>
      </c>
      <c r="P140" s="2"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0" s="2"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41" ht="22" customHeight="1">
      <c r="A141" s="5" t="inlineStr">
        <is>
          <t>item_equip_t4_suit_atk02_body_04</t>
        </is>
      </c>
      <c r="B141" s="5" t="inlineStr">
        <is>
          <t>50式应龙轻甲</t>
        </is>
      </c>
      <c r="C141" s="5" t="inlineStr">
        <is>
          <t>武陵</t>
        </is>
      </c>
      <c r="D141" s="6" t="n">
        <v>70</v>
      </c>
      <c r="E141" s="5" t="inlineStr">
        <is>
          <t>护甲</t>
        </is>
      </c>
      <c r="F141" s="6" t="n">
        <v>5</v>
      </c>
      <c r="G141" s="5" t="inlineStr">
        <is>
          <t>防御力 +56</t>
        </is>
      </c>
      <c r="H141" s="7" t="n">
        <v>0</v>
      </c>
      <c r="I141" s="5">
        <f>CHOOSE($H141+1, "意志 +87", "意志 +95", "意志 +104", "意志 +113")</f>
        <v/>
      </c>
      <c r="J141" s="7" t="n">
        <v>0</v>
      </c>
      <c r="K141" s="5">
        <f>CHOOSE($J141+1, "力量 +58", "力量 +63", "力量 +69", "力量 +75")</f>
        <v/>
      </c>
      <c r="L141" s="7" t="n">
        <v>0</v>
      </c>
      <c r="M141" s="5">
        <f>CHOOSE($L141+1, "所有技能伤害加成 +13.799999999999998%", "所有技能伤害加成 +15.18%", "所有技能伤害加成 +16.56%", "所有技能伤害加成 +17.94%")</f>
        <v/>
      </c>
      <c r="N141" s="5" t="inlineStr">
        <is>
          <t>suit_atk02</t>
        </is>
      </c>
      <c r="O141" s="5" t="inlineStr">
        <is>
          <t>50式应龙</t>
        </is>
      </c>
      <c r="P141" s="5"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1" s="5" t="inlineStr">
        <is>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is>
      </c>
    </row>
    <row r="142" ht="22" customHeight="1">
      <c r="A142" s="2" t="inlineStr">
        <is>
          <t>item_equip_t4_suit_atk02_hand_01</t>
        </is>
      </c>
      <c r="B142" s="2" t="inlineStr">
        <is>
          <t>50式应龙护手</t>
        </is>
      </c>
      <c r="C142" s="2" t="inlineStr">
        <is>
          <t>武陵</t>
        </is>
      </c>
      <c r="D142" s="3" t="n">
        <v>70</v>
      </c>
      <c r="E142" s="2" t="inlineStr">
        <is>
          <t>护手</t>
        </is>
      </c>
      <c r="F142" s="3" t="n">
        <v>5</v>
      </c>
      <c r="G142" s="2" t="inlineStr">
        <is>
          <t>防御力 +42</t>
        </is>
      </c>
      <c r="H142" s="4" t="n">
        <v>0</v>
      </c>
      <c r="I142" s="2">
        <f>CHOOSE($H142+1, "敏捷 +65", "敏捷 +71", "敏捷 +78", "敏捷 +84")</f>
        <v/>
      </c>
      <c r="J142" s="4" t="n">
        <v>0</v>
      </c>
      <c r="K142" s="2">
        <f>CHOOSE($J142+1, "智识 +43", "智识 +47", "智识 +51", "智识 +55")</f>
        <v/>
      </c>
      <c r="L142" s="4" t="n">
        <v>0</v>
      </c>
      <c r="M142" s="2">
        <f>CHOOSE($L142+1, "连携技伤害加成 +34.5%", "连携技伤害加成 +37.95%", "连携技伤害加成 +41.4%", "连携技伤害加成 +44.85%")</f>
        <v/>
      </c>
      <c r="N142" s="2" t="inlineStr">
        <is>
          <t>suit_atk02</t>
        </is>
      </c>
      <c r="O142" s="2" t="inlineStr">
        <is>
          <t>50式应龙</t>
        </is>
      </c>
      <c r="P142" s="2"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2" s="2" t="inlineStr">
        <is>
          <t>本装备由宏山选剑局设计，使用集成工业系统制造，能够提高使用者的作战能力。应龙特勤队所配装备的民用版，缺少了关键力量，但具备了普适性。 “我并不觊觎那份被赠与的力量，我离它十分遥远，我该成为支撑他们的骨骼。”</t>
        </is>
      </c>
    </row>
    <row r="143" ht="22" customHeight="1">
      <c r="A143" s="5" t="inlineStr">
        <is>
          <t>item_equip_t4_suit_atk02_hand_02</t>
        </is>
      </c>
      <c r="B143" s="5" t="inlineStr">
        <is>
          <t>50式应龙护手·壹型</t>
        </is>
      </c>
      <c r="C143" s="5" t="inlineStr">
        <is>
          <t>武陵</t>
        </is>
      </c>
      <c r="D143" s="6" t="n">
        <v>70</v>
      </c>
      <c r="E143" s="5" t="inlineStr">
        <is>
          <t>护手</t>
        </is>
      </c>
      <c r="F143" s="6" t="n">
        <v>5</v>
      </c>
      <c r="G143" s="5" t="inlineStr">
        <is>
          <t>防御力 +42</t>
        </is>
      </c>
      <c r="H143" s="7" t="n">
        <v>0</v>
      </c>
      <c r="I143" s="5">
        <f>CHOOSE($H143+1, "意志 +65", "意志 +71", "意志 +78", "意志 +84")</f>
        <v/>
      </c>
      <c r="J143" s="7" t="n">
        <v>0</v>
      </c>
      <c r="K143" s="5">
        <f>CHOOSE($J143+1, "敏捷 +43", "敏捷 +47", "敏捷 +51", "敏捷 +55")</f>
        <v/>
      </c>
      <c r="L143" s="7" t="n">
        <v>0</v>
      </c>
      <c r="M143" s="5">
        <f>CHOOSE($L143+1, "连携技伤害加成 +34.5%", "连携技伤害加成 +37.95%", "连携技伤害加成 +41.4%", "连携技伤害加成 +44.85%")</f>
        <v/>
      </c>
      <c r="N143" s="5" t="inlineStr">
        <is>
          <t>suit_atk02</t>
        </is>
      </c>
      <c r="O143" s="5" t="inlineStr">
        <is>
          <t>50式应龙</t>
        </is>
      </c>
      <c r="P143" s="5"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3" s="5" t="inlineStr">
        <is>
          <t>本装备由宏山选剑局设计，使用集成工业系统制造，能够提高使用者的作战能力。应龙特勤队所配装备的民用版，缺少了关键力量，但具备了普适性。 “我并不觊觎那份被赠与的力量，我离它十分遥远，我该成为支撑他们的骨骼。”</t>
        </is>
      </c>
    </row>
    <row r="144" ht="22" customHeight="1">
      <c r="A144" s="2" t="inlineStr">
        <is>
          <t>item_equip_t4_suit_atk02_edc_04</t>
        </is>
      </c>
      <c r="B144" s="2" t="inlineStr">
        <is>
          <t>50式应龙短刃</t>
        </is>
      </c>
      <c r="C144" s="2" t="inlineStr">
        <is>
          <t>武陵</t>
        </is>
      </c>
      <c r="D144" s="3" t="n">
        <v>70</v>
      </c>
      <c r="E144" s="2" t="inlineStr">
        <is>
          <t>配件</t>
        </is>
      </c>
      <c r="F144" s="3" t="n">
        <v>5</v>
      </c>
      <c r="G144" s="2" t="inlineStr">
        <is>
          <t>防御力 +21</t>
        </is>
      </c>
      <c r="H144" s="4" t="n">
        <v>0</v>
      </c>
      <c r="I144" s="2">
        <f>CHOOSE($H144+1, "意志 +32", "意志 +35", "意志 +38", "意志 +41")</f>
        <v/>
      </c>
      <c r="J144" s="4" t="n">
        <v>0</v>
      </c>
      <c r="K144" s="2">
        <f>CHOOSE($J144+1, "敏捷 +21", "敏捷 +23", "敏捷 +25", "敏捷 +27")</f>
        <v/>
      </c>
      <c r="L144" s="4" t="n">
        <v>0</v>
      </c>
      <c r="M144" s="2">
        <f>CHOOSE($L144+1, "连携技伤害加成 +41.4%", "连携技伤害加成 +45.54%", "连携技伤害加成 +49.68%", "连携技伤害加成 +53.82%")</f>
        <v/>
      </c>
      <c r="N144" s="2" t="inlineStr">
        <is>
          <t>suit_atk02</t>
        </is>
      </c>
      <c r="O144" s="2" t="inlineStr">
        <is>
          <t>50式应龙</t>
        </is>
      </c>
      <c r="P144" s="2"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4" s="2" t="inlineStr">
        <is>
          <t>本装备由宏山选剑局设计，使用集成工业系统制造，能够提高使用者的作战能力。应龙特勤队所配装备的民用版，缺少了关键力量，但具备了普适性。 “曾和我一起训练的熟面孔，我看着他们担起重责，镇守重地，这让我觉得……我像个从惨烈战场上逃走的战败者，一个逃兵。”</t>
        </is>
      </c>
    </row>
    <row r="145" ht="22" customHeight="1">
      <c r="A145" s="5" t="inlineStr">
        <is>
          <t>item_equip_t4_suit_atk02_edc_05</t>
        </is>
      </c>
      <c r="B145" s="5" t="inlineStr">
        <is>
          <t>50式应龙短刃·壹型</t>
        </is>
      </c>
      <c r="C145" s="5" t="inlineStr">
        <is>
          <t>武陵</t>
        </is>
      </c>
      <c r="D145" s="6" t="n">
        <v>70</v>
      </c>
      <c r="E145" s="5" t="inlineStr">
        <is>
          <t>配件</t>
        </is>
      </c>
      <c r="F145" s="6" t="n">
        <v>5</v>
      </c>
      <c r="G145" s="5" t="inlineStr">
        <is>
          <t>防御力 +21</t>
        </is>
      </c>
      <c r="H145" s="7" t="n">
        <v>0</v>
      </c>
      <c r="I145" s="5">
        <f>CHOOSE($H145+1, "智识 +32", "智识 +35", "智识 +38", "智识 +41")</f>
        <v/>
      </c>
      <c r="J145" s="7" t="n">
        <v>0</v>
      </c>
      <c r="K145" s="5">
        <f>CHOOSE($J145+1, "力量 +21", "力量 +23", "力量 +25", "力量 +27")</f>
        <v/>
      </c>
      <c r="L145" s="7" t="n">
        <v>0</v>
      </c>
      <c r="M145" s="5">
        <f>CHOOSE($L145+1, "所有技能伤害加成 +27.599999999999997%", "所有技能伤害加成 +30.36%", "所有技能伤害加成 +33.12%", "所有技能伤害加成 +35.88%")</f>
        <v/>
      </c>
      <c r="N145" s="5" t="inlineStr">
        <is>
          <t>suit_atk02</t>
        </is>
      </c>
      <c r="O145" s="5" t="inlineStr">
        <is>
          <t>50式应龙</t>
        </is>
      </c>
      <c r="P145" s="5"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5" s="5" t="inlineStr">
        <is>
          <t>本装备由宏山选剑局设计，使用集成工业系统制造，能够提高使用者的作战能力。应龙特勤队所配装备的民用版，缺少了关键力量，但具备了普适性。 “曾和我一起训练的熟面孔，我看着他们担起重责，镇守重地，这让我觉得……我像个从惨烈战场上逃走的战败者，一个逃兵。”</t>
        </is>
      </c>
    </row>
    <row r="146" ht="22" customHeight="1">
      <c r="A146" s="2" t="inlineStr">
        <is>
          <t>item_equip_t4_suit_atk02_edc_01</t>
        </is>
      </c>
      <c r="B146" s="2" t="inlineStr">
        <is>
          <t>50式应龙雷达</t>
        </is>
      </c>
      <c r="C146" s="2" t="inlineStr">
        <is>
          <t>武陵</t>
        </is>
      </c>
      <c r="D146" s="3" t="n">
        <v>70</v>
      </c>
      <c r="E146" s="2" t="inlineStr">
        <is>
          <t>配件</t>
        </is>
      </c>
      <c r="F146" s="3" t="n">
        <v>5</v>
      </c>
      <c r="G146" s="2" t="inlineStr">
        <is>
          <t>防御力 +21</t>
        </is>
      </c>
      <c r="H146" s="4" t="n">
        <v>0</v>
      </c>
      <c r="I146" s="2">
        <f>CHOOSE($H146+1, "力量 +32", "力量 +35", "力量 +38", "力量 +41")</f>
        <v/>
      </c>
      <c r="J146" s="4" t="n">
        <v>0</v>
      </c>
      <c r="K146" s="2">
        <f>CHOOSE($J146+1, "意志 +21", "意志 +23", "意志 +25", "意志 +27")</f>
        <v/>
      </c>
      <c r="L146" s="4" t="n">
        <v>0</v>
      </c>
      <c r="M146" s="2">
        <f>CHOOSE($L146+1, "物理伤害加成 +22.999999999999998%", "物理伤害加成 +25.3%", "物理伤害加成 +27.6%", "物理伤害加成 +29.9%")</f>
        <v/>
      </c>
      <c r="N146" s="2" t="inlineStr">
        <is>
          <t>suit_atk02</t>
        </is>
      </c>
      <c r="O146" s="2" t="inlineStr">
        <is>
          <t>50式应龙</t>
        </is>
      </c>
      <c r="P146" s="2"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6" s="2" t="inlineStr">
        <is>
          <t>本装备由宏山选剑局设计，使用集成工业系统制造，能够提高使用者的作战能力。应龙特勤队所配装备的民用版，缺少了关键力量，但具备了普适性。 优化设计完成那天，他提起笔，在设计图边留下几个字——“天坼地裂，我亦胜之”。</t>
        </is>
      </c>
    </row>
    <row r="147" ht="22" customHeight="1">
      <c r="A147" s="5" t="inlineStr">
        <is>
          <t>item_equip_t4_suit_atk02_edc_02</t>
        </is>
      </c>
      <c r="B147" s="5" t="inlineStr">
        <is>
          <t>50式应龙雷达·壹型</t>
        </is>
      </c>
      <c r="C147" s="5" t="inlineStr">
        <is>
          <t>武陵</t>
        </is>
      </c>
      <c r="D147" s="6" t="n">
        <v>70</v>
      </c>
      <c r="E147" s="5" t="inlineStr">
        <is>
          <t>配件</t>
        </is>
      </c>
      <c r="F147" s="6" t="n">
        <v>5</v>
      </c>
      <c r="G147" s="5" t="inlineStr">
        <is>
          <t>防御力 +21</t>
        </is>
      </c>
      <c r="H147" s="7" t="n">
        <v>0</v>
      </c>
      <c r="I147" s="5">
        <f>CHOOSE($H147+1, "敏捷 +32", "敏捷 +35", "敏捷 +38", "敏捷 +41")</f>
        <v/>
      </c>
      <c r="J147" s="7" t="n">
        <v>0</v>
      </c>
      <c r="K147" s="5">
        <f>CHOOSE($J147+1, "力量 +21", "力量 +23", "力量 +25", "力量 +27")</f>
        <v/>
      </c>
      <c r="L147" s="7" t="n">
        <v>0</v>
      </c>
      <c r="M147" s="5">
        <f>CHOOSE($L147+1, "终结技伤害加成 +51.75%", "终结技伤害加成 +56.925%", "终结技伤害加成 +62.1%", "终结技伤害加成 +67.275%")</f>
        <v/>
      </c>
      <c r="N147" s="5" t="inlineStr">
        <is>
          <t>suit_atk02</t>
        </is>
      </c>
      <c r="O147" s="5" t="inlineStr">
        <is>
          <t>50式应龙</t>
        </is>
      </c>
      <c r="P147" s="5"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7" s="5" t="inlineStr">
        <is>
          <t>本装备由宏山选剑局设计，使用集成工业系统制造，能够提高使用者的作战能力。应龙特勤队所配装备的民用版，缺少了关键力量，但具备了普适性。 优化设计完成那天，他提起笔，在设计图边留下几个字——“天坼地裂，我亦胜之”。</t>
        </is>
      </c>
    </row>
    <row r="148" ht="22" customHeight="1">
      <c r="A148" s="2" t="inlineStr">
        <is>
          <t>item_equip_t4_suit_atk02_edc_03</t>
        </is>
      </c>
      <c r="B148" s="2" t="inlineStr">
        <is>
          <t>50式应龙雷达·贰型</t>
        </is>
      </c>
      <c r="C148" s="2" t="inlineStr">
        <is>
          <t>武陵</t>
        </is>
      </c>
      <c r="D148" s="3" t="n">
        <v>70</v>
      </c>
      <c r="E148" s="2" t="inlineStr">
        <is>
          <t>配件</t>
        </is>
      </c>
      <c r="F148" s="3" t="n">
        <v>5</v>
      </c>
      <c r="G148" s="2" t="inlineStr">
        <is>
          <t>防御力 +21</t>
        </is>
      </c>
      <c r="H148" s="4" t="n">
        <v>0</v>
      </c>
      <c r="I148" s="2">
        <f>CHOOSE($H148+1, "敏捷 +32", "敏捷 +35", "敏捷 +38", "敏捷 +41")</f>
        <v/>
      </c>
      <c r="J148" s="4" t="n">
        <v>0</v>
      </c>
      <c r="K148" s="2">
        <f>CHOOSE($J148+1, "智识 +21", "智识 +23", "智识 +25", "智识 +27")</f>
        <v/>
      </c>
      <c r="L148" s="4" t="n">
        <v>0</v>
      </c>
      <c r="M148" s="2">
        <f>CHOOSE($L148+1, "连携技伤害加成 +41.4%", "连携技伤害加成 +45.54%", "连携技伤害加成 +49.68%", "连携技伤害加成 +53.82%")</f>
        <v/>
      </c>
      <c r="N148" s="2" t="inlineStr">
        <is>
          <t>suit_atk02</t>
        </is>
      </c>
      <c r="O148" s="2" t="inlineStr">
        <is>
          <t>50式应龙</t>
        </is>
      </c>
      <c r="P148" s="2" t="inlineStr">
        <is>
          <r>
            <rPr>
              <rFont val="微软雅黑"/>
              <sz val="10"/>
            </rPr>
            <t>3件套组效果：装备者攻击力</t>
          </r>
          <r>
            <rPr>
              <rFont val="微软雅黑"/>
              <b val="1"/>
              <color rgb="009eb7ff"/>
              <sz val="10"/>
            </rPr>
            <t>+15%</t>
          </r>
          <r>
            <rPr>
              <rFont val="微软雅黑"/>
              <sz val="10"/>
            </rPr>
            <t>。当小队内任意干员施放战技时，装备者获得一层</t>
          </r>
          <r>
            <rPr>
              <rFont val="微软雅黑"/>
              <b val="1"/>
              <color rgb="0033c2ff"/>
              <sz val="10"/>
            </rPr>
            <t>应龙之锐</t>
          </r>
          <r>
            <rPr>
              <rFont val="微软雅黑"/>
              <sz val="10"/>
            </rPr>
            <t>，使得该干员下一次连携技伤害</t>
          </r>
          <r>
            <rPr>
              <rFont val="微软雅黑"/>
              <b val="1"/>
              <color rgb="009eb7ff"/>
              <sz val="10"/>
            </rPr>
            <t>+20%</t>
          </r>
          <r>
            <rPr>
              <rFont val="微软雅黑"/>
              <sz val="10"/>
            </rPr>
            <t>，</t>
          </r>
          <r>
            <rPr>
              <rFont val="微软雅黑"/>
              <b val="1"/>
              <color rgb="0033c2ff"/>
              <sz val="10"/>
            </rPr>
            <t>应龙之锐</t>
          </r>
          <r>
            <rPr>
              <rFont val="微软雅黑"/>
              <sz val="10"/>
            </rPr>
            <t>最多叠加3层。</t>
          </r>
        </is>
      </c>
      <c r="Q148" s="2" t="inlineStr">
        <is>
          <t>本装备由宏山选剑局设计，使用集成工业系统制造，能够提高使用者的作战能力。应龙特勤队所配装备的民用版，缺少了关键力量，但具备了普适性。 优化设计完成那天，他提起笔，在设计图边留下几个字——“天坼地裂，我亦胜之”。</t>
        </is>
      </c>
    </row>
    <row r="149" ht="22" customHeight="1">
      <c r="A149" s="5" t="inlineStr">
        <is>
          <t>item_equip_t4_suit_burst01_body_01</t>
        </is>
      </c>
      <c r="B149" s="5" t="inlineStr">
        <is>
          <t>落潮轻甲</t>
        </is>
      </c>
      <c r="C149" s="5" t="inlineStr">
        <is>
          <t>武陵</t>
        </is>
      </c>
      <c r="D149" s="6" t="n">
        <v>70</v>
      </c>
      <c r="E149" s="5" t="inlineStr">
        <is>
          <t>护甲</t>
        </is>
      </c>
      <c r="F149" s="6" t="n">
        <v>5</v>
      </c>
      <c r="G149" s="5" t="inlineStr">
        <is>
          <t>防御力 +56</t>
        </is>
      </c>
      <c r="H149" s="7" t="n">
        <v>0</v>
      </c>
      <c r="I149" s="5">
        <f>CHOOSE($H149+1, "智识 +87", "智识 +95", "智识 +104", "智识 +113")</f>
        <v/>
      </c>
      <c r="J149" s="7" t="n">
        <v>0</v>
      </c>
      <c r="K149" s="5">
        <f>CHOOSE($J149+1, "力量 +58", "力量 +63", "力量 +69", "力量 +75")</f>
        <v/>
      </c>
      <c r="L149" s="7" t="n">
        <v>0</v>
      </c>
      <c r="M149" s="5">
        <f>CHOOSE($L149+1, "终结技充能效率 +12.32142857142857%", "终结技充能效率 +13.553572%", "终结技充能效率 +14.785714%", "终结技充能效率 +16.017857%")</f>
        <v/>
      </c>
      <c r="N149" s="5" t="inlineStr">
        <is>
          <t>suit_burst01</t>
        </is>
      </c>
      <c r="O149" s="5" t="inlineStr">
        <is>
          <t>潮涌</t>
        </is>
      </c>
      <c r="P149" s="5" t="inlineStr">
        <is>
          <r>
            <rPr>
              <rFont val="微软雅黑"/>
              <sz val="10"/>
            </rPr>
            <t>3件套组效果：装备者所有技能伤害</t>
          </r>
          <r>
            <rPr>
              <rFont val="微软雅黑"/>
              <b val="1"/>
              <color rgb="009eb7ff"/>
              <sz val="10"/>
            </rPr>
            <t>+20%</t>
          </r>
          <r>
            <rPr>
              <rFont val="微软雅黑"/>
              <sz val="10"/>
            </rPr>
            <t>。装备者使敌人达到</t>
          </r>
          <r>
            <rPr>
              <rFont val="微软雅黑"/>
              <b val="1"/>
              <color rgb="0033c2ff"/>
              <sz val="10"/>
            </rPr>
            <t>2</t>
          </r>
          <r>
            <rPr>
              <rFont val="微软雅黑"/>
              <sz val="10"/>
            </rPr>
            <t>层及以上</t>
          </r>
          <r>
            <rPr>
              <rFont val="微软雅黑"/>
              <b val="1"/>
              <color rgb="0033c2ff"/>
              <sz val="10"/>
              <u val="single"/>
            </rPr>
            <t>法术附着</t>
          </r>
          <r>
            <rPr>
              <rFont val="微软雅黑"/>
              <sz val="10"/>
            </rPr>
            <t>后，造成的</t>
          </r>
          <r>
            <rPr>
              <rFont val="微软雅黑"/>
              <b val="1"/>
              <color rgb="0033c2ff"/>
              <sz val="10"/>
            </rPr>
            <t>法术伤害</t>
          </r>
          <r>
            <rPr>
              <rFont val="微软雅黑"/>
              <b val="1"/>
              <color rgb="009eb7ff"/>
              <sz val="10"/>
            </rPr>
            <t>+35%</t>
          </r>
          <r>
            <rPr>
              <rFont val="微软雅黑"/>
              <sz val="10"/>
            </rPr>
            <t>，持续15秒，该效果无法叠加。</t>
          </r>
        </is>
      </c>
      <c r="Q149" s="5" t="inlineStr">
        <is>
          <t>本装备由宏山选剑局设计，使用集成工业系统制造，能够提高使用者的作战能力。选剑局为侵蚀潮周边作业所设计的套组装备。 它是一段有关侵蚀潮的记忆：无情大潮始终拒绝生命。</t>
        </is>
      </c>
    </row>
    <row r="150" ht="22" customHeight="1">
      <c r="A150" s="2" t="inlineStr">
        <is>
          <t>item_equip_t4_suit_burst01_hand_01</t>
        </is>
      </c>
      <c r="B150" s="2" t="inlineStr">
        <is>
          <t>潮涌手甲</t>
        </is>
      </c>
      <c r="C150" s="2" t="inlineStr">
        <is>
          <t>武陵</t>
        </is>
      </c>
      <c r="D150" s="3" t="n">
        <v>70</v>
      </c>
      <c r="E150" s="2" t="inlineStr">
        <is>
          <t>护手</t>
        </is>
      </c>
      <c r="F150" s="3" t="n">
        <v>5</v>
      </c>
      <c r="G150" s="2" t="inlineStr">
        <is>
          <t>防御力 +42</t>
        </is>
      </c>
      <c r="H150" s="4" t="n">
        <v>0</v>
      </c>
      <c r="I150" s="2">
        <f>CHOOSE($H150+1, "力量 +65", "力量 +71", "力量 +78", "力量 +84")</f>
        <v/>
      </c>
      <c r="J150" s="4" t="n">
        <v>0</v>
      </c>
      <c r="K150" s="2">
        <f>CHOOSE($J150+1, "意志 +43", "意志 +47", "意志 +51", "意志 +55")</f>
        <v/>
      </c>
      <c r="L150" s="4" t="n">
        <v>0</v>
      </c>
      <c r="M150" s="2">
        <f>CHOOSE($L150+1, "寒冷和电磁伤害加成 +19.166666666666668%", "寒冷和电磁伤害加成 +21.083333%", "寒冷和电磁伤害加成 +23%", "寒冷和电磁伤害加成 +24.916667%")</f>
        <v/>
      </c>
      <c r="N150" s="2" t="inlineStr">
        <is>
          <t>suit_burst01</t>
        </is>
      </c>
      <c r="O150" s="2" t="inlineStr">
        <is>
          <t>潮涌</t>
        </is>
      </c>
      <c r="P150" s="2" t="inlineStr">
        <is>
          <r>
            <rPr>
              <rFont val="微软雅黑"/>
              <sz val="10"/>
            </rPr>
            <t>3件套组效果：装备者所有技能伤害</t>
          </r>
          <r>
            <rPr>
              <rFont val="微软雅黑"/>
              <b val="1"/>
              <color rgb="009eb7ff"/>
              <sz val="10"/>
            </rPr>
            <t>+20%</t>
          </r>
          <r>
            <rPr>
              <rFont val="微软雅黑"/>
              <sz val="10"/>
            </rPr>
            <t>。装备者使敌人达到</t>
          </r>
          <r>
            <rPr>
              <rFont val="微软雅黑"/>
              <b val="1"/>
              <color rgb="0033c2ff"/>
              <sz val="10"/>
            </rPr>
            <t>2</t>
          </r>
          <r>
            <rPr>
              <rFont val="微软雅黑"/>
              <sz val="10"/>
            </rPr>
            <t>层及以上</t>
          </r>
          <r>
            <rPr>
              <rFont val="微软雅黑"/>
              <b val="1"/>
              <color rgb="0033c2ff"/>
              <sz val="10"/>
              <u val="single"/>
            </rPr>
            <t>法术附着</t>
          </r>
          <r>
            <rPr>
              <rFont val="微软雅黑"/>
              <sz val="10"/>
            </rPr>
            <t>后，造成的</t>
          </r>
          <r>
            <rPr>
              <rFont val="微软雅黑"/>
              <b val="1"/>
              <color rgb="0033c2ff"/>
              <sz val="10"/>
            </rPr>
            <t>法术伤害</t>
          </r>
          <r>
            <rPr>
              <rFont val="微软雅黑"/>
              <b val="1"/>
              <color rgb="009eb7ff"/>
              <sz val="10"/>
            </rPr>
            <t>+35%</t>
          </r>
          <r>
            <rPr>
              <rFont val="微软雅黑"/>
              <sz val="10"/>
            </rPr>
            <t>，持续15秒，该效果无法叠加。</t>
          </r>
        </is>
      </c>
      <c r="Q150" s="2" t="inlineStr">
        <is>
          <t>本装备由宏山选剑局设计，使用集成工业系统制造，能够提高使用者的作战能力。选剑局为侵蚀潮周边作业所设计的套组装备。 它是一声有关侵蚀潮的疑问：古老堤堰是否溃自其内？</t>
        </is>
      </c>
    </row>
    <row r="151" ht="22" customHeight="1">
      <c r="A151" s="5" t="inlineStr">
        <is>
          <t>item_equip_t4_suit_burst01_edc_01</t>
        </is>
      </c>
      <c r="B151" s="5" t="inlineStr">
        <is>
          <t>悬河供氧栓</t>
        </is>
      </c>
      <c r="C151" s="5" t="inlineStr">
        <is>
          <t>武陵</t>
        </is>
      </c>
      <c r="D151" s="6" t="n">
        <v>70</v>
      </c>
      <c r="E151" s="5" t="inlineStr">
        <is>
          <t>配件</t>
        </is>
      </c>
      <c r="F151" s="6" t="n">
        <v>5</v>
      </c>
      <c r="G151" s="5" t="inlineStr">
        <is>
          <t>防御力 +21</t>
        </is>
      </c>
      <c r="H151" s="7" t="n">
        <v>0</v>
      </c>
      <c r="I151" s="5">
        <f>CHOOSE($H151+1, "力量 +32", "力量 +35", "力量 +38", "力量 +41")</f>
        <v/>
      </c>
      <c r="J151" s="7" t="n">
        <v>0</v>
      </c>
      <c r="K151" s="5">
        <f>CHOOSE($J151+1, "意志 +21", "意志 +23", "意志 +25", "意志 +27")</f>
        <v/>
      </c>
      <c r="L151" s="7" t="n">
        <v>0</v>
      </c>
      <c r="M151" s="5">
        <f>CHOOSE($L151+1, "寒冷和电磁伤害加成 +22.999999999999998%", "寒冷和电磁伤害加成 +25.3%", "寒冷和电磁伤害加成 +27.6%", "寒冷和电磁伤害加成 +29.9%")</f>
        <v/>
      </c>
      <c r="N151" s="5" t="inlineStr">
        <is>
          <t>suit_burst01</t>
        </is>
      </c>
      <c r="O151" s="5" t="inlineStr">
        <is>
          <t>潮涌</t>
        </is>
      </c>
      <c r="P151" s="5" t="inlineStr">
        <is>
          <r>
            <rPr>
              <rFont val="微软雅黑"/>
              <sz val="10"/>
            </rPr>
            <t>3件套组效果：装备者所有技能伤害</t>
          </r>
          <r>
            <rPr>
              <rFont val="微软雅黑"/>
              <b val="1"/>
              <color rgb="009eb7ff"/>
              <sz val="10"/>
            </rPr>
            <t>+20%</t>
          </r>
          <r>
            <rPr>
              <rFont val="微软雅黑"/>
              <sz val="10"/>
            </rPr>
            <t>。装备者使敌人达到</t>
          </r>
          <r>
            <rPr>
              <rFont val="微软雅黑"/>
              <b val="1"/>
              <color rgb="0033c2ff"/>
              <sz val="10"/>
            </rPr>
            <t>2</t>
          </r>
          <r>
            <rPr>
              <rFont val="微软雅黑"/>
              <sz val="10"/>
            </rPr>
            <t>层及以上</t>
          </r>
          <r>
            <rPr>
              <rFont val="微软雅黑"/>
              <b val="1"/>
              <color rgb="0033c2ff"/>
              <sz val="10"/>
              <u val="single"/>
            </rPr>
            <t>法术附着</t>
          </r>
          <r>
            <rPr>
              <rFont val="微软雅黑"/>
              <sz val="10"/>
            </rPr>
            <t>后，造成的</t>
          </r>
          <r>
            <rPr>
              <rFont val="微软雅黑"/>
              <b val="1"/>
              <color rgb="0033c2ff"/>
              <sz val="10"/>
            </rPr>
            <t>法术伤害</t>
          </r>
          <r>
            <rPr>
              <rFont val="微软雅黑"/>
              <b val="1"/>
              <color rgb="009eb7ff"/>
              <sz val="10"/>
            </rPr>
            <t>+35%</t>
          </r>
          <r>
            <rPr>
              <rFont val="微软雅黑"/>
              <sz val="10"/>
            </rPr>
            <t>，持续15秒，该效果无法叠加。</t>
          </r>
        </is>
      </c>
      <c r="Q151" s="5" t="inlineStr">
        <is>
          <t>本装备由宏山选剑局设计，使用集成工业系统制造，能够提高使用者的作战能力。选剑局为侵蚀潮周边作业所设计的套组装备。 它是一丝有关侵蚀潮的绝望：未知浊流早已席卷大地。</t>
        </is>
      </c>
    </row>
    <row r="152" ht="22" customHeight="1">
      <c r="A152" s="2" t="inlineStr">
        <is>
          <t>item_equip_t4_suit_burst01_edc_02</t>
        </is>
      </c>
      <c r="B152" s="2" t="inlineStr">
        <is>
          <t>浊流切割炬</t>
        </is>
      </c>
      <c r="C152" s="2" t="inlineStr">
        <is>
          <t>武陵</t>
        </is>
      </c>
      <c r="D152" s="3" t="n">
        <v>70</v>
      </c>
      <c r="E152" s="2" t="inlineStr">
        <is>
          <t>配件</t>
        </is>
      </c>
      <c r="F152" s="3" t="n">
        <v>5</v>
      </c>
      <c r="G152" s="2" t="inlineStr">
        <is>
          <t>防御力 +21</t>
        </is>
      </c>
      <c r="H152" s="4" t="n">
        <v>0</v>
      </c>
      <c r="I152" s="2">
        <f>CHOOSE($H152+1, "智识 +32", "智识 +35", "智识 +38", "智识 +41")</f>
        <v/>
      </c>
      <c r="J152" s="4" t="n">
        <v>0</v>
      </c>
      <c r="K152" s="2">
        <f>CHOOSE($J152+1, "力量 +21", "力量 +23", "力量 +25", "力量 +27")</f>
        <v/>
      </c>
      <c r="L152" s="4" t="n">
        <v>0</v>
      </c>
      <c r="M152" s="2">
        <f>CHOOSE($L152+1, "普通攻击伤害加成 +27.599999999999997%", "普通攻击伤害加成 +30.36%", "普通攻击伤害加成 +33.12%", "普通攻击伤害加成 +35.88%")</f>
        <v/>
      </c>
      <c r="N152" s="2" t="inlineStr">
        <is>
          <t>suit_burst01</t>
        </is>
      </c>
      <c r="O152" s="2" t="inlineStr">
        <is>
          <t>潮涌</t>
        </is>
      </c>
      <c r="P152" s="2" t="inlineStr">
        <is>
          <r>
            <rPr>
              <rFont val="微软雅黑"/>
              <sz val="10"/>
            </rPr>
            <t>3件套组效果：装备者所有技能伤害</t>
          </r>
          <r>
            <rPr>
              <rFont val="微软雅黑"/>
              <b val="1"/>
              <color rgb="009eb7ff"/>
              <sz val="10"/>
            </rPr>
            <t>+20%</t>
          </r>
          <r>
            <rPr>
              <rFont val="微软雅黑"/>
              <sz val="10"/>
            </rPr>
            <t>。装备者使敌人达到</t>
          </r>
          <r>
            <rPr>
              <rFont val="微软雅黑"/>
              <b val="1"/>
              <color rgb="0033c2ff"/>
              <sz val="10"/>
            </rPr>
            <t>2</t>
          </r>
          <r>
            <rPr>
              <rFont val="微软雅黑"/>
              <sz val="10"/>
            </rPr>
            <t>层及以上</t>
          </r>
          <r>
            <rPr>
              <rFont val="微软雅黑"/>
              <b val="1"/>
              <color rgb="0033c2ff"/>
              <sz val="10"/>
              <u val="single"/>
            </rPr>
            <t>法术附着</t>
          </r>
          <r>
            <rPr>
              <rFont val="微软雅黑"/>
              <sz val="10"/>
            </rPr>
            <t>后，造成的</t>
          </r>
          <r>
            <rPr>
              <rFont val="微软雅黑"/>
              <b val="1"/>
              <color rgb="0033c2ff"/>
              <sz val="10"/>
            </rPr>
            <t>法术伤害</t>
          </r>
          <r>
            <rPr>
              <rFont val="微软雅黑"/>
              <b val="1"/>
              <color rgb="009eb7ff"/>
              <sz val="10"/>
            </rPr>
            <t>+35%</t>
          </r>
          <r>
            <rPr>
              <rFont val="微软雅黑"/>
              <sz val="10"/>
            </rPr>
            <t>，持续15秒，该效果无法叠加。</t>
          </r>
        </is>
      </c>
      <c r="Q152" s="2" t="inlineStr">
        <is>
          <t>本装备由宏山选剑局设计，使用集成工业系统制造，能够提高使用者的作战能力。选剑局为侵蚀潮周边作业所设计的套组装备。 它是一缕有关侵蚀潮的恐惧：高悬灾厄何时坠入眼眸？</t>
        </is>
      </c>
    </row>
    <row r="153" ht="22" customHeight="1">
      <c r="A153" s="5" t="inlineStr">
        <is>
          <t>item_equip_t4_suit_usp02_body_01</t>
        </is>
      </c>
      <c r="B153" s="5" t="inlineStr">
        <is>
          <t>长息装甲</t>
        </is>
      </c>
      <c r="C153" s="5" t="inlineStr">
        <is>
          <t>武陵</t>
        </is>
      </c>
      <c r="D153" s="6" t="n">
        <v>70</v>
      </c>
      <c r="E153" s="5" t="inlineStr">
        <is>
          <t>护甲</t>
        </is>
      </c>
      <c r="F153" s="6" t="n">
        <v>5</v>
      </c>
      <c r="G153" s="5" t="inlineStr">
        <is>
          <t>防御力 +56</t>
        </is>
      </c>
      <c r="H153" s="7" t="n">
        <v>0</v>
      </c>
      <c r="I153" s="5">
        <f>CHOOSE($H153+1, "意志 +87", "意志 +95", "意志 +104", "意志 +113")</f>
        <v/>
      </c>
      <c r="J153" s="7" t="n">
        <v>0</v>
      </c>
      <c r="K153" s="5">
        <f>CHOOSE($J153+1, "智识 +58", "智识 +63", "智识 +69", "智识 +75")</f>
        <v/>
      </c>
      <c r="L153" s="7" t="n">
        <v>0</v>
      </c>
      <c r="M153" s="5">
        <f>CHOOSE($L153+1, "源石技艺强度 +20.7", "源石技艺强度 +22.77", "源石技艺强度 +24.84", "源石技艺强度 +26.91")</f>
        <v/>
      </c>
      <c r="N153" s="5" t="inlineStr">
        <is>
          <t>suit_usp02</t>
        </is>
      </c>
      <c r="O153" s="5" t="inlineStr">
        <is>
          <t>长息</t>
        </is>
      </c>
      <c r="P153" s="5" t="inlineStr">
        <is>
          <r>
            <rPr>
              <rFont val="微软雅黑"/>
              <sz val="10"/>
            </rPr>
            <t>3件套组效果：装备者生命值</t>
          </r>
          <r>
            <rPr>
              <rFont val="微软雅黑"/>
              <b val="1"/>
              <color rgb="009eb7ff"/>
              <sz val="10"/>
            </rPr>
            <t>+1000</t>
          </r>
          <r>
            <rPr>
              <rFont val="微软雅黑"/>
              <sz val="10"/>
            </rPr>
            <t>。装备者施加</t>
          </r>
          <r>
            <rPr>
              <rFont val="微软雅黑"/>
              <b val="1"/>
              <color rgb="0033c2ff"/>
              <sz val="10"/>
              <u val="single"/>
            </rPr>
            <t>增幅</t>
          </r>
          <r>
            <rPr>
              <rFont val="微软雅黑"/>
              <sz val="10"/>
            </rPr>
            <t>、</t>
          </r>
          <r>
            <rPr>
              <rFont val="微软雅黑"/>
              <b val="1"/>
              <color rgb="0033c2ff"/>
              <sz val="10"/>
              <u val="single"/>
            </rPr>
            <t>庇护</t>
          </r>
          <r>
            <rPr>
              <rFont val="微软雅黑"/>
              <sz val="10"/>
            </rPr>
            <t>、</t>
          </r>
          <r>
            <rPr>
              <rFont val="微软雅黑"/>
              <b val="1"/>
              <color rgb="0033c2ff"/>
              <sz val="10"/>
              <u val="single"/>
            </rPr>
            <t>脆弱</t>
          </r>
          <r>
            <rPr>
              <rFont val="微软雅黑"/>
              <sz val="10"/>
            </rPr>
            <t>、</t>
          </r>
          <r>
            <rPr>
              <rFont val="微软雅黑"/>
              <b val="1"/>
              <color rgb="0033c2ff"/>
              <sz val="10"/>
              <u val="single"/>
            </rPr>
            <t>虚弱</t>
          </r>
          <r>
            <rPr>
              <rFont val="微软雅黑"/>
              <sz val="10"/>
            </rPr>
            <t>后，使其他队友造成的伤害</t>
          </r>
          <r>
            <rPr>
              <rFont val="微软雅黑"/>
              <b val="1"/>
              <color rgb="009eb7ff"/>
              <sz val="10"/>
            </rPr>
            <t>+16%</t>
          </r>
          <r>
            <rPr>
              <rFont val="微软雅黑"/>
              <sz val="10"/>
            </rPr>
            <t>，持续15秒。该效果无法叠加。</t>
          </r>
        </is>
      </c>
      <c r="Q153" s="5" t="inlineStr">
        <is>
          <t>本装备由宏山选剑局设计，使用集成工业系统制造，能够提高使用者的作战能力。某位“疯狂”天师的遗世之作。 常人或许很难将厨艺与息壤供能联系在一起，但武陵城中偏偏有人能在餐馆中获得设计灵感。</t>
        </is>
      </c>
    </row>
    <row r="154" ht="22" customHeight="1">
      <c r="A154" s="2" t="inlineStr">
        <is>
          <t>item_equip_t4_suit_usp02_hand_01</t>
        </is>
      </c>
      <c r="B154" s="2" t="inlineStr">
        <is>
          <t>长息护手</t>
        </is>
      </c>
      <c r="C154" s="2" t="inlineStr">
        <is>
          <t>武陵</t>
        </is>
      </c>
      <c r="D154" s="3" t="n">
        <v>70</v>
      </c>
      <c r="E154" s="2" t="inlineStr">
        <is>
          <t>护手</t>
        </is>
      </c>
      <c r="F154" s="3" t="n">
        <v>5</v>
      </c>
      <c r="G154" s="2" t="inlineStr">
        <is>
          <t>防御力 +42</t>
        </is>
      </c>
      <c r="H154" s="4" t="n">
        <v>0</v>
      </c>
      <c r="I154" s="2">
        <f>CHOOSE($H154+1, "智识 +65", "智识 +71", "智识 +78", "智识 +84")</f>
        <v/>
      </c>
      <c r="J154" s="4" t="n">
        <v>0</v>
      </c>
      <c r="K154" s="2">
        <f>CHOOSE($J154+1, "力量 +43", "力量 +47", "力量 +51", "力量 +55")</f>
        <v/>
      </c>
      <c r="L154" s="4" t="n">
        <v>0</v>
      </c>
      <c r="M154" s="2">
        <f>CHOOSE($L154+1, "终结技充能效率 +20.535714285714285%", "终结技充能效率 +22.589286%", "终结技充能效率 +24.642856%", "终结技充能效率 +26.69643%")</f>
        <v/>
      </c>
      <c r="N154" s="2" t="inlineStr">
        <is>
          <t>suit_usp02</t>
        </is>
      </c>
      <c r="O154" s="2" t="inlineStr">
        <is>
          <t>长息</t>
        </is>
      </c>
      <c r="P154" s="2" t="inlineStr">
        <is>
          <r>
            <rPr>
              <rFont val="微软雅黑"/>
              <sz val="10"/>
            </rPr>
            <t>3件套组效果：装备者生命值</t>
          </r>
          <r>
            <rPr>
              <rFont val="微软雅黑"/>
              <b val="1"/>
              <color rgb="009eb7ff"/>
              <sz val="10"/>
            </rPr>
            <t>+1000</t>
          </r>
          <r>
            <rPr>
              <rFont val="微软雅黑"/>
              <sz val="10"/>
            </rPr>
            <t>。装备者施加</t>
          </r>
          <r>
            <rPr>
              <rFont val="微软雅黑"/>
              <b val="1"/>
              <color rgb="0033c2ff"/>
              <sz val="10"/>
              <u val="single"/>
            </rPr>
            <t>增幅</t>
          </r>
          <r>
            <rPr>
              <rFont val="微软雅黑"/>
              <sz val="10"/>
            </rPr>
            <t>、</t>
          </r>
          <r>
            <rPr>
              <rFont val="微软雅黑"/>
              <b val="1"/>
              <color rgb="0033c2ff"/>
              <sz val="10"/>
              <u val="single"/>
            </rPr>
            <t>庇护</t>
          </r>
          <r>
            <rPr>
              <rFont val="微软雅黑"/>
              <sz val="10"/>
            </rPr>
            <t>、</t>
          </r>
          <r>
            <rPr>
              <rFont val="微软雅黑"/>
              <b val="1"/>
              <color rgb="0033c2ff"/>
              <sz val="10"/>
              <u val="single"/>
            </rPr>
            <t>脆弱</t>
          </r>
          <r>
            <rPr>
              <rFont val="微软雅黑"/>
              <sz val="10"/>
            </rPr>
            <t>、</t>
          </r>
          <r>
            <rPr>
              <rFont val="微软雅黑"/>
              <b val="1"/>
              <color rgb="0033c2ff"/>
              <sz val="10"/>
              <u val="single"/>
            </rPr>
            <t>虚弱</t>
          </r>
          <r>
            <rPr>
              <rFont val="微软雅黑"/>
              <sz val="10"/>
            </rPr>
            <t>后，使其他队友造成的伤害</t>
          </r>
          <r>
            <rPr>
              <rFont val="微软雅黑"/>
              <b val="1"/>
              <color rgb="009eb7ff"/>
              <sz val="10"/>
            </rPr>
            <t>+16%</t>
          </r>
          <r>
            <rPr>
              <rFont val="微软雅黑"/>
              <sz val="10"/>
            </rPr>
            <t>，持续15秒。该效果无法叠加。</t>
          </r>
        </is>
      </c>
      <c r="Q154" s="2" t="inlineStr">
        <is>
          <t>本装备由宏山选剑局设计，使用集成工业系统制造，能够提高使用者的作战能力。某位“疯狂”天师的遗世之作。 ……数日后，疯狂的天师开始拒绝一切“不能让自己获得灵感”的食物，随即，为了探寻“能吞入腹中的息壤”，骨瘦如柴的他消失在了荒野中。</t>
        </is>
      </c>
    </row>
    <row r="155" ht="22" customHeight="1">
      <c r="A155" s="5" t="inlineStr">
        <is>
          <t>item_equip_t4_suit_usp02_hand_02</t>
        </is>
      </c>
      <c r="B155" s="5" t="inlineStr">
        <is>
          <t>长息护手·壹型</t>
        </is>
      </c>
      <c r="C155" s="5" t="inlineStr">
        <is>
          <t>武陵</t>
        </is>
      </c>
      <c r="D155" s="6" t="n">
        <v>70</v>
      </c>
      <c r="E155" s="5" t="inlineStr">
        <is>
          <t>护手</t>
        </is>
      </c>
      <c r="F155" s="6" t="n">
        <v>5</v>
      </c>
      <c r="G155" s="5" t="inlineStr">
        <is>
          <t>防御力 +42</t>
        </is>
      </c>
      <c r="H155" s="7" t="n">
        <v>0</v>
      </c>
      <c r="I155" s="5">
        <f>CHOOSE($H155+1, "智识 +65", "智识 +71", "智识 +78", "智识 +84")</f>
        <v/>
      </c>
      <c r="J155" s="7" t="n">
        <v>0</v>
      </c>
      <c r="K155" s="5">
        <f>CHOOSE($J155+1, "意志 +43", "意志 +47", "意志 +51", "意志 +55")</f>
        <v/>
      </c>
      <c r="L155" s="7" t="n">
        <v>0</v>
      </c>
      <c r="M155" s="5">
        <f>CHOOSE($L155+1, "终结技充能效率 +20.535714285714285%", "终结技充能效率 +22.589286%", "终结技充能效率 +24.642856%", "终结技充能效率 +26.69643%")</f>
        <v/>
      </c>
      <c r="N155" s="5" t="inlineStr">
        <is>
          <t>suit_usp02</t>
        </is>
      </c>
      <c r="O155" s="5" t="inlineStr">
        <is>
          <t>长息</t>
        </is>
      </c>
      <c r="P155" s="5" t="inlineStr">
        <is>
          <r>
            <rPr>
              <rFont val="微软雅黑"/>
              <sz val="10"/>
            </rPr>
            <t>3件套组效果：装备者生命值</t>
          </r>
          <r>
            <rPr>
              <rFont val="微软雅黑"/>
              <b val="1"/>
              <color rgb="009eb7ff"/>
              <sz val="10"/>
            </rPr>
            <t>+1000</t>
          </r>
          <r>
            <rPr>
              <rFont val="微软雅黑"/>
              <sz val="10"/>
            </rPr>
            <t>。装备者施加</t>
          </r>
          <r>
            <rPr>
              <rFont val="微软雅黑"/>
              <b val="1"/>
              <color rgb="0033c2ff"/>
              <sz val="10"/>
              <u val="single"/>
            </rPr>
            <t>增幅</t>
          </r>
          <r>
            <rPr>
              <rFont val="微软雅黑"/>
              <sz val="10"/>
            </rPr>
            <t>、</t>
          </r>
          <r>
            <rPr>
              <rFont val="微软雅黑"/>
              <b val="1"/>
              <color rgb="0033c2ff"/>
              <sz val="10"/>
              <u val="single"/>
            </rPr>
            <t>庇护</t>
          </r>
          <r>
            <rPr>
              <rFont val="微软雅黑"/>
              <sz val="10"/>
            </rPr>
            <t>、</t>
          </r>
          <r>
            <rPr>
              <rFont val="微软雅黑"/>
              <b val="1"/>
              <color rgb="0033c2ff"/>
              <sz val="10"/>
              <u val="single"/>
            </rPr>
            <t>脆弱</t>
          </r>
          <r>
            <rPr>
              <rFont val="微软雅黑"/>
              <sz val="10"/>
            </rPr>
            <t>、</t>
          </r>
          <r>
            <rPr>
              <rFont val="微软雅黑"/>
              <b val="1"/>
              <color rgb="0033c2ff"/>
              <sz val="10"/>
              <u val="single"/>
            </rPr>
            <t>虚弱</t>
          </r>
          <r>
            <rPr>
              <rFont val="微软雅黑"/>
              <sz val="10"/>
            </rPr>
            <t>后，使其他队友造成的伤害</t>
          </r>
          <r>
            <rPr>
              <rFont val="微软雅黑"/>
              <b val="1"/>
              <color rgb="009eb7ff"/>
              <sz val="10"/>
            </rPr>
            <t>+16%</t>
          </r>
          <r>
            <rPr>
              <rFont val="微软雅黑"/>
              <sz val="10"/>
            </rPr>
            <t>，持续15秒。该效果无法叠加。</t>
          </r>
        </is>
      </c>
      <c r="Q155" s="5" t="inlineStr">
        <is>
          <t>本装备由宏山选剑局设计，使用集成工业系统制造，能够提高使用者的作战能力。某位“疯狂”天师的遗世之作。 ……数日后，疯狂的天师开始拒绝一切“不能让自己获得灵感”的食物，随即，为了探寻“能吞入腹中的息壤”，骨瘦如柴的他消失在了荒野中。</t>
        </is>
      </c>
    </row>
    <row r="156" ht="22" customHeight="1">
      <c r="A156" s="2" t="inlineStr">
        <is>
          <t>item_equip_t4_suit_usp02_edc_01</t>
        </is>
      </c>
      <c r="B156" s="2" t="inlineStr">
        <is>
          <t>长息蓄电核</t>
        </is>
      </c>
      <c r="C156" s="2" t="inlineStr">
        <is>
          <t>武陵</t>
        </is>
      </c>
      <c r="D156" s="3" t="n">
        <v>70</v>
      </c>
      <c r="E156" s="2" t="inlineStr">
        <is>
          <t>配件</t>
        </is>
      </c>
      <c r="F156" s="3" t="n">
        <v>5</v>
      </c>
      <c r="G156" s="2" t="inlineStr">
        <is>
          <t>防御力 +21</t>
        </is>
      </c>
      <c r="H156" s="4" t="n">
        <v>0</v>
      </c>
      <c r="I156" s="2">
        <f>CHOOSE($H156+1, "智识 +32", "智识 +35", "智识 +38", "智识 +41")</f>
        <v/>
      </c>
      <c r="J156" s="4" t="n">
        <v>0</v>
      </c>
      <c r="K156" s="2">
        <f>CHOOSE($J156+1, "力量 +21", "力量 +23", "力量 +25", "力量 +27")</f>
        <v/>
      </c>
      <c r="L156" s="4" t="n">
        <v>0</v>
      </c>
      <c r="M156" s="2">
        <f>CHOOSE($L156+1, "终结技充能效率 +24.64285714285714%", "终结技充能效率 +27.107143%", "终结技充能效率 +29.57143%", "终结技充能效率 +32.035714%")</f>
        <v/>
      </c>
      <c r="N156" s="2" t="inlineStr">
        <is>
          <t>suit_usp02</t>
        </is>
      </c>
      <c r="O156" s="2" t="inlineStr">
        <is>
          <t>长息</t>
        </is>
      </c>
      <c r="P156" s="2" t="inlineStr">
        <is>
          <r>
            <rPr>
              <rFont val="微软雅黑"/>
              <sz val="10"/>
            </rPr>
            <t>3件套组效果：装备者生命值</t>
          </r>
          <r>
            <rPr>
              <rFont val="微软雅黑"/>
              <b val="1"/>
              <color rgb="009eb7ff"/>
              <sz val="10"/>
            </rPr>
            <t>+1000</t>
          </r>
          <r>
            <rPr>
              <rFont val="微软雅黑"/>
              <sz val="10"/>
            </rPr>
            <t>。装备者施加</t>
          </r>
          <r>
            <rPr>
              <rFont val="微软雅黑"/>
              <b val="1"/>
              <color rgb="0033c2ff"/>
              <sz val="10"/>
              <u val="single"/>
            </rPr>
            <t>增幅</t>
          </r>
          <r>
            <rPr>
              <rFont val="微软雅黑"/>
              <sz val="10"/>
            </rPr>
            <t>、</t>
          </r>
          <r>
            <rPr>
              <rFont val="微软雅黑"/>
              <b val="1"/>
              <color rgb="0033c2ff"/>
              <sz val="10"/>
              <u val="single"/>
            </rPr>
            <t>庇护</t>
          </r>
          <r>
            <rPr>
              <rFont val="微软雅黑"/>
              <sz val="10"/>
            </rPr>
            <t>、</t>
          </r>
          <r>
            <rPr>
              <rFont val="微软雅黑"/>
              <b val="1"/>
              <color rgb="0033c2ff"/>
              <sz val="10"/>
              <u val="single"/>
            </rPr>
            <t>脆弱</t>
          </r>
          <r>
            <rPr>
              <rFont val="微软雅黑"/>
              <sz val="10"/>
            </rPr>
            <t>、</t>
          </r>
          <r>
            <rPr>
              <rFont val="微软雅黑"/>
              <b val="1"/>
              <color rgb="0033c2ff"/>
              <sz val="10"/>
              <u val="single"/>
            </rPr>
            <t>虚弱</t>
          </r>
          <r>
            <rPr>
              <rFont val="微软雅黑"/>
              <sz val="10"/>
            </rPr>
            <t>后，使其他队友造成的伤害</t>
          </r>
          <r>
            <rPr>
              <rFont val="微软雅黑"/>
              <b val="1"/>
              <color rgb="009eb7ff"/>
              <sz val="10"/>
            </rPr>
            <t>+16%</t>
          </r>
          <r>
            <rPr>
              <rFont val="微软雅黑"/>
              <sz val="10"/>
            </rPr>
            <t>，持续15秒。该效果无法叠加。</t>
          </r>
        </is>
      </c>
      <c r="Q156" s="2" t="inlineStr">
        <is>
          <t>本装备由宏山选剑局设计，使用集成工业系统制造，能够提高使用者的作战能力。某位“疯狂”天师的遗世之作。 ……他也曾端着一盆“竹沥炖豆腐”穿街而过，并宣称新一代息壤冷却技术终于被他烹饪了出来。</t>
        </is>
      </c>
    </row>
    <row r="157" ht="22" customHeight="1">
      <c r="A157" s="5" t="inlineStr">
        <is>
          <t>item_equip_t4_suit_usp02_edc_02</t>
        </is>
      </c>
      <c r="B157" s="5" t="inlineStr">
        <is>
          <t>长息蓄电核·壹型</t>
        </is>
      </c>
      <c r="C157" s="5" t="inlineStr">
        <is>
          <t>武陵</t>
        </is>
      </c>
      <c r="D157" s="6" t="n">
        <v>70</v>
      </c>
      <c r="E157" s="5" t="inlineStr">
        <is>
          <t>配件</t>
        </is>
      </c>
      <c r="F157" s="6" t="n">
        <v>5</v>
      </c>
      <c r="G157" s="5" t="inlineStr">
        <is>
          <t>防御力 +21</t>
        </is>
      </c>
      <c r="H157" s="7" t="n">
        <v>0</v>
      </c>
      <c r="I157" s="5">
        <f>CHOOSE($H157+1, "智识 +32", "智识 +35", "智识 +38", "智识 +41")</f>
        <v/>
      </c>
      <c r="J157" s="7" t="n">
        <v>0</v>
      </c>
      <c r="K157" s="5">
        <f>CHOOSE($J157+1, "意志 +21", "意志 +23", "意志 +25", "意志 +27")</f>
        <v/>
      </c>
      <c r="L157" s="7" t="n">
        <v>0</v>
      </c>
      <c r="M157" s="5">
        <f>CHOOSE($L157+1, "治疗效率加成 +20.7%", "治疗效率加成 +22.77%", "治疗效率加成 +24.84%", "治疗效率加成 +26.91%")</f>
        <v/>
      </c>
      <c r="N157" s="5" t="inlineStr">
        <is>
          <t>suit_usp02</t>
        </is>
      </c>
      <c r="O157" s="5" t="inlineStr">
        <is>
          <t>长息</t>
        </is>
      </c>
      <c r="P157" s="5" t="inlineStr">
        <is>
          <r>
            <rPr>
              <rFont val="微软雅黑"/>
              <sz val="10"/>
            </rPr>
            <t>3件套组效果：装备者生命值</t>
          </r>
          <r>
            <rPr>
              <rFont val="微软雅黑"/>
              <b val="1"/>
              <color rgb="009eb7ff"/>
              <sz val="10"/>
            </rPr>
            <t>+1000</t>
          </r>
          <r>
            <rPr>
              <rFont val="微软雅黑"/>
              <sz val="10"/>
            </rPr>
            <t>。装备者施加</t>
          </r>
          <r>
            <rPr>
              <rFont val="微软雅黑"/>
              <b val="1"/>
              <color rgb="0033c2ff"/>
              <sz val="10"/>
              <u val="single"/>
            </rPr>
            <t>增幅</t>
          </r>
          <r>
            <rPr>
              <rFont val="微软雅黑"/>
              <sz val="10"/>
            </rPr>
            <t>、</t>
          </r>
          <r>
            <rPr>
              <rFont val="微软雅黑"/>
              <b val="1"/>
              <color rgb="0033c2ff"/>
              <sz val="10"/>
              <u val="single"/>
            </rPr>
            <t>庇护</t>
          </r>
          <r>
            <rPr>
              <rFont val="微软雅黑"/>
              <sz val="10"/>
            </rPr>
            <t>、</t>
          </r>
          <r>
            <rPr>
              <rFont val="微软雅黑"/>
              <b val="1"/>
              <color rgb="0033c2ff"/>
              <sz val="10"/>
              <u val="single"/>
            </rPr>
            <t>脆弱</t>
          </r>
          <r>
            <rPr>
              <rFont val="微软雅黑"/>
              <sz val="10"/>
            </rPr>
            <t>、</t>
          </r>
          <r>
            <rPr>
              <rFont val="微软雅黑"/>
              <b val="1"/>
              <color rgb="0033c2ff"/>
              <sz val="10"/>
              <u val="single"/>
            </rPr>
            <t>虚弱</t>
          </r>
          <r>
            <rPr>
              <rFont val="微软雅黑"/>
              <sz val="10"/>
            </rPr>
            <t>后，使其他队友造成的伤害</t>
          </r>
          <r>
            <rPr>
              <rFont val="微软雅黑"/>
              <b val="1"/>
              <color rgb="009eb7ff"/>
              <sz val="10"/>
            </rPr>
            <t>+16%</t>
          </r>
          <r>
            <rPr>
              <rFont val="微软雅黑"/>
              <sz val="10"/>
            </rPr>
            <t>，持续15秒。该效果无法叠加。</t>
          </r>
        </is>
      </c>
      <c r="Q157" s="5" t="inlineStr">
        <is>
          <t>本装备由宏山选剑局设计，使用集成工业系统制造，能够提高使用者的作战能力。某位“疯狂”天师的遗世之作。 ……他也曾端着一盆“竹沥炖豆腐”穿街而过，并宣称新一代息壤冷却技术终于被他烹饪了出来。</t>
        </is>
      </c>
    </row>
    <row r="158" ht="22" customHeight="1">
      <c r="A158" s="2" t="inlineStr">
        <is>
          <t>item_equip_t4_suit_usp02_edc_03</t>
        </is>
      </c>
      <c r="B158" s="2" t="inlineStr">
        <is>
          <t>长息辅助臂</t>
        </is>
      </c>
      <c r="C158" s="2" t="inlineStr">
        <is>
          <t>武陵</t>
        </is>
      </c>
      <c r="D158" s="3" t="n">
        <v>70</v>
      </c>
      <c r="E158" s="2" t="inlineStr">
        <is>
          <t>配件</t>
        </is>
      </c>
      <c r="F158" s="3" t="n">
        <v>5</v>
      </c>
      <c r="G158" s="2" t="inlineStr">
        <is>
          <t>防御力 +21</t>
        </is>
      </c>
      <c r="H158" s="4" t="n">
        <v>0</v>
      </c>
      <c r="I158" s="2">
        <f>CHOOSE($H158+1, "意志 +32", "意志 +35", "意志 +38", "意志 +41")</f>
        <v/>
      </c>
      <c r="J158" s="4" t="n">
        <v>0</v>
      </c>
      <c r="K158" s="2">
        <f>CHOOSE($J158+1, "智识 +21", "智识 +23", "智识 +25", "智识 +27")</f>
        <v/>
      </c>
      <c r="L158" s="4" t="n">
        <v>0</v>
      </c>
      <c r="M158" s="2">
        <f>CHOOSE($L158+1, "终结技充能效率 +24.64285714285714%", "终结技充能效率 +27.107143%", "终结技充能效率 +29.57143%", "终结技充能效率 +32.035714%")</f>
        <v/>
      </c>
      <c r="N158" s="2" t="inlineStr">
        <is>
          <t>suit_usp02</t>
        </is>
      </c>
      <c r="O158" s="2" t="inlineStr">
        <is>
          <t>长息</t>
        </is>
      </c>
      <c r="P158" s="2" t="inlineStr">
        <is>
          <r>
            <rPr>
              <rFont val="微软雅黑"/>
              <sz val="10"/>
            </rPr>
            <t>3件套组效果：装备者生命值</t>
          </r>
          <r>
            <rPr>
              <rFont val="微软雅黑"/>
              <b val="1"/>
              <color rgb="009eb7ff"/>
              <sz val="10"/>
            </rPr>
            <t>+1000</t>
          </r>
          <r>
            <rPr>
              <rFont val="微软雅黑"/>
              <sz val="10"/>
            </rPr>
            <t>。装备者施加</t>
          </r>
          <r>
            <rPr>
              <rFont val="微软雅黑"/>
              <b val="1"/>
              <color rgb="0033c2ff"/>
              <sz val="10"/>
              <u val="single"/>
            </rPr>
            <t>增幅</t>
          </r>
          <r>
            <rPr>
              <rFont val="微软雅黑"/>
              <sz val="10"/>
            </rPr>
            <t>、</t>
          </r>
          <r>
            <rPr>
              <rFont val="微软雅黑"/>
              <b val="1"/>
              <color rgb="0033c2ff"/>
              <sz val="10"/>
              <u val="single"/>
            </rPr>
            <t>庇护</t>
          </r>
          <r>
            <rPr>
              <rFont val="微软雅黑"/>
              <sz val="10"/>
            </rPr>
            <t>、</t>
          </r>
          <r>
            <rPr>
              <rFont val="微软雅黑"/>
              <b val="1"/>
              <color rgb="0033c2ff"/>
              <sz val="10"/>
              <u val="single"/>
            </rPr>
            <t>脆弱</t>
          </r>
          <r>
            <rPr>
              <rFont val="微软雅黑"/>
              <sz val="10"/>
            </rPr>
            <t>、</t>
          </r>
          <r>
            <rPr>
              <rFont val="微软雅黑"/>
              <b val="1"/>
              <color rgb="0033c2ff"/>
              <sz val="10"/>
              <u val="single"/>
            </rPr>
            <t>虚弱</t>
          </r>
          <r>
            <rPr>
              <rFont val="微软雅黑"/>
              <sz val="10"/>
            </rPr>
            <t>后，使其他队友造成的伤害</t>
          </r>
          <r>
            <rPr>
              <rFont val="微软雅黑"/>
              <b val="1"/>
              <color rgb="009eb7ff"/>
              <sz val="10"/>
            </rPr>
            <t>+16%</t>
          </r>
          <r>
            <rPr>
              <rFont val="微软雅黑"/>
              <sz val="10"/>
            </rPr>
            <t>，持续15秒。该效果无法叠加。</t>
          </r>
        </is>
      </c>
      <c r="Q158" s="2" t="inlineStr">
        <is>
          <t>本装备由宏山选剑局设计，使用集成工业系统制造，能够提高使用者的作战能力。某位“疯狂”天师的遗世之作。 ……据说这位疯狂天师在乌萨斯厨师端上桌的火锅中看到了一种“生生不息的循环”，成功将长息装甲的续航时间提高了一倍。</t>
        </is>
      </c>
    </row>
    <row r="159" ht="22" customHeight="1">
      <c r="A159" s="5" t="inlineStr">
        <is>
          <t>item_equip_t0_parts_tundra01_body_01</t>
        </is>
      </c>
      <c r="B159" s="5" t="inlineStr">
        <is>
          <t>简易护甲</t>
        </is>
      </c>
      <c r="C159" s="5" t="inlineStr">
        <is>
          <t>四号谷地</t>
        </is>
      </c>
      <c r="D159" s="6" t="n">
        <v>10</v>
      </c>
      <c r="E159" s="5" t="inlineStr">
        <is>
          <t>护甲</t>
        </is>
      </c>
      <c r="F159" s="6" t="n">
        <v>1</v>
      </c>
      <c r="G159" s="5" t="inlineStr">
        <is>
          <t>防御力 +8</t>
        </is>
      </c>
      <c r="H159" s="7" t="n">
        <v>0</v>
      </c>
      <c r="I159" s="5">
        <f>CHOOSE($H159+1, "力量 +15", "无", "无", "无")</f>
        <v/>
      </c>
      <c r="J159" s="7" t="n">
        <v>0</v>
      </c>
      <c r="K159" s="5">
        <f>CHOOSE($J159+1, "敏捷 +10", "无", "无", "无")</f>
        <v/>
      </c>
      <c r="L159" s="7" t="n">
        <v>0</v>
      </c>
      <c r="M159" s="5">
        <f>CHOOSE($L159+1, "生命值 +46.3273721859878", "无", "无", "无")</f>
        <v/>
      </c>
      <c r="N159" s="5" t="inlineStr">
        <is>
          <t>无</t>
        </is>
      </c>
      <c r="O159" s="5" t="inlineStr">
        <is>
          <t>无</t>
        </is>
      </c>
      <c r="P159" s="5" t="inlineStr">
        <is>
          <r>
            <rPr>
              <rFont val="微软雅黑"/>
              <sz val="10"/>
            </rPr>
            <t>无</t>
          </r>
        </is>
      </c>
      <c r="Q159" s="5" t="inlineStr">
        <is>
          <t>本装备为临时制品，未通过终末地工业产品检验流程验证，防御能力有限。 结构简单的初级护甲。 它在心理上给人的鼓励远大于它的实际防御性能。</t>
        </is>
      </c>
    </row>
    <row r="160" ht="22" customHeight="1">
      <c r="A160" s="2" t="inlineStr">
        <is>
          <t>item_equip_t0_parts_tundra01_body_02</t>
        </is>
      </c>
      <c r="B160" s="2" t="inlineStr">
        <is>
          <t>简易护服</t>
        </is>
      </c>
      <c r="C160" s="2" t="inlineStr">
        <is>
          <t>四号谷地</t>
        </is>
      </c>
      <c r="D160" s="3" t="n">
        <v>10</v>
      </c>
      <c r="E160" s="2" t="inlineStr">
        <is>
          <t>护甲</t>
        </is>
      </c>
      <c r="F160" s="3" t="n">
        <v>1</v>
      </c>
      <c r="G160" s="2" t="inlineStr">
        <is>
          <t>防御力 +8</t>
        </is>
      </c>
      <c r="H160" s="4" t="n">
        <v>0</v>
      </c>
      <c r="I160" s="2">
        <f>CHOOSE($H160+1, "智识 +15", "无", "无", "无")</f>
        <v/>
      </c>
      <c r="J160" s="4" t="n">
        <v>0</v>
      </c>
      <c r="K160" s="2">
        <f>CHOOSE($J160+1, "意志 +10", "无", "无", "无")</f>
        <v/>
      </c>
      <c r="L160" s="4" t="n">
        <v>0</v>
      </c>
      <c r="M160" s="2">
        <f>CHOOSE($L160+1, "生命值 +46.3273721859878", "无", "无", "无")</f>
        <v/>
      </c>
      <c r="N160" s="2" t="inlineStr">
        <is>
          <t>无</t>
        </is>
      </c>
      <c r="O160" s="2" t="inlineStr">
        <is>
          <t>无</t>
        </is>
      </c>
      <c r="P160" s="2" t="inlineStr">
        <is>
          <r>
            <rPr>
              <rFont val="微软雅黑"/>
              <sz val="10"/>
            </rPr>
            <t>无</t>
          </r>
        </is>
      </c>
      <c r="Q160" s="2" t="inlineStr">
        <is>
          <t>本装备为临时制品，未通过终末地工业产品检验流程验证，防御能力有限。 结构简单的初级护甲。 它在心理上给人的鼓励远大于它的实际防御性能。</t>
        </is>
      </c>
    </row>
    <row r="161" ht="22" customHeight="1">
      <c r="A161" s="5" t="inlineStr">
        <is>
          <t>item_equip_t0_parts_tundra01_hand_01</t>
        </is>
      </c>
      <c r="B161" s="5" t="inlineStr">
        <is>
          <t>简易手甲</t>
        </is>
      </c>
      <c r="C161" s="5" t="inlineStr">
        <is>
          <t>四号谷地</t>
        </is>
      </c>
      <c r="D161" s="6" t="n">
        <v>10</v>
      </c>
      <c r="E161" s="5" t="inlineStr">
        <is>
          <t>护手</t>
        </is>
      </c>
      <c r="F161" s="6" t="n">
        <v>1</v>
      </c>
      <c r="G161" s="5" t="inlineStr">
        <is>
          <t>防御力 +6</t>
        </is>
      </c>
      <c r="H161" s="7" t="n">
        <v>0</v>
      </c>
      <c r="I161" s="5">
        <f>CHOOSE($H161+1, "力量 +11", "无", "无", "无")</f>
        <v/>
      </c>
      <c r="J161" s="7" t="n">
        <v>0</v>
      </c>
      <c r="K161" s="5">
        <f>CHOOSE($J161+1, "敏捷 +7", "无", "无", "无")</f>
        <v/>
      </c>
      <c r="L161" s="7" t="n">
        <v>0</v>
      </c>
      <c r="M161" s="5">
        <f>CHOOSE($L161+1, "生命值 +77.21228697664634", "无", "无", "无")</f>
        <v/>
      </c>
      <c r="N161" s="5" t="inlineStr">
        <is>
          <t>无</t>
        </is>
      </c>
      <c r="O161" s="5" t="inlineStr">
        <is>
          <t>无</t>
        </is>
      </c>
      <c r="P161" s="5" t="inlineStr">
        <is>
          <r>
            <rPr>
              <rFont val="微软雅黑"/>
              <sz val="10"/>
            </rPr>
            <t>无</t>
          </r>
        </is>
      </c>
      <c r="Q161" s="5" t="inlineStr">
        <is>
          <t>本装备为临时制品，未通过终末地工业产品检验流程验证，防御能力有限。 结构简单的初级护甲。 它在心理上给人的鼓励远大于它的实际防御性能。</t>
        </is>
      </c>
    </row>
    <row r="162" ht="22" customHeight="1">
      <c r="A162" s="2" t="inlineStr">
        <is>
          <t>item_equip_t0_parts_tundra01_hand_02</t>
        </is>
      </c>
      <c r="B162" s="2" t="inlineStr">
        <is>
          <t>简易护手</t>
        </is>
      </c>
      <c r="C162" s="2" t="inlineStr">
        <is>
          <t>四号谷地</t>
        </is>
      </c>
      <c r="D162" s="3" t="n">
        <v>10</v>
      </c>
      <c r="E162" s="2" t="inlineStr">
        <is>
          <t>护手</t>
        </is>
      </c>
      <c r="F162" s="3" t="n">
        <v>1</v>
      </c>
      <c r="G162" s="2" t="inlineStr">
        <is>
          <t>防御力 +6</t>
        </is>
      </c>
      <c r="H162" s="4" t="n">
        <v>0</v>
      </c>
      <c r="I162" s="2">
        <f>CHOOSE($H162+1, "智识 +11", "无", "无", "无")</f>
        <v/>
      </c>
      <c r="J162" s="4" t="n">
        <v>0</v>
      </c>
      <c r="K162" s="2">
        <f>CHOOSE($J162+1, "意志 +7", "无", "无", "无")</f>
        <v/>
      </c>
      <c r="L162" s="4" t="n">
        <v>0</v>
      </c>
      <c r="M162" s="2">
        <f>CHOOSE($L162+1, "生命值 +77.21228697664634", "无", "无", "无")</f>
        <v/>
      </c>
      <c r="N162" s="2" t="inlineStr">
        <is>
          <t>无</t>
        </is>
      </c>
      <c r="O162" s="2" t="inlineStr">
        <is>
          <t>无</t>
        </is>
      </c>
      <c r="P162" s="2" t="inlineStr">
        <is>
          <r>
            <rPr>
              <rFont val="微软雅黑"/>
              <sz val="10"/>
            </rPr>
            <t>无</t>
          </r>
        </is>
      </c>
      <c r="Q162" s="2" t="inlineStr">
        <is>
          <t>本装备为临时制品，未通过终末地工业产品检验流程验证，防御能力有限。 结构简单的初级护甲。 它在心理上给人的鼓励远大于它的实际防御性能。</t>
        </is>
      </c>
    </row>
    <row r="163" ht="22" customHeight="1">
      <c r="A163" s="5" t="inlineStr">
        <is>
          <t>item_equip_t1_parts_tundra01_body_02</t>
        </is>
      </c>
      <c r="B163" s="5" t="inlineStr">
        <is>
          <t>矿场防护服</t>
        </is>
      </c>
      <c r="C163" s="5" t="inlineStr">
        <is>
          <t>四号谷地</t>
        </is>
      </c>
      <c r="D163" s="6" t="n">
        <v>20</v>
      </c>
      <c r="E163" s="5" t="inlineStr">
        <is>
          <t>护甲</t>
        </is>
      </c>
      <c r="F163" s="6" t="n">
        <v>2</v>
      </c>
      <c r="G163" s="5" t="inlineStr">
        <is>
          <t>防御力 +16</t>
        </is>
      </c>
      <c r="H163" s="7" t="n">
        <v>0</v>
      </c>
      <c r="I163" s="5">
        <f>CHOOSE($H163+1, "智识 +27", "无", "无", "无")</f>
        <v/>
      </c>
      <c r="J163" s="7" t="n">
        <v>0</v>
      </c>
      <c r="K163" s="5">
        <f>CHOOSE($J163+1, "意志 +18", "无", "无", "无")</f>
        <v/>
      </c>
      <c r="L163" s="7" t="n">
        <v>0</v>
      </c>
      <c r="M163" s="5">
        <f>CHOOSE($L163+1, "生命值 +125.3763938565117", "无", "无", "无")</f>
        <v/>
      </c>
      <c r="N163" s="5" t="inlineStr">
        <is>
          <t>无</t>
        </is>
      </c>
      <c r="O163" s="5" t="inlineStr">
        <is>
          <t>无</t>
        </is>
      </c>
      <c r="P163" s="5" t="inlineStr">
        <is>
          <r>
            <rPr>
              <rFont val="微软雅黑"/>
              <sz val="10"/>
            </rPr>
            <t>无</t>
          </r>
        </is>
      </c>
      <c r="Q163"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4" ht="22" customHeight="1">
      <c r="A164" s="2" t="inlineStr">
        <is>
          <t>item_equip_t1_parts_tundra01_body_01</t>
        </is>
      </c>
      <c r="B164" s="2" t="inlineStr">
        <is>
          <t>矿场护甲</t>
        </is>
      </c>
      <c r="C164" s="2" t="inlineStr">
        <is>
          <t>四号谷地</t>
        </is>
      </c>
      <c r="D164" s="3" t="n">
        <v>20</v>
      </c>
      <c r="E164" s="2" t="inlineStr">
        <is>
          <t>护甲</t>
        </is>
      </c>
      <c r="F164" s="3" t="n">
        <v>2</v>
      </c>
      <c r="G164" s="2" t="inlineStr">
        <is>
          <t>防御力 +16</t>
        </is>
      </c>
      <c r="H164" s="4" t="n">
        <v>0</v>
      </c>
      <c r="I164" s="2">
        <f>CHOOSE($H164+1, "力量 +27", "无", "无", "无")</f>
        <v/>
      </c>
      <c r="J164" s="4" t="n">
        <v>0</v>
      </c>
      <c r="K164" s="2">
        <f>CHOOSE($J164+1, "敏捷 +18", "无", "无", "无")</f>
        <v/>
      </c>
      <c r="L164" s="4" t="n">
        <v>0</v>
      </c>
      <c r="M164" s="2">
        <f>CHOOSE($L164+1, "生命值 +125.3763938565117", "无", "无", "无")</f>
        <v/>
      </c>
      <c r="N164" s="2" t="inlineStr">
        <is>
          <t>无</t>
        </is>
      </c>
      <c r="O164" s="2" t="inlineStr">
        <is>
          <t>无</t>
        </is>
      </c>
      <c r="P164" s="2" t="inlineStr">
        <is>
          <r>
            <rPr>
              <rFont val="微软雅黑"/>
              <sz val="10"/>
            </rPr>
            <t>无</t>
          </r>
        </is>
      </c>
      <c r="Q164"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5" ht="22" customHeight="1">
      <c r="A165" s="5" t="inlineStr">
        <is>
          <t>item_equip_t1_parts_tundra01_hand_03</t>
        </is>
      </c>
      <c r="B165" s="5" t="inlineStr">
        <is>
          <t>矿场手套</t>
        </is>
      </c>
      <c r="C165" s="5" t="inlineStr">
        <is>
          <t>四号谷地</t>
        </is>
      </c>
      <c r="D165" s="6" t="n">
        <v>20</v>
      </c>
      <c r="E165" s="5" t="inlineStr">
        <is>
          <t>护手</t>
        </is>
      </c>
      <c r="F165" s="6" t="n">
        <v>2</v>
      </c>
      <c r="G165" s="5" t="inlineStr">
        <is>
          <t>防御力 +12</t>
        </is>
      </c>
      <c r="H165" s="7" t="n">
        <v>0</v>
      </c>
      <c r="I165" s="5">
        <f>CHOOSE($H165+1, "智识 +20", "无", "无", "无")</f>
        <v/>
      </c>
      <c r="J165" s="7" t="n">
        <v>0</v>
      </c>
      <c r="K165" s="5">
        <f>CHOOSE($J165+1, "意志 +13", "无", "无", "无")</f>
        <v/>
      </c>
      <c r="L165" s="7" t="n">
        <v>0</v>
      </c>
      <c r="M165" s="5">
        <f>CHOOSE($L165+1, "生命值 +11%", "无", "无", "无")</f>
        <v/>
      </c>
      <c r="N165" s="5" t="inlineStr">
        <is>
          <t>无</t>
        </is>
      </c>
      <c r="O165" s="5" t="inlineStr">
        <is>
          <t>无</t>
        </is>
      </c>
      <c r="P165" s="5" t="inlineStr">
        <is>
          <r>
            <rPr>
              <rFont val="微软雅黑"/>
              <sz val="10"/>
            </rPr>
            <t>无</t>
          </r>
        </is>
      </c>
      <c r="Q165"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6" ht="22" customHeight="1">
      <c r="A166" s="2" t="inlineStr">
        <is>
          <t>item_equip_t1_parts_tundra01_hand_01</t>
        </is>
      </c>
      <c r="B166" s="2" t="inlineStr">
        <is>
          <t>矿场手甲</t>
        </is>
      </c>
      <c r="C166" s="2" t="inlineStr">
        <is>
          <t>四号谷地</t>
        </is>
      </c>
      <c r="D166" s="3" t="n">
        <v>20</v>
      </c>
      <c r="E166" s="2" t="inlineStr">
        <is>
          <t>护手</t>
        </is>
      </c>
      <c r="F166" s="3" t="n">
        <v>2</v>
      </c>
      <c r="G166" s="2" t="inlineStr">
        <is>
          <t>防御力 +12</t>
        </is>
      </c>
      <c r="H166" s="4" t="n">
        <v>0</v>
      </c>
      <c r="I166" s="2">
        <f>CHOOSE($H166+1, "力量 +20", "无", "无", "无")</f>
        <v/>
      </c>
      <c r="J166" s="4" t="n">
        <v>0</v>
      </c>
      <c r="K166" s="2">
        <f>CHOOSE($J166+1, "敏捷 +13", "无", "无", "无")</f>
        <v/>
      </c>
      <c r="L166" s="4" t="n">
        <v>0</v>
      </c>
      <c r="M166" s="2">
        <f>CHOOSE($L166+1, "生命值 +11%", "无", "无", "无")</f>
        <v/>
      </c>
      <c r="N166" s="2" t="inlineStr">
        <is>
          <t>无</t>
        </is>
      </c>
      <c r="O166" s="2" t="inlineStr">
        <is>
          <t>无</t>
        </is>
      </c>
      <c r="P166" s="2" t="inlineStr">
        <is>
          <r>
            <rPr>
              <rFont val="微软雅黑"/>
              <sz val="10"/>
            </rPr>
            <t>无</t>
          </r>
        </is>
      </c>
      <c r="Q166"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7" ht="22" customHeight="1">
      <c r="A167" s="5" t="inlineStr">
        <is>
          <t>item_equip_t1_parts_tundra01_edc_02</t>
        </is>
      </c>
      <c r="B167" s="5" t="inlineStr">
        <is>
          <t>应急压缩核</t>
        </is>
      </c>
      <c r="C167" s="5" t="inlineStr">
        <is>
          <t>四号谷地</t>
        </is>
      </c>
      <c r="D167" s="6" t="n">
        <v>20</v>
      </c>
      <c r="E167" s="5" t="inlineStr">
        <is>
          <t>配件</t>
        </is>
      </c>
      <c r="F167" s="6" t="n">
        <v>2</v>
      </c>
      <c r="G167" s="5" t="inlineStr">
        <is>
          <t>防御力 +6</t>
        </is>
      </c>
      <c r="H167" s="7" t="n">
        <v>0</v>
      </c>
      <c r="I167" s="5">
        <f>CHOOSE($H167+1, "攻击力 +13.2%", "无", "无", "无")</f>
        <v/>
      </c>
      <c r="J167" s="7" t="n">
        <v>0</v>
      </c>
      <c r="K167" s="5" t="inlineStr">
        <is>
          <t>无</t>
        </is>
      </c>
      <c r="L167" s="7" t="n">
        <v>0</v>
      </c>
      <c r="M167" s="5" t="inlineStr">
        <is>
          <t>无</t>
        </is>
      </c>
      <c r="N167" s="5" t="inlineStr">
        <is>
          <t>无</t>
        </is>
      </c>
      <c r="O167" s="5" t="inlineStr">
        <is>
          <t>无</t>
        </is>
      </c>
      <c r="P167" s="5" t="inlineStr">
        <is>
          <r>
            <rPr>
              <rFont val="微软雅黑"/>
              <sz val="10"/>
            </rPr>
            <t>无</t>
          </r>
        </is>
      </c>
      <c r="Q167"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8" ht="22" customHeight="1">
      <c r="A168" s="2" t="inlineStr">
        <is>
          <t>item_equip_t1_parts_tundra01_edc_01</t>
        </is>
      </c>
      <c r="B168" s="2" t="inlineStr">
        <is>
          <t>应急联络仪</t>
        </is>
      </c>
      <c r="C168" s="2" t="inlineStr">
        <is>
          <t>四号谷地</t>
        </is>
      </c>
      <c r="D168" s="3" t="n">
        <v>20</v>
      </c>
      <c r="E168" s="2" t="inlineStr">
        <is>
          <t>配件</t>
        </is>
      </c>
      <c r="F168" s="3" t="n">
        <v>2</v>
      </c>
      <c r="G168" s="2" t="inlineStr">
        <is>
          <t>防御力 +6</t>
        </is>
      </c>
      <c r="H168" s="4" t="n">
        <v>0</v>
      </c>
      <c r="I168" s="2">
        <f>CHOOSE($H168+1, "暴击率 +6.6%", "无", "无", "无")</f>
        <v/>
      </c>
      <c r="J168" s="4" t="n">
        <v>0</v>
      </c>
      <c r="K168" s="2" t="inlineStr">
        <is>
          <t>无</t>
        </is>
      </c>
      <c r="L168" s="4" t="n">
        <v>0</v>
      </c>
      <c r="M168" s="2" t="inlineStr">
        <is>
          <t>无</t>
        </is>
      </c>
      <c r="N168" s="2" t="inlineStr">
        <is>
          <t>无</t>
        </is>
      </c>
      <c r="O168" s="2" t="inlineStr">
        <is>
          <t>无</t>
        </is>
      </c>
      <c r="P168" s="2" t="inlineStr">
        <is>
          <r>
            <rPr>
              <rFont val="微软雅黑"/>
              <sz val="10"/>
            </rPr>
            <t>无</t>
          </r>
        </is>
      </c>
      <c r="Q168"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69" ht="22" customHeight="1">
      <c r="A169" s="5" t="inlineStr">
        <is>
          <t>item_equip_t1_parts_tundra01_body_03</t>
        </is>
      </c>
      <c r="B169" s="5" t="inlineStr">
        <is>
          <t>测试型重甲</t>
        </is>
      </c>
      <c r="C169" s="5" t="inlineStr">
        <is>
          <t>四号谷地</t>
        </is>
      </c>
      <c r="D169" s="6" t="n">
        <v>28</v>
      </c>
      <c r="E169" s="5" t="inlineStr">
        <is>
          <t>护甲</t>
        </is>
      </c>
      <c r="F169" s="6" t="n">
        <v>2</v>
      </c>
      <c r="G169" s="5" t="inlineStr">
        <is>
          <t>防御力 +22.400000000000002</t>
        </is>
      </c>
      <c r="H169" s="7" t="n">
        <v>0</v>
      </c>
      <c r="I169" s="5">
        <f>CHOOSE($H169+1, "力量 +37", "无", "无", "无")</f>
        <v/>
      </c>
      <c r="J169" s="7" t="n">
        <v>0</v>
      </c>
      <c r="K169" s="5">
        <f>CHOOSE($J169+1, "智识 +25", "无", "无", "无")</f>
        <v/>
      </c>
      <c r="L169" s="7" t="n">
        <v>0</v>
      </c>
      <c r="M169" s="5">
        <f>CHOOSE($L169+1, "攻击力 +11.716709215321123", "无", "无", "无")</f>
        <v/>
      </c>
      <c r="N169" s="5" t="inlineStr">
        <is>
          <t>无</t>
        </is>
      </c>
      <c r="O169" s="5" t="inlineStr">
        <is>
          <t>无</t>
        </is>
      </c>
      <c r="P169" s="5" t="inlineStr">
        <is>
          <r>
            <rPr>
              <rFont val="微软雅黑"/>
              <sz val="10"/>
            </rPr>
            <t>无</t>
          </r>
        </is>
      </c>
      <c r="Q169" s="5" t="inlineStr">
        <is>
          <t>本装备由终末地工业自研，使用集成工业系统制造，能够提高使用者的作战能力。临时制成的装备。虽然足够重，但防护能力有限。</t>
        </is>
      </c>
    </row>
    <row r="170" ht="22" customHeight="1">
      <c r="A170" s="2" t="inlineStr">
        <is>
          <t>item_equip_t1_parts_tundra01_body_04</t>
        </is>
      </c>
      <c r="B170" s="2" t="inlineStr">
        <is>
          <t>测试型重甲·壹型</t>
        </is>
      </c>
      <c r="C170" s="2" t="inlineStr">
        <is>
          <t>四号谷地</t>
        </is>
      </c>
      <c r="D170" s="3" t="n">
        <v>28</v>
      </c>
      <c r="E170" s="2" t="inlineStr">
        <is>
          <t>护甲</t>
        </is>
      </c>
      <c r="F170" s="3" t="n">
        <v>2</v>
      </c>
      <c r="G170" s="2" t="inlineStr">
        <is>
          <t>防御力 +22.400000000000002</t>
        </is>
      </c>
      <c r="H170" s="4" t="n">
        <v>0</v>
      </c>
      <c r="I170" s="2">
        <f>CHOOSE($H170+1, "敏捷 +37", "无", "无", "无")</f>
        <v/>
      </c>
      <c r="J170" s="4" t="n">
        <v>0</v>
      </c>
      <c r="K170" s="2">
        <f>CHOOSE($J170+1, "意志 +25", "无", "无", "无")</f>
        <v/>
      </c>
      <c r="L170" s="4" t="n">
        <v>0</v>
      </c>
      <c r="M170" s="2">
        <f>CHOOSE($L170+1, "攻击力 +11.716709215321123", "无", "无", "无")</f>
        <v/>
      </c>
      <c r="N170" s="2" t="inlineStr">
        <is>
          <t>无</t>
        </is>
      </c>
      <c r="O170" s="2" t="inlineStr">
        <is>
          <t>无</t>
        </is>
      </c>
      <c r="P170" s="2" t="inlineStr">
        <is>
          <r>
            <rPr>
              <rFont val="微软雅黑"/>
              <sz val="10"/>
            </rPr>
            <t>无</t>
          </r>
        </is>
      </c>
      <c r="Q170" s="2" t="inlineStr">
        <is>
          <t>本装备由终末地工业自研，使用集成工业系统制造，能够提高使用者的作战能力。临时制成的装备，较之标准型有所微调。虽然足够重，但防护能力有限。</t>
        </is>
      </c>
    </row>
    <row r="171" ht="22" customHeight="1">
      <c r="A171" s="5" t="inlineStr">
        <is>
          <t>item_equip_t1_parts_tundra01_body_05</t>
        </is>
      </c>
      <c r="B171" s="5" t="inlineStr">
        <is>
          <t>矿场轻甲</t>
        </is>
      </c>
      <c r="C171" s="5" t="inlineStr">
        <is>
          <t>四号谷地</t>
        </is>
      </c>
      <c r="D171" s="6" t="n">
        <v>28</v>
      </c>
      <c r="E171" s="5" t="inlineStr">
        <is>
          <t>护甲</t>
        </is>
      </c>
      <c r="F171" s="6" t="n">
        <v>2</v>
      </c>
      <c r="G171" s="5" t="inlineStr">
        <is>
          <t>防御力 +22.400000000000002</t>
        </is>
      </c>
      <c r="H171" s="7" t="n">
        <v>0</v>
      </c>
      <c r="I171" s="5">
        <f>CHOOSE($H171+1, "敏捷 +37", "无", "无", "无")</f>
        <v/>
      </c>
      <c r="J171" s="7" t="n">
        <v>0</v>
      </c>
      <c r="K171" s="5">
        <f>CHOOSE($J171+1, "智识 +25", "无", "无", "无")</f>
        <v/>
      </c>
      <c r="L171" s="7" t="n">
        <v>0</v>
      </c>
      <c r="M171" s="5">
        <f>CHOOSE($L171+1, "生命值 +9%", "无", "无", "无")</f>
        <v/>
      </c>
      <c r="N171" s="5" t="inlineStr">
        <is>
          <t>无</t>
        </is>
      </c>
      <c r="O171" s="5" t="inlineStr">
        <is>
          <t>无</t>
        </is>
      </c>
      <c r="P171" s="5" t="inlineStr">
        <is>
          <r>
            <rPr>
              <rFont val="微软雅黑"/>
              <sz val="10"/>
            </rPr>
            <t>无</t>
          </r>
        </is>
      </c>
      <c r="Q171"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2" ht="22" customHeight="1">
      <c r="A172" s="2" t="inlineStr">
        <is>
          <t>item_equip_t1_parts_tundra01_body_06</t>
        </is>
      </c>
      <c r="B172" s="2" t="inlineStr">
        <is>
          <t>矿场滤尘衣</t>
        </is>
      </c>
      <c r="C172" s="2" t="inlineStr">
        <is>
          <t>四号谷地</t>
        </is>
      </c>
      <c r="D172" s="3" t="n">
        <v>28</v>
      </c>
      <c r="E172" s="2" t="inlineStr">
        <is>
          <t>护甲</t>
        </is>
      </c>
      <c r="F172" s="3" t="n">
        <v>2</v>
      </c>
      <c r="G172" s="2" t="inlineStr">
        <is>
          <t>防御力 +22.400000000000002</t>
        </is>
      </c>
      <c r="H172" s="4" t="n">
        <v>0</v>
      </c>
      <c r="I172" s="2">
        <f>CHOOSE($H172+1, "意志 +37", "无", "无", "无")</f>
        <v/>
      </c>
      <c r="J172" s="4" t="n">
        <v>0</v>
      </c>
      <c r="K172" s="2">
        <f>CHOOSE($J172+1, "敏捷 +25", "无", "无", "无")</f>
        <v/>
      </c>
      <c r="L172" s="4" t="n">
        <v>0</v>
      </c>
      <c r="M172" s="2">
        <f>CHOOSE($L172+1, "生命值 +9%", "无", "无", "无")</f>
        <v/>
      </c>
      <c r="N172" s="2" t="inlineStr">
        <is>
          <t>无</t>
        </is>
      </c>
      <c r="O172" s="2" t="inlineStr">
        <is>
          <t>无</t>
        </is>
      </c>
      <c r="P172" s="2" t="inlineStr">
        <is>
          <r>
            <rPr>
              <rFont val="微软雅黑"/>
              <sz val="10"/>
            </rPr>
            <t>无</t>
          </r>
        </is>
      </c>
      <c r="Q172"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3" ht="22" customHeight="1">
      <c r="A173" s="5" t="inlineStr">
        <is>
          <t>item_equip_t1_parts_tundra01_hand_02</t>
        </is>
      </c>
      <c r="B173" s="5" t="inlineStr">
        <is>
          <t>矿场护腕</t>
        </is>
      </c>
      <c r="C173" s="5" t="inlineStr">
        <is>
          <t>四号谷地</t>
        </is>
      </c>
      <c r="D173" s="6" t="n">
        <v>28</v>
      </c>
      <c r="E173" s="5" t="inlineStr">
        <is>
          <t>护手</t>
        </is>
      </c>
      <c r="F173" s="6" t="n">
        <v>2</v>
      </c>
      <c r="G173" s="5" t="inlineStr">
        <is>
          <t>防御力 +16.8</t>
        </is>
      </c>
      <c r="H173" s="7" t="n">
        <v>0</v>
      </c>
      <c r="I173" s="5">
        <f>CHOOSE($H173+1, "敏捷 +28", "无", "无", "无")</f>
        <v/>
      </c>
      <c r="J173" s="7" t="n">
        <v>0</v>
      </c>
      <c r="K173" s="5">
        <f>CHOOSE($J173+1, "力量 +18", "无", "无", "无")</f>
        <v/>
      </c>
      <c r="L173" s="7" t="n">
        <v>0</v>
      </c>
      <c r="M173" s="5">
        <f>CHOOSE($L173+1, "生命值 +15%", "无", "无", "无")</f>
        <v/>
      </c>
      <c r="N173" s="5" t="inlineStr">
        <is>
          <t>无</t>
        </is>
      </c>
      <c r="O173" s="5" t="inlineStr">
        <is>
          <t>无</t>
        </is>
      </c>
      <c r="P173" s="5" t="inlineStr">
        <is>
          <r>
            <rPr>
              <rFont val="微软雅黑"/>
              <sz val="10"/>
            </rPr>
            <t>无</t>
          </r>
        </is>
      </c>
      <c r="Q173"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4" ht="22" customHeight="1">
      <c r="A174" s="2" t="inlineStr">
        <is>
          <t>item_equip_t1_parts_tundra01_hand_04</t>
        </is>
      </c>
      <c r="B174" s="2" t="inlineStr">
        <is>
          <t>矿场护手</t>
        </is>
      </c>
      <c r="C174" s="2" t="inlineStr">
        <is>
          <t>四号谷地</t>
        </is>
      </c>
      <c r="D174" s="3" t="n">
        <v>28</v>
      </c>
      <c r="E174" s="2" t="inlineStr">
        <is>
          <t>护手</t>
        </is>
      </c>
      <c r="F174" s="3" t="n">
        <v>2</v>
      </c>
      <c r="G174" s="2" t="inlineStr">
        <is>
          <t>防御力 +16.8</t>
        </is>
      </c>
      <c r="H174" s="4" t="n">
        <v>0</v>
      </c>
      <c r="I174" s="2">
        <f>CHOOSE($H174+1, "意志 +28", "无", "无", "无")</f>
        <v/>
      </c>
      <c r="J174" s="4" t="n">
        <v>0</v>
      </c>
      <c r="K174" s="2">
        <f>CHOOSE($J174+1, "智识 +18", "无", "无", "无")</f>
        <v/>
      </c>
      <c r="L174" s="4" t="n">
        <v>0</v>
      </c>
      <c r="M174" s="2">
        <f>CHOOSE($L174+1, "生命值 +15%", "无", "无", "无")</f>
        <v/>
      </c>
      <c r="N174" s="2" t="inlineStr">
        <is>
          <t>无</t>
        </is>
      </c>
      <c r="O174" s="2" t="inlineStr">
        <is>
          <t>无</t>
        </is>
      </c>
      <c r="P174" s="2" t="inlineStr">
        <is>
          <r>
            <rPr>
              <rFont val="微软雅黑"/>
              <sz val="10"/>
            </rPr>
            <t>无</t>
          </r>
        </is>
      </c>
      <c r="Q174"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5" ht="22" customHeight="1">
      <c r="A175" s="5" t="inlineStr">
        <is>
          <t>item_equip_t2_parts_tundra01_hand_01</t>
        </is>
      </c>
      <c r="B175" s="5" t="inlineStr">
        <is>
          <t>矿场手甲·壹型</t>
        </is>
      </c>
      <c r="C175" s="5" t="inlineStr">
        <is>
          <t>四号谷地</t>
        </is>
      </c>
      <c r="D175" s="6" t="n">
        <v>36</v>
      </c>
      <c r="E175" s="5" t="inlineStr">
        <is>
          <t>护手</t>
        </is>
      </c>
      <c r="F175" s="6" t="n">
        <v>3</v>
      </c>
      <c r="G175" s="5" t="inlineStr">
        <is>
          <t>防御力 +21.599999999999998</t>
        </is>
      </c>
      <c r="H175" s="7" t="n">
        <v>0</v>
      </c>
      <c r="I175" s="5">
        <f>CHOOSE($H175+1, "力量 +36", "无", "无", "无")</f>
        <v/>
      </c>
      <c r="J175" s="7" t="n">
        <v>0</v>
      </c>
      <c r="K175" s="5">
        <f>CHOOSE($J175+1, "智识 +24", "无", "无", "无")</f>
        <v/>
      </c>
      <c r="L175" s="7" t="n">
        <v>0</v>
      </c>
      <c r="M175" s="5">
        <f>CHOOSE($L175+1, "攻击力 +9.5%", "无", "无", "无")</f>
        <v/>
      </c>
      <c r="N175" s="5" t="inlineStr">
        <is>
          <t>无</t>
        </is>
      </c>
      <c r="O175" s="5" t="inlineStr">
        <is>
          <t>无</t>
        </is>
      </c>
      <c r="P175" s="5" t="inlineStr">
        <is>
          <r>
            <rPr>
              <rFont val="微软雅黑"/>
              <sz val="10"/>
            </rPr>
            <t>无</t>
          </r>
        </is>
      </c>
      <c r="Q175"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6" ht="22" customHeight="1">
      <c r="A176" s="2" t="inlineStr">
        <is>
          <t>item_equip_t2_parts_tundra01_hand_02</t>
        </is>
      </c>
      <c r="B176" s="2" t="inlineStr">
        <is>
          <t>矿场手套·壹型</t>
        </is>
      </c>
      <c r="C176" s="2" t="inlineStr">
        <is>
          <t>四号谷地</t>
        </is>
      </c>
      <c r="D176" s="3" t="n">
        <v>36</v>
      </c>
      <c r="E176" s="2" t="inlineStr">
        <is>
          <t>护手</t>
        </is>
      </c>
      <c r="F176" s="3" t="n">
        <v>3</v>
      </c>
      <c r="G176" s="2" t="inlineStr">
        <is>
          <t>防御力 +21.599999999999998</t>
        </is>
      </c>
      <c r="H176" s="4" t="n">
        <v>0</v>
      </c>
      <c r="I176" s="2">
        <f>CHOOSE($H176+1, "智识 +36", "无", "无", "无")</f>
        <v/>
      </c>
      <c r="J176" s="4" t="n">
        <v>0</v>
      </c>
      <c r="K176" s="2">
        <f>CHOOSE($J176+1, "敏捷 +24", "无", "无", "无")</f>
        <v/>
      </c>
      <c r="L176" s="4" t="n">
        <v>0</v>
      </c>
      <c r="M176" s="2">
        <f>CHOOSE($L176+1, "生命值 +19%", "无", "无", "无")</f>
        <v/>
      </c>
      <c r="N176" s="2" t="inlineStr">
        <is>
          <t>无</t>
        </is>
      </c>
      <c r="O176" s="2" t="inlineStr">
        <is>
          <t>无</t>
        </is>
      </c>
      <c r="P176" s="2" t="inlineStr">
        <is>
          <r>
            <rPr>
              <rFont val="微软雅黑"/>
              <sz val="10"/>
            </rPr>
            <t>无</t>
          </r>
        </is>
      </c>
      <c r="Q176"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7" ht="22" customHeight="1">
      <c r="A177" s="5" t="inlineStr">
        <is>
          <t>item_equip_t2_parts_tundra01_edc_01</t>
        </is>
      </c>
      <c r="B177" s="5" t="inlineStr">
        <is>
          <t>矿场增压轮</t>
        </is>
      </c>
      <c r="C177" s="5" t="inlineStr">
        <is>
          <t>四号谷地</t>
        </is>
      </c>
      <c r="D177" s="6" t="n">
        <v>36</v>
      </c>
      <c r="E177" s="5" t="inlineStr">
        <is>
          <t>配件</t>
        </is>
      </c>
      <c r="F177" s="6" t="n">
        <v>3</v>
      </c>
      <c r="G177" s="5" t="inlineStr">
        <is>
          <t>防御力 +10.799999999999999</t>
        </is>
      </c>
      <c r="H177" s="7" t="n">
        <v>0</v>
      </c>
      <c r="I177" s="5">
        <f>CHOOSE($H177+1, "力量 +22", "无", "无", "无")</f>
        <v/>
      </c>
      <c r="J177" s="7" t="n">
        <v>0</v>
      </c>
      <c r="K177" s="5">
        <f>CHOOSE($J177+1, "连携技伤害加成 +22.8%", "无", "无", "无")</f>
        <v/>
      </c>
      <c r="L177" s="7" t="n">
        <v>0</v>
      </c>
      <c r="M177" s="5" t="inlineStr">
        <is>
          <t>无</t>
        </is>
      </c>
      <c r="N177" s="5" t="inlineStr">
        <is>
          <t>无</t>
        </is>
      </c>
      <c r="O177" s="5" t="inlineStr">
        <is>
          <t>无</t>
        </is>
      </c>
      <c r="P177" s="5" t="inlineStr">
        <is>
          <r>
            <rPr>
              <rFont val="微软雅黑"/>
              <sz val="10"/>
            </rPr>
            <t>无</t>
          </r>
        </is>
      </c>
      <c r="Q177"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8" ht="22" customHeight="1">
      <c r="A178" s="2" t="inlineStr">
        <is>
          <t>item_equip_t2_parts_tundra01_edc_02</t>
        </is>
      </c>
      <c r="B178" s="2" t="inlineStr">
        <is>
          <t>矿场传动轮</t>
        </is>
      </c>
      <c r="C178" s="2" t="inlineStr">
        <is>
          <t>四号谷地</t>
        </is>
      </c>
      <c r="D178" s="3" t="n">
        <v>36</v>
      </c>
      <c r="E178" s="2" t="inlineStr">
        <is>
          <t>配件</t>
        </is>
      </c>
      <c r="F178" s="3" t="n">
        <v>3</v>
      </c>
      <c r="G178" s="2" t="inlineStr">
        <is>
          <t>防御力 +10.799999999999999</t>
        </is>
      </c>
      <c r="H178" s="4" t="n">
        <v>0</v>
      </c>
      <c r="I178" s="2">
        <f>CHOOSE($H178+1, "敏捷 +22", "无", "无", "无")</f>
        <v/>
      </c>
      <c r="J178" s="4" t="n">
        <v>0</v>
      </c>
      <c r="K178" s="2">
        <f>CHOOSE($J178+1, "暴击率 +5.7%", "无", "无", "无")</f>
        <v/>
      </c>
      <c r="L178" s="4" t="n">
        <v>0</v>
      </c>
      <c r="M178" s="2" t="inlineStr">
        <is>
          <t>无</t>
        </is>
      </c>
      <c r="N178" s="2" t="inlineStr">
        <is>
          <t>无</t>
        </is>
      </c>
      <c r="O178" s="2" t="inlineStr">
        <is>
          <t>无</t>
        </is>
      </c>
      <c r="P178" s="2" t="inlineStr">
        <is>
          <r>
            <rPr>
              <rFont val="微软雅黑"/>
              <sz val="10"/>
            </rPr>
            <t>无</t>
          </r>
        </is>
      </c>
      <c r="Q178"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79" ht="22" customHeight="1">
      <c r="A179" s="5" t="inlineStr">
        <is>
          <t>item_equip_t2_parts_tundra01_edc_03</t>
        </is>
      </c>
      <c r="B179" s="5" t="inlineStr">
        <is>
          <t>矿场压缩核</t>
        </is>
      </c>
      <c r="C179" s="5" t="inlineStr">
        <is>
          <t>四号谷地</t>
        </is>
      </c>
      <c r="D179" s="6" t="n">
        <v>36</v>
      </c>
      <c r="E179" s="5" t="inlineStr">
        <is>
          <t>配件</t>
        </is>
      </c>
      <c r="F179" s="6" t="n">
        <v>3</v>
      </c>
      <c r="G179" s="5" t="inlineStr">
        <is>
          <t>防御力 +10.799999999999999</t>
        </is>
      </c>
      <c r="H179" s="7" t="n">
        <v>0</v>
      </c>
      <c r="I179" s="5">
        <f>CHOOSE($H179+1, "智识 +22", "无", "无", "无")</f>
        <v/>
      </c>
      <c r="J179" s="7" t="n">
        <v>0</v>
      </c>
      <c r="K179" s="5">
        <f>CHOOSE($J179+1, "暴击率 +5.7%", "无", "无", "无")</f>
        <v/>
      </c>
      <c r="L179" s="7" t="n">
        <v>0</v>
      </c>
      <c r="M179" s="5" t="inlineStr">
        <is>
          <t>无</t>
        </is>
      </c>
      <c r="N179" s="5" t="inlineStr">
        <is>
          <t>无</t>
        </is>
      </c>
      <c r="O179" s="5" t="inlineStr">
        <is>
          <t>无</t>
        </is>
      </c>
      <c r="P179" s="5" t="inlineStr">
        <is>
          <r>
            <rPr>
              <rFont val="微软雅黑"/>
              <sz val="10"/>
            </rPr>
            <t>无</t>
          </r>
        </is>
      </c>
      <c r="Q179"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0" ht="22" customHeight="1">
      <c r="A180" s="2" t="inlineStr">
        <is>
          <t>item_equip_t2_parts_tundra01_edc_04</t>
        </is>
      </c>
      <c r="B180" s="2" t="inlineStr">
        <is>
          <t>矿场联络仪</t>
        </is>
      </c>
      <c r="C180" s="2" t="inlineStr">
        <is>
          <t>四号谷地</t>
        </is>
      </c>
      <c r="D180" s="3" t="n">
        <v>36</v>
      </c>
      <c r="E180" s="2" t="inlineStr">
        <is>
          <t>配件</t>
        </is>
      </c>
      <c r="F180" s="3" t="n">
        <v>3</v>
      </c>
      <c r="G180" s="2" t="inlineStr">
        <is>
          <t>防御力 +10.799999999999999</t>
        </is>
      </c>
      <c r="H180" s="4" t="n">
        <v>0</v>
      </c>
      <c r="I180" s="2">
        <f>CHOOSE($H180+1, "意志 +22", "无", "无", "无")</f>
        <v/>
      </c>
      <c r="J180" s="4" t="n">
        <v>0</v>
      </c>
      <c r="K180" s="2">
        <f>CHOOSE($J180+1, "生命值 +22.8%", "无", "无", "无")</f>
        <v/>
      </c>
      <c r="L180" s="4" t="n">
        <v>0</v>
      </c>
      <c r="M180" s="2" t="inlineStr">
        <is>
          <t>无</t>
        </is>
      </c>
      <c r="N180" s="2" t="inlineStr">
        <is>
          <t>无</t>
        </is>
      </c>
      <c r="O180" s="2" t="inlineStr">
        <is>
          <t>无</t>
        </is>
      </c>
      <c r="P180" s="2" t="inlineStr">
        <is>
          <r>
            <rPr>
              <rFont val="微软雅黑"/>
              <sz val="10"/>
            </rPr>
            <t>无</t>
          </r>
        </is>
      </c>
      <c r="Q180"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1" ht="22" customHeight="1">
      <c r="A181" s="5" t="inlineStr">
        <is>
          <t>item_equip_t3_parts_tundra01_body_01</t>
        </is>
      </c>
      <c r="B181" s="5" t="inlineStr">
        <is>
          <t>矿场护甲·壹型</t>
        </is>
      </c>
      <c r="C181" s="5" t="inlineStr">
        <is>
          <t>四号谷地</t>
        </is>
      </c>
      <c r="D181" s="6" t="n">
        <v>50</v>
      </c>
      <c r="E181" s="5" t="inlineStr">
        <is>
          <t>护甲</t>
        </is>
      </c>
      <c r="F181" s="6" t="n">
        <v>4</v>
      </c>
      <c r="G181" s="5" t="inlineStr">
        <is>
          <t>防御力 +40</t>
        </is>
      </c>
      <c r="H181" s="7" t="n">
        <v>0</v>
      </c>
      <c r="I181" s="5">
        <f>CHOOSE($H181+1, "力量 +65", "无", "无", "无")</f>
        <v/>
      </c>
      <c r="J181" s="7" t="n">
        <v>0</v>
      </c>
      <c r="K181" s="5">
        <f>CHOOSE($J181+1, "意志 +43", "无", "无", "无")</f>
        <v/>
      </c>
      <c r="L181" s="7" t="n">
        <v>0</v>
      </c>
      <c r="M181" s="5">
        <f>CHOOSE($L181+1, "暴击率 +3.9%", "无", "无", "无")</f>
        <v/>
      </c>
      <c r="N181" s="5" t="inlineStr">
        <is>
          <t>无</t>
        </is>
      </c>
      <c r="O181" s="5" t="inlineStr">
        <is>
          <t>无</t>
        </is>
      </c>
      <c r="P181" s="5" t="inlineStr">
        <is>
          <r>
            <rPr>
              <rFont val="微软雅黑"/>
              <sz val="10"/>
            </rPr>
            <t>无</t>
          </r>
        </is>
      </c>
      <c r="Q181"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2" ht="22" customHeight="1">
      <c r="A182" s="2" t="inlineStr">
        <is>
          <t>item_equip_t3_parts_tundra01_body_02</t>
        </is>
      </c>
      <c r="B182" s="2" t="inlineStr">
        <is>
          <t>矿场防护服·壹型</t>
        </is>
      </c>
      <c r="C182" s="2" t="inlineStr">
        <is>
          <t>四号谷地</t>
        </is>
      </c>
      <c r="D182" s="3" t="n">
        <v>50</v>
      </c>
      <c r="E182" s="2" t="inlineStr">
        <is>
          <t>护甲</t>
        </is>
      </c>
      <c r="F182" s="3" t="n">
        <v>4</v>
      </c>
      <c r="G182" s="2" t="inlineStr">
        <is>
          <t>防御力 +40</t>
        </is>
      </c>
      <c r="H182" s="4" t="n">
        <v>0</v>
      </c>
      <c r="I182" s="2">
        <f>CHOOSE($H182+1, "智识 +65", "无", "无", "无")</f>
        <v/>
      </c>
      <c r="J182" s="4" t="n">
        <v>0</v>
      </c>
      <c r="K182" s="2">
        <f>CHOOSE($J182+1, "敏捷 +43", "无", "无", "无")</f>
        <v/>
      </c>
      <c r="L182" s="4" t="n">
        <v>0</v>
      </c>
      <c r="M182" s="2">
        <f>CHOOSE($L182+1, "攻击力 +7.8%", "无", "无", "无")</f>
        <v/>
      </c>
      <c r="N182" s="2" t="inlineStr">
        <is>
          <t>无</t>
        </is>
      </c>
      <c r="O182" s="2" t="inlineStr">
        <is>
          <t>无</t>
        </is>
      </c>
      <c r="P182" s="2" t="inlineStr">
        <is>
          <r>
            <rPr>
              <rFont val="微软雅黑"/>
              <sz val="10"/>
            </rPr>
            <t>无</t>
          </r>
        </is>
      </c>
      <c r="Q182"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3" ht="22" customHeight="1">
      <c r="A183" s="5" t="inlineStr">
        <is>
          <t>item_equip_t3_parts_tundra01_hand_01</t>
        </is>
      </c>
      <c r="B183" s="5" t="inlineStr">
        <is>
          <t>矿场手套·贰型</t>
        </is>
      </c>
      <c r="C183" s="5" t="inlineStr">
        <is>
          <t>四号谷地</t>
        </is>
      </c>
      <c r="D183" s="6" t="n">
        <v>50</v>
      </c>
      <c r="E183" s="5" t="inlineStr">
        <is>
          <t>护手</t>
        </is>
      </c>
      <c r="F183" s="6" t="n">
        <v>4</v>
      </c>
      <c r="G183" s="5" t="inlineStr">
        <is>
          <t>防御力 +30</t>
        </is>
      </c>
      <c r="H183" s="7" t="n">
        <v>0</v>
      </c>
      <c r="I183" s="5">
        <f>CHOOSE($H183+1, "智识 +49", "无", "无", "无")</f>
        <v/>
      </c>
      <c r="J183" s="7" t="n">
        <v>0</v>
      </c>
      <c r="K183" s="5">
        <f>CHOOSE($J183+1, "敏捷 +32", "无", "无", "无")</f>
        <v/>
      </c>
      <c r="L183" s="7" t="n">
        <v>0</v>
      </c>
      <c r="M183" s="5">
        <f>CHOOSE($L183+1, "攻击力 +13%", "无", "无", "无")</f>
        <v/>
      </c>
      <c r="N183" s="5" t="inlineStr">
        <is>
          <t>无</t>
        </is>
      </c>
      <c r="O183" s="5" t="inlineStr">
        <is>
          <t>无</t>
        </is>
      </c>
      <c r="P183" s="5" t="inlineStr">
        <is>
          <r>
            <rPr>
              <rFont val="微软雅黑"/>
              <sz val="10"/>
            </rPr>
            <t>无</t>
          </r>
        </is>
      </c>
      <c r="Q183"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4" ht="22" customHeight="1">
      <c r="A184" s="2" t="inlineStr">
        <is>
          <t>item_equip_t3_parts_tundra01_hand_02</t>
        </is>
      </c>
      <c r="B184" s="2" t="inlineStr">
        <is>
          <t>矿场护手·壹型</t>
        </is>
      </c>
      <c r="C184" s="2" t="inlineStr">
        <is>
          <t>四号谷地</t>
        </is>
      </c>
      <c r="D184" s="3" t="n">
        <v>50</v>
      </c>
      <c r="E184" s="2" t="inlineStr">
        <is>
          <t>护手</t>
        </is>
      </c>
      <c r="F184" s="3" t="n">
        <v>4</v>
      </c>
      <c r="G184" s="2" t="inlineStr">
        <is>
          <t>防御力 +30</t>
        </is>
      </c>
      <c r="H184" s="4" t="n">
        <v>0</v>
      </c>
      <c r="I184" s="2">
        <f>CHOOSE($H184+1, "意志 +49", "无", "无", "无")</f>
        <v/>
      </c>
      <c r="J184" s="4" t="n">
        <v>0</v>
      </c>
      <c r="K184" s="2">
        <f>CHOOSE($J184+1, "智识 +32", "无", "无", "无")</f>
        <v/>
      </c>
      <c r="L184" s="4" t="n">
        <v>0</v>
      </c>
      <c r="M184" s="2">
        <f>CHOOSE($L184+1, "终结技充能效率 +15.476190476190477%", "无", "无", "无")</f>
        <v/>
      </c>
      <c r="N184" s="2" t="inlineStr">
        <is>
          <t>无</t>
        </is>
      </c>
      <c r="O184" s="2" t="inlineStr">
        <is>
          <t>无</t>
        </is>
      </c>
      <c r="P184" s="2" t="inlineStr">
        <is>
          <r>
            <rPr>
              <rFont val="微软雅黑"/>
              <sz val="10"/>
            </rPr>
            <t>无</t>
          </r>
        </is>
      </c>
      <c r="Q184"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5" ht="22" customHeight="1">
      <c r="A185" s="5" t="inlineStr">
        <is>
          <t>item_equip_t3_parts_tundra01_edc_01</t>
        </is>
      </c>
      <c r="B185" s="5" t="inlineStr">
        <is>
          <t>矿场增压轮·壹型</t>
        </is>
      </c>
      <c r="C185" s="5" t="inlineStr">
        <is>
          <t>四号谷地</t>
        </is>
      </c>
      <c r="D185" s="6" t="n">
        <v>50</v>
      </c>
      <c r="E185" s="5" t="inlineStr">
        <is>
          <t>配件</t>
        </is>
      </c>
      <c r="F185" s="6" t="n">
        <v>4</v>
      </c>
      <c r="G185" s="5" t="inlineStr">
        <is>
          <t>防御力 +15</t>
        </is>
      </c>
      <c r="H185" s="7" t="n">
        <v>0</v>
      </c>
      <c r="I185" s="5">
        <f>CHOOSE($H185+1, "力量 +31", "无", "无", "无")</f>
        <v/>
      </c>
      <c r="J185" s="7" t="n">
        <v>0</v>
      </c>
      <c r="K185" s="5">
        <f>CHOOSE($J185+1, "全伤害减免 13.49480968858131%", "无", "无", "无")</f>
        <v/>
      </c>
      <c r="L185" s="7" t="n">
        <v>0</v>
      </c>
      <c r="M185" s="5" t="inlineStr">
        <is>
          <t>无</t>
        </is>
      </c>
      <c r="N185" s="5" t="inlineStr">
        <is>
          <t>无</t>
        </is>
      </c>
      <c r="O185" s="5" t="inlineStr">
        <is>
          <t>无</t>
        </is>
      </c>
      <c r="P185" s="5" t="inlineStr">
        <is>
          <r>
            <rPr>
              <rFont val="微软雅黑"/>
              <sz val="10"/>
            </rPr>
            <t>无</t>
          </r>
        </is>
      </c>
      <c r="Q185"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6" ht="22" customHeight="1">
      <c r="A186" s="2" t="inlineStr">
        <is>
          <t>item_equip_t3_parts_tundra01_edc_02</t>
        </is>
      </c>
      <c r="B186" s="2" t="inlineStr">
        <is>
          <t>矿场传动轮·壹型</t>
        </is>
      </c>
      <c r="C186" s="2" t="inlineStr">
        <is>
          <t>四号谷地</t>
        </is>
      </c>
      <c r="D186" s="3" t="n">
        <v>50</v>
      </c>
      <c r="E186" s="2" t="inlineStr">
        <is>
          <t>配件</t>
        </is>
      </c>
      <c r="F186" s="3" t="n">
        <v>4</v>
      </c>
      <c r="G186" s="2" t="inlineStr">
        <is>
          <t>防御力 +15</t>
        </is>
      </c>
      <c r="H186" s="4" t="n">
        <v>0</v>
      </c>
      <c r="I186" s="2">
        <f>CHOOSE($H186+1, "敏捷 +31", "无", "无", "无")</f>
        <v/>
      </c>
      <c r="J186" s="4" t="n">
        <v>0</v>
      </c>
      <c r="K186" s="2">
        <f>CHOOSE($J186+1, "连携技伤害加成 +31.2%", "无", "无", "无")</f>
        <v/>
      </c>
      <c r="L186" s="4" t="n">
        <v>0</v>
      </c>
      <c r="M186" s="2" t="inlineStr">
        <is>
          <t>无</t>
        </is>
      </c>
      <c r="N186" s="2" t="inlineStr">
        <is>
          <t>无</t>
        </is>
      </c>
      <c r="O186" s="2" t="inlineStr">
        <is>
          <t>无</t>
        </is>
      </c>
      <c r="P186" s="2" t="inlineStr">
        <is>
          <r>
            <rPr>
              <rFont val="微软雅黑"/>
              <sz val="10"/>
            </rPr>
            <t>无</t>
          </r>
        </is>
      </c>
      <c r="Q186"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7" ht="22" customHeight="1">
      <c r="A187" s="5" t="inlineStr">
        <is>
          <t>item_equip_t3_parts_tundra01_edc_03</t>
        </is>
      </c>
      <c r="B187" s="5" t="inlineStr">
        <is>
          <t>矿场压缩核·壹型</t>
        </is>
      </c>
      <c r="C187" s="5" t="inlineStr">
        <is>
          <t>四号谷地</t>
        </is>
      </c>
      <c r="D187" s="6" t="n">
        <v>50</v>
      </c>
      <c r="E187" s="5" t="inlineStr">
        <is>
          <t>配件</t>
        </is>
      </c>
      <c r="F187" s="6" t="n">
        <v>4</v>
      </c>
      <c r="G187" s="5" t="inlineStr">
        <is>
          <t>防御力 +15</t>
        </is>
      </c>
      <c r="H187" s="7" t="n">
        <v>0</v>
      </c>
      <c r="I187" s="5">
        <f>CHOOSE($H187+1, "智识 +31", "无", "无", "无")</f>
        <v/>
      </c>
      <c r="J187" s="7" t="n">
        <v>0</v>
      </c>
      <c r="K187" s="5">
        <f>CHOOSE($J187+1, "终结技充能效率 +18.571428571428572%", "无", "无", "无")</f>
        <v/>
      </c>
      <c r="L187" s="7" t="n">
        <v>0</v>
      </c>
      <c r="M187" s="5" t="inlineStr">
        <is>
          <t>无</t>
        </is>
      </c>
      <c r="N187" s="5" t="inlineStr">
        <is>
          <t>无</t>
        </is>
      </c>
      <c r="O187" s="5" t="inlineStr">
        <is>
          <t>无</t>
        </is>
      </c>
      <c r="P187" s="5" t="inlineStr">
        <is>
          <r>
            <rPr>
              <rFont val="微软雅黑"/>
              <sz val="10"/>
            </rPr>
            <t>无</t>
          </r>
        </is>
      </c>
      <c r="Q187" s="5"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8" ht="22" customHeight="1">
      <c r="A188" s="2" t="inlineStr">
        <is>
          <t>item_equip_t3_parts_tundra01_edc_04</t>
        </is>
      </c>
      <c r="B188" s="2" t="inlineStr">
        <is>
          <t>矿场联络仪·壹型</t>
        </is>
      </c>
      <c r="C188" s="2" t="inlineStr">
        <is>
          <t>四号谷地</t>
        </is>
      </c>
      <c r="D188" s="3" t="n">
        <v>50</v>
      </c>
      <c r="E188" s="2" t="inlineStr">
        <is>
          <t>配件</t>
        </is>
      </c>
      <c r="F188" s="3" t="n">
        <v>4</v>
      </c>
      <c r="G188" s="2" t="inlineStr">
        <is>
          <t>防御力 +15</t>
        </is>
      </c>
      <c r="H188" s="4" t="n">
        <v>0</v>
      </c>
      <c r="I188" s="2">
        <f>CHOOSE($H188+1, "意志 +31", "无", "无", "无")</f>
        <v/>
      </c>
      <c r="J188" s="4" t="n">
        <v>0</v>
      </c>
      <c r="K188" s="2">
        <f>CHOOSE($J188+1, "治疗效率加成 +15.6%", "无", "无", "无")</f>
        <v/>
      </c>
      <c r="L188" s="4" t="n">
        <v>0</v>
      </c>
      <c r="M188" s="2" t="inlineStr">
        <is>
          <t>无</t>
        </is>
      </c>
      <c r="N188" s="2" t="inlineStr">
        <is>
          <t>无</t>
        </is>
      </c>
      <c r="O188" s="2" t="inlineStr">
        <is>
          <t>无</t>
        </is>
      </c>
      <c r="P188" s="2" t="inlineStr">
        <is>
          <r>
            <rPr>
              <rFont val="微软雅黑"/>
              <sz val="10"/>
            </rPr>
            <t>无</t>
          </r>
        </is>
      </c>
      <c r="Q188" s="2" t="inlineStr">
        <is>
          <t>本装备由终末地工业自研，使用集成工业系统制造，能够提高使用者的作战能力。多用于矿场作业的防护装备。 《四号谷地安全防护标准》要求劳动保护装备至少需要软性保护及硬性保护两层防护结构。</t>
        </is>
      </c>
    </row>
    <row r="189" ht="22" customHeight="1">
      <c r="A189" s="5" t="inlineStr">
        <is>
          <t>item_equip_t4_parts_wuling01_body_01</t>
        </is>
      </c>
      <c r="B189" s="5" t="inlineStr">
        <is>
          <t>纾难重甲</t>
        </is>
      </c>
      <c r="C189" s="5" t="inlineStr">
        <is>
          <t>武陵</t>
        </is>
      </c>
      <c r="D189" s="6" t="n">
        <v>70</v>
      </c>
      <c r="E189" s="5" t="inlineStr">
        <is>
          <t>护甲</t>
        </is>
      </c>
      <c r="F189" s="6" t="n">
        <v>5</v>
      </c>
      <c r="G189" s="5" t="inlineStr">
        <is>
          <t>防御力 +56</t>
        </is>
      </c>
      <c r="H189" s="7" t="n">
        <v>0</v>
      </c>
      <c r="I189" s="5">
        <f>CHOOSE($H189+1, "敏捷 +115", "敏捷 +126", "敏捷 +138", "敏捷 +149")</f>
        <v/>
      </c>
      <c r="J189" s="7" t="n">
        <v>0</v>
      </c>
      <c r="K189" s="5">
        <f>CHOOSE($J189+1, "普通攻击伤害加成 +14.4%", "普通攻击伤害加成 +15.84%", "普通攻击伤害加成 +17.28%", "普通攻击伤害加成 +18.72%")</f>
        <v/>
      </c>
      <c r="L189" s="7" t="n">
        <v>0</v>
      </c>
      <c r="M189" s="5" t="inlineStr">
        <is>
          <t>无</t>
        </is>
      </c>
      <c r="N189" s="5" t="inlineStr">
        <is>
          <t>无</t>
        </is>
      </c>
      <c r="O189" s="5" t="inlineStr">
        <is>
          <t>无</t>
        </is>
      </c>
      <c r="P189" s="5" t="inlineStr">
        <is>
          <r>
            <rPr>
              <rFont val="微软雅黑"/>
              <sz val="10"/>
            </rPr>
            <t>无</t>
          </r>
        </is>
      </c>
      <c r="Q189" s="5" t="inlineStr">
        <is>
          <t>本装备由宏山选剑局设计，使用集成工业系统制造，能够提高使用者的作战能力。象征着艰辛前路的装备。“事未竟，路犹长。”</t>
        </is>
      </c>
    </row>
    <row r="190" ht="22" customHeight="1">
      <c r="A190" s="2" t="inlineStr">
        <is>
          <t>item_equip_t4_parts_wuling01_body_02</t>
        </is>
      </c>
      <c r="B190" s="2" t="inlineStr">
        <is>
          <t>纾难护甲</t>
        </is>
      </c>
      <c r="C190" s="2" t="inlineStr">
        <is>
          <t>武陵</t>
        </is>
      </c>
      <c r="D190" s="3" t="n">
        <v>70</v>
      </c>
      <c r="E190" s="2" t="inlineStr">
        <is>
          <t>护甲</t>
        </is>
      </c>
      <c r="F190" s="3" t="n">
        <v>5</v>
      </c>
      <c r="G190" s="2" t="inlineStr">
        <is>
          <t>防御力 +56</t>
        </is>
      </c>
      <c r="H190" s="4" t="n">
        <v>0</v>
      </c>
      <c r="I190" s="2">
        <f>CHOOSE($H190+1, "智识 +115", "智识 +126", "智识 +138", "智识 +149")</f>
        <v/>
      </c>
      <c r="J190" s="4" t="n">
        <v>0</v>
      </c>
      <c r="K190" s="2">
        <f>CHOOSE($J190+1, "终结技充能效率 +12.857142857142856%", "终结技充能效率 +14.142857%", "终结技充能效率 +15.428571%", "终结技充能效率 +16.714285%")</f>
        <v/>
      </c>
      <c r="L190" s="4" t="n">
        <v>0</v>
      </c>
      <c r="M190" s="2" t="inlineStr">
        <is>
          <t>无</t>
        </is>
      </c>
      <c r="N190" s="2" t="inlineStr">
        <is>
          <t>无</t>
        </is>
      </c>
      <c r="O190" s="2" t="inlineStr">
        <is>
          <t>无</t>
        </is>
      </c>
      <c r="P190" s="2" t="inlineStr">
        <is>
          <r>
            <rPr>
              <rFont val="微软雅黑"/>
              <sz val="10"/>
            </rPr>
            <t>无</t>
          </r>
        </is>
      </c>
      <c r="Q190" s="2" t="inlineStr">
        <is>
          <t>本装备由宏山选剑局设计，使用集成工业系统制造，能够提高使用者的作战能力。象征着艰辛前路的装备。“事未竟，路犹长。”</t>
        </is>
      </c>
    </row>
    <row r="191" ht="22" customHeight="1">
      <c r="A191" s="5" t="inlineStr">
        <is>
          <t>item_equip_t4_parts_wuling01_hand_01</t>
        </is>
      </c>
      <c r="B191" s="5" t="inlineStr">
        <is>
          <t>纾难护手</t>
        </is>
      </c>
      <c r="C191" s="5" t="inlineStr">
        <is>
          <t>武陵</t>
        </is>
      </c>
      <c r="D191" s="6" t="n">
        <v>70</v>
      </c>
      <c r="E191" s="5" t="inlineStr">
        <is>
          <t>护手</t>
        </is>
      </c>
      <c r="F191" s="6" t="n">
        <v>5</v>
      </c>
      <c r="G191" s="5" t="inlineStr">
        <is>
          <t>防御力 +42</t>
        </is>
      </c>
      <c r="H191" s="7" t="n">
        <v>0</v>
      </c>
      <c r="I191" s="5">
        <f>CHOOSE($H191+1, "敏捷 +86", "敏捷 +94", "敏捷 +103", "敏捷 +111")</f>
        <v/>
      </c>
      <c r="J191" s="7" t="n">
        <v>0</v>
      </c>
      <c r="K191" s="5">
        <f>CHOOSE($J191+1, "终结技伤害加成 +45%", "终结技伤害加成 +49.5%", "终结技伤害加成 +54%", "终结技伤害加成 +58.5%")</f>
        <v/>
      </c>
      <c r="L191" s="7" t="n">
        <v>0</v>
      </c>
      <c r="M191" s="5" t="inlineStr">
        <is>
          <t>无</t>
        </is>
      </c>
      <c r="N191" s="5" t="inlineStr">
        <is>
          <t>无</t>
        </is>
      </c>
      <c r="O191" s="5" t="inlineStr">
        <is>
          <t>无</t>
        </is>
      </c>
      <c r="P191" s="5" t="inlineStr">
        <is>
          <r>
            <rPr>
              <rFont val="微软雅黑"/>
              <sz val="10"/>
            </rPr>
            <t>无</t>
          </r>
        </is>
      </c>
      <c r="Q191" s="5" t="inlineStr">
        <is>
          <t>本装备由宏山选剑局设计，使用集成工业系统制造，能够提高使用者的作战能力。象征着艰辛前路的装备。“事未竟，路犹长。”</t>
        </is>
      </c>
    </row>
    <row r="192" ht="22" customHeight="1">
      <c r="A192" s="2" t="inlineStr">
        <is>
          <t>item_equip_t4_parts_wuling01_hand_02</t>
        </is>
      </c>
      <c r="B192" s="2" t="inlineStr">
        <is>
          <t>纾难手套</t>
        </is>
      </c>
      <c r="C192" s="2" t="inlineStr">
        <is>
          <t>武陵</t>
        </is>
      </c>
      <c r="D192" s="3" t="n">
        <v>70</v>
      </c>
      <c r="E192" s="2" t="inlineStr">
        <is>
          <t>护手</t>
        </is>
      </c>
      <c r="F192" s="3" t="n">
        <v>5</v>
      </c>
      <c r="G192" s="2" t="inlineStr">
        <is>
          <t>防御力 +42</t>
        </is>
      </c>
      <c r="H192" s="4" t="n">
        <v>0</v>
      </c>
      <c r="I192" s="2">
        <f>CHOOSE($H192+1, "力量 +86", "力量 +94", "力量 +103", "力量 +111")</f>
        <v/>
      </c>
      <c r="J192" s="4" t="n">
        <v>0</v>
      </c>
      <c r="K192" s="2">
        <f>CHOOSE($J192+1, "所有技能伤害加成 +24%", "所有技能伤害加成 +26.4%", "所有技能伤害加成 +28.8%", "所有技能伤害加成 +31.2%")</f>
        <v/>
      </c>
      <c r="L192" s="4" t="n">
        <v>0</v>
      </c>
      <c r="M192" s="2" t="inlineStr">
        <is>
          <t>无</t>
        </is>
      </c>
      <c r="N192" s="2" t="inlineStr">
        <is>
          <t>无</t>
        </is>
      </c>
      <c r="O192" s="2" t="inlineStr">
        <is>
          <t>无</t>
        </is>
      </c>
      <c r="P192" s="2" t="inlineStr">
        <is>
          <r>
            <rPr>
              <rFont val="微软雅黑"/>
              <sz val="10"/>
            </rPr>
            <t>无</t>
          </r>
        </is>
      </c>
      <c r="Q192" s="2" t="inlineStr">
        <is>
          <t>本装备由宏山选剑局设计，使用集成工业系统制造，能够提高使用者的作战能力。象征着艰辛前路的装备。“事未竟，路犹长。”</t>
        </is>
      </c>
    </row>
    <row r="193" ht="22" customHeight="1">
      <c r="A193" s="5" t="inlineStr">
        <is>
          <t>item_equip_t4_parts_wuling01_edc_01</t>
        </is>
      </c>
      <c r="B193" s="5" t="inlineStr">
        <is>
          <t>纾难识别牌</t>
        </is>
      </c>
      <c r="C193" s="5" t="inlineStr">
        <is>
          <t>武陵</t>
        </is>
      </c>
      <c r="D193" s="6" t="n">
        <v>70</v>
      </c>
      <c r="E193" s="5" t="inlineStr">
        <is>
          <t>配件</t>
        </is>
      </c>
      <c r="F193" s="6" t="n">
        <v>5</v>
      </c>
      <c r="G193" s="5" t="inlineStr">
        <is>
          <t>防御力 +21</t>
        </is>
      </c>
      <c r="H193" s="7" t="n">
        <v>0</v>
      </c>
      <c r="I193" s="5">
        <f>CHOOSE($H193+1, "力量 +43", "力量 +47", "力量 +51", "力量 +55")</f>
        <v/>
      </c>
      <c r="J193" s="7" t="n">
        <v>0</v>
      </c>
      <c r="K193" s="5">
        <f>CHOOSE($J193+1, "全伤害减免 17.76315789473684%", "全伤害减免 19.19845%", "全伤害减免 20.5845%", "全伤害减免 21.9238%")</f>
        <v/>
      </c>
      <c r="L193" s="7" t="n">
        <v>0</v>
      </c>
      <c r="M193" s="5" t="inlineStr">
        <is>
          <t>无</t>
        </is>
      </c>
      <c r="N193" s="5" t="inlineStr">
        <is>
          <t>无</t>
        </is>
      </c>
      <c r="O193" s="5" t="inlineStr">
        <is>
          <t>无</t>
        </is>
      </c>
      <c r="P193" s="5" t="inlineStr">
        <is>
          <r>
            <rPr>
              <rFont val="微软雅黑"/>
              <sz val="10"/>
            </rPr>
            <t>无</t>
          </r>
        </is>
      </c>
      <c r="Q193" s="5" t="inlineStr">
        <is>
          <t>本装备由宏山选剑局设计，使用集成工业系统制造，能够提高使用者的作战能力。象征着艰辛前路的装备。“事未竟，路犹长。”</t>
        </is>
      </c>
    </row>
    <row r="194" ht="22" customHeight="1">
      <c r="A194" s="2" t="inlineStr">
        <is>
          <t>item_equip_t4_parts_wuling01_edc_02</t>
        </is>
      </c>
      <c r="B194" s="2" t="inlineStr">
        <is>
          <t>纾难识别牌·壹型</t>
        </is>
      </c>
      <c r="C194" s="2" t="inlineStr">
        <is>
          <t>武陵</t>
        </is>
      </c>
      <c r="D194" s="3" t="n">
        <v>70</v>
      </c>
      <c r="E194" s="2" t="inlineStr">
        <is>
          <t>配件</t>
        </is>
      </c>
      <c r="F194" s="3" t="n">
        <v>5</v>
      </c>
      <c r="G194" s="2" t="inlineStr">
        <is>
          <t>防御力 +21</t>
        </is>
      </c>
      <c r="H194" s="4" t="n">
        <v>0</v>
      </c>
      <c r="I194" s="2">
        <f>CHOOSE($H194+1, "敏捷 +43", "敏捷 +47", "敏捷 +51", "敏捷 +55")</f>
        <v/>
      </c>
      <c r="J194" s="4" t="n">
        <v>0</v>
      </c>
      <c r="K194" s="2">
        <f>CHOOSE($J194+1, "连携技伤害加成 +43.199999999999994%", "连携技伤害加成 +47.52%", "连携技伤害加成 +51.84%", "连携技伤害加成 +56.16%")</f>
        <v/>
      </c>
      <c r="L194" s="4" t="n">
        <v>0</v>
      </c>
      <c r="M194" s="2" t="inlineStr">
        <is>
          <t>无</t>
        </is>
      </c>
      <c r="N194" s="2" t="inlineStr">
        <is>
          <t>无</t>
        </is>
      </c>
      <c r="O194" s="2" t="inlineStr">
        <is>
          <t>无</t>
        </is>
      </c>
      <c r="P194" s="2" t="inlineStr">
        <is>
          <r>
            <rPr>
              <rFont val="微软雅黑"/>
              <sz val="10"/>
            </rPr>
            <t>无</t>
          </r>
        </is>
      </c>
      <c r="Q194" s="2" t="inlineStr">
        <is>
          <t>本装备由宏山选剑局设计，使用集成工业系统制造，能够提高使用者的作战能力。象征着艰辛前路的装备。“事未竟，路犹长。”</t>
        </is>
      </c>
    </row>
    <row r="195" ht="22" customHeight="1">
      <c r="A195" s="5" t="inlineStr">
        <is>
          <t>item_equip_t4_parts_wuling01_edc_03</t>
        </is>
      </c>
      <c r="B195" s="5" t="inlineStr">
        <is>
          <t>纾难印章</t>
        </is>
      </c>
      <c r="C195" s="5" t="inlineStr">
        <is>
          <t>武陵</t>
        </is>
      </c>
      <c r="D195" s="6" t="n">
        <v>70</v>
      </c>
      <c r="E195" s="5" t="inlineStr">
        <is>
          <t>配件</t>
        </is>
      </c>
      <c r="F195" s="6" t="n">
        <v>5</v>
      </c>
      <c r="G195" s="5" t="inlineStr">
        <is>
          <t>防御力 +21</t>
        </is>
      </c>
      <c r="H195" s="7" t="n">
        <v>0</v>
      </c>
      <c r="I195" s="5">
        <f>CHOOSE($H195+1, "智识 +43", "智识 +47", "智识 +51", "智识 +55")</f>
        <v/>
      </c>
      <c r="J195" s="7" t="n">
        <v>0</v>
      </c>
      <c r="K195" s="5">
        <f>CHOOSE($J195+1, "终结技充能效率 +25.71428571428571%", "终结技充能效率 +28.285715%", "终结技充能效率 +30.857143%", "终结技充能效率 +33.42857%")</f>
        <v/>
      </c>
      <c r="L195" s="7" t="n">
        <v>0</v>
      </c>
      <c r="M195" s="5" t="inlineStr">
        <is>
          <t>无</t>
        </is>
      </c>
      <c r="N195" s="5" t="inlineStr">
        <is>
          <t>无</t>
        </is>
      </c>
      <c r="O195" s="5" t="inlineStr">
        <is>
          <t>无</t>
        </is>
      </c>
      <c r="P195" s="5" t="inlineStr">
        <is>
          <r>
            <rPr>
              <rFont val="微软雅黑"/>
              <sz val="10"/>
            </rPr>
            <t>无</t>
          </r>
        </is>
      </c>
      <c r="Q195" s="5" t="inlineStr">
        <is>
          <t>本装备由宏山选剑局设计，使用集成工业系统制造，能够提高使用者的作战能力。象征着艰辛前路的装备。“事未竟，路犹长。”</t>
        </is>
      </c>
    </row>
    <row r="196" ht="22" customHeight="1">
      <c r="A196" s="2" t="inlineStr">
        <is>
          <t>item_equip_t4_parts_wuling01_edc_04</t>
        </is>
      </c>
      <c r="B196" s="2" t="inlineStr">
        <is>
          <t>纾难印章·壹型</t>
        </is>
      </c>
      <c r="C196" s="2" t="inlineStr">
        <is>
          <t>武陵</t>
        </is>
      </c>
      <c r="D196" s="3" t="n">
        <v>70</v>
      </c>
      <c r="E196" s="2" t="inlineStr">
        <is>
          <t>配件</t>
        </is>
      </c>
      <c r="F196" s="3" t="n">
        <v>5</v>
      </c>
      <c r="G196" s="2" t="inlineStr">
        <is>
          <t>防御力 +21</t>
        </is>
      </c>
      <c r="H196" s="4" t="n">
        <v>0</v>
      </c>
      <c r="I196" s="2">
        <f>CHOOSE($H196+1, "意志 +43", "意志 +47", "意志 +51", "意志 +55")</f>
        <v/>
      </c>
      <c r="J196" s="4" t="n">
        <v>0</v>
      </c>
      <c r="K196" s="2">
        <f>CHOOSE($J196+1, "暴击率 +10.799999999999998%", "暴击率 +11.88%", "暴击率 +12.96%", "暴击率 +14.04%")</f>
        <v/>
      </c>
      <c r="L196" s="4" t="n">
        <v>0</v>
      </c>
      <c r="M196" s="2" t="inlineStr">
        <is>
          <t>无</t>
        </is>
      </c>
      <c r="N196" s="2" t="inlineStr">
        <is>
          <t>无</t>
        </is>
      </c>
      <c r="O196" s="2" t="inlineStr">
        <is>
          <t>无</t>
        </is>
      </c>
      <c r="P196" s="2" t="inlineStr">
        <is>
          <r>
            <rPr>
              <rFont val="微软雅黑"/>
              <sz val="10"/>
            </rPr>
            <t>无</t>
          </r>
        </is>
      </c>
      <c r="Q196" s="2" t="inlineStr">
        <is>
          <t>本装备由宏山选剑局设计，使用集成工业系统制造，能够提高使用者的作战能力。象征着艰辛前路的装备。“事未竟，路犹长。”</t>
        </is>
      </c>
    </row>
  </sheetData>
  <sheetProtection selectLockedCells="0" selectUnlockedCells="0" sheet="1" objects="0" insertRows="1" insertHyperlinks="1" autoFilter="1" scenarios="0" formatColumns="1" deleteColumns="1" insertColumns="1" pivotTables="1" deleteRows="1" formatCells="1" formatRows="1" sort="1" password="CC26"/>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showDropDown="0" showInputMessage="0" showErrorMessage="1" allowBlank="0" errorTitle=".૮˵&gt;ㅿ&lt;˵ა" error="૮꒰ ˶• ༝ •˶꒱ა 请输入有效的等级: 0-3" promptTitle="等级选择" prompt="请选择等级" type="list">
      <formula1>DataSource!$S$1:$S$4</formula1>
    </dataValidation>
  </dataValidations>
  <pageMargins left="0.75" right="0.75" top="1" bottom="1" header="0.3"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2026-03-21T15:10:32Z</dcterms:created>
  <dcterms:modified xsi:type="dcterms:W3CDTF">2026-03-21T15:10:32Z</dcterms:modified>
</cp:coreProperties>
</file>
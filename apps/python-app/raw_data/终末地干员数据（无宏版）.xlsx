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isua\Downloads\"/>
    </mc:Choice>
  </mc:AlternateContent>
  <xr:revisionPtr revIDLastSave="0" documentId="13_ncr:1_{9A098037-E9D4-4451-92D3-769A4C37B084}" xr6:coauthVersionLast="47" xr6:coauthVersionMax="47" xr10:uidLastSave="{00000000-0000-0000-0000-000000000000}"/>
  <bookViews>
    <workbookView xWindow="10065" yWindow="585" windowWidth="34155" windowHeight="15675" firstSheet="1" activeTab="1" xr2:uid="{00000000-000D-0000-FFFF-FFFF00000000}"/>
  </bookViews>
  <sheets>
    <sheet name="DataSource" sheetId="1" state="hidden" r:id="rId1"/>
    <sheet name="终末地干员数据" sheetId="2" r:id="rId2"/>
    <sheet name="管理员_技能" sheetId="3" r:id="rId3"/>
    <sheet name="管理员(男)_技能" sheetId="4" r:id="rId4"/>
    <sheet name="管理员(女)_技能" sheetId="5" r:id="rId5"/>
    <sheet name="佩丽卡_技能" sheetId="6" r:id="rId6"/>
    <sheet name="陈千语_技能" sheetId="7" r:id="rId7"/>
    <sheet name="狼卫_技能" sheetId="8" r:id="rId8"/>
    <sheet name="弧光_技能" sheetId="9" r:id="rId9"/>
    <sheet name="余烬_技能" sheetId="10" r:id="rId10"/>
    <sheet name="赛希_技能" sheetId="11" r:id="rId11"/>
    <sheet name="艾维文娜_技能" sheetId="12" r:id="rId12"/>
    <sheet name="洁尔佩塔_技能" sheetId="13" r:id="rId13"/>
    <sheet name="昼雪_技能" sheetId="14" r:id="rId14"/>
    <sheet name="黎风_技能" sheetId="15" r:id="rId15"/>
    <sheet name="莱万汀_技能" sheetId="16" r:id="rId16"/>
    <sheet name="伊冯_技能" sheetId="17" r:id="rId17"/>
    <sheet name="大潘_技能" sheetId="18" r:id="rId18"/>
    <sheet name="秋栗_技能" sheetId="19" r:id="rId19"/>
    <sheet name="卡契尔_技能" sheetId="20" r:id="rId20"/>
    <sheet name="埃特拉_技能" sheetId="21" r:id="rId21"/>
    <sheet name="萤石_技能" sheetId="22" r:id="rId22"/>
    <sheet name="安塔尔_技能" sheetId="23" r:id="rId23"/>
    <sheet name="阿列什_技能" sheetId="24" r:id="rId24"/>
    <sheet name="艾尔黛拉_技能" sheetId="25" r:id="rId25"/>
    <sheet name="别礼_技能" sheetId="26" r:id="rId26"/>
    <sheet name="骏卫_技能" sheetId="27" r:id="rId27"/>
    <sheet name="汤汤_技能" sheetId="28" r:id="rId28"/>
  </sheets>
  <definedNames>
    <definedName name="_xlnm.Print_Titles" localSheetId="1">终末地干员数据!$1:$1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7" i="2" l="1"/>
  <c r="AK27" i="2"/>
  <c r="AI27" i="2"/>
  <c r="AH27" i="2"/>
  <c r="AG27" i="2"/>
  <c r="AF27" i="2"/>
  <c r="AE27" i="2"/>
  <c r="AD27" i="2"/>
  <c r="AC27" i="2"/>
  <c r="AB27" i="2"/>
  <c r="AA27" i="2"/>
  <c r="Z27" i="2"/>
  <c r="Y27" i="2"/>
  <c r="X27" i="2"/>
  <c r="W27" i="2"/>
  <c r="V27" i="2"/>
  <c r="U27" i="2"/>
  <c r="T27" i="2"/>
  <c r="S27" i="2"/>
  <c r="R27" i="2"/>
  <c r="Q27" i="2"/>
  <c r="P27" i="2"/>
  <c r="O27" i="2"/>
  <c r="N27" i="2"/>
  <c r="M27" i="2"/>
  <c r="L27" i="2"/>
  <c r="K27" i="2"/>
  <c r="J27" i="2"/>
  <c r="I27" i="2"/>
  <c r="H27" i="2"/>
  <c r="G27" i="2"/>
  <c r="F27" i="2"/>
  <c r="E27" i="2"/>
  <c r="D27" i="2"/>
  <c r="B27" i="2"/>
  <c r="AM26" i="2"/>
  <c r="AK26" i="2"/>
  <c r="AI26" i="2"/>
  <c r="AH26" i="2"/>
  <c r="AG26" i="2"/>
  <c r="AF26" i="2"/>
  <c r="AE26" i="2"/>
  <c r="AD26" i="2"/>
  <c r="AC26" i="2"/>
  <c r="AB26" i="2"/>
  <c r="AA26" i="2"/>
  <c r="Z26" i="2"/>
  <c r="Y26" i="2"/>
  <c r="X26" i="2"/>
  <c r="W26" i="2"/>
  <c r="V26" i="2"/>
  <c r="U26" i="2"/>
  <c r="T26" i="2"/>
  <c r="S26" i="2"/>
  <c r="R26" i="2"/>
  <c r="Q26" i="2"/>
  <c r="P26" i="2"/>
  <c r="O26" i="2"/>
  <c r="N26" i="2"/>
  <c r="M26" i="2"/>
  <c r="L26" i="2"/>
  <c r="K26" i="2"/>
  <c r="J26" i="2"/>
  <c r="I26" i="2"/>
  <c r="H26" i="2"/>
  <c r="G26" i="2"/>
  <c r="F26" i="2"/>
  <c r="E26" i="2"/>
  <c r="D26" i="2"/>
  <c r="B26" i="2"/>
  <c r="AM25" i="2"/>
  <c r="AK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F25" i="2"/>
  <c r="E25" i="2"/>
  <c r="D25" i="2"/>
  <c r="B25" i="2"/>
  <c r="AM24" i="2"/>
  <c r="AK24" i="2"/>
  <c r="AI24" i="2"/>
  <c r="AH24" i="2"/>
  <c r="AG24" i="2"/>
  <c r="AF24" i="2"/>
  <c r="AE24" i="2"/>
  <c r="AD24" i="2"/>
  <c r="AC24" i="2"/>
  <c r="AB24" i="2"/>
  <c r="AA24" i="2"/>
  <c r="Z24" i="2"/>
  <c r="Y24" i="2"/>
  <c r="X24" i="2"/>
  <c r="W24" i="2"/>
  <c r="V24" i="2"/>
  <c r="U24" i="2"/>
  <c r="T24" i="2"/>
  <c r="S24" i="2"/>
  <c r="R24" i="2"/>
  <c r="Q24" i="2"/>
  <c r="P24" i="2"/>
  <c r="O24" i="2"/>
  <c r="N24" i="2"/>
  <c r="M24" i="2"/>
  <c r="L24" i="2"/>
  <c r="K24" i="2"/>
  <c r="J24" i="2"/>
  <c r="I24" i="2"/>
  <c r="H24" i="2"/>
  <c r="G24" i="2"/>
  <c r="F24" i="2"/>
  <c r="E24" i="2"/>
  <c r="D24" i="2"/>
  <c r="B24" i="2"/>
  <c r="AM23" i="2"/>
  <c r="AK23" i="2"/>
  <c r="AI23" i="2"/>
  <c r="AH23"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F23" i="2"/>
  <c r="E23" i="2"/>
  <c r="D23" i="2"/>
  <c r="B23" i="2"/>
  <c r="AM22" i="2"/>
  <c r="AK22" i="2"/>
  <c r="AI22" i="2"/>
  <c r="AH22" i="2"/>
  <c r="AG22" i="2"/>
  <c r="AF22" i="2"/>
  <c r="AE22" i="2"/>
  <c r="AD22" i="2"/>
  <c r="AC22" i="2"/>
  <c r="AB22" i="2"/>
  <c r="AA22" i="2"/>
  <c r="Z22" i="2"/>
  <c r="Y22" i="2"/>
  <c r="X22" i="2"/>
  <c r="W22" i="2"/>
  <c r="V22" i="2"/>
  <c r="U22" i="2"/>
  <c r="T22" i="2"/>
  <c r="S22" i="2"/>
  <c r="R22" i="2"/>
  <c r="Q22" i="2"/>
  <c r="P22" i="2"/>
  <c r="O22" i="2"/>
  <c r="N22" i="2"/>
  <c r="M22" i="2"/>
  <c r="L22" i="2"/>
  <c r="K22" i="2"/>
  <c r="J22" i="2"/>
  <c r="I22" i="2"/>
  <c r="H22" i="2"/>
  <c r="G22" i="2"/>
  <c r="F22" i="2"/>
  <c r="E22" i="2"/>
  <c r="D22" i="2"/>
  <c r="B22" i="2"/>
  <c r="AM21" i="2"/>
  <c r="AK21" i="2"/>
  <c r="AI21" i="2"/>
  <c r="AH21" i="2"/>
  <c r="AG21" i="2"/>
  <c r="AF21" i="2"/>
  <c r="AE21" i="2"/>
  <c r="AD21" i="2"/>
  <c r="AC21" i="2"/>
  <c r="AB21" i="2"/>
  <c r="AA21" i="2"/>
  <c r="Z21" i="2"/>
  <c r="Y21" i="2"/>
  <c r="X21" i="2"/>
  <c r="W21" i="2"/>
  <c r="V21" i="2"/>
  <c r="U21" i="2"/>
  <c r="T21" i="2"/>
  <c r="S21" i="2"/>
  <c r="R21" i="2"/>
  <c r="Q21" i="2"/>
  <c r="P21" i="2"/>
  <c r="O21" i="2"/>
  <c r="N21" i="2"/>
  <c r="M21" i="2"/>
  <c r="L21" i="2"/>
  <c r="K21" i="2"/>
  <c r="J21" i="2"/>
  <c r="I21" i="2"/>
  <c r="H21" i="2"/>
  <c r="G21" i="2"/>
  <c r="F21" i="2"/>
  <c r="E21" i="2"/>
  <c r="D21" i="2"/>
  <c r="B21" i="2"/>
  <c r="AM20" i="2"/>
  <c r="AK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B20" i="2"/>
  <c r="AM19" i="2"/>
  <c r="AK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F19" i="2"/>
  <c r="E19" i="2"/>
  <c r="D19" i="2"/>
  <c r="B19" i="2"/>
  <c r="AM18" i="2"/>
  <c r="AK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B18" i="2"/>
  <c r="AM17" i="2"/>
  <c r="AK17" i="2"/>
  <c r="AI17" i="2"/>
  <c r="AH17" i="2"/>
  <c r="AG17" i="2"/>
  <c r="AF17" i="2"/>
  <c r="AE17" i="2"/>
  <c r="AD17" i="2"/>
  <c r="AC17" i="2"/>
  <c r="AB17" i="2"/>
  <c r="AA17" i="2"/>
  <c r="Z17" i="2"/>
  <c r="Y17" i="2"/>
  <c r="X17" i="2"/>
  <c r="W17" i="2"/>
  <c r="V17" i="2"/>
  <c r="U17" i="2"/>
  <c r="T17" i="2"/>
  <c r="S17" i="2"/>
  <c r="R17" i="2"/>
  <c r="Q17" i="2"/>
  <c r="P17" i="2"/>
  <c r="O17" i="2"/>
  <c r="N17" i="2"/>
  <c r="M17" i="2"/>
  <c r="L17" i="2"/>
  <c r="K17" i="2"/>
  <c r="J17" i="2"/>
  <c r="I17" i="2"/>
  <c r="H17" i="2"/>
  <c r="G17" i="2"/>
  <c r="F17" i="2"/>
  <c r="E17" i="2"/>
  <c r="D17" i="2"/>
  <c r="B17" i="2"/>
  <c r="AM16" i="2"/>
  <c r="AK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F16" i="2"/>
  <c r="E16" i="2"/>
  <c r="D16" i="2"/>
  <c r="B16" i="2"/>
  <c r="AM15" i="2"/>
  <c r="AK15" i="2"/>
  <c r="AI15" i="2"/>
  <c r="AH15" i="2"/>
  <c r="AG15" i="2"/>
  <c r="AF15" i="2"/>
  <c r="AE15" i="2"/>
  <c r="AD15" i="2"/>
  <c r="AC15" i="2"/>
  <c r="AB15" i="2"/>
  <c r="AA15" i="2"/>
  <c r="Z15" i="2"/>
  <c r="Y15" i="2"/>
  <c r="X15" i="2"/>
  <c r="W15" i="2"/>
  <c r="V15" i="2"/>
  <c r="U15" i="2"/>
  <c r="T15" i="2"/>
  <c r="S15" i="2"/>
  <c r="R15" i="2"/>
  <c r="Q15" i="2"/>
  <c r="P15" i="2"/>
  <c r="O15" i="2"/>
  <c r="N15" i="2"/>
  <c r="M15" i="2"/>
  <c r="L15" i="2"/>
  <c r="K15" i="2"/>
  <c r="J15" i="2"/>
  <c r="I15" i="2"/>
  <c r="H15" i="2"/>
  <c r="G15" i="2"/>
  <c r="F15" i="2"/>
  <c r="E15" i="2"/>
  <c r="D15" i="2"/>
  <c r="B15" i="2"/>
  <c r="AM14" i="2"/>
  <c r="AK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F14" i="2"/>
  <c r="E14" i="2"/>
  <c r="D14" i="2"/>
  <c r="B14" i="2"/>
  <c r="AM13" i="2"/>
  <c r="AK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B13" i="2"/>
  <c r="AM12" i="2"/>
  <c r="AK12" i="2"/>
  <c r="AI12" i="2"/>
  <c r="AH12" i="2"/>
  <c r="AG12" i="2"/>
  <c r="AF12" i="2"/>
  <c r="AE12" i="2"/>
  <c r="AD12" i="2"/>
  <c r="AC12" i="2"/>
  <c r="AB12" i="2"/>
  <c r="AA12" i="2"/>
  <c r="Z12" i="2"/>
  <c r="Y12" i="2"/>
  <c r="X12" i="2"/>
  <c r="W12" i="2"/>
  <c r="V12" i="2"/>
  <c r="U12" i="2"/>
  <c r="T12" i="2"/>
  <c r="S12" i="2"/>
  <c r="R12" i="2"/>
  <c r="Q12" i="2"/>
  <c r="P12" i="2"/>
  <c r="O12" i="2"/>
  <c r="N12" i="2"/>
  <c r="M12" i="2"/>
  <c r="L12" i="2"/>
  <c r="K12" i="2"/>
  <c r="J12" i="2"/>
  <c r="I12" i="2"/>
  <c r="H12" i="2"/>
  <c r="G12" i="2"/>
  <c r="F12" i="2"/>
  <c r="E12" i="2"/>
  <c r="D12" i="2"/>
  <c r="B12" i="2"/>
  <c r="AM11" i="2"/>
  <c r="AK11" i="2"/>
  <c r="AI11" i="2"/>
  <c r="AH11" i="2"/>
  <c r="AG11" i="2"/>
  <c r="AF11" i="2"/>
  <c r="AE11" i="2"/>
  <c r="AD11" i="2"/>
  <c r="AC11" i="2"/>
  <c r="AB11" i="2"/>
  <c r="AA11" i="2"/>
  <c r="Z11" i="2"/>
  <c r="Y11" i="2"/>
  <c r="X11" i="2"/>
  <c r="W11" i="2"/>
  <c r="V11" i="2"/>
  <c r="U11" i="2"/>
  <c r="T11" i="2"/>
  <c r="S11" i="2"/>
  <c r="R11" i="2"/>
  <c r="Q11" i="2"/>
  <c r="P11" i="2"/>
  <c r="O11" i="2"/>
  <c r="N11" i="2"/>
  <c r="M11" i="2"/>
  <c r="L11" i="2"/>
  <c r="K11" i="2"/>
  <c r="J11" i="2"/>
  <c r="I11" i="2"/>
  <c r="H11" i="2"/>
  <c r="G11" i="2"/>
  <c r="F11" i="2"/>
  <c r="E11" i="2"/>
  <c r="D11" i="2"/>
  <c r="B11" i="2"/>
  <c r="AM10" i="2"/>
  <c r="AK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F10" i="2"/>
  <c r="E10" i="2"/>
  <c r="D10" i="2"/>
  <c r="B10" i="2"/>
  <c r="AM9" i="2"/>
  <c r="AK9" i="2"/>
  <c r="AI9" i="2"/>
  <c r="AH9" i="2"/>
  <c r="AG9" i="2"/>
  <c r="AF9" i="2"/>
  <c r="AE9" i="2"/>
  <c r="AD9" i="2"/>
  <c r="AC9" i="2"/>
  <c r="AB9" i="2"/>
  <c r="AA9" i="2"/>
  <c r="Z9" i="2"/>
  <c r="Y9" i="2"/>
  <c r="X9" i="2"/>
  <c r="W9" i="2"/>
  <c r="V9" i="2"/>
  <c r="U9" i="2"/>
  <c r="T9" i="2"/>
  <c r="S9" i="2"/>
  <c r="R9" i="2"/>
  <c r="Q9" i="2"/>
  <c r="P9" i="2"/>
  <c r="O9" i="2"/>
  <c r="N9" i="2"/>
  <c r="M9" i="2"/>
  <c r="L9" i="2"/>
  <c r="K9" i="2"/>
  <c r="J9" i="2"/>
  <c r="I9" i="2"/>
  <c r="H9" i="2"/>
  <c r="G9" i="2"/>
  <c r="F9" i="2"/>
  <c r="E9" i="2"/>
  <c r="D9" i="2"/>
  <c r="B9" i="2"/>
  <c r="AM8" i="2"/>
  <c r="AK8" i="2"/>
  <c r="AI8" i="2"/>
  <c r="AH8" i="2"/>
  <c r="AG8" i="2"/>
  <c r="AF8" i="2"/>
  <c r="AE8" i="2"/>
  <c r="AD8" i="2"/>
  <c r="AC8" i="2"/>
  <c r="AB8" i="2"/>
  <c r="AA8" i="2"/>
  <c r="Z8" i="2"/>
  <c r="Y8" i="2"/>
  <c r="X8" i="2"/>
  <c r="W8" i="2"/>
  <c r="V8" i="2"/>
  <c r="U8" i="2"/>
  <c r="T8" i="2"/>
  <c r="S8" i="2"/>
  <c r="R8" i="2"/>
  <c r="Q8" i="2"/>
  <c r="P8" i="2"/>
  <c r="O8" i="2"/>
  <c r="N8" i="2"/>
  <c r="M8" i="2"/>
  <c r="L8" i="2"/>
  <c r="K8" i="2"/>
  <c r="J8" i="2"/>
  <c r="I8" i="2"/>
  <c r="H8" i="2"/>
  <c r="G8" i="2"/>
  <c r="F8" i="2"/>
  <c r="E8" i="2"/>
  <c r="D8" i="2"/>
  <c r="B8" i="2"/>
  <c r="AM7" i="2"/>
  <c r="AK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 r="B7" i="2"/>
  <c r="AM6" i="2"/>
  <c r="AK6" i="2"/>
  <c r="AI6" i="2"/>
  <c r="AH6" i="2"/>
  <c r="AG6" i="2"/>
  <c r="AF6" i="2"/>
  <c r="AE6" i="2"/>
  <c r="AD6" i="2"/>
  <c r="AC6" i="2"/>
  <c r="AB6" i="2"/>
  <c r="AA6" i="2"/>
  <c r="Z6" i="2"/>
  <c r="Y6" i="2"/>
  <c r="X6" i="2"/>
  <c r="W6" i="2"/>
  <c r="V6" i="2"/>
  <c r="U6" i="2"/>
  <c r="T6" i="2"/>
  <c r="S6" i="2"/>
  <c r="R6" i="2"/>
  <c r="Q6" i="2"/>
  <c r="P6" i="2"/>
  <c r="O6" i="2"/>
  <c r="N6" i="2"/>
  <c r="M6" i="2"/>
  <c r="L6" i="2"/>
  <c r="K6" i="2"/>
  <c r="J6" i="2"/>
  <c r="I6" i="2"/>
  <c r="H6" i="2"/>
  <c r="G6" i="2"/>
  <c r="F6" i="2"/>
  <c r="E6" i="2"/>
  <c r="D6" i="2"/>
  <c r="B6" i="2"/>
  <c r="AM5" i="2"/>
  <c r="AK5" i="2"/>
  <c r="AI5" i="2"/>
  <c r="AH5" i="2"/>
  <c r="AG5" i="2"/>
  <c r="AF5" i="2"/>
  <c r="AE5" i="2"/>
  <c r="AD5" i="2"/>
  <c r="AC5" i="2"/>
  <c r="AB5" i="2"/>
  <c r="AA5" i="2"/>
  <c r="Z5" i="2"/>
  <c r="Y5" i="2"/>
  <c r="X5" i="2"/>
  <c r="W5" i="2"/>
  <c r="V5" i="2"/>
  <c r="U5" i="2"/>
  <c r="T5" i="2"/>
  <c r="S5" i="2"/>
  <c r="R5" i="2"/>
  <c r="Q5" i="2"/>
  <c r="P5" i="2"/>
  <c r="O5" i="2"/>
  <c r="N5" i="2"/>
  <c r="M5" i="2"/>
  <c r="L5" i="2"/>
  <c r="K5" i="2"/>
  <c r="J5" i="2"/>
  <c r="I5" i="2"/>
  <c r="H5" i="2"/>
  <c r="G5" i="2"/>
  <c r="F5" i="2"/>
  <c r="E5" i="2"/>
  <c r="D5" i="2"/>
  <c r="B5" i="2"/>
  <c r="AM4" i="2"/>
  <c r="AK4" i="2"/>
  <c r="AI4" i="2"/>
  <c r="AH4" i="2"/>
  <c r="AG4" i="2"/>
  <c r="AF4" i="2"/>
  <c r="AE4" i="2"/>
  <c r="AD4" i="2"/>
  <c r="AC4" i="2"/>
  <c r="AB4" i="2"/>
  <c r="AA4" i="2"/>
  <c r="Z4" i="2"/>
  <c r="Y4" i="2"/>
  <c r="X4" i="2"/>
  <c r="W4" i="2"/>
  <c r="V4" i="2"/>
  <c r="U4" i="2"/>
  <c r="T4" i="2"/>
  <c r="S4" i="2"/>
  <c r="R4" i="2"/>
  <c r="Q4" i="2"/>
  <c r="P4" i="2"/>
  <c r="O4" i="2"/>
  <c r="N4" i="2"/>
  <c r="M4" i="2"/>
  <c r="L4" i="2"/>
  <c r="K4" i="2"/>
  <c r="J4" i="2"/>
  <c r="I4" i="2"/>
  <c r="H4" i="2"/>
  <c r="G4" i="2"/>
  <c r="F4" i="2"/>
  <c r="E4" i="2"/>
  <c r="D4" i="2"/>
  <c r="B4" i="2"/>
  <c r="AM3" i="2"/>
  <c r="AK3" i="2"/>
  <c r="AI3" i="2"/>
  <c r="AH3" i="2"/>
  <c r="AG3" i="2"/>
  <c r="AF3" i="2"/>
  <c r="AE3" i="2"/>
  <c r="AD3" i="2"/>
  <c r="AC3" i="2"/>
  <c r="AB3" i="2"/>
  <c r="AA3" i="2"/>
  <c r="Z3" i="2"/>
  <c r="Y3" i="2"/>
  <c r="X3" i="2"/>
  <c r="W3" i="2"/>
  <c r="V3" i="2"/>
  <c r="U3" i="2"/>
  <c r="T3" i="2"/>
  <c r="S3" i="2"/>
  <c r="R3" i="2"/>
  <c r="Q3" i="2"/>
  <c r="P3" i="2"/>
  <c r="O3" i="2"/>
  <c r="N3" i="2"/>
  <c r="M3" i="2"/>
  <c r="L3" i="2"/>
  <c r="K3" i="2"/>
  <c r="J3" i="2"/>
  <c r="I3" i="2"/>
  <c r="H3" i="2"/>
  <c r="G3" i="2"/>
  <c r="F3" i="2"/>
  <c r="E3" i="2"/>
  <c r="D3" i="2"/>
  <c r="B3" i="2"/>
  <c r="AM2" i="2"/>
  <c r="AK2" i="2"/>
  <c r="AI2" i="2"/>
  <c r="AH2" i="2"/>
  <c r="AG2" i="2"/>
  <c r="AF2" i="2"/>
  <c r="AE2" i="2"/>
  <c r="AD2" i="2"/>
  <c r="AC2" i="2"/>
  <c r="AB2" i="2"/>
  <c r="AA2" i="2"/>
  <c r="Z2" i="2"/>
  <c r="Y2" i="2"/>
  <c r="X2" i="2"/>
  <c r="W2" i="2"/>
  <c r="V2" i="2"/>
  <c r="U2" i="2"/>
  <c r="T2" i="2"/>
  <c r="S2" i="2"/>
  <c r="R2" i="2"/>
  <c r="Q2" i="2"/>
  <c r="P2" i="2"/>
  <c r="O2" i="2"/>
  <c r="N2" i="2"/>
  <c r="M2" i="2"/>
  <c r="L2" i="2"/>
  <c r="K2" i="2"/>
  <c r="J2" i="2"/>
  <c r="I2" i="2"/>
  <c r="H2" i="2"/>
  <c r="G2" i="2"/>
  <c r="F2" i="2"/>
  <c r="E2" i="2"/>
  <c r="D2" i="2"/>
  <c r="B2" i="2"/>
</calcChain>
</file>

<file path=xl/sharedStrings.xml><?xml version="1.0" encoding="utf-8"?>
<sst xmlns="http://schemas.openxmlformats.org/spreadsheetml/2006/main" count="108453" uniqueCount="12384">
  <si>
    <t>查询键</t>
  </si>
  <si>
    <t>干员ID</t>
  </si>
  <si>
    <t>干员名称</t>
  </si>
  <si>
    <t>等级</t>
  </si>
  <si>
    <t>英文名</t>
  </si>
  <si>
    <t>职业</t>
  </si>
  <si>
    <t>阵营</t>
  </si>
  <si>
    <t>标签</t>
  </si>
  <si>
    <t>稀有度</t>
  </si>
  <si>
    <t>武器类型</t>
  </si>
  <si>
    <t>干员属性</t>
  </si>
  <si>
    <t>主属性</t>
  </si>
  <si>
    <t>副属性</t>
  </si>
  <si>
    <t>生命值</t>
  </si>
  <si>
    <t>攻击力</t>
  </si>
  <si>
    <t>防御力</t>
  </si>
  <si>
    <t>力量</t>
  </si>
  <si>
    <t>敏捷</t>
  </si>
  <si>
    <t>智识</t>
  </si>
  <si>
    <t>意志</t>
  </si>
  <si>
    <t>暴击率</t>
  </si>
  <si>
    <t>暴击伤害</t>
  </si>
  <si>
    <t>普通攻击范围</t>
  </si>
  <si>
    <t>韧性削减系数</t>
  </si>
  <si>
    <t>物理等级系数</t>
  </si>
  <si>
    <t>法术等级系数</t>
  </si>
  <si>
    <t>精英化等阶</t>
  </si>
  <si>
    <t>潜能天赋①</t>
  </si>
  <si>
    <t>潜能天赋②</t>
  </si>
  <si>
    <t>潜能天赋③</t>
  </si>
  <si>
    <t>潜能天赋④</t>
  </si>
  <si>
    <t>潜能天赋⑤</t>
  </si>
  <si>
    <t>信赖天赋节点①</t>
  </si>
  <si>
    <t>信赖天赋节点②</t>
  </si>
  <si>
    <t>信赖天赋节点③</t>
  </si>
  <si>
    <t>信赖天赋节点④</t>
  </si>
  <si>
    <t>技能天赋节点①等级</t>
  </si>
  <si>
    <t>技能天赋节点①效果</t>
  </si>
  <si>
    <t>__talent_skill_1_lv1</t>
  </si>
  <si>
    <t>__talent_skill_1_lv2</t>
  </si>
  <si>
    <t>__talent_skill_1_lv3</t>
  </si>
  <si>
    <t>技能天赋节点②等级</t>
  </si>
  <si>
    <t>技能天赋节点②效果</t>
  </si>
  <si>
    <t>__talent_skill_2_lv1</t>
  </si>
  <si>
    <t>__talent_skill_2_lv2</t>
  </si>
  <si>
    <t>__talent_skill_2_lv3</t>
  </si>
  <si>
    <t>chr_0002_endminm_1</t>
  </si>
  <si>
    <t>chr_0002_endminm</t>
  </si>
  <si>
    <t>管理员(男)</t>
  </si>
  <si>
    <t>Endministrator</t>
  </si>
  <si>
    <t>近卫</t>
  </si>
  <si>
    <t>ENDFIELD INDUSTRIES</t>
  </si>
  <si>
    <t>猛击, 控制</t>
  </si>
  <si>
    <t>6★</t>
  </si>
  <si>
    <t>单手剑</t>
  </si>
  <si>
    <t>物理</t>
  </si>
  <si>
    <t>14.7422680412371</t>
  </si>
  <si>
    <t>14.2268041237113</t>
  </si>
  <si>
    <t>9.79381443298969</t>
  </si>
  <si>
    <t>10.8247422680412</t>
  </si>
  <si>
    <t>5.0%</t>
  </si>
  <si>
    <t>50.0%</t>
  </si>
  <si>
    <t>1.0</t>
  </si>
  <si>
    <r>
      <t>【最后的苏醒】战技</t>
    </r>
    <r>
      <rPr>
        <b/>
        <sz val="11"/>
        <color rgb="FF33C2FF"/>
        <rFont val="宋体"/>
        <charset val="134"/>
      </rPr>
      <t>构成序列</t>
    </r>
    <r>
      <rPr>
        <u/>
        <sz val="11"/>
        <rFont val="宋体"/>
        <charset val="134"/>
      </rPr>
      <t>消耗</t>
    </r>
    <r>
      <rPr>
        <b/>
        <u/>
        <sz val="11"/>
        <color rgb="FF33C2FF"/>
        <rFont val="宋体"/>
        <charset val="134"/>
      </rPr>
      <t>源石结晶</t>
    </r>
    <r>
      <rPr>
        <sz val="11"/>
        <color theme="1"/>
        <rFont val="宋体"/>
        <family val="2"/>
        <scheme val="minor"/>
      </rPr>
      <t>时，</t>
    </r>
    <r>
      <rPr>
        <u/>
        <sz val="11"/>
        <rFont val="宋体"/>
        <charset val="134"/>
      </rPr>
      <t>返还</t>
    </r>
    <r>
      <rPr>
        <b/>
        <sz val="11"/>
        <color rgb="FF9EB7FF"/>
        <rFont val="宋体"/>
        <charset val="134"/>
      </rPr>
      <t>50</t>
    </r>
    <r>
      <rPr>
        <sz val="11"/>
        <color theme="1"/>
        <rFont val="宋体"/>
        <family val="2"/>
        <scheme val="minor"/>
      </rPr>
      <t>点技力。</t>
    </r>
  </si>
  <si>
    <r>
      <t>【权能映射】天赋</t>
    </r>
    <r>
      <rPr>
        <b/>
        <sz val="11"/>
        <color rgb="FF33C2FF"/>
        <rFont val="宋体"/>
        <charset val="134"/>
      </rPr>
      <t>本质瓦解</t>
    </r>
    <r>
      <rPr>
        <sz val="11"/>
        <color theme="1"/>
        <rFont val="宋体"/>
        <family val="2"/>
        <scheme val="minor"/>
      </rPr>
      <t>效果加强：自身获得攻击力提升时，其他友方干员获得一半的攻击力提升效果。</t>
    </r>
  </si>
  <si>
    <t>【？？？】？？？</t>
  </si>
  <si>
    <t>无</t>
  </si>
  <si>
    <t>chr_0002_endminm_2</t>
  </si>
  <si>
    <t>15.966547443719742</t>
  </si>
  <si>
    <t>15.64948453608243</t>
  </si>
  <si>
    <t>10.773195876288662</t>
  </si>
  <si>
    <t>11.90721649484532</t>
  </si>
  <si>
    <t>1.00255102040816</t>
  </si>
  <si>
    <t>1.00510204081633</t>
  </si>
  <si>
    <t>chr_0002_endminm_3</t>
  </si>
  <si>
    <t>17.190826846202384</t>
  </si>
  <si>
    <t>17.07216494845356</t>
  </si>
  <si>
    <t>11.752577319587635</t>
  </si>
  <si>
    <t>12.989690721649442</t>
  </si>
  <si>
    <t>1.01020408163265</t>
  </si>
  <si>
    <t>chr_0002_endminm_4</t>
  </si>
  <si>
    <t>18.415106248685024</t>
  </si>
  <si>
    <t>18.49484536082469</t>
  </si>
  <si>
    <t>12.731958762886606</t>
  </si>
  <si>
    <t>14.072164948453562</t>
  </si>
  <si>
    <t>1.00765306122449</t>
  </si>
  <si>
    <t>1.01530612244898</t>
  </si>
  <si>
    <t>chr_0002_endminm_5</t>
  </si>
  <si>
    <t>19.639385651167668</t>
  </si>
  <si>
    <t>19.91752577319582</t>
  </si>
  <si>
    <t>13.711340206185579</t>
  </si>
  <si>
    <t>15.154639175257682</t>
  </si>
  <si>
    <t>1.02040816326531</t>
  </si>
  <si>
    <t>chr_0002_endminm_6</t>
  </si>
  <si>
    <t>20.86366505365031</t>
  </si>
  <si>
    <t>21.34020618556695</t>
  </si>
  <si>
    <t>14.690721649484551</t>
  </si>
  <si>
    <t>16.2371134020618</t>
  </si>
  <si>
    <t>1.01275510204082</t>
  </si>
  <si>
    <t>1.02551020408163</t>
  </si>
  <si>
    <t>chr_0002_endminm_7</t>
  </si>
  <si>
    <t>22.087944456132952</t>
  </si>
  <si>
    <t>22.762886597938078</t>
  </si>
  <si>
    <t>15.670103092783524</t>
  </si>
  <si>
    <t>17.31958762886592</t>
  </si>
  <si>
    <t>1.03061224489796</t>
  </si>
  <si>
    <t>chr_0002_endminm_8</t>
  </si>
  <si>
    <t>23.312223858615592</t>
  </si>
  <si>
    <t>24.185567010309207</t>
  </si>
  <si>
    <t>16.649484536082497</t>
  </si>
  <si>
    <t>18.40206185567004</t>
  </si>
  <si>
    <t>1.01785714285714</t>
  </si>
  <si>
    <t>1.03571428571429</t>
  </si>
  <si>
    <t>chr_0002_endminm_9</t>
  </si>
  <si>
    <t>24.536503261098233</t>
  </si>
  <si>
    <t>25.608247422680336</t>
  </si>
  <si>
    <t>17.62886597938147</t>
  </si>
  <si>
    <t>19.484536082474165</t>
  </si>
  <si>
    <t>1.04081632653061</t>
  </si>
  <si>
    <t>chr_0002_endminm_10</t>
  </si>
  <si>
    <t>25.760782663580876</t>
  </si>
  <si>
    <t>27.030927835051465</t>
  </si>
  <si>
    <t>18.608247422680442</t>
  </si>
  <si>
    <t>20.56701030927828</t>
  </si>
  <si>
    <t>1.02295918367347</t>
  </si>
  <si>
    <t>1.04591836734694</t>
  </si>
  <si>
    <t>chr_0002_endminm_11</t>
  </si>
  <si>
    <t>26.98506206606352</t>
  </si>
  <si>
    <t>28.453608247422597</t>
  </si>
  <si>
    <t>19.587628865979415</t>
  </si>
  <si>
    <t>21.649484536082404</t>
  </si>
  <si>
    <t>1.05102040816327</t>
  </si>
  <si>
    <t>chr_0002_endminm_12</t>
  </si>
  <si>
    <t>28.20934146854616</t>
  </si>
  <si>
    <t>29.876288659793726</t>
  </si>
  <si>
    <t>20.567010309278388</t>
  </si>
  <si>
    <t>22.731958762886524</t>
  </si>
  <si>
    <t>1.0280612244898</t>
  </si>
  <si>
    <t>1.05612244897959</t>
  </si>
  <si>
    <t>chr_0002_endminm_13</t>
  </si>
  <si>
    <t>29.4336208710288</t>
  </si>
  <si>
    <t>31.298969072164855</t>
  </si>
  <si>
    <t>21.546391752577357</t>
  </si>
  <si>
    <t>23.814432989690644</t>
  </si>
  <si>
    <t>1.06122448979592</t>
  </si>
  <si>
    <t>chr_0002_endminm_14</t>
  </si>
  <si>
    <t>30.657900273511444</t>
  </si>
  <si>
    <t>32.72164948453599</t>
  </si>
  <si>
    <t>22.525773195876333</t>
  </si>
  <si>
    <t>24.896907216494764</t>
  </si>
  <si>
    <t>1.03316326530612</t>
  </si>
  <si>
    <t>1.06632653061224</t>
  </si>
  <si>
    <t>chr_0002_endminm_15</t>
  </si>
  <si>
    <t>31.882179675994085</t>
  </si>
  <si>
    <t>34.14432989690712</t>
  </si>
  <si>
    <t>23.505154639175302</t>
  </si>
  <si>
    <t>25.979381443298884</t>
  </si>
  <si>
    <t>1.07142857142857</t>
  </si>
  <si>
    <t>chr_0002_endminm_16</t>
  </si>
  <si>
    <t>33.10645907847673</t>
  </si>
  <si>
    <t>35.567010309278245</t>
  </si>
  <si>
    <t>24.48453608247428</t>
  </si>
  <si>
    <t>27.061855670103007</t>
  </si>
  <si>
    <t>1.03826530612245</t>
  </si>
  <si>
    <t>1.0765306122449</t>
  </si>
  <si>
    <t>chr_0002_endminm_17</t>
  </si>
  <si>
    <t>34.33073848095937</t>
  </si>
  <si>
    <t>36.989690721649374</t>
  </si>
  <si>
    <t>25.463917525773248</t>
  </si>
  <si>
    <t>28.144329896907124</t>
  </si>
  <si>
    <t>1.08163265306122</t>
  </si>
  <si>
    <t>chr_0002_endminm_18</t>
  </si>
  <si>
    <t>35.555017883442005</t>
  </si>
  <si>
    <t>38.4123711340205</t>
  </si>
  <si>
    <t>26.443298969072224</t>
  </si>
  <si>
    <t>29.226804123711247</t>
  </si>
  <si>
    <t>1.04336734693878</t>
  </si>
  <si>
    <t>1.08673469387755</t>
  </si>
  <si>
    <t>chr_0002_endminm_19</t>
  </si>
  <si>
    <t>36.779297285924656</t>
  </si>
  <si>
    <t>39.83505154639163</t>
  </si>
  <si>
    <t>27.422680412371193</t>
  </si>
  <si>
    <t>30.309278350515363</t>
  </si>
  <si>
    <t>1.09183673469388</t>
  </si>
  <si>
    <t>chr_0002_endminm_20</t>
  </si>
  <si>
    <t>38.00357668840729</t>
  </si>
  <si>
    <t>41.25773195876276</t>
  </si>
  <si>
    <t>28.40206185567017</t>
  </si>
  <si>
    <t>31.391752577319487</t>
  </si>
  <si>
    <t>1.0484693877551</t>
  </si>
  <si>
    <t>1.0969387755102</t>
  </si>
  <si>
    <t>【游刃】干员敏捷能力值提升10。</t>
  </si>
  <si>
    <t>chr_0002_endminm_21</t>
  </si>
  <si>
    <t>39.22785609088994</t>
  </si>
  <si>
    <t>42.6804123711339</t>
  </si>
  <si>
    <t>29.38144329896914</t>
  </si>
  <si>
    <t>32.4742268041236</t>
  </si>
  <si>
    <t>1.10204081632653</t>
  </si>
  <si>
    <t>chr_0002_endminm_22</t>
  </si>
  <si>
    <t>40.45213549337258</t>
  </si>
  <si>
    <t>44.10309278350502</t>
  </si>
  <si>
    <t>30.360824742268115</t>
  </si>
  <si>
    <t>33.55670103092773</t>
  </si>
  <si>
    <t>1.05357142857143</t>
  </si>
  <si>
    <t>1.10714285714286</t>
  </si>
  <si>
    <t>chr_0002_endminm_23</t>
  </si>
  <si>
    <t>41.67641489585522</t>
  </si>
  <si>
    <t>45.525773195876155</t>
  </si>
  <si>
    <t>31.340206185567084</t>
  </si>
  <si>
    <t>34.63917525773185</t>
  </si>
  <si>
    <t>1.11224489795918</t>
  </si>
  <si>
    <t>chr_0002_endminm_24</t>
  </si>
  <si>
    <t>42.90069429833786</t>
  </si>
  <si>
    <t>46.94845360824728</t>
  </si>
  <si>
    <t>32.31958762886606</t>
  </si>
  <si>
    <t>35.721649484535966</t>
  </si>
  <si>
    <t>1.05867346938776</t>
  </si>
  <si>
    <t>1.11734693877551</t>
  </si>
  <si>
    <t>chr_0002_endminm_25</t>
  </si>
  <si>
    <t>44.124973700820505</t>
  </si>
  <si>
    <t>48.37113402061841</t>
  </si>
  <si>
    <t>33.29896907216503</t>
  </si>
  <si>
    <t>36.80412371134009</t>
  </si>
  <si>
    <t>1.12244897959184</t>
  </si>
  <si>
    <t>chr_0002_endminm_26</t>
  </si>
  <si>
    <t>45.34925310330314</t>
  </si>
  <si>
    <t>49.793814432989535</t>
  </si>
  <si>
    <t>34.278350515464</t>
  </si>
  <si>
    <t>37.886597938144206</t>
  </si>
  <si>
    <t>1.06377551020408</t>
  </si>
  <si>
    <t>1.12755102040816</t>
  </si>
  <si>
    <t>chr_0002_endminm_27</t>
  </si>
  <si>
    <t>46.573532505785785</t>
  </si>
  <si>
    <t>51.21649484536067</t>
  </si>
  <si>
    <t>35.257731958762975</t>
  </si>
  <si>
    <t>38.96907216494833</t>
  </si>
  <si>
    <t>1.13265306122449</t>
  </si>
  <si>
    <t>chr_0002_endminm_28</t>
  </si>
  <si>
    <t>47.79781190826843</t>
  </si>
  <si>
    <t>52.63917525773181</t>
  </si>
  <si>
    <t>36.237113402061944</t>
  </si>
  <si>
    <t>40.051546391752446</t>
  </si>
  <si>
    <t>1.06887755102041</t>
  </si>
  <si>
    <t>1.13775510204082</t>
  </si>
  <si>
    <t>chr_0002_endminm_29</t>
  </si>
  <si>
    <t>49.022091310751065</t>
  </si>
  <si>
    <t>54.06185567010293</t>
  </si>
  <si>
    <t>37.21649484536092</t>
  </si>
  <si>
    <t>41.13402061855657</t>
  </si>
  <si>
    <t>1.14285714285714</t>
  </si>
  <si>
    <t>chr_0002_endminm_30</t>
  </si>
  <si>
    <t>50.246370713233716</t>
  </si>
  <si>
    <t>55.484536082474065</t>
  </si>
  <si>
    <t>38.19587628865989</t>
  </si>
  <si>
    <t>42.21649484536069</t>
  </si>
  <si>
    <t>1.07397959183673</t>
  </si>
  <si>
    <t>1.14795918367347</t>
  </si>
  <si>
    <t>chr_0002_endminm_31</t>
  </si>
  <si>
    <t>51.47065011571635</t>
  </si>
  <si>
    <t>56.90721649484519</t>
  </si>
  <si>
    <t>39.175257731958865</t>
  </si>
  <si>
    <t>43.29896907216481</t>
  </si>
  <si>
    <t>1.1530612244898</t>
  </si>
  <si>
    <t>chr_0002_endminm_32</t>
  </si>
  <si>
    <t>52.69492951819899</t>
  </si>
  <si>
    <t>58.32989690721632</t>
  </si>
  <si>
    <t>40.154639175257834</t>
  </si>
  <si>
    <t>44.381443298968925</t>
  </si>
  <si>
    <t>1.07908163265306</t>
  </si>
  <si>
    <t>1.15816326530612</t>
  </si>
  <si>
    <t>chr_0002_endminm_33</t>
  </si>
  <si>
    <t>53.91920892068164</t>
  </si>
  <si>
    <t>59.752577319587445</t>
  </si>
  <si>
    <t>41.13402061855681</t>
  </si>
  <si>
    <t>45.46391752577305</t>
  </si>
  <si>
    <t>1.16326530612245</t>
  </si>
  <si>
    <t>chr_0002_endminm_34</t>
  </si>
  <si>
    <t>55.14348832316428</t>
  </si>
  <si>
    <t>61.17525773195858</t>
  </si>
  <si>
    <t>42.11340206185578</t>
  </si>
  <si>
    <t>46.54639175257717</t>
  </si>
  <si>
    <t>1.08418367346939</t>
  </si>
  <si>
    <t>1.16836734693878</t>
  </si>
  <si>
    <t>chr_0002_endminm_35</t>
  </si>
  <si>
    <t>56.367767725646914</t>
  </si>
  <si>
    <t>62.5979381443297</t>
  </si>
  <si>
    <t>43.092783505154756</t>
  </si>
  <si>
    <t>47.62886597938129</t>
  </si>
  <si>
    <t>1.1734693877551</t>
  </si>
  <si>
    <t>chr_0002_endminm_36</t>
  </si>
  <si>
    <t>57.592047128129565</t>
  </si>
  <si>
    <t>64.02061855670084</t>
  </si>
  <si>
    <t>44.072164948453725</t>
  </si>
  <si>
    <t>48.71134020618541</t>
  </si>
  <si>
    <t>1.08928571428571</t>
  </si>
  <si>
    <t>1.17857142857143</t>
  </si>
  <si>
    <t>chr_0002_endminm_37</t>
  </si>
  <si>
    <t>58.8163265306122</t>
  </si>
  <si>
    <t>65.44329896907196</t>
  </si>
  <si>
    <t>45.0515463917527</t>
  </si>
  <si>
    <t>49.79381443298953</t>
  </si>
  <si>
    <t>1.18367346938776</t>
  </si>
  <si>
    <t>chr_0002_endminm_38</t>
  </si>
  <si>
    <t>60.04060593309485</t>
  </si>
  <si>
    <t>66.8659793814431</t>
  </si>
  <si>
    <t>46.03092783505167</t>
  </si>
  <si>
    <t>50.87628865979365</t>
  </si>
  <si>
    <t>1.09438775510204</t>
  </si>
  <si>
    <t>1.18877551020408</t>
  </si>
  <si>
    <t>chr_0002_endminm_39</t>
  </si>
  <si>
    <t>61.26488533557749</t>
  </si>
  <si>
    <t>68.28865979381423</t>
  </si>
  <si>
    <t>47.01030927835065</t>
  </si>
  <si>
    <t>51.95876288659777</t>
  </si>
  <si>
    <t>1.19387755102041</t>
  </si>
  <si>
    <t>chr_0002_endminm_40</t>
  </si>
  <si>
    <t>62.489164738060126</t>
  </si>
  <si>
    <t>69.71134020618535</t>
  </si>
  <si>
    <t>47.989690721649616</t>
  </si>
  <si>
    <t>53.04123711340189</t>
  </si>
  <si>
    <t>1.09948979591837</t>
  </si>
  <si>
    <t>1.19897959183673</t>
  </si>
  <si>
    <t>【游刃】干员敏捷能力值提升15。</t>
  </si>
  <si>
    <t>【本质瓦解 Lv.2】当敌人附着的源石结晶被消耗后，自身攻击力+30%，持续15秒，该效果无法叠加。</t>
  </si>
  <si>
    <r>
      <t>【本质瓦解 Lv.2】当敌人附着的</t>
    </r>
    <r>
      <rPr>
        <b/>
        <u/>
        <sz val="11"/>
        <color rgb="FF33C2FF"/>
        <rFont val="宋体"/>
        <charset val="134"/>
      </rPr>
      <t>源石结晶</t>
    </r>
    <r>
      <rPr>
        <sz val="11"/>
        <color theme="1"/>
        <rFont val="宋体"/>
        <family val="2"/>
        <scheme val="minor"/>
      </rPr>
      <t>被</t>
    </r>
    <r>
      <rPr>
        <u/>
        <sz val="11"/>
        <rFont val="宋体"/>
        <charset val="134"/>
      </rPr>
      <t>消耗</t>
    </r>
    <r>
      <rPr>
        <sz val="11"/>
        <color theme="1"/>
        <rFont val="宋体"/>
        <family val="2"/>
        <scheme val="minor"/>
      </rPr>
      <t>后，自身攻击力</t>
    </r>
    <r>
      <rPr>
        <b/>
        <sz val="11"/>
        <color rgb="FF9EB7FF"/>
        <rFont val="宋体"/>
        <charset val="134"/>
      </rPr>
      <t>+30%</t>
    </r>
    <r>
      <rPr>
        <sz val="11"/>
        <color theme="1"/>
        <rFont val="宋体"/>
        <family val="2"/>
        <scheme val="minor"/>
      </rPr>
      <t>，持续15秒，该效果无法叠加。</t>
    </r>
  </si>
  <si>
    <t>chr_0002_endminm_41</t>
  </si>
  <si>
    <t>63.71344414054278</t>
  </si>
  <si>
    <t>71.13402061855649</t>
  </si>
  <si>
    <t>48.96907216494859</t>
  </si>
  <si>
    <t>54.12371134020601</t>
  </si>
  <si>
    <t>1.20408163265306</t>
  </si>
  <si>
    <t>chr_0002_endminm_42</t>
  </si>
  <si>
    <t>64.93772354302541</t>
  </si>
  <si>
    <t>72.55670103092761</t>
  </si>
  <si>
    <t>49.94845360824756</t>
  </si>
  <si>
    <t>55.20618556701013</t>
  </si>
  <si>
    <t>1.10459183673469</t>
  </si>
  <si>
    <t>1.20918367346939</t>
  </si>
  <si>
    <t>chr_0002_endminm_43</t>
  </si>
  <si>
    <t>66.16200294550805</t>
  </si>
  <si>
    <t>73.97938144329875</t>
  </si>
  <si>
    <t>50.92783505154654</t>
  </si>
  <si>
    <t>56.288659793814254</t>
  </si>
  <si>
    <t>1.21428571428571</t>
  </si>
  <si>
    <t>chr_0002_endminm_44</t>
  </si>
  <si>
    <t>67.3862823479907</t>
  </si>
  <si>
    <t>75.40206185566987</t>
  </si>
  <si>
    <t>51.90721649484551</t>
  </si>
  <si>
    <t>57.37113402061837</t>
  </si>
  <si>
    <t>1.10969387755102</t>
  </si>
  <si>
    <t>1.21938775510204</t>
  </si>
  <si>
    <t>chr_0002_endminm_45</t>
  </si>
  <si>
    <t>68.61056175047334</t>
  </si>
  <si>
    <t>76.824742268041</t>
  </si>
  <si>
    <t>52.88659793814448</t>
  </si>
  <si>
    <t>58.453608247422494</t>
  </si>
  <si>
    <t>1.22448979591837</t>
  </si>
  <si>
    <t>chr_0002_endminm_46</t>
  </si>
  <si>
    <t>69.83484115295597</t>
  </si>
  <si>
    <t>78.24742268041214</t>
  </si>
  <si>
    <t>53.86597938144345</t>
  </si>
  <si>
    <t>59.53608247422661</t>
  </si>
  <si>
    <t>1.11479591836735</t>
  </si>
  <si>
    <t>1.22959183673469</t>
  </si>
  <si>
    <t>chr_0002_endminm_47</t>
  </si>
  <si>
    <t>71.05912055543862</t>
  </si>
  <si>
    <t>79.67010309278326</t>
  </si>
  <si>
    <t>54.84536082474243</t>
  </si>
  <si>
    <t>60.618556701030734</t>
  </si>
  <si>
    <t>1.23469387755102</t>
  </si>
  <si>
    <t>chr_0002_endminm_48</t>
  </si>
  <si>
    <t>72.28339995792126</t>
  </si>
  <si>
    <t>81.0927835051544</t>
  </si>
  <si>
    <t>55.8247422680414</t>
  </si>
  <si>
    <t>61.70103092783485</t>
  </si>
  <si>
    <t>1.11989795918367</t>
  </si>
  <si>
    <t>1.23979591836735</t>
  </si>
  <si>
    <t>chr_0002_endminm_49</t>
  </si>
  <si>
    <t>73.5076793604039</t>
  </si>
  <si>
    <t>82.51546391752552</t>
  </si>
  <si>
    <t>56.80412371134037</t>
  </si>
  <si>
    <t>62.78350515463897</t>
  </si>
  <si>
    <t>1.24489795918367</t>
  </si>
  <si>
    <t>chr_0002_endminm_50</t>
  </si>
  <si>
    <t>74.73195876288655</t>
  </si>
  <si>
    <t>83.93814432989666</t>
  </si>
  <si>
    <t>57.78350515463934</t>
  </si>
  <si>
    <t>63.8659793814431</t>
  </si>
  <si>
    <t>1.125</t>
  </si>
  <si>
    <t>1.25</t>
  </si>
  <si>
    <t>chr_0002_endminm_51</t>
  </si>
  <si>
    <t>75.95623816536919</t>
  </si>
  <si>
    <t>85.36082474226778</t>
  </si>
  <si>
    <t>58.76288659793831</t>
  </si>
  <si>
    <t>64.94845360824722</t>
  </si>
  <si>
    <t>1.25510204081633</t>
  </si>
  <si>
    <t>chr_0002_endminm_52</t>
  </si>
  <si>
    <t>77.18051756785184</t>
  </si>
  <si>
    <t>86.78350515463892</t>
  </si>
  <si>
    <t>59.74226804123729</t>
  </si>
  <si>
    <t>66.03092783505134</t>
  </si>
  <si>
    <t>1.13010204081633</t>
  </si>
  <si>
    <t>1.26020408163265</t>
  </si>
  <si>
    <t>chr_0002_endminm_53</t>
  </si>
  <si>
    <t>78.40479697033447</t>
  </si>
  <si>
    <t>88.20618556701004</t>
  </si>
  <si>
    <t>60.72164948453626</t>
  </si>
  <si>
    <t>67.11340206185545</t>
  </si>
  <si>
    <t>1.26530612244898</t>
  </si>
  <si>
    <t>chr_0002_endminm_54</t>
  </si>
  <si>
    <t>79.62907637281711</t>
  </si>
  <si>
    <t>89.62886597938117</t>
  </si>
  <si>
    <t>61.701030927835234</t>
  </si>
  <si>
    <t>68.19587628865958</t>
  </si>
  <si>
    <t>1.13520408163265</t>
  </si>
  <si>
    <t>1.27040816326531</t>
  </si>
  <si>
    <t>chr_0002_endminm_55</t>
  </si>
  <si>
    <t>80.85335577529975</t>
  </si>
  <si>
    <t>91.05154639175231</t>
  </si>
  <si>
    <t>62.6804123711342</t>
  </si>
  <si>
    <t>69.2783505154637</t>
  </si>
  <si>
    <t>1.27551020408163</t>
  </si>
  <si>
    <t>chr_0002_endminm_56</t>
  </si>
  <si>
    <t>82.0776351777824</t>
  </si>
  <si>
    <t>92.47422680412343</t>
  </si>
  <si>
    <t>63.65979381443318</t>
  </si>
  <si>
    <t>70.36082474226782</t>
  </si>
  <si>
    <t>1.14030612244898</t>
  </si>
  <si>
    <t>1.28061224489796</t>
  </si>
  <si>
    <t>chr_0002_endminm_57</t>
  </si>
  <si>
    <t>83.30191458026503</t>
  </si>
  <si>
    <t>93.89690721649457</t>
  </si>
  <si>
    <t>64.63917525773215</t>
  </si>
  <si>
    <t>71.44329896907195</t>
  </si>
  <si>
    <t>1.28571428571429</t>
  </si>
  <si>
    <t>chr_0002_endminm_58</t>
  </si>
  <si>
    <t>84.52619398274767</t>
  </si>
  <si>
    <t>95.31958762886569</t>
  </si>
  <si>
    <t>65.61855670103112</t>
  </si>
  <si>
    <t>72.52577319587606</t>
  </si>
  <si>
    <t>1.14540816326531</t>
  </si>
  <si>
    <t>1.29081632653061</t>
  </si>
  <si>
    <t>chr_0002_endminm_59</t>
  </si>
  <si>
    <t>85.75047338523032</t>
  </si>
  <si>
    <t>96.74226804123683</t>
  </si>
  <si>
    <t>66.59793814433009</t>
  </si>
  <si>
    <t>73.60824742268018</t>
  </si>
  <si>
    <t>1.29591836734694</t>
  </si>
  <si>
    <t>chr_0002_endminm_60</t>
  </si>
  <si>
    <t>86.97475278771296</t>
  </si>
  <si>
    <t>98.16494845360795</t>
  </si>
  <si>
    <t>67.57731958762906</t>
  </si>
  <si>
    <t>74.6907216494843</t>
  </si>
  <si>
    <t>1.15051020408163</t>
  </si>
  <si>
    <t>1.30102040816327</t>
  </si>
  <si>
    <t>【本质瓦解 Lv.1】当敌人附着的源石结晶被消耗后，自身攻击力+15%，持续15秒，该效果无法叠加。</t>
  </si>
  <si>
    <r>
      <t>【本质瓦解 Lv.1】当敌人附着的</t>
    </r>
    <r>
      <rPr>
        <b/>
        <u/>
        <sz val="11"/>
        <color rgb="FF33C2FF"/>
        <rFont val="宋体"/>
        <charset val="134"/>
      </rPr>
      <t>源石结晶</t>
    </r>
    <r>
      <rPr>
        <sz val="11"/>
        <color theme="1"/>
        <rFont val="宋体"/>
        <family val="2"/>
        <scheme val="minor"/>
      </rPr>
      <t>被</t>
    </r>
    <r>
      <rPr>
        <u/>
        <sz val="11"/>
        <rFont val="宋体"/>
        <charset val="134"/>
      </rPr>
      <t>消耗</t>
    </r>
    <r>
      <rPr>
        <sz val="11"/>
        <color theme="1"/>
        <rFont val="宋体"/>
        <family val="2"/>
        <scheme val="minor"/>
      </rPr>
      <t>后，自身攻击力</t>
    </r>
    <r>
      <rPr>
        <b/>
        <sz val="11"/>
        <color rgb="FF9EB7FF"/>
        <rFont val="宋体"/>
        <charset val="134"/>
      </rPr>
      <t>+15%</t>
    </r>
    <r>
      <rPr>
        <sz val="11"/>
        <color theme="1"/>
        <rFont val="宋体"/>
        <family val="2"/>
        <scheme val="minor"/>
      </rPr>
      <t>，持续15秒，该效果无法叠加。</t>
    </r>
  </si>
  <si>
    <t>【现实静滞 Lv.1】附着源石结晶的敌人受到的物理伤害+10%。</t>
  </si>
  <si>
    <r>
      <t>【现实静滞 Lv.1】附着</t>
    </r>
    <r>
      <rPr>
        <b/>
        <u/>
        <sz val="11"/>
        <color rgb="FF33C2FF"/>
        <rFont val="宋体"/>
        <charset val="134"/>
      </rPr>
      <t>源石结晶</t>
    </r>
    <r>
      <rPr>
        <sz val="11"/>
        <color theme="1"/>
        <rFont val="宋体"/>
        <family val="2"/>
        <scheme val="minor"/>
      </rPr>
      <t>的敌人受到的物理伤害</t>
    </r>
    <r>
      <rPr>
        <b/>
        <sz val="11"/>
        <color rgb="FF9EB7FF"/>
        <rFont val="宋体"/>
        <charset val="134"/>
      </rPr>
      <t>+10%</t>
    </r>
    <r>
      <rPr>
        <sz val="11"/>
        <color theme="1"/>
        <rFont val="宋体"/>
        <family val="2"/>
        <scheme val="minor"/>
      </rPr>
      <t>。</t>
    </r>
  </si>
  <si>
    <r>
      <t>【现实静滞 Lv.2】附着</t>
    </r>
    <r>
      <rPr>
        <b/>
        <u/>
        <sz val="11"/>
        <color rgb="FF33C2FF"/>
        <rFont val="宋体"/>
        <charset val="134"/>
      </rPr>
      <t>源石结晶</t>
    </r>
    <r>
      <rPr>
        <sz val="11"/>
        <color theme="1"/>
        <rFont val="宋体"/>
        <family val="2"/>
        <scheme val="minor"/>
      </rPr>
      <t>的敌人受到的物理伤害</t>
    </r>
    <r>
      <rPr>
        <b/>
        <sz val="11"/>
        <color rgb="FF9EB7FF"/>
        <rFont val="宋体"/>
        <charset val="134"/>
      </rPr>
      <t>+20%</t>
    </r>
    <r>
      <rPr>
        <sz val="11"/>
        <color theme="1"/>
        <rFont val="宋体"/>
        <family val="2"/>
        <scheme val="minor"/>
      </rPr>
      <t>。</t>
    </r>
  </si>
  <si>
    <t>chr_0002_endminm_61</t>
  </si>
  <si>
    <t>88.19903219019561</t>
  </si>
  <si>
    <t>99.58762886597908</t>
  </si>
  <si>
    <t>68.55670103092804</t>
  </si>
  <si>
    <t>75.77319587628843</t>
  </si>
  <si>
    <t>1.30612244897959</t>
  </si>
  <si>
    <t>chr_0002_endminm_62</t>
  </si>
  <si>
    <t>89.42331159267825</t>
  </si>
  <si>
    <t>101.0103092783502</t>
  </si>
  <si>
    <t>69.53608247422702</t>
  </si>
  <si>
    <t>76.85567010309255</t>
  </si>
  <si>
    <t>1.15561224489796</t>
  </si>
  <si>
    <t>1.31122448979592</t>
  </si>
  <si>
    <t>chr_0002_endminm_63</t>
  </si>
  <si>
    <t>90.64759099516088</t>
  </si>
  <si>
    <t>102.43298969072134</t>
  </si>
  <si>
    <t>70.51546391752598</t>
  </si>
  <si>
    <t>77.93814432989666</t>
  </si>
  <si>
    <t>1.31632653061224</t>
  </si>
  <si>
    <t>chr_0002_endminm_64</t>
  </si>
  <si>
    <t>91.87187039764353</t>
  </si>
  <si>
    <t>103.85567010309246</t>
  </si>
  <si>
    <t>71.49484536082495</t>
  </si>
  <si>
    <t>79.02061855670078</t>
  </si>
  <si>
    <t>1.16071428571429</t>
  </si>
  <si>
    <t>1.32142857142857</t>
  </si>
  <si>
    <t>chr_0002_endminm_65</t>
  </si>
  <si>
    <t>93.09614980012617</t>
  </si>
  <si>
    <t>105.2783505154636</t>
  </si>
  <si>
    <t>72.47422680412393</t>
  </si>
  <si>
    <t>80.1030927835049</t>
  </si>
  <si>
    <t>1.3265306122449</t>
  </si>
  <si>
    <t>chr_0002_endminm_66</t>
  </si>
  <si>
    <t>94.3204292026088</t>
  </si>
  <si>
    <t>106.70103092783474</t>
  </si>
  <si>
    <t>73.45360824742289</t>
  </si>
  <si>
    <t>81.18556701030903</t>
  </si>
  <si>
    <t>1.16581632653061</t>
  </si>
  <si>
    <t>1.33163265306122</t>
  </si>
  <si>
    <t>chr_0002_endminm_67</t>
  </si>
  <si>
    <t>95.54470860509146</t>
  </si>
  <si>
    <t>108.12371134020586</t>
  </si>
  <si>
    <t>74.43298969072187</t>
  </si>
  <si>
    <t>82.26804123711315</t>
  </si>
  <si>
    <t>1.33673469387755</t>
  </si>
  <si>
    <t>chr_0002_endminm_68</t>
  </si>
  <si>
    <t>96.7689880075741</t>
  </si>
  <si>
    <t>109.546391752577</t>
  </si>
  <si>
    <t>75.41237113402084</t>
  </si>
  <si>
    <t>83.35051546391726</t>
  </si>
  <si>
    <t>1.17091836734694</t>
  </si>
  <si>
    <t>1.34183673469388</t>
  </si>
  <si>
    <t>chr_0002_endminm_69</t>
  </si>
  <si>
    <t>97.99326741005673</t>
  </si>
  <si>
    <t>110.96907216494812</t>
  </si>
  <si>
    <t>76.39175257731982</t>
  </si>
  <si>
    <t>84.43298969072139</t>
  </si>
  <si>
    <t>1.3469387755102</t>
  </si>
  <si>
    <t>chr_0002_endminm_70</t>
  </si>
  <si>
    <t>99.21754681253938</t>
  </si>
  <si>
    <t>112.39175257731925</t>
  </si>
  <si>
    <t>77.3711340206188</t>
  </si>
  <si>
    <t>85.51546391752551</t>
  </si>
  <si>
    <t>1.17602040816327</t>
  </si>
  <si>
    <t>1.35204081632653</t>
  </si>
  <si>
    <t>chr_0002_endminm_71</t>
  </si>
  <si>
    <t>100.44182621502202</t>
  </si>
  <si>
    <t>113.81443298969037</t>
  </si>
  <si>
    <t>78.35051546391776</t>
  </si>
  <si>
    <t>86.59793814432963</t>
  </si>
  <si>
    <t>1.35714285714286</t>
  </si>
  <si>
    <t>chr_0002_endminm_72</t>
  </si>
  <si>
    <t>101.66610561750467</t>
  </si>
  <si>
    <t>115.23711340206151</t>
  </si>
  <si>
    <t>79.32989690721674</t>
  </si>
  <si>
    <t>87.68041237113374</t>
  </si>
  <si>
    <t>1.18112244897959</t>
  </si>
  <si>
    <t>1.36224489795918</t>
  </si>
  <si>
    <t>chr_0002_endminm_73</t>
  </si>
  <si>
    <t>102.8903850199873</t>
  </si>
  <si>
    <t>116.65979381443263</t>
  </si>
  <si>
    <t>80.30927835051571</t>
  </si>
  <si>
    <t>88.76288659793786</t>
  </si>
  <si>
    <t>1.36734693877551</t>
  </si>
  <si>
    <t>chr_0002_endminm_74</t>
  </si>
  <si>
    <t>104.11466442246994</t>
  </si>
  <si>
    <t>118.08247422680377</t>
  </si>
  <si>
    <t>81.28865979381469</t>
  </si>
  <si>
    <t>89.84536082474199</t>
  </si>
  <si>
    <t>1.18622448979592</t>
  </si>
  <si>
    <t>1.37244897959184</t>
  </si>
  <si>
    <t>chr_0002_endminm_75</t>
  </si>
  <si>
    <t>105.3389438249526</t>
  </si>
  <si>
    <t>119.50515463917489</t>
  </si>
  <si>
    <t>82.26804123711365</t>
  </si>
  <si>
    <t>90.92783505154611</t>
  </si>
  <si>
    <t>1.37755102040816</t>
  </si>
  <si>
    <t>chr_0002_endminm_76</t>
  </si>
  <si>
    <t>106.56322322743523</t>
  </si>
  <si>
    <t>120.92783505154603</t>
  </si>
  <si>
    <t>83.24742268041263</t>
  </si>
  <si>
    <t>92.01030927835023</t>
  </si>
  <si>
    <t>1.19132653061224</t>
  </si>
  <si>
    <t>1.38265306122449</t>
  </si>
  <si>
    <t>chr_0002_endminm_77</t>
  </si>
  <si>
    <t>107.78750262991787</t>
  </si>
  <si>
    <t>122.35051546391716</t>
  </si>
  <si>
    <t>84.2268041237116</t>
  </si>
  <si>
    <t>93.09278350515434</t>
  </si>
  <si>
    <t>1.38775510204082</t>
  </si>
  <si>
    <t>chr_0002_endminm_78</t>
  </si>
  <si>
    <t>109.01178203240052</t>
  </si>
  <si>
    <t>123.77319587628828</t>
  </si>
  <si>
    <t>85.20618556701058</t>
  </si>
  <si>
    <t>94.17525773195847</t>
  </si>
  <si>
    <t>1.19642857142857</t>
  </si>
  <si>
    <t>1.39285714285714</t>
  </si>
  <si>
    <t>chr_0002_endminm_79</t>
  </si>
  <si>
    <t>110.23606143488315</t>
  </si>
  <si>
    <t>125.19587628865942</t>
  </si>
  <si>
    <t>86.18556701030954</t>
  </si>
  <si>
    <t>95.25773195876259</t>
  </si>
  <si>
    <t>1.39795918367347</t>
  </si>
  <si>
    <t>chr_0002_endminm_80</t>
  </si>
  <si>
    <t>111.46034083736579</t>
  </si>
  <si>
    <t>126.61855670103054</t>
  </si>
  <si>
    <t>87.16494845360852</t>
  </si>
  <si>
    <t>96.34020618556671</t>
  </si>
  <si>
    <t>1.2015306122449</t>
  </si>
  <si>
    <t>1.4030612244898</t>
  </si>
  <si>
    <t>【游刃】干员敏捷能力值提升20。</t>
  </si>
  <si>
    <t>chr_0002_endminm_81</t>
  </si>
  <si>
    <t>112.68462023984844</t>
  </si>
  <si>
    <t>128.04123711340168</t>
  </si>
  <si>
    <t>88.1443298969075</t>
  </si>
  <si>
    <t>97.42268041237082</t>
  </si>
  <si>
    <t>1.40816326530612</t>
  </si>
  <si>
    <t>chr_0002_endminm_82</t>
  </si>
  <si>
    <t>113.90889964233108</t>
  </si>
  <si>
    <t>129.46391752577279</t>
  </si>
  <si>
    <t>89.12371134020646</t>
  </si>
  <si>
    <t>98.50515463917495</t>
  </si>
  <si>
    <t>1.20663265306122</t>
  </si>
  <si>
    <t>1.41326530612245</t>
  </si>
  <si>
    <t>chr_0002_endminm_83</t>
  </si>
  <si>
    <t>115.13317904481372</t>
  </si>
  <si>
    <t>130.88659793814392</t>
  </si>
  <si>
    <t>90.10309278350543</t>
  </si>
  <si>
    <t>99.58762886597907</t>
  </si>
  <si>
    <t>1.41836734693878</t>
  </si>
  <si>
    <t>chr_0002_endminm_84</t>
  </si>
  <si>
    <t>116.35745844729637</t>
  </si>
  <si>
    <t>132.30927835051506</t>
  </si>
  <si>
    <t>91.08247422680441</t>
  </si>
  <si>
    <t>100.6701030927832</t>
  </si>
  <si>
    <t>1.21173469387755</t>
  </si>
  <si>
    <t>1.4234693877551</t>
  </si>
  <si>
    <t>chr_0002_endminm_85</t>
  </si>
  <si>
    <t>117.581737849779</t>
  </si>
  <si>
    <t>133.7319587628862</t>
  </si>
  <si>
    <t>92.06185567010338</t>
  </si>
  <si>
    <t>101.75257731958732</t>
  </si>
  <si>
    <t>1.42857142857143</t>
  </si>
  <si>
    <t>chr_0002_endminm_86</t>
  </si>
  <si>
    <t>118.80601725226165</t>
  </si>
  <si>
    <t>135.1546391752573</t>
  </si>
  <si>
    <t>93.04123711340235</t>
  </si>
  <si>
    <t>102.83505154639143</t>
  </si>
  <si>
    <t>1.21683673469388</t>
  </si>
  <si>
    <t>1.43367346938776</t>
  </si>
  <si>
    <t>chr_0002_endminm_87</t>
  </si>
  <si>
    <t>120.03029665474429</t>
  </si>
  <si>
    <t>136.57731958762844</t>
  </si>
  <si>
    <t>94.02061855670132</t>
  </si>
  <si>
    <t>103.91752577319555</t>
  </si>
  <si>
    <t>1.43877551020408</t>
  </si>
  <si>
    <t>chr_0002_endminm_88</t>
  </si>
  <si>
    <t>121.25457605722693</t>
  </si>
  <si>
    <t>137.99999999999957</t>
  </si>
  <si>
    <t>95.0000000000003</t>
  </si>
  <si>
    <t>104.99999999999967</t>
  </si>
  <si>
    <t>1.2219387755102</t>
  </si>
  <si>
    <t>1.44387755102041</t>
  </si>
  <si>
    <t>chr_0002_endminm_89</t>
  </si>
  <si>
    <t>122.47885545970958</t>
  </si>
  <si>
    <t>139.4226804123707</t>
  </si>
  <si>
    <t>95.97938144329927</t>
  </si>
  <si>
    <t>106.0824742268038</t>
  </si>
  <si>
    <t>1.44897959183673</t>
  </si>
  <si>
    <t>chr_0002_endminm_90</t>
  </si>
  <si>
    <t>123.70313486219221</t>
  </si>
  <si>
    <t>140.84536082474185</t>
  </si>
  <si>
    <t>96.95876288659824</t>
  </si>
  <si>
    <t>107.16494845360792</t>
  </si>
  <si>
    <t>1.22704081632653</t>
  </si>
  <si>
    <t>1.45408163265306</t>
  </si>
  <si>
    <t>chr_0002_endminm_91</t>
  </si>
  <si>
    <t>124.92741426467485</t>
  </si>
  <si>
    <t>142.26804123711298</t>
  </si>
  <si>
    <t>97.93814432989721</t>
  </si>
  <si>
    <t>108.24742268041203</t>
  </si>
  <si>
    <t>1.45918367346939</t>
  </si>
  <si>
    <t>chr_0002_endminm_92</t>
  </si>
  <si>
    <t>126.1516936671575</t>
  </si>
  <si>
    <t>143.6907216494841</t>
  </si>
  <si>
    <t>98.91752577319619</t>
  </si>
  <si>
    <t>109.32989690721615</t>
  </si>
  <si>
    <t>1.23214285714286</t>
  </si>
  <si>
    <t>1.46428571428571</t>
  </si>
  <si>
    <t>chr_0002_endminm_93</t>
  </si>
  <si>
    <t>127.37597306964014</t>
  </si>
  <si>
    <t>145.11340206185523</t>
  </si>
  <si>
    <t>99.89690721649517</t>
  </si>
  <si>
    <t>110.41237113402028</t>
  </si>
  <si>
    <t>1.46938775510204</t>
  </si>
  <si>
    <t>chr_0002_endminm_94</t>
  </si>
  <si>
    <t>128.60025247212278</t>
  </si>
  <si>
    <t>146.53608247422636</t>
  </si>
  <si>
    <t>100.87628865979413</t>
  </si>
  <si>
    <t>111.4948453608244</t>
  </si>
  <si>
    <t>1.23724489795918</t>
  </si>
  <si>
    <t>1.47448979591837</t>
  </si>
  <si>
    <t>chr_0002_endminm_95</t>
  </si>
  <si>
    <t>129.82453187460544</t>
  </si>
  <si>
    <t>147.9587628865975</t>
  </si>
  <si>
    <t>101.8556701030931</t>
  </si>
  <si>
    <t>112.57731958762851</t>
  </si>
  <si>
    <t>1.47959183673469</t>
  </si>
  <si>
    <t>chr_0002_endminm_96</t>
  </si>
  <si>
    <t>131.04881127708808</t>
  </si>
  <si>
    <t>149.3814432989686</t>
  </si>
  <si>
    <t>102.83505154639208</t>
  </si>
  <si>
    <t>113.65979381443263</t>
  </si>
  <si>
    <t>1.24234693877551</t>
  </si>
  <si>
    <t>1.48469387755102</t>
  </si>
  <si>
    <t>chr_0002_endminm_97</t>
  </si>
  <si>
    <t>132.2730906795707</t>
  </si>
  <si>
    <t>150.80412371133974</t>
  </si>
  <si>
    <t>103.81443298969104</t>
  </si>
  <si>
    <t>114.74226804123676</t>
  </si>
  <si>
    <t>1.48979591836735</t>
  </si>
  <si>
    <t>chr_0002_endminm_98</t>
  </si>
  <si>
    <t>133.49737008205335</t>
  </si>
  <si>
    <t>152.22680412371088</t>
  </si>
  <si>
    <t>104.79381443299002</t>
  </si>
  <si>
    <t>115.82474226804088</t>
  </si>
  <si>
    <t>1.24744897959184</t>
  </si>
  <si>
    <t>1.49489795918367</t>
  </si>
  <si>
    <t>chr_0002_endminm_99</t>
  </si>
  <si>
    <t>134.721649484536</t>
  </si>
  <si>
    <t>153.649484536082</t>
  </si>
  <si>
    <t>105.773195876289</t>
  </si>
  <si>
    <t>116.907216494845</t>
  </si>
  <si>
    <t>1.5</t>
  </si>
  <si>
    <t>chr_0020_meurs_1</t>
  </si>
  <si>
    <t>chr_0020_meurs</t>
  </si>
  <si>
    <t>卡契尔</t>
  </si>
  <si>
    <t>Catcher</t>
  </si>
  <si>
    <t>重装</t>
  </si>
  <si>
    <t>庇护, 护盾, 虚弱</t>
  </si>
  <si>
    <t>4★</t>
  </si>
  <si>
    <t>双手剑</t>
  </si>
  <si>
    <t>21.6494845360825</t>
  </si>
  <si>
    <t>8.76288659793815</t>
  </si>
  <si>
    <t>11.4536082474227</t>
  </si>
  <si>
    <r>
      <t>【多重战备】战技</t>
    </r>
    <r>
      <rPr>
        <b/>
        <sz val="11"/>
        <color rgb="FF33C2FF"/>
        <rFont val="宋体"/>
        <charset val="134"/>
      </rPr>
      <t>刚性阻击</t>
    </r>
    <r>
      <rPr>
        <sz val="11"/>
        <color theme="1"/>
        <rFont val="宋体"/>
        <family val="2"/>
        <scheme val="minor"/>
      </rPr>
      <t>和终结技</t>
    </r>
    <r>
      <rPr>
        <b/>
        <sz val="11"/>
        <color rgb="FF33C2FF"/>
        <rFont val="宋体"/>
        <charset val="134"/>
      </rPr>
      <t>教科书式猛攻</t>
    </r>
    <r>
      <rPr>
        <sz val="11"/>
        <color theme="1"/>
        <rFont val="宋体"/>
        <family val="2"/>
        <scheme val="minor"/>
      </rPr>
      <t>命中敌人后，额外造成一次</t>
    </r>
    <r>
      <rPr>
        <b/>
        <sz val="11"/>
        <color rgb="FF9EB7FF"/>
        <rFont val="宋体"/>
        <charset val="134"/>
      </rPr>
      <t>[300+防御力×5.0]</t>
    </r>
    <r>
      <rPr>
        <sz val="11"/>
        <color theme="1"/>
        <rFont val="宋体"/>
        <family val="2"/>
        <scheme val="minor"/>
      </rPr>
      <t>的</t>
    </r>
    <r>
      <rPr>
        <b/>
        <sz val="11"/>
        <color rgb="FFE3C19A"/>
        <rFont val="宋体"/>
        <charset val="134"/>
      </rPr>
      <t>物理伤害</t>
    </r>
    <r>
      <rPr>
        <sz val="11"/>
        <color theme="1"/>
        <rFont val="宋体"/>
        <family val="2"/>
        <scheme val="minor"/>
      </rPr>
      <t>。</t>
    </r>
  </si>
  <si>
    <r>
      <t>【额外特训】防御力</t>
    </r>
    <r>
      <rPr>
        <b/>
        <sz val="11"/>
        <color rgb="FF9EB7FF"/>
        <rFont val="宋体"/>
        <charset val="134"/>
      </rPr>
      <t>+20</t>
    </r>
    <r>
      <rPr>
        <sz val="11"/>
        <color theme="1"/>
        <rFont val="宋体"/>
        <family val="2"/>
        <scheme val="minor"/>
      </rPr>
      <t>，意志</t>
    </r>
    <r>
      <rPr>
        <b/>
        <sz val="11"/>
        <color rgb="FF9EB7FF"/>
        <rFont val="宋体"/>
        <charset val="134"/>
      </rPr>
      <t>+10</t>
    </r>
    <r>
      <rPr>
        <sz val="11"/>
        <color theme="1"/>
        <rFont val="宋体"/>
        <family val="2"/>
        <scheme val="minor"/>
      </rPr>
      <t>。</t>
    </r>
  </si>
  <si>
    <r>
      <t>【不屈心锚】连携技</t>
    </r>
    <r>
      <rPr>
        <b/>
        <sz val="11"/>
        <color rgb="FF33C2FF"/>
        <rFont val="宋体"/>
        <charset val="134"/>
      </rPr>
      <t>即时压制</t>
    </r>
    <r>
      <rPr>
        <sz val="11"/>
        <color theme="1"/>
        <rFont val="宋体"/>
        <family val="2"/>
        <scheme val="minor"/>
      </rPr>
      <t>提供的</t>
    </r>
    <r>
      <rPr>
        <b/>
        <u/>
        <sz val="11"/>
        <color rgb="FF33C2FF"/>
        <rFont val="宋体"/>
        <charset val="134"/>
      </rPr>
      <t>护盾</t>
    </r>
    <r>
      <rPr>
        <sz val="11"/>
        <color theme="1"/>
        <rFont val="宋体"/>
        <family val="2"/>
        <scheme val="minor"/>
      </rPr>
      <t>持续时间</t>
    </r>
    <r>
      <rPr>
        <b/>
        <sz val="11"/>
        <color rgb="FF9EB7FF"/>
        <rFont val="宋体"/>
        <charset val="134"/>
      </rPr>
      <t>+5</t>
    </r>
    <r>
      <rPr>
        <sz val="11"/>
        <color theme="1"/>
        <rFont val="宋体"/>
        <family val="2"/>
        <scheme val="minor"/>
      </rPr>
      <t>秒。</t>
    </r>
  </si>
  <si>
    <r>
      <t>【苦难代偿】终结技</t>
    </r>
    <r>
      <rPr>
        <b/>
        <sz val="11"/>
        <color rgb="FF33C2FF"/>
        <rFont val="宋体"/>
        <charset val="134"/>
      </rPr>
      <t>教科书式猛攻</t>
    </r>
    <r>
      <rPr>
        <sz val="11"/>
        <color theme="1"/>
        <rFont val="宋体"/>
        <family val="2"/>
        <scheme val="minor"/>
      </rPr>
      <t>所需的终结技能量</t>
    </r>
    <r>
      <rPr>
        <b/>
        <sz val="11"/>
        <color rgb="FF9EB7FF"/>
        <rFont val="宋体"/>
        <charset val="134"/>
      </rPr>
      <t>-10%</t>
    </r>
    <r>
      <rPr>
        <sz val="11"/>
        <color theme="1"/>
        <rFont val="宋体"/>
        <family val="2"/>
        <scheme val="minor"/>
      </rPr>
      <t>。</t>
    </r>
  </si>
  <si>
    <r>
      <t>【无悔抉择】卡契尔存在</t>
    </r>
    <r>
      <rPr>
        <b/>
        <u/>
        <sz val="11"/>
        <color rgb="FF33C2FF"/>
        <rFont val="宋体"/>
        <charset val="134"/>
      </rPr>
      <t>护盾</t>
    </r>
    <r>
      <rPr>
        <sz val="11"/>
        <color theme="1"/>
        <rFont val="宋体"/>
        <family val="2"/>
        <scheme val="minor"/>
      </rPr>
      <t>时，战技</t>
    </r>
    <r>
      <rPr>
        <b/>
        <sz val="11"/>
        <color rgb="FF33C2FF"/>
        <rFont val="宋体"/>
        <charset val="134"/>
      </rPr>
      <t>刚性阻击</t>
    </r>
    <r>
      <rPr>
        <sz val="11"/>
        <color theme="1"/>
        <rFont val="宋体"/>
        <family val="2"/>
        <scheme val="minor"/>
      </rPr>
      <t>成功命中敌人后</t>
    </r>
    <r>
      <rPr>
        <u/>
        <sz val="11"/>
        <rFont val="宋体"/>
        <charset val="134"/>
      </rPr>
      <t>返还</t>
    </r>
    <r>
      <rPr>
        <b/>
        <sz val="11"/>
        <color rgb="FF9EB7FF"/>
        <rFont val="宋体"/>
        <charset val="134"/>
      </rPr>
      <t>10</t>
    </r>
    <r>
      <rPr>
        <sz val="11"/>
        <color theme="1"/>
        <rFont val="宋体"/>
        <family val="2"/>
        <scheme val="minor"/>
      </rPr>
      <t>点技力。</t>
    </r>
  </si>
  <si>
    <t>chr_0020_meurs_2</t>
  </si>
  <si>
    <t>23.388386282348016</t>
  </si>
  <si>
    <t>9.639175257731965</t>
  </si>
  <si>
    <t>12.523984851672653</t>
  </si>
  <si>
    <t>chr_0020_meurs_3</t>
  </si>
  <si>
    <t>25.12728802861353</t>
  </si>
  <si>
    <t>10.51546391752578</t>
  </si>
  <si>
    <t>13.594361455922604</t>
  </si>
  <si>
    <t>chr_0020_meurs_4</t>
  </si>
  <si>
    <t>26.866189774879047</t>
  </si>
  <si>
    <t>11.391752577319595</t>
  </si>
  <si>
    <t>14.664738060172557</t>
  </si>
  <si>
    <t>chr_0020_meurs_5</t>
  </si>
  <si>
    <t>28.605091521144562</t>
  </si>
  <si>
    <t>12.26804123711341</t>
  </si>
  <si>
    <t>15.735114664422508</t>
  </si>
  <si>
    <t>chr_0020_meurs_6</t>
  </si>
  <si>
    <t>30.343993267410077</t>
  </si>
  <si>
    <t>13.144329896907225</t>
  </si>
  <si>
    <t>16.805491268672462</t>
  </si>
  <si>
    <t>chr_0020_meurs_7</t>
  </si>
  <si>
    <t>32.082895013675596</t>
  </si>
  <si>
    <t>14.02061855670104</t>
  </si>
  <si>
    <t>17.875867872922413</t>
  </si>
  <si>
    <t>chr_0020_meurs_8</t>
  </si>
  <si>
    <t>33.82179675994111</t>
  </si>
  <si>
    <t>14.896907216494855</t>
  </si>
  <si>
    <t>18.946244477172364</t>
  </si>
  <si>
    <t>chr_0020_meurs_9</t>
  </si>
  <si>
    <t>35.56069850620662</t>
  </si>
  <si>
    <t>15.77319587628867</t>
  </si>
  <si>
    <t>20.016621081422315</t>
  </si>
  <si>
    <t>chr_0020_meurs_10</t>
  </si>
  <si>
    <t>37.29960025247214</t>
  </si>
  <si>
    <t>16.649484536082483</t>
  </si>
  <si>
    <t>21.08699768567227</t>
  </si>
  <si>
    <t>chr_0020_meurs_11</t>
  </si>
  <si>
    <t>39.03850199873766</t>
  </si>
  <si>
    <t>17.525773195876297</t>
  </si>
  <si>
    <t>22.15737428992222</t>
  </si>
  <si>
    <t>chr_0020_meurs_12</t>
  </si>
  <si>
    <t>40.77740374500317</t>
  </si>
  <si>
    <t>18.402061855670112</t>
  </si>
  <si>
    <t>23.227750894172175</t>
  </si>
  <si>
    <t>chr_0020_meurs_13</t>
  </si>
  <si>
    <t>42.51630549126868</t>
  </si>
  <si>
    <t>19.278350515463927</t>
  </si>
  <si>
    <t>24.298127498422126</t>
  </si>
  <si>
    <t>chr_0020_meurs_14</t>
  </si>
  <si>
    <t>44.2552072375342</t>
  </si>
  <si>
    <t>20.154639175257742</t>
  </si>
  <si>
    <t>25.368504102672077</t>
  </si>
  <si>
    <t>chr_0020_meurs_15</t>
  </si>
  <si>
    <t>45.99410898379972</t>
  </si>
  <si>
    <t>21.030927835051557</t>
  </si>
  <si>
    <t>26.438880706922028</t>
  </si>
  <si>
    <t>chr_0020_meurs_16</t>
  </si>
  <si>
    <t>47.73301073006523</t>
  </si>
  <si>
    <t>21.907216494845372</t>
  </si>
  <si>
    <t>27.509257311171982</t>
  </si>
  <si>
    <t>chr_0020_meurs_17</t>
  </si>
  <si>
    <t>49.47191247633074</t>
  </si>
  <si>
    <t>22.783505154639187</t>
  </si>
  <si>
    <t>28.579633915421933</t>
  </si>
  <si>
    <t>chr_0020_meurs_18</t>
  </si>
  <si>
    <t>51.21081422259626</t>
  </si>
  <si>
    <t>23.659793814433</t>
  </si>
  <si>
    <t>29.650010519671884</t>
  </si>
  <si>
    <t>chr_0020_meurs_19</t>
  </si>
  <si>
    <t>52.94971596886178</t>
  </si>
  <si>
    <t>24.536082474226816</t>
  </si>
  <si>
    <t>30.72038712392184</t>
  </si>
  <si>
    <t>chr_0020_meurs_20</t>
  </si>
  <si>
    <t>54.68861771512729</t>
  </si>
  <si>
    <t>25.41237113402063</t>
  </si>
  <si>
    <t>31.79076372817179</t>
  </si>
  <si>
    <t>【锤炼】干员力量能力值提升10。</t>
  </si>
  <si>
    <t>【坚韧防线 Lv.1】每有10点意志，防御力+1.0。</t>
  </si>
  <si>
    <r>
      <t>【坚韧防线 Lv.1】每有10点意志，防御力</t>
    </r>
    <r>
      <rPr>
        <b/>
        <sz val="11"/>
        <color rgb="FF9EB7FF"/>
        <rFont val="宋体"/>
        <charset val="134"/>
      </rPr>
      <t>+1.0</t>
    </r>
    <r>
      <rPr>
        <sz val="11"/>
        <color theme="1"/>
        <rFont val="宋体"/>
        <family val="2"/>
        <scheme val="minor"/>
      </rPr>
      <t>。</t>
    </r>
  </si>
  <si>
    <t>chr_0020_meurs_21</t>
  </si>
  <si>
    <t>56.427519461392805</t>
  </si>
  <si>
    <t>26.288659793814446</t>
  </si>
  <si>
    <t>32.86114033242174</t>
  </si>
  <si>
    <t>chr_0020_meurs_22</t>
  </si>
  <si>
    <t>58.16642120765832</t>
  </si>
  <si>
    <t>27.16494845360826</t>
  </si>
  <si>
    <t>33.9315169366717</t>
  </si>
  <si>
    <t>chr_0020_meurs_23</t>
  </si>
  <si>
    <t>59.90532295392384</t>
  </si>
  <si>
    <t>28.041237113402076</t>
  </si>
  <si>
    <t>35.00189354092164</t>
  </si>
  <si>
    <t>chr_0020_meurs_24</t>
  </si>
  <si>
    <t>61.644224700189355</t>
  </si>
  <si>
    <t>28.91752577319589</t>
  </si>
  <si>
    <t>36.0722701451716</t>
  </si>
  <si>
    <t>chr_0020_meurs_25</t>
  </si>
  <si>
    <t>63.38312644645487</t>
  </si>
  <si>
    <t>29.793814432989706</t>
  </si>
  <si>
    <t>37.14264674942155</t>
  </si>
  <si>
    <t>chr_0020_meurs_26</t>
  </si>
  <si>
    <t>65.12202819272038</t>
  </si>
  <si>
    <t>30.67010309278352</t>
  </si>
  <si>
    <t>38.2130233536715</t>
  </si>
  <si>
    <t>chr_0020_meurs_27</t>
  </si>
  <si>
    <t>66.8609299389859</t>
  </si>
  <si>
    <t>31.546391752577335</t>
  </si>
  <si>
    <t>39.28339995792145</t>
  </si>
  <si>
    <t>chr_0020_meurs_28</t>
  </si>
  <si>
    <t>68.59983168525142</t>
  </si>
  <si>
    <t>32.42268041237115</t>
  </si>
  <si>
    <t>40.353776562171404</t>
  </si>
  <si>
    <t>chr_0020_meurs_29</t>
  </si>
  <si>
    <t>70.33873343151693</t>
  </si>
  <si>
    <t>33.298969072164965</t>
  </si>
  <si>
    <t>41.42415316642136</t>
  </si>
  <si>
    <t>chr_0020_meurs_30</t>
  </si>
  <si>
    <t>72.07763517778244</t>
  </si>
  <si>
    <t>34.17525773195878</t>
  </si>
  <si>
    <t>42.494529770671306</t>
  </si>
  <si>
    <t>chr_0020_meurs_31</t>
  </si>
  <si>
    <t>73.81653692404797</t>
  </si>
  <si>
    <t>35.051546391752595</t>
  </si>
  <si>
    <t>43.564906374921264</t>
  </si>
  <si>
    <t>chr_0020_meurs_32</t>
  </si>
  <si>
    <t>75.55543867031348</t>
  </si>
  <si>
    <t>35.92783505154641</t>
  </si>
  <si>
    <t>44.635282979171215</t>
  </si>
  <si>
    <t>chr_0020_meurs_33</t>
  </si>
  <si>
    <t>77.29434041657899</t>
  </si>
  <si>
    <t>36.804123711340225</t>
  </si>
  <si>
    <t>45.705659583421166</t>
  </si>
  <si>
    <t>chr_0020_meurs_34</t>
  </si>
  <si>
    <t>79.0332421628445</t>
  </si>
  <si>
    <t>37.68041237113404</t>
  </si>
  <si>
    <t>46.77603618767112</t>
  </si>
  <si>
    <t>chr_0020_meurs_35</t>
  </si>
  <si>
    <t>80.77214390911003</t>
  </si>
  <si>
    <t>38.556701030927854</t>
  </si>
  <si>
    <t>47.84641279192107</t>
  </si>
  <si>
    <t>chr_0020_meurs_36</t>
  </si>
  <si>
    <t>82.51104565537554</t>
  </si>
  <si>
    <t>39.43298969072167</t>
  </si>
  <si>
    <t>48.91678939617102</t>
  </si>
  <si>
    <t>chr_0020_meurs_37</t>
  </si>
  <si>
    <t>84.24994740164105</t>
  </si>
  <si>
    <t>40.309278350515484</t>
  </si>
  <si>
    <t>49.98716600042098</t>
  </si>
  <si>
    <t>chr_0020_meurs_38</t>
  </si>
  <si>
    <t>85.98884914790656</t>
  </si>
  <si>
    <t>41.1855670103093</t>
  </si>
  <si>
    <t>51.05754260467093</t>
  </si>
  <si>
    <t>chr_0020_meurs_39</t>
  </si>
  <si>
    <t>87.72775089417209</t>
  </si>
  <si>
    <t>42.061855670103114</t>
  </si>
  <si>
    <t>52.12791920892088</t>
  </si>
  <si>
    <t>chr_0020_meurs_40</t>
  </si>
  <si>
    <t>89.4666526404376</t>
  </si>
  <si>
    <t>42.93814432989693</t>
  </si>
  <si>
    <t>53.19829581317083</t>
  </si>
  <si>
    <t>【锤炼】干员力量能力值提升15。</t>
  </si>
  <si>
    <r>
      <t>【坚韧防线 Lv.2】每有10点意志，防御力</t>
    </r>
    <r>
      <rPr>
        <b/>
        <sz val="11"/>
        <color rgb="FF9EB7FF"/>
        <rFont val="宋体"/>
        <charset val="134"/>
      </rPr>
      <t>+1.2</t>
    </r>
    <r>
      <rPr>
        <sz val="11"/>
        <color theme="1"/>
        <rFont val="宋体"/>
        <family val="2"/>
        <scheme val="minor"/>
      </rPr>
      <t>。</t>
    </r>
  </si>
  <si>
    <t>【全局思维 Lv.1】终结技教科书式猛攻的最后一击产生2次冲击波，每次冲击波造成攻击力30%的物理伤害。</t>
  </si>
  <si>
    <r>
      <t>【全局思维 Lv.1】终结技</t>
    </r>
    <r>
      <rPr>
        <b/>
        <sz val="11"/>
        <color rgb="FF33C2FF"/>
        <rFont val="宋体"/>
        <charset val="134"/>
      </rPr>
      <t>教科书式猛攻</t>
    </r>
    <r>
      <rPr>
        <sz val="11"/>
        <color theme="1"/>
        <rFont val="宋体"/>
        <family val="2"/>
        <scheme val="minor"/>
      </rPr>
      <t>的最后一击产生2次冲击波，每次冲击波造成攻击力30%的</t>
    </r>
    <r>
      <rPr>
        <b/>
        <sz val="11"/>
        <color rgb="FFE3C19A"/>
        <rFont val="宋体"/>
        <charset val="134"/>
      </rPr>
      <t>物理伤害</t>
    </r>
    <r>
      <rPr>
        <sz val="11"/>
        <color theme="1"/>
        <rFont val="宋体"/>
        <family val="2"/>
        <scheme val="minor"/>
      </rPr>
      <t>。</t>
    </r>
  </si>
  <si>
    <t>chr_0020_meurs_41</t>
  </si>
  <si>
    <t>91.20555438670311</t>
  </si>
  <si>
    <t>43.814432989690744</t>
  </si>
  <si>
    <t>54.26867241742078</t>
  </si>
  <si>
    <t>chr_0020_meurs_42</t>
  </si>
  <si>
    <t>92.94445613296863</t>
  </si>
  <si>
    <t>44.69072164948456</t>
  </si>
  <si>
    <t>55.33904902167073</t>
  </si>
  <si>
    <t>chr_0020_meurs_43</t>
  </si>
  <si>
    <t>94.68335787923414</t>
  </si>
  <si>
    <t>45.56701030927837</t>
  </si>
  <si>
    <t>56.40942562592069</t>
  </si>
  <si>
    <t>chr_0020_meurs_44</t>
  </si>
  <si>
    <t>96.42225962549966</t>
  </si>
  <si>
    <t>46.44329896907219</t>
  </si>
  <si>
    <t>57.47980223017064</t>
  </si>
  <si>
    <t>chr_0020_meurs_45</t>
  </si>
  <si>
    <t>98.16116137176517</t>
  </si>
  <si>
    <t>47.319587628866</t>
  </si>
  <si>
    <t>58.55017883442059</t>
  </si>
  <si>
    <t>chr_0020_meurs_46</t>
  </si>
  <si>
    <t>99.90006311803069</t>
  </si>
  <si>
    <t>48.19587628865982</t>
  </si>
  <si>
    <t>59.62055543867054</t>
  </si>
  <si>
    <t>chr_0020_meurs_47</t>
  </si>
  <si>
    <t>101.63896486429621</t>
  </si>
  <si>
    <t>49.07216494845363</t>
  </si>
  <si>
    <t>60.690932042920494</t>
  </si>
  <si>
    <t>chr_0020_meurs_48</t>
  </si>
  <si>
    <t>103.37786661056172</t>
  </si>
  <si>
    <t>49.94845360824745</t>
  </si>
  <si>
    <t>61.761308647170445</t>
  </si>
  <si>
    <t>chr_0020_meurs_49</t>
  </si>
  <si>
    <t>105.11676835682724</t>
  </si>
  <si>
    <t>50.82474226804126</t>
  </si>
  <si>
    <t>62.8316852514204</t>
  </si>
  <si>
    <t>chr_0020_meurs_50</t>
  </si>
  <si>
    <t>106.85567010309275</t>
  </si>
  <si>
    <t>51.70103092783508</t>
  </si>
  <si>
    <t>63.902061855670354</t>
  </si>
  <si>
    <t>chr_0020_meurs_51</t>
  </si>
  <si>
    <t>108.59457184935826</t>
  </si>
  <si>
    <t>52.57731958762889</t>
  </si>
  <si>
    <t>64.97243845992031</t>
  </si>
  <si>
    <t>chr_0020_meurs_52</t>
  </si>
  <si>
    <t>110.33347359562379</t>
  </si>
  <si>
    <t>53.45360824742271</t>
  </si>
  <si>
    <t>66.04281506417026</t>
  </si>
  <si>
    <t>chr_0020_meurs_53</t>
  </si>
  <si>
    <t>112.0723753418893</t>
  </si>
  <si>
    <t>54.32989690721652</t>
  </si>
  <si>
    <t>67.1131916684202</t>
  </si>
  <si>
    <t>chr_0020_meurs_54</t>
  </si>
  <si>
    <t>113.81127708815481</t>
  </si>
  <si>
    <t>55.20618556701034</t>
  </si>
  <si>
    <t>68.18356827267016</t>
  </si>
  <si>
    <t>chr_0020_meurs_55</t>
  </si>
  <si>
    <t>115.55017883442034</t>
  </si>
  <si>
    <t>56.08247422680415</t>
  </si>
  <si>
    <t>69.25394487692012</t>
  </si>
  <si>
    <t>chr_0020_meurs_56</t>
  </si>
  <si>
    <t>117.28908058068585</t>
  </si>
  <si>
    <t>56.95876288659797</t>
  </si>
  <si>
    <t>70.32432148117007</t>
  </si>
  <si>
    <t>chr_0020_meurs_57</t>
  </si>
  <si>
    <t>119.02798232695136</t>
  </si>
  <si>
    <t>57.83505154639178</t>
  </si>
  <si>
    <t>71.39469808542002</t>
  </si>
  <si>
    <t>chr_0020_meurs_58</t>
  </si>
  <si>
    <t>120.76688407321687</t>
  </si>
  <si>
    <t>58.7113402061856</t>
  </si>
  <si>
    <t>72.46507468966996</t>
  </si>
  <si>
    <t>chr_0020_meurs_59</t>
  </si>
  <si>
    <t>122.50578581948238</t>
  </si>
  <si>
    <t>59.58762886597941</t>
  </si>
  <si>
    <t>73.53545129391992</t>
  </si>
  <si>
    <t>chr_0020_meurs_60</t>
  </si>
  <si>
    <t>124.24468756574791</t>
  </si>
  <si>
    <t>60.463917525773226</t>
  </si>
  <si>
    <t>74.60582789816988</t>
  </si>
  <si>
    <r>
      <t>【全局思维 Lv.2】终结技</t>
    </r>
    <r>
      <rPr>
        <b/>
        <sz val="11"/>
        <color rgb="FF33C2FF"/>
        <rFont val="宋体"/>
        <charset val="134"/>
      </rPr>
      <t>教科书式猛攻</t>
    </r>
    <r>
      <rPr>
        <sz val="11"/>
        <color theme="1"/>
        <rFont val="宋体"/>
        <family val="2"/>
        <scheme val="minor"/>
      </rPr>
      <t>的最后一击产生3次冲击波，每次冲击波造成攻击力45%的</t>
    </r>
    <r>
      <rPr>
        <b/>
        <sz val="11"/>
        <color rgb="FFE3C19A"/>
        <rFont val="宋体"/>
        <charset val="134"/>
      </rPr>
      <t>物理伤害</t>
    </r>
    <r>
      <rPr>
        <sz val="11"/>
        <color theme="1"/>
        <rFont val="宋体"/>
        <family val="2"/>
        <scheme val="minor"/>
      </rPr>
      <t>。</t>
    </r>
  </si>
  <si>
    <t>chr_0020_meurs_61</t>
  </si>
  <si>
    <t>125.98358931201342</t>
  </si>
  <si>
    <t>61.34020618556704</t>
  </si>
  <si>
    <t>75.67620450241984</t>
  </si>
  <si>
    <t>chr_0020_meurs_62</t>
  </si>
  <si>
    <t>127.72249105827893</t>
  </si>
  <si>
    <t>62.216494845360856</t>
  </si>
  <si>
    <t>76.74658110666977</t>
  </si>
  <si>
    <t>chr_0020_meurs_63</t>
  </si>
  <si>
    <t>129.46139280454446</t>
  </si>
  <si>
    <t>63.09278350515467</t>
  </si>
  <si>
    <t>77.81695771091972</t>
  </si>
  <si>
    <t>chr_0020_meurs_64</t>
  </si>
  <si>
    <t>131.20029455080999</t>
  </si>
  <si>
    <t>63.969072164948486</t>
  </si>
  <si>
    <t>78.88733431516968</t>
  </si>
  <si>
    <t>chr_0020_meurs_65</t>
  </si>
  <si>
    <t>132.93919629707548</t>
  </si>
  <si>
    <t>64.8453608247423</t>
  </si>
  <si>
    <t>79.95771091941964</t>
  </si>
  <si>
    <t>chr_0020_meurs_66</t>
  </si>
  <si>
    <t>134.678098043341</t>
  </si>
  <si>
    <t>65.72164948453612</t>
  </si>
  <si>
    <t>81.0280875236696</t>
  </si>
  <si>
    <t>chr_0020_meurs_67</t>
  </si>
  <si>
    <t>136.4169997896065</t>
  </si>
  <si>
    <t>66.59793814432993</t>
  </si>
  <si>
    <t>82.09846412791953</t>
  </si>
  <si>
    <t>chr_0020_meurs_68</t>
  </si>
  <si>
    <t>138.15590153587203</t>
  </si>
  <si>
    <t>67.47422680412375</t>
  </si>
  <si>
    <t>83.16884073216949</t>
  </si>
  <si>
    <t>chr_0020_meurs_69</t>
  </si>
  <si>
    <t>139.89480328213756</t>
  </si>
  <si>
    <t>68.35051546391756</t>
  </si>
  <si>
    <t>84.23921733641944</t>
  </si>
  <si>
    <t>chr_0020_meurs_70</t>
  </si>
  <si>
    <t>141.63370502840306</t>
  </si>
  <si>
    <t>69.22680412371137</t>
  </si>
  <si>
    <t>85.3095939406694</t>
  </si>
  <si>
    <t>chr_0020_meurs_71</t>
  </si>
  <si>
    <t>143.37260677466858</t>
  </si>
  <si>
    <t>70.10309278350519</t>
  </si>
  <si>
    <t>86.37997054491933</t>
  </si>
  <si>
    <t>chr_0020_meurs_72</t>
  </si>
  <si>
    <t>145.1115085209341</t>
  </si>
  <si>
    <t>70.979381443299</t>
  </si>
  <si>
    <t>87.45034714916929</t>
  </si>
  <si>
    <t>chr_0020_meurs_73</t>
  </si>
  <si>
    <t>146.8504102671996</t>
  </si>
  <si>
    <t>71.85567010309282</t>
  </si>
  <si>
    <t>88.52072375341925</t>
  </si>
  <si>
    <t>chr_0020_meurs_74</t>
  </si>
  <si>
    <t>148.58931201346513</t>
  </si>
  <si>
    <t>72.73195876288663</t>
  </si>
  <si>
    <t>89.5911003576692</t>
  </si>
  <si>
    <t>chr_0020_meurs_75</t>
  </si>
  <si>
    <t>150.32821375973063</t>
  </si>
  <si>
    <t>73.60824742268045</t>
  </si>
  <si>
    <t>90.66147696191916</t>
  </si>
  <si>
    <t>chr_0020_meurs_76</t>
  </si>
  <si>
    <t>152.06711550599616</t>
  </si>
  <si>
    <t>74.48453608247426</t>
  </si>
  <si>
    <t>91.7318535661691</t>
  </si>
  <si>
    <t>chr_0020_meurs_77</t>
  </si>
  <si>
    <t>153.80601725226168</t>
  </si>
  <si>
    <t>75.36082474226808</t>
  </si>
  <si>
    <t>92.80223017041905</t>
  </si>
  <si>
    <t>chr_0020_meurs_78</t>
  </si>
  <si>
    <t>155.54491899852718</t>
  </si>
  <si>
    <t>76.2371134020619</t>
  </si>
  <si>
    <t>93.87260677466901</t>
  </si>
  <si>
    <t>chr_0020_meurs_79</t>
  </si>
  <si>
    <t>157.2838207447927</t>
  </si>
  <si>
    <t>77.11340206185571</t>
  </si>
  <si>
    <t>94.94298337891897</t>
  </si>
  <si>
    <t>chr_0020_meurs_80</t>
  </si>
  <si>
    <t>159.0227224910582</t>
  </si>
  <si>
    <t>77.98969072164952</t>
  </si>
  <si>
    <t>96.01335998316893</t>
  </si>
  <si>
    <t>【锤炼】干员力量能力值提升20。</t>
  </si>
  <si>
    <t>chr_0020_meurs_81</t>
  </si>
  <si>
    <t>160.76162423732373</t>
  </si>
  <si>
    <t>78.86597938144334</t>
  </si>
  <si>
    <t>97.08373658741885</t>
  </si>
  <si>
    <t>chr_0020_meurs_82</t>
  </si>
  <si>
    <t>162.50052598358926</t>
  </si>
  <si>
    <t>79.74226804123715</t>
  </si>
  <si>
    <t>98.15411319166881</t>
  </si>
  <si>
    <t>chr_0020_meurs_83</t>
  </si>
  <si>
    <t>164.23942772985475</t>
  </si>
  <si>
    <t>80.61855670103097</t>
  </si>
  <si>
    <t>99.22448979591877</t>
  </si>
  <si>
    <t>chr_0020_meurs_84</t>
  </si>
  <si>
    <t>165.97832947612028</t>
  </si>
  <si>
    <t>81.49484536082478</t>
  </si>
  <si>
    <t>100.29486640016873</t>
  </si>
  <si>
    <t>chr_0020_meurs_85</t>
  </si>
  <si>
    <t>167.71723122238578</t>
  </si>
  <si>
    <t>82.3711340206186</t>
  </si>
  <si>
    <t>101.36524300441869</t>
  </si>
  <si>
    <t>chr_0020_meurs_86</t>
  </si>
  <si>
    <t>169.4561329686513</t>
  </si>
  <si>
    <t>83.24742268041241</t>
  </si>
  <si>
    <t>102.43561960866862</t>
  </si>
  <si>
    <t>chr_0020_meurs_87</t>
  </si>
  <si>
    <t>171.19503471491683</t>
  </si>
  <si>
    <t>84.12371134020623</t>
  </si>
  <si>
    <t>103.50599621291857</t>
  </si>
  <si>
    <t>chr_0020_meurs_88</t>
  </si>
  <si>
    <t>172.93393646118233</t>
  </si>
  <si>
    <t>85.00000000000004</t>
  </si>
  <si>
    <t>104.57637281716853</t>
  </si>
  <si>
    <t>chr_0020_meurs_89</t>
  </si>
  <si>
    <t>174.67283820744785</t>
  </si>
  <si>
    <t>85.87628865979386</t>
  </si>
  <si>
    <t>105.64674942141849</t>
  </si>
  <si>
    <t>chr_0020_meurs_90</t>
  </si>
  <si>
    <t>176.41173995371338</t>
  </si>
  <si>
    <t>86.75257731958767</t>
  </si>
  <si>
    <t>106.71712602566842</t>
  </si>
  <si>
    <t>chr_0020_meurs_91</t>
  </si>
  <si>
    <t>178.15064169997888</t>
  </si>
  <si>
    <t>87.62886597938149</t>
  </si>
  <si>
    <t>107.78750262991838</t>
  </si>
  <si>
    <t>chr_0020_meurs_92</t>
  </si>
  <si>
    <t>179.8895434462444</t>
  </si>
  <si>
    <t>88.5051546391753</t>
  </si>
  <si>
    <t>108.85787923416834</t>
  </si>
  <si>
    <t>chr_0020_meurs_93</t>
  </si>
  <si>
    <t>181.62844519250993</t>
  </si>
  <si>
    <t>89.38144329896912</t>
  </si>
  <si>
    <t>109.9282558384183</t>
  </si>
  <si>
    <t>chr_0020_meurs_94</t>
  </si>
  <si>
    <t>183.36734693877543</t>
  </si>
  <si>
    <t>90.25773195876293</t>
  </si>
  <si>
    <t>110.99863244266825</t>
  </si>
  <si>
    <t>chr_0020_meurs_95</t>
  </si>
  <si>
    <t>185.10624868504095</t>
  </si>
  <si>
    <t>91.13402061855675</t>
  </si>
  <si>
    <t>112.06900904691818</t>
  </si>
  <si>
    <t>chr_0020_meurs_96</t>
  </si>
  <si>
    <t>186.84515043130645</t>
  </si>
  <si>
    <t>92.01030927835056</t>
  </si>
  <si>
    <t>113.13938565116814</t>
  </si>
  <si>
    <t>chr_0020_meurs_97</t>
  </si>
  <si>
    <t>188.58405217757198</t>
  </si>
  <si>
    <t>92.88659793814438</t>
  </si>
  <si>
    <t>114.2097622554181</t>
  </si>
  <si>
    <t>chr_0020_meurs_98</t>
  </si>
  <si>
    <t>190.3229539238375</t>
  </si>
  <si>
    <t>93.76288659793819</t>
  </si>
  <si>
    <t>115.28013885966806</t>
  </si>
  <si>
    <t>chr_0020_meurs_99</t>
  </si>
  <si>
    <t>192.061855670103</t>
  </si>
  <si>
    <t>94.639175257732</t>
  </si>
  <si>
    <t>116.35051546391801</t>
  </si>
  <si>
    <t>chr_9000_endmin_1</t>
  </si>
  <si>
    <t>chr_9000_endmin</t>
  </si>
  <si>
    <t>管理员</t>
  </si>
  <si>
    <t>chr_9000_endmin_2</t>
  </si>
  <si>
    <t>chr_9000_endmin_3</t>
  </si>
  <si>
    <t>chr_9000_endmin_4</t>
  </si>
  <si>
    <t>chr_9000_endmin_5</t>
  </si>
  <si>
    <t>chr_9000_endmin_6</t>
  </si>
  <si>
    <t>chr_9000_endmin_7</t>
  </si>
  <si>
    <t>chr_9000_endmin_8</t>
  </si>
  <si>
    <t>chr_9000_endmin_9</t>
  </si>
  <si>
    <t>chr_9000_endmin_10</t>
  </si>
  <si>
    <t>chr_9000_endmin_11</t>
  </si>
  <si>
    <t>chr_9000_endmin_12</t>
  </si>
  <si>
    <t>chr_9000_endmin_13</t>
  </si>
  <si>
    <t>chr_9000_endmin_14</t>
  </si>
  <si>
    <t>chr_9000_endmin_15</t>
  </si>
  <si>
    <t>chr_9000_endmin_16</t>
  </si>
  <si>
    <t>chr_9000_endmin_17</t>
  </si>
  <si>
    <t>chr_9000_endmin_18</t>
  </si>
  <si>
    <t>chr_9000_endmin_19</t>
  </si>
  <si>
    <t>chr_9000_endmin_20</t>
  </si>
  <si>
    <t>chr_9000_endmin_21</t>
  </si>
  <si>
    <t>chr_9000_endmin_22</t>
  </si>
  <si>
    <t>chr_9000_endmin_23</t>
  </si>
  <si>
    <t>chr_9000_endmin_24</t>
  </si>
  <si>
    <t>chr_9000_endmin_25</t>
  </si>
  <si>
    <t>chr_9000_endmin_26</t>
  </si>
  <si>
    <t>chr_9000_endmin_27</t>
  </si>
  <si>
    <t>chr_9000_endmin_28</t>
  </si>
  <si>
    <t>chr_9000_endmin_29</t>
  </si>
  <si>
    <t>chr_9000_endmin_30</t>
  </si>
  <si>
    <t>chr_9000_endmin_31</t>
  </si>
  <si>
    <t>chr_9000_endmin_32</t>
  </si>
  <si>
    <t>chr_9000_endmin_33</t>
  </si>
  <si>
    <t>chr_9000_endmin_34</t>
  </si>
  <si>
    <t>chr_9000_endmin_35</t>
  </si>
  <si>
    <t>chr_9000_endmin_36</t>
  </si>
  <si>
    <t>chr_9000_endmin_37</t>
  </si>
  <si>
    <t>chr_9000_endmin_38</t>
  </si>
  <si>
    <t>chr_9000_endmin_39</t>
  </si>
  <si>
    <t>chr_9000_endmin_40</t>
  </si>
  <si>
    <t>chr_9000_endmin_41</t>
  </si>
  <si>
    <t>chr_9000_endmin_42</t>
  </si>
  <si>
    <t>chr_9000_endmin_43</t>
  </si>
  <si>
    <t>chr_9000_endmin_44</t>
  </si>
  <si>
    <t>chr_9000_endmin_45</t>
  </si>
  <si>
    <t>chr_9000_endmin_46</t>
  </si>
  <si>
    <t>chr_9000_endmin_47</t>
  </si>
  <si>
    <t>chr_9000_endmin_48</t>
  </si>
  <si>
    <t>chr_9000_endmin_49</t>
  </si>
  <si>
    <t>chr_9000_endmin_50</t>
  </si>
  <si>
    <t>chr_9000_endmin_51</t>
  </si>
  <si>
    <t>chr_9000_endmin_52</t>
  </si>
  <si>
    <t>chr_9000_endmin_53</t>
  </si>
  <si>
    <t>chr_9000_endmin_54</t>
  </si>
  <si>
    <t>chr_9000_endmin_55</t>
  </si>
  <si>
    <t>chr_9000_endmin_56</t>
  </si>
  <si>
    <t>chr_9000_endmin_57</t>
  </si>
  <si>
    <t>chr_9000_endmin_58</t>
  </si>
  <si>
    <t>chr_9000_endmin_59</t>
  </si>
  <si>
    <t>chr_9000_endmin_60</t>
  </si>
  <si>
    <t>chr_9000_endmin_61</t>
  </si>
  <si>
    <t>chr_9000_endmin_62</t>
  </si>
  <si>
    <t>chr_9000_endmin_63</t>
  </si>
  <si>
    <t>chr_9000_endmin_64</t>
  </si>
  <si>
    <t>chr_9000_endmin_65</t>
  </si>
  <si>
    <t>chr_9000_endmin_66</t>
  </si>
  <si>
    <t>chr_9000_endmin_67</t>
  </si>
  <si>
    <t>chr_9000_endmin_68</t>
  </si>
  <si>
    <t>chr_9000_endmin_69</t>
  </si>
  <si>
    <t>chr_9000_endmin_70</t>
  </si>
  <si>
    <t>chr_9000_endmin_71</t>
  </si>
  <si>
    <t>chr_9000_endmin_72</t>
  </si>
  <si>
    <t>chr_9000_endmin_73</t>
  </si>
  <si>
    <t>chr_9000_endmin_74</t>
  </si>
  <si>
    <t>chr_9000_endmin_75</t>
  </si>
  <si>
    <t>chr_9000_endmin_76</t>
  </si>
  <si>
    <t>chr_9000_endmin_77</t>
  </si>
  <si>
    <t>chr_9000_endmin_78</t>
  </si>
  <si>
    <t>chr_9000_endmin_79</t>
  </si>
  <si>
    <t>chr_9000_endmin_80</t>
  </si>
  <si>
    <t>chr_9000_endmin_81</t>
  </si>
  <si>
    <t>chr_9000_endmin_82</t>
  </si>
  <si>
    <t>chr_9000_endmin_83</t>
  </si>
  <si>
    <t>chr_9000_endmin_84</t>
  </si>
  <si>
    <t>chr_9000_endmin_85</t>
  </si>
  <si>
    <t>chr_9000_endmin_86</t>
  </si>
  <si>
    <t>chr_9000_endmin_87</t>
  </si>
  <si>
    <t>chr_9000_endmin_88</t>
  </si>
  <si>
    <t>chr_9000_endmin_89</t>
  </si>
  <si>
    <t>chr_9000_endmin_90</t>
  </si>
  <si>
    <t>chr_9000_endmin_91</t>
  </si>
  <si>
    <t>chr_9000_endmin_92</t>
  </si>
  <si>
    <t>chr_9000_endmin_93</t>
  </si>
  <si>
    <t>chr_9000_endmin_94</t>
  </si>
  <si>
    <t>chr_9000_endmin_95</t>
  </si>
  <si>
    <t>chr_9000_endmin_96</t>
  </si>
  <si>
    <t>chr_9000_endmin_97</t>
  </si>
  <si>
    <t>chr_9000_endmin_98</t>
  </si>
  <si>
    <t>chr_9000_endmin_99</t>
  </si>
  <si>
    <t>chr_0003_endminf_1</t>
  </si>
  <si>
    <t>chr_0003_endminf</t>
  </si>
  <si>
    <t>管理员(女)</t>
  </si>
  <si>
    <t>chr_0003_endminf_2</t>
  </si>
  <si>
    <t>chr_0003_endminf_3</t>
  </si>
  <si>
    <t>chr_0003_endminf_4</t>
  </si>
  <si>
    <t>chr_0003_endminf_5</t>
  </si>
  <si>
    <t>chr_0003_endminf_6</t>
  </si>
  <si>
    <t>chr_0003_endminf_7</t>
  </si>
  <si>
    <t>chr_0003_endminf_8</t>
  </si>
  <si>
    <t>chr_0003_endminf_9</t>
  </si>
  <si>
    <t>chr_0003_endminf_10</t>
  </si>
  <si>
    <t>chr_0003_endminf_11</t>
  </si>
  <si>
    <t>chr_0003_endminf_12</t>
  </si>
  <si>
    <t>chr_0003_endminf_13</t>
  </si>
  <si>
    <t>chr_0003_endminf_14</t>
  </si>
  <si>
    <t>chr_0003_endminf_15</t>
  </si>
  <si>
    <t>chr_0003_endminf_16</t>
  </si>
  <si>
    <t>chr_0003_endminf_17</t>
  </si>
  <si>
    <t>chr_0003_endminf_18</t>
  </si>
  <si>
    <t>chr_0003_endminf_19</t>
  </si>
  <si>
    <t>chr_0003_endminf_20</t>
  </si>
  <si>
    <t>chr_0003_endminf_21</t>
  </si>
  <si>
    <t>chr_0003_endminf_22</t>
  </si>
  <si>
    <t>chr_0003_endminf_23</t>
  </si>
  <si>
    <t>chr_0003_endminf_24</t>
  </si>
  <si>
    <t>chr_0003_endminf_25</t>
  </si>
  <si>
    <t>chr_0003_endminf_26</t>
  </si>
  <si>
    <t>chr_0003_endminf_27</t>
  </si>
  <si>
    <t>chr_0003_endminf_28</t>
  </si>
  <si>
    <t>chr_0003_endminf_29</t>
  </si>
  <si>
    <t>chr_0003_endminf_30</t>
  </si>
  <si>
    <t>chr_0003_endminf_31</t>
  </si>
  <si>
    <t>chr_0003_endminf_32</t>
  </si>
  <si>
    <t>chr_0003_endminf_33</t>
  </si>
  <si>
    <t>chr_0003_endminf_34</t>
  </si>
  <si>
    <t>chr_0003_endminf_35</t>
  </si>
  <si>
    <t>chr_0003_endminf_36</t>
  </si>
  <si>
    <t>chr_0003_endminf_37</t>
  </si>
  <si>
    <t>chr_0003_endminf_38</t>
  </si>
  <si>
    <t>chr_0003_endminf_39</t>
  </si>
  <si>
    <t>chr_0003_endminf_40</t>
  </si>
  <si>
    <t>chr_0003_endminf_41</t>
  </si>
  <si>
    <t>chr_0003_endminf_42</t>
  </si>
  <si>
    <t>chr_0003_endminf_43</t>
  </si>
  <si>
    <t>chr_0003_endminf_44</t>
  </si>
  <si>
    <t>chr_0003_endminf_45</t>
  </si>
  <si>
    <t>chr_0003_endminf_46</t>
  </si>
  <si>
    <t>chr_0003_endminf_47</t>
  </si>
  <si>
    <t>chr_0003_endminf_48</t>
  </si>
  <si>
    <t>chr_0003_endminf_49</t>
  </si>
  <si>
    <t>chr_0003_endminf_50</t>
  </si>
  <si>
    <t>chr_0003_endminf_51</t>
  </si>
  <si>
    <t>chr_0003_endminf_52</t>
  </si>
  <si>
    <t>chr_0003_endminf_53</t>
  </si>
  <si>
    <t>chr_0003_endminf_54</t>
  </si>
  <si>
    <t>chr_0003_endminf_55</t>
  </si>
  <si>
    <t>chr_0003_endminf_56</t>
  </si>
  <si>
    <t>chr_0003_endminf_57</t>
  </si>
  <si>
    <t>chr_0003_endminf_58</t>
  </si>
  <si>
    <t>chr_0003_endminf_59</t>
  </si>
  <si>
    <t>chr_0003_endminf_60</t>
  </si>
  <si>
    <t>chr_0003_endminf_61</t>
  </si>
  <si>
    <t>chr_0003_endminf_62</t>
  </si>
  <si>
    <t>chr_0003_endminf_63</t>
  </si>
  <si>
    <t>chr_0003_endminf_64</t>
  </si>
  <si>
    <t>chr_0003_endminf_65</t>
  </si>
  <si>
    <t>chr_0003_endminf_66</t>
  </si>
  <si>
    <t>chr_0003_endminf_67</t>
  </si>
  <si>
    <t>chr_0003_endminf_68</t>
  </si>
  <si>
    <t>chr_0003_endminf_69</t>
  </si>
  <si>
    <t>chr_0003_endminf_70</t>
  </si>
  <si>
    <t>chr_0003_endminf_71</t>
  </si>
  <si>
    <t>chr_0003_endminf_72</t>
  </si>
  <si>
    <t>chr_0003_endminf_73</t>
  </si>
  <si>
    <t>chr_0003_endminf_74</t>
  </si>
  <si>
    <t>chr_0003_endminf_75</t>
  </si>
  <si>
    <t>chr_0003_endminf_76</t>
  </si>
  <si>
    <t>chr_0003_endminf_77</t>
  </si>
  <si>
    <t>chr_0003_endminf_78</t>
  </si>
  <si>
    <t>chr_0003_endminf_79</t>
  </si>
  <si>
    <t>chr_0003_endminf_80</t>
  </si>
  <si>
    <t>chr_0003_endminf_81</t>
  </si>
  <si>
    <t>chr_0003_endminf_82</t>
  </si>
  <si>
    <t>chr_0003_endminf_83</t>
  </si>
  <si>
    <t>chr_0003_endminf_84</t>
  </si>
  <si>
    <t>chr_0003_endminf_85</t>
  </si>
  <si>
    <t>chr_0003_endminf_86</t>
  </si>
  <si>
    <t>chr_0003_endminf_87</t>
  </si>
  <si>
    <t>chr_0003_endminf_88</t>
  </si>
  <si>
    <t>chr_0003_endminf_89</t>
  </si>
  <si>
    <t>chr_0003_endminf_90</t>
  </si>
  <si>
    <t>chr_0003_endminf_91</t>
  </si>
  <si>
    <t>chr_0003_endminf_92</t>
  </si>
  <si>
    <t>chr_0003_endminf_93</t>
  </si>
  <si>
    <t>chr_0003_endminf_94</t>
  </si>
  <si>
    <t>chr_0003_endminf_95</t>
  </si>
  <si>
    <t>chr_0003_endminf_96</t>
  </si>
  <si>
    <t>chr_0003_endminf_97</t>
  </si>
  <si>
    <t>chr_0003_endminf_98</t>
  </si>
  <si>
    <t>chr_0003_endminf_99</t>
  </si>
  <si>
    <t>chr_0009_azrila_1</t>
  </si>
  <si>
    <t>chr_0009_azrila</t>
  </si>
  <si>
    <t>余烬</t>
  </si>
  <si>
    <t>Ember</t>
  </si>
  <si>
    <t>倒地, 治疗, 护盾</t>
  </si>
  <si>
    <t>灼热</t>
  </si>
  <si>
    <t>13.6082474226804</t>
  </si>
  <si>
    <r>
      <t>【移动要塞】天赋</t>
    </r>
    <r>
      <rPr>
        <b/>
        <sz val="11"/>
        <color rgb="FF33C2FF"/>
        <rFont val="宋体"/>
        <charset val="134"/>
      </rPr>
      <t>陷阵之志</t>
    </r>
    <r>
      <rPr>
        <sz val="11"/>
        <color theme="1"/>
        <rFont val="宋体"/>
        <family val="2"/>
        <scheme val="minor"/>
      </rPr>
      <t>效果加强：</t>
    </r>
    <r>
      <rPr>
        <b/>
        <u/>
        <sz val="11"/>
        <color rgb="FF33C2FF"/>
        <rFont val="宋体"/>
        <charset val="134"/>
      </rPr>
      <t>庇护</t>
    </r>
    <r>
      <rPr>
        <sz val="11"/>
        <color theme="1"/>
        <rFont val="宋体"/>
        <family val="2"/>
        <scheme val="minor"/>
      </rPr>
      <t>效果额外</t>
    </r>
    <r>
      <rPr>
        <b/>
        <sz val="11"/>
        <color rgb="FF9EB7FF"/>
        <rFont val="宋体"/>
        <charset val="134"/>
      </rPr>
      <t>+20%</t>
    </r>
    <r>
      <rPr>
        <sz val="11"/>
        <color theme="1"/>
        <rFont val="宋体"/>
        <family val="2"/>
        <scheme val="minor"/>
      </rPr>
      <t>，且在命中敌人后额外持续</t>
    </r>
    <r>
      <rPr>
        <b/>
        <sz val="11"/>
        <color rgb="FF9EB7FF"/>
        <rFont val="宋体"/>
        <charset val="134"/>
      </rPr>
      <t>1.5</t>
    </r>
    <r>
      <rPr>
        <sz val="11"/>
        <color theme="1"/>
        <rFont val="宋体"/>
        <family val="2"/>
        <scheme val="minor"/>
      </rPr>
      <t>秒。</t>
    </r>
  </si>
  <si>
    <r>
      <t>【百战成钢】力量</t>
    </r>
    <r>
      <rPr>
        <b/>
        <sz val="11"/>
        <color rgb="FF9EB7FF"/>
        <rFont val="宋体"/>
        <charset val="134"/>
      </rPr>
      <t>+20</t>
    </r>
    <r>
      <rPr>
        <sz val="11"/>
        <color theme="1"/>
        <rFont val="宋体"/>
        <family val="2"/>
        <scheme val="minor"/>
      </rPr>
      <t>，意志</t>
    </r>
    <r>
      <rPr>
        <b/>
        <sz val="11"/>
        <color rgb="FF9EB7FF"/>
        <rFont val="宋体"/>
        <charset val="134"/>
      </rPr>
      <t>+20</t>
    </r>
    <r>
      <rPr>
        <sz val="11"/>
        <color theme="1"/>
        <rFont val="宋体"/>
        <family val="2"/>
        <scheme val="minor"/>
      </rPr>
      <t>。</t>
    </r>
  </si>
  <si>
    <r>
      <t>【不屈阵线】连携技</t>
    </r>
    <r>
      <rPr>
        <b/>
        <sz val="11"/>
        <color rgb="FF33C2FF"/>
        <rFont val="宋体"/>
        <charset val="134"/>
      </rPr>
      <t>前线援护</t>
    </r>
    <r>
      <rPr>
        <sz val="11"/>
        <color theme="1"/>
        <rFont val="宋体"/>
        <family val="2"/>
        <scheme val="minor"/>
      </rPr>
      <t>会额外治疗小队内另一个生命值百分比最低的干员，效果为基础的</t>
    </r>
    <r>
      <rPr>
        <b/>
        <sz val="11"/>
        <color rgb="FF9EB7FF"/>
        <rFont val="宋体"/>
        <charset val="134"/>
      </rPr>
      <t>50%</t>
    </r>
    <r>
      <rPr>
        <sz val="11"/>
        <color theme="1"/>
        <rFont val="宋体"/>
        <family val="2"/>
        <scheme val="minor"/>
      </rPr>
      <t>。</t>
    </r>
  </si>
  <si>
    <r>
      <t>【薪火不息】终结技</t>
    </r>
    <r>
      <rPr>
        <b/>
        <sz val="11"/>
        <color rgb="FF33C2FF"/>
        <rFont val="宋体"/>
        <charset val="134"/>
      </rPr>
      <t>重燃誓约</t>
    </r>
    <r>
      <rPr>
        <sz val="11"/>
        <color theme="1"/>
        <rFont val="宋体"/>
        <family val="2"/>
        <scheme val="minor"/>
      </rPr>
      <t>所需的终结技能量</t>
    </r>
    <r>
      <rPr>
        <b/>
        <sz val="11"/>
        <color rgb="FF9EB7FF"/>
        <rFont val="宋体"/>
        <charset val="134"/>
      </rPr>
      <t>-15%</t>
    </r>
    <r>
      <rPr>
        <sz val="11"/>
        <color theme="1"/>
        <rFont val="宋体"/>
        <family val="2"/>
        <scheme val="minor"/>
      </rPr>
      <t>。</t>
    </r>
  </si>
  <si>
    <r>
      <t>【铁誓】终结技</t>
    </r>
    <r>
      <rPr>
        <b/>
        <sz val="11"/>
        <color rgb="FF33C2FF"/>
        <rFont val="宋体"/>
        <charset val="134"/>
      </rPr>
      <t>重燃誓约</t>
    </r>
    <r>
      <rPr>
        <sz val="11"/>
        <color theme="1"/>
        <rFont val="宋体"/>
        <family val="2"/>
        <scheme val="minor"/>
      </rPr>
      <t>提供的</t>
    </r>
    <r>
      <rPr>
        <b/>
        <u/>
        <sz val="11"/>
        <color rgb="FF33C2FF"/>
        <rFont val="宋体"/>
        <charset val="134"/>
      </rPr>
      <t>护盾</t>
    </r>
    <r>
      <rPr>
        <sz val="11"/>
        <color theme="1"/>
        <rFont val="宋体"/>
        <family val="2"/>
        <scheme val="minor"/>
      </rPr>
      <t>效果变为</t>
    </r>
    <r>
      <rPr>
        <b/>
        <sz val="11"/>
        <color rgb="FF9EB7FF"/>
        <rFont val="宋体"/>
        <charset val="134"/>
      </rPr>
      <t>1.2</t>
    </r>
    <r>
      <rPr>
        <sz val="11"/>
        <color theme="1"/>
        <rFont val="宋体"/>
        <family val="2"/>
        <scheme val="minor"/>
      </rPr>
      <t>倍，且该</t>
    </r>
    <r>
      <rPr>
        <b/>
        <u/>
        <sz val="11"/>
        <color rgb="FF33C2FF"/>
        <rFont val="宋体"/>
        <charset val="134"/>
      </rPr>
      <t>护盾</t>
    </r>
    <r>
      <rPr>
        <sz val="11"/>
        <color theme="1"/>
        <rFont val="宋体"/>
        <family val="2"/>
        <scheme val="minor"/>
      </rPr>
      <t>存在期间持有者攻击力</t>
    </r>
    <r>
      <rPr>
        <b/>
        <sz val="11"/>
        <color rgb="FF9EB7FF"/>
        <rFont val="宋体"/>
        <charset val="134"/>
      </rPr>
      <t>+10%</t>
    </r>
    <r>
      <rPr>
        <sz val="11"/>
        <color theme="1"/>
        <rFont val="宋体"/>
        <family val="2"/>
        <scheme val="minor"/>
      </rPr>
      <t>。</t>
    </r>
  </si>
  <si>
    <t>chr_0009_azrila_2</t>
  </si>
  <si>
    <t>14.806606353881742</t>
  </si>
  <si>
    <t>chr_0009_azrila_3</t>
  </si>
  <si>
    <t>16.004965285083085</t>
  </si>
  <si>
    <t>chr_0009_azrila_4</t>
  </si>
  <si>
    <t>17.20332421628443</t>
  </si>
  <si>
    <t>chr_0009_azrila_5</t>
  </si>
  <si>
    <t>18.40168314748577</t>
  </si>
  <si>
    <t>chr_0009_azrila_6</t>
  </si>
  <si>
    <t>19.600042078687114</t>
  </si>
  <si>
    <t>chr_0009_azrila_7</t>
  </si>
  <si>
    <t>20.798401009888458</t>
  </si>
  <si>
    <t>chr_0009_azrila_8</t>
  </si>
  <si>
    <t>21.9967599410898</t>
  </si>
  <si>
    <t>chr_0009_azrila_9</t>
  </si>
  <si>
    <t>23.195118872291143</t>
  </si>
  <si>
    <t>chr_0009_azrila_10</t>
  </si>
  <si>
    <t>24.393477803492488</t>
  </si>
  <si>
    <t>chr_0009_azrila_11</t>
  </si>
  <si>
    <t>25.59183673469383</t>
  </si>
  <si>
    <t>chr_0009_azrila_12</t>
  </si>
  <si>
    <t>26.790195665895173</t>
  </si>
  <si>
    <t>chr_0009_azrila_13</t>
  </si>
  <si>
    <t>27.988554597096517</t>
  </si>
  <si>
    <t>chr_0009_azrila_14</t>
  </si>
  <si>
    <t>29.186913528297858</t>
  </si>
  <si>
    <t>chr_0009_azrila_15</t>
  </si>
  <si>
    <t>30.385272459499202</t>
  </si>
  <si>
    <t>chr_0009_azrila_16</t>
  </si>
  <si>
    <t>31.583631390700543</t>
  </si>
  <si>
    <t>chr_0009_azrila_17</t>
  </si>
  <si>
    <t>32.78199032190189</t>
  </si>
  <si>
    <t>chr_0009_azrila_18</t>
  </si>
  <si>
    <t>33.98034925310323</t>
  </si>
  <si>
    <t>chr_0009_azrila_19</t>
  </si>
  <si>
    <t>35.17870818430457</t>
  </si>
  <si>
    <t>chr_0009_azrila_20</t>
  </si>
  <si>
    <t>36.377067115505916</t>
  </si>
  <si>
    <t>chr_0009_azrila_21</t>
  </si>
  <si>
    <t>37.57542604670726</t>
  </si>
  <si>
    <t>chr_0009_azrila_22</t>
  </si>
  <si>
    <t>38.773784977908605</t>
  </si>
  <si>
    <t>chr_0009_azrila_23</t>
  </si>
  <si>
    <t>39.972143909109946</t>
  </si>
  <si>
    <t>chr_0009_azrila_24</t>
  </si>
  <si>
    <t>41.170502840311286</t>
  </si>
  <si>
    <t>chr_0009_azrila_25</t>
  </si>
  <si>
    <t>42.36886177151263</t>
  </si>
  <si>
    <t>chr_0009_azrila_26</t>
  </si>
  <si>
    <t>43.567220702713975</t>
  </si>
  <si>
    <t>chr_0009_azrila_27</t>
  </si>
  <si>
    <t>44.765579633915316</t>
  </si>
  <si>
    <t>chr_0009_azrila_28</t>
  </si>
  <si>
    <t>45.963938565116656</t>
  </si>
  <si>
    <t>chr_0009_azrila_29</t>
  </si>
  <si>
    <t>47.162297496318004</t>
  </si>
  <si>
    <t>chr_0009_azrila_30</t>
  </si>
  <si>
    <t>48.360656427519345</t>
  </si>
  <si>
    <t>chr_0009_azrila_31</t>
  </si>
  <si>
    <t>49.559015358720686</t>
  </si>
  <si>
    <t>chr_0009_azrila_32</t>
  </si>
  <si>
    <t>50.75737428992203</t>
  </si>
  <si>
    <t>chr_0009_azrila_33</t>
  </si>
  <si>
    <t>51.955733221123374</t>
  </si>
  <si>
    <t>chr_0009_azrila_34</t>
  </si>
  <si>
    <t>53.154092152324715</t>
  </si>
  <si>
    <t>chr_0009_azrila_35</t>
  </si>
  <si>
    <t>54.35245108352606</t>
  </si>
  <si>
    <t>chr_0009_azrila_36</t>
  </si>
  <si>
    <t>55.5508100147274</t>
  </si>
  <si>
    <t>chr_0009_azrila_37</t>
  </si>
  <si>
    <t>56.749168945928744</t>
  </si>
  <si>
    <t>chr_0009_azrila_38</t>
  </si>
  <si>
    <t>57.94752787713009</t>
  </si>
  <si>
    <t>chr_0009_azrila_39</t>
  </si>
  <si>
    <t>59.14588680833143</t>
  </si>
  <si>
    <t>chr_0009_azrila_40</t>
  </si>
  <si>
    <t>60.344245739532774</t>
  </si>
  <si>
    <t>【陷阵之志 Lv.1】战技进军和连携技前线援护的施放过程中获得30%庇护，且更不容易被打断。</t>
  </si>
  <si>
    <r>
      <t>【陷阵之志 Lv.1】战技</t>
    </r>
    <r>
      <rPr>
        <b/>
        <sz val="11"/>
        <color rgb="FF33C2FF"/>
        <rFont val="宋体"/>
        <charset val="134"/>
      </rPr>
      <t>进军</t>
    </r>
    <r>
      <rPr>
        <sz val="11"/>
        <color theme="1"/>
        <rFont val="宋体"/>
        <family val="2"/>
        <scheme val="minor"/>
      </rPr>
      <t>和连携技</t>
    </r>
    <r>
      <rPr>
        <b/>
        <sz val="11"/>
        <color rgb="FF33C2FF"/>
        <rFont val="宋体"/>
        <charset val="134"/>
      </rPr>
      <t>前线援护</t>
    </r>
    <r>
      <rPr>
        <sz val="11"/>
        <color theme="1"/>
        <rFont val="宋体"/>
        <family val="2"/>
        <scheme val="minor"/>
      </rPr>
      <t>的施放过程中获得</t>
    </r>
    <r>
      <rPr>
        <b/>
        <sz val="11"/>
        <color rgb="FF9EB7FF"/>
        <rFont val="宋体"/>
        <charset val="134"/>
      </rPr>
      <t>30%</t>
    </r>
    <r>
      <rPr>
        <b/>
        <u/>
        <sz val="11"/>
        <color rgb="FF33C2FF"/>
        <rFont val="宋体"/>
        <charset val="134"/>
      </rPr>
      <t>庇护</t>
    </r>
    <r>
      <rPr>
        <sz val="11"/>
        <color theme="1"/>
        <rFont val="宋体"/>
        <family val="2"/>
        <scheme val="minor"/>
      </rPr>
      <t>，且更不容易被打断。</t>
    </r>
  </si>
  <si>
    <r>
      <t>【陷阵之志 Lv.2】战技</t>
    </r>
    <r>
      <rPr>
        <b/>
        <sz val="11"/>
        <color rgb="FF33C2FF"/>
        <rFont val="宋体"/>
        <charset val="134"/>
      </rPr>
      <t>进军</t>
    </r>
    <r>
      <rPr>
        <sz val="11"/>
        <color theme="1"/>
        <rFont val="宋体"/>
        <family val="2"/>
        <scheme val="minor"/>
      </rPr>
      <t>和连携技</t>
    </r>
    <r>
      <rPr>
        <b/>
        <sz val="11"/>
        <color rgb="FF33C2FF"/>
        <rFont val="宋体"/>
        <charset val="134"/>
      </rPr>
      <t>前线援护</t>
    </r>
    <r>
      <rPr>
        <sz val="11"/>
        <color theme="1"/>
        <rFont val="宋体"/>
        <family val="2"/>
        <scheme val="minor"/>
      </rPr>
      <t>的施放过程中获得</t>
    </r>
    <r>
      <rPr>
        <b/>
        <sz val="11"/>
        <color rgb="FF9EB7FF"/>
        <rFont val="宋体"/>
        <charset val="134"/>
      </rPr>
      <t>50%</t>
    </r>
    <r>
      <rPr>
        <b/>
        <u/>
        <sz val="11"/>
        <color rgb="FF33C2FF"/>
        <rFont val="宋体"/>
        <charset val="134"/>
      </rPr>
      <t>庇护</t>
    </r>
    <r>
      <rPr>
        <sz val="11"/>
        <color theme="1"/>
        <rFont val="宋体"/>
        <family val="2"/>
        <scheme val="minor"/>
      </rPr>
      <t>，且更不容易被打断。</t>
    </r>
  </si>
  <si>
    <t>【以铁还铁 Lv.1】受到来自敌人的伤害后，攻击力+6%，持续7秒，该效果最多叠加3层。</t>
  </si>
  <si>
    <r>
      <t>【以铁还铁 Lv.1】受到来自敌人的伤害后，攻击力</t>
    </r>
    <r>
      <rPr>
        <b/>
        <sz val="11"/>
        <color rgb="FF9EB7FF"/>
        <rFont val="宋体"/>
        <charset val="134"/>
      </rPr>
      <t>+6%</t>
    </r>
    <r>
      <rPr>
        <sz val="11"/>
        <color theme="1"/>
        <rFont val="宋体"/>
        <family val="2"/>
        <scheme val="minor"/>
      </rPr>
      <t>，持续7秒，该效果最多叠加3层。</t>
    </r>
  </si>
  <si>
    <t>chr_0009_azrila_41</t>
  </si>
  <si>
    <t>61.542604670734114</t>
  </si>
  <si>
    <t>chr_0009_azrila_42</t>
  </si>
  <si>
    <t>62.74096360193546</t>
  </si>
  <si>
    <t>chr_0009_azrila_43</t>
  </si>
  <si>
    <t>63.9393225331368</t>
  </si>
  <si>
    <t>chr_0009_azrila_44</t>
  </si>
  <si>
    <t>65.13768146433814</t>
  </si>
  <si>
    <t>chr_0009_azrila_45</t>
  </si>
  <si>
    <t>66.3360403955395</t>
  </si>
  <si>
    <t>chr_0009_azrila_46</t>
  </si>
  <si>
    <t>67.53439932674084</t>
  </si>
  <si>
    <t>chr_0009_azrila_47</t>
  </si>
  <si>
    <t>68.73275825794218</t>
  </si>
  <si>
    <t>chr_0009_azrila_48</t>
  </si>
  <si>
    <t>69.93111718914352</t>
  </si>
  <si>
    <t>chr_0009_azrila_49</t>
  </si>
  <si>
    <t>71.12947612034486</t>
  </si>
  <si>
    <t>chr_0009_azrila_50</t>
  </si>
  <si>
    <t>72.3278350515462</t>
  </si>
  <si>
    <t>chr_0009_azrila_51</t>
  </si>
  <si>
    <t>73.52619398274754</t>
  </si>
  <si>
    <t>chr_0009_azrila_52</t>
  </si>
  <si>
    <t>74.72455291394888</t>
  </si>
  <si>
    <t>chr_0009_azrila_53</t>
  </si>
  <si>
    <t>75.92291184515022</t>
  </si>
  <si>
    <t>chr_0009_azrila_54</t>
  </si>
  <si>
    <t>77.12127077635158</t>
  </si>
  <si>
    <t>chr_0009_azrila_55</t>
  </si>
  <si>
    <t>78.3196297075529</t>
  </si>
  <si>
    <t>chr_0009_azrila_56</t>
  </si>
  <si>
    <t>79.51798863875428</t>
  </si>
  <si>
    <t>chr_0009_azrila_57</t>
  </si>
  <si>
    <t>80.71634756995562</t>
  </si>
  <si>
    <t>chr_0009_azrila_58</t>
  </si>
  <si>
    <t>81.91470650115696</t>
  </si>
  <si>
    <t>chr_0009_azrila_59</t>
  </si>
  <si>
    <t>83.1130654323583</t>
  </si>
  <si>
    <t>chr_0009_azrila_60</t>
  </si>
  <si>
    <t>84.31142436355964</t>
  </si>
  <si>
    <r>
      <t>【以铁还铁 Lv.2】受到来自敌人的伤害后，攻击力</t>
    </r>
    <r>
      <rPr>
        <b/>
        <sz val="11"/>
        <color rgb="FF9EB7FF"/>
        <rFont val="宋体"/>
        <charset val="134"/>
      </rPr>
      <t>+9%</t>
    </r>
    <r>
      <rPr>
        <sz val="11"/>
        <color theme="1"/>
        <rFont val="宋体"/>
        <family val="2"/>
        <scheme val="minor"/>
      </rPr>
      <t>，持续7秒，该效果最多叠加3层。</t>
    </r>
  </si>
  <si>
    <t>chr_0009_azrila_61</t>
  </si>
  <si>
    <t>85.50978329476098</t>
  </si>
  <si>
    <t>chr_0009_azrila_62</t>
  </si>
  <si>
    <t>86.70814222596232</t>
  </si>
  <si>
    <t>chr_0009_azrila_63</t>
  </si>
  <si>
    <t>87.90650115716366</t>
  </si>
  <si>
    <t>chr_0009_azrila_64</t>
  </si>
  <si>
    <t>89.104860088365</t>
  </si>
  <si>
    <t>chr_0009_azrila_65</t>
  </si>
  <si>
    <t>90.30321901956634</t>
  </si>
  <si>
    <t>chr_0009_azrila_66</t>
  </si>
  <si>
    <t>91.50157795076768</t>
  </si>
  <si>
    <t>chr_0009_azrila_67</t>
  </si>
  <si>
    <t>92.69993688196902</t>
  </si>
  <si>
    <t>chr_0009_azrila_68</t>
  </si>
  <si>
    <t>93.89829581317036</t>
  </si>
  <si>
    <t>chr_0009_azrila_69</t>
  </si>
  <si>
    <t>95.09665474437173</t>
  </si>
  <si>
    <t>chr_0009_azrila_70</t>
  </si>
  <si>
    <t>96.29501367557307</t>
  </si>
  <si>
    <t>chr_0009_azrila_71</t>
  </si>
  <si>
    <t>97.49337260677441</t>
  </si>
  <si>
    <t>chr_0009_azrila_72</t>
  </si>
  <si>
    <t>98.69173153797576</t>
  </si>
  <si>
    <t>chr_0009_azrila_73</t>
  </si>
  <si>
    <t>99.8900904691771</t>
  </si>
  <si>
    <t>chr_0009_azrila_74</t>
  </si>
  <si>
    <t>101.08844940037844</t>
  </si>
  <si>
    <t>chr_0009_azrila_75</t>
  </si>
  <si>
    <t>102.28680833157978</t>
  </si>
  <si>
    <t>chr_0009_azrila_76</t>
  </si>
  <si>
    <t>103.48516726278112</t>
  </si>
  <si>
    <t>chr_0009_azrila_77</t>
  </si>
  <si>
    <t>104.68352619398246</t>
  </si>
  <si>
    <t>chr_0009_azrila_78</t>
  </si>
  <si>
    <t>105.8818851251838</t>
  </si>
  <si>
    <t>chr_0009_azrila_79</t>
  </si>
  <si>
    <t>107.08024405638514</t>
  </si>
  <si>
    <t>chr_0009_azrila_80</t>
  </si>
  <si>
    <t>108.27860298758648</t>
  </si>
  <si>
    <t>chr_0009_azrila_81</t>
  </si>
  <si>
    <t>109.47696191878782</t>
  </si>
  <si>
    <t>chr_0009_azrila_82</t>
  </si>
  <si>
    <t>110.67532084998919</t>
  </si>
  <si>
    <t>chr_0009_azrila_83</t>
  </si>
  <si>
    <t>111.87367978119053</t>
  </si>
  <si>
    <t>chr_0009_azrila_84</t>
  </si>
  <si>
    <t>113.07203871239187</t>
  </si>
  <si>
    <t>chr_0009_azrila_85</t>
  </si>
  <si>
    <t>114.27039764359321</t>
  </si>
  <si>
    <t>chr_0009_azrila_86</t>
  </si>
  <si>
    <t>115.46875657479455</t>
  </si>
  <si>
    <t>chr_0009_azrila_87</t>
  </si>
  <si>
    <t>116.6671155059959</t>
  </si>
  <si>
    <t>chr_0009_azrila_88</t>
  </si>
  <si>
    <t>117.86547443719724</t>
  </si>
  <si>
    <t>chr_0009_azrila_89</t>
  </si>
  <si>
    <t>119.06383336839858</t>
  </si>
  <si>
    <t>chr_0009_azrila_90</t>
  </si>
  <si>
    <t>120.26219229959992</t>
  </si>
  <si>
    <t>chr_0009_azrila_91</t>
  </si>
  <si>
    <t>121.46055123080126</t>
  </si>
  <si>
    <t>chr_0009_azrila_92</t>
  </si>
  <si>
    <t>122.6589101620026</t>
  </si>
  <si>
    <t>chr_0009_azrila_93</t>
  </si>
  <si>
    <t>123.85726909320394</t>
  </si>
  <si>
    <t>chr_0009_azrila_94</t>
  </si>
  <si>
    <t>125.05562802440531</t>
  </si>
  <si>
    <t>chr_0009_azrila_95</t>
  </si>
  <si>
    <t>126.25398695560665</t>
  </si>
  <si>
    <t>chr_0009_azrila_96</t>
  </si>
  <si>
    <t>127.45234588680799</t>
  </si>
  <si>
    <t>chr_0009_azrila_97</t>
  </si>
  <si>
    <t>128.65070481800933</t>
  </si>
  <si>
    <t>chr_0009_azrila_98</t>
  </si>
  <si>
    <t>129.84906374921067</t>
  </si>
  <si>
    <t>chr_0009_azrila_99</t>
  </si>
  <si>
    <t>131.047422680412</t>
  </si>
  <si>
    <t>chr_0004_pelica_1</t>
  </si>
  <si>
    <t>chr_0004_pelica</t>
  </si>
  <si>
    <t>佩丽卡</t>
  </si>
  <si>
    <t>Perlica</t>
  </si>
  <si>
    <t>术师</t>
  </si>
  <si>
    <t>电磁附着, 导电</t>
  </si>
  <si>
    <t>5★</t>
  </si>
  <si>
    <t>施术单元</t>
  </si>
  <si>
    <t>电磁</t>
  </si>
  <si>
    <t>9.27835051546392</t>
  </si>
  <si>
    <t>9.48453608247423</t>
  </si>
  <si>
    <r>
      <t>【危机处理】连携技</t>
    </r>
    <r>
      <rPr>
        <b/>
        <sz val="11"/>
        <color rgb="FF33C2FF"/>
        <rFont val="宋体"/>
        <charset val="134"/>
      </rPr>
      <t>即时协议·闪链</t>
    </r>
    <r>
      <rPr>
        <sz val="11"/>
        <color theme="1"/>
        <rFont val="宋体"/>
        <family val="2"/>
        <scheme val="minor"/>
      </rPr>
      <t>施加的</t>
    </r>
    <r>
      <rPr>
        <b/>
        <u/>
        <sz val="11"/>
        <color rgb="FFFFCC00"/>
        <rFont val="宋体"/>
        <charset val="134"/>
      </rPr>
      <t>导电</t>
    </r>
    <r>
      <rPr>
        <sz val="11"/>
        <color theme="1"/>
        <rFont val="宋体"/>
        <family val="2"/>
        <scheme val="minor"/>
      </rPr>
      <t>持续时间</t>
    </r>
    <r>
      <rPr>
        <b/>
        <sz val="11"/>
        <color rgb="FF9EB7FF"/>
        <rFont val="宋体"/>
        <charset val="134"/>
      </rPr>
      <t>+75%</t>
    </r>
    <r>
      <rPr>
        <sz val="11"/>
        <color theme="1"/>
        <rFont val="宋体"/>
        <family val="2"/>
        <scheme val="minor"/>
      </rPr>
      <t>。</t>
    </r>
  </si>
  <si>
    <r>
      <t>【谈判策略】终结技</t>
    </r>
    <r>
      <rPr>
        <b/>
        <sz val="11"/>
        <color rgb="FF33C2FF"/>
        <rFont val="宋体"/>
        <charset val="134"/>
      </rPr>
      <t>协议ε·70.41κ</t>
    </r>
    <r>
      <rPr>
        <sz val="11"/>
        <color theme="1"/>
        <rFont val="宋体"/>
        <family val="2"/>
        <scheme val="minor"/>
      </rPr>
      <t>所需的终结技能量</t>
    </r>
    <r>
      <rPr>
        <b/>
        <sz val="11"/>
        <color rgb="FF9EB7FF"/>
        <rFont val="宋体"/>
        <charset val="134"/>
      </rPr>
      <t>-15%</t>
    </r>
    <r>
      <rPr>
        <sz val="11"/>
        <color theme="1"/>
        <rFont val="宋体"/>
        <family val="2"/>
        <scheme val="minor"/>
      </rPr>
      <t>。</t>
    </r>
  </si>
  <si>
    <r>
      <t>【监督重任】当佩丽卡对敌人施加</t>
    </r>
    <r>
      <rPr>
        <b/>
        <u/>
        <sz val="11"/>
        <color rgb="FFFFCC00"/>
        <rFont val="宋体"/>
        <charset val="134"/>
      </rPr>
      <t>导电</t>
    </r>
    <r>
      <rPr>
        <sz val="11"/>
        <color theme="1"/>
        <rFont val="宋体"/>
        <family val="2"/>
        <scheme val="minor"/>
      </rPr>
      <t>后，在5秒内攻击力</t>
    </r>
    <r>
      <rPr>
        <b/>
        <sz val="11"/>
        <color rgb="FF9EB7FF"/>
        <rFont val="宋体"/>
        <charset val="134"/>
      </rPr>
      <t>+20%</t>
    </r>
    <r>
      <rPr>
        <sz val="11"/>
        <color theme="1"/>
        <rFont val="宋体"/>
        <family val="2"/>
        <scheme val="minor"/>
      </rPr>
      <t>，该效果最多叠加2层。</t>
    </r>
  </si>
  <si>
    <r>
      <t>【长效导流】连携技</t>
    </r>
    <r>
      <rPr>
        <b/>
        <sz val="11"/>
        <color rgb="FF33C2FF"/>
        <rFont val="宋体"/>
        <charset val="134"/>
      </rPr>
      <t>即时协议·闪链</t>
    </r>
    <r>
      <rPr>
        <sz val="11"/>
        <color theme="1"/>
        <rFont val="宋体"/>
        <family val="2"/>
        <scheme val="minor"/>
      </rPr>
      <t>施加的</t>
    </r>
    <r>
      <rPr>
        <b/>
        <u/>
        <sz val="11"/>
        <color rgb="FFFFCC00"/>
        <rFont val="宋体"/>
        <charset val="134"/>
      </rPr>
      <t>导电</t>
    </r>
    <r>
      <rPr>
        <sz val="11"/>
        <color theme="1"/>
        <rFont val="宋体"/>
        <family val="2"/>
        <scheme val="minor"/>
      </rPr>
      <t>使敌人受到</t>
    </r>
    <r>
      <rPr>
        <b/>
        <u/>
        <sz val="11"/>
        <color rgb="FF33C2FF"/>
        <rFont val="宋体"/>
        <charset val="134"/>
      </rPr>
      <t>法术伤害</t>
    </r>
    <r>
      <rPr>
        <sz val="11"/>
        <color theme="1"/>
        <rFont val="宋体"/>
        <family val="2"/>
        <scheme val="minor"/>
      </rPr>
      <t>提高的效果提升至原本的</t>
    </r>
    <r>
      <rPr>
        <b/>
        <sz val="11"/>
        <color rgb="FF9EB7FF"/>
        <rFont val="宋体"/>
        <charset val="134"/>
      </rPr>
      <t>1.33</t>
    </r>
    <r>
      <rPr>
        <sz val="11"/>
        <color theme="1"/>
        <rFont val="宋体"/>
        <family val="2"/>
        <scheme val="minor"/>
      </rPr>
      <t>倍。</t>
    </r>
  </si>
  <si>
    <r>
      <t>【再入控制】终结技</t>
    </r>
    <r>
      <rPr>
        <b/>
        <sz val="11"/>
        <color rgb="FF33C2FF"/>
        <rFont val="宋体"/>
        <charset val="134"/>
      </rPr>
      <t>协议ε·70.41κ</t>
    </r>
    <r>
      <rPr>
        <sz val="11"/>
        <color theme="1"/>
        <rFont val="宋体"/>
        <family val="2"/>
        <scheme val="minor"/>
      </rPr>
      <t>的暴击率</t>
    </r>
    <r>
      <rPr>
        <b/>
        <sz val="11"/>
        <color rgb="FF9EB7FF"/>
        <rFont val="宋体"/>
        <charset val="134"/>
      </rPr>
      <t>+30%</t>
    </r>
    <r>
      <rPr>
        <sz val="11"/>
        <color theme="1"/>
        <rFont val="宋体"/>
        <family val="2"/>
        <scheme val="minor"/>
      </rPr>
      <t>。</t>
    </r>
  </si>
  <si>
    <t>chr_0004_pelica_2</t>
  </si>
  <si>
    <t>10.206185567010309</t>
  </si>
  <si>
    <t>10.432989690721657</t>
  </si>
  <si>
    <t>23.223080159899038</t>
  </si>
  <si>
    <t>14.731622133389425</t>
  </si>
  <si>
    <t>chr_0004_pelica_3</t>
  </si>
  <si>
    <t>11.134020618556697</t>
  </si>
  <si>
    <t>11.381443298969083</t>
  </si>
  <si>
    <t>24.79667578371557</t>
  </si>
  <si>
    <t>15.854996844098453</t>
  </si>
  <si>
    <t>chr_0004_pelica_4</t>
  </si>
  <si>
    <t>12.061855670103085</t>
  </si>
  <si>
    <t>12.329896907216508</t>
  </si>
  <si>
    <t>26.37027140753211</t>
  </si>
  <si>
    <t>16.97837155480748</t>
  </si>
  <si>
    <t>chr_0004_pelica_5</t>
  </si>
  <si>
    <t>12.989690721649474</t>
  </si>
  <si>
    <t>13.278350515463934</t>
  </si>
  <si>
    <t>27.943867031348645</t>
  </si>
  <si>
    <t>18.101746265516507</t>
  </si>
  <si>
    <t>chr_0004_pelica_6</t>
  </si>
  <si>
    <t>13.917525773195862</t>
  </si>
  <si>
    <t>14.22680412371136</t>
  </si>
  <si>
    <t>29.51746265516518</t>
  </si>
  <si>
    <t>19.225120976225533</t>
  </si>
  <si>
    <t>chr_0004_pelica_7</t>
  </si>
  <si>
    <t>14.84536082474225</t>
  </si>
  <si>
    <t>15.175257731958787</t>
  </si>
  <si>
    <t>31.091058278981716</t>
  </si>
  <si>
    <t>20.34849568693456</t>
  </si>
  <si>
    <t>chr_0004_pelica_8</t>
  </si>
  <si>
    <t>15.77319587628864</t>
  </si>
  <si>
    <t>16.123711340206214</t>
  </si>
  <si>
    <t>32.66465390279825</t>
  </si>
  <si>
    <t>21.471870397643585</t>
  </si>
  <si>
    <t>chr_0004_pelica_9</t>
  </si>
  <si>
    <t>16.701030927835028</t>
  </si>
  <si>
    <t>17.07216494845364</t>
  </si>
  <si>
    <t>34.23824952661479</t>
  </si>
  <si>
    <t>22.595245108352614</t>
  </si>
  <si>
    <t>chr_0004_pelica_10</t>
  </si>
  <si>
    <t>17.628865979381416</t>
  </si>
  <si>
    <t>18.020618556701066</t>
  </si>
  <si>
    <t>35.811845150431324</t>
  </si>
  <si>
    <t>23.718619819061637</t>
  </si>
  <si>
    <t>chr_0004_pelica_11</t>
  </si>
  <si>
    <t>18.556701030927805</t>
  </si>
  <si>
    <t>18.969072164948493</t>
  </si>
  <si>
    <t>37.385440774247854</t>
  </si>
  <si>
    <t>24.841994529770666</t>
  </si>
  <si>
    <t>chr_0004_pelica_12</t>
  </si>
  <si>
    <t>19.484536082474193</t>
  </si>
  <si>
    <t>19.91752577319592</t>
  </si>
  <si>
    <t>38.9590363980644</t>
  </si>
  <si>
    <t>25.965369240479692</t>
  </si>
  <si>
    <t>chr_0004_pelica_13</t>
  </si>
  <si>
    <t>20.41237113402058</t>
  </si>
  <si>
    <t>20.865979381443346</t>
  </si>
  <si>
    <t>40.53263202188093</t>
  </si>
  <si>
    <t>27.088743951188718</t>
  </si>
  <si>
    <t>chr_0004_pelica_14</t>
  </si>
  <si>
    <t>21.34020618556697</t>
  </si>
  <si>
    <t>21.814432989690772</t>
  </si>
  <si>
    <t>42.106227645697466</t>
  </si>
  <si>
    <t>28.212118661897748</t>
  </si>
  <si>
    <t>chr_0004_pelica_15</t>
  </si>
  <si>
    <t>22.26804123711336</t>
  </si>
  <si>
    <t>22.762886597938195</t>
  </si>
  <si>
    <t>43.679823269514</t>
  </si>
  <si>
    <t>29.33549337260677</t>
  </si>
  <si>
    <t>chr_0004_pelica_16</t>
  </si>
  <si>
    <t>23.195876288659747</t>
  </si>
  <si>
    <t>23.71134020618562</t>
  </si>
  <si>
    <t>45.25341889333053</t>
  </si>
  <si>
    <t>30.4588680833158</t>
  </si>
  <si>
    <t>chr_0004_pelica_17</t>
  </si>
  <si>
    <t>24.123711340206135</t>
  </si>
  <si>
    <t>24.659793814433048</t>
  </si>
  <si>
    <t>46.82701451714708</t>
  </si>
  <si>
    <t>31.582242794024825</t>
  </si>
  <si>
    <t>chr_0004_pelica_18</t>
  </si>
  <si>
    <t>25.051546391752524</t>
  </si>
  <si>
    <t>25.60824742268047</t>
  </si>
  <si>
    <t>48.40061014096361</t>
  </si>
  <si>
    <t>32.70561750473385</t>
  </si>
  <si>
    <t>chr_0004_pelica_19</t>
  </si>
  <si>
    <t>25.979381443298916</t>
  </si>
  <si>
    <t>26.556701030927897</t>
  </si>
  <si>
    <t>49.974205764780145</t>
  </si>
  <si>
    <t>33.82899221544288</t>
  </si>
  <si>
    <t>chr_0004_pelica_20</t>
  </si>
  <si>
    <t>26.907216494845304</t>
  </si>
  <si>
    <t>27.505154639175323</t>
  </si>
  <si>
    <t>51.54780138859668</t>
  </si>
  <si>
    <t>34.95236692615191</t>
  </si>
  <si>
    <t>chr_0004_pelica_21</t>
  </si>
  <si>
    <t>27.835051546391693</t>
  </si>
  <si>
    <t>28.45360824742275</t>
  </si>
  <si>
    <t>53.12139701241321</t>
  </si>
  <si>
    <t>36.07574163686093</t>
  </si>
  <si>
    <t>chr_0004_pelica_22</t>
  </si>
  <si>
    <t>28.76288659793808</t>
  </si>
  <si>
    <t>29.402061855670176</t>
  </si>
  <si>
    <t>54.694992636229756</t>
  </si>
  <si>
    <t>37.199116347569955</t>
  </si>
  <si>
    <t>chr_0004_pelica_23</t>
  </si>
  <si>
    <t>29.69072164948447</t>
  </si>
  <si>
    <t>30.350515463917603</t>
  </si>
  <si>
    <t>56.268588260046286</t>
  </si>
  <si>
    <t>38.322491058278985</t>
  </si>
  <si>
    <t>chr_0004_pelica_24</t>
  </si>
  <si>
    <t>30.618556701030858</t>
  </si>
  <si>
    <t>31.29896907216503</t>
  </si>
  <si>
    <t>57.84218388386283</t>
  </si>
  <si>
    <t>39.445865768988014</t>
  </si>
  <si>
    <t>chr_0004_pelica_25</t>
  </si>
  <si>
    <t>31.546391752577247</t>
  </si>
  <si>
    <t>32.247422680412456</t>
  </si>
  <si>
    <t>59.41577950767936</t>
  </si>
  <si>
    <t>40.56924047969704</t>
  </si>
  <si>
    <t>chr_0004_pelica_26</t>
  </si>
  <si>
    <t>32.47422680412363</t>
  </si>
  <si>
    <t>33.19587628865988</t>
  </si>
  <si>
    <t>60.98937513149589</t>
  </si>
  <si>
    <t>41.692615190406066</t>
  </si>
  <si>
    <t>chr_0004_pelica_27</t>
  </si>
  <si>
    <t>33.40206185567003</t>
  </si>
  <si>
    <t>34.14432989690731</t>
  </si>
  <si>
    <t>62.562970755312435</t>
  </si>
  <si>
    <t>42.81598990111509</t>
  </si>
  <si>
    <t>chr_0004_pelica_28</t>
  </si>
  <si>
    <t>34.32989690721641</t>
  </si>
  <si>
    <t>35.092783505154735</t>
  </si>
  <si>
    <t>64.13656637912896</t>
  </si>
  <si>
    <t>43.93936461182412</t>
  </si>
  <si>
    <t>chr_0004_pelica_29</t>
  </si>
  <si>
    <t>35.257731958762804</t>
  </si>
  <si>
    <t>36.04123711340216</t>
  </si>
  <si>
    <t>65.71016200294551</t>
  </si>
  <si>
    <t>45.06273932253315</t>
  </si>
  <si>
    <t>chr_0004_pelica_30</t>
  </si>
  <si>
    <t>36.185567010309185</t>
  </si>
  <si>
    <t>36.98969072164959</t>
  </si>
  <si>
    <t>67.28375762676204</t>
  </si>
  <si>
    <t>46.18611403324217</t>
  </si>
  <si>
    <t>chr_0004_pelica_31</t>
  </si>
  <si>
    <t>37.11340206185558</t>
  </si>
  <si>
    <t>37.938144329897014</t>
  </si>
  <si>
    <t>68.85735325057857</t>
  </si>
  <si>
    <t>47.3094887439512</t>
  </si>
  <si>
    <t>chr_0004_pelica_32</t>
  </si>
  <si>
    <t>38.04123711340196</t>
  </si>
  <si>
    <t>38.88659793814444</t>
  </si>
  <si>
    <t>70.43094887439511</t>
  </si>
  <si>
    <t>48.43286345466022</t>
  </si>
  <si>
    <t>chr_0004_pelica_33</t>
  </si>
  <si>
    <t>38.96907216494836</t>
  </si>
  <si>
    <t>39.83505154639187</t>
  </si>
  <si>
    <t>72.00454449821164</t>
  </si>
  <si>
    <t>49.55623816536925</t>
  </si>
  <si>
    <t>chr_0004_pelica_34</t>
  </si>
  <si>
    <t>39.89690721649474</t>
  </si>
  <si>
    <t>40.78350515463929</t>
  </si>
  <si>
    <t>73.57814012202819</t>
  </si>
  <si>
    <t>50.67961287607828</t>
  </si>
  <si>
    <t>chr_0004_pelica_35</t>
  </si>
  <si>
    <t>40.824742268041135</t>
  </si>
  <si>
    <t>41.73195876288671</t>
  </si>
  <si>
    <t>75.15173574584472</t>
  </si>
  <si>
    <t>51.8029875867873</t>
  </si>
  <si>
    <t>chr_0004_pelica_36</t>
  </si>
  <si>
    <t>41.75257731958752</t>
  </si>
  <si>
    <t>42.68041237113414</t>
  </si>
  <si>
    <t>76.72533136966125</t>
  </si>
  <si>
    <t>52.92636229749633</t>
  </si>
  <si>
    <t>chr_0004_pelica_37</t>
  </si>
  <si>
    <t>42.68041237113391</t>
  </si>
  <si>
    <t>43.628865979381565</t>
  </si>
  <si>
    <t>78.29892699347779</t>
  </si>
  <si>
    <t>54.049737008205355</t>
  </si>
  <si>
    <t>chr_0004_pelica_38</t>
  </si>
  <si>
    <t>43.6082474226803</t>
  </si>
  <si>
    <t>44.57731958762899</t>
  </si>
  <si>
    <t>79.87252261729432</t>
  </si>
  <si>
    <t>55.173111718914384</t>
  </si>
  <si>
    <t>chr_0004_pelica_39</t>
  </si>
  <si>
    <t>44.53608247422669</t>
  </si>
  <si>
    <t>45.52577319587642</t>
  </si>
  <si>
    <t>81.44611824111087</t>
  </si>
  <si>
    <t>56.296486429623414</t>
  </si>
  <si>
    <t>chr_0004_pelica_40</t>
  </si>
  <si>
    <t>45.46391752577308</t>
  </si>
  <si>
    <t>46.474226804123845</t>
  </si>
  <si>
    <t>83.0197138649274</t>
  </si>
  <si>
    <t>57.419861140332436</t>
  </si>
  <si>
    <t>chr_0004_pelica_41</t>
  </si>
  <si>
    <t>46.391752577319465</t>
  </si>
  <si>
    <t>47.42268041237127</t>
  </si>
  <si>
    <t>84.59330948874393</t>
  </si>
  <si>
    <t>58.543235851041466</t>
  </si>
  <si>
    <t>chr_0004_pelica_42</t>
  </si>
  <si>
    <t>47.319587628865854</t>
  </si>
  <si>
    <t>48.3711340206187</t>
  </si>
  <si>
    <t>86.16690511256047</t>
  </si>
  <si>
    <t>59.66661056175049</t>
  </si>
  <si>
    <t>chr_0004_pelica_43</t>
  </si>
  <si>
    <t>48.24742268041224</t>
  </si>
  <si>
    <t>49.319587628866124</t>
  </si>
  <si>
    <t>87.740500736377</t>
  </si>
  <si>
    <t>60.78998527245952</t>
  </si>
  <si>
    <t>chr_0004_pelica_44</t>
  </si>
  <si>
    <t>49.17525773195863</t>
  </si>
  <si>
    <t>50.26804123711355</t>
  </si>
  <si>
    <t>89.31409636019353</t>
  </si>
  <si>
    <t>61.91335998316855</t>
  </si>
  <si>
    <t>chr_0004_pelica_45</t>
  </si>
  <si>
    <t>50.10309278350502</t>
  </si>
  <si>
    <t>51.21649484536098</t>
  </si>
  <si>
    <t>90.88769198401008</t>
  </si>
  <si>
    <t>63.03673469387757</t>
  </si>
  <si>
    <t>chr_0004_pelica_46</t>
  </si>
  <si>
    <t>51.03092783505141</t>
  </si>
  <si>
    <t>52.1649484536084</t>
  </si>
  <si>
    <t>92.4612876078266</t>
  </si>
  <si>
    <t>64.16010940458659</t>
  </si>
  <si>
    <t>chr_0004_pelica_47</t>
  </si>
  <si>
    <t>51.958762886597796</t>
  </si>
  <si>
    <t>53.11340206185583</t>
  </si>
  <si>
    <t>94.03488323164315</t>
  </si>
  <si>
    <t>65.28348411529562</t>
  </si>
  <si>
    <t>chr_0004_pelica_48</t>
  </si>
  <si>
    <t>52.886597938144185</t>
  </si>
  <si>
    <t>54.061855670103256</t>
  </si>
  <si>
    <t>95.60847885545968</t>
  </si>
  <si>
    <t>66.40685882600465</t>
  </si>
  <si>
    <t>chr_0004_pelica_49</t>
  </si>
  <si>
    <t>53.81443298969057</t>
  </si>
  <si>
    <t>55.01030927835068</t>
  </si>
  <si>
    <t>97.18207447927622</t>
  </si>
  <si>
    <t>67.53023353671367</t>
  </si>
  <si>
    <t>chr_0004_pelica_50</t>
  </si>
  <si>
    <t>54.74226804123696</t>
  </si>
  <si>
    <t>55.95876288659811</t>
  </si>
  <si>
    <t>98.75567010309275</t>
  </si>
  <si>
    <t>68.65360824742271</t>
  </si>
  <si>
    <t>chr_0004_pelica_51</t>
  </si>
  <si>
    <t>55.67010309278335</t>
  </si>
  <si>
    <t>56.907216494845535</t>
  </si>
  <si>
    <t>100.32926572690928</t>
  </si>
  <si>
    <t>69.77698295813173</t>
  </si>
  <si>
    <t>chr_0004_pelica_52</t>
  </si>
  <si>
    <t>56.59793814432974</t>
  </si>
  <si>
    <t>57.85567010309296</t>
  </si>
  <si>
    <t>101.90286135072583</t>
  </si>
  <si>
    <t>70.90035766884075</t>
  </si>
  <si>
    <t>chr_0004_pelica_53</t>
  </si>
  <si>
    <t>57.52577319587613</t>
  </si>
  <si>
    <t>58.80412371134039</t>
  </si>
  <si>
    <t>103.47645697454236</t>
  </si>
  <si>
    <t>72.02373237954978</t>
  </si>
  <si>
    <t>chr_0004_pelica_54</t>
  </si>
  <si>
    <t>58.453608247422515</t>
  </si>
  <si>
    <t>59.752577319587814</t>
  </si>
  <si>
    <t>105.0500525983589</t>
  </si>
  <si>
    <t>73.1471070902588</t>
  </si>
  <si>
    <t>chr_0004_pelica_55</t>
  </si>
  <si>
    <t>59.381443298968904</t>
  </si>
  <si>
    <t>60.701030927835234</t>
  </si>
  <si>
    <t>106.62364822217543</t>
  </si>
  <si>
    <t>74.27048180096784</t>
  </si>
  <si>
    <t>chr_0004_pelica_56</t>
  </si>
  <si>
    <t>60.30927835051529</t>
  </si>
  <si>
    <t>61.64948453608266</t>
  </si>
  <si>
    <t>108.19724384599196</t>
  </si>
  <si>
    <t>75.39385651167686</t>
  </si>
  <si>
    <t>chr_0004_pelica_57</t>
  </si>
  <si>
    <t>61.23711340206168</t>
  </si>
  <si>
    <t>62.59793814433009</t>
  </si>
  <si>
    <t>109.77083946980851</t>
  </si>
  <si>
    <t>76.51723122238589</t>
  </si>
  <si>
    <t>chr_0004_pelica_58</t>
  </si>
  <si>
    <t>62.16494845360807</t>
  </si>
  <si>
    <t>63.54639175257751</t>
  </si>
  <si>
    <t>111.34443509362504</t>
  </si>
  <si>
    <t>77.64060593309492</t>
  </si>
  <si>
    <t>chr_0004_pelica_59</t>
  </si>
  <si>
    <t>63.09278350515446</t>
  </si>
  <si>
    <t>64.49484536082494</t>
  </si>
  <si>
    <t>112.91803071744158</t>
  </si>
  <si>
    <t>78.76398064380393</t>
  </si>
  <si>
    <t>chr_0004_pelica_60</t>
  </si>
  <si>
    <t>65.44329896907237</t>
  </si>
  <si>
    <t>114.49162634125811</t>
  </si>
  <si>
    <t>79.88735535451298</t>
  </si>
  <si>
    <t>【明晰】干员智识能力值提升15。</t>
  </si>
  <si>
    <t>【循环协议 Lv.1】连携技即时协议·闪链命中处于破防状态的敌人时，还会弹射1次。</t>
  </si>
  <si>
    <r>
      <t>【循环协议 Lv.1】连携技</t>
    </r>
    <r>
      <rPr>
        <b/>
        <sz val="11"/>
        <color rgb="FF33C2FF"/>
        <rFont val="宋体"/>
        <charset val="134"/>
      </rPr>
      <t>即时协议·闪链</t>
    </r>
    <r>
      <rPr>
        <sz val="11"/>
        <color theme="1"/>
        <rFont val="宋体"/>
        <family val="2"/>
        <scheme val="minor"/>
      </rPr>
      <t>命中处于</t>
    </r>
    <r>
      <rPr>
        <b/>
        <u/>
        <sz val="11"/>
        <color rgb="FFE3C19A"/>
        <rFont val="宋体"/>
        <charset val="134"/>
      </rPr>
      <t>破防</t>
    </r>
    <r>
      <rPr>
        <sz val="11"/>
        <color theme="1"/>
        <rFont val="宋体"/>
        <family val="2"/>
        <scheme val="minor"/>
      </rPr>
      <t>状态的敌人时，还会弹射1次。</t>
    </r>
  </si>
  <si>
    <t>【歼灭协议 Lv.1】对失衡的敌人造成的伤害+20%。</t>
  </si>
  <si>
    <r>
      <t>【歼灭协议 Lv.1】对</t>
    </r>
    <r>
      <rPr>
        <b/>
        <sz val="11"/>
        <color rgb="FFFFAE6B"/>
        <rFont val="宋体"/>
        <charset val="134"/>
      </rPr>
      <t>失衡</t>
    </r>
    <r>
      <rPr>
        <sz val="11"/>
        <color theme="1"/>
        <rFont val="宋体"/>
        <family val="2"/>
        <scheme val="minor"/>
      </rPr>
      <t>的敌人造成的伤害</t>
    </r>
    <r>
      <rPr>
        <b/>
        <sz val="11"/>
        <color rgb="FF9EB7FF"/>
        <rFont val="宋体"/>
        <charset val="134"/>
      </rPr>
      <t>+20%</t>
    </r>
    <r>
      <rPr>
        <sz val="11"/>
        <color theme="1"/>
        <rFont val="宋体"/>
        <family val="2"/>
        <scheme val="minor"/>
      </rPr>
      <t>。</t>
    </r>
  </si>
  <si>
    <r>
      <t>【歼灭协议 Lv.2】对</t>
    </r>
    <r>
      <rPr>
        <b/>
        <sz val="11"/>
        <color rgb="FFFFAE6B"/>
        <rFont val="宋体"/>
        <charset val="134"/>
      </rPr>
      <t>失衡</t>
    </r>
    <r>
      <rPr>
        <sz val="11"/>
        <color theme="1"/>
        <rFont val="宋体"/>
        <family val="2"/>
        <scheme val="minor"/>
      </rPr>
      <t>的敌人造成的伤害</t>
    </r>
    <r>
      <rPr>
        <b/>
        <sz val="11"/>
        <color rgb="FF9EB7FF"/>
        <rFont val="宋体"/>
        <charset val="134"/>
      </rPr>
      <t>+30%</t>
    </r>
    <r>
      <rPr>
        <sz val="11"/>
        <color theme="1"/>
        <rFont val="宋体"/>
        <family val="2"/>
        <scheme val="minor"/>
      </rPr>
      <t>。</t>
    </r>
  </si>
  <si>
    <t>chr_0004_pelica_61</t>
  </si>
  <si>
    <t>64.94845360824723</t>
  </si>
  <si>
    <t>66.39175257731979</t>
  </si>
  <si>
    <t>116.06522196507464</t>
  </si>
  <si>
    <t>81.01073006522199</t>
  </si>
  <si>
    <t>chr_0004_pelica_62</t>
  </si>
  <si>
    <t>65.87628865979363</t>
  </si>
  <si>
    <t>67.34020618556723</t>
  </si>
  <si>
    <t>117.63881758889119</t>
  </si>
  <si>
    <t>82.13410477593104</t>
  </si>
  <si>
    <t>chr_0004_pelica_63</t>
  </si>
  <si>
    <t>66.80412371134001</t>
  </si>
  <si>
    <t>68.28865979381465</t>
  </si>
  <si>
    <t>119.21241321270772</t>
  </si>
  <si>
    <t>83.25747948664005</t>
  </si>
  <si>
    <t>chr_0004_pelica_64</t>
  </si>
  <si>
    <t>67.73195876288639</t>
  </si>
  <si>
    <t>69.23711340206208</t>
  </si>
  <si>
    <t>120.78600883652426</t>
  </si>
  <si>
    <t>84.38085419734907</t>
  </si>
  <si>
    <t>chr_0004_pelica_65</t>
  </si>
  <si>
    <t>68.65979381443279</t>
  </si>
  <si>
    <t>70.1855670103095</t>
  </si>
  <si>
    <t>122.35960446034079</t>
  </si>
  <si>
    <t>85.50422890805811</t>
  </si>
  <si>
    <t>chr_0004_pelica_66</t>
  </si>
  <si>
    <t>69.58762886597918</t>
  </si>
  <si>
    <t>71.13402061855693</t>
  </si>
  <si>
    <t>123.93320008415732</t>
  </si>
  <si>
    <t>86.62760361876713</t>
  </si>
  <si>
    <t>chr_0004_pelica_67</t>
  </si>
  <si>
    <t>70.51546391752557</t>
  </si>
  <si>
    <t>72.08247422680435</t>
  </si>
  <si>
    <t>125.50679570797386</t>
  </si>
  <si>
    <t>87.75097832947617</t>
  </si>
  <si>
    <t>chr_0004_pelica_68</t>
  </si>
  <si>
    <t>73.03092783505178</t>
  </si>
  <si>
    <t>127.0803913317904</t>
  </si>
  <si>
    <t>88.87435304018518</t>
  </si>
  <si>
    <t>chr_0004_pelica_69</t>
  </si>
  <si>
    <t>72.37113402061834</t>
  </si>
  <si>
    <t>73.9793814432992</t>
  </si>
  <si>
    <t>128.65398695560694</t>
  </si>
  <si>
    <t>89.9977277508942</t>
  </si>
  <si>
    <t>chr_0004_pelica_70</t>
  </si>
  <si>
    <t>73.29896907216474</t>
  </si>
  <si>
    <t>74.92783505154664</t>
  </si>
  <si>
    <t>130.22758257942348</t>
  </si>
  <si>
    <t>91.12110246160324</t>
  </si>
  <si>
    <t>chr_0004_pelica_71</t>
  </si>
  <si>
    <t>74.22680412371113</t>
  </si>
  <si>
    <t>75.87628865979406</t>
  </si>
  <si>
    <t>131.80117820324</t>
  </si>
  <si>
    <t>92.24447717231226</t>
  </si>
  <si>
    <t>chr_0004_pelica_72</t>
  </si>
  <si>
    <t>75.1546391752575</t>
  </si>
  <si>
    <t>76.82474226804149</t>
  </si>
  <si>
    <t>133.37477382705654</t>
  </si>
  <si>
    <t>93.3678518830213</t>
  </si>
  <si>
    <t>chr_0004_pelica_73</t>
  </si>
  <si>
    <t>76.0824742268039</t>
  </si>
  <si>
    <t>77.77319587628891</t>
  </si>
  <si>
    <t>134.9483694508731</t>
  </si>
  <si>
    <t>94.49122659373032</t>
  </si>
  <si>
    <t>chr_0004_pelica_74</t>
  </si>
  <si>
    <t>77.01030927835029</t>
  </si>
  <si>
    <t>78.72164948453634</t>
  </si>
  <si>
    <t>136.52196507468963</t>
  </si>
  <si>
    <t>95.61460130443933</t>
  </si>
  <si>
    <t>chr_0004_pelica_75</t>
  </si>
  <si>
    <t>77.93814432989669</t>
  </si>
  <si>
    <t>79.67010309278376</t>
  </si>
  <si>
    <t>138.09556069850615</t>
  </si>
  <si>
    <t>96.73797601514838</t>
  </si>
  <si>
    <t>chr_0004_pelica_76</t>
  </si>
  <si>
    <t>78.86597938144305</t>
  </si>
  <si>
    <t>80.6185567010312</t>
  </si>
  <si>
    <t>139.6691563223227</t>
  </si>
  <si>
    <t>97.86135072585739</t>
  </si>
  <si>
    <t>chr_0004_pelica_77</t>
  </si>
  <si>
    <t>79.79381443298945</t>
  </si>
  <si>
    <t>81.56701030927861</t>
  </si>
  <si>
    <t>141.24275194613924</t>
  </si>
  <si>
    <t>98.98472543656644</t>
  </si>
  <si>
    <t>chr_0004_pelica_78</t>
  </si>
  <si>
    <t>80.72164948453585</t>
  </si>
  <si>
    <t>82.51546391752605</t>
  </si>
  <si>
    <t>142.81634756995575</t>
  </si>
  <si>
    <t>100.10810014727545</t>
  </si>
  <si>
    <t>chr_0004_pelica_79</t>
  </si>
  <si>
    <t>81.64948453608224</t>
  </si>
  <si>
    <t>83.46391752577347</t>
  </si>
  <si>
    <t>144.3899431937723</t>
  </si>
  <si>
    <t>101.23147485798447</t>
  </si>
  <si>
    <t>chr_0004_pelica_80</t>
  </si>
  <si>
    <t>82.57731958762861</t>
  </si>
  <si>
    <t>84.4123711340209</t>
  </si>
  <si>
    <t>145.96353881758884</t>
  </si>
  <si>
    <t>102.35484956869351</t>
  </si>
  <si>
    <t>【明晰】干员智识能力值提升20。</t>
  </si>
  <si>
    <t>【明晰】干员智识能力值提升10。</t>
  </si>
  <si>
    <t>chr_0004_pelica_81</t>
  </si>
  <si>
    <t>83.505154639175</t>
  </si>
  <si>
    <t>85.36082474226832</t>
  </si>
  <si>
    <t>147.53713444140536</t>
  </si>
  <si>
    <t>103.47822427940253</t>
  </si>
  <si>
    <t>chr_0004_pelica_82</t>
  </si>
  <si>
    <t>84.4329896907214</t>
  </si>
  <si>
    <t>86.30927835051575</t>
  </si>
  <si>
    <t>149.1107300652219</t>
  </si>
  <si>
    <t>104.60159899011157</t>
  </si>
  <si>
    <t>chr_0004_pelica_83</t>
  </si>
  <si>
    <t>85.3608247422678</t>
  </si>
  <si>
    <t>87.25773195876317</t>
  </si>
  <si>
    <t>150.68432568903845</t>
  </si>
  <si>
    <t>105.72497370082058</t>
  </si>
  <si>
    <t>chr_0004_pelica_84</t>
  </si>
  <si>
    <t>86.28865979381416</t>
  </si>
  <si>
    <t>88.2061855670106</t>
  </si>
  <si>
    <t>152.25792131285496</t>
  </si>
  <si>
    <t>106.8483484115296</t>
  </si>
  <si>
    <t>chr_0004_pelica_85</t>
  </si>
  <si>
    <t>87.21649484536056</t>
  </si>
  <si>
    <t>89.15463917525803</t>
  </si>
  <si>
    <t>153.8315169366715</t>
  </si>
  <si>
    <t>107.97172312223864</t>
  </si>
  <si>
    <t>chr_0004_pelica_86</t>
  </si>
  <si>
    <t>88.14432989690695</t>
  </si>
  <si>
    <t>90.10309278350546</t>
  </si>
  <si>
    <t>155.40511256048805</t>
  </si>
  <si>
    <t>109.09509783294766</t>
  </si>
  <si>
    <t>chr_0004_pelica_87</t>
  </si>
  <si>
    <t>89.07216494845335</t>
  </si>
  <si>
    <t>91.05154639175288</t>
  </si>
  <si>
    <t>156.97870818430457</t>
  </si>
  <si>
    <t>110.2184725436567</t>
  </si>
  <si>
    <t>chr_0004_pelica_88</t>
  </si>
  <si>
    <t>89.99999999999972</t>
  </si>
  <si>
    <t>92.0000000000003</t>
  </si>
  <si>
    <t>158.5523038081211</t>
  </si>
  <si>
    <t>111.34184725436572</t>
  </si>
  <si>
    <t>chr_0004_pelica_89</t>
  </si>
  <si>
    <t>92.94845360824773</t>
  </si>
  <si>
    <t>160.12589943193765</t>
  </si>
  <si>
    <t>112.46522196507473</t>
  </si>
  <si>
    <t>chr_0004_pelica_90</t>
  </si>
  <si>
    <t>91.8556701030925</t>
  </si>
  <si>
    <t>93.89690721649515</t>
  </si>
  <si>
    <t>161.6994950557542</t>
  </si>
  <si>
    <t>113.58859667578378</t>
  </si>
  <si>
    <t>chr_0004_pelica_91</t>
  </si>
  <si>
    <t>92.7835051546389</t>
  </si>
  <si>
    <t>94.84536082474258</t>
  </si>
  <si>
    <t>163.2730906795707</t>
  </si>
  <si>
    <t>114.71197138649279</t>
  </si>
  <si>
    <t>chr_0004_pelica_92</t>
  </si>
  <si>
    <t>93.71134020618527</t>
  </si>
  <si>
    <t>95.79381443299</t>
  </si>
  <si>
    <t>164.84668630338726</t>
  </si>
  <si>
    <t>115.83534609720184</t>
  </si>
  <si>
    <t>chr_0004_pelica_93</t>
  </si>
  <si>
    <t>94.63917525773167</t>
  </si>
  <si>
    <t>96.74226804123744</t>
  </si>
  <si>
    <t>166.4202819272038</t>
  </si>
  <si>
    <t>116.95872080791085</t>
  </si>
  <si>
    <t>chr_0004_pelica_94</t>
  </si>
  <si>
    <t>95.56701030927806</t>
  </si>
  <si>
    <t>97.69072164948486</t>
  </si>
  <si>
    <t>167.99387755102032</t>
  </si>
  <si>
    <t>118.08209551861987</t>
  </si>
  <si>
    <t>chr_0004_pelica_95</t>
  </si>
  <si>
    <t>96.49484536082446</t>
  </si>
  <si>
    <t>98.63917525773229</t>
  </si>
  <si>
    <t>169.56747317483686</t>
  </si>
  <si>
    <t>119.20547022932891</t>
  </si>
  <si>
    <t>chr_0004_pelica_96</t>
  </si>
  <si>
    <t>99.58762886597971</t>
  </si>
  <si>
    <t>171.1410687986534</t>
  </si>
  <si>
    <t>120.32884494003792</t>
  </si>
  <si>
    <t>chr_0004_pelica_97</t>
  </si>
  <si>
    <t>98.35051546391722</t>
  </si>
  <si>
    <t>100.53608247422714</t>
  </si>
  <si>
    <t>172.71466442246995</t>
  </si>
  <si>
    <t>121.45221965074694</t>
  </si>
  <si>
    <t>chr_0004_pelica_98</t>
  </si>
  <si>
    <t>99.27835051546361</t>
  </si>
  <si>
    <t>101.48453608247456</t>
  </si>
  <si>
    <t>174.28826004628647</t>
  </si>
  <si>
    <t>122.57559436145598</t>
  </si>
  <si>
    <t>chr_0004_pelica_99</t>
  </si>
  <si>
    <t>100.20618556701001</t>
  </si>
  <si>
    <t>102.432989690722</t>
  </si>
  <si>
    <t>175.861855670103</t>
  </si>
  <si>
    <t>123.698969072165</t>
  </si>
  <si>
    <t>chr_0005_chen_1</t>
  </si>
  <si>
    <t>chr_0005_chen</t>
  </si>
  <si>
    <t>陈千语</t>
  </si>
  <si>
    <t>Chen Qianyu</t>
  </si>
  <si>
    <t>击飞, 失衡</t>
  </si>
  <si>
    <t>10.7731958762887</t>
  </si>
  <si>
    <t>20.5670103092784</t>
  </si>
  <si>
    <t>8.8659793814433</t>
  </si>
  <si>
    <t>9.69072164948454</t>
  </si>
  <si>
    <r>
      <t>【“绝影”】对生命值少于50%的敌人造成的伤害</t>
    </r>
    <r>
      <rPr>
        <b/>
        <sz val="11"/>
        <color rgb="FF9EB7FF"/>
        <rFont val="宋体"/>
        <charset val="134"/>
      </rPr>
      <t>+20%</t>
    </r>
    <r>
      <rPr>
        <sz val="11"/>
        <color theme="1"/>
        <rFont val="宋体"/>
        <family val="2"/>
        <scheme val="minor"/>
      </rPr>
      <t>。</t>
    </r>
  </si>
  <si>
    <r>
      <t>【家传武学】敏捷</t>
    </r>
    <r>
      <rPr>
        <b/>
        <sz val="11"/>
        <color rgb="FF9EB7FF"/>
        <rFont val="宋体"/>
        <charset val="134"/>
      </rPr>
      <t>+15</t>
    </r>
    <r>
      <rPr>
        <sz val="11"/>
        <color theme="1"/>
        <rFont val="宋体"/>
        <family val="2"/>
        <scheme val="minor"/>
      </rPr>
      <t>，造成的物理伤害</t>
    </r>
    <r>
      <rPr>
        <b/>
        <sz val="11"/>
        <color rgb="FF9EB7FF"/>
        <rFont val="宋体"/>
        <charset val="134"/>
      </rPr>
      <t>+8%</t>
    </r>
    <r>
      <rPr>
        <sz val="11"/>
        <color theme="1"/>
        <rFont val="宋体"/>
        <family val="2"/>
        <scheme val="minor"/>
      </rPr>
      <t>。</t>
    </r>
  </si>
  <si>
    <r>
      <t>【双剑奇侠】战技</t>
    </r>
    <r>
      <rPr>
        <b/>
        <sz val="11"/>
        <color rgb="FF33C2FF"/>
        <rFont val="宋体"/>
        <charset val="134"/>
      </rPr>
      <t>归穹宇</t>
    </r>
    <r>
      <rPr>
        <sz val="11"/>
        <color theme="1"/>
        <rFont val="宋体"/>
        <family val="2"/>
        <scheme val="minor"/>
      </rPr>
      <t>、连携技</t>
    </r>
    <r>
      <rPr>
        <b/>
        <sz val="11"/>
        <color rgb="FF33C2FF"/>
        <rFont val="宋体"/>
        <charset val="134"/>
      </rPr>
      <t>见天河</t>
    </r>
    <r>
      <rPr>
        <sz val="11"/>
        <color theme="1"/>
        <rFont val="宋体"/>
        <family val="2"/>
        <scheme val="minor"/>
      </rPr>
      <t>和终结技</t>
    </r>
    <r>
      <rPr>
        <b/>
        <sz val="11"/>
        <color rgb="FF33C2FF"/>
        <rFont val="宋体"/>
        <charset val="134"/>
      </rPr>
      <t>冽风霜</t>
    </r>
    <r>
      <rPr>
        <sz val="11"/>
        <color theme="1"/>
        <rFont val="宋体"/>
        <family val="2"/>
        <scheme val="minor"/>
      </rPr>
      <t>的伤害倍率提升至原本的</t>
    </r>
    <r>
      <rPr>
        <b/>
        <sz val="11"/>
        <color rgb="FF9EB7FF"/>
        <rFont val="宋体"/>
        <charset val="134"/>
      </rPr>
      <t>1.1</t>
    </r>
    <r>
      <rPr>
        <sz val="11"/>
        <color theme="1"/>
        <rFont val="宋体"/>
        <family val="2"/>
        <scheme val="minor"/>
      </rPr>
      <t>倍。</t>
    </r>
  </si>
  <si>
    <r>
      <t>【自研赤霄剑】终结技</t>
    </r>
    <r>
      <rPr>
        <b/>
        <sz val="11"/>
        <color rgb="FF33C2FF"/>
        <rFont val="宋体"/>
        <charset val="134"/>
      </rPr>
      <t>冽风霜</t>
    </r>
    <r>
      <rPr>
        <sz val="11"/>
        <color theme="1"/>
        <rFont val="宋体"/>
        <family val="2"/>
        <scheme val="minor"/>
      </rPr>
      <t>所需的终结技能量</t>
    </r>
    <r>
      <rPr>
        <b/>
        <sz val="11"/>
        <color rgb="FF9EB7FF"/>
        <rFont val="宋体"/>
        <charset val="134"/>
      </rPr>
      <t>-15%</t>
    </r>
    <r>
      <rPr>
        <sz val="11"/>
        <color theme="1"/>
        <rFont val="宋体"/>
        <family val="2"/>
        <scheme val="minor"/>
      </rPr>
      <t>。</t>
    </r>
  </si>
  <si>
    <r>
      <t>【心兼人间】连携技</t>
    </r>
    <r>
      <rPr>
        <b/>
        <sz val="11"/>
        <color rgb="FF33C2FF"/>
        <rFont val="宋体"/>
        <charset val="134"/>
      </rPr>
      <t>见天河</t>
    </r>
    <r>
      <rPr>
        <sz val="11"/>
        <color theme="1"/>
        <rFont val="宋体"/>
        <family val="2"/>
        <scheme val="minor"/>
      </rPr>
      <t>的冷却时间</t>
    </r>
    <r>
      <rPr>
        <b/>
        <sz val="11"/>
        <color rgb="FF9EB7FF"/>
        <rFont val="宋体"/>
        <charset val="134"/>
      </rPr>
      <t>-3</t>
    </r>
    <r>
      <rPr>
        <sz val="11"/>
        <color theme="1"/>
        <rFont val="宋体"/>
        <family val="2"/>
        <scheme val="minor"/>
      </rPr>
      <t>秒。</t>
    </r>
  </si>
  <si>
    <t>chr_0005_chen_2</t>
  </si>
  <si>
    <t>11.85051546391757</t>
  </si>
  <si>
    <t>22.265832106038342</t>
  </si>
  <si>
    <t>9.729854828529351</t>
  </si>
  <si>
    <t>10.63707132337472</t>
  </si>
  <si>
    <t>chr_0005_chen_3</t>
  </si>
  <si>
    <t>12.92783505154644</t>
  </si>
  <si>
    <t>23.96465390279829</t>
  </si>
  <si>
    <t>10.593730275615401</t>
  </si>
  <si>
    <t>11.583420997264897</t>
  </si>
  <si>
    <t>chr_0005_chen_4</t>
  </si>
  <si>
    <t>14.005154639175311</t>
  </si>
  <si>
    <t>25.663475699558234</t>
  </si>
  <si>
    <t>11.457605722701452</t>
  </si>
  <si>
    <t>12.529770671155076</t>
  </si>
  <si>
    <t>chr_0005_chen_5</t>
  </si>
  <si>
    <t>15.08247422680418</t>
  </si>
  <si>
    <t>27.362297496318178</t>
  </si>
  <si>
    <t>12.321481169787504</t>
  </si>
  <si>
    <t>13.476120345045253</t>
  </si>
  <si>
    <t>chr_0005_chen_6</t>
  </si>
  <si>
    <t>16.15979381443305</t>
  </si>
  <si>
    <t>29.06111929307812</t>
  </si>
  <si>
    <t>13.185356616873555</t>
  </si>
  <si>
    <t>14.422470018935432</t>
  </si>
  <si>
    <t>chr_0005_chen_7</t>
  </si>
  <si>
    <t>17.237113402061922</t>
  </si>
  <si>
    <t>30.759941089838065</t>
  </si>
  <si>
    <t>14.049232063959606</t>
  </si>
  <si>
    <t>15.36881969282561</t>
  </si>
  <si>
    <t>chr_0005_chen_8</t>
  </si>
  <si>
    <t>18.314432989690793</t>
  </si>
  <si>
    <t>32.45876288659801</t>
  </si>
  <si>
    <t>14.913107511045656</t>
  </si>
  <si>
    <t>16.315169366715786</t>
  </si>
  <si>
    <t>chr_0005_chen_9</t>
  </si>
  <si>
    <t>19.391752577319664</t>
  </si>
  <si>
    <t>34.15758468335795</t>
  </si>
  <si>
    <t>15.776982958131708</t>
  </si>
  <si>
    <t>17.261519040605965</t>
  </si>
  <si>
    <t>chr_0005_chen_10</t>
  </si>
  <si>
    <t>20.469072164948535</t>
  </si>
  <si>
    <t>35.8564064801179</t>
  </si>
  <si>
    <t>16.64085840521776</t>
  </si>
  <si>
    <t>18.207868714496144</t>
  </si>
  <si>
    <t>chr_0005_chen_11</t>
  </si>
  <si>
    <t>21.546391752577403</t>
  </si>
  <si>
    <t>37.55522827687784</t>
  </si>
  <si>
    <t>17.504733852303808</t>
  </si>
  <si>
    <t>19.154218388386322</t>
  </si>
  <si>
    <t>chr_0005_chen_12</t>
  </si>
  <si>
    <t>22.623711340206274</t>
  </si>
  <si>
    <t>39.25405007363779</t>
  </si>
  <si>
    <t>18.36860929938986</t>
  </si>
  <si>
    <t>20.1005680622765</t>
  </si>
  <si>
    <t>chr_0005_chen_13</t>
  </si>
  <si>
    <t>23.701030927835145</t>
  </si>
  <si>
    <t>40.952871870397736</t>
  </si>
  <si>
    <t>19.23248474647591</t>
  </si>
  <si>
    <t>21.046917736166677</t>
  </si>
  <si>
    <t>chr_0005_chen_14</t>
  </si>
  <si>
    <t>24.778350515464012</t>
  </si>
  <si>
    <t>42.65169366715768</t>
  </si>
  <si>
    <t>20.096360193561964</t>
  </si>
  <si>
    <t>21.993267410056855</t>
  </si>
  <si>
    <t>chr_0005_chen_15</t>
  </si>
  <si>
    <t>25.855670103092883</t>
  </si>
  <si>
    <t>44.35051546391763</t>
  </si>
  <si>
    <t>20.960235640648015</t>
  </si>
  <si>
    <t>22.939617083947034</t>
  </si>
  <si>
    <t>chr_0005_chen_16</t>
  </si>
  <si>
    <t>26.932989690721755</t>
  </si>
  <si>
    <t>46.049337260677575</t>
  </si>
  <si>
    <t>21.824111087734064</t>
  </si>
  <si>
    <t>23.88596675783721</t>
  </si>
  <si>
    <t>chr_0005_chen_17</t>
  </si>
  <si>
    <t>28.010309278350626</t>
  </si>
  <si>
    <t>47.74815905743752</t>
  </si>
  <si>
    <t>22.687986534820116</t>
  </si>
  <si>
    <t>24.832316431727392</t>
  </si>
  <si>
    <t>chr_0005_chen_18</t>
  </si>
  <si>
    <t>29.087628865979497</t>
  </si>
  <si>
    <t>49.44698085419746</t>
  </si>
  <si>
    <t>23.551861981906168</t>
  </si>
  <si>
    <t>25.778666105617567</t>
  </si>
  <si>
    <t>chr_0005_chen_19</t>
  </si>
  <si>
    <t>30.164948453608368</t>
  </si>
  <si>
    <t>51.14580265095741</t>
  </si>
  <si>
    <t>24.415737428992216</t>
  </si>
  <si>
    <t>26.725015779507746</t>
  </si>
  <si>
    <t>chr_0005_chen_20</t>
  </si>
  <si>
    <t>31.242268041237235</t>
  </si>
  <si>
    <t>52.84462444771735</t>
  </si>
  <si>
    <t>25.279612876078268</t>
  </si>
  <si>
    <t>27.671365453397925</t>
  </si>
  <si>
    <t>【斩锋 Lv.1】技能每次命中敌人后，攻击力+4%，持续10秒，该效果最多叠加5层。</t>
  </si>
  <si>
    <r>
      <t>【斩锋 Lv.1】技能每次命中敌人后，攻击力</t>
    </r>
    <r>
      <rPr>
        <b/>
        <sz val="11"/>
        <color rgb="FF9EB7FF"/>
        <rFont val="宋体"/>
        <charset val="134"/>
      </rPr>
      <t>+4%</t>
    </r>
    <r>
      <rPr>
        <sz val="11"/>
        <color theme="1"/>
        <rFont val="宋体"/>
        <family val="2"/>
        <scheme val="minor"/>
      </rPr>
      <t>，持续10秒，该效果最多叠加5层。</t>
    </r>
  </si>
  <si>
    <t>chr_0005_chen_21</t>
  </si>
  <si>
    <t>32.3195876288661</t>
  </si>
  <si>
    <t>54.543446244477295</t>
  </si>
  <si>
    <t>26.14348832316432</t>
  </si>
  <si>
    <t>28.617715127288104</t>
  </si>
  <si>
    <t>chr_0005_chen_22</t>
  </si>
  <si>
    <t>33.39690721649498</t>
  </si>
  <si>
    <t>56.24226804123724</t>
  </si>
  <si>
    <t>27.00736377025037</t>
  </si>
  <si>
    <t>29.56406480117828</t>
  </si>
  <si>
    <t>chr_0005_chen_23</t>
  </si>
  <si>
    <t>34.474226804123845</t>
  </si>
  <si>
    <t>57.94108983799718</t>
  </si>
  <si>
    <t>27.87123921733642</t>
  </si>
  <si>
    <t>30.51041447506846</t>
  </si>
  <si>
    <t>chr_0005_chen_24</t>
  </si>
  <si>
    <t>35.55154639175272</t>
  </si>
  <si>
    <t>59.63991163475713</t>
  </si>
  <si>
    <t>28.735114664422472</t>
  </si>
  <si>
    <t>31.456764148958637</t>
  </si>
  <si>
    <t>chr_0005_chen_25</t>
  </si>
  <si>
    <t>36.62886597938159</t>
  </si>
  <si>
    <t>61.33873343151707</t>
  </si>
  <si>
    <t>29.598990111508524</t>
  </si>
  <si>
    <t>32.403113822848816</t>
  </si>
  <si>
    <t>chr_0005_chen_26</t>
  </si>
  <si>
    <t>37.70618556701046</t>
  </si>
  <si>
    <t>63.037555228277014</t>
  </si>
  <si>
    <t>30.462865558594576</t>
  </si>
  <si>
    <t>33.34946349673899</t>
  </si>
  <si>
    <t>chr_0005_chen_27</t>
  </si>
  <si>
    <t>38.78350515463933</t>
  </si>
  <si>
    <t>64.73637702503696</t>
  </si>
  <si>
    <t>31.326741005680628</t>
  </si>
  <si>
    <t>34.295813170629174</t>
  </si>
  <si>
    <t>chr_0005_chen_28</t>
  </si>
  <si>
    <t>39.8608247422682</t>
  </si>
  <si>
    <t>66.4351988217969</t>
  </si>
  <si>
    <t>32.190616452766676</t>
  </si>
  <si>
    <t>35.24216284451935</t>
  </si>
  <si>
    <t>chr_0005_chen_29</t>
  </si>
  <si>
    <t>40.93814432989707</t>
  </si>
  <si>
    <t>68.13402061855686</t>
  </si>
  <si>
    <t>33.05449189985273</t>
  </si>
  <si>
    <t>36.188512518409524</t>
  </si>
  <si>
    <t>chr_0005_chen_30</t>
  </si>
  <si>
    <t>42.01546391752594</t>
  </si>
  <si>
    <t>69.8328424153168</t>
  </si>
  <si>
    <t>33.91836734693878</t>
  </si>
  <si>
    <t>37.13486219229971</t>
  </si>
  <si>
    <t>chr_0005_chen_31</t>
  </si>
  <si>
    <t>43.09278350515481</t>
  </si>
  <si>
    <t>71.53166421207675</t>
  </si>
  <si>
    <t>34.782242794024825</t>
  </si>
  <si>
    <t>38.08121186618988</t>
  </si>
  <si>
    <t>chr_0005_chen_32</t>
  </si>
  <si>
    <t>44.17010309278368</t>
  </si>
  <si>
    <t>73.23048600883669</t>
  </si>
  <si>
    <t>35.646118241110884</t>
  </si>
  <si>
    <t>39.02756154008006</t>
  </si>
  <si>
    <t>chr_0005_chen_33</t>
  </si>
  <si>
    <t>45.247422680412555</t>
  </si>
  <si>
    <t>74.92930780559664</t>
  </si>
  <si>
    <t>36.50999368819693</t>
  </si>
  <si>
    <t>39.97391121397024</t>
  </si>
  <si>
    <t>chr_0005_chen_34</t>
  </si>
  <si>
    <t>46.32474226804142</t>
  </si>
  <si>
    <t>76.62812960235658</t>
  </si>
  <si>
    <t>37.37386913528299</t>
  </si>
  <si>
    <t>40.92026088786042</t>
  </si>
  <si>
    <t>chr_0005_chen_35</t>
  </si>
  <si>
    <t>47.4020618556703</t>
  </si>
  <si>
    <t>78.32695139911652</t>
  </si>
  <si>
    <t>38.23774458236903</t>
  </si>
  <si>
    <t>41.86661056175059</t>
  </si>
  <si>
    <t>chr_0005_chen_36</t>
  </si>
  <si>
    <t>48.47938144329916</t>
  </si>
  <si>
    <t>80.02577319587647</t>
  </si>
  <si>
    <t>39.101620029455084</t>
  </si>
  <si>
    <t>42.81296023564077</t>
  </si>
  <si>
    <t>chr_0005_chen_37</t>
  </si>
  <si>
    <t>49.55670103092804</t>
  </si>
  <si>
    <t>81.72459499263641</t>
  </si>
  <si>
    <t>39.965495476541136</t>
  </si>
  <si>
    <t>43.759309909530955</t>
  </si>
  <si>
    <t>chr_0005_chen_38</t>
  </si>
  <si>
    <t>50.6340206185569</t>
  </si>
  <si>
    <t>83.42341678939636</t>
  </si>
  <si>
    <t>40.82937092362719</t>
  </si>
  <si>
    <t>44.705659583421124</t>
  </si>
  <si>
    <t>chr_0005_chen_39</t>
  </si>
  <si>
    <t>51.71134020618577</t>
  </si>
  <si>
    <t>85.1222385861563</t>
  </si>
  <si>
    <t>41.69324637071324</t>
  </si>
  <si>
    <t>45.652009257311306</t>
  </si>
  <si>
    <t>chr_0005_chen_40</t>
  </si>
  <si>
    <t>52.788659793814645</t>
  </si>
  <si>
    <t>86.82106038291624</t>
  </si>
  <si>
    <t>42.557121817799285</t>
  </si>
  <si>
    <t>46.59835893120149</t>
  </si>
  <si>
    <r>
      <t>【斩锋 Lv.2】技能每次命中敌人后，攻击力</t>
    </r>
    <r>
      <rPr>
        <b/>
        <sz val="11"/>
        <color rgb="FF9EB7FF"/>
        <rFont val="宋体"/>
        <charset val="134"/>
      </rPr>
      <t>+8%</t>
    </r>
    <r>
      <rPr>
        <sz val="11"/>
        <color theme="1"/>
        <rFont val="宋体"/>
        <family val="2"/>
        <scheme val="minor"/>
      </rPr>
      <t>，持续10秒，该效果最多叠加5层。</t>
    </r>
  </si>
  <si>
    <t>【破势 Lv.1】技能打断敌人蓄力时，额外对其造成5点失衡。</t>
  </si>
  <si>
    <r>
      <t>【破势 Lv.1】技能打断敌人蓄力时，额外对其造成</t>
    </r>
    <r>
      <rPr>
        <b/>
        <sz val="11"/>
        <color rgb="FFFFAE6B"/>
        <rFont val="宋体"/>
        <charset val="134"/>
      </rPr>
      <t>5</t>
    </r>
    <r>
      <rPr>
        <sz val="11"/>
        <color theme="1"/>
        <rFont val="宋体"/>
        <family val="2"/>
        <scheme val="minor"/>
      </rPr>
      <t>点失衡。</t>
    </r>
  </si>
  <si>
    <t>chr_0005_chen_41</t>
  </si>
  <si>
    <t>53.86597938144351</t>
  </si>
  <si>
    <t>88.51988217967619</t>
  </si>
  <si>
    <t>43.420997264885344</t>
  </si>
  <si>
    <t>47.54470860509167</t>
  </si>
  <si>
    <t>chr_0005_chen_42</t>
  </si>
  <si>
    <t>54.94329896907239</t>
  </si>
  <si>
    <t>90.21870397643615</t>
  </si>
  <si>
    <t>44.28487271197139</t>
  </si>
  <si>
    <t>48.49105827898184</t>
  </si>
  <si>
    <t>chr_0005_chen_43</t>
  </si>
  <si>
    <t>56.02061855670125</t>
  </si>
  <si>
    <t>91.91752577319609</t>
  </si>
  <si>
    <t>45.14874815905745</t>
  </si>
  <si>
    <t>49.43740795287202</t>
  </si>
  <si>
    <t>chr_0005_chen_44</t>
  </si>
  <si>
    <t>57.09793814433013</t>
  </si>
  <si>
    <t>93.61634756995603</t>
  </si>
  <si>
    <t>46.01262360614349</t>
  </si>
  <si>
    <t>50.383757626762204</t>
  </si>
  <si>
    <t>chr_0005_chen_45</t>
  </si>
  <si>
    <t>58.17525773195899</t>
  </si>
  <si>
    <t>95.31516936671598</t>
  </si>
  <si>
    <t>46.87649905322954</t>
  </si>
  <si>
    <t>51.33010730065237</t>
  </si>
  <si>
    <t>chr_0005_chen_46</t>
  </si>
  <si>
    <t>59.25257731958787</t>
  </si>
  <si>
    <t>97.01399116347592</t>
  </si>
  <si>
    <t>47.740374500315596</t>
  </si>
  <si>
    <t>52.276456974542555</t>
  </si>
  <si>
    <t>chr_0005_chen_47</t>
  </si>
  <si>
    <t>60.329896907216735</t>
  </si>
  <si>
    <t>98.71281296023587</t>
  </si>
  <si>
    <t>48.60424994740164</t>
  </si>
  <si>
    <t>53.22280664843274</t>
  </si>
  <si>
    <t>chr_0005_chen_48</t>
  </si>
  <si>
    <t>61.40721649484561</t>
  </si>
  <si>
    <t>100.41163475699581</t>
  </si>
  <si>
    <t>49.4681253944877</t>
  </si>
  <si>
    <t>54.169156322322905</t>
  </si>
  <si>
    <t>chr_0005_chen_49</t>
  </si>
  <si>
    <t>62.48453608247448</t>
  </si>
  <si>
    <t>102.11045655375575</t>
  </si>
  <si>
    <t>50.332000841573745</t>
  </si>
  <si>
    <t>55.11550599621309</t>
  </si>
  <si>
    <t>chr_0005_chen_50</t>
  </si>
  <si>
    <t>63.56185567010334</t>
  </si>
  <si>
    <t>103.8092783505157</t>
  </si>
  <si>
    <t>51.195876288659804</t>
  </si>
  <si>
    <t>56.06185567010327</t>
  </si>
  <si>
    <t>chr_0005_chen_51</t>
  </si>
  <si>
    <t>64.63917525773222</t>
  </si>
  <si>
    <t>105.50810014727564</t>
  </si>
  <si>
    <t>52.05975173574585</t>
  </si>
  <si>
    <t>57.00820534399345</t>
  </si>
  <si>
    <t>chr_0005_chen_52</t>
  </si>
  <si>
    <t>65.71649484536108</t>
  </si>
  <si>
    <t>107.20692194403559</t>
  </si>
  <si>
    <t>52.92362718283191</t>
  </si>
  <si>
    <t>57.95455501788362</t>
  </si>
  <si>
    <t>chr_0005_chen_53</t>
  </si>
  <si>
    <t>66.79381443298996</t>
  </si>
  <si>
    <t>108.90574374079553</t>
  </si>
  <si>
    <t>53.78750262991795</t>
  </si>
  <si>
    <t>58.9009046917738</t>
  </si>
  <si>
    <t>chr_0005_chen_54</t>
  </si>
  <si>
    <t>67.87113402061883</t>
  </si>
  <si>
    <t>110.60456553755547</t>
  </si>
  <si>
    <t>54.651378077004</t>
  </si>
  <si>
    <t>59.847254365663986</t>
  </si>
  <si>
    <t>chr_0005_chen_55</t>
  </si>
  <si>
    <t>68.9484536082477</t>
  </si>
  <si>
    <t>112.30338733431542</t>
  </si>
  <si>
    <t>55.515253524090056</t>
  </si>
  <si>
    <t>60.793604039554154</t>
  </si>
  <si>
    <t>chr_0005_chen_56</t>
  </si>
  <si>
    <t>70.02577319587657</t>
  </si>
  <si>
    <t>114.00220913107536</t>
  </si>
  <si>
    <t>56.3791289711761</t>
  </si>
  <si>
    <t>61.739953713444336</t>
  </si>
  <si>
    <t>chr_0005_chen_57</t>
  </si>
  <si>
    <t>71.10309278350545</t>
  </si>
  <si>
    <t>115.70103092783532</t>
  </si>
  <si>
    <t>57.24300441826216</t>
  </si>
  <si>
    <t>62.68630338733452</t>
  </si>
  <si>
    <t>chr_0005_chen_58</t>
  </si>
  <si>
    <t>72.18041237113431</t>
  </si>
  <si>
    <t>117.39985272459526</t>
  </si>
  <si>
    <t>58.106879865348205</t>
  </si>
  <si>
    <t>63.63265306122469</t>
  </si>
  <si>
    <t>chr_0005_chen_59</t>
  </si>
  <si>
    <t>73.25773195876319</t>
  </si>
  <si>
    <t>119.0986745213552</t>
  </si>
  <si>
    <t>58.970755312434264</t>
  </si>
  <si>
    <t>64.57900273511487</t>
  </si>
  <si>
    <t>chr_0005_chen_60</t>
  </si>
  <si>
    <t>74.33505154639205</t>
  </si>
  <si>
    <t>120.79749631811515</t>
  </si>
  <si>
    <t>59.83463075952031</t>
  </si>
  <si>
    <t>65.52535240900505</t>
  </si>
  <si>
    <t>【破势 Lv.2】技能打断敌人蓄力时，额外对其造成10点失衡。</t>
  </si>
  <si>
    <r>
      <t>【破势 Lv.2】技能打断敌人蓄力时，额外对其造成</t>
    </r>
    <r>
      <rPr>
        <b/>
        <sz val="11"/>
        <color rgb="FFFFAE6B"/>
        <rFont val="宋体"/>
        <charset val="134"/>
      </rPr>
      <t>10</t>
    </r>
    <r>
      <rPr>
        <sz val="11"/>
        <color theme="1"/>
        <rFont val="宋体"/>
        <family val="2"/>
        <scheme val="minor"/>
      </rPr>
      <t>点失衡。</t>
    </r>
  </si>
  <si>
    <t>chr_0005_chen_61</t>
  </si>
  <si>
    <t>75.41237113402092</t>
  </si>
  <si>
    <t>122.4963181148751</t>
  </si>
  <si>
    <t>60.69850620660635</t>
  </si>
  <si>
    <t>66.47170208289522</t>
  </si>
  <si>
    <t>chr_0005_chen_62</t>
  </si>
  <si>
    <t>76.4896907216498</t>
  </si>
  <si>
    <t>124.19513991163504</t>
  </si>
  <si>
    <t>61.56238165369241</t>
  </si>
  <si>
    <t>67.4180517567854</t>
  </si>
  <si>
    <t>chr_0005_chen_63</t>
  </si>
  <si>
    <t>77.56701030927866</t>
  </si>
  <si>
    <t>125.89396170839498</t>
  </si>
  <si>
    <t>62.42625710077846</t>
  </si>
  <si>
    <t>68.36440143067558</t>
  </si>
  <si>
    <t>chr_0005_chen_64</t>
  </si>
  <si>
    <t>78.64432989690754</t>
  </si>
  <si>
    <t>127.59278350515493</t>
  </si>
  <si>
    <t>63.290132547864516</t>
  </si>
  <si>
    <t>69.31075110456577</t>
  </si>
  <si>
    <t>chr_0005_chen_65</t>
  </si>
  <si>
    <t>79.7216494845364</t>
  </si>
  <si>
    <t>129.29160530191487</t>
  </si>
  <si>
    <t>64.15400799495056</t>
  </si>
  <si>
    <t>70.25710077845594</t>
  </si>
  <si>
    <t>chr_0005_chen_66</t>
  </si>
  <si>
    <t>80.79896907216526</t>
  </si>
  <si>
    <t>130.99042709867481</t>
  </si>
  <si>
    <t>65.01788344203662</t>
  </si>
  <si>
    <t>71.20345045234612</t>
  </si>
  <si>
    <t>chr_0005_chen_67</t>
  </si>
  <si>
    <t>81.87628865979414</t>
  </si>
  <si>
    <t>132.68924889543476</t>
  </si>
  <si>
    <t>65.88175888912266</t>
  </si>
  <si>
    <t>72.1498001262363</t>
  </si>
  <si>
    <t>chr_0005_chen_68</t>
  </si>
  <si>
    <t>82.953608247423</t>
  </si>
  <si>
    <t>134.3880706921947</t>
  </si>
  <si>
    <t>66.74563433620872</t>
  </si>
  <si>
    <t>73.09614980012647</t>
  </si>
  <si>
    <t>chr_0005_chen_69</t>
  </si>
  <si>
    <t>84.03092783505188</t>
  </si>
  <si>
    <t>136.08689248895465</t>
  </si>
  <si>
    <t>67.60950978329477</t>
  </si>
  <si>
    <t>74.04249947401665</t>
  </si>
  <si>
    <t>chr_0005_chen_70</t>
  </si>
  <si>
    <t>85.10824742268075</t>
  </si>
  <si>
    <t>137.7857142857146</t>
  </si>
  <si>
    <t>68.47338523038081</t>
  </si>
  <si>
    <t>74.98884914790683</t>
  </si>
  <si>
    <t>chr_0005_chen_71</t>
  </si>
  <si>
    <t>86.18556701030963</t>
  </si>
  <si>
    <t>139.48453608247453</t>
  </si>
  <si>
    <t>69.33726067746687</t>
  </si>
  <si>
    <t>75.93519882179702</t>
  </si>
  <si>
    <t>chr_0005_chen_72</t>
  </si>
  <si>
    <t>87.26288659793849</t>
  </si>
  <si>
    <t>141.18335787923448</t>
  </si>
  <si>
    <t>70.20113612455292</t>
  </si>
  <si>
    <t>76.88154849568718</t>
  </si>
  <si>
    <t>chr_0005_chen_73</t>
  </si>
  <si>
    <t>88.34020618556737</t>
  </si>
  <si>
    <t>142.88217967599442</t>
  </si>
  <si>
    <t>71.06501157163898</t>
  </si>
  <si>
    <t>77.82789816957737</t>
  </si>
  <si>
    <t>chr_0005_chen_74</t>
  </si>
  <si>
    <t>89.41752577319623</t>
  </si>
  <si>
    <t>144.58100147275437</t>
  </si>
  <si>
    <t>71.92888701872502</t>
  </si>
  <si>
    <t>78.77424784346755</t>
  </si>
  <si>
    <t>chr_0005_chen_75</t>
  </si>
  <si>
    <t>90.49484536082511</t>
  </si>
  <si>
    <t>146.2798232695143</t>
  </si>
  <si>
    <t>72.79276246581108</t>
  </si>
  <si>
    <t>79.72059751735772</t>
  </si>
  <si>
    <t>chr_0005_chen_76</t>
  </si>
  <si>
    <t>91.57216494845397</t>
  </si>
  <si>
    <t>147.97864506627425</t>
  </si>
  <si>
    <t>73.65663791289712</t>
  </si>
  <si>
    <t>80.6669471912479</t>
  </si>
  <si>
    <t>chr_0005_chen_77</t>
  </si>
  <si>
    <t>92.64948453608284</t>
  </si>
  <si>
    <t>149.6774668630342</t>
  </si>
  <si>
    <t>74.52051335998317</t>
  </si>
  <si>
    <t>81.61329686513808</t>
  </si>
  <si>
    <t>chr_0005_chen_78</t>
  </si>
  <si>
    <t>93.72680412371172</t>
  </si>
  <si>
    <t>151.37628865979414</t>
  </si>
  <si>
    <t>75.38438880706923</t>
  </si>
  <si>
    <t>82.55964653902826</t>
  </si>
  <si>
    <t>chr_0005_chen_79</t>
  </si>
  <si>
    <t>94.80412371134058</t>
  </si>
  <si>
    <t>153.07511045655409</t>
  </si>
  <si>
    <t>76.24826425415527</t>
  </si>
  <si>
    <t>83.50599621291843</t>
  </si>
  <si>
    <t>chr_0005_chen_80</t>
  </si>
  <si>
    <t>95.88144329896946</t>
  </si>
  <si>
    <t>154.77393225331403</t>
  </si>
  <si>
    <t>77.11213970124133</t>
  </si>
  <si>
    <t>84.45234588680862</t>
  </si>
  <si>
    <t>chr_0005_chen_81</t>
  </si>
  <si>
    <t>96.95876288659832</t>
  </si>
  <si>
    <t>156.47275405007397</t>
  </si>
  <si>
    <t>77.97601514832738</t>
  </si>
  <si>
    <t>85.3986955606988</t>
  </si>
  <si>
    <t>chr_0005_chen_82</t>
  </si>
  <si>
    <t>98.0360824742272</t>
  </si>
  <si>
    <t>158.17157584683395</t>
  </si>
  <si>
    <t>78.83989059541342</t>
  </si>
  <si>
    <t>86.34504523458897</t>
  </si>
  <si>
    <t>chr_0005_chen_83</t>
  </si>
  <si>
    <t>99.11340206185606</t>
  </si>
  <si>
    <t>159.8703976435939</t>
  </si>
  <si>
    <t>79.70376604249948</t>
  </si>
  <si>
    <t>87.29139490847915</t>
  </si>
  <si>
    <t>chr_0005_chen_84</t>
  </si>
  <si>
    <t>100.19072164948494</t>
  </si>
  <si>
    <t>161.56921944035383</t>
  </si>
  <si>
    <t>80.56764148958553</t>
  </si>
  <si>
    <t>88.23774458236933</t>
  </si>
  <si>
    <t>chr_0005_chen_85</t>
  </si>
  <si>
    <t>101.2680412371138</t>
  </si>
  <si>
    <t>163.26804123711378</t>
  </si>
  <si>
    <t>81.43151693667158</t>
  </si>
  <si>
    <t>89.1840942562595</t>
  </si>
  <si>
    <t>chr_0005_chen_86</t>
  </si>
  <si>
    <t>102.34536082474268</t>
  </si>
  <si>
    <t>164.96686303387372</t>
  </si>
  <si>
    <t>82.29539238375763</t>
  </si>
  <si>
    <t>90.13044393014968</t>
  </si>
  <si>
    <t>chr_0005_chen_87</t>
  </si>
  <si>
    <t>103.42268041237155</t>
  </si>
  <si>
    <t>166.66568483063367</t>
  </si>
  <si>
    <t>83.15926783084369</t>
  </si>
  <si>
    <t>91.07679360403986</t>
  </si>
  <si>
    <t>chr_0005_chen_88</t>
  </si>
  <si>
    <t>104.50000000000041</t>
  </si>
  <si>
    <t>168.3645066273936</t>
  </si>
  <si>
    <t>84.02314327792973</t>
  </si>
  <si>
    <t>92.02314327793003</t>
  </si>
  <si>
    <t>chr_0005_chen_89</t>
  </si>
  <si>
    <t>105.57731958762929</t>
  </si>
  <si>
    <t>170.06332842415355</t>
  </si>
  <si>
    <t>84.88701872501578</t>
  </si>
  <si>
    <t>92.96949295182021</t>
  </si>
  <si>
    <t>chr_0005_chen_90</t>
  </si>
  <si>
    <t>106.65463917525815</t>
  </si>
  <si>
    <t>171.7621502209135</t>
  </si>
  <si>
    <t>85.75089417210184</t>
  </si>
  <si>
    <t>93.9158426257104</t>
  </si>
  <si>
    <t>chr_0005_chen_91</t>
  </si>
  <si>
    <t>107.73195876288703</t>
  </si>
  <si>
    <t>173.46097201767344</t>
  </si>
  <si>
    <t>86.61476961918788</t>
  </si>
  <si>
    <t>94.86219229960058</t>
  </si>
  <si>
    <t>chr_0005_chen_92</t>
  </si>
  <si>
    <t>108.8092783505159</t>
  </si>
  <si>
    <t>175.15979381443339</t>
  </si>
  <si>
    <t>87.47864506627394</t>
  </si>
  <si>
    <t>95.80854197349075</t>
  </si>
  <si>
    <t>chr_0005_chen_93</t>
  </si>
  <si>
    <t>109.88659793814477</t>
  </si>
  <si>
    <t>176.85861561119333</t>
  </si>
  <si>
    <t>88.34252051335999</t>
  </si>
  <si>
    <t>96.75489164738093</t>
  </si>
  <si>
    <t>chr_0005_chen_94</t>
  </si>
  <si>
    <t>110.96391752577364</t>
  </si>
  <si>
    <t>178.55743740795327</t>
  </si>
  <si>
    <t>89.20639596044605</t>
  </si>
  <si>
    <t>97.70124132127111</t>
  </si>
  <si>
    <t>chr_0005_chen_95</t>
  </si>
  <si>
    <t>112.04123711340252</t>
  </si>
  <si>
    <t>180.25625920471322</t>
  </si>
  <si>
    <t>90.07027140753209</t>
  </si>
  <si>
    <t>98.64759099516128</t>
  </si>
  <si>
    <t>chr_0005_chen_96</t>
  </si>
  <si>
    <t>113.11855670103138</t>
  </si>
  <si>
    <t>181.95508100147316</t>
  </si>
  <si>
    <t>90.93414685461815</t>
  </si>
  <si>
    <t>99.59394066905146</t>
  </si>
  <si>
    <t>chr_0005_chen_97</t>
  </si>
  <si>
    <t>114.19587628866026</t>
  </si>
  <si>
    <t>183.6539027982331</t>
  </si>
  <si>
    <t>91.7980223017042</t>
  </si>
  <si>
    <t>100.54029034294165</t>
  </si>
  <si>
    <t>chr_0005_chen_98</t>
  </si>
  <si>
    <t>115.27319587628912</t>
  </si>
  <si>
    <t>185.35272459499305</t>
  </si>
  <si>
    <t>92.66189774879024</t>
  </si>
  <si>
    <t>101.48664001683181</t>
  </si>
  <si>
    <t>chr_0005_chen_99</t>
  </si>
  <si>
    <t>116.35051546391799</t>
  </si>
  <si>
    <t>187.051546391753</t>
  </si>
  <si>
    <t>93.5257731958763</t>
  </si>
  <si>
    <t>chr_0006_wolfgd_1</t>
  </si>
  <si>
    <t>chr_0006_wolfgd</t>
  </si>
  <si>
    <t>狼卫</t>
  </si>
  <si>
    <t>Wulfgard</t>
  </si>
  <si>
    <t>灼热附着, 燃烧</t>
  </si>
  <si>
    <t>手铳</t>
  </si>
  <si>
    <t>18.5567010309278</t>
  </si>
  <si>
    <t>9.63917525773196</t>
  </si>
  <si>
    <t>9.38144329896907</t>
  </si>
  <si>
    <t>13.8144329896907</t>
  </si>
  <si>
    <r>
      <t>【独狼】力量</t>
    </r>
    <r>
      <rPr>
        <b/>
        <sz val="11"/>
        <color rgb="FF9EB7FF"/>
        <rFont val="宋体"/>
        <charset val="134"/>
      </rPr>
      <t>+15</t>
    </r>
    <r>
      <rPr>
        <sz val="11"/>
        <color theme="1"/>
        <rFont val="宋体"/>
        <family val="2"/>
        <scheme val="minor"/>
      </rPr>
      <t>，敏捷</t>
    </r>
    <r>
      <rPr>
        <b/>
        <sz val="11"/>
        <color rgb="FF9EB7FF"/>
        <rFont val="宋体"/>
        <charset val="134"/>
      </rPr>
      <t>+15</t>
    </r>
    <r>
      <rPr>
        <sz val="11"/>
        <color theme="1"/>
        <rFont val="宋体"/>
        <family val="2"/>
        <scheme val="minor"/>
      </rPr>
      <t>。</t>
    </r>
  </si>
  <si>
    <r>
      <t>【铳械改造】天赋</t>
    </r>
    <r>
      <rPr>
        <b/>
        <sz val="11"/>
        <color rgb="FF33C2FF"/>
        <rFont val="宋体"/>
        <charset val="134"/>
      </rPr>
      <t>节制准则</t>
    </r>
    <r>
      <rPr>
        <sz val="11"/>
        <color theme="1"/>
        <rFont val="宋体"/>
        <family val="2"/>
        <scheme val="minor"/>
      </rPr>
      <t>效果加强：额外</t>
    </r>
    <r>
      <rPr>
        <u/>
        <sz val="11"/>
        <rFont val="宋体"/>
        <charset val="134"/>
      </rPr>
      <t>返还</t>
    </r>
    <r>
      <rPr>
        <b/>
        <sz val="11"/>
        <color rgb="FF9EB7FF"/>
        <rFont val="宋体"/>
        <charset val="134"/>
      </rPr>
      <t>10</t>
    </r>
    <r>
      <rPr>
        <sz val="11"/>
        <color theme="1"/>
        <rFont val="宋体"/>
        <family val="2"/>
        <scheme val="minor"/>
      </rPr>
      <t>点技力。</t>
    </r>
  </si>
  <si>
    <r>
      <t>【狩猎时刻】</t>
    </r>
    <r>
      <rPr>
        <b/>
        <sz val="11"/>
        <color rgb="FF33C2FF"/>
        <rFont val="宋体"/>
        <charset val="134"/>
      </rPr>
      <t>灼热獠牙</t>
    </r>
    <r>
      <rPr>
        <sz val="11"/>
        <color theme="1"/>
        <rFont val="宋体"/>
        <family val="2"/>
        <scheme val="minor"/>
      </rPr>
      <t>状态下，施放战技触发额外效果时，立即刷新自身</t>
    </r>
    <r>
      <rPr>
        <b/>
        <sz val="11"/>
        <color rgb="FF33C2FF"/>
        <rFont val="宋体"/>
        <charset val="134"/>
      </rPr>
      <t>灼热獠牙</t>
    </r>
    <r>
      <rPr>
        <sz val="11"/>
        <color theme="1"/>
        <rFont val="宋体"/>
        <family val="2"/>
        <scheme val="minor"/>
      </rPr>
      <t>状态的持续时间，同时使小队内其他干员获得</t>
    </r>
    <r>
      <rPr>
        <b/>
        <sz val="11"/>
        <color rgb="FF33C2FF"/>
        <rFont val="宋体"/>
        <charset val="134"/>
      </rPr>
      <t>灼热獠牙</t>
    </r>
    <r>
      <rPr>
        <sz val="11"/>
        <color theme="1"/>
        <rFont val="宋体"/>
        <family val="2"/>
        <scheme val="minor"/>
      </rPr>
      <t>，效果为基础的</t>
    </r>
    <r>
      <rPr>
        <b/>
        <sz val="11"/>
        <color rgb="FF9EB7FF"/>
        <rFont val="宋体"/>
        <charset val="134"/>
      </rPr>
      <t>50%</t>
    </r>
    <r>
      <rPr>
        <sz val="11"/>
        <color theme="1"/>
        <rFont val="宋体"/>
        <family val="2"/>
        <scheme val="minor"/>
      </rPr>
      <t>。</t>
    </r>
  </si>
  <si>
    <r>
      <t>【狼群意志】终结技</t>
    </r>
    <r>
      <rPr>
        <b/>
        <sz val="11"/>
        <color rgb="FF33C2FF"/>
        <rFont val="宋体"/>
        <charset val="134"/>
      </rPr>
      <t>狼之怒</t>
    </r>
    <r>
      <rPr>
        <sz val="11"/>
        <color theme="1"/>
        <rFont val="宋体"/>
        <family val="2"/>
        <scheme val="minor"/>
      </rPr>
      <t>所需的终结技能量</t>
    </r>
    <r>
      <rPr>
        <b/>
        <sz val="11"/>
        <color rgb="FF9EB7FF"/>
        <rFont val="宋体"/>
        <charset val="134"/>
      </rPr>
      <t>-15%</t>
    </r>
    <r>
      <rPr>
        <sz val="11"/>
        <color theme="1"/>
        <rFont val="宋体"/>
        <family val="2"/>
        <scheme val="minor"/>
      </rPr>
      <t>。</t>
    </r>
  </si>
  <si>
    <r>
      <t>【天生掠食者】施放终结技</t>
    </r>
    <r>
      <rPr>
        <b/>
        <sz val="11"/>
        <color rgb="FF33C2FF"/>
        <rFont val="宋体"/>
        <charset val="134"/>
      </rPr>
      <t>狼之怒</t>
    </r>
    <r>
      <rPr>
        <sz val="11"/>
        <color theme="1"/>
        <rFont val="宋体"/>
        <family val="2"/>
        <scheme val="minor"/>
      </rPr>
      <t>后立即刷新连携技</t>
    </r>
    <r>
      <rPr>
        <b/>
        <sz val="11"/>
        <color rgb="FF33C2FF"/>
        <rFont val="宋体"/>
        <charset val="134"/>
      </rPr>
      <t>爆裂手雷·β型</t>
    </r>
    <r>
      <rPr>
        <sz val="11"/>
        <color theme="1"/>
        <rFont val="宋体"/>
        <family val="2"/>
        <scheme val="minor"/>
      </rPr>
      <t>冷却时间。</t>
    </r>
  </si>
  <si>
    <t>chr_0006_wolfgd_2</t>
  </si>
  <si>
    <t>20.165264043761802</t>
  </si>
  <si>
    <t>10.603092783505154</t>
  </si>
  <si>
    <t>10.319587628865978</t>
  </si>
  <si>
    <t>14.911845150431283</t>
  </si>
  <si>
    <t>chr_0006_wolfgd_3</t>
  </si>
  <si>
    <t>21.773827056595806</t>
  </si>
  <si>
    <t>11.567010309278349</t>
  </si>
  <si>
    <t>11.257731958762886</t>
  </si>
  <si>
    <t>16.00925731117187</t>
  </si>
  <si>
    <t>chr_0006_wolfgd_4</t>
  </si>
  <si>
    <t>23.382390069429807</t>
  </si>
  <si>
    <t>12.530927835051543</t>
  </si>
  <si>
    <t>12.195876288659793</t>
  </si>
  <si>
    <t>17.106669471912454</t>
  </si>
  <si>
    <t>chr_0006_wolfgd_5</t>
  </si>
  <si>
    <t>24.990953082263808</t>
  </si>
  <si>
    <t>13.494845360824737</t>
  </si>
  <si>
    <t>13.1340206185567</t>
  </si>
  <si>
    <t>18.204081632653036</t>
  </si>
  <si>
    <t>chr_0006_wolfgd_6</t>
  </si>
  <si>
    <t>26.599516095097812</t>
  </si>
  <si>
    <t>14.458762886597931</t>
  </si>
  <si>
    <t>14.072164948453608</t>
  </si>
  <si>
    <t>19.30149379339362</t>
  </si>
  <si>
    <t>chr_0006_wolfgd_7</t>
  </si>
  <si>
    <t>28.208079107931813</t>
  </si>
  <si>
    <t>15.422680412371125</t>
  </si>
  <si>
    <t>15.010309278350515</t>
  </si>
  <si>
    <t>20.398905954134207</t>
  </si>
  <si>
    <t>chr_0006_wolfgd_8</t>
  </si>
  <si>
    <t>29.816642120765813</t>
  </si>
  <si>
    <t>16.38659793814432</t>
  </si>
  <si>
    <t>15.948453608247423</t>
  </si>
  <si>
    <t>21.496318114874793</t>
  </si>
  <si>
    <t>chr_0006_wolfgd_9</t>
  </si>
  <si>
    <t>31.425205133599817</t>
  </si>
  <si>
    <t>17.350515463917514</t>
  </si>
  <si>
    <t>16.88659793814433</t>
  </si>
  <si>
    <t>22.59373027561538</t>
  </si>
  <si>
    <t>chr_0006_wolfgd_10</t>
  </si>
  <si>
    <t>33.03376814643382</t>
  </si>
  <si>
    <t>18.314432989690708</t>
  </si>
  <si>
    <t>17.824742268041238</t>
  </si>
  <si>
    <t>23.69114243635596</t>
  </si>
  <si>
    <t>chr_0006_wolfgd_11</t>
  </si>
  <si>
    <t>34.642331159267826</t>
  </si>
  <si>
    <t>19.278350515463906</t>
  </si>
  <si>
    <t>18.762886597938145</t>
  </si>
  <si>
    <t>24.788554597096546</t>
  </si>
  <si>
    <t>chr_0006_wolfgd_12</t>
  </si>
  <si>
    <t>36.25089417210182</t>
  </si>
  <si>
    <t>20.242268041237097</t>
  </si>
  <si>
    <t>19.701030927835053</t>
  </si>
  <si>
    <t>25.88596675783713</t>
  </si>
  <si>
    <t>chr_0006_wolfgd_13</t>
  </si>
  <si>
    <t>37.85945718493582</t>
  </si>
  <si>
    <t>21.206185567010294</t>
  </si>
  <si>
    <t>20.63917525773196</t>
  </si>
  <si>
    <t>26.983378918577714</t>
  </si>
  <si>
    <t>chr_0006_wolfgd_14</t>
  </si>
  <si>
    <t>39.46802019776983</t>
  </si>
  <si>
    <t>22.170103092783485</t>
  </si>
  <si>
    <t>21.577319587628867</t>
  </si>
  <si>
    <t>28.080791079318303</t>
  </si>
  <si>
    <t>chr_0006_wolfgd_15</t>
  </si>
  <si>
    <t>41.07658321060383</t>
  </si>
  <si>
    <t>23.134020618556683</t>
  </si>
  <si>
    <t>22.515463917525775</t>
  </si>
  <si>
    <t>29.178203240058885</t>
  </si>
  <si>
    <t>chr_0006_wolfgd_16</t>
  </si>
  <si>
    <t>42.68514622343783</t>
  </si>
  <si>
    <t>24.097938144329873</t>
  </si>
  <si>
    <t>23.453608247422682</t>
  </si>
  <si>
    <t>30.275615400799467</t>
  </si>
  <si>
    <t>chr_0006_wolfgd_17</t>
  </si>
  <si>
    <t>44.29370923627184</t>
  </si>
  <si>
    <t>25.06185567010307</t>
  </si>
  <si>
    <t>24.39175257731959</t>
  </si>
  <si>
    <t>31.373027561540056</t>
  </si>
  <si>
    <t>chr_0006_wolfgd_18</t>
  </si>
  <si>
    <t>45.902272249105835</t>
  </si>
  <si>
    <t>26.025773195876265</t>
  </si>
  <si>
    <t>25.329896907216497</t>
  </si>
  <si>
    <t>32.47043972228064</t>
  </si>
  <si>
    <t>chr_0006_wolfgd_19</t>
  </si>
  <si>
    <t>47.51083526193984</t>
  </si>
  <si>
    <t>26.98969072164946</t>
  </si>
  <si>
    <t>26.268041237113405</t>
  </si>
  <si>
    <t>33.56785188302123</t>
  </si>
  <si>
    <t>chr_0006_wolfgd_20</t>
  </si>
  <si>
    <t>49.11939827477384</t>
  </si>
  <si>
    <t>27.953608247422654</t>
  </si>
  <si>
    <t>27.206185567010312</t>
  </si>
  <si>
    <t>34.66526404376181</t>
  </si>
  <si>
    <t>【灼热獠牙 Lv.1】每次施加燃烧后，获得灼热獠牙状态，持续10秒，该状态无法叠加。状态持续期间，自身造成的灼热伤害+20%。</t>
  </si>
  <si>
    <r>
      <t>【灼热獠牙 Lv.1】每次施加</t>
    </r>
    <r>
      <rPr>
        <b/>
        <u/>
        <sz val="11"/>
        <color rgb="FFFF8E59"/>
        <rFont val="宋体"/>
        <charset val="134"/>
      </rPr>
      <t>燃烧</t>
    </r>
    <r>
      <rPr>
        <sz val="11"/>
        <color theme="1"/>
        <rFont val="宋体"/>
        <family val="2"/>
        <scheme val="minor"/>
      </rPr>
      <t>后，获得</t>
    </r>
    <r>
      <rPr>
        <b/>
        <sz val="11"/>
        <color rgb="FF33C2FF"/>
        <rFont val="宋体"/>
        <charset val="134"/>
      </rPr>
      <t>灼热獠牙</t>
    </r>
    <r>
      <rPr>
        <sz val="11"/>
        <color theme="1"/>
        <rFont val="宋体"/>
        <family val="2"/>
        <scheme val="minor"/>
      </rPr>
      <t>状态，持续10秒，该状态无法叠加。状态持续期间，自身造成的</t>
    </r>
    <r>
      <rPr>
        <b/>
        <sz val="11"/>
        <color rgb="FFFF8E59"/>
        <rFont val="宋体"/>
        <charset val="134"/>
      </rPr>
      <t>灼热伤害</t>
    </r>
    <r>
      <rPr>
        <b/>
        <sz val="11"/>
        <color rgb="FF9EB7FF"/>
        <rFont val="宋体"/>
        <charset val="134"/>
      </rPr>
      <t>+20%</t>
    </r>
    <r>
      <rPr>
        <sz val="11"/>
        <color theme="1"/>
        <rFont val="宋体"/>
        <family val="2"/>
        <scheme val="minor"/>
      </rPr>
      <t>。</t>
    </r>
  </si>
  <si>
    <t>chr_0006_wolfgd_21</t>
  </si>
  <si>
    <t>50.72796128760784</t>
  </si>
  <si>
    <t>28.917525773195848</t>
  </si>
  <si>
    <t>28.14432989690722</t>
  </si>
  <si>
    <t>35.76267620450239</t>
  </si>
  <si>
    <t>chr_0006_wolfgd_22</t>
  </si>
  <si>
    <t>52.33652430044184</t>
  </si>
  <si>
    <t>29.881443298969042</t>
  </si>
  <si>
    <t>29.082474226804127</t>
  </si>
  <si>
    <t>36.86008836524298</t>
  </si>
  <si>
    <t>chr_0006_wolfgd_23</t>
  </si>
  <si>
    <t>53.94508731327585</t>
  </si>
  <si>
    <t>30.845360824742237</t>
  </si>
  <si>
    <t>30.020618556701034</t>
  </si>
  <si>
    <t>37.95750052598356</t>
  </si>
  <si>
    <t>chr_0006_wolfgd_24</t>
  </si>
  <si>
    <t>55.553650326109846</t>
  </si>
  <si>
    <t>31.80927835051543</t>
  </si>
  <si>
    <t>30.958762886597942</t>
  </si>
  <si>
    <t>39.054912686724144</t>
  </si>
  <si>
    <t>chr_0006_wolfgd_25</t>
  </si>
  <si>
    <t>57.16221333894384</t>
  </si>
  <si>
    <t>32.773195876288625</t>
  </si>
  <si>
    <t>31.89690721649485</t>
  </si>
  <si>
    <t>40.15232484746473</t>
  </si>
  <si>
    <t>chr_0006_wolfgd_26</t>
  </si>
  <si>
    <t>58.770776351777855</t>
  </si>
  <si>
    <t>33.73711340206182</t>
  </si>
  <si>
    <t>32.83505154639175</t>
  </si>
  <si>
    <t>41.249737008205315</t>
  </si>
  <si>
    <t>chr_0006_wolfgd_27</t>
  </si>
  <si>
    <t>60.37933936461185</t>
  </si>
  <si>
    <t>34.70103092783501</t>
  </si>
  <si>
    <t>33.77319587628867</t>
  </si>
  <si>
    <t>42.347149168945904</t>
  </si>
  <si>
    <t>chr_0006_wolfgd_28</t>
  </si>
  <si>
    <t>61.98790237744586</t>
  </si>
  <si>
    <t>35.664948453608204</t>
  </si>
  <si>
    <t>34.71134020618557</t>
  </si>
  <si>
    <t>43.444561329686486</t>
  </si>
  <si>
    <t>chr_0006_wolfgd_29</t>
  </si>
  <si>
    <t>63.59646539027986</t>
  </si>
  <si>
    <t>36.6288659793814</t>
  </si>
  <si>
    <t>35.64948453608248</t>
  </si>
  <si>
    <t>44.54197349042707</t>
  </si>
  <si>
    <t>chr_0006_wolfgd_30</t>
  </si>
  <si>
    <t>65.20502840311386</t>
  </si>
  <si>
    <t>37.5927835051546</t>
  </si>
  <si>
    <t>36.58762886597938</t>
  </si>
  <si>
    <t>45.63938565116766</t>
  </si>
  <si>
    <t>chr_0006_wolfgd_31</t>
  </si>
  <si>
    <t>66.81359141594787</t>
  </si>
  <si>
    <t>38.55670103092779</t>
  </si>
  <si>
    <t>37.5257731958763</t>
  </si>
  <si>
    <t>46.73679781190824</t>
  </si>
  <si>
    <t>chr_0006_wolfgd_32</t>
  </si>
  <si>
    <t>68.42215442878187</t>
  </si>
  <si>
    <t>39.52061855670098</t>
  </si>
  <si>
    <t>38.4639175257732</t>
  </si>
  <si>
    <t>47.83420997264883</t>
  </si>
  <si>
    <t>chr_0006_wolfgd_33</t>
  </si>
  <si>
    <t>70.03071744161586</t>
  </si>
  <si>
    <t>40.48453608247418</t>
  </si>
  <si>
    <t>39.40206185567011</t>
  </si>
  <si>
    <t>48.93162213338941</t>
  </si>
  <si>
    <t>chr_0006_wolfgd_34</t>
  </si>
  <si>
    <t>71.63928045444987</t>
  </si>
  <si>
    <t>41.44845360824738</t>
  </si>
  <si>
    <t>40.34020618556701</t>
  </si>
  <si>
    <t>50.02903429412999</t>
  </si>
  <si>
    <t>chr_0006_wolfgd_35</t>
  </si>
  <si>
    <t>73.24784346728387</t>
  </si>
  <si>
    <t>42.412371134020574</t>
  </si>
  <si>
    <t>41.27835051546393</t>
  </si>
  <si>
    <t>51.12644645487058</t>
  </si>
  <si>
    <t>chr_0006_wolfgd_36</t>
  </si>
  <si>
    <t>74.85640648011787</t>
  </si>
  <si>
    <t>43.37628865979376</t>
  </si>
  <si>
    <t>42.21649484536083</t>
  </si>
  <si>
    <t>52.223858615611164</t>
  </si>
  <si>
    <t>chr_0006_wolfgd_37</t>
  </si>
  <si>
    <t>76.46496949295188</t>
  </si>
  <si>
    <t>44.340206185566956</t>
  </si>
  <si>
    <t>43.15463917525774</t>
  </si>
  <si>
    <t>53.32127077635175</t>
  </si>
  <si>
    <t>chr_0006_wolfgd_38</t>
  </si>
  <si>
    <t>78.07353250578588</t>
  </si>
  <si>
    <t>45.304123711340154</t>
  </si>
  <si>
    <t>44.09278350515464</t>
  </si>
  <si>
    <t>54.418682937092335</t>
  </si>
  <si>
    <t>chr_0006_wolfgd_39</t>
  </si>
  <si>
    <t>79.68209551861987</t>
  </si>
  <si>
    <t>46.26804123711335</t>
  </si>
  <si>
    <t>45.03092783505156</t>
  </si>
  <si>
    <t>55.51609509783292</t>
  </si>
  <si>
    <t>chr_0006_wolfgd_40</t>
  </si>
  <si>
    <t>81.29065853145389</t>
  </si>
  <si>
    <t>47.231958762886535</t>
  </si>
  <si>
    <t>45.96907216494846</t>
  </si>
  <si>
    <t>56.613507258573506</t>
  </si>
  <si>
    <r>
      <t>【灼热獠牙 Lv.2】每次施加</t>
    </r>
    <r>
      <rPr>
        <b/>
        <u/>
        <sz val="11"/>
        <color rgb="FFFF8E59"/>
        <rFont val="宋体"/>
        <charset val="134"/>
      </rPr>
      <t>燃烧</t>
    </r>
    <r>
      <rPr>
        <sz val="11"/>
        <color theme="1"/>
        <rFont val="宋体"/>
        <family val="2"/>
        <scheme val="minor"/>
      </rPr>
      <t>后，获得</t>
    </r>
    <r>
      <rPr>
        <b/>
        <sz val="11"/>
        <color rgb="FF33C2FF"/>
        <rFont val="宋体"/>
        <charset val="134"/>
      </rPr>
      <t>灼热獠牙</t>
    </r>
    <r>
      <rPr>
        <sz val="11"/>
        <color theme="1"/>
        <rFont val="宋体"/>
        <family val="2"/>
        <scheme val="minor"/>
      </rPr>
      <t>状态，持续10秒，该状态无法叠加。状态持续期间，自身造成的</t>
    </r>
    <r>
      <rPr>
        <b/>
        <sz val="11"/>
        <color rgb="FFFF8E59"/>
        <rFont val="宋体"/>
        <charset val="134"/>
      </rPr>
      <t>灼热伤害</t>
    </r>
    <r>
      <rPr>
        <b/>
        <sz val="11"/>
        <color rgb="FF9EB7FF"/>
        <rFont val="宋体"/>
        <charset val="134"/>
      </rPr>
      <t>+30%</t>
    </r>
    <r>
      <rPr>
        <sz val="11"/>
        <color theme="1"/>
        <rFont val="宋体"/>
        <family val="2"/>
        <scheme val="minor"/>
      </rPr>
      <t>。</t>
    </r>
  </si>
  <si>
    <t>【节制准则 Lv.1】战技灼热弹痕成功消耗法术异常时，返还5点技力。</t>
  </si>
  <si>
    <r>
      <t>【节制准则 Lv.1】战技</t>
    </r>
    <r>
      <rPr>
        <b/>
        <sz val="11"/>
        <color rgb="FF33C2FF"/>
        <rFont val="宋体"/>
        <charset val="134"/>
      </rPr>
      <t>灼热弹痕</t>
    </r>
    <r>
      <rPr>
        <sz val="11"/>
        <color theme="1"/>
        <rFont val="宋体"/>
        <family val="2"/>
        <scheme val="minor"/>
      </rPr>
      <t>成功消耗</t>
    </r>
    <r>
      <rPr>
        <b/>
        <u/>
        <sz val="11"/>
        <color rgb="FF33C2FF"/>
        <rFont val="宋体"/>
        <charset val="134"/>
      </rPr>
      <t>法术异常</t>
    </r>
    <r>
      <rPr>
        <sz val="11"/>
        <color theme="1"/>
        <rFont val="宋体"/>
        <family val="2"/>
        <scheme val="minor"/>
      </rPr>
      <t>时，</t>
    </r>
    <r>
      <rPr>
        <u/>
        <sz val="11"/>
        <rFont val="宋体"/>
        <charset val="134"/>
      </rPr>
      <t>返还</t>
    </r>
    <r>
      <rPr>
        <b/>
        <sz val="11"/>
        <color rgb="FF9EB7FF"/>
        <rFont val="宋体"/>
        <charset val="134"/>
      </rPr>
      <t>5</t>
    </r>
    <r>
      <rPr>
        <sz val="11"/>
        <color theme="1"/>
        <rFont val="宋体"/>
        <family val="2"/>
        <scheme val="minor"/>
      </rPr>
      <t>点技力。</t>
    </r>
  </si>
  <si>
    <t>chr_0006_wolfgd_41</t>
  </si>
  <si>
    <t>82.89922154428788</t>
  </si>
  <si>
    <t>48.19587628865973</t>
  </si>
  <si>
    <t>46.90721649484537</t>
  </si>
  <si>
    <t>57.71091941931409</t>
  </si>
  <si>
    <t>chr_0006_wolfgd_42</t>
  </si>
  <si>
    <t>84.50778455712188</t>
  </si>
  <si>
    <t>49.15979381443293</t>
  </si>
  <si>
    <t>47.84536082474227</t>
  </si>
  <si>
    <t>58.80833158005467</t>
  </si>
  <si>
    <t>chr_0006_wolfgd_43</t>
  </si>
  <si>
    <t>86.11634756995588</t>
  </si>
  <si>
    <t>50.12371134020613</t>
  </si>
  <si>
    <t>48.78350515463919</t>
  </si>
  <si>
    <t>59.90574374079526</t>
  </si>
  <si>
    <t>chr_0006_wolfgd_44</t>
  </si>
  <si>
    <t>87.72491058278989</t>
  </si>
  <si>
    <t>51.08762886597931</t>
  </si>
  <si>
    <t>49.72164948453609</t>
  </si>
  <si>
    <t>61.00315590153584</t>
  </si>
  <si>
    <t>chr_0006_wolfgd_45</t>
  </si>
  <si>
    <t>89.33347359562389</t>
  </si>
  <si>
    <t>52.05154639175251</t>
  </si>
  <si>
    <t>50.659793814433</t>
  </si>
  <si>
    <t>62.10056806227642</t>
  </si>
  <si>
    <t>chr_0006_wolfgd_46</t>
  </si>
  <si>
    <t>90.94203660845788</t>
  </si>
  <si>
    <t>53.01546391752571</t>
  </si>
  <si>
    <t>51.5979381443299</t>
  </si>
  <si>
    <t>63.19798022301701</t>
  </si>
  <si>
    <t>chr_0006_wolfgd_47</t>
  </si>
  <si>
    <t>92.5505996212919</t>
  </si>
  <si>
    <t>53.979381443298905</t>
  </si>
  <si>
    <t>52.536082474226816</t>
  </si>
  <si>
    <t>64.29539238375759</t>
  </si>
  <si>
    <t>chr_0006_wolfgd_48</t>
  </si>
  <si>
    <t>94.15916263412589</t>
  </si>
  <si>
    <t>54.94329896907209</t>
  </si>
  <si>
    <t>53.47422680412372</t>
  </si>
  <si>
    <t>65.39280454449818</t>
  </si>
  <si>
    <t>chr_0006_wolfgd_49</t>
  </si>
  <si>
    <t>95.76772564695989</t>
  </si>
  <si>
    <t>55.90721649484529</t>
  </si>
  <si>
    <t>54.41237113402063</t>
  </si>
  <si>
    <t>66.49021670523877</t>
  </si>
  <si>
    <t>chr_0006_wolfgd_50</t>
  </si>
  <si>
    <t>97.3762886597939</t>
  </si>
  <si>
    <t>56.871134020618484</t>
  </si>
  <si>
    <t>55.35051546391753</t>
  </si>
  <si>
    <t>67.58762886597934</t>
  </si>
  <si>
    <t>chr_0006_wolfgd_51</t>
  </si>
  <si>
    <t>98.9848516726279</t>
  </si>
  <si>
    <t>57.83505154639168</t>
  </si>
  <si>
    <t>56.288659793814446</t>
  </si>
  <si>
    <t>68.68504102671993</t>
  </si>
  <si>
    <t>chr_0006_wolfgd_52</t>
  </si>
  <si>
    <t>100.59341468546191</t>
  </si>
  <si>
    <t>58.798969072164866</t>
  </si>
  <si>
    <t>57.22680412371135</t>
  </si>
  <si>
    <t>69.78245318746052</t>
  </si>
  <si>
    <t>chr_0006_wolfgd_53</t>
  </si>
  <si>
    <t>102.2019776982959</t>
  </si>
  <si>
    <t>59.76288659793806</t>
  </si>
  <si>
    <t>58.16494845360826</t>
  </si>
  <si>
    <t>70.87986534820111</t>
  </si>
  <si>
    <t>chr_0006_wolfgd_54</t>
  </si>
  <si>
    <t>103.8105407111299</t>
  </si>
  <si>
    <t>60.72680412371126</t>
  </si>
  <si>
    <t>59.10309278350516</t>
  </si>
  <si>
    <t>71.97727750894168</t>
  </si>
  <si>
    <t>chr_0006_wolfgd_55</t>
  </si>
  <si>
    <t>105.41910372396391</t>
  </si>
  <si>
    <t>61.69072164948446</t>
  </si>
  <si>
    <t>60.041237113402076</t>
  </si>
  <si>
    <t>73.07468966968227</t>
  </si>
  <si>
    <t>chr_0006_wolfgd_56</t>
  </si>
  <si>
    <t>107.02766673679791</t>
  </si>
  <si>
    <t>62.65463917525764</t>
  </si>
  <si>
    <t>60.979381443298976</t>
  </si>
  <si>
    <t>74.17210183042286</t>
  </si>
  <si>
    <t>chr_0006_wolfgd_57</t>
  </si>
  <si>
    <t>108.63622974963191</t>
  </si>
  <si>
    <t>63.61855670103084</t>
  </si>
  <si>
    <t>61.91752577319589</t>
  </si>
  <si>
    <t>75.26951399116344</t>
  </si>
  <si>
    <t>chr_0006_wolfgd_58</t>
  </si>
  <si>
    <t>110.24479276246592</t>
  </si>
  <si>
    <t>64.58247422680404</t>
  </si>
  <si>
    <t>62.85567010309279</t>
  </si>
  <si>
    <t>76.36692615190402</t>
  </si>
  <si>
    <t>chr_0006_wolfgd_59</t>
  </si>
  <si>
    <t>111.85335577529992</t>
  </si>
  <si>
    <t>65.54639175257724</t>
  </si>
  <si>
    <t>63.793814432989706</t>
  </si>
  <si>
    <t>77.46433831264461</t>
  </si>
  <si>
    <t>chr_0006_wolfgd_60</t>
  </si>
  <si>
    <t>113.46191878813391</t>
  </si>
  <si>
    <t>66.51030927835042</t>
  </si>
  <si>
    <t>64.7319587628866</t>
  </si>
  <si>
    <t>78.5617504733852</t>
  </si>
  <si>
    <t>【节制准则 Lv.2】战技灼热弹痕成功消耗法术异常时，返还10点技力。</t>
  </si>
  <si>
    <r>
      <t>【节制准则 Lv.2】战技</t>
    </r>
    <r>
      <rPr>
        <b/>
        <sz val="11"/>
        <color rgb="FF33C2FF"/>
        <rFont val="宋体"/>
        <charset val="134"/>
      </rPr>
      <t>灼热弹痕</t>
    </r>
    <r>
      <rPr>
        <sz val="11"/>
        <color theme="1"/>
        <rFont val="宋体"/>
        <family val="2"/>
        <scheme val="minor"/>
      </rPr>
      <t>成功消耗</t>
    </r>
    <r>
      <rPr>
        <b/>
        <u/>
        <sz val="11"/>
        <color rgb="FF33C2FF"/>
        <rFont val="宋体"/>
        <charset val="134"/>
      </rPr>
      <t>法术异常</t>
    </r>
    <r>
      <rPr>
        <sz val="11"/>
        <color theme="1"/>
        <rFont val="宋体"/>
        <family val="2"/>
        <scheme val="minor"/>
      </rPr>
      <t>时，</t>
    </r>
    <r>
      <rPr>
        <u/>
        <sz val="11"/>
        <rFont val="宋体"/>
        <charset val="134"/>
      </rPr>
      <t>返还</t>
    </r>
    <r>
      <rPr>
        <b/>
        <sz val="11"/>
        <color rgb="FF9EB7FF"/>
        <rFont val="宋体"/>
        <charset val="134"/>
      </rPr>
      <t>10</t>
    </r>
    <r>
      <rPr>
        <sz val="11"/>
        <color theme="1"/>
        <rFont val="宋体"/>
        <family val="2"/>
        <scheme val="minor"/>
      </rPr>
      <t>点技力。</t>
    </r>
  </si>
  <si>
    <t>chr_0006_wolfgd_61</t>
  </si>
  <si>
    <t>115.07048180096793</t>
  </si>
  <si>
    <t>67.47422680412362</t>
  </si>
  <si>
    <t>65.67010309278352</t>
  </si>
  <si>
    <t>79.65916263412578</t>
  </si>
  <si>
    <t>chr_0006_wolfgd_62</t>
  </si>
  <si>
    <t>116.67904481380192</t>
  </si>
  <si>
    <t>68.43814432989682</t>
  </si>
  <si>
    <t>66.60824742268042</t>
  </si>
  <si>
    <t>80.75657479486637</t>
  </si>
  <si>
    <t>chr_0006_wolfgd_63</t>
  </si>
  <si>
    <t>118.28760782663592</t>
  </si>
  <si>
    <t>69.40206185567001</t>
  </si>
  <si>
    <t>67.54639175257734</t>
  </si>
  <si>
    <t>81.85398695560696</t>
  </si>
  <si>
    <t>chr_0006_wolfgd_64</t>
  </si>
  <si>
    <t>119.89617083946993</t>
  </si>
  <si>
    <t>70.3659793814432</t>
  </si>
  <si>
    <t>68.48453608247424</t>
  </si>
  <si>
    <t>82.95139911634753</t>
  </si>
  <si>
    <t>chr_0006_wolfgd_65</t>
  </si>
  <si>
    <t>121.50473385230393</t>
  </si>
  <si>
    <t>71.3298969072164</t>
  </si>
  <si>
    <t>69.42268041237115</t>
  </si>
  <si>
    <t>84.04881127708812</t>
  </si>
  <si>
    <t>chr_0006_wolfgd_66</t>
  </si>
  <si>
    <t>123.11329686513793</t>
  </si>
  <si>
    <t>72.29381443298959</t>
  </si>
  <si>
    <t>70.36082474226805</t>
  </si>
  <si>
    <t>85.14622343782871</t>
  </si>
  <si>
    <t>chr_0006_wolfgd_67</t>
  </si>
  <si>
    <t>124.72185987797194</t>
  </si>
  <si>
    <t>73.25773195876279</t>
  </si>
  <si>
    <t>71.29896907216497</t>
  </si>
  <si>
    <t>86.24363559856928</t>
  </si>
  <si>
    <t>chr_0006_wolfgd_68</t>
  </si>
  <si>
    <t>126.33042289080593</t>
  </si>
  <si>
    <t>74.22164948453599</t>
  </si>
  <si>
    <t>72.23711340206187</t>
  </si>
  <si>
    <t>87.34104775930987</t>
  </si>
  <si>
    <t>chr_0006_wolfgd_69</t>
  </si>
  <si>
    <t>127.93898590363993</t>
  </si>
  <si>
    <t>75.18556701030919</t>
  </si>
  <si>
    <t>73.17525773195878</t>
  </si>
  <si>
    <t>88.43845992005046</t>
  </si>
  <si>
    <t>chr_0006_wolfgd_70</t>
  </si>
  <si>
    <t>129.54754891647394</t>
  </si>
  <si>
    <t>76.14948453608237</t>
  </si>
  <si>
    <t>74.1134020618557</t>
  </si>
  <si>
    <t>89.53587208079104</t>
  </si>
  <si>
    <t>chr_0006_wolfgd_71</t>
  </si>
  <si>
    <t>131.15611192930794</t>
  </si>
  <si>
    <t>77.11340206185557</t>
  </si>
  <si>
    <t>75.0515463917526</t>
  </si>
  <si>
    <t>90.63328424153163</t>
  </si>
  <si>
    <t>chr_0006_wolfgd_72</t>
  </si>
  <si>
    <t>132.76467494214194</t>
  </si>
  <si>
    <t>78.07731958762876</t>
  </si>
  <si>
    <t>75.9896907216495</t>
  </si>
  <si>
    <t>91.73069640227222</t>
  </si>
  <si>
    <t>chr_0006_wolfgd_73</t>
  </si>
  <si>
    <t>134.37323795497596</t>
  </si>
  <si>
    <t>79.04123711340196</t>
  </si>
  <si>
    <t>76.92783505154641</t>
  </si>
  <si>
    <t>92.8281085630128</t>
  </si>
  <si>
    <t>chr_0006_wolfgd_74</t>
  </si>
  <si>
    <t>135.98180096780996</t>
  </si>
  <si>
    <t>80.00515463917515</t>
  </si>
  <si>
    <t>77.86597938144332</t>
  </si>
  <si>
    <t>93.92552072375338</t>
  </si>
  <si>
    <t>chr_0006_wolfgd_75</t>
  </si>
  <si>
    <t>137.59036398064396</t>
  </si>
  <si>
    <t>80.96907216494834</t>
  </si>
  <si>
    <t>78.80412371134022</t>
  </si>
  <si>
    <t>95.02293288449397</t>
  </si>
  <si>
    <t>chr_0006_wolfgd_76</t>
  </si>
  <si>
    <t>139.19892699347795</t>
  </si>
  <si>
    <t>81.93298969072154</t>
  </si>
  <si>
    <t>79.74226804123712</t>
  </si>
  <si>
    <t>96.12034504523456</t>
  </si>
  <si>
    <t>chr_0006_wolfgd_77</t>
  </si>
  <si>
    <t>140.80749000631195</t>
  </si>
  <si>
    <t>82.89690721649474</t>
  </si>
  <si>
    <t>80.68041237113404</t>
  </si>
  <si>
    <t>97.21775720597513</t>
  </si>
  <si>
    <t>chr_0006_wolfgd_78</t>
  </si>
  <si>
    <t>142.41605301914595</t>
  </si>
  <si>
    <t>83.86082474226792</t>
  </si>
  <si>
    <t>81.61855670103095</t>
  </si>
  <si>
    <t>98.31516936671572</t>
  </si>
  <si>
    <t>chr_0006_wolfgd_79</t>
  </si>
  <si>
    <t>144.02461603197997</t>
  </si>
  <si>
    <t>84.82474226804112</t>
  </si>
  <si>
    <t>82.55670103092785</t>
  </si>
  <si>
    <t>99.41258152745631</t>
  </si>
  <si>
    <t>chr_0006_wolfgd_80</t>
  </si>
  <si>
    <t>145.63317904481397</t>
  </si>
  <si>
    <t>85.78865979381432</t>
  </si>
  <si>
    <t>83.49484536082475</t>
  </si>
  <si>
    <t>100.50999368819689</t>
  </si>
  <si>
    <t>chr_0006_wolfgd_81</t>
  </si>
  <si>
    <t>147.24174205764797</t>
  </si>
  <si>
    <t>86.75257731958752</t>
  </si>
  <si>
    <t>84.43298969072167</t>
  </si>
  <si>
    <t>101.60740584893747</t>
  </si>
  <si>
    <t>chr_0006_wolfgd_82</t>
  </si>
  <si>
    <t>148.85030507048197</t>
  </si>
  <si>
    <t>87.7164948453607</t>
  </si>
  <si>
    <t>85.37113402061858</t>
  </si>
  <si>
    <t>102.70481800967806</t>
  </si>
  <si>
    <t>chr_0006_wolfgd_83</t>
  </si>
  <si>
    <t>150.45886808331596</t>
  </si>
  <si>
    <t>88.6804123711339</t>
  </si>
  <si>
    <t>86.30927835051548</t>
  </si>
  <si>
    <t>103.80223017041864</t>
  </si>
  <si>
    <t>chr_0006_wolfgd_84</t>
  </si>
  <si>
    <t>152.06743109614996</t>
  </si>
  <si>
    <t>89.6443298969071</t>
  </si>
  <si>
    <t>87.24742268041238</t>
  </si>
  <si>
    <t>104.89964233115923</t>
  </si>
  <si>
    <t>chr_0006_wolfgd_85</t>
  </si>
  <si>
    <t>153.67599410898396</t>
  </si>
  <si>
    <t>90.6082474226803</t>
  </si>
  <si>
    <t>88.1855670103093</t>
  </si>
  <si>
    <t>105.99705449189982</t>
  </si>
  <si>
    <t>chr_0006_wolfgd_86</t>
  </si>
  <si>
    <t>155.28455712181798</t>
  </si>
  <si>
    <t>91.57216494845348</t>
  </si>
  <si>
    <t>89.12371134020621</t>
  </si>
  <si>
    <t>107.09446665264039</t>
  </si>
  <si>
    <t>chr_0006_wolfgd_87</t>
  </si>
  <si>
    <t>156.89312013465198</t>
  </si>
  <si>
    <t>92.53608247422667</t>
  </si>
  <si>
    <t>90.06185567010311</t>
  </si>
  <si>
    <t>108.19187881338098</t>
  </si>
  <si>
    <t>chr_0006_wolfgd_88</t>
  </si>
  <si>
    <t>158.50168314748598</t>
  </si>
  <si>
    <t>93.49999999999987</t>
  </si>
  <si>
    <t>91.00000000000001</t>
  </si>
  <si>
    <t>109.28929097412157</t>
  </si>
  <si>
    <t>chr_0006_wolfgd_89</t>
  </si>
  <si>
    <t>160.11024616031997</t>
  </si>
  <si>
    <t>94.46391752577307</t>
  </si>
  <si>
    <t>91.93814432989693</t>
  </si>
  <si>
    <t>110.38670313486215</t>
  </si>
  <si>
    <t>chr_0006_wolfgd_90</t>
  </si>
  <si>
    <t>161.71880917315397</t>
  </si>
  <si>
    <t>95.42783505154625</t>
  </si>
  <si>
    <t>92.87628865979384</t>
  </si>
  <si>
    <t>111.48411529560273</t>
  </si>
  <si>
    <t>chr_0006_wolfgd_91</t>
  </si>
  <si>
    <t>163.32737218598797</t>
  </si>
  <si>
    <t>96.39175257731945</t>
  </si>
  <si>
    <t>93.81443298969074</t>
  </si>
  <si>
    <t>112.58152745634332</t>
  </si>
  <si>
    <t>chr_0006_wolfgd_92</t>
  </si>
  <si>
    <t>164.935935198822</t>
  </si>
  <si>
    <t>97.35567010309265</t>
  </si>
  <si>
    <t>94.75257731958764</t>
  </si>
  <si>
    <t>113.67893961708391</t>
  </si>
  <si>
    <t>chr_0006_wolfgd_93</t>
  </si>
  <si>
    <t>166.544498211656</t>
  </si>
  <si>
    <t>98.31958762886585</t>
  </si>
  <si>
    <t>95.69072164948456</t>
  </si>
  <si>
    <t>114.77635177782449</t>
  </si>
  <si>
    <t>chr_0006_wolfgd_94</t>
  </si>
  <si>
    <t>168.15306122449</t>
  </si>
  <si>
    <t>99.28350515463903</t>
  </si>
  <si>
    <t>96.62886597938147</t>
  </si>
  <si>
    <t>115.87376393856508</t>
  </si>
  <si>
    <t>chr_0006_wolfgd_95</t>
  </si>
  <si>
    <t>169.76162423732399</t>
  </si>
  <si>
    <t>100.24742268041223</t>
  </si>
  <si>
    <t>97.56701030927837</t>
  </si>
  <si>
    <t>116.97117609930567</t>
  </si>
  <si>
    <t>chr_0006_wolfgd_96</t>
  </si>
  <si>
    <t>171.37018725015798</t>
  </si>
  <si>
    <t>101.21134020618543</t>
  </si>
  <si>
    <t>98.50515463917527</t>
  </si>
  <si>
    <t>118.06858826004624</t>
  </si>
  <si>
    <t>chr_0006_wolfgd_97</t>
  </si>
  <si>
    <t>172.97875026299198</t>
  </si>
  <si>
    <t>102.17525773195862</t>
  </si>
  <si>
    <t>99.44329896907219</t>
  </si>
  <si>
    <t>119.16600042078683</t>
  </si>
  <si>
    <t>chr_0006_wolfgd_98</t>
  </si>
  <si>
    <t>174.587313275826</t>
  </si>
  <si>
    <t>103.13917525773182</t>
  </si>
  <si>
    <t>100.3814432989691</t>
  </si>
  <si>
    <t>120.26341258152742</t>
  </si>
  <si>
    <t>chr_0006_wolfgd_99</t>
  </si>
  <si>
    <t>176.19587628866</t>
  </si>
  <si>
    <t>104.103092783505</t>
  </si>
  <si>
    <t>101.319587628866</t>
  </si>
  <si>
    <t>121.360824742268</t>
  </si>
  <si>
    <t>chr_0007_ikut_1</t>
  </si>
  <si>
    <t>chr_0007_ikut</t>
  </si>
  <si>
    <t>弧光</t>
  </si>
  <si>
    <t>Arclight</t>
  </si>
  <si>
    <t>先锋</t>
  </si>
  <si>
    <t>技力恢复, 电磁附着</t>
  </si>
  <si>
    <t>14.020618556701</t>
  </si>
  <si>
    <t>14.6907216494845</t>
  </si>
  <si>
    <t>12.4742268041237</t>
  </si>
  <si>
    <t>10.1030927835052</t>
  </si>
  <si>
    <r>
      <t>【风暴中的孩子】使用战技</t>
    </r>
    <r>
      <rPr>
        <b/>
        <sz val="11"/>
        <color rgb="FF33C2FF"/>
        <rFont val="宋体"/>
        <charset val="134"/>
      </rPr>
      <t>疾风迅雷</t>
    </r>
    <r>
      <rPr>
        <sz val="11"/>
        <color theme="1"/>
        <rFont val="宋体"/>
        <family val="2"/>
        <scheme val="minor"/>
      </rPr>
      <t>成功触发额外效果后，额外恢复</t>
    </r>
    <r>
      <rPr>
        <b/>
        <sz val="11"/>
        <color rgb="FF9EB7FF"/>
        <rFont val="宋体"/>
        <charset val="134"/>
      </rPr>
      <t>10</t>
    </r>
    <r>
      <rPr>
        <sz val="11"/>
        <color theme="1"/>
        <rFont val="宋体"/>
        <family val="2"/>
        <scheme val="minor"/>
      </rPr>
      <t>点技力。</t>
    </r>
  </si>
  <si>
    <r>
      <t>【速战速决】敏捷</t>
    </r>
    <r>
      <rPr>
        <b/>
        <sz val="11"/>
        <color rgb="FF9EB7FF"/>
        <rFont val="宋体"/>
        <charset val="134"/>
      </rPr>
      <t>+15</t>
    </r>
    <r>
      <rPr>
        <sz val="11"/>
        <color theme="1"/>
        <rFont val="宋体"/>
        <family val="2"/>
        <scheme val="minor"/>
      </rPr>
      <t>，智识</t>
    </r>
    <r>
      <rPr>
        <b/>
        <sz val="11"/>
        <color rgb="FF9EB7FF"/>
        <rFont val="宋体"/>
        <charset val="134"/>
      </rPr>
      <t>+15</t>
    </r>
    <r>
      <rPr>
        <sz val="11"/>
        <color theme="1"/>
        <rFont val="宋体"/>
        <family val="2"/>
        <scheme val="minor"/>
      </rPr>
      <t>。</t>
    </r>
  </si>
  <si>
    <r>
      <t>【“歌谣”】天赋</t>
    </r>
    <r>
      <rPr>
        <b/>
        <sz val="11"/>
        <color rgb="FF33C2FF"/>
        <rFont val="宋体"/>
        <charset val="134"/>
      </rPr>
      <t>荒野游人</t>
    </r>
    <r>
      <rPr>
        <sz val="11"/>
        <color theme="1"/>
        <rFont val="宋体"/>
        <family val="2"/>
        <scheme val="minor"/>
      </rPr>
      <t>效果加强：伤害提升效果提升至原本的</t>
    </r>
    <r>
      <rPr>
        <b/>
        <sz val="11"/>
        <color rgb="FF9EB7FF"/>
        <rFont val="宋体"/>
        <charset val="134"/>
      </rPr>
      <t>1.3</t>
    </r>
    <r>
      <rPr>
        <sz val="11"/>
        <color theme="1"/>
        <rFont val="宋体"/>
        <family val="2"/>
        <scheme val="minor"/>
      </rPr>
      <t>倍。</t>
    </r>
  </si>
  <si>
    <r>
      <t>【师者教诲】终结技</t>
    </r>
    <r>
      <rPr>
        <b/>
        <sz val="11"/>
        <color rgb="FF33C2FF"/>
        <rFont val="宋体"/>
        <charset val="134"/>
      </rPr>
      <t>轰雷掣电</t>
    </r>
    <r>
      <rPr>
        <sz val="11"/>
        <color theme="1"/>
        <rFont val="宋体"/>
        <family val="2"/>
        <scheme val="minor"/>
      </rPr>
      <t>所需的终结技能量</t>
    </r>
    <r>
      <rPr>
        <b/>
        <sz val="11"/>
        <color rgb="FF9EB7FF"/>
        <rFont val="宋体"/>
        <charset val="134"/>
      </rPr>
      <t>-15%</t>
    </r>
    <r>
      <rPr>
        <sz val="11"/>
        <color theme="1"/>
        <rFont val="宋体"/>
        <family val="2"/>
        <scheme val="minor"/>
      </rPr>
      <t>。</t>
    </r>
  </si>
  <si>
    <r>
      <t>【荒野的徒从】天赋</t>
    </r>
    <r>
      <rPr>
        <b/>
        <sz val="11"/>
        <color rgb="FF33C2FF"/>
        <rFont val="宋体"/>
        <charset val="134"/>
      </rPr>
      <t>荒野游人</t>
    </r>
    <r>
      <rPr>
        <sz val="11"/>
        <color theme="1"/>
        <rFont val="宋体"/>
        <family val="2"/>
        <scheme val="minor"/>
      </rPr>
      <t>效果加强：触发所需次数降低至</t>
    </r>
    <r>
      <rPr>
        <b/>
        <sz val="11"/>
        <color rgb="FF9EB7FF"/>
        <rFont val="宋体"/>
        <charset val="134"/>
      </rPr>
      <t>2</t>
    </r>
    <r>
      <rPr>
        <sz val="11"/>
        <color theme="1"/>
        <rFont val="宋体"/>
        <family val="2"/>
        <scheme val="minor"/>
      </rPr>
      <t>次。</t>
    </r>
  </si>
  <si>
    <t>chr_0007_ikut_2</t>
  </si>
  <si>
    <t>15.070481800967777</t>
  </si>
  <si>
    <t>16.159793814432955</t>
  </si>
  <si>
    <t>13.721649484536071</t>
  </si>
  <si>
    <t>11.11340206185572</t>
  </si>
  <si>
    <t>chr_0007_ikut_3</t>
  </si>
  <si>
    <t>16.12034504523455</t>
  </si>
  <si>
    <t>17.62886597938141</t>
  </si>
  <si>
    <t>14.969072164948441</t>
  </si>
  <si>
    <t>12.123711340206237</t>
  </si>
  <si>
    <t>chr_0007_ikut_4</t>
  </si>
  <si>
    <t>17.17020828950133</t>
  </si>
  <si>
    <t>19.097938144329863</t>
  </si>
  <si>
    <t>16.216494845360813</t>
  </si>
  <si>
    <t>13.134020618556756</t>
  </si>
  <si>
    <t>chr_0007_ikut_5</t>
  </si>
  <si>
    <t>18.220071533768103</t>
  </si>
  <si>
    <t>20.567010309278317</t>
  </si>
  <si>
    <t>17.463917525773184</t>
  </si>
  <si>
    <t>14.144329896907273</t>
  </si>
  <si>
    <t>chr_0007_ikut_6</t>
  </si>
  <si>
    <t>19.26993477803488</t>
  </si>
  <si>
    <t>22.03608247422677</t>
  </si>
  <si>
    <t>18.711340206185554</t>
  </si>
  <si>
    <t>15.154639175257792</t>
  </si>
  <si>
    <t>chr_0007_ikut_7</t>
  </si>
  <si>
    <t>20.319798022301654</t>
  </si>
  <si>
    <t>23.505154639175224</t>
  </si>
  <si>
    <t>19.958762886597924</t>
  </si>
  <si>
    <t>16.16494845360831</t>
  </si>
  <si>
    <t>chr_0007_ikut_8</t>
  </si>
  <si>
    <t>21.36966126656843</t>
  </si>
  <si>
    <t>24.97422680412368</t>
  </si>
  <si>
    <t>17.17525773195883</t>
  </si>
  <si>
    <t>chr_0007_ikut_9</t>
  </si>
  <si>
    <t>22.419524510835206</t>
  </si>
  <si>
    <t>26.44329896907213</t>
  </si>
  <si>
    <t>22.453608247422665</t>
  </si>
  <si>
    <t>18.18556701030935</t>
  </si>
  <si>
    <t>chr_0007_ikut_10</t>
  </si>
  <si>
    <t>23.469387755101984</t>
  </si>
  <si>
    <t>27.91237113402059</t>
  </si>
  <si>
    <t>23.701030927835035</t>
  </si>
  <si>
    <t>19.195876288659868</t>
  </si>
  <si>
    <t>chr_0007_ikut_11</t>
  </si>
  <si>
    <t>24.519250999368758</t>
  </si>
  <si>
    <t>29.38144329896904</t>
  </si>
  <si>
    <t>24.948453608247405</t>
  </si>
  <si>
    <t>20.206185567010383</t>
  </si>
  <si>
    <t>chr_0007_ikut_12</t>
  </si>
  <si>
    <t>25.569114243635532</t>
  </si>
  <si>
    <t>30.850515463917496</t>
  </si>
  <si>
    <t>26.195876288659775</t>
  </si>
  <si>
    <t>21.216494845360902</t>
  </si>
  <si>
    <t>chr_0007_ikut_13</t>
  </si>
  <si>
    <t>26.618977487902306</t>
  </si>
  <si>
    <t>32.31958762886595</t>
  </si>
  <si>
    <t>27.443298969072146</t>
  </si>
  <si>
    <t>22.22680412371142</t>
  </si>
  <si>
    <t>chr_0007_ikut_14</t>
  </si>
  <si>
    <t>27.668840732169084</t>
  </si>
  <si>
    <t>33.7886597938144</t>
  </si>
  <si>
    <t>28.690721649484516</t>
  </si>
  <si>
    <t>23.237113402061937</t>
  </si>
  <si>
    <t>chr_0007_ikut_15</t>
  </si>
  <si>
    <t>28.71870397643586</t>
  </si>
  <si>
    <t>35.25773195876286</t>
  </si>
  <si>
    <t>29.938144329896886</t>
  </si>
  <si>
    <t>24.247422680412456</t>
  </si>
  <si>
    <t>chr_0007_ikut_16</t>
  </si>
  <si>
    <t>29.768567220702636</t>
  </si>
  <si>
    <t>36.72680412371131</t>
  </si>
  <si>
    <t>31.185567010309256</t>
  </si>
  <si>
    <t>25.257731958762975</t>
  </si>
  <si>
    <t>chr_0007_ikut_17</t>
  </si>
  <si>
    <t>30.81843046496941</t>
  </si>
  <si>
    <t>38.19587628865977</t>
  </si>
  <si>
    <t>32.43298969072163</t>
  </si>
  <si>
    <t>26.268041237113493</t>
  </si>
  <si>
    <t>chr_0007_ikut_18</t>
  </si>
  <si>
    <t>31.868293709236184</t>
  </si>
  <si>
    <t>39.66494845360822</t>
  </si>
  <si>
    <t>33.680412371134</t>
  </si>
  <si>
    <t>27.278350515464012</t>
  </si>
  <si>
    <t>chr_0007_ikut_19</t>
  </si>
  <si>
    <t>32.918156953502965</t>
  </si>
  <si>
    <t>41.134020618556676</t>
  </si>
  <si>
    <t>34.92783505154637</t>
  </si>
  <si>
    <t>28.28865979381453</t>
  </si>
  <si>
    <t>chr_0007_ikut_20</t>
  </si>
  <si>
    <t>33.96802019776974</t>
  </si>
  <si>
    <t>42.603092783505126</t>
  </si>
  <si>
    <t>36.17525773195874</t>
  </si>
  <si>
    <t>29.298969072165047</t>
  </si>
  <si>
    <t>chr_0007_ikut_21</t>
  </si>
  <si>
    <t>35.01788344203651</t>
  </si>
  <si>
    <t>44.07216494845358</t>
  </si>
  <si>
    <t>37.42268041237111</t>
  </si>
  <si>
    <t>30.309278350515566</t>
  </si>
  <si>
    <t>chr_0007_ikut_22</t>
  </si>
  <si>
    <t>36.06774668630329</t>
  </si>
  <si>
    <t>45.54123711340204</t>
  </si>
  <si>
    <t>38.67010309278348</t>
  </si>
  <si>
    <t>31.319587628866085</t>
  </si>
  <si>
    <t>chr_0007_ikut_23</t>
  </si>
  <si>
    <t>37.11760993057007</t>
  </si>
  <si>
    <t>47.01030927835049</t>
  </si>
  <si>
    <t>39.91752577319585</t>
  </si>
  <si>
    <t>32.32989690721661</t>
  </si>
  <si>
    <t>chr_0007_ikut_24</t>
  </si>
  <si>
    <t>38.16747317483684</t>
  </si>
  <si>
    <t>48.47938144329895</t>
  </si>
  <si>
    <t>41.16494845360822</t>
  </si>
  <si>
    <t>33.340206185567126</t>
  </si>
  <si>
    <t>chr_0007_ikut_25</t>
  </si>
  <si>
    <t>39.21733641910362</t>
  </si>
  <si>
    <t>49.948453608247405</t>
  </si>
  <si>
    <t>42.41237113402059</t>
  </si>
  <si>
    <t>34.350515463917645</t>
  </si>
  <si>
    <t>chr_0007_ikut_26</t>
  </si>
  <si>
    <t>40.26719966337039</t>
  </si>
  <si>
    <t>51.417525773195855</t>
  </si>
  <si>
    <t>43.65979381443296</t>
  </si>
  <si>
    <t>35.36082474226816</t>
  </si>
  <si>
    <t>chr_0007_ikut_27</t>
  </si>
  <si>
    <t>41.317062907637165</t>
  </si>
  <si>
    <t>52.88659793814431</t>
  </si>
  <si>
    <t>44.90721649484533</t>
  </si>
  <si>
    <t>36.371134020618676</t>
  </si>
  <si>
    <t>chr_0007_ikut_28</t>
  </si>
  <si>
    <t>42.36692615190395</t>
  </si>
  <si>
    <t>54.35567010309276</t>
  </si>
  <si>
    <t>46.1546391752577</t>
  </si>
  <si>
    <t>37.381443298969195</t>
  </si>
  <si>
    <t>chr_0007_ikut_29</t>
  </si>
  <si>
    <t>43.41678939617072</t>
  </si>
  <si>
    <t>55.82474226804122</t>
  </si>
  <si>
    <t>47.40206185567007</t>
  </si>
  <si>
    <t>38.391752577319714</t>
  </si>
  <si>
    <t>chr_0007_ikut_30</t>
  </si>
  <si>
    <t>44.466652640437495</t>
  </si>
  <si>
    <t>57.29381443298967</t>
  </si>
  <si>
    <t>48.64948453608244</t>
  </si>
  <si>
    <t>39.40206185567023</t>
  </si>
  <si>
    <t>chr_0007_ikut_31</t>
  </si>
  <si>
    <t>45.51651588470427</t>
  </si>
  <si>
    <t>58.76288659793813</t>
  </si>
  <si>
    <t>49.89690721649481</t>
  </si>
  <si>
    <t>40.412371134020745</t>
  </si>
  <si>
    <t>chr_0007_ikut_32</t>
  </si>
  <si>
    <t>46.56637912897105</t>
  </si>
  <si>
    <t>60.23195876288658</t>
  </si>
  <si>
    <t>51.14432989690718</t>
  </si>
  <si>
    <t>41.422680412371264</t>
  </si>
  <si>
    <t>chr_0007_ikut_33</t>
  </si>
  <si>
    <t>47.616242373237824</t>
  </si>
  <si>
    <t>61.701030927835035</t>
  </si>
  <si>
    <t>52.39175257731955</t>
  </si>
  <si>
    <t>42.43298969072178</t>
  </si>
  <si>
    <t>chr_0007_ikut_34</t>
  </si>
  <si>
    <t>48.6661056175046</t>
  </si>
  <si>
    <t>63.17010309278349</t>
  </si>
  <si>
    <t>53.63917525773192</t>
  </si>
  <si>
    <t>43.4432989690723</t>
  </si>
  <si>
    <t>chr_0007_ikut_35</t>
  </si>
  <si>
    <t>49.71596886177137</t>
  </si>
  <si>
    <t>64.63917525773194</t>
  </si>
  <si>
    <t>54.88659793814429</t>
  </si>
  <si>
    <t>44.45360824742282</t>
  </si>
  <si>
    <t>chr_0007_ikut_36</t>
  </si>
  <si>
    <t>50.765832106038154</t>
  </si>
  <si>
    <t>66.10824742268039</t>
  </si>
  <si>
    <t>56.13402061855666</t>
  </si>
  <si>
    <t>45.46391752577334</t>
  </si>
  <si>
    <t>chr_0007_ikut_37</t>
  </si>
  <si>
    <t>51.81569535030493</t>
  </si>
  <si>
    <t>67.57731958762885</t>
  </si>
  <si>
    <t>57.38144329896903</t>
  </si>
  <si>
    <t>46.47422680412386</t>
  </si>
  <si>
    <t>chr_0007_ikut_38</t>
  </si>
  <si>
    <t>52.8655585945717</t>
  </si>
  <si>
    <t>69.0463917525773</t>
  </si>
  <si>
    <t>58.6288659793814</t>
  </si>
  <si>
    <t>47.48453608247438</t>
  </si>
  <si>
    <t>chr_0007_ikut_39</t>
  </si>
  <si>
    <t>53.915421838838476</t>
  </si>
  <si>
    <t>70.51546391752575</t>
  </si>
  <si>
    <t>59.87628865979377</t>
  </si>
  <si>
    <t>48.4948453608249</t>
  </si>
  <si>
    <t>chr_0007_ikut_40</t>
  </si>
  <si>
    <t>54.96528508310526</t>
  </si>
  <si>
    <t>71.98453608247421</t>
  </si>
  <si>
    <t>61.12371134020614</t>
  </si>
  <si>
    <t>49.505154639175416</t>
  </si>
  <si>
    <t>【众生智慧 Lv.1】被施加法术附着时，有30%的概率忽略该效果。</t>
  </si>
  <si>
    <r>
      <t>【众生智慧 Lv.1】被施加</t>
    </r>
    <r>
      <rPr>
        <b/>
        <u/>
        <sz val="11"/>
        <color rgb="FF33C2FF"/>
        <rFont val="宋体"/>
        <charset val="134"/>
      </rPr>
      <t>法术附着</t>
    </r>
    <r>
      <rPr>
        <sz val="11"/>
        <color theme="1"/>
        <rFont val="宋体"/>
        <family val="2"/>
        <scheme val="minor"/>
      </rPr>
      <t>时，有</t>
    </r>
    <r>
      <rPr>
        <b/>
        <sz val="11"/>
        <color rgb="FF9EB7FF"/>
        <rFont val="宋体"/>
        <charset val="134"/>
      </rPr>
      <t>30%</t>
    </r>
    <r>
      <rPr>
        <sz val="11"/>
        <color theme="1"/>
        <rFont val="宋体"/>
        <family val="2"/>
        <scheme val="minor"/>
      </rPr>
      <t>的概率忽略该效果。</t>
    </r>
  </si>
  <si>
    <t>【荒野游人 Lv.1】使用战技疾风迅雷成功触发3次额外效果后，根据自身的智识，提升全队造成的电磁伤害，每点智识+0.05%，持续15秒，该效果无法叠加。</t>
  </si>
  <si>
    <r>
      <t>【荒野游人 Lv.1】使用战技</t>
    </r>
    <r>
      <rPr>
        <b/>
        <sz val="11"/>
        <color rgb="FF33C2FF"/>
        <rFont val="宋体"/>
        <charset val="134"/>
      </rPr>
      <t>疾风迅雷</t>
    </r>
    <r>
      <rPr>
        <sz val="11"/>
        <color theme="1"/>
        <rFont val="宋体"/>
        <family val="2"/>
        <scheme val="minor"/>
      </rPr>
      <t>成功触发</t>
    </r>
    <r>
      <rPr>
        <b/>
        <sz val="11"/>
        <color rgb="FF33C2FF"/>
        <rFont val="宋体"/>
        <charset val="134"/>
      </rPr>
      <t>3</t>
    </r>
    <r>
      <rPr>
        <sz val="11"/>
        <color theme="1"/>
        <rFont val="宋体"/>
        <family val="2"/>
        <scheme val="minor"/>
      </rPr>
      <t>次额外效果后，根据自身的智识，提升全队造成的</t>
    </r>
    <r>
      <rPr>
        <b/>
        <sz val="11"/>
        <color rgb="FFFFCC00"/>
        <rFont val="宋体"/>
        <charset val="134"/>
      </rPr>
      <t>电磁伤害</t>
    </r>
    <r>
      <rPr>
        <sz val="11"/>
        <color theme="1"/>
        <rFont val="宋体"/>
        <family val="2"/>
        <scheme val="minor"/>
      </rPr>
      <t>，每点智识</t>
    </r>
    <r>
      <rPr>
        <b/>
        <sz val="11"/>
        <color rgb="FF9EB7FF"/>
        <rFont val="宋体"/>
        <charset val="134"/>
      </rPr>
      <t>+0.05%</t>
    </r>
    <r>
      <rPr>
        <sz val="11"/>
        <color theme="1"/>
        <rFont val="宋体"/>
        <family val="2"/>
        <scheme val="minor"/>
      </rPr>
      <t>，持续</t>
    </r>
    <r>
      <rPr>
        <b/>
        <sz val="11"/>
        <color rgb="FF9EB7FF"/>
        <rFont val="宋体"/>
        <charset val="134"/>
      </rPr>
      <t>15</t>
    </r>
    <r>
      <rPr>
        <sz val="11"/>
        <color theme="1"/>
        <rFont val="宋体"/>
        <family val="2"/>
        <scheme val="minor"/>
      </rPr>
      <t>秒，该效果无法叠加。</t>
    </r>
  </si>
  <si>
    <r>
      <t>【荒野游人 Lv.2】使用战技</t>
    </r>
    <r>
      <rPr>
        <b/>
        <sz val="11"/>
        <color rgb="FF33C2FF"/>
        <rFont val="宋体"/>
        <charset val="134"/>
      </rPr>
      <t>疾风迅雷</t>
    </r>
    <r>
      <rPr>
        <sz val="11"/>
        <color theme="1"/>
        <rFont val="宋体"/>
        <family val="2"/>
        <scheme val="minor"/>
      </rPr>
      <t>成功触发</t>
    </r>
    <r>
      <rPr>
        <b/>
        <sz val="11"/>
        <color rgb="FF33C2FF"/>
        <rFont val="宋体"/>
        <charset val="134"/>
      </rPr>
      <t>3</t>
    </r>
    <r>
      <rPr>
        <sz val="11"/>
        <color theme="1"/>
        <rFont val="宋体"/>
        <family val="2"/>
        <scheme val="minor"/>
      </rPr>
      <t>次额外效果后，根据自身的智识，提升全队造成的</t>
    </r>
    <r>
      <rPr>
        <b/>
        <sz val="11"/>
        <color rgb="FFFFCC00"/>
        <rFont val="宋体"/>
        <charset val="134"/>
      </rPr>
      <t>电磁伤害</t>
    </r>
    <r>
      <rPr>
        <sz val="11"/>
        <color theme="1"/>
        <rFont val="宋体"/>
        <family val="2"/>
        <scheme val="minor"/>
      </rPr>
      <t>，每点智识</t>
    </r>
    <r>
      <rPr>
        <b/>
        <sz val="11"/>
        <color rgb="FF9EB7FF"/>
        <rFont val="宋体"/>
        <charset val="134"/>
      </rPr>
      <t>+0.08%</t>
    </r>
    <r>
      <rPr>
        <sz val="11"/>
        <color theme="1"/>
        <rFont val="宋体"/>
        <family val="2"/>
        <scheme val="minor"/>
      </rPr>
      <t>，持续</t>
    </r>
    <r>
      <rPr>
        <b/>
        <sz val="11"/>
        <color rgb="FF9EB7FF"/>
        <rFont val="宋体"/>
        <charset val="134"/>
      </rPr>
      <t>15</t>
    </r>
    <r>
      <rPr>
        <sz val="11"/>
        <color theme="1"/>
        <rFont val="宋体"/>
        <family val="2"/>
        <scheme val="minor"/>
      </rPr>
      <t>秒，该效果无法叠加。</t>
    </r>
  </si>
  <si>
    <t>chr_0007_ikut_41</t>
  </si>
  <si>
    <t>56.01514832737203</t>
  </si>
  <si>
    <t>73.45360824742266</t>
  </si>
  <si>
    <t>62.37113402061851</t>
  </si>
  <si>
    <t>50.515463917525935</t>
  </si>
  <si>
    <t>chr_0007_ikut_42</t>
  </si>
  <si>
    <t>57.065011571638806</t>
  </si>
  <si>
    <t>74.92268041237112</t>
  </si>
  <si>
    <t>63.61855670103088</t>
  </si>
  <si>
    <t>51.525773195876454</t>
  </si>
  <si>
    <t>chr_0007_ikut_43</t>
  </si>
  <si>
    <t>58.11487481590558</t>
  </si>
  <si>
    <t>76.39175257731958</t>
  </si>
  <si>
    <t>64.86597938144325</t>
  </si>
  <si>
    <t>52.53608247422697</t>
  </si>
  <si>
    <t>chr_0007_ikut_44</t>
  </si>
  <si>
    <t>59.164738060172354</t>
  </si>
  <si>
    <t>77.86082474226802</t>
  </si>
  <si>
    <t>66.11340206185562</t>
  </si>
  <si>
    <t>53.54639175257749</t>
  </si>
  <si>
    <t>chr_0007_ikut_45</t>
  </si>
  <si>
    <t>60.214601304439135</t>
  </si>
  <si>
    <t>79.32989690721648</t>
  </si>
  <si>
    <t>67.360824742268</t>
  </si>
  <si>
    <t>54.55670103092801</t>
  </si>
  <si>
    <t>chr_0007_ikut_46</t>
  </si>
  <si>
    <t>61.26446454870591</t>
  </si>
  <si>
    <t>80.79896907216494</t>
  </si>
  <si>
    <t>68.60824742268036</t>
  </si>
  <si>
    <t>55.56701030927853</t>
  </si>
  <si>
    <t>chr_0007_ikut_47</t>
  </si>
  <si>
    <t>62.31432779297268</t>
  </si>
  <si>
    <t>82.2680412371134</t>
  </si>
  <si>
    <t>69.85567010309273</t>
  </si>
  <si>
    <t>56.57731958762905</t>
  </si>
  <si>
    <t>chr_0007_ikut_48</t>
  </si>
  <si>
    <t>63.36419103723946</t>
  </si>
  <si>
    <t>83.73711340206185</t>
  </si>
  <si>
    <t>71.1030927835051</t>
  </si>
  <si>
    <t>57.58762886597957</t>
  </si>
  <si>
    <t>chr_0007_ikut_49</t>
  </si>
  <si>
    <t>64.41405428150622</t>
  </si>
  <si>
    <t>85.20618556701031</t>
  </si>
  <si>
    <t>72.35051546391747</t>
  </si>
  <si>
    <t>58.59793814433009</t>
  </si>
  <si>
    <t>chr_0007_ikut_50</t>
  </si>
  <si>
    <t>65.46391752577301</t>
  </si>
  <si>
    <t>86.67525773195875</t>
  </si>
  <si>
    <t>73.59793814432985</t>
  </si>
  <si>
    <t>59.60824742268059</t>
  </si>
  <si>
    <t>chr_0007_ikut_51</t>
  </si>
  <si>
    <t>66.51378077003979</t>
  </si>
  <si>
    <t>88.14432989690721</t>
  </si>
  <si>
    <t>74.84536082474222</t>
  </si>
  <si>
    <t>60.61855670103111</t>
  </si>
  <si>
    <t>chr_0007_ikut_52</t>
  </si>
  <si>
    <t>67.56364401430656</t>
  </si>
  <si>
    <t>89.61340206185567</t>
  </si>
  <si>
    <t>76.09278350515459</t>
  </si>
  <si>
    <t>61.62886597938163</t>
  </si>
  <si>
    <t>chr_0007_ikut_53</t>
  </si>
  <si>
    <t>68.61350725857334</t>
  </si>
  <si>
    <t>91.08247422680412</t>
  </si>
  <si>
    <t>77.34020618556696</t>
  </si>
  <si>
    <t>62.63917525773215</t>
  </si>
  <si>
    <t>chr_0007_ikut_54</t>
  </si>
  <si>
    <t>69.66337050284011</t>
  </si>
  <si>
    <t>92.55154639175257</t>
  </si>
  <si>
    <t>78.58762886597933</t>
  </si>
  <si>
    <t>63.64948453608267</t>
  </si>
  <si>
    <t>chr_0007_ikut_55</t>
  </si>
  <si>
    <t>70.71323374710688</t>
  </si>
  <si>
    <t>94.02061855670102</t>
  </si>
  <si>
    <t>79.8350515463917</t>
  </si>
  <si>
    <t>64.65979381443319</t>
  </si>
  <si>
    <t>chr_0007_ikut_56</t>
  </si>
  <si>
    <t>71.76309699137366</t>
  </si>
  <si>
    <t>95.48969072164948</t>
  </si>
  <si>
    <t>81.08247422680407</t>
  </si>
  <si>
    <t>65.6701030927837</t>
  </si>
  <si>
    <t>chr_0007_ikut_57</t>
  </si>
  <si>
    <t>72.81296023564043</t>
  </si>
  <si>
    <t>96.95876288659794</t>
  </si>
  <si>
    <t>82.32989690721644</t>
  </si>
  <si>
    <t>66.68041237113422</t>
  </si>
  <si>
    <t>chr_0007_ikut_58</t>
  </si>
  <si>
    <t>73.8628234799072</t>
  </si>
  <si>
    <t>98.4278350515464</t>
  </si>
  <si>
    <t>83.5773195876288</t>
  </si>
  <si>
    <t>67.69072164948474</t>
  </si>
  <si>
    <t>chr_0007_ikut_59</t>
  </si>
  <si>
    <t>74.912686724174</t>
  </si>
  <si>
    <t>99.89690721649484</t>
  </si>
  <si>
    <t>84.82474226804118</t>
  </si>
  <si>
    <t>68.70103092783526</t>
  </si>
  <si>
    <t>chr_0007_ikut_60</t>
  </si>
  <si>
    <t>75.96254996844077</t>
  </si>
  <si>
    <t>101.3659793814433</t>
  </si>
  <si>
    <t>86.07216494845355</t>
  </si>
  <si>
    <t>69.71134020618578</t>
  </si>
  <si>
    <r>
      <t>【众生智慧 Lv.2】被施加</t>
    </r>
    <r>
      <rPr>
        <b/>
        <u/>
        <sz val="11"/>
        <color rgb="FF33C2FF"/>
        <rFont val="宋体"/>
        <charset val="134"/>
      </rPr>
      <t>法术附着</t>
    </r>
    <r>
      <rPr>
        <sz val="11"/>
        <color theme="1"/>
        <rFont val="宋体"/>
        <family val="2"/>
        <scheme val="minor"/>
      </rPr>
      <t>时，有</t>
    </r>
    <r>
      <rPr>
        <b/>
        <sz val="11"/>
        <color rgb="FF9EB7FF"/>
        <rFont val="宋体"/>
        <charset val="134"/>
      </rPr>
      <t>50%</t>
    </r>
    <r>
      <rPr>
        <sz val="11"/>
        <color theme="1"/>
        <rFont val="宋体"/>
        <family val="2"/>
        <scheme val="minor"/>
      </rPr>
      <t>的概率忽略该效果。</t>
    </r>
  </si>
  <si>
    <t>chr_0007_ikut_61</t>
  </si>
  <si>
    <t>77.01241321270754</t>
  </si>
  <si>
    <t>102.83505154639175</t>
  </si>
  <si>
    <t>87.31958762886592</t>
  </si>
  <si>
    <t>70.7216494845363</t>
  </si>
  <si>
    <t>chr_0007_ikut_62</t>
  </si>
  <si>
    <t>78.06227645697432</t>
  </si>
  <si>
    <t>104.30412371134021</t>
  </si>
  <si>
    <t>88.56701030927829</t>
  </si>
  <si>
    <t>71.73195876288682</t>
  </si>
  <si>
    <t>chr_0007_ikut_63</t>
  </si>
  <si>
    <t>79.11213970124109</t>
  </si>
  <si>
    <t>105.77319587628865</t>
  </si>
  <si>
    <t>89.81443298969066</t>
  </si>
  <si>
    <t>72.74226804123734</t>
  </si>
  <si>
    <t>chr_0007_ikut_64</t>
  </si>
  <si>
    <t>80.16200294550787</t>
  </si>
  <si>
    <t>107.24226804123711</t>
  </si>
  <si>
    <t>91.06185567010303</t>
  </si>
  <si>
    <t>73.75257731958786</t>
  </si>
  <si>
    <t>chr_0007_ikut_65</t>
  </si>
  <si>
    <t>81.21186618977464</t>
  </si>
  <si>
    <t>108.71134020618557</t>
  </si>
  <si>
    <t>92.3092783505154</t>
  </si>
  <si>
    <t>74.76288659793838</t>
  </si>
  <si>
    <t>chr_0007_ikut_66</t>
  </si>
  <si>
    <t>82.26172943404141</t>
  </si>
  <si>
    <t>110.18041237113403</t>
  </si>
  <si>
    <t>93.55670103092777</t>
  </si>
  <si>
    <t>75.7731958762889</t>
  </si>
  <si>
    <t>chr_0007_ikut_67</t>
  </si>
  <si>
    <t>83.31159267830819</t>
  </si>
  <si>
    <t>111.64948453608248</t>
  </si>
  <si>
    <t>94.80412371134014</t>
  </si>
  <si>
    <t>76.78350515463941</t>
  </si>
  <si>
    <t>chr_0007_ikut_68</t>
  </si>
  <si>
    <t>84.36145592257496</t>
  </si>
  <si>
    <t>113.11855670103093</t>
  </si>
  <si>
    <t>96.05154639175251</t>
  </si>
  <si>
    <t>77.79381443298993</t>
  </si>
  <si>
    <t>chr_0007_ikut_69</t>
  </si>
  <si>
    <t>85.41131916684174</t>
  </si>
  <si>
    <t>114.58762886597938</t>
  </si>
  <si>
    <t>97.29896907216488</t>
  </si>
  <si>
    <t>78.80412371134045</t>
  </si>
  <si>
    <t>chr_0007_ikut_70</t>
  </si>
  <si>
    <t>86.46118241110852</t>
  </si>
  <si>
    <t>116.05670103092784</t>
  </si>
  <si>
    <t>98.54639175257725</t>
  </si>
  <si>
    <t>79.81443298969097</t>
  </si>
  <si>
    <t>chr_0007_ikut_71</t>
  </si>
  <si>
    <t>87.5110456553753</t>
  </si>
  <si>
    <t>117.5257731958763</t>
  </si>
  <si>
    <t>99.79381443298962</t>
  </si>
  <si>
    <t>80.82474226804149</t>
  </si>
  <si>
    <t>chr_0007_ikut_72</t>
  </si>
  <si>
    <t>88.56090889964207</t>
  </si>
  <si>
    <t>118.99484536082474</t>
  </si>
  <si>
    <t>101.04123711340199</t>
  </si>
  <si>
    <t>81.83505154639201</t>
  </si>
  <si>
    <t>chr_0007_ikut_73</t>
  </si>
  <si>
    <t>89.61077214390885</t>
  </si>
  <si>
    <t>120.4639175257732</t>
  </si>
  <si>
    <t>102.28865979381436</t>
  </si>
  <si>
    <t>82.84536082474253</t>
  </si>
  <si>
    <t>chr_0007_ikut_74</t>
  </si>
  <si>
    <t>90.66063538817562</t>
  </si>
  <si>
    <t>121.93298969072166</t>
  </si>
  <si>
    <t>103.53608247422673</t>
  </si>
  <si>
    <t>83.85567010309305</t>
  </si>
  <si>
    <t>chr_0007_ikut_75</t>
  </si>
  <si>
    <t>91.7104986324424</t>
  </si>
  <si>
    <t>123.40206185567011</t>
  </si>
  <si>
    <t>104.7835051546391</t>
  </si>
  <si>
    <t>84.86597938144357</t>
  </si>
  <si>
    <t>chr_0007_ikut_76</t>
  </si>
  <si>
    <t>92.76036187670917</t>
  </si>
  <si>
    <t>124.87113402061857</t>
  </si>
  <si>
    <t>106.03092783505147</t>
  </si>
  <si>
    <t>85.87628865979407</t>
  </si>
  <si>
    <t>chr_0007_ikut_77</t>
  </si>
  <si>
    <t>93.81022512097594</t>
  </si>
  <si>
    <t>126.34020618556701</t>
  </si>
  <si>
    <t>107.27835051546384</t>
  </si>
  <si>
    <t>86.88659793814459</t>
  </si>
  <si>
    <t>chr_0007_ikut_78</t>
  </si>
  <si>
    <t>94.86008836524272</t>
  </si>
  <si>
    <t>127.80927835051547</t>
  </si>
  <si>
    <t>108.52577319587621</t>
  </si>
  <si>
    <t>87.89690721649511</t>
  </si>
  <si>
    <t>chr_0007_ikut_79</t>
  </si>
  <si>
    <t>95.9099516095095</t>
  </si>
  <si>
    <t>129.27835051546393</t>
  </si>
  <si>
    <t>109.77319587628858</t>
  </si>
  <si>
    <t>88.90721649484563</t>
  </si>
  <si>
    <t>chr_0007_ikut_80</t>
  </si>
  <si>
    <t>96.95981485377628</t>
  </si>
  <si>
    <t>130.74742268041237</t>
  </si>
  <si>
    <t>111.02061855670095</t>
  </si>
  <si>
    <t>89.91752577319615</t>
  </si>
  <si>
    <t>chr_0007_ikut_81</t>
  </si>
  <si>
    <t>98.00967809804305</t>
  </si>
  <si>
    <t>132.2164948453608</t>
  </si>
  <si>
    <t>112.26804123711332</t>
  </si>
  <si>
    <t>90.92783505154667</t>
  </si>
  <si>
    <t>chr_0007_ikut_82</t>
  </si>
  <si>
    <t>99.05954134230983</t>
  </si>
  <si>
    <t>133.68556701030928</t>
  </si>
  <si>
    <t>113.5154639175257</t>
  </si>
  <si>
    <t>91.93814432989718</t>
  </si>
  <si>
    <t>chr_0007_ikut_83</t>
  </si>
  <si>
    <t>100.1094045865766</t>
  </si>
  <si>
    <t>135.15463917525773</t>
  </si>
  <si>
    <t>114.76288659793806</t>
  </si>
  <si>
    <t>92.9484536082477</t>
  </si>
  <si>
    <t>chr_0007_ikut_84</t>
  </si>
  <si>
    <t>101.15926783084338</t>
  </si>
  <si>
    <t>136.6237113402062</t>
  </si>
  <si>
    <t>116.01030927835043</t>
  </si>
  <si>
    <t>93.95876288659822</t>
  </si>
  <si>
    <t>chr_0007_ikut_85</t>
  </si>
  <si>
    <t>102.20913107511015</t>
  </si>
  <si>
    <t>138.09278350515464</t>
  </si>
  <si>
    <t>117.2577319587628</t>
  </si>
  <si>
    <t>94.96907216494874</t>
  </si>
  <si>
    <t>chr_0007_ikut_86</t>
  </si>
  <si>
    <t>103.25899431937692</t>
  </si>
  <si>
    <t>139.56185567010309</t>
  </si>
  <si>
    <t>118.50515463917517</t>
  </si>
  <si>
    <t>95.97938144329926</t>
  </si>
  <si>
    <t>chr_0007_ikut_87</t>
  </si>
  <si>
    <t>104.3088575636437</t>
  </si>
  <si>
    <t>141.03092783505156</t>
  </si>
  <si>
    <t>119.75257731958754</t>
  </si>
  <si>
    <t>96.98969072164978</t>
  </si>
  <si>
    <t>chr_0007_ikut_88</t>
  </si>
  <si>
    <t>105.35872080791049</t>
  </si>
  <si>
    <t>142.5</t>
  </si>
  <si>
    <t>120.99999999999991</t>
  </si>
  <si>
    <t>98.0000000000003</t>
  </si>
  <si>
    <t>chr_0007_ikut_89</t>
  </si>
  <si>
    <t>106.40858405217726</t>
  </si>
  <si>
    <t>143.96907216494844</t>
  </si>
  <si>
    <t>122.24742268041228</t>
  </si>
  <si>
    <t>99.01030927835082</t>
  </si>
  <si>
    <t>chr_0007_ikut_90</t>
  </si>
  <si>
    <t>107.45844729644404</t>
  </si>
  <si>
    <t>145.43814432989691</t>
  </si>
  <si>
    <t>123.49484536082466</t>
  </si>
  <si>
    <t>100.02061855670134</t>
  </si>
  <si>
    <t>chr_0007_ikut_91</t>
  </si>
  <si>
    <t>108.50831054071081</t>
  </si>
  <si>
    <t>146.90721649484536</t>
  </si>
  <si>
    <t>124.74226804123703</t>
  </si>
  <si>
    <t>101.03092783505186</t>
  </si>
  <si>
    <t>chr_0007_ikut_92</t>
  </si>
  <si>
    <t>109.55817378497758</t>
  </si>
  <si>
    <t>148.37628865979383</t>
  </si>
  <si>
    <t>125.9896907216494</t>
  </si>
  <si>
    <t>102.04123711340237</t>
  </si>
  <si>
    <t>chr_0007_ikut_93</t>
  </si>
  <si>
    <t>110.60803702924436</t>
  </si>
  <si>
    <t>149.84536082474227</t>
  </si>
  <si>
    <t>127.23711340206177</t>
  </si>
  <si>
    <t>103.0515463917529</t>
  </si>
  <si>
    <t>chr_0007_ikut_94</t>
  </si>
  <si>
    <t>111.65790027351113</t>
  </si>
  <si>
    <t>151.31443298969072</t>
  </si>
  <si>
    <t>128.48453608247414</t>
  </si>
  <si>
    <t>104.06185567010341</t>
  </si>
  <si>
    <t>chr_0007_ikut_95</t>
  </si>
  <si>
    <t>112.7077635177779</t>
  </si>
  <si>
    <t>152.7835051546392</t>
  </si>
  <si>
    <t>129.7319587628865</t>
  </si>
  <si>
    <t>105.07216494845393</t>
  </si>
  <si>
    <t>chr_0007_ikut_96</t>
  </si>
  <si>
    <t>113.75762676204468</t>
  </si>
  <si>
    <t>154.25257731958763</t>
  </si>
  <si>
    <t>130.97938144329888</t>
  </si>
  <si>
    <t>106.08247422680445</t>
  </si>
  <si>
    <t>chr_0007_ikut_97</t>
  </si>
  <si>
    <t>114.80749000631145</t>
  </si>
  <si>
    <t>155.7216494845361</t>
  </si>
  <si>
    <t>132.22680412371125</t>
  </si>
  <si>
    <t>107.09278350515497</t>
  </si>
  <si>
    <t>chr_0007_ikut_98</t>
  </si>
  <si>
    <t>115.85735325057824</t>
  </si>
  <si>
    <t>157.19072164948454</t>
  </si>
  <si>
    <t>133.47422680412362</t>
  </si>
  <si>
    <t>108.10309278350547</t>
  </si>
  <si>
    <t>chr_0007_ikut_99</t>
  </si>
  <si>
    <t>116.90721649484502</t>
  </si>
  <si>
    <t>158.659793814433</t>
  </si>
  <si>
    <t>109.113402061856</t>
  </si>
  <si>
    <t>chr_0011_seraph_1</t>
  </si>
  <si>
    <t>chr_0011_seraph</t>
  </si>
  <si>
    <t>赛希</t>
  </si>
  <si>
    <t>Xaihi</t>
  </si>
  <si>
    <t>辅助</t>
  </si>
  <si>
    <t>治疗, 寒冷附着, 增幅</t>
  </si>
  <si>
    <t>寒冷</t>
  </si>
  <si>
    <t>9.3298969072165</t>
  </si>
  <si>
    <t>15.8762886597938</t>
  </si>
  <si>
    <t>15.1546391752577</t>
  </si>
  <si>
    <r>
      <t>【敏捷实践】</t>
    </r>
    <r>
      <rPr>
        <b/>
        <sz val="11"/>
        <color rgb="FF33C2FF"/>
        <rFont val="宋体"/>
        <charset val="134"/>
      </rPr>
      <t>支援晶体</t>
    </r>
    <r>
      <rPr>
        <sz val="11"/>
        <color theme="1"/>
        <rFont val="宋体"/>
        <family val="2"/>
        <scheme val="minor"/>
      </rPr>
      <t>提供的</t>
    </r>
    <r>
      <rPr>
        <b/>
        <u/>
        <sz val="11"/>
        <color rgb="FF33C2FF"/>
        <rFont val="宋体"/>
        <charset val="134"/>
      </rPr>
      <t>法术增幅</t>
    </r>
    <r>
      <rPr>
        <sz val="11"/>
        <color theme="1"/>
        <rFont val="宋体"/>
        <family val="2"/>
        <scheme val="minor"/>
      </rPr>
      <t>额外提高</t>
    </r>
    <r>
      <rPr>
        <b/>
        <sz val="11"/>
        <color rgb="FF9EB7FF"/>
        <rFont val="宋体"/>
        <charset val="134"/>
      </rPr>
      <t>5%</t>
    </r>
    <r>
      <rPr>
        <sz val="11"/>
        <color theme="1"/>
        <rFont val="宋体"/>
        <family val="2"/>
        <scheme val="minor"/>
      </rPr>
      <t>。</t>
    </r>
  </si>
  <si>
    <r>
      <t>【链路聚合】终结技</t>
    </r>
    <r>
      <rPr>
        <b/>
        <sz val="11"/>
        <color rgb="FF33C2FF"/>
        <rFont val="宋体"/>
        <charset val="134"/>
      </rPr>
      <t>栈溢出</t>
    </r>
    <r>
      <rPr>
        <sz val="11"/>
        <color theme="1"/>
        <rFont val="宋体"/>
        <family val="2"/>
        <scheme val="minor"/>
      </rPr>
      <t>所需的终结技能量</t>
    </r>
    <r>
      <rPr>
        <b/>
        <sz val="11"/>
        <color rgb="FF9EB7FF"/>
        <rFont val="宋体"/>
        <charset val="134"/>
      </rPr>
      <t>-10%</t>
    </r>
    <r>
      <rPr>
        <sz val="11"/>
        <color theme="1"/>
        <rFont val="宋体"/>
        <family val="2"/>
        <scheme val="minor"/>
      </rPr>
      <t>。</t>
    </r>
  </si>
  <si>
    <r>
      <t>【映射节点】连携技</t>
    </r>
    <r>
      <rPr>
        <b/>
        <sz val="11"/>
        <color rgb="FF33C2FF"/>
        <rFont val="宋体"/>
        <charset val="134"/>
      </rPr>
      <t>压力测试</t>
    </r>
    <r>
      <rPr>
        <sz val="11"/>
        <color theme="1"/>
        <rFont val="宋体"/>
        <family val="2"/>
        <scheme val="minor"/>
      </rPr>
      <t>命中目标时，对周围1个其他目标弹射</t>
    </r>
    <r>
      <rPr>
        <b/>
        <sz val="11"/>
        <color rgb="FF9EB7FF"/>
        <rFont val="宋体"/>
        <charset val="134"/>
      </rPr>
      <t>1</t>
    </r>
    <r>
      <rPr>
        <sz val="11"/>
        <color theme="1"/>
        <rFont val="宋体"/>
        <family val="2"/>
        <scheme val="minor"/>
      </rPr>
      <t>次。</t>
    </r>
  </si>
  <si>
    <r>
      <t>【灰度发布】智识</t>
    </r>
    <r>
      <rPr>
        <b/>
        <sz val="11"/>
        <color rgb="FF9EB7FF"/>
        <rFont val="宋体"/>
        <charset val="134"/>
      </rPr>
      <t>+15</t>
    </r>
    <r>
      <rPr>
        <sz val="11"/>
        <color theme="1"/>
        <rFont val="宋体"/>
        <family val="2"/>
        <scheme val="minor"/>
      </rPr>
      <t>，治疗效率</t>
    </r>
    <r>
      <rPr>
        <b/>
        <sz val="11"/>
        <color rgb="FF9EB7FF"/>
        <rFont val="宋体"/>
        <charset val="134"/>
      </rPr>
      <t>+10%</t>
    </r>
    <r>
      <rPr>
        <sz val="11"/>
        <color theme="1"/>
        <rFont val="宋体"/>
        <family val="2"/>
        <scheme val="minor"/>
      </rPr>
      <t>。</t>
    </r>
  </si>
  <si>
    <r>
      <t>【可控递归】终结技</t>
    </r>
    <r>
      <rPr>
        <b/>
        <sz val="11"/>
        <color rgb="FF33C2FF"/>
        <rFont val="宋体"/>
        <charset val="134"/>
      </rPr>
      <t>栈溢出</t>
    </r>
    <r>
      <rPr>
        <sz val="11"/>
        <color theme="1"/>
        <rFont val="宋体"/>
        <family val="2"/>
        <scheme val="minor"/>
      </rPr>
      <t>提供的</t>
    </r>
    <r>
      <rPr>
        <b/>
        <u/>
        <sz val="11"/>
        <color rgb="FF33C2FF"/>
        <rFont val="宋体"/>
        <charset val="134"/>
      </rPr>
      <t>增幅</t>
    </r>
    <r>
      <rPr>
        <sz val="11"/>
        <color theme="1"/>
        <rFont val="宋体"/>
        <family val="2"/>
        <scheme val="minor"/>
      </rPr>
      <t>效果提高至原本的</t>
    </r>
    <r>
      <rPr>
        <b/>
        <sz val="11"/>
        <color rgb="FF9EB7FF"/>
        <rFont val="宋体"/>
        <charset val="134"/>
      </rPr>
      <t>1.1</t>
    </r>
    <r>
      <rPr>
        <sz val="11"/>
        <color theme="1"/>
        <rFont val="宋体"/>
        <family val="2"/>
        <scheme val="minor"/>
      </rPr>
      <t>倍。</t>
    </r>
  </si>
  <si>
    <t>chr_0011_seraph_2</t>
  </si>
  <si>
    <t>10.234483484115302</t>
  </si>
  <si>
    <t>10.308226383336835</t>
  </si>
  <si>
    <t>17.12648853355774</t>
  </si>
  <si>
    <t>16.670103092783478</t>
  </si>
  <si>
    <t>chr_0011_seraph_3</t>
  </si>
  <si>
    <t>11.139070061014102</t>
  </si>
  <si>
    <t>11.2350094677046</t>
  </si>
  <si>
    <t>18.376688407321684</t>
  </si>
  <si>
    <t>18.185567010309256</t>
  </si>
  <si>
    <t>chr_0011_seraph_4</t>
  </si>
  <si>
    <t>12.043656637912903</t>
  </si>
  <si>
    <t>12.161792552072363</t>
  </si>
  <si>
    <t>19.626888281085623</t>
  </si>
  <si>
    <t>19.701030927835035</t>
  </si>
  <si>
    <t>chr_0011_seraph_5</t>
  </si>
  <si>
    <t>12.948243214811704</t>
  </si>
  <si>
    <t>13.08857563644013</t>
  </si>
  <si>
    <t>20.877088154849563</t>
  </si>
  <si>
    <t>21.216494845360813</t>
  </si>
  <si>
    <t>chr_0011_seraph_6</t>
  </si>
  <si>
    <t>13.852829791710505</t>
  </si>
  <si>
    <t>14.015358720807892</t>
  </si>
  <si>
    <t>22.127288028613506</t>
  </si>
  <si>
    <t>22.731958762886592</t>
  </si>
  <si>
    <t>chr_0011_seraph_7</t>
  </si>
  <si>
    <t>14.757416368609306</t>
  </si>
  <si>
    <t>14.942141805175657</t>
  </si>
  <si>
    <t>23.377487902377446</t>
  </si>
  <si>
    <t>24.24742268041237</t>
  </si>
  <si>
    <t>chr_0011_seraph_8</t>
  </si>
  <si>
    <t>15.662002945508107</t>
  </si>
  <si>
    <t>15.868924889543422</t>
  </si>
  <si>
    <t>24.627687776141386</t>
  </si>
  <si>
    <t>25.76288659793815</t>
  </si>
  <si>
    <t>chr_0011_seraph_9</t>
  </si>
  <si>
    <t>16.566589522406908</t>
  </si>
  <si>
    <t>16.795707973911185</t>
  </si>
  <si>
    <t>25.877887649905325</t>
  </si>
  <si>
    <t>27.278350515463927</t>
  </si>
  <si>
    <t>chr_0011_seraph_10</t>
  </si>
  <si>
    <t>17.47117609930571</t>
  </si>
  <si>
    <t>17.72249105827895</t>
  </si>
  <si>
    <t>27.12808752366927</t>
  </si>
  <si>
    <t>28.793814432989706</t>
  </si>
  <si>
    <t>chr_0011_seraph_11</t>
  </si>
  <si>
    <t>18.37576267620451</t>
  </si>
  <si>
    <t>18.649274142646718</t>
  </si>
  <si>
    <t>28.37828739743321</t>
  </si>
  <si>
    <t>30.309278350515484</t>
  </si>
  <si>
    <t>chr_0011_seraph_12</t>
  </si>
  <si>
    <t>19.28034925310331</t>
  </si>
  <si>
    <t>19.57605722701448</t>
  </si>
  <si>
    <t>29.62848727119715</t>
  </si>
  <si>
    <t>31.824742268041263</t>
  </si>
  <si>
    <t>chr_0011_seraph_13</t>
  </si>
  <si>
    <t>20.18493583000211</t>
  </si>
  <si>
    <t>20.502840311382243</t>
  </si>
  <si>
    <t>30.87868714496109</t>
  </si>
  <si>
    <t>33.34020618556704</t>
  </si>
  <si>
    <t>chr_0011_seraph_14</t>
  </si>
  <si>
    <t>21.08952240690091</t>
  </si>
  <si>
    <t>21.429623395750006</t>
  </si>
  <si>
    <t>32.12888701872503</t>
  </si>
  <si>
    <t>34.85567010309282</t>
  </si>
  <si>
    <t>chr_0011_seraph_15</t>
  </si>
  <si>
    <t>21.994108983799713</t>
  </si>
  <si>
    <t>22.356406480117773</t>
  </si>
  <si>
    <t>33.37908689248897</t>
  </si>
  <si>
    <t>36.3711340206186</t>
  </si>
  <si>
    <t>chr_0011_seraph_16</t>
  </si>
  <si>
    <t>22.898695560698513</t>
  </si>
  <si>
    <t>23.28318956448554</t>
  </si>
  <si>
    <t>34.62928676625292</t>
  </si>
  <si>
    <t>37.88659793814438</t>
  </si>
  <si>
    <t>chr_0011_seraph_17</t>
  </si>
  <si>
    <t>23.803282137597314</t>
  </si>
  <si>
    <t>24.209972648853302</t>
  </si>
  <si>
    <t>35.87948664001685</t>
  </si>
  <si>
    <t>39.402061855670155</t>
  </si>
  <si>
    <t>chr_0011_seraph_18</t>
  </si>
  <si>
    <t>24.707868714496115</t>
  </si>
  <si>
    <t>25.136755733221065</t>
  </si>
  <si>
    <t>37.1296865137808</t>
  </si>
  <si>
    <t>40.91752577319593</t>
  </si>
  <si>
    <t>chr_0011_seraph_19</t>
  </si>
  <si>
    <t>25.61245529139492</t>
  </si>
  <si>
    <t>26.06353881758883</t>
  </si>
  <si>
    <t>38.37988638754474</t>
  </si>
  <si>
    <t>42.43298969072171</t>
  </si>
  <si>
    <t>chr_0011_seraph_20</t>
  </si>
  <si>
    <t>26.51704186829372</t>
  </si>
  <si>
    <t>26.990321901956595</t>
  </si>
  <si>
    <t>39.630086261308676</t>
  </si>
  <si>
    <t>43.94845360824749</t>
  </si>
  <si>
    <t>【启动进程 Lv.1】连携技压力测试命中敌人时，如果目标已经处于寒冷附着或冻结状态，还会使目标受到的寒冷伤害+7%，持续5秒，该效果无法叠加。</t>
  </si>
  <si>
    <r>
      <t>【启动进程 Lv.1】连携技</t>
    </r>
    <r>
      <rPr>
        <b/>
        <sz val="11"/>
        <color rgb="FF33C2FF"/>
        <rFont val="宋体"/>
        <charset val="134"/>
      </rPr>
      <t>压力测试</t>
    </r>
    <r>
      <rPr>
        <sz val="11"/>
        <color theme="1"/>
        <rFont val="宋体"/>
        <family val="2"/>
        <scheme val="minor"/>
      </rPr>
      <t>命中敌人时，如果目标已经处于</t>
    </r>
    <r>
      <rPr>
        <b/>
        <u/>
        <sz val="11"/>
        <color rgb="FF30D6E0"/>
        <rFont val="宋体"/>
        <charset val="134"/>
      </rPr>
      <t>寒冷附着</t>
    </r>
    <r>
      <rPr>
        <sz val="11"/>
        <color theme="1"/>
        <rFont val="宋体"/>
        <family val="2"/>
        <scheme val="minor"/>
      </rPr>
      <t>或</t>
    </r>
    <r>
      <rPr>
        <b/>
        <u/>
        <sz val="11"/>
        <color rgb="FF30D6E0"/>
        <rFont val="宋体"/>
        <charset val="134"/>
      </rPr>
      <t>冻结</t>
    </r>
    <r>
      <rPr>
        <sz val="11"/>
        <color theme="1"/>
        <rFont val="宋体"/>
        <family val="2"/>
        <scheme val="minor"/>
      </rPr>
      <t>状态，还会使目标受到的</t>
    </r>
    <r>
      <rPr>
        <b/>
        <sz val="11"/>
        <color rgb="FF30D6E0"/>
        <rFont val="宋体"/>
        <charset val="134"/>
      </rPr>
      <t>寒冷伤害</t>
    </r>
    <r>
      <rPr>
        <b/>
        <sz val="11"/>
        <color rgb="FF9EB7FF"/>
        <rFont val="宋体"/>
        <charset val="134"/>
      </rPr>
      <t>+7%</t>
    </r>
    <r>
      <rPr>
        <sz val="11"/>
        <color theme="1"/>
        <rFont val="宋体"/>
        <family val="2"/>
        <scheme val="minor"/>
      </rPr>
      <t>，持续</t>
    </r>
    <r>
      <rPr>
        <b/>
        <sz val="11"/>
        <color rgb="FF9EB7FF"/>
        <rFont val="宋体"/>
        <charset val="134"/>
      </rPr>
      <t>5</t>
    </r>
    <r>
      <rPr>
        <sz val="11"/>
        <color theme="1"/>
        <rFont val="宋体"/>
        <family val="2"/>
        <scheme val="minor"/>
      </rPr>
      <t>秒，该效果无法叠加。</t>
    </r>
  </si>
  <si>
    <t>chr_0011_seraph_21</t>
  </si>
  <si>
    <t>27.42162844519252</t>
  </si>
  <si>
    <t>27.91710498632436</t>
  </si>
  <si>
    <t>40.880286135072616</t>
  </si>
  <si>
    <t>45.46391752577327</t>
  </si>
  <si>
    <t>chr_0011_seraph_22</t>
  </si>
  <si>
    <t>28.326215022091322</t>
  </si>
  <si>
    <t>28.843888070692124</t>
  </si>
  <si>
    <t>42.130486008836556</t>
  </si>
  <si>
    <t>46.97938144329905</t>
  </si>
  <si>
    <t>chr_0011_seraph_23</t>
  </si>
  <si>
    <t>29.230801598990123</t>
  </si>
  <si>
    <t>29.77067115505989</t>
  </si>
  <si>
    <t>43.3806858826005</t>
  </si>
  <si>
    <t>48.494845360824826</t>
  </si>
  <si>
    <t>chr_0011_seraph_24</t>
  </si>
  <si>
    <t>30.135388175888924</t>
  </si>
  <si>
    <t>30.697454239427653</t>
  </si>
  <si>
    <t>44.630885756364435</t>
  </si>
  <si>
    <t>50.010309278350604</t>
  </si>
  <si>
    <t>chr_0011_seraph_25</t>
  </si>
  <si>
    <t>31.039974752787725</t>
  </si>
  <si>
    <t>31.624237323795416</t>
  </si>
  <si>
    <t>45.88108563012838</t>
  </si>
  <si>
    <t>51.52577319587638</t>
  </si>
  <si>
    <t>chr_0011_seraph_26</t>
  </si>
  <si>
    <t>31.944561329686525</t>
  </si>
  <si>
    <t>32.55102040816318</t>
  </si>
  <si>
    <t>47.13128550389232</t>
  </si>
  <si>
    <t>53.04123711340216</t>
  </si>
  <si>
    <t>chr_0011_seraph_27</t>
  </si>
  <si>
    <t>32.84914790658533</t>
  </si>
  <si>
    <t>33.477803492530946</t>
  </si>
  <si>
    <t>48.38148537765626</t>
  </si>
  <si>
    <t>54.55670103092794</t>
  </si>
  <si>
    <t>chr_0011_seraph_28</t>
  </si>
  <si>
    <t>33.75373448348412</t>
  </si>
  <si>
    <t>34.40458657689871</t>
  </si>
  <si>
    <t>49.6316852514202</t>
  </si>
  <si>
    <t>56.07216494845372</t>
  </si>
  <si>
    <t>chr_0011_seraph_29</t>
  </si>
  <si>
    <t>34.65832106038293</t>
  </si>
  <si>
    <t>35.33136966126648</t>
  </si>
  <si>
    <t>50.88188512518414</t>
  </si>
  <si>
    <t>57.5876288659795</t>
  </si>
  <si>
    <t>chr_0011_seraph_30</t>
  </si>
  <si>
    <t>35.562907637281725</t>
  </si>
  <si>
    <t>36.25815274563424</t>
  </si>
  <si>
    <t>52.13208499894809</t>
  </si>
  <si>
    <t>59.103092783505275</t>
  </si>
  <si>
    <t>chr_0011_seraph_31</t>
  </si>
  <si>
    <t>36.46749421418053</t>
  </si>
  <si>
    <t>37.184935830002004</t>
  </si>
  <si>
    <t>53.38228487271203</t>
  </si>
  <si>
    <t>60.61855670103105</t>
  </si>
  <si>
    <t>chr_0011_seraph_32</t>
  </si>
  <si>
    <t>37.37208079107933</t>
  </si>
  <si>
    <t>38.111718914369774</t>
  </si>
  <si>
    <t>54.63248474647597</t>
  </si>
  <si>
    <t>62.13402061855683</t>
  </si>
  <si>
    <t>chr_0011_seraph_33</t>
  </si>
  <si>
    <t>38.276667367978135</t>
  </si>
  <si>
    <t>39.03850199873753</t>
  </si>
  <si>
    <t>55.88268462023991</t>
  </si>
  <si>
    <t>63.64948453608261</t>
  </si>
  <si>
    <t>chr_0011_seraph_34</t>
  </si>
  <si>
    <t>39.18125394487693</t>
  </si>
  <si>
    <t>39.9652850831053</t>
  </si>
  <si>
    <t>57.13288449400385</t>
  </si>
  <si>
    <t>65.16494845360839</t>
  </si>
  <si>
    <t>chr_0011_seraph_35</t>
  </si>
  <si>
    <t>40.08584052177574</t>
  </si>
  <si>
    <t>40.89206816747306</t>
  </si>
  <si>
    <t>58.383084367767786</t>
  </si>
  <si>
    <t>66.68041237113417</t>
  </si>
  <si>
    <t>chr_0011_seraph_36</t>
  </si>
  <si>
    <t>40.99042709867453</t>
  </si>
  <si>
    <t>41.818851251840826</t>
  </si>
  <si>
    <t>59.633284241531726</t>
  </si>
  <si>
    <t>68.19587628865995</t>
  </si>
  <si>
    <t>chr_0011_seraph_37</t>
  </si>
  <si>
    <t>41.89501367557334</t>
  </si>
  <si>
    <t>42.745634336208596</t>
  </si>
  <si>
    <t>60.88348411529567</t>
  </si>
  <si>
    <t>69.71134020618572</t>
  </si>
  <si>
    <t>chr_0011_seraph_38</t>
  </si>
  <si>
    <t>42.79960025247214</t>
  </si>
  <si>
    <t>43.67241742057635</t>
  </si>
  <si>
    <t>62.13368398905961</t>
  </si>
  <si>
    <t>71.2268041237115</t>
  </si>
  <si>
    <t>chr_0011_seraph_39</t>
  </si>
  <si>
    <t>43.70418682937094</t>
  </si>
  <si>
    <t>44.59920050494412</t>
  </si>
  <si>
    <t>63.38388386282355</t>
  </si>
  <si>
    <t>72.74226804123728</t>
  </si>
  <si>
    <t>chr_0011_seraph_40</t>
  </si>
  <si>
    <t>44.60877340626974</t>
  </si>
  <si>
    <t>45.52598358931189</t>
  </si>
  <si>
    <t>64.63408373658748</t>
  </si>
  <si>
    <t>74.25773195876306</t>
  </si>
  <si>
    <t>【启动进程 Lv.2】连携技压力测试命中敌人时，如果目标已经处于寒冷附着或冻结状态，还会使目标受到的寒冷伤害+10%，持续5秒，该效果无法叠加。</t>
  </si>
  <si>
    <r>
      <t>【启动进程 Lv.2】连携技</t>
    </r>
    <r>
      <rPr>
        <b/>
        <sz val="11"/>
        <color rgb="FF33C2FF"/>
        <rFont val="宋体"/>
        <charset val="134"/>
      </rPr>
      <t>压力测试</t>
    </r>
    <r>
      <rPr>
        <sz val="11"/>
        <color theme="1"/>
        <rFont val="宋体"/>
        <family val="2"/>
        <scheme val="minor"/>
      </rPr>
      <t>命中敌人时，如果目标已经处于</t>
    </r>
    <r>
      <rPr>
        <b/>
        <u/>
        <sz val="11"/>
        <color rgb="FF30D6E0"/>
        <rFont val="宋体"/>
        <charset val="134"/>
      </rPr>
      <t>寒冷附着</t>
    </r>
    <r>
      <rPr>
        <sz val="11"/>
        <color theme="1"/>
        <rFont val="宋体"/>
        <family val="2"/>
        <scheme val="minor"/>
      </rPr>
      <t>或</t>
    </r>
    <r>
      <rPr>
        <b/>
        <u/>
        <sz val="11"/>
        <color rgb="FF30D6E0"/>
        <rFont val="宋体"/>
        <charset val="134"/>
      </rPr>
      <t>冻结</t>
    </r>
    <r>
      <rPr>
        <sz val="11"/>
        <color theme="1"/>
        <rFont val="宋体"/>
        <family val="2"/>
        <scheme val="minor"/>
      </rPr>
      <t>状态，还会使目标受到的</t>
    </r>
    <r>
      <rPr>
        <b/>
        <sz val="11"/>
        <color rgb="FF30D6E0"/>
        <rFont val="宋体"/>
        <charset val="134"/>
      </rPr>
      <t>寒冷伤害</t>
    </r>
    <r>
      <rPr>
        <b/>
        <sz val="11"/>
        <color rgb="FF9EB7FF"/>
        <rFont val="宋体"/>
        <charset val="134"/>
      </rPr>
      <t>+10%</t>
    </r>
    <r>
      <rPr>
        <sz val="11"/>
        <color theme="1"/>
        <rFont val="宋体"/>
        <family val="2"/>
        <scheme val="minor"/>
      </rPr>
      <t>，持续</t>
    </r>
    <r>
      <rPr>
        <b/>
        <sz val="11"/>
        <color rgb="FF9EB7FF"/>
        <rFont val="宋体"/>
        <charset val="134"/>
      </rPr>
      <t>5</t>
    </r>
    <r>
      <rPr>
        <sz val="11"/>
        <color theme="1"/>
        <rFont val="宋体"/>
        <family val="2"/>
        <scheme val="minor"/>
      </rPr>
      <t>秒，该效果无法叠加。</t>
    </r>
  </si>
  <si>
    <t>chr_0011_seraph_41</t>
  </si>
  <si>
    <t>45.51335998316854</t>
  </si>
  <si>
    <t>46.45276667367965</t>
  </si>
  <si>
    <t>65.88428361035143</t>
  </si>
  <si>
    <t>75.77319587628884</t>
  </si>
  <si>
    <t>chr_0011_seraph_42</t>
  </si>
  <si>
    <t>46.41794656006734</t>
  </si>
  <si>
    <t>47.37954975804742</t>
  </si>
  <si>
    <t>67.13448348411538</t>
  </si>
  <si>
    <t>77.28865979381462</t>
  </si>
  <si>
    <t>chr_0011_seraph_43</t>
  </si>
  <si>
    <t>47.32253313696614</t>
  </si>
  <si>
    <t>48.30633284241517</t>
  </si>
  <si>
    <t>68.38468335787931</t>
  </si>
  <si>
    <t>78.8041237113404</t>
  </si>
  <si>
    <t>chr_0011_seraph_44</t>
  </si>
  <si>
    <t>48.227119713864944</t>
  </si>
  <si>
    <t>49.23311592678294</t>
  </si>
  <si>
    <t>69.63488323164326</t>
  </si>
  <si>
    <t>80.31958762886617</t>
  </si>
  <si>
    <t>chr_0011_seraph_45</t>
  </si>
  <si>
    <t>49.131706290763745</t>
  </si>
  <si>
    <t>50.15989901115071</t>
  </si>
  <si>
    <t>70.8850831054072</t>
  </si>
  <si>
    <t>81.83505154639195</t>
  </si>
  <si>
    <t>chr_0011_seraph_46</t>
  </si>
  <si>
    <t>50.036292867662546</t>
  </si>
  <si>
    <t>51.08668209551847</t>
  </si>
  <si>
    <t>72.13528297917114</t>
  </si>
  <si>
    <t>83.35051546391773</t>
  </si>
  <si>
    <t>chr_0011_seraph_47</t>
  </si>
  <si>
    <t>50.94087944456135</t>
  </si>
  <si>
    <t>52.01346517988624</t>
  </si>
  <si>
    <t>73.38548285293507</t>
  </si>
  <si>
    <t>84.86597938144351</t>
  </si>
  <si>
    <t>chr_0011_seraph_48</t>
  </si>
  <si>
    <t>51.84546602146015</t>
  </si>
  <si>
    <t>52.940248264253995</t>
  </si>
  <si>
    <t>74.63568272669902</t>
  </si>
  <si>
    <t>86.38144329896929</t>
  </si>
  <si>
    <t>chr_0011_seraph_49</t>
  </si>
  <si>
    <t>52.75005259835895</t>
  </si>
  <si>
    <t>53.867031348621765</t>
  </si>
  <si>
    <t>75.88588260046296</t>
  </si>
  <si>
    <t>87.89690721649507</t>
  </si>
  <si>
    <t>chr_0011_seraph_50</t>
  </si>
  <si>
    <t>53.65463917525775</t>
  </si>
  <si>
    <t>54.793814432989535</t>
  </si>
  <si>
    <t>77.1360824742269</t>
  </si>
  <si>
    <t>89.41237113402084</t>
  </si>
  <si>
    <t>chr_0011_seraph_51</t>
  </si>
  <si>
    <t>54.55922575215655</t>
  </si>
  <si>
    <t>55.72059751735729</t>
  </si>
  <si>
    <t>78.38628234799084</t>
  </si>
  <si>
    <t>90.92783505154662</t>
  </si>
  <si>
    <t>chr_0011_seraph_52</t>
  </si>
  <si>
    <t>55.46381232905535</t>
  </si>
  <si>
    <t>56.64738060172506</t>
  </si>
  <si>
    <t>79.63648222175479</t>
  </si>
  <si>
    <t>92.4432989690724</t>
  </si>
  <si>
    <t>chr_0011_seraph_53</t>
  </si>
  <si>
    <t>56.36839890595415</t>
  </si>
  <si>
    <t>57.57416368609282</t>
  </si>
  <si>
    <t>80.88668209551872</t>
  </si>
  <si>
    <t>93.95876288659818</t>
  </si>
  <si>
    <t>chr_0011_seraph_54</t>
  </si>
  <si>
    <t>57.27298548285295</t>
  </si>
  <si>
    <t>58.50094677046059</t>
  </si>
  <si>
    <t>82.13688196928267</t>
  </si>
  <si>
    <t>95.47422680412396</t>
  </si>
  <si>
    <t>chr_0011_seraph_55</t>
  </si>
  <si>
    <t>58.17757205975175</t>
  </si>
  <si>
    <t>59.42772985482836</t>
  </si>
  <si>
    <t>83.3870818430466</t>
  </si>
  <si>
    <t>96.98969072164974</t>
  </si>
  <si>
    <t>chr_0011_seraph_56</t>
  </si>
  <si>
    <t>59.082158636650554</t>
  </si>
  <si>
    <t>60.35451293919611</t>
  </si>
  <si>
    <t>84.63728171681055</t>
  </si>
  <si>
    <t>98.50515463917552</t>
  </si>
  <si>
    <t>chr_0011_seraph_57</t>
  </si>
  <si>
    <t>59.986745213549355</t>
  </si>
  <si>
    <t>61.28129602356388</t>
  </si>
  <si>
    <t>85.88748159057448</t>
  </si>
  <si>
    <t>100.0206185567013</t>
  </si>
  <si>
    <t>chr_0011_seraph_58</t>
  </si>
  <si>
    <t>60.891331790448156</t>
  </si>
  <si>
    <t>62.20807910793164</t>
  </si>
  <si>
    <t>87.13768146433843</t>
  </si>
  <si>
    <t>101.53608247422707</t>
  </si>
  <si>
    <t>chr_0011_seraph_59</t>
  </si>
  <si>
    <t>61.79591836734696</t>
  </si>
  <si>
    <t>63.13486219229941</t>
  </si>
  <si>
    <t>88.38788133810237</t>
  </si>
  <si>
    <t>103.05154639175285</t>
  </si>
  <si>
    <t>chr_0011_seraph_60</t>
  </si>
  <si>
    <t>62.70050494424576</t>
  </si>
  <si>
    <t>64.06164527666718</t>
  </si>
  <si>
    <t>89.63808121186631</t>
  </si>
  <si>
    <t>104.56701030927863</t>
  </si>
  <si>
    <t>【守誓】干员意志能力值提升15。</t>
  </si>
  <si>
    <t>【守誓】干员意志能力值提升10。</t>
  </si>
  <si>
    <t>【协议冻结 Lv.1】终结技栈溢出会额外净化全队的寒冷附着和冻结状态。</t>
  </si>
  <si>
    <r>
      <t>【协议冻结 Lv.1】终结技</t>
    </r>
    <r>
      <rPr>
        <b/>
        <sz val="11"/>
        <color rgb="FF33C2FF"/>
        <rFont val="宋体"/>
        <charset val="134"/>
      </rPr>
      <t>栈溢出</t>
    </r>
    <r>
      <rPr>
        <sz val="11"/>
        <color theme="1"/>
        <rFont val="宋体"/>
        <family val="2"/>
        <scheme val="minor"/>
      </rPr>
      <t>会额外</t>
    </r>
    <r>
      <rPr>
        <b/>
        <u/>
        <sz val="11"/>
        <color rgb="FF33C2FF"/>
        <rFont val="宋体"/>
        <charset val="134"/>
      </rPr>
      <t>净化</t>
    </r>
    <r>
      <rPr>
        <sz val="11"/>
        <color theme="1"/>
        <rFont val="宋体"/>
        <family val="2"/>
        <scheme val="minor"/>
      </rPr>
      <t>全队的</t>
    </r>
    <r>
      <rPr>
        <b/>
        <u/>
        <sz val="11"/>
        <color rgb="FF30D6E0"/>
        <rFont val="宋体"/>
        <charset val="134"/>
      </rPr>
      <t>寒冷附着</t>
    </r>
    <r>
      <rPr>
        <sz val="11"/>
        <color theme="1"/>
        <rFont val="宋体"/>
        <family val="2"/>
        <scheme val="minor"/>
      </rPr>
      <t>和</t>
    </r>
    <r>
      <rPr>
        <b/>
        <u/>
        <sz val="11"/>
        <color rgb="FF30D6E0"/>
        <rFont val="宋体"/>
        <charset val="134"/>
      </rPr>
      <t>冻结</t>
    </r>
    <r>
      <rPr>
        <sz val="11"/>
        <color theme="1"/>
        <rFont val="宋体"/>
        <family val="2"/>
        <scheme val="minor"/>
      </rPr>
      <t>状态。</t>
    </r>
  </si>
  <si>
    <t>chr_0011_seraph_61</t>
  </si>
  <si>
    <t>63.60509152114456</t>
  </si>
  <si>
    <t>64.98842836103493</t>
  </si>
  <si>
    <t>90.88828108563025</t>
  </si>
  <si>
    <t>106.08247422680441</t>
  </si>
  <si>
    <t>chr_0011_seraph_62</t>
  </si>
  <si>
    <t>64.50967809804337</t>
  </si>
  <si>
    <t>65.9152114454027</t>
  </si>
  <si>
    <t>92.13848095939419</t>
  </si>
  <si>
    <t>107.59793814433019</t>
  </si>
  <si>
    <t>chr_0011_seraph_63</t>
  </si>
  <si>
    <t>65.41426467494216</t>
  </si>
  <si>
    <t>66.84199452977047</t>
  </si>
  <si>
    <t>93.38868083315813</t>
  </si>
  <si>
    <t>109.11340206185596</t>
  </si>
  <si>
    <t>chr_0011_seraph_64</t>
  </si>
  <si>
    <t>66.31885125184095</t>
  </si>
  <si>
    <t>67.76877761413823</t>
  </si>
  <si>
    <t>94.63888070692207</t>
  </si>
  <si>
    <t>110.62886597938174</t>
  </si>
  <si>
    <t>chr_0011_seraph_65</t>
  </si>
  <si>
    <t>67.22343782873976</t>
  </si>
  <si>
    <t>68.695560698506</t>
  </si>
  <si>
    <t>95.88908058068601</t>
  </si>
  <si>
    <t>112.14432989690752</t>
  </si>
  <si>
    <t>chr_0011_seraph_66</t>
  </si>
  <si>
    <t>68.12802440563857</t>
  </si>
  <si>
    <t>69.62234378287376</t>
  </si>
  <si>
    <t>97.13928045444996</t>
  </si>
  <si>
    <t>113.6597938144333</t>
  </si>
  <si>
    <t>chr_0011_seraph_67</t>
  </si>
  <si>
    <t>69.03261098253736</t>
  </si>
  <si>
    <t>70.54912686724153</t>
  </si>
  <si>
    <t>98.38948032821389</t>
  </si>
  <si>
    <t>115.17525773195908</t>
  </si>
  <si>
    <t>chr_0011_seraph_68</t>
  </si>
  <si>
    <t>69.93719755943616</t>
  </si>
  <si>
    <t>71.4759099516093</t>
  </si>
  <si>
    <t>99.63968020197784</t>
  </si>
  <si>
    <t>116.69072164948486</t>
  </si>
  <si>
    <t>chr_0011_seraph_69</t>
  </si>
  <si>
    <t>70.84178413633497</t>
  </si>
  <si>
    <t>72.40269303597705</t>
  </si>
  <si>
    <t>100.88988007574177</t>
  </si>
  <si>
    <t>118.20618556701064</t>
  </si>
  <si>
    <t>chr_0011_seraph_70</t>
  </si>
  <si>
    <t>71.74637071323377</t>
  </si>
  <si>
    <t>73.32947612034482</t>
  </si>
  <si>
    <t>102.14007994950572</t>
  </si>
  <si>
    <t>119.72164948453641</t>
  </si>
  <si>
    <t>chr_0011_seraph_71</t>
  </si>
  <si>
    <t>72.65095729013257</t>
  </si>
  <si>
    <t>74.25625920471259</t>
  </si>
  <si>
    <t>103.39027982326965</t>
  </si>
  <si>
    <t>121.23711340206219</t>
  </si>
  <si>
    <t>chr_0011_seraph_72</t>
  </si>
  <si>
    <t>73.55554386703136</t>
  </si>
  <si>
    <t>75.18304228908035</t>
  </si>
  <si>
    <t>104.6404796970336</t>
  </si>
  <si>
    <t>122.75257731958797</t>
  </si>
  <si>
    <t>chr_0011_seraph_73</t>
  </si>
  <si>
    <t>74.46013044393018</t>
  </si>
  <si>
    <t>76.10982537344812</t>
  </si>
  <si>
    <t>105.89067957079754</t>
  </si>
  <si>
    <t>124.26804123711375</t>
  </si>
  <si>
    <t>chr_0011_seraph_74</t>
  </si>
  <si>
    <t>75.36471702082898</t>
  </si>
  <si>
    <t>77.03660845781587</t>
  </si>
  <si>
    <t>107.14087944456148</t>
  </si>
  <si>
    <t>125.78350515463953</t>
  </si>
  <si>
    <t>chr_0011_seraph_75</t>
  </si>
  <si>
    <t>76.26930359772777</t>
  </si>
  <si>
    <t>77.96339154218364</t>
  </si>
  <si>
    <t>108.39107931832542</t>
  </si>
  <si>
    <t>127.2989690721653</t>
  </si>
  <si>
    <t>chr_0011_seraph_76</t>
  </si>
  <si>
    <t>77.17389017462656</t>
  </si>
  <si>
    <t>78.89017462655141</t>
  </si>
  <si>
    <t>109.64127919208936</t>
  </si>
  <si>
    <t>128.81443298969108</t>
  </si>
  <si>
    <t>chr_0011_seraph_77</t>
  </si>
  <si>
    <t>78.07847675152539</t>
  </si>
  <si>
    <t>79.81695771091917</t>
  </si>
  <si>
    <t>110.8914790658533</t>
  </si>
  <si>
    <t>130.32989690721686</t>
  </si>
  <si>
    <t>chr_0011_seraph_78</t>
  </si>
  <si>
    <t>78.98306332842418</t>
  </si>
  <si>
    <t>80.74374079528694</t>
  </si>
  <si>
    <t>112.14167893961725</t>
  </si>
  <si>
    <t>131.84536082474264</t>
  </si>
  <si>
    <t>chr_0011_seraph_79</t>
  </si>
  <si>
    <t>79.88764990532297</t>
  </si>
  <si>
    <t>81.67052387965471</t>
  </si>
  <si>
    <t>113.39187881338118</t>
  </si>
  <si>
    <t>133.36082474226842</t>
  </si>
  <si>
    <t>chr_0011_seraph_80</t>
  </si>
  <si>
    <t>80.79223648222177</t>
  </si>
  <si>
    <t>82.59730696402247</t>
  </si>
  <si>
    <t>114.64207868714513</t>
  </si>
  <si>
    <t>134.8762886597942</t>
  </si>
  <si>
    <t>【守誓】干员意志能力值提升20。</t>
  </si>
  <si>
    <t>chr_0011_seraph_81</t>
  </si>
  <si>
    <t>81.69682305912059</t>
  </si>
  <si>
    <t>83.52409004839024</t>
  </si>
  <si>
    <t>115.89227856090906</t>
  </si>
  <si>
    <t>136.39175257731998</t>
  </si>
  <si>
    <t>chr_0011_seraph_82</t>
  </si>
  <si>
    <t>82.60140963601938</t>
  </si>
  <si>
    <t>84.45087313275799</t>
  </si>
  <si>
    <t>117.14247843467301</t>
  </si>
  <si>
    <t>137.90721649484576</t>
  </si>
  <si>
    <t>chr_0011_seraph_83</t>
  </si>
  <si>
    <t>83.50599621291818</t>
  </si>
  <si>
    <t>85.37765621712576</t>
  </si>
  <si>
    <t>118.39267830843694</t>
  </si>
  <si>
    <t>139.42268041237153</t>
  </si>
  <si>
    <t>chr_0011_seraph_84</t>
  </si>
  <si>
    <t>84.41058278981697</t>
  </si>
  <si>
    <t>86.30443930149353</t>
  </si>
  <si>
    <t>119.64287818220089</t>
  </si>
  <si>
    <t>140.9381443298973</t>
  </si>
  <si>
    <t>chr_0011_seraph_85</t>
  </si>
  <si>
    <t>85.31516936671579</t>
  </si>
  <si>
    <t>87.23122238586129</t>
  </si>
  <si>
    <t>120.89307805596484</t>
  </si>
  <si>
    <t>142.4536082474231</t>
  </si>
  <si>
    <t>chr_0011_seraph_86</t>
  </si>
  <si>
    <t>86.21975594361459</t>
  </si>
  <si>
    <t>88.15800547022906</t>
  </si>
  <si>
    <t>122.14327792972877</t>
  </si>
  <si>
    <t>143.96907216494887</t>
  </si>
  <si>
    <t>chr_0011_seraph_87</t>
  </si>
  <si>
    <t>87.12434252051338</t>
  </si>
  <si>
    <t>89.08478855459681</t>
  </si>
  <si>
    <t>123.39347780349271</t>
  </si>
  <si>
    <t>145.48453608247465</t>
  </si>
  <si>
    <t>chr_0011_seraph_88</t>
  </si>
  <si>
    <t>88.02892909741217</t>
  </si>
  <si>
    <t>90.01157163896458</t>
  </si>
  <si>
    <t>124.64367767725665</t>
  </si>
  <si>
    <t>147.00000000000043</t>
  </si>
  <si>
    <t>chr_0011_seraph_89</t>
  </si>
  <si>
    <t>88.933515674311</t>
  </si>
  <si>
    <t>90.93835472333235</t>
  </si>
  <si>
    <t>125.8938775510206</t>
  </si>
  <si>
    <t>148.5154639175262</t>
  </si>
  <si>
    <t>chr_0011_seraph_90</t>
  </si>
  <si>
    <t>89.83810225120979</t>
  </si>
  <si>
    <t>91.86513780770011</t>
  </si>
  <si>
    <t>127.14407742478453</t>
  </si>
  <si>
    <t>150.03092783505198</t>
  </si>
  <si>
    <t>chr_0011_seraph_91</t>
  </si>
  <si>
    <t>90.74268882810858</t>
  </si>
  <si>
    <t>92.79192089206788</t>
  </si>
  <si>
    <t>128.39427729854847</t>
  </si>
  <si>
    <t>151.54639175257776</t>
  </si>
  <si>
    <t>chr_0011_seraph_92</t>
  </si>
  <si>
    <t>91.64727540500738</t>
  </si>
  <si>
    <t>93.71870397643563</t>
  </si>
  <si>
    <t>129.6444771723124</t>
  </si>
  <si>
    <t>153.06185567010354</t>
  </si>
  <si>
    <t>chr_0011_seraph_93</t>
  </si>
  <si>
    <t>92.5518619819062</t>
  </si>
  <si>
    <t>94.6454870608034</t>
  </si>
  <si>
    <t>130.89467704607637</t>
  </si>
  <si>
    <t>154.57731958762932</t>
  </si>
  <si>
    <t>chr_0011_seraph_94</t>
  </si>
  <si>
    <t>93.456448558805</t>
  </si>
  <si>
    <t>95.57227014517117</t>
  </si>
  <si>
    <t>132.1448769198403</t>
  </si>
  <si>
    <t>156.0927835051551</t>
  </si>
  <si>
    <t>chr_0011_seraph_95</t>
  </si>
  <si>
    <t>94.36103513570379</t>
  </si>
  <si>
    <t>96.49905322953893</t>
  </si>
  <si>
    <t>133.39507679360423</t>
  </si>
  <si>
    <t>157.60824742268088</t>
  </si>
  <si>
    <t>chr_0011_seraph_96</t>
  </si>
  <si>
    <t>95.26562171260258</t>
  </si>
  <si>
    <t>97.4258363139067</t>
  </si>
  <si>
    <t>134.6452766673682</t>
  </si>
  <si>
    <t>159.12371134020665</t>
  </si>
  <si>
    <t>chr_0011_seraph_97</t>
  </si>
  <si>
    <t>96.1702082895014</t>
  </si>
  <si>
    <t>98.35261939827446</t>
  </si>
  <si>
    <t>135.89547654113213</t>
  </si>
  <si>
    <t>160.63917525773243</t>
  </si>
  <si>
    <t>chr_0011_seraph_98</t>
  </si>
  <si>
    <t>97.0747948664002</t>
  </si>
  <si>
    <t>99.27940248264223</t>
  </si>
  <si>
    <t>137.14567641489606</t>
  </si>
  <si>
    <t>162.1546391752582</t>
  </si>
  <si>
    <t>chr_0011_seraph_99</t>
  </si>
  <si>
    <t>97.97938144329899</t>
  </si>
  <si>
    <t>100.20618556701</t>
  </si>
  <si>
    <t>138.39587628866002</t>
  </si>
  <si>
    <t>163.670103092784</t>
  </si>
  <si>
    <t>chr_0014_aurora_1</t>
  </si>
  <si>
    <t>chr_0014_aurora</t>
  </si>
  <si>
    <t>昼雪</t>
  </si>
  <si>
    <t>Snowshine</t>
  </si>
  <si>
    <t>庇护, 治疗, 寒冷附着</t>
  </si>
  <si>
    <t>12.3711340206186</t>
  </si>
  <si>
    <t>11.0</t>
  </si>
  <si>
    <r>
      <t>【失温庇护所】战技</t>
    </r>
    <r>
      <rPr>
        <b/>
        <sz val="11"/>
        <color rgb="FF33C2FF"/>
        <rFont val="宋体"/>
        <charset val="134"/>
      </rPr>
      <t>饱和性防御</t>
    </r>
    <r>
      <rPr>
        <sz val="11"/>
        <color theme="1"/>
        <rFont val="宋体"/>
        <family val="2"/>
        <scheme val="minor"/>
      </rPr>
      <t>的格挡效果持续期间，处于</t>
    </r>
    <r>
      <rPr>
        <b/>
        <u/>
        <sz val="11"/>
        <color rgb="FF33C2FF"/>
        <rFont val="宋体"/>
        <charset val="134"/>
      </rPr>
      <t>庇护</t>
    </r>
    <r>
      <rPr>
        <sz val="11"/>
        <color theme="1"/>
        <rFont val="宋体"/>
        <family val="2"/>
        <scheme val="minor"/>
      </rPr>
      <t>状态的友方干员无法被施加</t>
    </r>
    <r>
      <rPr>
        <b/>
        <u/>
        <sz val="11"/>
        <color rgb="FF33C2FF"/>
        <rFont val="宋体"/>
        <charset val="134"/>
      </rPr>
      <t>法术附着</t>
    </r>
    <r>
      <rPr>
        <sz val="11"/>
        <color theme="1"/>
        <rFont val="宋体"/>
        <family val="2"/>
        <scheme val="minor"/>
      </rPr>
      <t>效果。</t>
    </r>
  </si>
  <si>
    <r>
      <t>【暴风雪地带】终结技</t>
    </r>
    <r>
      <rPr>
        <b/>
        <sz val="11"/>
        <color rgb="FF33C2FF"/>
        <rFont val="宋体"/>
        <charset val="134"/>
      </rPr>
      <t>凛冽寒霜</t>
    </r>
    <r>
      <rPr>
        <sz val="11"/>
        <color theme="1"/>
        <rFont val="宋体"/>
        <family val="2"/>
        <scheme val="minor"/>
      </rPr>
      <t>的影响范围</t>
    </r>
    <r>
      <rPr>
        <b/>
        <sz val="11"/>
        <color rgb="FF9EB7FF"/>
        <rFont val="宋体"/>
        <charset val="134"/>
      </rPr>
      <t>+20%</t>
    </r>
    <r>
      <rPr>
        <sz val="11"/>
        <color theme="1"/>
        <rFont val="宋体"/>
        <family val="2"/>
        <scheme val="minor"/>
      </rPr>
      <t>。</t>
    </r>
  </si>
  <si>
    <r>
      <t>【极地生存指南】终结技</t>
    </r>
    <r>
      <rPr>
        <b/>
        <sz val="11"/>
        <color rgb="FF33C2FF"/>
        <rFont val="宋体"/>
        <charset val="134"/>
      </rPr>
      <t>凛冽寒霜</t>
    </r>
    <r>
      <rPr>
        <sz val="11"/>
        <color theme="1"/>
        <rFont val="宋体"/>
        <family val="2"/>
        <scheme val="minor"/>
      </rPr>
      <t>施加的</t>
    </r>
    <r>
      <rPr>
        <b/>
        <u/>
        <sz val="11"/>
        <color rgb="FF30D6E0"/>
        <rFont val="宋体"/>
        <charset val="134"/>
      </rPr>
      <t>冻结</t>
    </r>
    <r>
      <rPr>
        <sz val="11"/>
        <color theme="1"/>
        <rFont val="宋体"/>
        <family val="2"/>
        <scheme val="minor"/>
      </rPr>
      <t>的持续时间</t>
    </r>
    <r>
      <rPr>
        <b/>
        <sz val="11"/>
        <color rgb="FF9EB7FF"/>
        <rFont val="宋体"/>
        <charset val="134"/>
      </rPr>
      <t>+2</t>
    </r>
    <r>
      <rPr>
        <sz val="11"/>
        <color theme="1"/>
        <rFont val="宋体"/>
        <family val="2"/>
        <scheme val="minor"/>
      </rPr>
      <t>秒。</t>
    </r>
  </si>
  <si>
    <r>
      <t>【冻土坚盾】防御力</t>
    </r>
    <r>
      <rPr>
        <b/>
        <sz val="11"/>
        <color rgb="FF9EB7FF"/>
        <rFont val="宋体"/>
        <charset val="134"/>
      </rPr>
      <t>+20</t>
    </r>
    <r>
      <rPr>
        <sz val="11"/>
        <color theme="1"/>
        <rFont val="宋体"/>
        <family val="2"/>
        <scheme val="minor"/>
      </rPr>
      <t>，意志</t>
    </r>
    <r>
      <rPr>
        <b/>
        <sz val="11"/>
        <color rgb="FF9EB7FF"/>
        <rFont val="宋体"/>
        <charset val="134"/>
      </rPr>
      <t>+20</t>
    </r>
    <r>
      <rPr>
        <sz val="11"/>
        <color theme="1"/>
        <rFont val="宋体"/>
        <family val="2"/>
        <scheme val="minor"/>
      </rPr>
      <t>。</t>
    </r>
  </si>
  <si>
    <r>
      <t>【冰灾应对专家】战技</t>
    </r>
    <r>
      <rPr>
        <b/>
        <sz val="11"/>
        <color rgb="FF33C2FF"/>
        <rFont val="宋体"/>
        <charset val="134"/>
      </rPr>
      <t>饱和性防御</t>
    </r>
    <r>
      <rPr>
        <sz val="11"/>
        <color theme="1"/>
        <rFont val="宋体"/>
        <family val="2"/>
        <scheme val="minor"/>
      </rPr>
      <t>成功反击敌人时，</t>
    </r>
    <r>
      <rPr>
        <u/>
        <sz val="11"/>
        <rFont val="宋体"/>
        <charset val="134"/>
      </rPr>
      <t>返还</t>
    </r>
    <r>
      <rPr>
        <b/>
        <sz val="11"/>
        <color rgb="FF9EB7FF"/>
        <rFont val="宋体"/>
        <charset val="134"/>
      </rPr>
      <t>10</t>
    </r>
    <r>
      <rPr>
        <sz val="11"/>
        <color theme="1"/>
        <rFont val="宋体"/>
        <family val="2"/>
        <scheme val="minor"/>
      </rPr>
      <t>点技力。</t>
    </r>
  </si>
  <si>
    <t>chr_0014_aurora_2</t>
  </si>
  <si>
    <t>20.08857563644011</t>
  </si>
  <si>
    <t>13.407153376814685</t>
  </si>
  <si>
    <t>12.1</t>
  </si>
  <si>
    <t>chr_0014_aurora_3</t>
  </si>
  <si>
    <t>21.62045024195242</t>
  </si>
  <si>
    <t>14.44317273301077</t>
  </si>
  <si>
    <t>13.2</t>
  </si>
  <si>
    <t>chr_0014_aurora_4</t>
  </si>
  <si>
    <t>23.152324847464726</t>
  </si>
  <si>
    <t>15.479192089206858</t>
  </si>
  <si>
    <t>14.3</t>
  </si>
  <si>
    <t>chr_0014_aurora_5</t>
  </si>
  <si>
    <t>24.684199452977033</t>
  </si>
  <si>
    <t>16.515211445402944</t>
  </si>
  <si>
    <t>15.399999999999999</t>
  </si>
  <si>
    <t>chr_0014_aurora_6</t>
  </si>
  <si>
    <t>26.21607405848934</t>
  </si>
  <si>
    <t>17.55123080159903</t>
  </si>
  <si>
    <t>16.5</t>
  </si>
  <si>
    <t>chr_0014_aurora_7</t>
  </si>
  <si>
    <t>27.74794866400165</t>
  </si>
  <si>
    <t>18.587250157795115</t>
  </si>
  <si>
    <t>17.6</t>
  </si>
  <si>
    <t>chr_0014_aurora_8</t>
  </si>
  <si>
    <t>29.279823269513958</t>
  </si>
  <si>
    <t>19.6232695139912</t>
  </si>
  <si>
    <t>18.7</t>
  </si>
  <si>
    <t>chr_0014_aurora_9</t>
  </si>
  <si>
    <t>30.81169787502627</t>
  </si>
  <si>
    <t>20.659288870187286</t>
  </si>
  <si>
    <t>19.799999999999997</t>
  </si>
  <si>
    <t>chr_0014_aurora_10</t>
  </si>
  <si>
    <t>32.343572480538576</t>
  </si>
  <si>
    <t>21.69530822638337</t>
  </si>
  <si>
    <t>20.9</t>
  </si>
  <si>
    <t>chr_0014_aurora_11</t>
  </si>
  <si>
    <t>33.87544708605088</t>
  </si>
  <si>
    <t>22.731327582579457</t>
  </si>
  <si>
    <t>22.0</t>
  </si>
  <si>
    <t>chr_0014_aurora_12</t>
  </si>
  <si>
    <t>35.40732169156319</t>
  </si>
  <si>
    <t>23.767346938775542</t>
  </si>
  <si>
    <t>23.099999999999998</t>
  </si>
  <si>
    <t>chr_0014_aurora_13</t>
  </si>
  <si>
    <t>36.9391962970755</t>
  </si>
  <si>
    <t>24.80336629497163</t>
  </si>
  <si>
    <t>24.2</t>
  </si>
  <si>
    <t>chr_0014_aurora_14</t>
  </si>
  <si>
    <t>38.47107090258781</t>
  </si>
  <si>
    <t>25.839385651167717</t>
  </si>
  <si>
    <t>25.299999999999997</t>
  </si>
  <si>
    <t>chr_0014_aurora_15</t>
  </si>
  <si>
    <t>40.00294550810011</t>
  </si>
  <si>
    <t>26.875405007363803</t>
  </si>
  <si>
    <t>26.4</t>
  </si>
  <si>
    <t>chr_0014_aurora_16</t>
  </si>
  <si>
    <t>41.534820113612426</t>
  </si>
  <si>
    <t>27.911424363559888</t>
  </si>
  <si>
    <t>27.499999999999996</t>
  </si>
  <si>
    <t>chr_0014_aurora_17</t>
  </si>
  <si>
    <t>43.06669471912473</t>
  </si>
  <si>
    <t>28.947443719755974</t>
  </si>
  <si>
    <t>28.599999999999998</t>
  </si>
  <si>
    <t>chr_0014_aurora_18</t>
  </si>
  <si>
    <t>44.59856932463704</t>
  </si>
  <si>
    <t>29.98346307595206</t>
  </si>
  <si>
    <t>29.7</t>
  </si>
  <si>
    <t>chr_0014_aurora_19</t>
  </si>
  <si>
    <t>46.130443930149355</t>
  </si>
  <si>
    <t>31.019482432148145</t>
  </si>
  <si>
    <t>30.799999999999997</t>
  </si>
  <si>
    <t>chr_0014_aurora_20</t>
  </si>
  <si>
    <t>47.662318535661655</t>
  </si>
  <si>
    <t>32.05550178834423</t>
  </si>
  <si>
    <t>31.9</t>
  </si>
  <si>
    <t>【极地生存 Lv.1】对生命值不高于45%的目标，治疗效果+15%。</t>
  </si>
  <si>
    <r>
      <t>【极地生存 Lv.1】对生命值不高于45%的目标，治疗效果</t>
    </r>
    <r>
      <rPr>
        <b/>
        <sz val="11"/>
        <color rgb="FFB4D945"/>
        <rFont val="宋体"/>
        <charset val="134"/>
      </rPr>
      <t>+15%</t>
    </r>
    <r>
      <rPr>
        <sz val="11"/>
        <color theme="1"/>
        <rFont val="宋体"/>
        <family val="2"/>
        <scheme val="minor"/>
      </rPr>
      <t>。</t>
    </r>
  </si>
  <si>
    <t>chr_0014_aurora_21</t>
  </si>
  <si>
    <t>49.19419314117397</t>
  </si>
  <si>
    <t>33.091521144540316</t>
  </si>
  <si>
    <t>33.0</t>
  </si>
  <si>
    <t>chr_0014_aurora_22</t>
  </si>
  <si>
    <t>50.72606774668627</t>
  </si>
  <si>
    <t>34.1275405007364</t>
  </si>
  <si>
    <t>34.099999999999994</t>
  </si>
  <si>
    <t>chr_0014_aurora_23</t>
  </si>
  <si>
    <t>52.25794235219858</t>
  </si>
  <si>
    <t>35.16355985693249</t>
  </si>
  <si>
    <t>35.199999999999996</t>
  </si>
  <si>
    <t>chr_0014_aurora_24</t>
  </si>
  <si>
    <t>53.7898169577109</t>
  </si>
  <si>
    <t>36.19957921312857</t>
  </si>
  <si>
    <t>36.3</t>
  </si>
  <si>
    <t>chr_0014_aurora_25</t>
  </si>
  <si>
    <t>55.3216915632232</t>
  </si>
  <si>
    <t>37.23559856932466</t>
  </si>
  <si>
    <t>37.4</t>
  </si>
  <si>
    <t>chr_0014_aurora_26</t>
  </si>
  <si>
    <t>56.85356616873551</t>
  </si>
  <si>
    <t>38.271617925520744</t>
  </si>
  <si>
    <t>38.5</t>
  </si>
  <si>
    <t>chr_0014_aurora_27</t>
  </si>
  <si>
    <t>58.38544077424781</t>
  </si>
  <si>
    <t>39.30763728171683</t>
  </si>
  <si>
    <t>39.599999999999994</t>
  </si>
  <si>
    <t>chr_0014_aurora_28</t>
  </si>
  <si>
    <t>59.917315379760126</t>
  </si>
  <si>
    <t>40.343656637912915</t>
  </si>
  <si>
    <t>40.699999999999996</t>
  </si>
  <si>
    <t>chr_0014_aurora_29</t>
  </si>
  <si>
    <t>61.449189985272426</t>
  </si>
  <si>
    <t>41.379675994109</t>
  </si>
  <si>
    <t>41.8</t>
  </si>
  <si>
    <t>chr_0014_aurora_30</t>
  </si>
  <si>
    <t>62.98106459078474</t>
  </si>
  <si>
    <t>42.415695350305086</t>
  </si>
  <si>
    <t>42.89999999999999</t>
  </si>
  <si>
    <t>chr_0014_aurora_31</t>
  </si>
  <si>
    <t>64.51293919629705</t>
  </si>
  <si>
    <t>43.45171470650117</t>
  </si>
  <si>
    <t>43.99999999999999</t>
  </si>
  <si>
    <t>chr_0014_aurora_32</t>
  </si>
  <si>
    <t>66.04481380180935</t>
  </si>
  <si>
    <t>44.48773406269726</t>
  </si>
  <si>
    <t>45.099999999999994</t>
  </si>
  <si>
    <t>chr_0014_aurora_33</t>
  </si>
  <si>
    <t>67.57668840732167</t>
  </si>
  <si>
    <t>45.52375341889334</t>
  </si>
  <si>
    <t>46.199999999999996</t>
  </si>
  <si>
    <t>chr_0014_aurora_34</t>
  </si>
  <si>
    <t>69.10856301283397</t>
  </si>
  <si>
    <t>46.55977277508943</t>
  </si>
  <si>
    <t>47.3</t>
  </si>
  <si>
    <t>chr_0014_aurora_35</t>
  </si>
  <si>
    <t>70.64043761834628</t>
  </si>
  <si>
    <t>47.59579213128551</t>
  </si>
  <si>
    <t>48.4</t>
  </si>
  <si>
    <t>chr_0014_aurora_36</t>
  </si>
  <si>
    <t>72.17231222385858</t>
  </si>
  <si>
    <t>48.6318114874816</t>
  </si>
  <si>
    <t>49.49999999999999</t>
  </si>
  <si>
    <t>chr_0014_aurora_37</t>
  </si>
  <si>
    <t>73.7041868293709</t>
  </si>
  <si>
    <t>49.667830843677685</t>
  </si>
  <si>
    <t>50.599999999999994</t>
  </si>
  <si>
    <t>chr_0014_aurora_38</t>
  </si>
  <si>
    <t>75.23606143488321</t>
  </si>
  <si>
    <t>50.70385019987377</t>
  </si>
  <si>
    <t>51.699999999999996</t>
  </si>
  <si>
    <t>chr_0014_aurora_39</t>
  </si>
  <si>
    <t>76.76793604039551</t>
  </si>
  <si>
    <t>51.739869556069856</t>
  </si>
  <si>
    <t>52.8</t>
  </si>
  <si>
    <t>chr_0014_aurora_40</t>
  </si>
  <si>
    <t>78.29981064590783</t>
  </si>
  <si>
    <t>52.77588891226594</t>
  </si>
  <si>
    <t>53.89999999999999</t>
  </si>
  <si>
    <t>chr_0014_aurora_41</t>
  </si>
  <si>
    <t>79.83168525142013</t>
  </si>
  <si>
    <t>53.81190826846203</t>
  </si>
  <si>
    <t>54.99999999999999</t>
  </si>
  <si>
    <t>chr_0014_aurora_42</t>
  </si>
  <si>
    <t>81.36355985693244</t>
  </si>
  <si>
    <t>54.84792762465811</t>
  </si>
  <si>
    <t>56.099999999999994</t>
  </si>
  <si>
    <t>chr_0014_aurora_43</t>
  </si>
  <si>
    <t>82.89543446244474</t>
  </si>
  <si>
    <t>55.8839469808542</t>
  </si>
  <si>
    <t>57.199999999999996</t>
  </si>
  <si>
    <t>chr_0014_aurora_44</t>
  </si>
  <si>
    <t>84.42730906795705</t>
  </si>
  <si>
    <t>56.91996633705028</t>
  </si>
  <si>
    <t>58.3</t>
  </si>
  <si>
    <t>chr_0014_aurora_45</t>
  </si>
  <si>
    <t>85.95918367346935</t>
  </si>
  <si>
    <t>57.95598569324637</t>
  </si>
  <si>
    <t>59.39999999999999</t>
  </si>
  <si>
    <t>chr_0014_aurora_46</t>
  </si>
  <si>
    <t>87.49105827898167</t>
  </si>
  <si>
    <t>58.992005049442454</t>
  </si>
  <si>
    <t>60.49999999999999</t>
  </si>
  <si>
    <t>chr_0014_aurora_47</t>
  </si>
  <si>
    <t>89.02293288449398</t>
  </si>
  <si>
    <t>60.02802440563854</t>
  </si>
  <si>
    <t>61.599999999999994</t>
  </si>
  <si>
    <t>chr_0014_aurora_48</t>
  </si>
  <si>
    <t>90.55480749000628</t>
  </si>
  <si>
    <t>61.064043761834625</t>
  </si>
  <si>
    <t>62.699999999999996</t>
  </si>
  <si>
    <t>chr_0014_aurora_49</t>
  </si>
  <si>
    <t>92.0866820955186</t>
  </si>
  <si>
    <t>62.10006311803072</t>
  </si>
  <si>
    <t>63.8</t>
  </si>
  <si>
    <t>chr_0014_aurora_50</t>
  </si>
  <si>
    <t>93.6185567010309</t>
  </si>
  <si>
    <t>63.136082474226804</t>
  </si>
  <si>
    <t>64.89999999999999</t>
  </si>
  <si>
    <t>chr_0014_aurora_51</t>
  </si>
  <si>
    <t>95.15043130654321</t>
  </si>
  <si>
    <t>64.17210183042289</t>
  </si>
  <si>
    <t>66.0</t>
  </si>
  <si>
    <t>chr_0014_aurora_52</t>
  </si>
  <si>
    <t>96.68230591205551</t>
  </si>
  <si>
    <t>65.20812118661898</t>
  </si>
  <si>
    <t>67.1</t>
  </si>
  <si>
    <t>chr_0014_aurora_53</t>
  </si>
  <si>
    <t>98.21418051756783</t>
  </si>
  <si>
    <t>66.24414054281506</t>
  </si>
  <si>
    <t>68.19999999999999</t>
  </si>
  <si>
    <t>chr_0014_aurora_54</t>
  </si>
  <si>
    <t>99.74605512308014</t>
  </si>
  <si>
    <t>67.28015989901115</t>
  </si>
  <si>
    <t>69.29999999999998</t>
  </si>
  <si>
    <t>chr_0014_aurora_55</t>
  </si>
  <si>
    <t>101.27792972859244</t>
  </si>
  <si>
    <t>68.31617925520723</t>
  </si>
  <si>
    <t>70.39999999999999</t>
  </si>
  <si>
    <t>chr_0014_aurora_56</t>
  </si>
  <si>
    <t>102.80980433410475</t>
  </si>
  <si>
    <t>69.35219861140332</t>
  </si>
  <si>
    <t>71.5</t>
  </si>
  <si>
    <t>chr_0014_aurora_57</t>
  </si>
  <si>
    <t>104.34167893961705</t>
  </si>
  <si>
    <t>70.3882179675994</t>
  </si>
  <si>
    <t>72.6</t>
  </si>
  <si>
    <t>chr_0014_aurora_58</t>
  </si>
  <si>
    <t>105.87355354512937</t>
  </si>
  <si>
    <t>71.4242373237955</t>
  </si>
  <si>
    <t>73.69999999999999</t>
  </si>
  <si>
    <t>chr_0014_aurora_59</t>
  </si>
  <si>
    <t>107.40542815064168</t>
  </si>
  <si>
    <t>72.46025667999157</t>
  </si>
  <si>
    <t>74.79999999999998</t>
  </si>
  <si>
    <t>chr_0014_aurora_60</t>
  </si>
  <si>
    <t>108.93730275615398</t>
  </si>
  <si>
    <t>73.49627603618767</t>
  </si>
  <si>
    <t>75.89999999999999</t>
  </si>
  <si>
    <r>
      <t>【极地生存 Lv.2】对生命值不高于55%的目标，治疗效果</t>
    </r>
    <r>
      <rPr>
        <b/>
        <sz val="11"/>
        <color rgb="FFB4D945"/>
        <rFont val="宋体"/>
        <charset val="134"/>
      </rPr>
      <t>+25%</t>
    </r>
    <r>
      <rPr>
        <sz val="11"/>
        <color theme="1"/>
        <rFont val="宋体"/>
        <family val="2"/>
        <scheme val="minor"/>
      </rPr>
      <t>。</t>
    </r>
  </si>
  <si>
    <t>【救援专家 Lv.2】战技饱和性防御成功格挡攻击后，额外获得10终结技能量。</t>
  </si>
  <si>
    <r>
      <t>【救援专家 Lv.1】战技</t>
    </r>
    <r>
      <rPr>
        <b/>
        <sz val="11"/>
        <color rgb="FF33C2FF"/>
        <rFont val="宋体"/>
        <charset val="134"/>
      </rPr>
      <t>饱和性防御</t>
    </r>
    <r>
      <rPr>
        <sz val="11"/>
        <color theme="1"/>
        <rFont val="宋体"/>
        <family val="2"/>
        <scheme val="minor"/>
      </rPr>
      <t>成功格挡攻击后，额外获得</t>
    </r>
    <r>
      <rPr>
        <b/>
        <sz val="11"/>
        <color rgb="FF9EB7FF"/>
        <rFont val="宋体"/>
        <charset val="134"/>
      </rPr>
      <t>6</t>
    </r>
    <r>
      <rPr>
        <sz val="11"/>
        <color theme="1"/>
        <rFont val="宋体"/>
        <family val="2"/>
        <scheme val="minor"/>
      </rPr>
      <t>终结技能量。</t>
    </r>
  </si>
  <si>
    <r>
      <t>【救援专家 Lv.2】战技</t>
    </r>
    <r>
      <rPr>
        <b/>
        <sz val="11"/>
        <color rgb="FF33C2FF"/>
        <rFont val="宋体"/>
        <charset val="134"/>
      </rPr>
      <t>饱和性防御</t>
    </r>
    <r>
      <rPr>
        <sz val="11"/>
        <color theme="1"/>
        <rFont val="宋体"/>
        <family val="2"/>
        <scheme val="minor"/>
      </rPr>
      <t>成功格挡攻击后，额外获得</t>
    </r>
    <r>
      <rPr>
        <b/>
        <sz val="11"/>
        <color rgb="FF9EB7FF"/>
        <rFont val="宋体"/>
        <charset val="134"/>
      </rPr>
      <t>10</t>
    </r>
    <r>
      <rPr>
        <sz val="11"/>
        <color theme="1"/>
        <rFont val="宋体"/>
        <family val="2"/>
        <scheme val="minor"/>
      </rPr>
      <t>终结技能量。</t>
    </r>
  </si>
  <si>
    <t>chr_0014_aurora_61</t>
  </si>
  <si>
    <t>110.4691773616663</t>
  </si>
  <si>
    <t>74.53229539238374</t>
  </si>
  <si>
    <t>76.99999999999999</t>
  </si>
  <si>
    <t>chr_0014_aurora_62</t>
  </si>
  <si>
    <t>112.0010519671786</t>
  </si>
  <si>
    <t>75.56831474857984</t>
  </si>
  <si>
    <t>78.1</t>
  </si>
  <si>
    <t>chr_0014_aurora_63</t>
  </si>
  <si>
    <t>113.53292657269091</t>
  </si>
  <si>
    <t>76.60433410477592</t>
  </si>
  <si>
    <t>79.19999999999999</t>
  </si>
  <si>
    <t>chr_0014_aurora_64</t>
  </si>
  <si>
    <t>115.06480117820321</t>
  </si>
  <si>
    <t>77.640353460972</t>
  </si>
  <si>
    <t>80.3</t>
  </si>
  <si>
    <t>chr_0014_aurora_65</t>
  </si>
  <si>
    <t>116.59667578371553</t>
  </si>
  <si>
    <t>78.67637281716809</t>
  </si>
  <si>
    <t>81.39999999999999</t>
  </si>
  <si>
    <t>chr_0014_aurora_66</t>
  </si>
  <si>
    <t>118.12855038922784</t>
  </si>
  <si>
    <t>79.71239217336418</t>
  </si>
  <si>
    <t>82.49999999999999</t>
  </si>
  <si>
    <t>chr_0014_aurora_67</t>
  </si>
  <si>
    <t>119.66042499474014</t>
  </si>
  <si>
    <t>80.74841152956026</t>
  </si>
  <si>
    <t>83.6</t>
  </si>
  <si>
    <t>chr_0014_aurora_68</t>
  </si>
  <si>
    <t>121.19229960025245</t>
  </si>
  <si>
    <t>81.78443088575635</t>
  </si>
  <si>
    <t>84.69999999999999</t>
  </si>
  <si>
    <t>chr_0014_aurora_69</t>
  </si>
  <si>
    <t>122.72417420576475</t>
  </si>
  <si>
    <t>82.82045024195243</t>
  </si>
  <si>
    <t>85.8</t>
  </si>
  <si>
    <t>chr_0014_aurora_70</t>
  </si>
  <si>
    <t>124.25604881127707</t>
  </si>
  <si>
    <t>83.85646959814852</t>
  </si>
  <si>
    <t>86.89999999999999</t>
  </si>
  <si>
    <t>chr_0014_aurora_71</t>
  </si>
  <si>
    <t>125.78792341678937</t>
  </si>
  <si>
    <t>84.8924889543446</t>
  </si>
  <si>
    <t>87.99999999999999</t>
  </si>
  <si>
    <t>chr_0014_aurora_72</t>
  </si>
  <si>
    <t>127.31979802230168</t>
  </si>
  <si>
    <t>85.92850831054069</t>
  </si>
  <si>
    <t>89.1</t>
  </si>
  <si>
    <t>chr_0014_aurora_73</t>
  </si>
  <si>
    <t>128.851672627814</t>
  </si>
  <si>
    <t>86.96452766673677</t>
  </si>
  <si>
    <t>90.19999999999999</t>
  </si>
  <si>
    <t>chr_0014_aurora_74</t>
  </si>
  <si>
    <t>130.3835472333263</t>
  </si>
  <si>
    <t>88.00054702293286</t>
  </si>
  <si>
    <t>91.3</t>
  </si>
  <si>
    <t>chr_0014_aurora_75</t>
  </si>
  <si>
    <t>131.91542183883863</t>
  </si>
  <si>
    <t>89.03656637912894</t>
  </si>
  <si>
    <t>92.39999999999999</t>
  </si>
  <si>
    <t>chr_0014_aurora_76</t>
  </si>
  <si>
    <t>133.4472964443509</t>
  </si>
  <si>
    <t>90.07258573532503</t>
  </si>
  <si>
    <t>93.49999999999999</t>
  </si>
  <si>
    <t>chr_0014_aurora_77</t>
  </si>
  <si>
    <t>134.97917104986323</t>
  </si>
  <si>
    <t>91.10860509152111</t>
  </si>
  <si>
    <t>94.6</t>
  </si>
  <si>
    <t>chr_0014_aurora_78</t>
  </si>
  <si>
    <t>136.51104565537554</t>
  </si>
  <si>
    <t>92.1446244477172</t>
  </si>
  <si>
    <t>95.69999999999999</t>
  </si>
  <si>
    <t>chr_0014_aurora_79</t>
  </si>
  <si>
    <t>138.04292026088785</t>
  </si>
  <si>
    <t>93.18064380391328</t>
  </si>
  <si>
    <t>96.79999999999998</t>
  </si>
  <si>
    <t>chr_0014_aurora_80</t>
  </si>
  <si>
    <t>139.57479486640017</t>
  </si>
  <si>
    <t>94.21666316010938</t>
  </si>
  <si>
    <t>97.89999999999999</t>
  </si>
  <si>
    <t>chr_0014_aurora_81</t>
  </si>
  <si>
    <t>141.10666947191245</t>
  </si>
  <si>
    <t>95.25268251630546</t>
  </si>
  <si>
    <t>98.99999999999999</t>
  </si>
  <si>
    <t>chr_0014_aurora_82</t>
  </si>
  <si>
    <t>142.63854407742477</t>
  </si>
  <si>
    <t>96.28870187250155</t>
  </si>
  <si>
    <t>100.1</t>
  </si>
  <si>
    <t>chr_0014_aurora_83</t>
  </si>
  <si>
    <t>144.17041868293708</t>
  </si>
  <si>
    <t>97.32472122869763</t>
  </si>
  <si>
    <t>101.19999999999999</t>
  </si>
  <si>
    <t>chr_0014_aurora_84</t>
  </si>
  <si>
    <t>145.7022932884494</t>
  </si>
  <si>
    <t>98.36074058489372</t>
  </si>
  <si>
    <t>102.29999999999998</t>
  </si>
  <si>
    <t>chr_0014_aurora_85</t>
  </si>
  <si>
    <t>147.23416789396168</t>
  </si>
  <si>
    <t>99.3967599410898</t>
  </si>
  <si>
    <t>103.39999999999999</t>
  </si>
  <si>
    <t>chr_0014_aurora_86</t>
  </si>
  <si>
    <t>148.766042499474</t>
  </si>
  <si>
    <t>100.43277929728589</t>
  </si>
  <si>
    <t>104.49999999999999</t>
  </si>
  <si>
    <t>chr_0014_aurora_87</t>
  </si>
  <si>
    <t>150.2979171049863</t>
  </si>
  <si>
    <t>101.46879865348197</t>
  </si>
  <si>
    <t>105.6</t>
  </si>
  <si>
    <t>chr_0014_aurora_88</t>
  </si>
  <si>
    <t>151.82979171049863</t>
  </si>
  <si>
    <t>102.50481800967806</t>
  </si>
  <si>
    <t>106.69999999999999</t>
  </si>
  <si>
    <t>chr_0014_aurora_89</t>
  </si>
  <si>
    <t>153.3616663160109</t>
  </si>
  <si>
    <t>103.54083736587414</t>
  </si>
  <si>
    <t>107.79999999999998</t>
  </si>
  <si>
    <t>chr_0014_aurora_90</t>
  </si>
  <si>
    <t>154.89354092152323</t>
  </si>
  <si>
    <t>104.57685672207023</t>
  </si>
  <si>
    <t>108.89999999999999</t>
  </si>
  <si>
    <t>chr_0014_aurora_91</t>
  </si>
  <si>
    <t>156.42541552703554</t>
  </si>
  <si>
    <t>105.61287607826631</t>
  </si>
  <si>
    <t>109.99999999999999</t>
  </si>
  <si>
    <t>chr_0014_aurora_92</t>
  </si>
  <si>
    <t>157.95729013254785</t>
  </si>
  <si>
    <t>106.6488954344624</t>
  </si>
  <si>
    <t>111.1</t>
  </si>
  <si>
    <t>chr_0014_aurora_93</t>
  </si>
  <si>
    <t>159.48916473806017</t>
  </si>
  <si>
    <t>107.68491479065848</t>
  </si>
  <si>
    <t>112.19999999999999</t>
  </si>
  <si>
    <t>chr_0014_aurora_94</t>
  </si>
  <si>
    <t>161.02103934357245</t>
  </si>
  <si>
    <t>108.72093414685457</t>
  </si>
  <si>
    <t>113.29999999999998</t>
  </si>
  <si>
    <t>chr_0014_aurora_95</t>
  </si>
  <si>
    <t>162.55291394908477</t>
  </si>
  <si>
    <t>109.75695350305065</t>
  </si>
  <si>
    <t>114.39999999999999</t>
  </si>
  <si>
    <t>chr_0014_aurora_96</t>
  </si>
  <si>
    <t>164.08478855459708</t>
  </si>
  <si>
    <t>110.79297285924675</t>
  </si>
  <si>
    <t>115.49999999999999</t>
  </si>
  <si>
    <t>chr_0014_aurora_97</t>
  </si>
  <si>
    <t>165.6166631601094</t>
  </si>
  <si>
    <t>111.82899221544284</t>
  </si>
  <si>
    <t>116.6</t>
  </si>
  <si>
    <t>chr_0014_aurora_98</t>
  </si>
  <si>
    <t>167.1485377656217</t>
  </si>
  <si>
    <t>112.86501157163892</t>
  </si>
  <si>
    <t>117.69999999999999</t>
  </si>
  <si>
    <t>chr_0014_aurora_99</t>
  </si>
  <si>
    <t>168.680412371134</t>
  </si>
  <si>
    <t>113.90103092783501</t>
  </si>
  <si>
    <t>118.79999999999998</t>
  </si>
  <si>
    <t>chr_0012_avywen_1</t>
  </si>
  <si>
    <t>chr_0012_avywen</t>
  </si>
  <si>
    <t>艾维文娜</t>
  </si>
  <si>
    <t>Avywenna</t>
  </si>
  <si>
    <t>突击</t>
  </si>
  <si>
    <t>大量伤害, 法术脆弱</t>
  </si>
  <si>
    <t>长柄武器</t>
  </si>
  <si>
    <t>12.8865979381443</t>
  </si>
  <si>
    <t>14.1237113402062</t>
  </si>
  <si>
    <t>15.0</t>
  </si>
  <si>
    <r>
      <t>【筹码加倍】天赋</t>
    </r>
    <r>
      <rPr>
        <b/>
        <sz val="11"/>
        <color rgb="FF33C2FF"/>
        <rFont val="宋体"/>
        <charset val="134"/>
      </rPr>
      <t>高效派送</t>
    </r>
    <r>
      <rPr>
        <sz val="11"/>
        <color theme="1"/>
        <rFont val="宋体"/>
        <family val="2"/>
        <scheme val="minor"/>
      </rPr>
      <t>效果加强：获得的终结技能量</t>
    </r>
    <r>
      <rPr>
        <b/>
        <sz val="11"/>
        <color rgb="FF9EB7FF"/>
        <rFont val="宋体"/>
        <charset val="134"/>
      </rPr>
      <t>+2</t>
    </r>
    <r>
      <rPr>
        <sz val="11"/>
        <color theme="1"/>
        <rFont val="宋体"/>
        <family val="2"/>
        <scheme val="minor"/>
      </rPr>
      <t>点。</t>
    </r>
  </si>
  <si>
    <r>
      <t>【大棒悬头】</t>
    </r>
    <r>
      <rPr>
        <b/>
        <sz val="11"/>
        <color rgb="FF33C2FF"/>
        <rFont val="宋体"/>
        <charset val="134"/>
      </rPr>
      <t>雷枪</t>
    </r>
    <r>
      <rPr>
        <sz val="11"/>
        <color theme="1"/>
        <rFont val="宋体"/>
        <family val="2"/>
        <scheme val="minor"/>
      </rPr>
      <t>、</t>
    </r>
    <r>
      <rPr>
        <b/>
        <sz val="11"/>
        <color rgb="FF33C2FF"/>
        <rFont val="宋体"/>
        <charset val="134"/>
      </rPr>
      <t>强雷枪</t>
    </r>
    <r>
      <rPr>
        <sz val="11"/>
        <color theme="1"/>
        <rFont val="宋体"/>
        <family val="2"/>
        <scheme val="minor"/>
      </rPr>
      <t>的存在时间</t>
    </r>
    <r>
      <rPr>
        <b/>
        <sz val="11"/>
        <color rgb="FF9EB7FF"/>
        <rFont val="宋体"/>
        <charset val="134"/>
      </rPr>
      <t>+20</t>
    </r>
    <r>
      <rPr>
        <sz val="11"/>
        <color theme="1"/>
        <rFont val="宋体"/>
        <family val="2"/>
        <scheme val="minor"/>
      </rPr>
      <t>秒。</t>
    </r>
  </si>
  <si>
    <r>
      <t>【绝不让步】意志</t>
    </r>
    <r>
      <rPr>
        <b/>
        <sz val="11"/>
        <color rgb="FF9EB7FF"/>
        <rFont val="宋体"/>
        <charset val="134"/>
      </rPr>
      <t>+15</t>
    </r>
    <r>
      <rPr>
        <sz val="11"/>
        <color theme="1"/>
        <rFont val="宋体"/>
        <family val="2"/>
        <scheme val="minor"/>
      </rPr>
      <t>，造成的</t>
    </r>
    <r>
      <rPr>
        <b/>
        <sz val="11"/>
        <color rgb="FFFFCC00"/>
        <rFont val="宋体"/>
        <charset val="134"/>
      </rPr>
      <t>电磁伤害</t>
    </r>
    <r>
      <rPr>
        <b/>
        <sz val="11"/>
        <color rgb="FF9EB7FF"/>
        <rFont val="宋体"/>
        <charset val="134"/>
      </rPr>
      <t>+8%</t>
    </r>
    <r>
      <rPr>
        <sz val="11"/>
        <color theme="1"/>
        <rFont val="宋体"/>
        <family val="2"/>
        <scheme val="minor"/>
      </rPr>
      <t>。</t>
    </r>
  </si>
  <si>
    <r>
      <t>【经验老到】终结技</t>
    </r>
    <r>
      <rPr>
        <b/>
        <sz val="11"/>
        <color rgb="FF33C2FF"/>
        <rFont val="宋体"/>
        <charset val="134"/>
      </rPr>
      <t>雷枪·决颤</t>
    </r>
    <r>
      <rPr>
        <sz val="11"/>
        <color theme="1"/>
        <rFont val="宋体"/>
        <family val="2"/>
        <scheme val="minor"/>
      </rPr>
      <t>所需的终结技能量</t>
    </r>
    <r>
      <rPr>
        <b/>
        <sz val="11"/>
        <color rgb="FF9EB7FF"/>
        <rFont val="宋体"/>
        <charset val="134"/>
      </rPr>
      <t>-15%</t>
    </r>
    <r>
      <rPr>
        <sz val="11"/>
        <color theme="1"/>
        <rFont val="宋体"/>
        <family val="2"/>
        <scheme val="minor"/>
      </rPr>
      <t>。</t>
    </r>
  </si>
  <si>
    <r>
      <t>【恩威并施】召回的</t>
    </r>
    <r>
      <rPr>
        <b/>
        <sz val="11"/>
        <color rgb="FF33C2FF"/>
        <rFont val="宋体"/>
        <charset val="134"/>
      </rPr>
      <t>雷枪</t>
    </r>
    <r>
      <rPr>
        <sz val="11"/>
        <color theme="1"/>
        <rFont val="宋体"/>
        <family val="2"/>
        <scheme val="minor"/>
      </rPr>
      <t>、</t>
    </r>
    <r>
      <rPr>
        <b/>
        <sz val="11"/>
        <color rgb="FF33C2FF"/>
        <rFont val="宋体"/>
        <charset val="134"/>
      </rPr>
      <t>强雷枪</t>
    </r>
    <r>
      <rPr>
        <sz val="11"/>
        <color theme="1"/>
        <rFont val="宋体"/>
        <family val="2"/>
        <scheme val="minor"/>
      </rPr>
      <t>命中处于</t>
    </r>
    <r>
      <rPr>
        <b/>
        <u/>
        <sz val="11"/>
        <color rgb="FFFFCC00"/>
        <rFont val="宋体"/>
        <charset val="134"/>
      </rPr>
      <t>电磁脆弱</t>
    </r>
    <r>
      <rPr>
        <sz val="11"/>
        <color theme="1"/>
        <rFont val="宋体"/>
        <family val="2"/>
        <scheme val="minor"/>
      </rPr>
      <t>状态的敌人时，伤害倍率提升至原本的</t>
    </r>
    <r>
      <rPr>
        <b/>
        <sz val="11"/>
        <color rgb="FF9EB7FF"/>
        <rFont val="宋体"/>
        <charset val="134"/>
      </rPr>
      <t>1.15</t>
    </r>
    <r>
      <rPr>
        <sz val="11"/>
        <color theme="1"/>
        <rFont val="宋体"/>
        <family val="2"/>
        <scheme val="minor"/>
      </rPr>
      <t>倍。</t>
    </r>
  </si>
  <si>
    <t>chr_0012_avywen_2</t>
  </si>
  <si>
    <t>13.94803282137594</t>
  </si>
  <si>
    <t>15.206606353881769</t>
  </si>
  <si>
    <t>chr_0012_avywen_3</t>
  </si>
  <si>
    <t>15.00946770460758</t>
  </si>
  <si>
    <t>16.28950136755734</t>
  </si>
  <si>
    <t>18.0</t>
  </si>
  <si>
    <t>chr_0012_avywen_4</t>
  </si>
  <si>
    <t>16.07090258783922</t>
  </si>
  <si>
    <t>17.372396381232907</t>
  </si>
  <si>
    <t>19.5</t>
  </si>
  <si>
    <t>chr_0012_avywen_5</t>
  </si>
  <si>
    <t>17.13233747107086</t>
  </si>
  <si>
    <t>18.45529139490848</t>
  </si>
  <si>
    <t>21.0</t>
  </si>
  <si>
    <t>chr_0012_avywen_6</t>
  </si>
  <si>
    <t>18.1937723543025</t>
  </si>
  <si>
    <t>19.538186408584046</t>
  </si>
  <si>
    <t>22.5</t>
  </si>
  <si>
    <t>chr_0012_avywen_7</t>
  </si>
  <si>
    <t>19.255207237534137</t>
  </si>
  <si>
    <t>20.621081422259614</t>
  </si>
  <si>
    <t>24.0</t>
  </si>
  <si>
    <t>chr_0012_avywen_8</t>
  </si>
  <si>
    <t>20.316642120765778</t>
  </si>
  <si>
    <t>21.703976435935186</t>
  </si>
  <si>
    <t>25.5</t>
  </si>
  <si>
    <t>chr_0012_avywen_9</t>
  </si>
  <si>
    <t>21.37807700399742</t>
  </si>
  <si>
    <t>22.786871449610757</t>
  </si>
  <si>
    <t>27.0</t>
  </si>
  <si>
    <t>chr_0012_avywen_10</t>
  </si>
  <si>
    <t>22.43951188722906</t>
  </si>
  <si>
    <t>23.869766463286325</t>
  </si>
  <si>
    <t>28.5</t>
  </si>
  <si>
    <t>chr_0012_avywen_11</t>
  </si>
  <si>
    <t>23.5009467704607</t>
  </si>
  <si>
    <t>24.952661476961893</t>
  </si>
  <si>
    <t>30.0</t>
  </si>
  <si>
    <t>chr_0012_avywen_12</t>
  </si>
  <si>
    <t>24.562381653692338</t>
  </si>
  <si>
    <t>26.035556490637465</t>
  </si>
  <si>
    <t>31.5</t>
  </si>
  <si>
    <t>chr_0012_avywen_13</t>
  </si>
  <si>
    <t>25.623816536923975</t>
  </si>
  <si>
    <t>27.118451504313033</t>
  </si>
  <si>
    <t>chr_0012_avywen_14</t>
  </si>
  <si>
    <t>26.685251420155616</t>
  </si>
  <si>
    <t>28.201346517988604</t>
  </si>
  <si>
    <t>34.5</t>
  </si>
  <si>
    <t>chr_0012_avywen_15</t>
  </si>
  <si>
    <t>27.746686303387257</t>
  </si>
  <si>
    <t>29.284241531664172</t>
  </si>
  <si>
    <t>36.0</t>
  </si>
  <si>
    <t>chr_0012_avywen_16</t>
  </si>
  <si>
    <t>28.808121186618898</t>
  </si>
  <si>
    <t>30.367136545339743</t>
  </si>
  <si>
    <t>37.5</t>
  </si>
  <si>
    <t>chr_0012_avywen_17</t>
  </si>
  <si>
    <t>29.86955606985054</t>
  </si>
  <si>
    <t>31.45003155901531</t>
  </si>
  <si>
    <t>39.0</t>
  </si>
  <si>
    <t>chr_0012_avywen_18</t>
  </si>
  <si>
    <t>30.93099095308218</t>
  </si>
  <si>
    <t>32.53292657269088</t>
  </si>
  <si>
    <t>40.5</t>
  </si>
  <si>
    <t>chr_0012_avywen_19</t>
  </si>
  <si>
    <t>31.992425836313814</t>
  </si>
  <si>
    <t>33.61582158636645</t>
  </si>
  <si>
    <t>42.0</t>
  </si>
  <si>
    <t>chr_0012_avywen_20</t>
  </si>
  <si>
    <t>33.053860719545455</t>
  </si>
  <si>
    <t>34.69871660004202</t>
  </si>
  <si>
    <t>43.5</t>
  </si>
  <si>
    <t>【高效派送 Lv.1】掷出、召回雷枪、强雷枪命中敌人后，获得3点终结技能量。</t>
  </si>
  <si>
    <r>
      <t>【高效派送 Lv.1】掷出、召回</t>
    </r>
    <r>
      <rPr>
        <b/>
        <sz val="11"/>
        <color rgb="FF33C2FF"/>
        <rFont val="宋体"/>
        <charset val="134"/>
      </rPr>
      <t>雷枪</t>
    </r>
    <r>
      <rPr>
        <sz val="11"/>
        <color theme="1"/>
        <rFont val="宋体"/>
        <family val="2"/>
        <scheme val="minor"/>
      </rPr>
      <t>、</t>
    </r>
    <r>
      <rPr>
        <b/>
        <sz val="11"/>
        <color rgb="FF33C2FF"/>
        <rFont val="宋体"/>
        <charset val="134"/>
      </rPr>
      <t>强雷枪</t>
    </r>
    <r>
      <rPr>
        <sz val="11"/>
        <color theme="1"/>
        <rFont val="宋体"/>
        <family val="2"/>
        <scheme val="minor"/>
      </rPr>
      <t>命中敌人后，获得</t>
    </r>
    <r>
      <rPr>
        <b/>
        <sz val="11"/>
        <color rgb="FF9EB7FF"/>
        <rFont val="宋体"/>
        <charset val="134"/>
      </rPr>
      <t>3</t>
    </r>
    <r>
      <rPr>
        <sz val="11"/>
        <color theme="1"/>
        <rFont val="宋体"/>
        <family val="2"/>
        <scheme val="minor"/>
      </rPr>
      <t>点终结技能量。</t>
    </r>
  </si>
  <si>
    <t>chr_0012_avywen_21</t>
  </si>
  <si>
    <t>34.115295602777095</t>
  </si>
  <si>
    <t>35.78161161371759</t>
  </si>
  <si>
    <t>45.0</t>
  </si>
  <si>
    <t>chr_0012_avywen_22</t>
  </si>
  <si>
    <t>35.176730486008736</t>
  </si>
  <si>
    <t>36.864506627393155</t>
  </si>
  <si>
    <t>46.5</t>
  </si>
  <si>
    <t>chr_0012_avywen_23</t>
  </si>
  <si>
    <t>36.23816536924038</t>
  </si>
  <si>
    <t>37.94740164106873</t>
  </si>
  <si>
    <t>48.0</t>
  </si>
  <si>
    <t>chr_0012_avywen_24</t>
  </si>
  <si>
    <t>37.29960025247202</t>
  </si>
  <si>
    <t>39.0302966547443</t>
  </si>
  <si>
    <t>49.5</t>
  </si>
  <si>
    <t>chr_0012_avywen_25</t>
  </si>
  <si>
    <t>38.36103513570365</t>
  </si>
  <si>
    <t>40.113191668419866</t>
  </si>
  <si>
    <t>51.0</t>
  </si>
  <si>
    <t>chr_0012_avywen_26</t>
  </si>
  <si>
    <t>39.42247001893529</t>
  </si>
  <si>
    <t>41.19608668209544</t>
  </si>
  <si>
    <t>52.5</t>
  </si>
  <si>
    <t>chr_0012_avywen_27</t>
  </si>
  <si>
    <t>40.483904902166934</t>
  </si>
  <si>
    <t>42.27898169577101</t>
  </si>
  <si>
    <t>54.0</t>
  </si>
  <si>
    <t>chr_0012_avywen_28</t>
  </si>
  <si>
    <t>41.545339785398575</t>
  </si>
  <si>
    <t>43.36187670944658</t>
  </si>
  <si>
    <t>55.5</t>
  </si>
  <si>
    <t>chr_0012_avywen_29</t>
  </si>
  <si>
    <t>42.606774668630216</t>
  </si>
  <si>
    <t>44.444771723122145</t>
  </si>
  <si>
    <t>57.0</t>
  </si>
  <si>
    <t>chr_0012_avywen_30</t>
  </si>
  <si>
    <t>43.66820955186186</t>
  </si>
  <si>
    <t>45.52766673679771</t>
  </si>
  <si>
    <t>58.5</t>
  </si>
  <si>
    <t>chr_0012_avywen_31</t>
  </si>
  <si>
    <t>44.7296444350935</t>
  </si>
  <si>
    <t>46.61056175047329</t>
  </si>
  <si>
    <t>60.0</t>
  </si>
  <si>
    <t>chr_0012_avywen_32</t>
  </si>
  <si>
    <t>45.79107931832513</t>
  </si>
  <si>
    <t>47.693456764148856</t>
  </si>
  <si>
    <t>61.5</t>
  </si>
  <si>
    <t>chr_0012_avywen_33</t>
  </si>
  <si>
    <t>46.85251420155677</t>
  </si>
  <si>
    <t>48.77635177782442</t>
  </si>
  <si>
    <t>63.0</t>
  </si>
  <si>
    <t>chr_0012_avywen_34</t>
  </si>
  <si>
    <t>47.91394908478841</t>
  </si>
  <si>
    <t>49.85924679149999</t>
  </si>
  <si>
    <t>64.5</t>
  </si>
  <si>
    <t>chr_0012_avywen_35</t>
  </si>
  <si>
    <t>48.975383968020054</t>
  </si>
  <si>
    <t>50.94214180517556</t>
  </si>
  <si>
    <t>chr_0012_avywen_36</t>
  </si>
  <si>
    <t>50.036818851251695</t>
  </si>
  <si>
    <t>52.025036818851135</t>
  </si>
  <si>
    <t>67.5</t>
  </si>
  <si>
    <t>chr_0012_avywen_37</t>
  </si>
  <si>
    <t>51.09825373448333</t>
  </si>
  <si>
    <t>53.1079318325267</t>
  </si>
  <si>
    <t>69.0</t>
  </si>
  <si>
    <t>chr_0012_avywen_38</t>
  </si>
  <si>
    <t>52.15968861771497</t>
  </si>
  <si>
    <t>54.19082684620227</t>
  </si>
  <si>
    <t>70.5</t>
  </si>
  <si>
    <t>chr_0012_avywen_39</t>
  </si>
  <si>
    <t>53.22112350094661</t>
  </si>
  <si>
    <t>55.27372185987784</t>
  </si>
  <si>
    <t>72.0</t>
  </si>
  <si>
    <t>chr_0012_avywen_40</t>
  </si>
  <si>
    <t>54.28255838417825</t>
  </si>
  <si>
    <t>56.35661687355341</t>
  </si>
  <si>
    <t>73.5</t>
  </si>
  <si>
    <r>
      <t>【高效派送 Lv.2】掷出、召回</t>
    </r>
    <r>
      <rPr>
        <b/>
        <sz val="11"/>
        <color rgb="FF33C2FF"/>
        <rFont val="宋体"/>
        <charset val="134"/>
      </rPr>
      <t>雷枪</t>
    </r>
    <r>
      <rPr>
        <sz val="11"/>
        <color theme="1"/>
        <rFont val="宋体"/>
        <family val="2"/>
        <scheme val="minor"/>
      </rPr>
      <t>、</t>
    </r>
    <r>
      <rPr>
        <b/>
        <sz val="11"/>
        <color rgb="FF33C2FF"/>
        <rFont val="宋体"/>
        <charset val="134"/>
      </rPr>
      <t>强雷枪</t>
    </r>
    <r>
      <rPr>
        <sz val="11"/>
        <color theme="1"/>
        <rFont val="宋体"/>
        <family val="2"/>
        <scheme val="minor"/>
      </rPr>
      <t>命中敌人后，获得</t>
    </r>
    <r>
      <rPr>
        <b/>
        <sz val="11"/>
        <color rgb="FF9EB7FF"/>
        <rFont val="宋体"/>
        <charset val="134"/>
      </rPr>
      <t>4</t>
    </r>
    <r>
      <rPr>
        <sz val="11"/>
        <color theme="1"/>
        <rFont val="宋体"/>
        <family val="2"/>
        <scheme val="minor"/>
      </rPr>
      <t>点终结技能量。</t>
    </r>
  </si>
  <si>
    <t>【委婉手段 Lv.1】终结技雷枪·决颤命中敌人时对其施加6%电磁脆弱，持续10秒。</t>
  </si>
  <si>
    <r>
      <t>【委婉手段 Lv.1】终结技</t>
    </r>
    <r>
      <rPr>
        <b/>
        <sz val="11"/>
        <color rgb="FF33C2FF"/>
        <rFont val="宋体"/>
        <charset val="134"/>
      </rPr>
      <t>雷枪·决颤</t>
    </r>
    <r>
      <rPr>
        <sz val="11"/>
        <color theme="1"/>
        <rFont val="宋体"/>
        <family val="2"/>
        <scheme val="minor"/>
      </rPr>
      <t>命中敌人时对其施加</t>
    </r>
    <r>
      <rPr>
        <b/>
        <sz val="11"/>
        <color rgb="FF9EB7FF"/>
        <rFont val="宋体"/>
        <charset val="134"/>
      </rPr>
      <t>6%</t>
    </r>
    <r>
      <rPr>
        <b/>
        <u/>
        <sz val="11"/>
        <color rgb="FFFFCC00"/>
        <rFont val="宋体"/>
        <charset val="134"/>
      </rPr>
      <t>电磁脆弱</t>
    </r>
    <r>
      <rPr>
        <sz val="11"/>
        <color theme="1"/>
        <rFont val="宋体"/>
        <family val="2"/>
        <scheme val="minor"/>
      </rPr>
      <t>，持续</t>
    </r>
    <r>
      <rPr>
        <b/>
        <sz val="11"/>
        <color rgb="FF9EB7FF"/>
        <rFont val="宋体"/>
        <charset val="134"/>
      </rPr>
      <t>10</t>
    </r>
    <r>
      <rPr>
        <sz val="11"/>
        <color theme="1"/>
        <rFont val="宋体"/>
        <family val="2"/>
        <scheme val="minor"/>
      </rPr>
      <t>秒。</t>
    </r>
  </si>
  <si>
    <t>chr_0012_avywen_41</t>
  </si>
  <si>
    <t>55.34399326740989</t>
  </si>
  <si>
    <t>57.43951188722898</t>
  </si>
  <si>
    <t>75.0</t>
  </si>
  <si>
    <t>chr_0012_avywen_42</t>
  </si>
  <si>
    <t>56.405428150641534</t>
  </si>
  <si>
    <t>58.52240690090455</t>
  </si>
  <si>
    <t>76.5</t>
  </si>
  <si>
    <t>chr_0012_avywen_43</t>
  </si>
  <si>
    <t>57.46686303387317</t>
  </si>
  <si>
    <t>59.60530191458012</t>
  </si>
  <si>
    <t>78.0</t>
  </si>
  <si>
    <t>chr_0012_avywen_44</t>
  </si>
  <si>
    <t>58.52829791710481</t>
  </si>
  <si>
    <t>60.688196928255685</t>
  </si>
  <si>
    <t>79.5</t>
  </si>
  <si>
    <t>chr_0012_avywen_45</t>
  </si>
  <si>
    <t>59.58973280033645</t>
  </si>
  <si>
    <t>61.77109194193126</t>
  </si>
  <si>
    <t>81.0</t>
  </si>
  <si>
    <t>chr_0012_avywen_46</t>
  </si>
  <si>
    <t>60.65116768356809</t>
  </si>
  <si>
    <t>62.85398695560683</t>
  </si>
  <si>
    <t>82.5</t>
  </si>
  <si>
    <t>chr_0012_avywen_47</t>
  </si>
  <si>
    <t>61.71260256679973</t>
  </si>
  <si>
    <t>63.936881969282396</t>
  </si>
  <si>
    <t>84.0</t>
  </si>
  <si>
    <t>chr_0012_avywen_48</t>
  </si>
  <si>
    <t>62.77403745003137</t>
  </si>
  <si>
    <t>65.01977698295796</t>
  </si>
  <si>
    <t>85.5</t>
  </si>
  <si>
    <t>chr_0012_avywen_49</t>
  </si>
  <si>
    <t>63.835472333263006</t>
  </si>
  <si>
    <t>66.10267199663353</t>
  </si>
  <si>
    <t>87.0</t>
  </si>
  <si>
    <t>chr_0012_avywen_50</t>
  </si>
  <si>
    <t>64.89690721649465</t>
  </si>
  <si>
    <t>67.18556701030911</t>
  </si>
  <si>
    <t>88.5</t>
  </si>
  <si>
    <t>chr_0012_avywen_51</t>
  </si>
  <si>
    <t>65.9583420997263</t>
  </si>
  <si>
    <t>68.26846202398468</t>
  </si>
  <si>
    <t>90.0</t>
  </si>
  <si>
    <t>chr_0012_avywen_52</t>
  </si>
  <si>
    <t>67.01977698295794</t>
  </si>
  <si>
    <t>69.35135703766025</t>
  </si>
  <si>
    <t>91.5</t>
  </si>
  <si>
    <t>chr_0012_avywen_53</t>
  </si>
  <si>
    <t>68.08121186618958</t>
  </si>
  <si>
    <t>70.43425205133582</t>
  </si>
  <si>
    <t>93.0</t>
  </si>
  <si>
    <t>chr_0012_avywen_54</t>
  </si>
  <si>
    <t>69.14264674942122</t>
  </si>
  <si>
    <t>71.51714706501139</t>
  </si>
  <si>
    <t>94.5</t>
  </si>
  <si>
    <t>chr_0012_avywen_55</t>
  </si>
  <si>
    <t>70.20408163265286</t>
  </si>
  <si>
    <t>72.60004207868695</t>
  </si>
  <si>
    <t>96.0</t>
  </si>
  <si>
    <t>chr_0012_avywen_56</t>
  </si>
  <si>
    <t>71.26551651588449</t>
  </si>
  <si>
    <t>73.68293709236252</t>
  </si>
  <si>
    <t>97.5</t>
  </si>
  <si>
    <t>chr_0012_avywen_57</t>
  </si>
  <si>
    <t>72.32695139911613</t>
  </si>
  <si>
    <t>74.76583210603809</t>
  </si>
  <si>
    <t>99.0</t>
  </si>
  <si>
    <t>chr_0012_avywen_58</t>
  </si>
  <si>
    <t>73.38838628234777</t>
  </si>
  <si>
    <t>75.84872711971366</t>
  </si>
  <si>
    <t>100.5</t>
  </si>
  <si>
    <t>chr_0012_avywen_59</t>
  </si>
  <si>
    <t>74.44982116557941</t>
  </si>
  <si>
    <t>76.93162213338923</t>
  </si>
  <si>
    <t>102.0</t>
  </si>
  <si>
    <t>chr_0012_avywen_60</t>
  </si>
  <si>
    <t>75.51125604881105</t>
  </si>
  <si>
    <t>78.0145171470648</t>
  </si>
  <si>
    <t>103.5</t>
  </si>
  <si>
    <t>【委婉手段 Lv.2】终结技雷枪·决颤命中敌人时对其施加10%电磁脆弱，持续10秒。</t>
  </si>
  <si>
    <r>
      <t>【委婉手段 Lv.2】终结技</t>
    </r>
    <r>
      <rPr>
        <b/>
        <sz val="11"/>
        <color rgb="FF33C2FF"/>
        <rFont val="宋体"/>
        <charset val="134"/>
      </rPr>
      <t>雷枪·决颤</t>
    </r>
    <r>
      <rPr>
        <sz val="11"/>
        <color theme="1"/>
        <rFont val="宋体"/>
        <family val="2"/>
        <scheme val="minor"/>
      </rPr>
      <t>命中敌人时对其施加</t>
    </r>
    <r>
      <rPr>
        <b/>
        <sz val="11"/>
        <color rgb="FF9EB7FF"/>
        <rFont val="宋体"/>
        <charset val="134"/>
      </rPr>
      <t>10%</t>
    </r>
    <r>
      <rPr>
        <b/>
        <u/>
        <sz val="11"/>
        <color rgb="FFFFCC00"/>
        <rFont val="宋体"/>
        <charset val="134"/>
      </rPr>
      <t>电磁脆弱</t>
    </r>
    <r>
      <rPr>
        <sz val="11"/>
        <color theme="1"/>
        <rFont val="宋体"/>
        <family val="2"/>
        <scheme val="minor"/>
      </rPr>
      <t>，持续</t>
    </r>
    <r>
      <rPr>
        <b/>
        <sz val="11"/>
        <color rgb="FF9EB7FF"/>
        <rFont val="宋体"/>
        <charset val="134"/>
      </rPr>
      <t>10</t>
    </r>
    <r>
      <rPr>
        <sz val="11"/>
        <color theme="1"/>
        <rFont val="宋体"/>
        <family val="2"/>
        <scheme val="minor"/>
      </rPr>
      <t>秒。</t>
    </r>
  </si>
  <si>
    <t>chr_0012_avywen_61</t>
  </si>
  <si>
    <t>76.57269093204269</t>
  </si>
  <si>
    <t>79.09741216074038</t>
  </si>
  <si>
    <t>105.0</t>
  </si>
  <si>
    <t>chr_0012_avywen_62</t>
  </si>
  <si>
    <t>77.63412581527433</t>
  </si>
  <si>
    <t>80.18030717441594</t>
  </si>
  <si>
    <t>106.5</t>
  </si>
  <si>
    <t>chr_0012_avywen_63</t>
  </si>
  <si>
    <t>78.69556069850597</t>
  </si>
  <si>
    <t>81.26320218809151</t>
  </si>
  <si>
    <t>108.0</t>
  </si>
  <si>
    <t>chr_0012_avywen_64</t>
  </si>
  <si>
    <t>79.75699558173761</t>
  </si>
  <si>
    <t>82.34609720176708</t>
  </si>
  <si>
    <t>109.5</t>
  </si>
  <si>
    <t>chr_0012_avywen_65</t>
  </si>
  <si>
    <t>80.81843046496925</t>
  </si>
  <si>
    <t>83.42899221544265</t>
  </si>
  <si>
    <t>111.0</t>
  </si>
  <si>
    <t>chr_0012_avywen_66</t>
  </si>
  <si>
    <t>81.8798653482009</t>
  </si>
  <si>
    <t>84.51188722911822</t>
  </si>
  <si>
    <t>112.5</t>
  </si>
  <si>
    <t>chr_0012_avywen_67</t>
  </si>
  <si>
    <t>82.94130023143254</t>
  </si>
  <si>
    <t>85.59478224279378</t>
  </si>
  <si>
    <t>114.0</t>
  </si>
  <si>
    <t>chr_0012_avywen_68</t>
  </si>
  <si>
    <t>84.00273511466418</t>
  </si>
  <si>
    <t>86.67767725646935</t>
  </si>
  <si>
    <t>115.5</t>
  </si>
  <si>
    <t>chr_0012_avywen_69</t>
  </si>
  <si>
    <t>85.06416999789582</t>
  </si>
  <si>
    <t>87.76057227014492</t>
  </si>
  <si>
    <t>117.0</t>
  </si>
  <si>
    <t>chr_0012_avywen_70</t>
  </si>
  <si>
    <t>86.12560488112746</t>
  </si>
  <si>
    <t>88.8434672838205</t>
  </si>
  <si>
    <t>118.5</t>
  </si>
  <si>
    <t>chr_0012_avywen_71</t>
  </si>
  <si>
    <t>87.1870397643591</t>
  </si>
  <si>
    <t>89.92636229749607</t>
  </si>
  <si>
    <t>120.0</t>
  </si>
  <si>
    <t>chr_0012_avywen_72</t>
  </si>
  <si>
    <t>88.24847464759073</t>
  </si>
  <si>
    <t>91.00925731117164</t>
  </si>
  <si>
    <t>121.5</t>
  </si>
  <si>
    <t>chr_0012_avywen_73</t>
  </si>
  <si>
    <t>89.30990953082237</t>
  </si>
  <si>
    <t>92.0921523248472</t>
  </si>
  <si>
    <t>123.0</t>
  </si>
  <si>
    <t>chr_0012_avywen_74</t>
  </si>
  <si>
    <t>90.37134441405401</t>
  </si>
  <si>
    <t>93.17504733852277</t>
  </si>
  <si>
    <t>124.5</t>
  </si>
  <si>
    <t>chr_0012_avywen_75</t>
  </si>
  <si>
    <t>91.43277929728565</t>
  </si>
  <si>
    <t>94.25794235219834</t>
  </si>
  <si>
    <t>126.0</t>
  </si>
  <si>
    <t>chr_0012_avywen_76</t>
  </si>
  <si>
    <t>92.49421418051729</t>
  </si>
  <si>
    <t>95.34083736587391</t>
  </si>
  <si>
    <t>127.5</t>
  </si>
  <si>
    <t>chr_0012_avywen_77</t>
  </si>
  <si>
    <t>93.55564906374893</t>
  </si>
  <si>
    <t>96.42373237954948</t>
  </si>
  <si>
    <t>129.0</t>
  </si>
  <si>
    <t>chr_0012_avywen_78</t>
  </si>
  <si>
    <t>94.61708394698057</t>
  </si>
  <si>
    <t>97.50662739322505</t>
  </si>
  <si>
    <t>130.5</t>
  </si>
  <si>
    <t>chr_0012_avywen_79</t>
  </si>
  <si>
    <t>95.67851883021221</t>
  </si>
  <si>
    <t>98.58952240690063</t>
  </si>
  <si>
    <t>132.0</t>
  </si>
  <si>
    <t>chr_0012_avywen_80</t>
  </si>
  <si>
    <t>96.73995371344385</t>
  </si>
  <si>
    <t>99.6724174205762</t>
  </si>
  <si>
    <t>133.5</t>
  </si>
  <si>
    <t>chr_0012_avywen_81</t>
  </si>
  <si>
    <t>97.8013885966755</t>
  </si>
  <si>
    <t>100.75531243425176</t>
  </si>
  <si>
    <t>135.0</t>
  </si>
  <si>
    <t>chr_0012_avywen_82</t>
  </si>
  <si>
    <t>98.86282347990714</t>
  </si>
  <si>
    <t>101.83820744792733</t>
  </si>
  <si>
    <t>136.5</t>
  </si>
  <si>
    <t>chr_0012_avywen_83</t>
  </si>
  <si>
    <t>99.92425836313878</t>
  </si>
  <si>
    <t>102.9211024616029</t>
  </si>
  <si>
    <t>138.0</t>
  </si>
  <si>
    <t>chr_0012_avywen_84</t>
  </si>
  <si>
    <t>100.98569324637042</t>
  </si>
  <si>
    <t>104.00399747527847</t>
  </si>
  <si>
    <t>139.5</t>
  </si>
  <si>
    <t>chr_0012_avywen_85</t>
  </si>
  <si>
    <t>102.04712812960204</t>
  </si>
  <si>
    <t>105.08689248895404</t>
  </si>
  <si>
    <t>141.0</t>
  </si>
  <si>
    <t>chr_0012_avywen_86</t>
  </si>
  <si>
    <t>103.10856301283368</t>
  </si>
  <si>
    <t>106.1697875026296</t>
  </si>
  <si>
    <t>chr_0012_avywen_87</t>
  </si>
  <si>
    <t>104.16999789606533</t>
  </si>
  <si>
    <t>107.25268251630517</t>
  </si>
  <si>
    <t>144.0</t>
  </si>
  <si>
    <t>chr_0012_avywen_88</t>
  </si>
  <si>
    <t>105.23143277929697</t>
  </si>
  <si>
    <t>108.33557752998075</t>
  </si>
  <si>
    <t>145.5</t>
  </si>
  <si>
    <t>chr_0012_avywen_89</t>
  </si>
  <si>
    <t>106.29286766252861</t>
  </si>
  <si>
    <t>109.41847254365632</t>
  </si>
  <si>
    <t>147.0</t>
  </si>
  <si>
    <t>chr_0012_avywen_90</t>
  </si>
  <si>
    <t>107.35430254576025</t>
  </si>
  <si>
    <t>110.50136755733189</t>
  </si>
  <si>
    <t>148.5</t>
  </si>
  <si>
    <t>chr_0012_avywen_91</t>
  </si>
  <si>
    <t>108.41573742899189</t>
  </si>
  <si>
    <t>111.58426257100746</t>
  </si>
  <si>
    <t>150.0</t>
  </si>
  <si>
    <t>chr_0012_avywen_92</t>
  </si>
  <si>
    <t>109.47717231222353</t>
  </si>
  <si>
    <t>112.66715758468303</t>
  </si>
  <si>
    <t>151.5</t>
  </si>
  <si>
    <t>chr_0012_avywen_93</t>
  </si>
  <si>
    <t>110.53860719545517</t>
  </si>
  <si>
    <t>113.7500525983586</t>
  </si>
  <si>
    <t>153.0</t>
  </si>
  <si>
    <t>chr_0012_avywen_94</t>
  </si>
  <si>
    <t>111.60004207868681</t>
  </si>
  <si>
    <t>114.83294761203416</t>
  </si>
  <si>
    <t>154.5</t>
  </si>
  <si>
    <t>chr_0012_avywen_95</t>
  </si>
  <si>
    <t>112.66147696191845</t>
  </si>
  <si>
    <t>115.91584262570973</t>
  </si>
  <si>
    <t>156.0</t>
  </si>
  <si>
    <t>chr_0012_avywen_96</t>
  </si>
  <si>
    <t>113.7229118451501</t>
  </si>
  <si>
    <t>116.9987376393853</t>
  </si>
  <si>
    <t>157.5</t>
  </si>
  <si>
    <t>chr_0012_avywen_97</t>
  </si>
  <si>
    <t>114.78434672838172</t>
  </si>
  <si>
    <t>118.08163265306086</t>
  </si>
  <si>
    <t>159.0</t>
  </si>
  <si>
    <t>chr_0012_avywen_98</t>
  </si>
  <si>
    <t>115.84578161161336</t>
  </si>
  <si>
    <t>119.16452766673645</t>
  </si>
  <si>
    <t>160.5</t>
  </si>
  <si>
    <t>chr_0012_avywen_99</t>
  </si>
  <si>
    <t>120.24742268041201</t>
  </si>
  <si>
    <t>162.0</t>
  </si>
  <si>
    <t>chr_0017_yvonne_1</t>
  </si>
  <si>
    <t>chr_0017_yvonne</t>
  </si>
  <si>
    <t>伊冯</t>
  </si>
  <si>
    <t>Yvonne</t>
  </si>
  <si>
    <t>大量伤害, 冻结, 暴击</t>
  </si>
  <si>
    <t>8.35051546391753</t>
  </si>
  <si>
    <t>24.5876288659794</t>
  </si>
  <si>
    <t>10.6185567010309</t>
  </si>
  <si>
    <r>
      <t>【速冻帮手】连携技</t>
    </r>
    <r>
      <rPr>
        <b/>
        <sz val="11"/>
        <color rgb="FF33C2FF"/>
        <rFont val="宋体"/>
        <charset val="134"/>
      </rPr>
      <t>速冻仔·υ37</t>
    </r>
    <r>
      <rPr>
        <sz val="11"/>
        <color theme="1"/>
        <rFont val="宋体"/>
        <family val="2"/>
        <scheme val="minor"/>
      </rPr>
      <t>的作用范围</t>
    </r>
    <r>
      <rPr>
        <b/>
        <sz val="11"/>
        <color rgb="FF9EB7FF"/>
        <rFont val="宋体"/>
        <charset val="134"/>
      </rPr>
      <t>+20%</t>
    </r>
    <r>
      <rPr>
        <sz val="11"/>
        <color theme="1"/>
        <rFont val="宋体"/>
        <family val="2"/>
        <scheme val="minor"/>
      </rPr>
      <t>，额外施放</t>
    </r>
    <r>
      <rPr>
        <b/>
        <sz val="11"/>
        <color rgb="FF9EB7FF"/>
        <rFont val="宋体"/>
        <charset val="134"/>
      </rPr>
      <t>2</t>
    </r>
    <r>
      <rPr>
        <sz val="11"/>
        <color theme="1"/>
        <rFont val="宋体"/>
        <family val="2"/>
        <scheme val="minor"/>
      </rPr>
      <t>次能量，且造成伤害后，额外获得</t>
    </r>
    <r>
      <rPr>
        <b/>
        <sz val="11"/>
        <color rgb="FF9EB7FF"/>
        <rFont val="宋体"/>
        <charset val="134"/>
      </rPr>
      <t>15</t>
    </r>
    <r>
      <rPr>
        <sz val="11"/>
        <color theme="1"/>
        <rFont val="宋体"/>
        <family val="2"/>
        <scheme val="minor"/>
      </rPr>
      <t>点终结技能量。</t>
    </r>
  </si>
  <si>
    <r>
      <t>【完美造物】智识</t>
    </r>
    <r>
      <rPr>
        <b/>
        <sz val="11"/>
        <color rgb="FF9EB7FF"/>
        <rFont val="宋体"/>
        <charset val="134"/>
      </rPr>
      <t>+20</t>
    </r>
    <r>
      <rPr>
        <sz val="11"/>
        <color theme="1"/>
        <rFont val="宋体"/>
        <family val="2"/>
        <scheme val="minor"/>
      </rPr>
      <t>，暴击率</t>
    </r>
    <r>
      <rPr>
        <b/>
        <sz val="11"/>
        <color rgb="FF9EB7FF"/>
        <rFont val="宋体"/>
        <charset val="134"/>
      </rPr>
      <t>+7%</t>
    </r>
    <r>
      <rPr>
        <sz val="11"/>
        <color theme="1"/>
        <rFont val="宋体"/>
        <family val="2"/>
        <scheme val="minor"/>
      </rPr>
      <t>。</t>
    </r>
  </si>
  <si>
    <r>
      <t>【嘀嗒充能】天赋</t>
    </r>
    <r>
      <rPr>
        <b/>
        <sz val="11"/>
        <color rgb="FF33C2FF"/>
        <rFont val="宋体"/>
        <charset val="134"/>
      </rPr>
      <t>冰点</t>
    </r>
    <r>
      <rPr>
        <sz val="11"/>
        <color theme="1"/>
        <rFont val="宋体"/>
        <family val="2"/>
        <scheme val="minor"/>
      </rPr>
      <t>效果加强：对处于</t>
    </r>
    <r>
      <rPr>
        <b/>
        <sz val="11"/>
        <color rgb="FF30D6E0"/>
        <rFont val="宋体"/>
        <charset val="134"/>
      </rPr>
      <t>寒冷附着</t>
    </r>
    <r>
      <rPr>
        <sz val="11"/>
        <color theme="1"/>
        <rFont val="宋体"/>
        <family val="2"/>
        <scheme val="minor"/>
      </rPr>
      <t>状态的敌人造成的暴击伤害额外</t>
    </r>
    <r>
      <rPr>
        <b/>
        <sz val="11"/>
        <color rgb="FF9EB7FF"/>
        <rFont val="宋体"/>
        <charset val="134"/>
      </rPr>
      <t>+10%</t>
    </r>
    <r>
      <rPr>
        <sz val="11"/>
        <color theme="1"/>
        <rFont val="宋体"/>
        <family val="2"/>
        <scheme val="minor"/>
      </rPr>
      <t>；对处于</t>
    </r>
    <r>
      <rPr>
        <b/>
        <sz val="11"/>
        <color rgb="FF30D6E0"/>
        <rFont val="宋体"/>
        <charset val="134"/>
      </rPr>
      <t>冻结</t>
    </r>
    <r>
      <rPr>
        <sz val="11"/>
        <color theme="1"/>
        <rFont val="宋体"/>
        <family val="2"/>
        <scheme val="minor"/>
      </rPr>
      <t>状态的敌人效果同样加倍。</t>
    </r>
  </si>
  <si>
    <r>
      <t>【叛逆心情】战技</t>
    </r>
    <r>
      <rPr>
        <b/>
        <sz val="11"/>
        <color rgb="FF33C2FF"/>
        <rFont val="宋体"/>
        <charset val="134"/>
      </rPr>
      <t>冰冰弹·β型</t>
    </r>
    <r>
      <rPr>
        <sz val="11"/>
        <color theme="1"/>
        <rFont val="宋体"/>
        <family val="2"/>
        <scheme val="minor"/>
      </rPr>
      <t>的爆炸仅命中单个敌人时，</t>
    </r>
    <r>
      <rPr>
        <u/>
        <sz val="11"/>
        <rFont val="宋体"/>
        <charset val="134"/>
      </rPr>
      <t>返还</t>
    </r>
    <r>
      <rPr>
        <b/>
        <sz val="11"/>
        <color rgb="FF9EB7FF"/>
        <rFont val="宋体"/>
        <charset val="134"/>
      </rPr>
      <t>10</t>
    </r>
    <r>
      <rPr>
        <sz val="11"/>
        <color theme="1"/>
        <rFont val="宋体"/>
        <family val="2"/>
        <scheme val="minor"/>
      </rPr>
      <t>点技力。</t>
    </r>
  </si>
  <si>
    <r>
      <t>【机巧专家】终结技</t>
    </r>
    <r>
      <rPr>
        <b/>
        <sz val="11"/>
        <color rgb="FF33C2FF"/>
        <rFont val="宋体"/>
        <charset val="134"/>
      </rPr>
      <t>冷冻射手</t>
    </r>
    <r>
      <rPr>
        <sz val="11"/>
        <color theme="1"/>
        <rFont val="宋体"/>
        <family val="2"/>
        <scheme val="minor"/>
      </rPr>
      <t>持续期间，攻击力</t>
    </r>
    <r>
      <rPr>
        <b/>
        <sz val="11"/>
        <color rgb="FF9EB7FF"/>
        <rFont val="宋体"/>
        <charset val="134"/>
      </rPr>
      <t>+10%</t>
    </r>
    <r>
      <rPr>
        <sz val="11"/>
        <color theme="1"/>
        <rFont val="宋体"/>
        <family val="2"/>
        <scheme val="minor"/>
      </rPr>
      <t>，暴击伤害</t>
    </r>
    <r>
      <rPr>
        <b/>
        <sz val="11"/>
        <color rgb="FF9EB7FF"/>
        <rFont val="宋体"/>
        <charset val="134"/>
      </rPr>
      <t>+30%</t>
    </r>
    <r>
      <rPr>
        <sz val="11"/>
        <color theme="1"/>
        <rFont val="宋体"/>
        <family val="2"/>
        <scheme val="minor"/>
      </rPr>
      <t>。</t>
    </r>
  </si>
  <si>
    <t>chr_0017_yvonne_2</t>
  </si>
  <si>
    <t>9.185567010309283</t>
  </si>
  <si>
    <t>16.016536924047955</t>
  </si>
  <si>
    <t>26.29654954765413</t>
  </si>
  <si>
    <t>11.680412371133993</t>
  </si>
  <si>
    <t>chr_0017_yvonne_3</t>
  </si>
  <si>
    <t>10.020618556701034</t>
  </si>
  <si>
    <t>17.290805806858813</t>
  </si>
  <si>
    <t>28.00547022932886</t>
  </si>
  <si>
    <t>12.742268041237086</t>
  </si>
  <si>
    <t>chr_0017_yvonne_4</t>
  </si>
  <si>
    <t>10.855670103092788</t>
  </si>
  <si>
    <t>18.565074689669668</t>
  </si>
  <si>
    <t>29.71439091100359</t>
  </si>
  <si>
    <t>13.804123711340178</t>
  </si>
  <si>
    <t>chr_0017_yvonne_5</t>
  </si>
  <si>
    <t>11.69072164948454</t>
  </si>
  <si>
    <t>19.839343572480523</t>
  </si>
  <si>
    <t>31.423311592678324</t>
  </si>
  <si>
    <t>14.865979381443271</t>
  </si>
  <si>
    <t>chr_0017_yvonne_6</t>
  </si>
  <si>
    <t>12.525773195876294</t>
  </si>
  <si>
    <t>21.11361245529138</t>
  </si>
  <si>
    <t>33.13223227435305</t>
  </si>
  <si>
    <t>15.927835051546364</t>
  </si>
  <si>
    <t>chr_0017_yvonne_7</t>
  </si>
  <si>
    <t>13.360824742268047</t>
  </si>
  <si>
    <t>22.387881338102236</t>
  </si>
  <si>
    <t>34.841152956027784</t>
  </si>
  <si>
    <t>16.98969072164946</t>
  </si>
  <si>
    <t>chr_0017_yvonne_8</t>
  </si>
  <si>
    <t>14.195876288659798</t>
  </si>
  <si>
    <t>23.66215022091309</t>
  </si>
  <si>
    <t>36.55007363770251</t>
  </si>
  <si>
    <t>18.051546391752552</t>
  </si>
  <si>
    <t>chr_0017_yvonne_9</t>
  </si>
  <si>
    <t>15.030927835051552</t>
  </si>
  <si>
    <t>24.93641910372395</t>
  </si>
  <si>
    <t>38.258994319377244</t>
  </si>
  <si>
    <t>19.113402061855645</t>
  </si>
  <si>
    <t>chr_0017_yvonne_10</t>
  </si>
  <si>
    <t>15.865979381443305</t>
  </si>
  <si>
    <t>26.210687986534808</t>
  </si>
  <si>
    <t>39.96791500105198</t>
  </si>
  <si>
    <t>20.175257731958737</t>
  </si>
  <si>
    <t>chr_0017_yvonne_11</t>
  </si>
  <si>
    <t>16.701030927835056</t>
  </si>
  <si>
    <t>27.484956869345663</t>
  </si>
  <si>
    <t>41.676835682726704</t>
  </si>
  <si>
    <t>21.23711340206183</t>
  </si>
  <si>
    <t>chr_0017_yvonne_12</t>
  </si>
  <si>
    <t>17.53608247422681</t>
  </si>
  <si>
    <t>28.759225752156517</t>
  </si>
  <si>
    <t>43.38575636440143</t>
  </si>
  <si>
    <t>22.298969072164923</t>
  </si>
  <si>
    <t>chr_0017_yvonne_13</t>
  </si>
  <si>
    <t>18.371134020618562</t>
  </si>
  <si>
    <t>30.033494634967376</t>
  </si>
  <si>
    <t>45.09467704607617</t>
  </si>
  <si>
    <t>23.360824742268015</t>
  </si>
  <si>
    <t>chr_0017_yvonne_14</t>
  </si>
  <si>
    <t>19.206185567010316</t>
  </si>
  <si>
    <t>31.30776351777823</t>
  </si>
  <si>
    <t>46.8035977277509</t>
  </si>
  <si>
    <t>24.422680412371108</t>
  </si>
  <si>
    <t>chr_0017_yvonne_15</t>
  </si>
  <si>
    <t>20.04123711340207</t>
  </si>
  <si>
    <t>32.582032400589085</t>
  </si>
  <si>
    <t>48.512518409425624</t>
  </si>
  <si>
    <t>25.4845360824742</t>
  </si>
  <si>
    <t>chr_0017_yvonne_16</t>
  </si>
  <si>
    <t>20.876288659793822</t>
  </si>
  <si>
    <t>33.856301283399944</t>
  </si>
  <si>
    <t>50.22143909110036</t>
  </si>
  <si>
    <t>26.546391752577293</t>
  </si>
  <si>
    <t>chr_0017_yvonne_17</t>
  </si>
  <si>
    <t>21.711340206185575</t>
  </si>
  <si>
    <t>35.1305701662108</t>
  </si>
  <si>
    <t>51.93035977277509</t>
  </si>
  <si>
    <t>27.608247422680385</t>
  </si>
  <si>
    <t>chr_0017_yvonne_18</t>
  </si>
  <si>
    <t>22.54639175257733</t>
  </si>
  <si>
    <t>36.40483904902165</t>
  </si>
  <si>
    <t>53.63928045444982</t>
  </si>
  <si>
    <t>28.670103092783478</t>
  </si>
  <si>
    <t>chr_0017_yvonne_19</t>
  </si>
  <si>
    <t>23.38144329896908</t>
  </si>
  <si>
    <t>37.67910793183251</t>
  </si>
  <si>
    <t>55.348201136124544</t>
  </si>
  <si>
    <t>29.73195876288657</t>
  </si>
  <si>
    <t>chr_0017_yvonne_20</t>
  </si>
  <si>
    <t>24.21649484536083</t>
  </si>
  <si>
    <t>38.95337681464336</t>
  </si>
  <si>
    <t>57.057121817799285</t>
  </si>
  <si>
    <t>30.793814432989663</t>
  </si>
  <si>
    <t>chr_0017_yvonne_21</t>
  </si>
  <si>
    <t>25.051546391752588</t>
  </si>
  <si>
    <t>40.22764569745422</t>
  </si>
  <si>
    <t>58.76604249947401</t>
  </si>
  <si>
    <t>31.855670103092756</t>
  </si>
  <si>
    <t>chr_0017_yvonne_22</t>
  </si>
  <si>
    <t>25.886597938144334</t>
  </si>
  <si>
    <t>41.50191458026508</t>
  </si>
  <si>
    <t>60.47496318114874</t>
  </si>
  <si>
    <t>32.91752577319585</t>
  </si>
  <si>
    <t>chr_0017_yvonne_23</t>
  </si>
  <si>
    <t>26.721649484536087</t>
  </si>
  <si>
    <t>42.77618346307594</t>
  </si>
  <si>
    <t>62.183883862823464</t>
  </si>
  <si>
    <t>33.97938144329894</t>
  </si>
  <si>
    <t>chr_0017_yvonne_24</t>
  </si>
  <si>
    <t>27.55670103092784</t>
  </si>
  <si>
    <t>44.0504523458868</t>
  </si>
  <si>
    <t>63.892804544498205</t>
  </si>
  <si>
    <t>35.04123711340203</t>
  </si>
  <si>
    <t>chr_0017_yvonne_25</t>
  </si>
  <si>
    <t>28.391752577319593</t>
  </si>
  <si>
    <t>45.32472122869765</t>
  </si>
  <si>
    <t>65.60172522617293</t>
  </si>
  <si>
    <t>36.10309278350513</t>
  </si>
  <si>
    <t>chr_0017_yvonne_26</t>
  </si>
  <si>
    <t>29.226804123711347</t>
  </si>
  <si>
    <t>46.5989901115085</t>
  </si>
  <si>
    <t>67.31064590784766</t>
  </si>
  <si>
    <t>37.16494845360822</t>
  </si>
  <si>
    <t>chr_0017_yvonne_27</t>
  </si>
  <si>
    <t>30.0618556701031</t>
  </si>
  <si>
    <t>47.87325899431936</t>
  </si>
  <si>
    <t>69.0195665895224</t>
  </si>
  <si>
    <t>38.22680412371132</t>
  </si>
  <si>
    <t>chr_0017_yvonne_28</t>
  </si>
  <si>
    <t>30.896907216494853</t>
  </si>
  <si>
    <t>49.147527877130216</t>
  </si>
  <si>
    <t>70.72848727119712</t>
  </si>
  <si>
    <t>39.2886597938144</t>
  </si>
  <si>
    <t>chr_0017_yvonne_29</t>
  </si>
  <si>
    <t>31.731958762886606</t>
  </si>
  <si>
    <t>50.421796759941074</t>
  </si>
  <si>
    <t>72.43740795287185</t>
  </si>
  <si>
    <t>40.3505154639175</t>
  </si>
  <si>
    <t>chr_0017_yvonne_30</t>
  </si>
  <si>
    <t>32.56701030927836</t>
  </si>
  <si>
    <t>51.69606564275193</t>
  </si>
  <si>
    <t>74.14632863454658</t>
  </si>
  <si>
    <t>41.41237113402059</t>
  </si>
  <si>
    <t>chr_0017_yvonne_31</t>
  </si>
  <si>
    <t>33.40206185567011</t>
  </si>
  <si>
    <t>52.97033452556279</t>
  </si>
  <si>
    <t>75.85524931622132</t>
  </si>
  <si>
    <t>42.47422680412369</t>
  </si>
  <si>
    <t>chr_0017_yvonne_32</t>
  </si>
  <si>
    <t>34.237113402061865</t>
  </si>
  <si>
    <t>54.244603408373635</t>
  </si>
  <si>
    <t>77.56416999789604</t>
  </si>
  <si>
    <t>43.536082474226774</t>
  </si>
  <si>
    <t>chr_0017_yvonne_33</t>
  </si>
  <si>
    <t>35.07216494845362</t>
  </si>
  <si>
    <t>55.51887229118449</t>
  </si>
  <si>
    <t>79.27309067957077</t>
  </si>
  <si>
    <t>44.59793814432987</t>
  </si>
  <si>
    <t>chr_0017_yvonne_34</t>
  </si>
  <si>
    <t>35.90721649484537</t>
  </si>
  <si>
    <t>56.79314117399535</t>
  </si>
  <si>
    <t>80.98201136124551</t>
  </si>
  <si>
    <t>45.65979381443296</t>
  </si>
  <si>
    <t>chr_0017_yvonne_35</t>
  </si>
  <si>
    <t>36.742268041237125</t>
  </si>
  <si>
    <t>58.06741005680621</t>
  </si>
  <si>
    <t>82.69093204292024</t>
  </si>
  <si>
    <t>46.72164948453606</t>
  </si>
  <si>
    <t>chr_0017_yvonne_36</t>
  </si>
  <si>
    <t>37.57731958762888</t>
  </si>
  <si>
    <t>59.34167893961707</t>
  </si>
  <si>
    <t>84.39985272459496</t>
  </si>
  <si>
    <t>47.783505154639144</t>
  </si>
  <si>
    <t>chr_0017_yvonne_37</t>
  </si>
  <si>
    <t>38.41237113402063</t>
  </si>
  <si>
    <t>60.61594782242793</t>
  </si>
  <si>
    <t>86.10877340626969</t>
  </si>
  <si>
    <t>48.845360824742244</t>
  </si>
  <si>
    <t>chr_0017_yvonne_38</t>
  </si>
  <si>
    <t>39.24742268041238</t>
  </si>
  <si>
    <t>61.89021670523877</t>
  </si>
  <si>
    <t>87.81769408794443</t>
  </si>
  <si>
    <t>49.90721649484533</t>
  </si>
  <si>
    <t>chr_0017_yvonne_39</t>
  </si>
  <si>
    <t>40.08247422680413</t>
  </si>
  <si>
    <t>63.16448558804963</t>
  </si>
  <si>
    <t>89.52661476961916</t>
  </si>
  <si>
    <t>50.96907216494843</t>
  </si>
  <si>
    <t>chr_0017_yvonne_40</t>
  </si>
  <si>
    <t>40.91752577319589</t>
  </si>
  <si>
    <t>64.43875447086049</t>
  </si>
  <si>
    <t>91.23553545129388</t>
  </si>
  <si>
    <t>52.030927835051514</t>
  </si>
  <si>
    <t>【科技连击 Lv.2】战技冰冰弹·β型成功施加冻结后，下一次普通攻击直接施放重击，且此次重击造成的伤害+50%。</t>
  </si>
  <si>
    <r>
      <t>【科技连击 Lv.1】战技</t>
    </r>
    <r>
      <rPr>
        <b/>
        <sz val="11"/>
        <color rgb="FF33C2FF"/>
        <rFont val="宋体"/>
        <charset val="134"/>
      </rPr>
      <t>冰冰弹·β型</t>
    </r>
    <r>
      <rPr>
        <sz val="11"/>
        <color theme="1"/>
        <rFont val="宋体"/>
        <family val="2"/>
        <scheme val="minor"/>
      </rPr>
      <t>成功施加</t>
    </r>
    <r>
      <rPr>
        <b/>
        <u/>
        <sz val="11"/>
        <color rgb="FF30D6E0"/>
        <rFont val="宋体"/>
        <charset val="134"/>
      </rPr>
      <t>冻结</t>
    </r>
    <r>
      <rPr>
        <sz val="11"/>
        <color theme="1"/>
        <rFont val="宋体"/>
        <family val="2"/>
        <scheme val="minor"/>
      </rPr>
      <t>后，下一次普通攻击直接施放</t>
    </r>
    <r>
      <rPr>
        <u/>
        <sz val="11"/>
        <rFont val="宋体"/>
        <charset val="134"/>
      </rPr>
      <t>重击</t>
    </r>
    <r>
      <rPr>
        <sz val="11"/>
        <color theme="1"/>
        <rFont val="宋体"/>
        <family val="2"/>
        <scheme val="minor"/>
      </rPr>
      <t>。</t>
    </r>
  </si>
  <si>
    <r>
      <t>【科技连击 Lv.2】战技</t>
    </r>
    <r>
      <rPr>
        <b/>
        <sz val="11"/>
        <color rgb="FF33C2FF"/>
        <rFont val="宋体"/>
        <charset val="134"/>
      </rPr>
      <t>冰冰弹·β型</t>
    </r>
    <r>
      <rPr>
        <sz val="11"/>
        <color theme="1"/>
        <rFont val="宋体"/>
        <family val="2"/>
        <scheme val="minor"/>
      </rPr>
      <t>成功施加</t>
    </r>
    <r>
      <rPr>
        <b/>
        <u/>
        <sz val="11"/>
        <color rgb="FF30D6E0"/>
        <rFont val="宋体"/>
        <charset val="134"/>
      </rPr>
      <t>冻结</t>
    </r>
    <r>
      <rPr>
        <sz val="11"/>
        <color theme="1"/>
        <rFont val="宋体"/>
        <family val="2"/>
        <scheme val="minor"/>
      </rPr>
      <t>后，下一次普通攻击直接施放</t>
    </r>
    <r>
      <rPr>
        <u/>
        <sz val="11"/>
        <rFont val="宋体"/>
        <charset val="134"/>
      </rPr>
      <t>重击</t>
    </r>
    <r>
      <rPr>
        <sz val="11"/>
        <color theme="1"/>
        <rFont val="宋体"/>
        <family val="2"/>
        <scheme val="minor"/>
      </rPr>
      <t>，且此次重击造成的伤害</t>
    </r>
    <r>
      <rPr>
        <b/>
        <sz val="11"/>
        <color rgb="FF9EB7FF"/>
        <rFont val="宋体"/>
        <charset val="134"/>
      </rPr>
      <t>+50%</t>
    </r>
    <r>
      <rPr>
        <sz val="11"/>
        <color theme="1"/>
        <rFont val="宋体"/>
        <family val="2"/>
        <scheme val="minor"/>
      </rPr>
      <t>。</t>
    </r>
  </si>
  <si>
    <t>【冰点 Lv.1】对处于寒冷附着状态的敌人造成的暴击伤害+10%；对处于冻结状态的敌人效果加倍。</t>
  </si>
  <si>
    <r>
      <t>【冰点 Lv.1】对处于</t>
    </r>
    <r>
      <rPr>
        <b/>
        <u/>
        <sz val="11"/>
        <color rgb="FF30D6E0"/>
        <rFont val="宋体"/>
        <charset val="134"/>
      </rPr>
      <t>寒冷附着</t>
    </r>
    <r>
      <rPr>
        <sz val="11"/>
        <color theme="1"/>
        <rFont val="宋体"/>
        <family val="2"/>
        <scheme val="minor"/>
      </rPr>
      <t>状态的敌人造成的暴击伤害</t>
    </r>
    <r>
      <rPr>
        <b/>
        <sz val="11"/>
        <color rgb="FF9EB7FF"/>
        <rFont val="宋体"/>
        <charset val="134"/>
      </rPr>
      <t>+10%</t>
    </r>
    <r>
      <rPr>
        <sz val="11"/>
        <color theme="1"/>
        <rFont val="宋体"/>
        <family val="2"/>
        <scheme val="minor"/>
      </rPr>
      <t>；对处于</t>
    </r>
    <r>
      <rPr>
        <b/>
        <u/>
        <sz val="11"/>
        <color rgb="FF30D6E0"/>
        <rFont val="宋体"/>
        <charset val="134"/>
      </rPr>
      <t>冻结</t>
    </r>
    <r>
      <rPr>
        <sz val="11"/>
        <color theme="1"/>
        <rFont val="宋体"/>
        <family val="2"/>
        <scheme val="minor"/>
      </rPr>
      <t>状态的敌人效果加倍。</t>
    </r>
  </si>
  <si>
    <t>chr_0017_yvonne_41</t>
  </si>
  <si>
    <t>41.752577319587644</t>
  </si>
  <si>
    <t>65.71302335367135</t>
  </si>
  <si>
    <t>92.94445613296861</t>
  </si>
  <si>
    <t>53.092783505154614</t>
  </si>
  <si>
    <t>chr_0017_yvonne_42</t>
  </si>
  <si>
    <t>42.58762886597939</t>
  </si>
  <si>
    <t>66.9872922364822</t>
  </si>
  <si>
    <t>94.65337681464335</t>
  </si>
  <si>
    <t>54.1546391752577</t>
  </si>
  <si>
    <t>chr_0017_yvonne_43</t>
  </si>
  <si>
    <t>43.42268041237114</t>
  </si>
  <si>
    <t>68.26156111929306</t>
  </si>
  <si>
    <t>96.36229749631808</t>
  </si>
  <si>
    <t>55.2164948453608</t>
  </si>
  <si>
    <t>chr_0017_yvonne_44</t>
  </si>
  <si>
    <t>44.257731958762896</t>
  </si>
  <si>
    <t>69.53583000210392</t>
  </si>
  <si>
    <t>98.0712181779928</t>
  </si>
  <si>
    <t>56.278350515463885</t>
  </si>
  <si>
    <t>chr_0017_yvonne_45</t>
  </si>
  <si>
    <t>45.09278350515465</t>
  </si>
  <si>
    <t>70.81009888491477</t>
  </si>
  <si>
    <t>99.78013885966753</t>
  </si>
  <si>
    <t>57.340206185566984</t>
  </si>
  <si>
    <t>chr_0017_yvonne_46</t>
  </si>
  <si>
    <t>45.9278350515464</t>
  </si>
  <si>
    <t>72.08436776772562</t>
  </si>
  <si>
    <t>101.48905954134227</t>
  </si>
  <si>
    <t>58.40206185567007</t>
  </si>
  <si>
    <t>chr_0017_yvonne_47</t>
  </si>
  <si>
    <t>46.762886597938156</t>
  </si>
  <si>
    <t>73.35863665053648</t>
  </si>
  <si>
    <t>103.197980223017</t>
  </si>
  <si>
    <t>59.46391752577317</t>
  </si>
  <si>
    <t>chr_0017_yvonne_48</t>
  </si>
  <si>
    <t>47.59793814432991</t>
  </si>
  <si>
    <t>74.63290553334734</t>
  </si>
  <si>
    <t>104.90690090469172</t>
  </si>
  <si>
    <t>60.525773195876255</t>
  </si>
  <si>
    <t>chr_0017_yvonne_49</t>
  </si>
  <si>
    <t>48.43298969072166</t>
  </si>
  <si>
    <t>75.9071744161582</t>
  </si>
  <si>
    <t>106.61582158636647</t>
  </si>
  <si>
    <t>61.587628865979354</t>
  </si>
  <si>
    <t>chr_0017_yvonne_50</t>
  </si>
  <si>
    <t>49.268041237113415</t>
  </si>
  <si>
    <t>77.18144329896906</t>
  </si>
  <si>
    <t>108.32474226804119</t>
  </si>
  <si>
    <t>62.649484536082454</t>
  </si>
  <si>
    <t>chr_0017_yvonne_51</t>
  </si>
  <si>
    <t>50.10309278350517</t>
  </si>
  <si>
    <t>78.4557121817799</t>
  </si>
  <si>
    <t>110.03366294971592</t>
  </si>
  <si>
    <t>63.71134020618554</t>
  </si>
  <si>
    <t>chr_0017_yvonne_52</t>
  </si>
  <si>
    <t>50.93814432989692</t>
  </si>
  <si>
    <t>79.72998106459076</t>
  </si>
  <si>
    <t>111.74258363139064</t>
  </si>
  <si>
    <t>64.77319587628864</t>
  </si>
  <si>
    <t>chr_0017_yvonne_53</t>
  </si>
  <si>
    <t>51.773195876288675</t>
  </si>
  <si>
    <t>81.00424994740162</t>
  </si>
  <si>
    <t>113.45150431306539</t>
  </si>
  <si>
    <t>65.83505154639172</t>
  </si>
  <si>
    <t>chr_0017_yvonne_54</t>
  </si>
  <si>
    <t>52.60824742268043</t>
  </si>
  <si>
    <t>82.27851883021248</t>
  </si>
  <si>
    <t>115.16042499474011</t>
  </si>
  <si>
    <t>66.89690721649482</t>
  </si>
  <si>
    <t>chr_0017_yvonne_55</t>
  </si>
  <si>
    <t>53.44329896907218</t>
  </si>
  <si>
    <t>83.55278771302333</t>
  </si>
  <si>
    <t>116.86934567641484</t>
  </si>
  <si>
    <t>67.95876288659791</t>
  </si>
  <si>
    <t>chr_0017_yvonne_56</t>
  </si>
  <si>
    <t>54.278350515463934</t>
  </si>
  <si>
    <t>84.82705659583418</t>
  </si>
  <si>
    <t>118.57826635808956</t>
  </si>
  <si>
    <t>69.02061855670101</t>
  </si>
  <si>
    <t>chr_0017_yvonne_57</t>
  </si>
  <si>
    <t>55.11340206185568</t>
  </si>
  <si>
    <t>86.10132547864504</t>
  </si>
  <si>
    <t>120.2871870397643</t>
  </si>
  <si>
    <t>70.0824742268041</t>
  </si>
  <si>
    <t>chr_0017_yvonne_58</t>
  </si>
  <si>
    <t>55.94845360824743</t>
  </si>
  <si>
    <t>87.3755943614559</t>
  </si>
  <si>
    <t>121.99610772143903</t>
  </si>
  <si>
    <t>71.1443298969072</t>
  </si>
  <si>
    <t>chr_0017_yvonne_59</t>
  </si>
  <si>
    <t>56.78350515463919</t>
  </si>
  <si>
    <t>88.64986324426675</t>
  </si>
  <si>
    <t>123.70502840311376</t>
  </si>
  <si>
    <t>72.20618556701028</t>
  </si>
  <si>
    <t>chr_0017_yvonne_60</t>
  </si>
  <si>
    <t>57.61855670103094</t>
  </si>
  <si>
    <t>89.92413212707761</t>
  </si>
  <si>
    <t>125.4139490847885</t>
  </si>
  <si>
    <t>73.26804123711338</t>
  </si>
  <si>
    <r>
      <t>【冰点 Lv.2】对处于</t>
    </r>
    <r>
      <rPr>
        <b/>
        <u/>
        <sz val="11"/>
        <color rgb="FF30D6E0"/>
        <rFont val="宋体"/>
        <charset val="134"/>
      </rPr>
      <t>寒冷附着</t>
    </r>
    <r>
      <rPr>
        <sz val="11"/>
        <color theme="1"/>
        <rFont val="宋体"/>
        <family val="2"/>
        <scheme val="minor"/>
      </rPr>
      <t>状态的敌人造成的暴击伤害</t>
    </r>
    <r>
      <rPr>
        <b/>
        <sz val="11"/>
        <color rgb="FF9EB7FF"/>
        <rFont val="宋体"/>
        <charset val="134"/>
      </rPr>
      <t>+20%</t>
    </r>
    <r>
      <rPr>
        <sz val="11"/>
        <color theme="1"/>
        <rFont val="宋体"/>
        <family val="2"/>
        <scheme val="minor"/>
      </rPr>
      <t>；对处于</t>
    </r>
    <r>
      <rPr>
        <b/>
        <u/>
        <sz val="11"/>
        <color rgb="FF30D6E0"/>
        <rFont val="宋体"/>
        <charset val="134"/>
      </rPr>
      <t>冻结</t>
    </r>
    <r>
      <rPr>
        <sz val="11"/>
        <color theme="1"/>
        <rFont val="宋体"/>
        <family val="2"/>
        <scheme val="minor"/>
      </rPr>
      <t>状态的敌人效果加倍。</t>
    </r>
  </si>
  <si>
    <t>chr_0017_yvonne_61</t>
  </si>
  <si>
    <t>58.45360824742269</t>
  </si>
  <si>
    <t>91.19840100988847</t>
  </si>
  <si>
    <t>127.12286976646323</t>
  </si>
  <si>
    <t>74.32989690721647</t>
  </si>
  <si>
    <t>chr_0017_yvonne_62</t>
  </si>
  <si>
    <t>59.288659793814446</t>
  </si>
  <si>
    <t>92.47266989269932</t>
  </si>
  <si>
    <t>128.83179044813795</t>
  </si>
  <si>
    <t>75.39175257731955</t>
  </si>
  <si>
    <t>chr_0017_yvonne_63</t>
  </si>
  <si>
    <t>60.1237113402062</t>
  </si>
  <si>
    <t>93.74693877551017</t>
  </si>
  <si>
    <t>130.54071112981268</t>
  </si>
  <si>
    <t>76.45360824742265</t>
  </si>
  <si>
    <t>chr_0017_yvonne_64</t>
  </si>
  <si>
    <t>60.95876288659795</t>
  </si>
  <si>
    <t>95.02120765832103</t>
  </si>
  <si>
    <t>132.24963181148743</t>
  </si>
  <si>
    <t>77.51546391752574</t>
  </si>
  <si>
    <t>chr_0017_yvonne_65</t>
  </si>
  <si>
    <t>61.793814432989706</t>
  </si>
  <si>
    <t>96.29547654113189</t>
  </si>
  <si>
    <t>133.95855249316216</t>
  </si>
  <si>
    <t>78.57731958762884</t>
  </si>
  <si>
    <t>chr_0017_yvonne_66</t>
  </si>
  <si>
    <t>62.62886597938146</t>
  </si>
  <si>
    <t>97.56974542394275</t>
  </si>
  <si>
    <t>135.66747317483689</t>
  </si>
  <si>
    <t>79.63917525773194</t>
  </si>
  <si>
    <t>chr_0017_yvonne_67</t>
  </si>
  <si>
    <t>63.46391752577321</t>
  </si>
  <si>
    <t>98.8440143067536</t>
  </si>
  <si>
    <t>137.3763938565116</t>
  </si>
  <si>
    <t>80.70103092783502</t>
  </si>
  <si>
    <t>chr_0017_yvonne_68</t>
  </si>
  <si>
    <t>64.29896907216497</t>
  </si>
  <si>
    <t>100.11828318956447</t>
  </si>
  <si>
    <t>139.08531453818634</t>
  </si>
  <si>
    <t>81.76288659793812</t>
  </si>
  <si>
    <t>chr_0017_yvonne_69</t>
  </si>
  <si>
    <t>65.13402061855672</t>
  </si>
  <si>
    <t>101.39255207237531</t>
  </si>
  <si>
    <t>140.79423521986106</t>
  </si>
  <si>
    <t>82.8247422680412</t>
  </si>
  <si>
    <t>chr_0017_yvonne_70</t>
  </si>
  <si>
    <t>65.96907216494847</t>
  </si>
  <si>
    <t>102.66682095518617</t>
  </si>
  <si>
    <t>142.5031559015358</t>
  </si>
  <si>
    <t>83.8865979381443</t>
  </si>
  <si>
    <t>chr_0017_yvonne_71</t>
  </si>
  <si>
    <t>66.80412371134022</t>
  </si>
  <si>
    <t>103.94108983799703</t>
  </si>
  <si>
    <t>144.21207658321055</t>
  </si>
  <si>
    <t>84.94845360824739</t>
  </si>
  <si>
    <t>chr_0017_yvonne_72</t>
  </si>
  <si>
    <t>67.63917525773198</t>
  </si>
  <si>
    <t>105.21535872080788</t>
  </si>
  <si>
    <t>145.92099726488527</t>
  </si>
  <si>
    <t>86.01030927835049</t>
  </si>
  <si>
    <t>chr_0017_yvonne_73</t>
  </si>
  <si>
    <t>68.47422680412373</t>
  </si>
  <si>
    <t>106.48962760361874</t>
  </si>
  <si>
    <t>147.62991794656</t>
  </si>
  <si>
    <t>87.07216494845358</t>
  </si>
  <si>
    <t>chr_0017_yvonne_74</t>
  </si>
  <si>
    <t>69.30927835051547</t>
  </si>
  <si>
    <t>107.7638964864296</t>
  </si>
  <si>
    <t>149.33883862823473</t>
  </si>
  <si>
    <t>88.13402061855668</t>
  </si>
  <si>
    <t>chr_0017_yvonne_75</t>
  </si>
  <si>
    <t>70.14432989690722</t>
  </si>
  <si>
    <t>109.03816536924045</t>
  </si>
  <si>
    <t>151.04775930990945</t>
  </si>
  <si>
    <t>89.19587628865976</t>
  </si>
  <si>
    <t>chr_0017_yvonne_76</t>
  </si>
  <si>
    <t>70.97938144329898</t>
  </si>
  <si>
    <t>110.3124342520513</t>
  </si>
  <si>
    <t>152.7566799915842</t>
  </si>
  <si>
    <t>90.25773195876286</t>
  </si>
  <si>
    <t>chr_0017_yvonne_77</t>
  </si>
  <si>
    <t>71.81443298969073</t>
  </si>
  <si>
    <t>111.58670313486216</t>
  </si>
  <si>
    <t>154.46560067325893</t>
  </si>
  <si>
    <t>91.31958762886595</t>
  </si>
  <si>
    <t>chr_0017_yvonne_78</t>
  </si>
  <si>
    <t>72.6494845360825</t>
  </si>
  <si>
    <t>112.86097201767302</t>
  </si>
  <si>
    <t>156.17452135493366</t>
  </si>
  <si>
    <t>92.38144329896905</t>
  </si>
  <si>
    <t>chr_0017_yvonne_79</t>
  </si>
  <si>
    <t>73.48453608247425</t>
  </si>
  <si>
    <t>114.13524090048388</t>
  </si>
  <si>
    <t>157.8834420366084</t>
  </si>
  <si>
    <t>93.44329896907213</t>
  </si>
  <si>
    <t>chr_0017_yvonne_80</t>
  </si>
  <si>
    <t>74.319587628866</t>
  </si>
  <si>
    <t>115.40950978329474</t>
  </si>
  <si>
    <t>159.5923627182831</t>
  </si>
  <si>
    <t>94.50515463917523</t>
  </si>
  <si>
    <t>chr_0017_yvonne_81</t>
  </si>
  <si>
    <t>75.15463917525776</t>
  </si>
  <si>
    <t>116.6837786661056</t>
  </si>
  <si>
    <t>161.30128339995784</t>
  </si>
  <si>
    <t>95.56701030927832</t>
  </si>
  <si>
    <t>chr_0017_yvonne_82</t>
  </si>
  <si>
    <t>117.95804754891644</t>
  </si>
  <si>
    <t>163.01020408163257</t>
  </si>
  <si>
    <t>96.62886597938142</t>
  </si>
  <si>
    <t>chr_0017_yvonne_83</t>
  </si>
  <si>
    <t>76.82474226804125</t>
  </si>
  <si>
    <t>119.2323164317273</t>
  </si>
  <si>
    <t>164.71912476330732</t>
  </si>
  <si>
    <t>97.6907216494845</t>
  </si>
  <si>
    <t>chr_0017_yvonne_84</t>
  </si>
  <si>
    <t>77.659793814433</t>
  </si>
  <si>
    <t>120.50658531453816</t>
  </si>
  <si>
    <t>166.42804544498205</t>
  </si>
  <si>
    <t>98.7525773195876</t>
  </si>
  <si>
    <t>chr_0017_yvonne_85</t>
  </si>
  <si>
    <t>78.49484536082475</t>
  </si>
  <si>
    <t>121.78085419734902</t>
  </si>
  <si>
    <t>168.13696612665677</t>
  </si>
  <si>
    <t>99.81443298969069</t>
  </si>
  <si>
    <t>chr_0017_yvonne_86</t>
  </si>
  <si>
    <t>79.32989690721651</t>
  </si>
  <si>
    <t>123.05512308015987</t>
  </si>
  <si>
    <t>169.8458868083315</t>
  </si>
  <si>
    <t>100.87628865979379</t>
  </si>
  <si>
    <t>chr_0017_yvonne_87</t>
  </si>
  <si>
    <t>80.16494845360826</t>
  </si>
  <si>
    <t>124.32939196297073</t>
  </si>
  <si>
    <t>171.55480749000623</t>
  </si>
  <si>
    <t>101.93814432989687</t>
  </si>
  <si>
    <t>chr_0017_yvonne_88</t>
  </si>
  <si>
    <t>81.00000000000001</t>
  </si>
  <si>
    <t>125.60366084578158</t>
  </si>
  <si>
    <t>173.26372817168095</t>
  </si>
  <si>
    <t>102.99999999999997</t>
  </si>
  <si>
    <t>chr_0017_yvonne_89</t>
  </si>
  <si>
    <t>81.83505154639177</t>
  </si>
  <si>
    <t>126.87792972859243</t>
  </si>
  <si>
    <t>174.97264885335568</t>
  </si>
  <si>
    <t>104.06185567010306</t>
  </si>
  <si>
    <t>chr_0017_yvonne_90</t>
  </si>
  <si>
    <t>82.67010309278352</t>
  </si>
  <si>
    <t>128.1521986114033</t>
  </si>
  <si>
    <t>176.68156953503043</t>
  </si>
  <si>
    <t>105.12371134020616</t>
  </si>
  <si>
    <t>chr_0017_yvonne_91</t>
  </si>
  <si>
    <t>83.50515463917527</t>
  </si>
  <si>
    <t>129.42646749421417</t>
  </si>
  <si>
    <t>178.39049021670516</t>
  </si>
  <si>
    <t>106.18556701030924</t>
  </si>
  <si>
    <t>chr_0017_yvonne_92</t>
  </si>
  <si>
    <t>84.34020618556703</t>
  </si>
  <si>
    <t>130.700736377025</t>
  </si>
  <si>
    <t>180.0994108983799</t>
  </si>
  <si>
    <t>107.24742268041234</t>
  </si>
  <si>
    <t>chr_0017_yvonne_93</t>
  </si>
  <si>
    <t>85.17525773195878</t>
  </si>
  <si>
    <t>131.97500525983588</t>
  </si>
  <si>
    <t>181.8083315800546</t>
  </si>
  <si>
    <t>108.30927835051543</t>
  </si>
  <si>
    <t>chr_0017_yvonne_94</t>
  </si>
  <si>
    <t>86.01030927835053</t>
  </si>
  <si>
    <t>133.24927414264673</t>
  </si>
  <si>
    <t>183.51725226172934</t>
  </si>
  <si>
    <t>109.37113402061853</t>
  </si>
  <si>
    <t>chr_0017_yvonne_95</t>
  </si>
  <si>
    <t>86.84536082474229</t>
  </si>
  <si>
    <t>134.52354302545757</t>
  </si>
  <si>
    <t>185.22617294340407</t>
  </si>
  <si>
    <t>110.43298969072161</t>
  </si>
  <si>
    <t>chr_0017_yvonne_96</t>
  </si>
  <si>
    <t>87.68041237113404</t>
  </si>
  <si>
    <t>135.79781190826844</t>
  </si>
  <si>
    <t>186.9350936250788</t>
  </si>
  <si>
    <t>111.49484536082471</t>
  </si>
  <si>
    <t>chr_0017_yvonne_97</t>
  </si>
  <si>
    <t>88.51546391752579</t>
  </si>
  <si>
    <t>137.0720807910793</t>
  </si>
  <si>
    <t>188.64401430675355</t>
  </si>
  <si>
    <t>112.55670103092781</t>
  </si>
  <si>
    <t>chr_0017_yvonne_98</t>
  </si>
  <si>
    <t>89.35051546391755</t>
  </si>
  <si>
    <t>138.34634967389016</t>
  </si>
  <si>
    <t>190.35293498842827</t>
  </si>
  <si>
    <t>113.6185567010309</t>
  </si>
  <si>
    <t>chr_0017_yvonne_99</t>
  </si>
  <si>
    <t>90.1855670103093</t>
  </si>
  <si>
    <t>139.620618556701</t>
  </si>
  <si>
    <t>114.680412371134</t>
  </si>
  <si>
    <t>chr_0023_antal_1</t>
  </si>
  <si>
    <t>chr_0023_antal</t>
  </si>
  <si>
    <t>安塔尔</t>
  </si>
  <si>
    <t>Antal</t>
  </si>
  <si>
    <t>法术脆弱, 增幅</t>
  </si>
  <si>
    <t>15.4639175257732</t>
  </si>
  <si>
    <r>
      <t>【术法天分】终结技</t>
    </r>
    <r>
      <rPr>
        <b/>
        <sz val="11"/>
        <color rgb="FF33C2FF"/>
        <rFont val="宋体"/>
        <charset val="134"/>
      </rPr>
      <t>超频时刻</t>
    </r>
    <r>
      <rPr>
        <sz val="11"/>
        <color theme="1"/>
        <rFont val="宋体"/>
        <family val="2"/>
        <scheme val="minor"/>
      </rPr>
      <t>提供的</t>
    </r>
    <r>
      <rPr>
        <b/>
        <u/>
        <sz val="11"/>
        <color rgb="FFFFCC00"/>
        <rFont val="宋体"/>
        <charset val="134"/>
      </rPr>
      <t>电磁增幅</t>
    </r>
    <r>
      <rPr>
        <sz val="11"/>
        <color theme="1"/>
        <rFont val="宋体"/>
        <family val="2"/>
        <scheme val="minor"/>
      </rPr>
      <t>和</t>
    </r>
    <r>
      <rPr>
        <b/>
        <u/>
        <sz val="11"/>
        <color rgb="FFFF8E59"/>
        <rFont val="宋体"/>
        <charset val="134"/>
      </rPr>
      <t>灼热增幅</t>
    </r>
    <r>
      <rPr>
        <sz val="11"/>
        <color theme="1"/>
        <rFont val="宋体"/>
        <family val="2"/>
        <scheme val="minor"/>
      </rPr>
      <t>效果提高至原本的</t>
    </r>
    <r>
      <rPr>
        <b/>
        <sz val="11"/>
        <color rgb="FF9EB7FF"/>
        <rFont val="宋体"/>
        <charset val="134"/>
      </rPr>
      <t>1.1</t>
    </r>
    <r>
      <rPr>
        <sz val="11"/>
        <color theme="1"/>
        <rFont val="宋体"/>
        <family val="2"/>
        <scheme val="minor"/>
      </rPr>
      <t>倍。</t>
    </r>
  </si>
  <si>
    <r>
      <t>【自动化改良】终结技</t>
    </r>
    <r>
      <rPr>
        <b/>
        <sz val="11"/>
        <color rgb="FF33C2FF"/>
        <rFont val="宋体"/>
        <charset val="134"/>
      </rPr>
      <t>超频时刻</t>
    </r>
    <r>
      <rPr>
        <sz val="11"/>
        <color theme="1"/>
        <rFont val="宋体"/>
        <family val="2"/>
        <scheme val="minor"/>
      </rPr>
      <t>所需的终结技能量</t>
    </r>
    <r>
      <rPr>
        <b/>
        <sz val="11"/>
        <color rgb="FF9EB7FF"/>
        <rFont val="宋体"/>
        <charset val="134"/>
      </rPr>
      <t>-10%</t>
    </r>
    <r>
      <rPr>
        <sz val="11"/>
        <color theme="1"/>
        <rFont val="宋体"/>
        <family val="2"/>
        <scheme val="minor"/>
      </rPr>
      <t>。</t>
    </r>
  </si>
  <si>
    <r>
      <t>【源石理论应用】若被</t>
    </r>
    <r>
      <rPr>
        <b/>
        <sz val="11"/>
        <color rgb="FF33C2FF"/>
        <rFont val="宋体"/>
        <charset val="134"/>
      </rPr>
      <t>聚焦</t>
    </r>
    <r>
      <rPr>
        <sz val="11"/>
        <color theme="1"/>
        <rFont val="宋体"/>
        <family val="2"/>
        <scheme val="minor"/>
      </rPr>
      <t>的敌人在</t>
    </r>
    <r>
      <rPr>
        <b/>
        <sz val="11"/>
        <color rgb="FF33C2FF"/>
        <rFont val="宋体"/>
        <charset val="134"/>
      </rPr>
      <t>聚焦</t>
    </r>
    <r>
      <rPr>
        <sz val="11"/>
        <color theme="1"/>
        <rFont val="宋体"/>
        <family val="2"/>
        <scheme val="minor"/>
      </rPr>
      <t>期间被击败，</t>
    </r>
    <r>
      <rPr>
        <u/>
        <sz val="11"/>
        <rFont val="宋体"/>
        <charset val="134"/>
      </rPr>
      <t>返还</t>
    </r>
    <r>
      <rPr>
        <b/>
        <sz val="11"/>
        <color rgb="FF9EB7FF"/>
        <rFont val="宋体"/>
        <charset val="134"/>
      </rPr>
      <t>15</t>
    </r>
    <r>
      <rPr>
        <sz val="11"/>
        <color theme="1"/>
        <rFont val="宋体"/>
        <family val="2"/>
        <scheme val="minor"/>
      </rPr>
      <t>点技力。</t>
    </r>
  </si>
  <si>
    <r>
      <t>【奶奶的叮嘱】智识</t>
    </r>
    <r>
      <rPr>
        <b/>
        <sz val="11"/>
        <color rgb="FF9EB7FF"/>
        <rFont val="宋体"/>
        <charset val="134"/>
      </rPr>
      <t>+10</t>
    </r>
    <r>
      <rPr>
        <sz val="11"/>
        <color theme="1"/>
        <rFont val="宋体"/>
        <family val="2"/>
        <scheme val="minor"/>
      </rPr>
      <t>，最大生命值</t>
    </r>
    <r>
      <rPr>
        <b/>
        <sz val="11"/>
        <color rgb="FF9EB7FF"/>
        <rFont val="宋体"/>
        <charset val="134"/>
      </rPr>
      <t>+10%</t>
    </r>
    <r>
      <rPr>
        <sz val="11"/>
        <color theme="1"/>
        <rFont val="宋体"/>
        <family val="2"/>
        <scheme val="minor"/>
      </rPr>
      <t>。</t>
    </r>
  </si>
  <si>
    <r>
      <t>【高规格技术测试】</t>
    </r>
    <r>
      <rPr>
        <b/>
        <sz val="11"/>
        <color rgb="FF33C2FF"/>
        <rFont val="宋体"/>
        <charset val="134"/>
      </rPr>
      <t>聚焦</t>
    </r>
    <r>
      <rPr>
        <sz val="11"/>
        <color theme="1"/>
        <rFont val="宋体"/>
        <family val="2"/>
        <scheme val="minor"/>
      </rPr>
      <t>同一个目标</t>
    </r>
    <r>
      <rPr>
        <b/>
        <sz val="11"/>
        <color rgb="FF9EB7FF"/>
        <rFont val="宋体"/>
        <charset val="134"/>
      </rPr>
      <t>20</t>
    </r>
    <r>
      <rPr>
        <sz val="11"/>
        <color theme="1"/>
        <rFont val="宋体"/>
        <family val="2"/>
        <scheme val="minor"/>
      </rPr>
      <t>秒以后，</t>
    </r>
    <r>
      <rPr>
        <b/>
        <u/>
        <sz val="11"/>
        <color rgb="FFFFCC00"/>
        <rFont val="宋体"/>
        <charset val="134"/>
      </rPr>
      <t>电磁脆弱</t>
    </r>
    <r>
      <rPr>
        <sz val="11"/>
        <color theme="1"/>
        <rFont val="宋体"/>
        <family val="2"/>
        <scheme val="minor"/>
      </rPr>
      <t>和</t>
    </r>
    <r>
      <rPr>
        <b/>
        <u/>
        <sz val="11"/>
        <color rgb="FFFF8E59"/>
        <rFont val="宋体"/>
        <charset val="134"/>
      </rPr>
      <t>灼热脆弱</t>
    </r>
    <r>
      <rPr>
        <sz val="11"/>
        <color theme="1"/>
        <rFont val="宋体"/>
        <family val="2"/>
        <scheme val="minor"/>
      </rPr>
      <t>效果会提高</t>
    </r>
    <r>
      <rPr>
        <b/>
        <sz val="11"/>
        <color rgb="FF9EB7FF"/>
        <rFont val="宋体"/>
        <charset val="134"/>
      </rPr>
      <t>4%</t>
    </r>
    <r>
      <rPr>
        <sz val="11"/>
        <color theme="1"/>
        <rFont val="宋体"/>
        <family val="2"/>
        <scheme val="minor"/>
      </rPr>
      <t>。</t>
    </r>
  </si>
  <si>
    <t>chr_0023_antal_2</t>
  </si>
  <si>
    <t>17.151483273721844</t>
  </si>
  <si>
    <t>10.353460972017677</t>
  </si>
  <si>
    <t>17.146644224700196</t>
  </si>
  <si>
    <t>10.614138438880707</t>
  </si>
  <si>
    <t>chr_0023_antal_3</t>
  </si>
  <si>
    <t>18.426677887649888</t>
  </si>
  <si>
    <t>11.222385861561124</t>
  </si>
  <si>
    <t>18.829370923627195</t>
  </si>
  <si>
    <t>11.434462444771722</t>
  </si>
  <si>
    <t>chr_0023_antal_4</t>
  </si>
  <si>
    <t>19.70187250157793</t>
  </si>
  <si>
    <t>12.09131075110457</t>
  </si>
  <si>
    <t>20.512097622554194</t>
  </si>
  <si>
    <t>12.254786450662738</t>
  </si>
  <si>
    <t>chr_0023_antal_5</t>
  </si>
  <si>
    <t>20.97706711550597</t>
  </si>
  <si>
    <t>12.960235640648017</t>
  </si>
  <si>
    <t>22.194824321481192</t>
  </si>
  <si>
    <t>13.075110456553755</t>
  </si>
  <si>
    <t>chr_0023_antal_6</t>
  </si>
  <si>
    <t>22.252261729434014</t>
  </si>
  <si>
    <t>13.829160530191462</t>
  </si>
  <si>
    <t>23.87755102040819</t>
  </si>
  <si>
    <t>13.895434462444772</t>
  </si>
  <si>
    <t>chr_0023_antal_7</t>
  </si>
  <si>
    <t>23.527456343362058</t>
  </si>
  <si>
    <t>14.698085419734909</t>
  </si>
  <si>
    <t>25.560277719335186</t>
  </si>
  <si>
    <t>14.715758468335789</t>
  </si>
  <si>
    <t>chr_0023_antal_8</t>
  </si>
  <si>
    <t>24.802650957290098</t>
  </si>
  <si>
    <t>15.567010309278356</t>
  </si>
  <si>
    <t>27.24300441826218</t>
  </si>
  <si>
    <t>15.536082474226804</t>
  </si>
  <si>
    <t>chr_0023_antal_9</t>
  </si>
  <si>
    <t>26.07784557121814</t>
  </si>
  <si>
    <t>16.435935198821802</t>
  </si>
  <si>
    <t>28.92573111718918</t>
  </si>
  <si>
    <t>16.35640648011782</t>
  </si>
  <si>
    <t>chr_0023_antal_10</t>
  </si>
  <si>
    <t>27.353040185146185</t>
  </si>
  <si>
    <t>17.30486008836525</t>
  </si>
  <si>
    <t>30.60845781611618</t>
  </si>
  <si>
    <t>17.176730486008836</t>
  </si>
  <si>
    <t>chr_0023_antal_11</t>
  </si>
  <si>
    <t>28.628234799074228</t>
  </si>
  <si>
    <t>18.173784977908696</t>
  </si>
  <si>
    <t>32.29118451504318</t>
  </si>
  <si>
    <t>17.997054491899853</t>
  </si>
  <si>
    <t>chr_0023_antal_12</t>
  </si>
  <si>
    <t>29.90342941300227</t>
  </si>
  <si>
    <t>19.042709867452142</t>
  </si>
  <si>
    <t>33.973911213970176</t>
  </si>
  <si>
    <t>18.81737849779087</t>
  </si>
  <si>
    <t>chr_0023_antal_13</t>
  </si>
  <si>
    <t>31.178624026930315</t>
  </si>
  <si>
    <t>19.91163475699559</t>
  </si>
  <si>
    <t>35.656637912897175</t>
  </si>
  <si>
    <t>19.637702503681886</t>
  </si>
  <si>
    <t>chr_0023_antal_14</t>
  </si>
  <si>
    <t>32.45381864085836</t>
  </si>
  <si>
    <t>20.780559646539036</t>
  </si>
  <si>
    <t>37.33936461182417</t>
  </si>
  <si>
    <t>20.458026509572903</t>
  </si>
  <si>
    <t>chr_0023_antal_15</t>
  </si>
  <si>
    <t>33.729013254786395</t>
  </si>
  <si>
    <t>21.649484536082483</t>
  </si>
  <si>
    <t>39.022091310751165</t>
  </si>
  <si>
    <t>21.27835051546392</t>
  </si>
  <si>
    <t>chr_0023_antal_16</t>
  </si>
  <si>
    <t>35.004207868714445</t>
  </si>
  <si>
    <t>22.51840942562593</t>
  </si>
  <si>
    <t>40.70481800967816</t>
  </si>
  <si>
    <t>22.098674521354937</t>
  </si>
  <si>
    <t>chr_0023_antal_17</t>
  </si>
  <si>
    <t>36.27940248264248</t>
  </si>
  <si>
    <t>23.387334315169376</t>
  </si>
  <si>
    <t>42.38754470860516</t>
  </si>
  <si>
    <t>22.918998527245954</t>
  </si>
  <si>
    <t>chr_0023_antal_18</t>
  </si>
  <si>
    <t>37.55459709657053</t>
  </si>
  <si>
    <t>24.256259204712823</t>
  </si>
  <si>
    <t>44.07027140753216</t>
  </si>
  <si>
    <t>23.73932253313697</t>
  </si>
  <si>
    <t>chr_0023_antal_19</t>
  </si>
  <si>
    <t>38.82979171049857</t>
  </si>
  <si>
    <t>25.12518409425627</t>
  </si>
  <si>
    <t>45.75299810645916</t>
  </si>
  <si>
    <t>24.559646539027987</t>
  </si>
  <si>
    <t>chr_0023_antal_20</t>
  </si>
  <si>
    <t>40.10498632442661</t>
  </si>
  <si>
    <t>25.994108983799713</t>
  </si>
  <si>
    <t>47.43572480538616</t>
  </si>
  <si>
    <t>25.379970544919</t>
  </si>
  <si>
    <t>【即兴发挥 Lv.1】队伍中处于增幅状态的干员造成技能伤害后，安塔尔为其回复[72+力量×0.6]点生命值，每个干员每30秒最多受到1次该回复效果。</t>
  </si>
  <si>
    <r>
      <t>【即兴发挥 Lv.1】队伍中处于</t>
    </r>
    <r>
      <rPr>
        <b/>
        <u/>
        <sz val="11"/>
        <color rgb="FF33C2FF"/>
        <rFont val="宋体"/>
        <charset val="134"/>
      </rPr>
      <t>增幅</t>
    </r>
    <r>
      <rPr>
        <sz val="11"/>
        <color theme="1"/>
        <rFont val="宋体"/>
        <family val="2"/>
        <scheme val="minor"/>
      </rPr>
      <t>状态的干员造成技能伤害后，安塔尔为其回复</t>
    </r>
    <r>
      <rPr>
        <b/>
        <sz val="11"/>
        <color rgb="FFB4D945"/>
        <rFont val="宋体"/>
        <charset val="134"/>
      </rPr>
      <t>[72+力量×0.6]</t>
    </r>
    <r>
      <rPr>
        <sz val="11"/>
        <color theme="1"/>
        <rFont val="宋体"/>
        <family val="2"/>
        <scheme val="minor"/>
      </rPr>
      <t>点生命值，每个干员每</t>
    </r>
    <r>
      <rPr>
        <b/>
        <sz val="11"/>
        <color rgb="FF9EB7FF"/>
        <rFont val="宋体"/>
        <charset val="134"/>
      </rPr>
      <t>30</t>
    </r>
    <r>
      <rPr>
        <sz val="11"/>
        <color theme="1"/>
        <rFont val="宋体"/>
        <family val="2"/>
        <scheme val="minor"/>
      </rPr>
      <t>秒最多受到1次该回复效果。</t>
    </r>
  </si>
  <si>
    <t>chr_0023_antal_21</t>
  </si>
  <si>
    <t>41.380180938354655</t>
  </si>
  <si>
    <t>26.863033873343163</t>
  </si>
  <si>
    <t>49.11845150431316</t>
  </si>
  <si>
    <t>26.20029455081002</t>
  </si>
  <si>
    <t>chr_0023_antal_22</t>
  </si>
  <si>
    <t>42.6553755522827</t>
  </si>
  <si>
    <t>27.731958762886606</t>
  </si>
  <si>
    <t>50.80117820324015</t>
  </si>
  <si>
    <t>27.02061855670103</t>
  </si>
  <si>
    <t>chr_0023_antal_23</t>
  </si>
  <si>
    <t>43.93057016621074</t>
  </si>
  <si>
    <t>28.600883652430056</t>
  </si>
  <si>
    <t>52.48390490216715</t>
  </si>
  <si>
    <t>27.840942562592048</t>
  </si>
  <si>
    <t>chr_0023_antal_24</t>
  </si>
  <si>
    <t>45.205764780138786</t>
  </si>
  <si>
    <t>29.4698085419735</t>
  </si>
  <si>
    <t>54.166631601094146</t>
  </si>
  <si>
    <t>28.661266568483065</t>
  </si>
  <si>
    <t>chr_0023_antal_25</t>
  </si>
  <si>
    <t>46.48095939406683</t>
  </si>
  <si>
    <t>30.33873343151695</t>
  </si>
  <si>
    <t>55.849358300021144</t>
  </si>
  <si>
    <t>29.48159057437408</t>
  </si>
  <si>
    <t>chr_0023_antal_26</t>
  </si>
  <si>
    <t>47.756154007994866</t>
  </si>
  <si>
    <t>31.207658321060393</t>
  </si>
  <si>
    <t>57.53208499894814</t>
  </si>
  <si>
    <t>30.301914580265098</t>
  </si>
  <si>
    <t>chr_0023_antal_27</t>
  </si>
  <si>
    <t>49.031348621922916</t>
  </si>
  <si>
    <t>32.07658321060384</t>
  </si>
  <si>
    <t>59.21481169787514</t>
  </si>
  <si>
    <t>31.122238586156115</t>
  </si>
  <si>
    <t>chr_0023_antal_28</t>
  </si>
  <si>
    <t>50.30654323585095</t>
  </si>
  <si>
    <t>32.945508100147286</t>
  </si>
  <si>
    <t>60.89753839680214</t>
  </si>
  <si>
    <t>31.942562592047132</t>
  </si>
  <si>
    <t>chr_0023_antal_29</t>
  </si>
  <si>
    <t>51.581737849778996</t>
  </si>
  <si>
    <t>33.81443298969074</t>
  </si>
  <si>
    <t>62.58026509572913</t>
  </si>
  <si>
    <t>32.76288659793815</t>
  </si>
  <si>
    <t>chr_0023_antal_30</t>
  </si>
  <si>
    <t>52.85693246370704</t>
  </si>
  <si>
    <t>34.68335787923418</t>
  </si>
  <si>
    <t>64.26299179465613</t>
  </si>
  <si>
    <t>33.583210603829166</t>
  </si>
  <si>
    <t>chr_0023_antal_31</t>
  </si>
  <si>
    <t>54.13212707763508</t>
  </si>
  <si>
    <t>35.55228276877763</t>
  </si>
  <si>
    <t>65.94571849358313</t>
  </si>
  <si>
    <t>34.40353460972018</t>
  </si>
  <si>
    <t>chr_0023_antal_32</t>
  </si>
  <si>
    <t>55.407321691563126</t>
  </si>
  <si>
    <t>36.42120765832107</t>
  </si>
  <si>
    <t>67.62844519251013</t>
  </si>
  <si>
    <t>35.2238586156112</t>
  </si>
  <si>
    <t>chr_0023_antal_33</t>
  </si>
  <si>
    <t>56.68251630549117</t>
  </si>
  <si>
    <t>37.29013254786452</t>
  </si>
  <si>
    <t>69.31117189143713</t>
  </si>
  <si>
    <t>36.044182621502216</t>
  </si>
  <si>
    <t>chr_0023_antal_34</t>
  </si>
  <si>
    <t>57.95771091941921</t>
  </si>
  <si>
    <t>38.15905743740797</t>
  </si>
  <si>
    <t>70.99389859036413</t>
  </si>
  <si>
    <t>36.86450662739323</t>
  </si>
  <si>
    <t>chr_0023_antal_35</t>
  </si>
  <si>
    <t>59.23290553334726</t>
  </si>
  <si>
    <t>39.02798232695142</t>
  </si>
  <si>
    <t>72.67662528929112</t>
  </si>
  <si>
    <t>37.68483063328425</t>
  </si>
  <si>
    <t>chr_0023_antal_36</t>
  </si>
  <si>
    <t>60.5081001472753</t>
  </si>
  <si>
    <t>39.89690721649486</t>
  </si>
  <si>
    <t>74.35935198821812</t>
  </si>
  <si>
    <t>38.50515463917527</t>
  </si>
  <si>
    <t>chr_0023_antal_37</t>
  </si>
  <si>
    <t>61.783294761203344</t>
  </si>
  <si>
    <t>40.76583210603831</t>
  </si>
  <si>
    <t>76.04207868714512</t>
  </si>
  <si>
    <t>39.32547864506628</t>
  </si>
  <si>
    <t>chr_0023_antal_38</t>
  </si>
  <si>
    <t>63.05848937513139</t>
  </si>
  <si>
    <t>41.63475699558175</t>
  </si>
  <si>
    <t>77.72480538607212</t>
  </si>
  <si>
    <t>40.14580265095729</t>
  </si>
  <si>
    <t>chr_0023_antal_39</t>
  </si>
  <si>
    <t>64.33368398905942</t>
  </si>
  <si>
    <t>42.5036818851252</t>
  </si>
  <si>
    <t>79.40753208499912</t>
  </si>
  <si>
    <t>40.96612665684831</t>
  </si>
  <si>
    <t>chr_0023_antal_40</t>
  </si>
  <si>
    <t>65.60887860298746</t>
  </si>
  <si>
    <t>43.37260677466865</t>
  </si>
  <si>
    <t>81.09025878392612</t>
  </si>
  <si>
    <t>41.78645066273933</t>
  </si>
  <si>
    <t>【即兴发挥 Lv.2】队伍中处于增幅状态的干员造成技能伤害后，安塔尔为其回复[108+力量×0.9]点生命值，每个干员每30秒最多受到1次该回复效果。</t>
  </si>
  <si>
    <r>
      <t>【即兴发挥 Lv.2】队伍中处于</t>
    </r>
    <r>
      <rPr>
        <b/>
        <u/>
        <sz val="11"/>
        <color rgb="FF33C2FF"/>
        <rFont val="宋体"/>
        <charset val="134"/>
      </rPr>
      <t>增幅</t>
    </r>
    <r>
      <rPr>
        <sz val="11"/>
        <color theme="1"/>
        <rFont val="宋体"/>
        <family val="2"/>
        <scheme val="minor"/>
      </rPr>
      <t>状态的干员造成技能伤害后，安塔尔为其回复</t>
    </r>
    <r>
      <rPr>
        <b/>
        <sz val="11"/>
        <color rgb="FFB4D945"/>
        <rFont val="宋体"/>
        <charset val="134"/>
      </rPr>
      <t>[108+力量×0.9]</t>
    </r>
    <r>
      <rPr>
        <sz val="11"/>
        <color theme="1"/>
        <rFont val="宋体"/>
        <family val="2"/>
        <scheme val="minor"/>
      </rPr>
      <t>点生命值，每个干员每</t>
    </r>
    <r>
      <rPr>
        <b/>
        <sz val="11"/>
        <color rgb="FF9EB7FF"/>
        <rFont val="宋体"/>
        <charset val="134"/>
      </rPr>
      <t>30</t>
    </r>
    <r>
      <rPr>
        <sz val="11"/>
        <color theme="1"/>
        <rFont val="宋体"/>
        <family val="2"/>
        <scheme val="minor"/>
      </rPr>
      <t>秒最多受到1次该回复效果。</t>
    </r>
  </si>
  <si>
    <t>【下意识 Lv.1】有30%的概率免疫物理伤害，并回复自身[27+力量×0.23]点生命值。</t>
  </si>
  <si>
    <r>
      <t>【下意识 Lv.1】有</t>
    </r>
    <r>
      <rPr>
        <b/>
        <sz val="11"/>
        <color rgb="FF9EB7FF"/>
        <rFont val="宋体"/>
        <charset val="134"/>
      </rPr>
      <t>30%</t>
    </r>
    <r>
      <rPr>
        <sz val="11"/>
        <color theme="1"/>
        <rFont val="宋体"/>
        <family val="2"/>
        <scheme val="minor"/>
      </rPr>
      <t>的概率免疫</t>
    </r>
    <r>
      <rPr>
        <b/>
        <sz val="11"/>
        <color rgb="FFE3C19A"/>
        <rFont val="宋体"/>
        <charset val="134"/>
      </rPr>
      <t>物理伤害</t>
    </r>
    <r>
      <rPr>
        <sz val="11"/>
        <color theme="1"/>
        <rFont val="宋体"/>
        <family val="2"/>
        <scheme val="minor"/>
      </rPr>
      <t>，并回复自身</t>
    </r>
    <r>
      <rPr>
        <b/>
        <sz val="11"/>
        <color rgb="FFB4D945"/>
        <rFont val="宋体"/>
        <charset val="134"/>
      </rPr>
      <t>[27+力量×0.23]</t>
    </r>
    <r>
      <rPr>
        <sz val="11"/>
        <color theme="1"/>
        <rFont val="宋体"/>
        <family val="2"/>
        <scheme val="minor"/>
      </rPr>
      <t>点生命值。</t>
    </r>
  </si>
  <si>
    <t>chr_0023_antal_41</t>
  </si>
  <si>
    <t>66.88407321691551</t>
  </si>
  <si>
    <t>44.24153166421209</t>
  </si>
  <si>
    <t>82.77298548285312</t>
  </si>
  <si>
    <t>42.60677466863035</t>
  </si>
  <si>
    <t>chr_0023_antal_42</t>
  </si>
  <si>
    <t>68.15926783084356</t>
  </si>
  <si>
    <t>45.11045655375554</t>
  </si>
  <si>
    <t>84.4557121817801</t>
  </si>
  <si>
    <t>43.42709867452136</t>
  </si>
  <si>
    <t>chr_0023_antal_43</t>
  </si>
  <si>
    <t>69.4344624447716</t>
  </si>
  <si>
    <t>45.97938144329898</t>
  </si>
  <si>
    <t>86.1384388807071</t>
  </si>
  <si>
    <t>44.24742268041238</t>
  </si>
  <si>
    <t>chr_0023_antal_44</t>
  </si>
  <si>
    <t>70.70965705869963</t>
  </si>
  <si>
    <t>46.848306332842434</t>
  </si>
  <si>
    <t>87.8211655796341</t>
  </si>
  <si>
    <t>45.067746686303394</t>
  </si>
  <si>
    <t>chr_0023_antal_45</t>
  </si>
  <si>
    <t>71.98485167262768</t>
  </si>
  <si>
    <t>47.71723122238588</t>
  </si>
  <si>
    <t>89.5038922785611</t>
  </si>
  <si>
    <t>45.88807069219441</t>
  </si>
  <si>
    <t>chr_0023_antal_46</t>
  </si>
  <si>
    <t>73.26004628655573</t>
  </si>
  <si>
    <t>48.58615611192933</t>
  </si>
  <si>
    <t>91.1866189774881</t>
  </si>
  <si>
    <t>46.70839469808543</t>
  </si>
  <si>
    <t>chr_0023_antal_47</t>
  </si>
  <si>
    <t>74.53524090048377</t>
  </si>
  <si>
    <t>49.45508100147277</t>
  </si>
  <si>
    <t>92.8693456764151</t>
  </si>
  <si>
    <t>47.528718703976445</t>
  </si>
  <si>
    <t>chr_0023_antal_48</t>
  </si>
  <si>
    <t>75.81043551441181</t>
  </si>
  <si>
    <t>50.32400589101622</t>
  </si>
  <si>
    <t>94.55207237534209</t>
  </si>
  <si>
    <t>48.34904270986746</t>
  </si>
  <si>
    <t>chr_0023_antal_49</t>
  </si>
  <si>
    <t>77.08563012833986</t>
  </si>
  <si>
    <t>51.192930780559664</t>
  </si>
  <si>
    <t>96.23479907426909</t>
  </si>
  <si>
    <t>49.16936671575848</t>
  </si>
  <si>
    <t>chr_0023_antal_50</t>
  </si>
  <si>
    <t>78.3608247422679</t>
  </si>
  <si>
    <t>52.061855670103114</t>
  </si>
  <si>
    <t>97.91752577319609</t>
  </si>
  <si>
    <t>49.989690721649495</t>
  </si>
  <si>
    <t>chr_0023_antal_51</t>
  </si>
  <si>
    <t>79.63601935619593</t>
  </si>
  <si>
    <t>52.93078055964656</t>
  </si>
  <si>
    <t>99.60025247212309</t>
  </si>
  <si>
    <t>50.81001472754051</t>
  </si>
  <si>
    <t>chr_0023_antal_52</t>
  </si>
  <si>
    <t>80.91121397012398</t>
  </si>
  <si>
    <t>53.79970544919001</t>
  </si>
  <si>
    <t>101.28297917105009</t>
  </si>
  <si>
    <t>51.63033873343153</t>
  </si>
  <si>
    <t>chr_0023_antal_53</t>
  </si>
  <si>
    <t>82.18640858405203</t>
  </si>
  <si>
    <t>54.66863033873345</t>
  </si>
  <si>
    <t>102.96570586997709</t>
  </si>
  <si>
    <t>52.450662739322546</t>
  </si>
  <si>
    <t>chr_0023_antal_54</t>
  </si>
  <si>
    <t>83.46160319798007</t>
  </si>
  <si>
    <t>55.5375552282769</t>
  </si>
  <si>
    <t>104.64843256890408</t>
  </si>
  <si>
    <t>53.27098674521356</t>
  </si>
  <si>
    <t>chr_0023_antal_55</t>
  </si>
  <si>
    <t>84.7367978119081</t>
  </si>
  <si>
    <t>56.406480117820344</t>
  </si>
  <si>
    <t>106.33115926783108</t>
  </si>
  <si>
    <t>54.09131075110458</t>
  </si>
  <si>
    <t>chr_0023_antal_56</t>
  </si>
  <si>
    <t>86.01199242583616</t>
  </si>
  <si>
    <t>57.275405007363794</t>
  </si>
  <si>
    <t>108.01388596675808</t>
  </si>
  <si>
    <t>54.911634756995596</t>
  </si>
  <si>
    <t>chr_0023_antal_57</t>
  </si>
  <si>
    <t>87.28718703976419</t>
  </si>
  <si>
    <t>58.14432989690724</t>
  </si>
  <si>
    <t>109.69661266568507</t>
  </si>
  <si>
    <t>55.731958762886606</t>
  </si>
  <si>
    <t>chr_0023_antal_58</t>
  </si>
  <si>
    <t>88.56238165369224</t>
  </si>
  <si>
    <t>59.01325478645069</t>
  </si>
  <si>
    <t>111.37933936461206</t>
  </si>
  <si>
    <t>56.55228276877762</t>
  </si>
  <si>
    <t>chr_0023_antal_59</t>
  </si>
  <si>
    <t>89.83757626762028</t>
  </si>
  <si>
    <t>59.88217967599413</t>
  </si>
  <si>
    <t>113.06206606353906</t>
  </si>
  <si>
    <t>57.37260677466864</t>
  </si>
  <si>
    <t>chr_0023_antal_60</t>
  </si>
  <si>
    <t>91.11277088154833</t>
  </si>
  <si>
    <t>60.75110456553758</t>
  </si>
  <si>
    <t>114.74479276246606</t>
  </si>
  <si>
    <t>58.19293078055966</t>
  </si>
  <si>
    <r>
      <t>【下意识 Lv.2】有</t>
    </r>
    <r>
      <rPr>
        <b/>
        <sz val="11"/>
        <color rgb="FF9EB7FF"/>
        <rFont val="宋体"/>
        <charset val="134"/>
      </rPr>
      <t>30%</t>
    </r>
    <r>
      <rPr>
        <sz val="11"/>
        <color theme="1"/>
        <rFont val="宋体"/>
        <family val="2"/>
        <scheme val="minor"/>
      </rPr>
      <t>的概率免疫</t>
    </r>
    <r>
      <rPr>
        <b/>
        <sz val="11"/>
        <color rgb="FFE3C19A"/>
        <rFont val="宋体"/>
        <charset val="134"/>
      </rPr>
      <t>物理伤害</t>
    </r>
    <r>
      <rPr>
        <sz val="11"/>
        <color theme="1"/>
        <rFont val="宋体"/>
        <family val="2"/>
        <scheme val="minor"/>
      </rPr>
      <t>，并回复自身</t>
    </r>
    <r>
      <rPr>
        <b/>
        <sz val="11"/>
        <color rgb="FFB4D945"/>
        <rFont val="宋体"/>
        <charset val="134"/>
      </rPr>
      <t>[45+力量×0.38]</t>
    </r>
    <r>
      <rPr>
        <sz val="11"/>
        <color theme="1"/>
        <rFont val="宋体"/>
        <family val="2"/>
        <scheme val="minor"/>
      </rPr>
      <t>点生命值。</t>
    </r>
  </si>
  <si>
    <t>chr_0023_antal_61</t>
  </si>
  <si>
    <t>92.38796549547637</t>
  </si>
  <si>
    <t>61.620029455081024</t>
  </si>
  <si>
    <t>116.42751946139306</t>
  </si>
  <si>
    <t>59.01325478645067</t>
  </si>
  <si>
    <t>chr_0023_antal_62</t>
  </si>
  <si>
    <t>93.66316010940442</t>
  </si>
  <si>
    <t>62.488954344624474</t>
  </si>
  <si>
    <t>118.11024616032006</t>
  </si>
  <si>
    <t>59.83357879234169</t>
  </si>
  <si>
    <t>chr_0023_antal_63</t>
  </si>
  <si>
    <t>94.93835472333245</t>
  </si>
  <si>
    <t>63.35787923416792</t>
  </si>
  <si>
    <t>119.79297285924706</t>
  </si>
  <si>
    <t>60.65390279823271</t>
  </si>
  <si>
    <t>chr_0023_antal_64</t>
  </si>
  <si>
    <t>96.2135493372605</t>
  </si>
  <si>
    <t>64.22680412371137</t>
  </si>
  <si>
    <t>121.47569955817406</t>
  </si>
  <si>
    <t>61.474226804123724</t>
  </si>
  <si>
    <t>chr_0023_antal_65</t>
  </si>
  <si>
    <t>97.48874395118854</t>
  </si>
  <si>
    <t>65.09572901325481</t>
  </si>
  <si>
    <t>123.15842625710106</t>
  </si>
  <si>
    <t>62.29455081001474</t>
  </si>
  <si>
    <t>chr_0023_antal_66</t>
  </si>
  <si>
    <t>98.76393856511658</t>
  </si>
  <si>
    <t>65.96465390279826</t>
  </si>
  <si>
    <t>124.84115295602805</t>
  </si>
  <si>
    <t>63.11487481590576</t>
  </si>
  <si>
    <t>chr_0023_antal_67</t>
  </si>
  <si>
    <t>100.03913317904463</t>
  </si>
  <si>
    <t>66.83357879234171</t>
  </si>
  <si>
    <t>126.52387965495505</t>
  </si>
  <si>
    <t>63.935198821796774</t>
  </si>
  <si>
    <t>chr_0023_antal_68</t>
  </si>
  <si>
    <t>101.31432779297266</t>
  </si>
  <si>
    <t>67.70250368188515</t>
  </si>
  <si>
    <t>128.20660635388205</t>
  </si>
  <si>
    <t>64.75552282768778</t>
  </si>
  <si>
    <t>chr_0023_antal_69</t>
  </si>
  <si>
    <t>102.58952240690071</t>
  </si>
  <si>
    <t>68.5714285714286</t>
  </si>
  <si>
    <t>129.88933305280906</t>
  </si>
  <si>
    <t>65.57584683357881</t>
  </si>
  <si>
    <t>chr_0023_antal_70</t>
  </si>
  <si>
    <t>103.86471702082875</t>
  </si>
  <si>
    <t>69.44035346097205</t>
  </si>
  <si>
    <t>131.57205975173605</t>
  </si>
  <si>
    <t>66.39617083946982</t>
  </si>
  <si>
    <t>chr_0023_antal_71</t>
  </si>
  <si>
    <t>105.1399116347568</t>
  </si>
  <si>
    <t>70.3092783505155</t>
  </si>
  <si>
    <t>133.25478645066306</t>
  </si>
  <si>
    <t>67.21649484536084</t>
  </si>
  <si>
    <t>chr_0023_antal_72</t>
  </si>
  <si>
    <t>106.41510624868484</t>
  </si>
  <si>
    <t>71.17820324005893</t>
  </si>
  <si>
    <t>134.93751314959005</t>
  </si>
  <si>
    <t>68.03681885125185</t>
  </si>
  <si>
    <t>chr_0023_antal_73</t>
  </si>
  <si>
    <t>107.69030086261289</t>
  </si>
  <si>
    <t>72.04712812960238</t>
  </si>
  <si>
    <t>136.62023984851706</t>
  </si>
  <si>
    <t>68.85714285714288</t>
  </si>
  <si>
    <t>chr_0023_antal_74</t>
  </si>
  <si>
    <t>108.96549547654092</t>
  </si>
  <si>
    <t>72.91605301914583</t>
  </si>
  <si>
    <t>138.30296654744404</t>
  </si>
  <si>
    <t>69.67746686303389</t>
  </si>
  <si>
    <t>chr_0023_antal_75</t>
  </si>
  <si>
    <t>110.24069009046897</t>
  </si>
  <si>
    <t>73.78497790868929</t>
  </si>
  <si>
    <t>139.98569324637103</t>
  </si>
  <si>
    <t>70.4977908689249</t>
  </si>
  <si>
    <t>chr_0023_antal_76</t>
  </si>
  <si>
    <t>111.51588470439701</t>
  </si>
  <si>
    <t>74.65390279823274</t>
  </si>
  <si>
    <t>141.66841994529804</t>
  </si>
  <si>
    <t>71.31811487481592</t>
  </si>
  <si>
    <t>chr_0023_antal_77</t>
  </si>
  <si>
    <t>112.79107931832505</t>
  </si>
  <si>
    <t>75.52282768777617</t>
  </si>
  <si>
    <t>143.35114664422503</t>
  </si>
  <si>
    <t>72.13843888070693</t>
  </si>
  <si>
    <t>chr_0023_antal_78</t>
  </si>
  <si>
    <t>114.0662739322531</t>
  </si>
  <si>
    <t>76.39175257731962</t>
  </si>
  <si>
    <t>145.03387334315204</t>
  </si>
  <si>
    <t>72.95876288659795</t>
  </si>
  <si>
    <t>chr_0023_antal_79</t>
  </si>
  <si>
    <t>115.34146854618113</t>
  </si>
  <si>
    <t>77.26067746686307</t>
  </si>
  <si>
    <t>146.71660004207905</t>
  </si>
  <si>
    <t>73.77908689248896</t>
  </si>
  <si>
    <t>chr_0023_antal_80</t>
  </si>
  <si>
    <t>116.61666316010918</t>
  </si>
  <si>
    <t>78.12960235640652</t>
  </si>
  <si>
    <t>148.39932674100604</t>
  </si>
  <si>
    <t>74.59941089837999</t>
  </si>
  <si>
    <t>chr_0023_antal_81</t>
  </si>
  <si>
    <t>117.89185777403722</t>
  </si>
  <si>
    <t>78.99852724594996</t>
  </si>
  <si>
    <t>150.08205343993305</t>
  </si>
  <si>
    <t>75.41973490427101</t>
  </si>
  <si>
    <t>chr_0023_antal_82</t>
  </si>
  <si>
    <t>119.16705238796527</t>
  </si>
  <si>
    <t>79.86745213549341</t>
  </si>
  <si>
    <t>151.76478013886003</t>
  </si>
  <si>
    <t>76.24005891016202</t>
  </si>
  <si>
    <t>chr_0023_antal_83</t>
  </si>
  <si>
    <t>120.4422470018933</t>
  </si>
  <si>
    <t>80.73637702503686</t>
  </si>
  <si>
    <t>153.44750683778702</t>
  </si>
  <si>
    <t>77.06038291605303</t>
  </si>
  <si>
    <t>chr_0023_antal_84</t>
  </si>
  <si>
    <t>121.71744161582136</t>
  </si>
  <si>
    <t>81.60530191458031</t>
  </si>
  <si>
    <t>155.13023353671403</t>
  </si>
  <si>
    <t>77.88070692194405</t>
  </si>
  <si>
    <t>chr_0023_antal_85</t>
  </si>
  <si>
    <t>122.9926362297494</t>
  </si>
  <si>
    <t>82.47422680412375</t>
  </si>
  <si>
    <t>156.81296023564101</t>
  </si>
  <si>
    <t>78.70103092783506</t>
  </si>
  <si>
    <t>chr_0023_antal_86</t>
  </si>
  <si>
    <t>124.26783084367744</t>
  </si>
  <si>
    <t>83.3431516936672</t>
  </si>
  <si>
    <t>158.49568693456803</t>
  </si>
  <si>
    <t>79.52135493372609</t>
  </si>
  <si>
    <t>chr_0023_antal_87</t>
  </si>
  <si>
    <t>125.54302545760548</t>
  </si>
  <si>
    <t>84.21207658321065</t>
  </si>
  <si>
    <t>160.178413633495</t>
  </si>
  <si>
    <t>80.3416789396171</t>
  </si>
  <si>
    <t>chr_0023_antal_88</t>
  </si>
  <si>
    <t>126.81822007153352</t>
  </si>
  <si>
    <t>85.0810014727541</t>
  </si>
  <si>
    <t>161.86114033242202</t>
  </si>
  <si>
    <t>81.16200294550812</t>
  </si>
  <si>
    <t>chr_0023_antal_89</t>
  </si>
  <si>
    <t>128.09341468546157</t>
  </si>
  <si>
    <t>85.94992636229753</t>
  </si>
  <si>
    <t>163.543867031349</t>
  </si>
  <si>
    <t>81.98232695139913</t>
  </si>
  <si>
    <t>chr_0023_antal_90</t>
  </si>
  <si>
    <t>129.36860929938962</t>
  </si>
  <si>
    <t>86.81885125184098</t>
  </si>
  <si>
    <t>165.22659373027602</t>
  </si>
  <si>
    <t>82.80265095729015</t>
  </si>
  <si>
    <t>chr_0023_antal_91</t>
  </si>
  <si>
    <t>130.64380391331764</t>
  </si>
  <si>
    <t>87.68777614138443</t>
  </si>
  <si>
    <t>166.909320429203</t>
  </si>
  <si>
    <t>83.62297496318116</t>
  </si>
  <si>
    <t>chr_0023_antal_92</t>
  </si>
  <si>
    <t>131.9189985272457</t>
  </si>
  <si>
    <t>88.55670103092788</t>
  </si>
  <si>
    <t>168.59204712813002</t>
  </si>
  <si>
    <t>84.44329896907219</t>
  </si>
  <si>
    <t>chr_0023_antal_93</t>
  </si>
  <si>
    <t>133.19419314117374</t>
  </si>
  <si>
    <t>89.42562592047132</t>
  </si>
  <si>
    <t>170.274773827057</t>
  </si>
  <si>
    <t>85.2636229749632</t>
  </si>
  <si>
    <t>chr_0023_antal_94</t>
  </si>
  <si>
    <t>134.46938775510176</t>
  </si>
  <si>
    <t>90.29455081001477</t>
  </si>
  <si>
    <t>171.95750052598402</t>
  </si>
  <si>
    <t>86.08394698085422</t>
  </si>
  <si>
    <t>chr_0023_antal_95</t>
  </si>
  <si>
    <t>135.74458236902984</t>
  </si>
  <si>
    <t>91.16347569955822</t>
  </si>
  <si>
    <t>173.640227224911</t>
  </si>
  <si>
    <t>86.90427098674523</t>
  </si>
  <si>
    <t>chr_0023_antal_96</t>
  </si>
  <si>
    <t>137.01977698295786</t>
  </si>
  <si>
    <t>92.03240058910167</t>
  </si>
  <si>
    <t>175.322953923838</t>
  </si>
  <si>
    <t>87.72459499263626</t>
  </si>
  <si>
    <t>chr_0023_antal_97</t>
  </si>
  <si>
    <t>138.29497159688592</t>
  </si>
  <si>
    <t>92.9013254786451</t>
  </si>
  <si>
    <t>177.005680622765</t>
  </si>
  <si>
    <t>88.54491899852727</t>
  </si>
  <si>
    <t>chr_0023_antal_98</t>
  </si>
  <si>
    <t>139.57016621081397</t>
  </si>
  <si>
    <t>93.77025036818856</t>
  </si>
  <si>
    <t>178.68840732169198</t>
  </si>
  <si>
    <t>89.36524300441828</t>
  </si>
  <si>
    <t>chr_0023_antal_99</t>
  </si>
  <si>
    <t>140.845360824742</t>
  </si>
  <si>
    <t>180.371134020619</t>
  </si>
  <si>
    <t>chr_0013_aglina_1</t>
  </si>
  <si>
    <t>chr_0013_aglina</t>
  </si>
  <si>
    <t>洁尔佩塔</t>
  </si>
  <si>
    <t>Gilberta</t>
  </si>
  <si>
    <t>法术脆弱, 自然附着, 击飞</t>
  </si>
  <si>
    <t>自然</t>
  </si>
  <si>
    <t>9.07216494845361</t>
  </si>
  <si>
    <t>16.1030927835052</t>
  </si>
  <si>
    <t>20.4123711340206</t>
  </si>
  <si>
    <r>
      <t>【云层之上】战技</t>
    </r>
    <r>
      <rPr>
        <b/>
        <sz val="11"/>
        <color rgb="FF33C2FF"/>
        <rFont val="宋体"/>
        <charset val="134"/>
      </rPr>
      <t>秘杖·引力模式</t>
    </r>
    <r>
      <rPr>
        <sz val="11"/>
        <color theme="1"/>
        <rFont val="宋体"/>
        <family val="2"/>
        <scheme val="minor"/>
      </rPr>
      <t>的作用范围</t>
    </r>
    <r>
      <rPr>
        <b/>
        <sz val="11"/>
        <color rgb="FF9EB7FF"/>
        <rFont val="宋体"/>
        <charset val="134"/>
      </rPr>
      <t>+20%</t>
    </r>
    <r>
      <rPr>
        <sz val="11"/>
        <color theme="1"/>
        <rFont val="宋体"/>
        <family val="2"/>
        <scheme val="minor"/>
      </rPr>
      <t>。</t>
    </r>
  </si>
  <si>
    <r>
      <t>【乘风而行】敌人受到终结技</t>
    </r>
    <r>
      <rPr>
        <b/>
        <sz val="11"/>
        <color rgb="FF33C2FF"/>
        <rFont val="宋体"/>
        <charset val="134"/>
      </rPr>
      <t>秘杖·重力场</t>
    </r>
    <r>
      <rPr>
        <sz val="11"/>
        <color theme="1"/>
        <rFont val="宋体"/>
        <family val="2"/>
        <scheme val="minor"/>
      </rPr>
      <t>的</t>
    </r>
    <r>
      <rPr>
        <b/>
        <sz val="11"/>
        <color rgb="FF33C2FF"/>
        <rFont val="宋体"/>
        <charset val="134"/>
      </rPr>
      <t>重力紊乱区域</t>
    </r>
    <r>
      <rPr>
        <sz val="11"/>
        <color theme="1"/>
        <rFont val="宋体"/>
        <family val="2"/>
        <scheme val="minor"/>
      </rPr>
      <t>影响时，每层</t>
    </r>
    <r>
      <rPr>
        <b/>
        <u/>
        <sz val="11"/>
        <color rgb="FFE3C19A"/>
        <rFont val="宋体"/>
        <charset val="134"/>
      </rPr>
      <t>破防</t>
    </r>
    <r>
      <rPr>
        <sz val="11"/>
        <color theme="1"/>
        <rFont val="宋体"/>
        <family val="2"/>
        <scheme val="minor"/>
      </rPr>
      <t>状态对</t>
    </r>
    <r>
      <rPr>
        <b/>
        <u/>
        <sz val="11"/>
        <color rgb="FF33C2FF"/>
        <rFont val="宋体"/>
        <charset val="134"/>
      </rPr>
      <t>法术脆弱</t>
    </r>
    <r>
      <rPr>
        <sz val="11"/>
        <color theme="1"/>
        <rFont val="宋体"/>
        <family val="2"/>
        <scheme val="minor"/>
      </rPr>
      <t>的提升效果加倍，且结算时视为目标额外拥有1层</t>
    </r>
    <r>
      <rPr>
        <b/>
        <u/>
        <sz val="11"/>
        <color rgb="FFE3C19A"/>
        <rFont val="宋体"/>
        <charset val="134"/>
      </rPr>
      <t>破防</t>
    </r>
    <r>
      <rPr>
        <sz val="11"/>
        <color theme="1"/>
        <rFont val="宋体"/>
        <family val="2"/>
        <scheme val="minor"/>
      </rPr>
      <t>（不超过4层）。</t>
    </r>
  </si>
  <si>
    <r>
      <t>【轻盈脚步】天赋</t>
    </r>
    <r>
      <rPr>
        <b/>
        <sz val="11"/>
        <color rgb="FF33C2FF"/>
        <rFont val="宋体"/>
        <charset val="134"/>
      </rPr>
      <t>信使的歌声</t>
    </r>
    <r>
      <rPr>
        <sz val="11"/>
        <color theme="1"/>
        <rFont val="宋体"/>
        <family val="2"/>
        <scheme val="minor"/>
      </rPr>
      <t>效果加强：终结技充能效率额外</t>
    </r>
    <r>
      <rPr>
        <b/>
        <sz val="11"/>
        <color rgb="FF9EB7FF"/>
        <rFont val="宋体"/>
        <charset val="134"/>
      </rPr>
      <t>+5%</t>
    </r>
    <r>
      <rPr>
        <sz val="11"/>
        <color theme="1"/>
        <rFont val="宋体"/>
        <family val="2"/>
        <scheme val="minor"/>
      </rPr>
      <t>。</t>
    </r>
  </si>
  <si>
    <r>
      <t>【云间舞踏】终结技</t>
    </r>
    <r>
      <rPr>
        <b/>
        <sz val="11"/>
        <color rgb="FF33C2FF"/>
        <rFont val="宋体"/>
        <charset val="134"/>
      </rPr>
      <t>秘杖·重力场</t>
    </r>
    <r>
      <rPr>
        <sz val="11"/>
        <color theme="1"/>
        <rFont val="宋体"/>
        <family val="2"/>
        <scheme val="minor"/>
      </rPr>
      <t>所需的终结技能量</t>
    </r>
    <r>
      <rPr>
        <b/>
        <sz val="11"/>
        <color rgb="FF9EB7FF"/>
        <rFont val="宋体"/>
        <charset val="134"/>
      </rPr>
      <t>-15%</t>
    </r>
    <r>
      <rPr>
        <sz val="11"/>
        <color theme="1"/>
        <rFont val="宋体"/>
        <family val="2"/>
        <scheme val="minor"/>
      </rPr>
      <t>。</t>
    </r>
  </si>
  <si>
    <r>
      <t>【特别信件】连携技</t>
    </r>
    <r>
      <rPr>
        <b/>
        <sz val="11"/>
        <color rgb="FF33C2FF"/>
        <rFont val="宋体"/>
        <charset val="134"/>
      </rPr>
      <t>秘杖·矩阵位移</t>
    </r>
    <r>
      <rPr>
        <sz val="11"/>
        <color theme="1"/>
        <rFont val="宋体"/>
        <family val="2"/>
        <scheme val="minor"/>
      </rPr>
      <t>冷却时间</t>
    </r>
    <r>
      <rPr>
        <b/>
        <sz val="11"/>
        <color rgb="FF9EB7FF"/>
        <rFont val="宋体"/>
        <charset val="134"/>
      </rPr>
      <t>-2</t>
    </r>
    <r>
      <rPr>
        <sz val="11"/>
        <color theme="1"/>
        <rFont val="宋体"/>
        <family val="2"/>
        <scheme val="minor"/>
      </rPr>
      <t>秒，伤害倍率提升至原本的</t>
    </r>
    <r>
      <rPr>
        <b/>
        <sz val="11"/>
        <color rgb="FF9EB7FF"/>
        <rFont val="宋体"/>
        <charset val="134"/>
      </rPr>
      <t>1.3</t>
    </r>
    <r>
      <rPr>
        <sz val="11"/>
        <color theme="1"/>
        <rFont val="宋体"/>
        <family val="2"/>
        <scheme val="minor"/>
      </rPr>
      <t>倍。</t>
    </r>
  </si>
  <si>
    <t>chr_0013_aglina_2</t>
  </si>
  <si>
    <t>9.979381443298971</t>
  </si>
  <si>
    <t>17.350978329476167</t>
  </si>
  <si>
    <t>22.11277088154848</t>
  </si>
  <si>
    <t>chr_0013_aglina_3</t>
  </si>
  <si>
    <t>10.886597938144332</t>
  </si>
  <si>
    <t>18.598863875447137</t>
  </si>
  <si>
    <t>23.813170629076364</t>
  </si>
  <si>
    <t>chr_0013_aglina_4</t>
  </si>
  <si>
    <t>11.793814432989693</t>
  </si>
  <si>
    <t>19.846749421418103</t>
  </si>
  <si>
    <t>25.513570376604243</t>
  </si>
  <si>
    <t>chr_0013_aglina_5</t>
  </si>
  <si>
    <t>12.701030927835054</t>
  </si>
  <si>
    <t>21.09463496738907</t>
  </si>
  <si>
    <t>27.213970124132125</t>
  </si>
  <si>
    <t>chr_0013_aglina_6</t>
  </si>
  <si>
    <t>13.608247422680417</t>
  </si>
  <si>
    <t>22.342520513360036</t>
  </si>
  <si>
    <t>28.914369871660007</t>
  </si>
  <si>
    <t>chr_0013_aglina_7</t>
  </si>
  <si>
    <t>14.515463917525778</t>
  </si>
  <si>
    <t>23.590406059331002</t>
  </si>
  <si>
    <t>30.61476961918789</t>
  </si>
  <si>
    <t>chr_0013_aglina_8</t>
  </si>
  <si>
    <t>15.42268041237114</t>
  </si>
  <si>
    <t>24.838291605301972</t>
  </si>
  <si>
    <t>32.31516936671577</t>
  </si>
  <si>
    <t>chr_0013_aglina_9</t>
  </si>
  <si>
    <t>16.3298969072165</t>
  </si>
  <si>
    <t>26.08617715127294</t>
  </si>
  <si>
    <t>34.015569114243654</t>
  </si>
  <si>
    <t>chr_0013_aglina_10</t>
  </si>
  <si>
    <t>17.237113402061862</t>
  </si>
  <si>
    <t>27.334062697243905</t>
  </si>
  <si>
    <t>35.715968861771536</t>
  </si>
  <si>
    <t>chr_0013_aglina_11</t>
  </si>
  <si>
    <t>18.144329896907223</t>
  </si>
  <si>
    <t>28.581948243214875</t>
  </si>
  <si>
    <t>37.41636860929941</t>
  </si>
  <si>
    <t>chr_0013_aglina_12</t>
  </si>
  <si>
    <t>19.051546391752584</t>
  </si>
  <si>
    <t>29.82983378918584</t>
  </si>
  <si>
    <t>39.11676835682729</t>
  </si>
  <si>
    <t>chr_0013_aglina_13</t>
  </si>
  <si>
    <t>19.958762886597945</t>
  </si>
  <si>
    <t>31.077719335156807</t>
  </si>
  <si>
    <t>40.817168104355176</t>
  </si>
  <si>
    <t>chr_0013_aglina_14</t>
  </si>
  <si>
    <t>20.865979381443307</t>
  </si>
  <si>
    <t>32.325604881127774</t>
  </si>
  <si>
    <t>42.51756785188306</t>
  </si>
  <si>
    <t>chr_0013_aglina_15</t>
  </si>
  <si>
    <t>21.773195876288668</t>
  </si>
  <si>
    <t>33.57349042709875</t>
  </si>
  <si>
    <t>44.21796759941094</t>
  </si>
  <si>
    <t>chr_0013_aglina_16</t>
  </si>
  <si>
    <t>22.68041237113403</t>
  </si>
  <si>
    <t>34.821375973069706</t>
  </si>
  <si>
    <t>45.91836734693882</t>
  </si>
  <si>
    <t>chr_0013_aglina_17</t>
  </si>
  <si>
    <t>23.58762886597939</t>
  </si>
  <si>
    <t>36.06926151904068</t>
  </si>
  <si>
    <t>47.618767094466705</t>
  </si>
  <si>
    <t>chr_0013_aglina_18</t>
  </si>
  <si>
    <t>24.49484536082475</t>
  </si>
  <si>
    <t>37.31714706501164</t>
  </si>
  <si>
    <t>49.31916684199459</t>
  </si>
  <si>
    <t>chr_0013_aglina_19</t>
  </si>
  <si>
    <t>25.402061855670112</t>
  </si>
  <si>
    <t>38.56503261098261</t>
  </si>
  <si>
    <t>51.01956658952247</t>
  </si>
  <si>
    <t>chr_0013_aglina_20</t>
  </si>
  <si>
    <t>26.309278350515477</t>
  </si>
  <si>
    <t>39.81291815695358</t>
  </si>
  <si>
    <t>52.71996633705035</t>
  </si>
  <si>
    <t>【信使的歌声 Lv.1】在场时，使小队内所有友方近卫、术师和辅助干员终结技充能效率+4%。</t>
  </si>
  <si>
    <r>
      <t>【信使的歌声 Lv.1】在场时，使小队内所有友方近卫、术师和辅助干员终结技充能效率</t>
    </r>
    <r>
      <rPr>
        <b/>
        <sz val="11"/>
        <color rgb="FF9EB7FF"/>
        <rFont val="宋体"/>
        <charset val="134"/>
      </rPr>
      <t>+4%</t>
    </r>
    <r>
      <rPr>
        <sz val="11"/>
        <color theme="1"/>
        <rFont val="宋体"/>
        <family val="2"/>
        <scheme val="minor"/>
      </rPr>
      <t>。</t>
    </r>
  </si>
  <si>
    <t>chr_0013_aglina_21</t>
  </si>
  <si>
    <t>27.216494845360835</t>
  </si>
  <si>
    <t>41.060803702924545</t>
  </si>
  <si>
    <t>54.420366084578234</t>
  </si>
  <si>
    <t>chr_0013_aglina_22</t>
  </si>
  <si>
    <t>28.1237113402062</t>
  </si>
  <si>
    <t>42.30868924889551</t>
  </si>
  <si>
    <t>56.120765832106116</t>
  </si>
  <si>
    <t>chr_0013_aglina_23</t>
  </si>
  <si>
    <t>29.030927835051557</t>
  </si>
  <si>
    <t>43.55657479486648</t>
  </si>
  <si>
    <t>57.821165579634</t>
  </si>
  <si>
    <t>chr_0013_aglina_24</t>
  </si>
  <si>
    <t>29.93814432989692</t>
  </si>
  <si>
    <t>44.80446034083745</t>
  </si>
  <si>
    <t>59.52156532716188</t>
  </si>
  <si>
    <t>chr_0013_aglina_25</t>
  </si>
  <si>
    <t>30.84536082474228</t>
  </si>
  <si>
    <t>46.05234588680841</t>
  </si>
  <si>
    <t>61.22196507468976</t>
  </si>
  <si>
    <t>chr_0013_aglina_26</t>
  </si>
  <si>
    <t>31.752577319587644</t>
  </si>
  <si>
    <t>47.300231432779384</t>
  </si>
  <si>
    <t>62.922364822217645</t>
  </si>
  <si>
    <t>chr_0013_aglina_27</t>
  </si>
  <si>
    <t>32.659793814433</t>
  </si>
  <si>
    <t>48.54811697875034</t>
  </si>
  <si>
    <t>64.62276456974553</t>
  </si>
  <si>
    <t>chr_0013_aglina_28</t>
  </si>
  <si>
    <t>33.567010309278366</t>
  </si>
  <si>
    <t>49.79600252472132</t>
  </si>
  <si>
    <t>66.3231643172734</t>
  </si>
  <si>
    <t>chr_0013_aglina_29</t>
  </si>
  <si>
    <t>34.474226804123724</t>
  </si>
  <si>
    <t>51.04388807069229</t>
  </si>
  <si>
    <t>68.02356406480128</t>
  </si>
  <si>
    <t>chr_0013_aglina_30</t>
  </si>
  <si>
    <t>35.38144329896909</t>
  </si>
  <si>
    <t>52.29177361666325</t>
  </si>
  <si>
    <t>69.72396381232916</t>
  </si>
  <si>
    <t>chr_0013_aglina_31</t>
  </si>
  <si>
    <t>36.288659793814446</t>
  </si>
  <si>
    <t>53.53965916263422</t>
  </si>
  <si>
    <t>71.42436355985704</t>
  </si>
  <si>
    <t>chr_0013_aglina_32</t>
  </si>
  <si>
    <t>37.19587628865981</t>
  </si>
  <si>
    <t>54.78754470860518</t>
  </si>
  <si>
    <t>73.12476330738492</t>
  </si>
  <si>
    <t>chr_0013_aglina_33</t>
  </si>
  <si>
    <t>38.10309278350517</t>
  </si>
  <si>
    <t>56.035430254576156</t>
  </si>
  <si>
    <t>74.8251630549128</t>
  </si>
  <si>
    <t>chr_0013_aglina_34</t>
  </si>
  <si>
    <t>39.01030927835053</t>
  </si>
  <si>
    <t>57.283315800547115</t>
  </si>
  <si>
    <t>76.52556280244069</t>
  </si>
  <si>
    <t>chr_0013_aglina_35</t>
  </si>
  <si>
    <t>39.91752577319589</t>
  </si>
  <si>
    <t>58.53120134651809</t>
  </si>
  <si>
    <t>78.22596254996857</t>
  </si>
  <si>
    <t>chr_0013_aglina_36</t>
  </si>
  <si>
    <t>40.824742268041255</t>
  </si>
  <si>
    <t>59.77908689248905</t>
  </si>
  <si>
    <t>79.92636229749645</t>
  </si>
  <si>
    <t>chr_0013_aglina_37</t>
  </si>
  <si>
    <t>41.73195876288662</t>
  </si>
  <si>
    <t>61.02697243846002</t>
  </si>
  <si>
    <t>81.62676204502434</t>
  </si>
  <si>
    <t>chr_0013_aglina_38</t>
  </si>
  <si>
    <t>42.63917525773198</t>
  </si>
  <si>
    <t>62.274857984430994</t>
  </si>
  <si>
    <t>83.32716179255222</t>
  </si>
  <si>
    <t>chr_0013_aglina_39</t>
  </si>
  <si>
    <t>43.54639175257734</t>
  </si>
  <si>
    <t>63.522743530401954</t>
  </si>
  <si>
    <t>85.0275615400801</t>
  </si>
  <si>
    <t>chr_0013_aglina_40</t>
  </si>
  <si>
    <t>44.4536082474227</t>
  </si>
  <si>
    <t>64.77062907637293</t>
  </si>
  <si>
    <t>86.72796128760798</t>
  </si>
  <si>
    <r>
      <t>【信使的歌声 Lv.2】在场时，使小队内所有友方近卫、术师和辅助干员终结技充能效率</t>
    </r>
    <r>
      <rPr>
        <b/>
        <sz val="11"/>
        <color rgb="FF9EB7FF"/>
        <rFont val="宋体"/>
        <charset val="134"/>
      </rPr>
      <t>+7%</t>
    </r>
    <r>
      <rPr>
        <sz val="11"/>
        <color theme="1"/>
        <rFont val="宋体"/>
        <family val="2"/>
        <scheme val="minor"/>
      </rPr>
      <t>。</t>
    </r>
  </si>
  <si>
    <t>【迟来的回信 Lv.1】战技秘杖·引力模式、连携技秘杖·矩阵位移效果加强：战技秘杖·引力模式最后一击或连携技秘杖·矩阵位移命中至少两个敌人后，回复主控干员[72+智识×0.6]生命值。主控干员生命值已满时，将转而治疗小队中生命值百分比最低的干员。</t>
  </si>
  <si>
    <r>
      <t>【迟来的回信 Lv.1】战技</t>
    </r>
    <r>
      <rPr>
        <b/>
        <sz val="11"/>
        <color rgb="FF33C2FF"/>
        <rFont val="宋体"/>
        <charset val="134"/>
      </rPr>
      <t>秘杖·引力模式</t>
    </r>
    <r>
      <rPr>
        <sz val="11"/>
        <color theme="1"/>
        <rFont val="宋体"/>
        <family val="2"/>
        <scheme val="minor"/>
      </rPr>
      <t>、连携技</t>
    </r>
    <r>
      <rPr>
        <b/>
        <sz val="11"/>
        <color rgb="FF33C2FF"/>
        <rFont val="宋体"/>
        <charset val="134"/>
      </rPr>
      <t>秘杖·矩阵位移</t>
    </r>
    <r>
      <rPr>
        <sz val="11"/>
        <color theme="1"/>
        <rFont val="宋体"/>
        <family val="2"/>
        <scheme val="minor"/>
      </rPr>
      <t>效果加强：战技</t>
    </r>
    <r>
      <rPr>
        <b/>
        <sz val="11"/>
        <color rgb="FF33C2FF"/>
        <rFont val="宋体"/>
        <charset val="134"/>
      </rPr>
      <t>秘杖·引力模式</t>
    </r>
    <r>
      <rPr>
        <sz val="11"/>
        <color theme="1"/>
        <rFont val="宋体"/>
        <family val="2"/>
        <scheme val="minor"/>
      </rPr>
      <t>最后一击或连携技</t>
    </r>
    <r>
      <rPr>
        <b/>
        <sz val="11"/>
        <color rgb="FF33C2FF"/>
        <rFont val="宋体"/>
        <charset val="134"/>
      </rPr>
      <t>秘杖·矩阵位移</t>
    </r>
    <r>
      <rPr>
        <sz val="11"/>
        <color theme="1"/>
        <rFont val="宋体"/>
        <family val="2"/>
        <scheme val="minor"/>
      </rPr>
      <t>命中至少两个敌人后，回复主控干员</t>
    </r>
    <r>
      <rPr>
        <b/>
        <sz val="11"/>
        <color rgb="FFB4D945"/>
        <rFont val="宋体"/>
        <charset val="134"/>
      </rPr>
      <t>[72+智识×0.6]</t>
    </r>
    <r>
      <rPr>
        <sz val="11"/>
        <color theme="1"/>
        <rFont val="宋体"/>
        <family val="2"/>
        <scheme val="minor"/>
      </rPr>
      <t>生命值。</t>
    </r>
    <r>
      <rPr>
        <b/>
        <sz val="11"/>
        <color rgb="FF999999"/>
        <rFont val="宋体"/>
        <charset val="134"/>
      </rPr>
      <t>主控干员生命值已满时，将转而治疗小队中生命值百分比最低的干员。</t>
    </r>
  </si>
  <si>
    <t>chr_0013_aglina_41</t>
  </si>
  <si>
    <t>45.360824742268065</t>
  </si>
  <si>
    <t>66.01851462234389</t>
  </si>
  <si>
    <t>88.42836103513586</t>
  </si>
  <si>
    <t>chr_0013_aglina_42</t>
  </si>
  <si>
    <t>46.26804123711342</t>
  </si>
  <si>
    <t>67.26640016831486</t>
  </si>
  <si>
    <t>90.12876078266375</t>
  </si>
  <si>
    <t>chr_0013_aglina_43</t>
  </si>
  <si>
    <t>47.17525773195879</t>
  </si>
  <si>
    <t>68.51428571428582</t>
  </si>
  <si>
    <t>91.82916053019163</t>
  </si>
  <si>
    <t>chr_0013_aglina_44</t>
  </si>
  <si>
    <t>48.082474226804145</t>
  </si>
  <si>
    <t>69.76217126025679</t>
  </si>
  <si>
    <t>93.52956027771951</t>
  </si>
  <si>
    <t>chr_0013_aglina_45</t>
  </si>
  <si>
    <t>48.98969072164951</t>
  </si>
  <si>
    <t>71.01005680622777</t>
  </si>
  <si>
    <t>95.2299600252474</t>
  </si>
  <si>
    <t>chr_0013_aglina_46</t>
  </si>
  <si>
    <t>49.89690721649487</t>
  </si>
  <si>
    <t>72.25794235219873</t>
  </si>
  <si>
    <t>96.93035977277528</t>
  </si>
  <si>
    <t>chr_0013_aglina_47</t>
  </si>
  <si>
    <t>50.80412371134023</t>
  </si>
  <si>
    <t>73.5058278981697</t>
  </si>
  <si>
    <t>98.63075952030316</t>
  </si>
  <si>
    <t>chr_0013_aglina_48</t>
  </si>
  <si>
    <t>51.71134020618559</t>
  </si>
  <si>
    <t>74.75371344414066</t>
  </si>
  <si>
    <t>100.33115926783104</t>
  </si>
  <si>
    <t>chr_0013_aglina_49</t>
  </si>
  <si>
    <t>52.618556701030954</t>
  </si>
  <si>
    <t>76.00159899011163</t>
  </si>
  <si>
    <t>102.03155901535892</t>
  </si>
  <si>
    <t>chr_0013_aglina_50</t>
  </si>
  <si>
    <t>53.52577319587631</t>
  </si>
  <si>
    <t>77.24948453608259</t>
  </si>
  <si>
    <t>103.7319587628868</t>
  </si>
  <si>
    <t>chr_0013_aglina_51</t>
  </si>
  <si>
    <t>54.432989690721676</t>
  </si>
  <si>
    <t>78.49737008205356</t>
  </si>
  <si>
    <t>105.43235851041469</t>
  </si>
  <si>
    <t>chr_0013_aglina_52</t>
  </si>
  <si>
    <t>55.340206185567034</t>
  </si>
  <si>
    <t>79.74525562802452</t>
  </si>
  <si>
    <t>107.13275825794257</t>
  </si>
  <si>
    <t>chr_0013_aglina_53</t>
  </si>
  <si>
    <t>56.2474226804124</t>
  </si>
  <si>
    <t>80.9931411739955</t>
  </si>
  <si>
    <t>108.83315800547045</t>
  </si>
  <si>
    <t>chr_0013_aglina_54</t>
  </si>
  <si>
    <t>57.154639175257756</t>
  </si>
  <si>
    <t>82.24102671996647</t>
  </si>
  <si>
    <t>110.53355775299833</t>
  </si>
  <si>
    <t>chr_0013_aglina_55</t>
  </si>
  <si>
    <t>58.06185567010312</t>
  </si>
  <si>
    <t>83.48891226593743</t>
  </si>
  <si>
    <t>112.2339575005262</t>
  </si>
  <si>
    <t>chr_0013_aglina_56</t>
  </si>
  <si>
    <t>58.96907216494848</t>
  </si>
  <si>
    <t>84.7367978119084</t>
  </si>
  <si>
    <t>113.93435724805408</t>
  </si>
  <si>
    <t>chr_0013_aglina_57</t>
  </si>
  <si>
    <t>59.87628865979384</t>
  </si>
  <si>
    <t>85.98468335787938</t>
  </si>
  <si>
    <t>115.63475699558197</t>
  </si>
  <si>
    <t>chr_0013_aglina_58</t>
  </si>
  <si>
    <t>60.7835051546392</t>
  </si>
  <si>
    <t>87.23256890385034</t>
  </si>
  <si>
    <t>117.33515674310985</t>
  </si>
  <si>
    <t>chr_0013_aglina_59</t>
  </si>
  <si>
    <t>61.690721649484566</t>
  </si>
  <si>
    <t>88.48045444982131</t>
  </si>
  <si>
    <t>119.03555649063773</t>
  </si>
  <si>
    <t>chr_0013_aglina_60</t>
  </si>
  <si>
    <t>62.59793814432992</t>
  </si>
  <si>
    <t>89.72833999579227</t>
  </si>
  <si>
    <t>120.73595623816561</t>
  </si>
  <si>
    <t>【迟来的回信 Lv.2】战技秘杖·引力模式、连携技秘杖·矩阵位移效果加强：战技秘杖·引力模式最后一击或连携技秘杖·矩阵位移命中至少两个敌人后，回复主控干员[108+智识×0.9]生命值。主控干员生命值已满时，将转而治疗小队中生命值百分比最低的干员。</t>
  </si>
  <si>
    <r>
      <t>【迟来的回信 Lv.2】战技</t>
    </r>
    <r>
      <rPr>
        <b/>
        <sz val="11"/>
        <color rgb="FF33C2FF"/>
        <rFont val="宋体"/>
        <charset val="134"/>
      </rPr>
      <t>秘杖·引力模式</t>
    </r>
    <r>
      <rPr>
        <sz val="11"/>
        <color theme="1"/>
        <rFont val="宋体"/>
        <family val="2"/>
        <scheme val="minor"/>
      </rPr>
      <t>、连携技</t>
    </r>
    <r>
      <rPr>
        <b/>
        <sz val="11"/>
        <color rgb="FF33C2FF"/>
        <rFont val="宋体"/>
        <charset val="134"/>
      </rPr>
      <t>秘杖·矩阵位移</t>
    </r>
    <r>
      <rPr>
        <sz val="11"/>
        <color theme="1"/>
        <rFont val="宋体"/>
        <family val="2"/>
        <scheme val="minor"/>
      </rPr>
      <t>效果加强：战技</t>
    </r>
    <r>
      <rPr>
        <b/>
        <sz val="11"/>
        <color rgb="FF33C2FF"/>
        <rFont val="宋体"/>
        <charset val="134"/>
      </rPr>
      <t>秘杖·引力模式</t>
    </r>
    <r>
      <rPr>
        <sz val="11"/>
        <color theme="1"/>
        <rFont val="宋体"/>
        <family val="2"/>
        <scheme val="minor"/>
      </rPr>
      <t>最后一击或连携技</t>
    </r>
    <r>
      <rPr>
        <b/>
        <sz val="11"/>
        <color rgb="FF33C2FF"/>
        <rFont val="宋体"/>
        <charset val="134"/>
      </rPr>
      <t>秘杖·矩阵位移</t>
    </r>
    <r>
      <rPr>
        <sz val="11"/>
        <color theme="1"/>
        <rFont val="宋体"/>
        <family val="2"/>
        <scheme val="minor"/>
      </rPr>
      <t>命中至少两个敌人后，回复主控干员</t>
    </r>
    <r>
      <rPr>
        <b/>
        <sz val="11"/>
        <color rgb="FFB4D945"/>
        <rFont val="宋体"/>
        <charset val="134"/>
      </rPr>
      <t>[108+智识×0.9]</t>
    </r>
    <r>
      <rPr>
        <sz val="11"/>
        <color theme="1"/>
        <rFont val="宋体"/>
        <family val="2"/>
        <scheme val="minor"/>
      </rPr>
      <t>生命值。</t>
    </r>
    <r>
      <rPr>
        <b/>
        <sz val="11"/>
        <color rgb="FF999999"/>
        <rFont val="宋体"/>
        <charset val="134"/>
      </rPr>
      <t>主控干员生命值已满时，将转而治疗小队中生命值百分比最低的干员。</t>
    </r>
  </si>
  <si>
    <t>chr_0013_aglina_61</t>
  </si>
  <si>
    <t>63.50515463917529</t>
  </si>
  <si>
    <t>90.97622554176324</t>
  </si>
  <si>
    <t>122.4363559856935</t>
  </si>
  <si>
    <t>chr_0013_aglina_62</t>
  </si>
  <si>
    <t>64.41237113402065</t>
  </si>
  <si>
    <t>92.2241110877342</t>
  </si>
  <si>
    <t>124.13675573322138</t>
  </si>
  <si>
    <t>chr_0013_aglina_63</t>
  </si>
  <si>
    <t>65.319587628866</t>
  </si>
  <si>
    <t>93.47199663370517</t>
  </si>
  <si>
    <t>125.83715548074926</t>
  </si>
  <si>
    <t>chr_0013_aglina_64</t>
  </si>
  <si>
    <t>66.22680412371136</t>
  </si>
  <si>
    <t>94.71988217967613</t>
  </si>
  <si>
    <t>127.53755522827714</t>
  </si>
  <si>
    <t>chr_0013_aglina_65</t>
  </si>
  <si>
    <t>67.13402061855673</t>
  </si>
  <si>
    <t>95.96776772564711</t>
  </si>
  <si>
    <t>129.23795497580502</t>
  </si>
  <si>
    <t>chr_0013_aglina_66</t>
  </si>
  <si>
    <t>68.04123711340209</t>
  </si>
  <si>
    <t>97.21565327161808</t>
  </si>
  <si>
    <t>130.9383547233329</t>
  </si>
  <si>
    <t>chr_0013_aglina_67</t>
  </si>
  <si>
    <t>68.94845360824745</t>
  </si>
  <si>
    <t>98.46353881758904</t>
  </si>
  <si>
    <t>132.6387544708608</t>
  </si>
  <si>
    <t>chr_0013_aglina_68</t>
  </si>
  <si>
    <t>69.85567010309282</t>
  </si>
  <si>
    <t>99.71142436356001</t>
  </si>
  <si>
    <t>134.33915421838867</t>
  </si>
  <si>
    <t>chr_0013_aglina_69</t>
  </si>
  <si>
    <t>70.76288659793818</t>
  </si>
  <si>
    <t>100.95930990953097</t>
  </si>
  <si>
    <t>136.03955396591655</t>
  </si>
  <si>
    <t>chr_0013_aglina_70</t>
  </si>
  <si>
    <t>71.67010309278353</t>
  </si>
  <si>
    <t>102.20719545550195</t>
  </si>
  <si>
    <t>137.73995371344444</t>
  </si>
  <si>
    <t>chr_0013_aglina_71</t>
  </si>
  <si>
    <t>72.57731958762889</t>
  </si>
  <si>
    <t>103.4550810014729</t>
  </si>
  <si>
    <t>139.44035346097232</t>
  </si>
  <si>
    <t>chr_0013_aglina_72</t>
  </si>
  <si>
    <t>104.70296654744388</t>
  </si>
  <si>
    <t>141.1407532085002</t>
  </si>
  <si>
    <t>chr_0013_aglina_73</t>
  </si>
  <si>
    <t>74.39175257731962</t>
  </si>
  <si>
    <t>105.95085209341484</t>
  </si>
  <si>
    <t>142.84115295602808</t>
  </si>
  <si>
    <t>chr_0013_aglina_74</t>
  </si>
  <si>
    <t>75.29896907216498</t>
  </si>
  <si>
    <t>107.19873763938581</t>
  </si>
  <si>
    <t>144.54155270355596</t>
  </si>
  <si>
    <t>chr_0013_aglina_75</t>
  </si>
  <si>
    <t>76.20618556701034</t>
  </si>
  <si>
    <t>108.44662318535678</t>
  </si>
  <si>
    <t>146.24195245108385</t>
  </si>
  <si>
    <t>chr_0013_aglina_76</t>
  </si>
  <si>
    <t>77.1134020618557</t>
  </si>
  <si>
    <t>109.69450873132774</t>
  </si>
  <si>
    <t>147.9423521986117</t>
  </si>
  <si>
    <t>chr_0013_aglina_77</t>
  </si>
  <si>
    <t>78.02061855670107</t>
  </si>
  <si>
    <t>110.94239427729872</t>
  </si>
  <si>
    <t>149.64275194613958</t>
  </si>
  <si>
    <t>chr_0013_aglina_78</t>
  </si>
  <si>
    <t>78.92783505154642</t>
  </si>
  <si>
    <t>112.19027982326968</t>
  </si>
  <si>
    <t>151.34315169366747</t>
  </si>
  <si>
    <t>chr_0013_aglina_79</t>
  </si>
  <si>
    <t>79.83505154639178</t>
  </si>
  <si>
    <t>113.43816536924065</t>
  </si>
  <si>
    <t>153.04355144119535</t>
  </si>
  <si>
    <t>chr_0013_aglina_80</t>
  </si>
  <si>
    <t>80.74226804123714</t>
  </si>
  <si>
    <t>114.68605091521161</t>
  </si>
  <si>
    <t>154.74395118872323</t>
  </si>
  <si>
    <t>chr_0013_aglina_81</t>
  </si>
  <si>
    <t>81.64948453608251</t>
  </si>
  <si>
    <t>115.93393646118258</t>
  </si>
  <si>
    <t>156.4443509362511</t>
  </si>
  <si>
    <t>chr_0013_aglina_82</t>
  </si>
  <si>
    <t>82.55670103092787</t>
  </si>
  <si>
    <t>117.18182200715356</t>
  </si>
  <si>
    <t>158.144750683779</t>
  </si>
  <si>
    <t>chr_0013_aglina_83</t>
  </si>
  <si>
    <t>83.46391752577323</t>
  </si>
  <si>
    <t>118.42970755312452</t>
  </si>
  <si>
    <t>159.84515043130688</t>
  </si>
  <si>
    <t>chr_0013_aglina_84</t>
  </si>
  <si>
    <t>84.37113402061858</t>
  </si>
  <si>
    <t>119.67759309909549</t>
  </si>
  <si>
    <t>161.54555017883476</t>
  </si>
  <si>
    <t>chr_0013_aglina_85</t>
  </si>
  <si>
    <t>85.27835051546396</t>
  </si>
  <si>
    <t>120.92547864506645</t>
  </si>
  <si>
    <t>163.24594992636264</t>
  </si>
  <si>
    <t>chr_0013_aglina_86</t>
  </si>
  <si>
    <t>86.18556701030931</t>
  </si>
  <si>
    <t>122.17336419103742</t>
  </si>
  <si>
    <t>164.94634967389052</t>
  </si>
  <si>
    <t>chr_0013_aglina_87</t>
  </si>
  <si>
    <t>87.09278350515467</t>
  </si>
  <si>
    <t>123.42124973700838</t>
  </si>
  <si>
    <t>166.6467494214184</t>
  </si>
  <si>
    <t>chr_0013_aglina_88</t>
  </si>
  <si>
    <t>88.00000000000003</t>
  </si>
  <si>
    <t>124.66913528297935</t>
  </si>
  <si>
    <t>168.3471491689463</t>
  </si>
  <si>
    <t>chr_0013_aglina_89</t>
  </si>
  <si>
    <t>88.9072164948454</t>
  </si>
  <si>
    <t>125.91702082895033</t>
  </si>
  <si>
    <t>170.04754891647417</t>
  </si>
  <si>
    <t>chr_0013_aglina_90</t>
  </si>
  <si>
    <t>89.81443298969076</t>
  </si>
  <si>
    <t>127.16490637492129</t>
  </si>
  <si>
    <t>171.74794866400205</t>
  </si>
  <si>
    <t>chr_0013_aglina_91</t>
  </si>
  <si>
    <t>90.72164948453612</t>
  </si>
  <si>
    <t>128.41279192089226</t>
  </si>
  <si>
    <t>173.44834841152993</t>
  </si>
  <si>
    <t>chr_0013_aglina_92</t>
  </si>
  <si>
    <t>91.62886597938147</t>
  </si>
  <si>
    <t>129.6606774668632</t>
  </si>
  <si>
    <t>175.14874815905782</t>
  </si>
  <si>
    <t>chr_0013_aglina_93</t>
  </si>
  <si>
    <t>92.53608247422684</t>
  </si>
  <si>
    <t>130.90856301283418</t>
  </si>
  <si>
    <t>176.8491479065857</t>
  </si>
  <si>
    <t>chr_0013_aglina_94</t>
  </si>
  <si>
    <t>93.4432989690722</t>
  </si>
  <si>
    <t>132.15644855880515</t>
  </si>
  <si>
    <t>178.54954765411358</t>
  </si>
  <si>
    <t>chr_0013_aglina_95</t>
  </si>
  <si>
    <t>94.35051546391756</t>
  </si>
  <si>
    <t>133.40433410477613</t>
  </si>
  <si>
    <t>180.24994740164146</t>
  </si>
  <si>
    <t>chr_0013_aglina_96</t>
  </si>
  <si>
    <t>95.25773195876292</t>
  </si>
  <si>
    <t>134.65221965074707</t>
  </si>
  <si>
    <t>181.95034714916935</t>
  </si>
  <si>
    <t>chr_0013_aglina_97</t>
  </si>
  <si>
    <t>96.16494845360829</t>
  </si>
  <si>
    <t>135.90010519671804</t>
  </si>
  <si>
    <t>183.65074689669723</t>
  </si>
  <si>
    <t>chr_0013_aglina_98</t>
  </si>
  <si>
    <t>97.07216494845365</t>
  </si>
  <si>
    <t>137.14799074268902</t>
  </si>
  <si>
    <t>185.3511466442251</t>
  </si>
  <si>
    <t>chr_0013_aglina_99</t>
  </si>
  <si>
    <t>97.979381443299</t>
  </si>
  <si>
    <t>138.39587628866</t>
  </si>
  <si>
    <t>chr_0015_lifeng_1</t>
  </si>
  <si>
    <t>chr_0015_lifeng</t>
  </si>
  <si>
    <t>黎风</t>
  </si>
  <si>
    <t>Lifeng</t>
  </si>
  <si>
    <t>倒地, 物理脆弱, 连击</t>
  </si>
  <si>
    <t>20.1030927835052</t>
  </si>
  <si>
    <t>13.4020618556701</t>
  </si>
  <si>
    <r>
      <t>【破执】战技</t>
    </r>
    <r>
      <rPr>
        <b/>
        <sz val="11"/>
        <color rgb="FF33C2FF"/>
        <rFont val="宋体"/>
        <charset val="134"/>
      </rPr>
      <t>荡浊身</t>
    </r>
    <r>
      <rPr>
        <sz val="11"/>
        <color theme="1"/>
        <rFont val="宋体"/>
        <family val="2"/>
        <scheme val="minor"/>
      </rPr>
      <t>施加的</t>
    </r>
    <r>
      <rPr>
        <b/>
        <u/>
        <sz val="11"/>
        <color rgb="FFE3C19A"/>
        <rFont val="宋体"/>
        <charset val="134"/>
      </rPr>
      <t>物理脆弱</t>
    </r>
    <r>
      <rPr>
        <sz val="11"/>
        <color theme="1"/>
        <rFont val="宋体"/>
        <family val="2"/>
        <scheme val="minor"/>
      </rPr>
      <t>效果</t>
    </r>
    <r>
      <rPr>
        <b/>
        <sz val="11"/>
        <color rgb="FF9EB7FF"/>
        <rFont val="宋体"/>
        <charset val="134"/>
      </rPr>
      <t>+5%</t>
    </r>
    <r>
      <rPr>
        <sz val="11"/>
        <color theme="1"/>
        <rFont val="宋体"/>
        <family val="2"/>
        <scheme val="minor"/>
      </rPr>
      <t>，且对</t>
    </r>
    <r>
      <rPr>
        <b/>
        <u/>
        <sz val="11"/>
        <color rgb="FFE3C19A"/>
        <rFont val="宋体"/>
        <charset val="134"/>
      </rPr>
      <t>破防</t>
    </r>
    <r>
      <rPr>
        <sz val="11"/>
        <color theme="1"/>
        <rFont val="宋体"/>
        <family val="2"/>
        <scheme val="minor"/>
      </rPr>
      <t>层数不超过</t>
    </r>
    <r>
      <rPr>
        <b/>
        <sz val="11"/>
        <color rgb="FF9EB7FF"/>
        <rFont val="宋体"/>
        <charset val="134"/>
      </rPr>
      <t>2</t>
    </r>
    <r>
      <rPr>
        <sz val="11"/>
        <color theme="1"/>
        <rFont val="宋体"/>
        <family val="2"/>
        <scheme val="minor"/>
      </rPr>
      <t>层的敌人仍然能触发此额外效果。</t>
    </r>
  </si>
  <si>
    <r>
      <t>【修身】全能力</t>
    </r>
    <r>
      <rPr>
        <b/>
        <sz val="11"/>
        <color rgb="FF9EB7FF"/>
        <rFont val="宋体"/>
        <charset val="134"/>
      </rPr>
      <t>+15</t>
    </r>
    <r>
      <rPr>
        <sz val="11"/>
        <color theme="1"/>
        <rFont val="宋体"/>
        <family val="2"/>
        <scheme val="minor"/>
      </rPr>
      <t>。</t>
    </r>
  </si>
  <si>
    <r>
      <t>【养性】天赋</t>
    </r>
    <r>
      <rPr>
        <b/>
        <sz val="11"/>
        <color rgb="FF33C2FF"/>
        <rFont val="宋体"/>
        <charset val="134"/>
      </rPr>
      <t>顿悟</t>
    </r>
    <r>
      <rPr>
        <sz val="11"/>
        <color theme="1"/>
        <rFont val="宋体"/>
        <family val="2"/>
        <scheme val="minor"/>
      </rPr>
      <t>效果加强：每点智识和意志使攻击力额外</t>
    </r>
    <r>
      <rPr>
        <b/>
        <sz val="11"/>
        <color rgb="FF9EB7FF"/>
        <rFont val="宋体"/>
        <charset val="134"/>
      </rPr>
      <t>+0.05%</t>
    </r>
    <r>
      <rPr>
        <sz val="11"/>
        <color theme="1"/>
        <rFont val="宋体"/>
        <family val="2"/>
        <scheme val="minor"/>
      </rPr>
      <t>。</t>
    </r>
  </si>
  <si>
    <r>
      <t>【刹那】终结技</t>
    </r>
    <r>
      <rPr>
        <b/>
        <sz val="11"/>
        <color rgb="FF33C2FF"/>
        <rFont val="宋体"/>
        <charset val="134"/>
      </rPr>
      <t>不动心</t>
    </r>
    <r>
      <rPr>
        <sz val="11"/>
        <color theme="1"/>
        <rFont val="宋体"/>
        <family val="2"/>
        <scheme val="minor"/>
      </rPr>
      <t>所需的终结技能量</t>
    </r>
    <r>
      <rPr>
        <b/>
        <sz val="11"/>
        <color rgb="FF9EB7FF"/>
        <rFont val="宋体"/>
        <charset val="134"/>
      </rPr>
      <t>-15%</t>
    </r>
    <r>
      <rPr>
        <sz val="11"/>
        <color theme="1"/>
        <rFont val="宋体"/>
        <family val="2"/>
        <scheme val="minor"/>
      </rPr>
      <t>。</t>
    </r>
  </si>
  <si>
    <r>
      <t>【不懈】天赋</t>
    </r>
    <r>
      <rPr>
        <b/>
        <sz val="11"/>
        <color rgb="FF33C2FF"/>
        <rFont val="宋体"/>
        <charset val="134"/>
      </rPr>
      <t>伏魔</t>
    </r>
    <r>
      <rPr>
        <sz val="11"/>
        <color theme="1"/>
        <rFont val="宋体"/>
        <family val="2"/>
        <scheme val="minor"/>
      </rPr>
      <t>效果加强：每隔</t>
    </r>
    <r>
      <rPr>
        <b/>
        <sz val="11"/>
        <color rgb="FF9EB7FF"/>
        <rFont val="宋体"/>
        <charset val="134"/>
      </rPr>
      <t>15</t>
    </r>
    <r>
      <rPr>
        <sz val="11"/>
        <color theme="1"/>
        <rFont val="宋体"/>
        <family val="2"/>
        <scheme val="minor"/>
      </rPr>
      <t>秒，下一次触发时额外造成攻击力</t>
    </r>
    <r>
      <rPr>
        <b/>
        <sz val="11"/>
        <color rgb="FF9EB7FF"/>
        <rFont val="宋体"/>
        <charset val="134"/>
      </rPr>
      <t>250%</t>
    </r>
    <r>
      <rPr>
        <sz val="11"/>
        <color theme="1"/>
        <rFont val="宋体"/>
        <family val="2"/>
        <scheme val="minor"/>
      </rPr>
      <t>的</t>
    </r>
    <r>
      <rPr>
        <b/>
        <sz val="11"/>
        <color rgb="FFE3C19A"/>
        <rFont val="宋体"/>
        <charset val="134"/>
      </rPr>
      <t>物理伤害</t>
    </r>
    <r>
      <rPr>
        <sz val="11"/>
        <color theme="1"/>
        <rFont val="宋体"/>
        <family val="2"/>
        <scheme val="minor"/>
      </rPr>
      <t>和</t>
    </r>
    <r>
      <rPr>
        <b/>
        <sz val="11"/>
        <color rgb="FF9EB7FF"/>
        <rFont val="宋体"/>
        <charset val="134"/>
      </rPr>
      <t>5</t>
    </r>
    <r>
      <rPr>
        <sz val="11"/>
        <color theme="1"/>
        <rFont val="宋体"/>
        <family val="2"/>
        <scheme val="minor"/>
      </rPr>
      <t>点失衡。</t>
    </r>
  </si>
  <si>
    <t>chr_0015_lifeng_2</t>
  </si>
  <si>
    <t>21.363559856932504</t>
  </si>
  <si>
    <t>14.549126867241743</t>
  </si>
  <si>
    <t>14.061645276667338</t>
  </si>
  <si>
    <t>chr_0015_lifeng_3</t>
  </si>
  <si>
    <t>22.624026930359808</t>
  </si>
  <si>
    <t>15.696191878813384</t>
  </si>
  <si>
    <t>15.236692615190375</t>
  </si>
  <si>
    <t>chr_0015_lifeng_4</t>
  </si>
  <si>
    <t>23.88449400378711</t>
  </si>
  <si>
    <t>16.843256890385025</t>
  </si>
  <si>
    <t>16.411739953713415</t>
  </si>
  <si>
    <t>chr_0015_lifeng_5</t>
  </si>
  <si>
    <t>25.14496107721442</t>
  </si>
  <si>
    <t>17.99032190195667</t>
  </si>
  <si>
    <t>17.58678729223645</t>
  </si>
  <si>
    <t>chr_0015_lifeng_6</t>
  </si>
  <si>
    <t>26.40542815064172</t>
  </si>
  <si>
    <t>19.13738691352831</t>
  </si>
  <si>
    <t>18.761834630759488</t>
  </si>
  <si>
    <t>chr_0015_lifeng_7</t>
  </si>
  <si>
    <t>27.665895224069025</t>
  </si>
  <si>
    <t>20.28445192509995</t>
  </si>
  <si>
    <t>19.936881969282524</t>
  </si>
  <si>
    <t>chr_0015_lifeng_8</t>
  </si>
  <si>
    <t>28.92636229749633</t>
  </si>
  <si>
    <t>21.431516936671592</t>
  </si>
  <si>
    <t>21.11192930780556</t>
  </si>
  <si>
    <t>chr_0015_lifeng_9</t>
  </si>
  <si>
    <t>30.186829370923633</t>
  </si>
  <si>
    <t>22.578581948243233</t>
  </si>
  <si>
    <t>22.2869766463286</t>
  </si>
  <si>
    <t>chr_0015_lifeng_10</t>
  </si>
  <si>
    <t>31.447296444350936</t>
  </si>
  <si>
    <t>23.725646959814874</t>
  </si>
  <si>
    <t>23.46202398485164</t>
  </si>
  <si>
    <t>chr_0015_lifeng_11</t>
  </si>
  <si>
    <t>32.70776351777824</t>
  </si>
  <si>
    <t>24.87271197138652</t>
  </si>
  <si>
    <t>24.637071323374677</t>
  </si>
  <si>
    <t>chr_0015_lifeng_12</t>
  </si>
  <si>
    <t>33.96823059120555</t>
  </si>
  <si>
    <t>26.019776982958163</t>
  </si>
  <si>
    <t>25.812118661897713</t>
  </si>
  <si>
    <t>chr_0015_lifeng_13</t>
  </si>
  <si>
    <t>35.22869766463285</t>
  </si>
  <si>
    <t>27.166841994529804</t>
  </si>
  <si>
    <t>26.98716600042075</t>
  </si>
  <si>
    <t>chr_0015_lifeng_14</t>
  </si>
  <si>
    <t>36.489164738060154</t>
  </si>
  <si>
    <t>28.313907006101445</t>
  </si>
  <si>
    <t>28.162213338943786</t>
  </si>
  <si>
    <t>chr_0015_lifeng_15</t>
  </si>
  <si>
    <t>37.74963181148746</t>
  </si>
  <si>
    <t>29.460972017673086</t>
  </si>
  <si>
    <t>29.337260677466823</t>
  </si>
  <si>
    <t>chr_0015_lifeng_16</t>
  </si>
  <si>
    <t>39.01009888491476</t>
  </si>
  <si>
    <t>30.608037029244727</t>
  </si>
  <si>
    <t>30.512308015989866</t>
  </si>
  <si>
    <t>chr_0015_lifeng_17</t>
  </si>
  <si>
    <t>40.27056595834206</t>
  </si>
  <si>
    <t>31.755102040816368</t>
  </si>
  <si>
    <t>31.687355354512903</t>
  </si>
  <si>
    <t>chr_0015_lifeng_18</t>
  </si>
  <si>
    <t>41.53103303176937</t>
  </si>
  <si>
    <t>32.90216705238801</t>
  </si>
  <si>
    <t>32.86240269303594</t>
  </si>
  <si>
    <t>chr_0015_lifeng_19</t>
  </si>
  <si>
    <t>42.791500105196675</t>
  </si>
  <si>
    <t>34.04923206395965</t>
  </si>
  <si>
    <t>34.037450031558976</t>
  </si>
  <si>
    <t>chr_0015_lifeng_20</t>
  </si>
  <si>
    <t>44.051967178623975</t>
  </si>
  <si>
    <t>35.1962970755313</t>
  </si>
  <si>
    <t>35.21249737008201</t>
  </si>
  <si>
    <t>chr_0015_lifeng_21</t>
  </si>
  <si>
    <t>45.312434252051276</t>
  </si>
  <si>
    <t>36.34336208710294</t>
  </si>
  <si>
    <t>36.38754470860505</t>
  </si>
  <si>
    <t>chr_0015_lifeng_22</t>
  </si>
  <si>
    <t>46.57290132547858</t>
  </si>
  <si>
    <t>37.49042709867458</t>
  </si>
  <si>
    <t>37.56259204712809</t>
  </si>
  <si>
    <t>chr_0015_lifeng_23</t>
  </si>
  <si>
    <t>47.83336839890589</t>
  </si>
  <si>
    <t>38.63749211024622</t>
  </si>
  <si>
    <t>38.73763938565113</t>
  </si>
  <si>
    <t>chr_0015_lifeng_24</t>
  </si>
  <si>
    <t>49.0938354723332</t>
  </si>
  <si>
    <t>39.78455712181786</t>
  </si>
  <si>
    <t>39.912686724174165</t>
  </si>
  <si>
    <t>chr_0015_lifeng_25</t>
  </si>
  <si>
    <t>50.3543025457605</t>
  </si>
  <si>
    <t>40.9316221333895</t>
  </si>
  <si>
    <t>41.0877340626972</t>
  </si>
  <si>
    <t>chr_0015_lifeng_26</t>
  </si>
  <si>
    <t>51.6147696191878</t>
  </si>
  <si>
    <t>42.078687144961144</t>
  </si>
  <si>
    <t>42.26278140122024</t>
  </si>
  <si>
    <t>chr_0015_lifeng_27</t>
  </si>
  <si>
    <t>52.875236692615104</t>
  </si>
  <si>
    <t>43.225752156532785</t>
  </si>
  <si>
    <t>43.437828739743274</t>
  </si>
  <si>
    <t>chr_0015_lifeng_28</t>
  </si>
  <si>
    <t>54.13570376604241</t>
  </si>
  <si>
    <t>44.37281716810443</t>
  </si>
  <si>
    <t>44.61287607826631</t>
  </si>
  <si>
    <t>chr_0015_lifeng_29</t>
  </si>
  <si>
    <t>55.39617083946972</t>
  </si>
  <si>
    <t>45.519882179676074</t>
  </si>
  <si>
    <t>45.78792341678935</t>
  </si>
  <si>
    <t>chr_0015_lifeng_30</t>
  </si>
  <si>
    <t>56.65663791289701</t>
  </si>
  <si>
    <t>46.666947191247715</t>
  </si>
  <si>
    <t>46.96297075531239</t>
  </si>
  <si>
    <t>chr_0015_lifeng_31</t>
  </si>
  <si>
    <t>57.91710498632432</t>
  </si>
  <si>
    <t>47.814012202819356</t>
  </si>
  <si>
    <t>48.13801809383543</t>
  </si>
  <si>
    <t>chr_0015_lifeng_32</t>
  </si>
  <si>
    <t>59.177572059751625</t>
  </si>
  <si>
    <t>48.961077214391</t>
  </si>
  <si>
    <t>49.313065432358464</t>
  </si>
  <si>
    <t>chr_0015_lifeng_33</t>
  </si>
  <si>
    <t>60.43803913317893</t>
  </si>
  <si>
    <t>50.10814222596264</t>
  </si>
  <si>
    <t>50.4881127708815</t>
  </si>
  <si>
    <t>chr_0015_lifeng_34</t>
  </si>
  <si>
    <t>61.69850620660624</t>
  </si>
  <si>
    <t>51.25520723753428</t>
  </si>
  <si>
    <t>51.66316010940454</t>
  </si>
  <si>
    <t>chr_0015_lifeng_35</t>
  </si>
  <si>
    <t>62.95897328003353</t>
  </si>
  <si>
    <t>52.40227224910592</t>
  </si>
  <si>
    <t>52.83820744792757</t>
  </si>
  <si>
    <t>chr_0015_lifeng_36</t>
  </si>
  <si>
    <t>64.21944035346084</t>
  </si>
  <si>
    <t>53.54933726067756</t>
  </si>
  <si>
    <t>54.01325478645061</t>
  </si>
  <si>
    <t>chr_0015_lifeng_37</t>
  </si>
  <si>
    <t>65.47990742688815</t>
  </si>
  <si>
    <t>54.6964022722492</t>
  </si>
  <si>
    <t>55.18830212497365</t>
  </si>
  <si>
    <t>chr_0015_lifeng_38</t>
  </si>
  <si>
    <t>66.74037450031545</t>
  </si>
  <si>
    <t>55.84346728382085</t>
  </si>
  <si>
    <t>56.36334946349669</t>
  </si>
  <si>
    <t>chr_0015_lifeng_39</t>
  </si>
  <si>
    <t>68.00084157374275</t>
  </si>
  <si>
    <t>56.99053229539249</t>
  </si>
  <si>
    <t>57.538396802019726</t>
  </si>
  <si>
    <t>chr_0015_lifeng_40</t>
  </si>
  <si>
    <t>69.26130864717005</t>
  </si>
  <si>
    <t>58.13759730696413</t>
  </si>
  <si>
    <t>58.71344414054276</t>
  </si>
  <si>
    <t>【顿悟 Lv.1】每点智识和意志都会使攻击力额外+0.10%。</t>
  </si>
  <si>
    <r>
      <t>【顿悟 Lv.1】每点智识和意志都会使攻击力额外</t>
    </r>
    <r>
      <rPr>
        <b/>
        <sz val="11"/>
        <color rgb="FF9EB7FF"/>
        <rFont val="宋体"/>
        <charset val="134"/>
      </rPr>
      <t>+0.10%</t>
    </r>
    <r>
      <rPr>
        <sz val="11"/>
        <color theme="1"/>
        <rFont val="宋体"/>
        <family val="2"/>
        <scheme val="minor"/>
      </rPr>
      <t>。</t>
    </r>
  </si>
  <si>
    <r>
      <t>【顿悟 Lv.2】每点智识和意志都会使攻击力额外</t>
    </r>
    <r>
      <rPr>
        <b/>
        <sz val="11"/>
        <color rgb="FF9EB7FF"/>
        <rFont val="宋体"/>
        <charset val="134"/>
      </rPr>
      <t>+0.15%</t>
    </r>
    <r>
      <rPr>
        <sz val="11"/>
        <color theme="1"/>
        <rFont val="宋体"/>
        <family val="2"/>
        <scheme val="minor"/>
      </rPr>
      <t>。</t>
    </r>
  </si>
  <si>
    <t>【伏魔 Lv.1】每当自身造成倒地时，额外造成攻击力50%的物理伤害。</t>
  </si>
  <si>
    <r>
      <t>【伏魔 Lv.1】每当自身造成</t>
    </r>
    <r>
      <rPr>
        <b/>
        <u/>
        <sz val="11"/>
        <color rgb="FFE3C19A"/>
        <rFont val="宋体"/>
        <charset val="134"/>
      </rPr>
      <t>倒地</t>
    </r>
    <r>
      <rPr>
        <sz val="11"/>
        <color theme="1"/>
        <rFont val="宋体"/>
        <family val="2"/>
        <scheme val="minor"/>
      </rPr>
      <t>时，额外造成攻击力</t>
    </r>
    <r>
      <rPr>
        <b/>
        <sz val="11"/>
        <color rgb="FF9EB7FF"/>
        <rFont val="宋体"/>
        <charset val="134"/>
      </rPr>
      <t>50%</t>
    </r>
    <r>
      <rPr>
        <sz val="11"/>
        <color theme="1"/>
        <rFont val="宋体"/>
        <family val="2"/>
        <scheme val="minor"/>
      </rPr>
      <t>的</t>
    </r>
    <r>
      <rPr>
        <b/>
        <sz val="11"/>
        <color rgb="FFE3C19A"/>
        <rFont val="宋体"/>
        <charset val="134"/>
      </rPr>
      <t>物理伤害</t>
    </r>
    <r>
      <rPr>
        <sz val="11"/>
        <color theme="1"/>
        <rFont val="宋体"/>
        <family val="2"/>
        <scheme val="minor"/>
      </rPr>
      <t>。</t>
    </r>
  </si>
  <si>
    <t>chr_0015_lifeng_41</t>
  </si>
  <si>
    <t>70.52177572059736</t>
  </si>
  <si>
    <t>59.28466231853577</t>
  </si>
  <si>
    <t>59.8884914790658</t>
  </si>
  <si>
    <t>chr_0015_lifeng_42</t>
  </si>
  <si>
    <t>71.78224279402467</t>
  </si>
  <si>
    <t>60.431727330107414</t>
  </si>
  <si>
    <t>61.063538817588835</t>
  </si>
  <si>
    <t>chr_0015_lifeng_43</t>
  </si>
  <si>
    <t>73.04270986745198</t>
  </si>
  <si>
    <t>61.578792341679055</t>
  </si>
  <si>
    <t>62.23858615611188</t>
  </si>
  <si>
    <t>chr_0015_lifeng_44</t>
  </si>
  <si>
    <t>74.30317694087927</t>
  </si>
  <si>
    <t>62.725857353250696</t>
  </si>
  <si>
    <t>63.413633494634915</t>
  </si>
  <si>
    <t>chr_0015_lifeng_45</t>
  </si>
  <si>
    <t>75.56364401430658</t>
  </si>
  <si>
    <t>63.872922364822344</t>
  </si>
  <si>
    <t>64.58868083315795</t>
  </si>
  <si>
    <t>chr_0015_lifeng_46</t>
  </si>
  <si>
    <t>76.82411108773388</t>
  </si>
  <si>
    <t>65.01998737639398</t>
  </si>
  <si>
    <t>65.763728171681</t>
  </si>
  <si>
    <t>chr_0015_lifeng_47</t>
  </si>
  <si>
    <t>78.08457816116119</t>
  </si>
  <si>
    <t>66.16705238796563</t>
  </si>
  <si>
    <t>66.93877551020402</t>
  </si>
  <si>
    <t>chr_0015_lifeng_48</t>
  </si>
  <si>
    <t>79.34504523458848</t>
  </si>
  <si>
    <t>67.31411739953727</t>
  </si>
  <si>
    <t>68.11382284872707</t>
  </si>
  <si>
    <t>chr_0015_lifeng_49</t>
  </si>
  <si>
    <t>80.60551230801579</t>
  </si>
  <si>
    <t>68.46118241110891</t>
  </si>
  <si>
    <t>69.28887018725011</t>
  </si>
  <si>
    <t>chr_0015_lifeng_50</t>
  </si>
  <si>
    <t>81.8659793814431</t>
  </si>
  <si>
    <t>69.60824742268055</t>
  </si>
  <si>
    <t>70.46391752577314</t>
  </si>
  <si>
    <t>chr_0015_lifeng_51</t>
  </si>
  <si>
    <t>83.1264464548704</t>
  </si>
  <si>
    <t>70.75531243425219</t>
  </si>
  <si>
    <t>71.63896486429618</t>
  </si>
  <si>
    <t>chr_0015_lifeng_52</t>
  </si>
  <si>
    <t>84.38691352829771</t>
  </si>
  <si>
    <t>71.90237744582383</t>
  </si>
  <si>
    <t>72.81401220281921</t>
  </si>
  <si>
    <t>chr_0015_lifeng_53</t>
  </si>
  <si>
    <t>85.64738060172502</t>
  </si>
  <si>
    <t>73.04944245739547</t>
  </si>
  <si>
    <t>73.98905954134226</t>
  </si>
  <si>
    <t>chr_0015_lifeng_54</t>
  </si>
  <si>
    <t>86.90784767515231</t>
  </si>
  <si>
    <t>74.19650746896713</t>
  </si>
  <si>
    <t>75.16410687986529</t>
  </si>
  <si>
    <t>chr_0015_lifeng_55</t>
  </si>
  <si>
    <t>88.16831474857962</t>
  </si>
  <si>
    <t>75.34357248053877</t>
  </si>
  <si>
    <t>76.33915421838833</t>
  </si>
  <si>
    <t>chr_0015_lifeng_56</t>
  </si>
  <si>
    <t>89.42878182200693</t>
  </si>
  <si>
    <t>76.49063749211041</t>
  </si>
  <si>
    <t>77.51420155691137</t>
  </si>
  <si>
    <t>chr_0015_lifeng_57</t>
  </si>
  <si>
    <t>90.68924889543423</t>
  </si>
  <si>
    <t>77.63770250368205</t>
  </si>
  <si>
    <t>78.6892488954344</t>
  </si>
  <si>
    <t>chr_0015_lifeng_58</t>
  </si>
  <si>
    <t>91.94971596886154</t>
  </si>
  <si>
    <t>78.78476751525369</t>
  </si>
  <si>
    <t>79.86429623395745</t>
  </si>
  <si>
    <t>chr_0015_lifeng_59</t>
  </si>
  <si>
    <t>93.21018304228883</t>
  </si>
  <si>
    <t>79.93183252682533</t>
  </si>
  <si>
    <t>81.03934357248049</t>
  </si>
  <si>
    <t>chr_0015_lifeng_60</t>
  </si>
  <si>
    <t>94.47065011571614</t>
  </si>
  <si>
    <t>81.07889753839697</t>
  </si>
  <si>
    <t>82.21439091100352</t>
  </si>
  <si>
    <t>【伏魔 Lv.2】每当自身造成倒地时，额外造成攻击力100%的物理伤害。</t>
  </si>
  <si>
    <r>
      <t>【伏魔 Lv.2】每当自身造成</t>
    </r>
    <r>
      <rPr>
        <b/>
        <u/>
        <sz val="11"/>
        <color rgb="FFE3C19A"/>
        <rFont val="宋体"/>
        <charset val="134"/>
      </rPr>
      <t>倒地</t>
    </r>
    <r>
      <rPr>
        <sz val="11"/>
        <color theme="1"/>
        <rFont val="宋体"/>
        <family val="2"/>
        <scheme val="minor"/>
      </rPr>
      <t>时，额外造成攻击力</t>
    </r>
    <r>
      <rPr>
        <b/>
        <sz val="11"/>
        <color rgb="FF9EB7FF"/>
        <rFont val="宋体"/>
        <charset val="134"/>
      </rPr>
      <t>100%</t>
    </r>
    <r>
      <rPr>
        <sz val="11"/>
        <color theme="1"/>
        <rFont val="宋体"/>
        <family val="2"/>
        <scheme val="minor"/>
      </rPr>
      <t>的</t>
    </r>
    <r>
      <rPr>
        <b/>
        <sz val="11"/>
        <color rgb="FFE3C19A"/>
        <rFont val="宋体"/>
        <charset val="134"/>
      </rPr>
      <t>物理伤害</t>
    </r>
    <r>
      <rPr>
        <sz val="11"/>
        <color theme="1"/>
        <rFont val="宋体"/>
        <family val="2"/>
        <scheme val="minor"/>
      </rPr>
      <t>。</t>
    </r>
  </si>
  <si>
    <t>chr_0015_lifeng_61</t>
  </si>
  <si>
    <t>95.73111718914345</t>
  </si>
  <si>
    <t>82.22596254996861</t>
  </si>
  <si>
    <t>83.38943824952656</t>
  </si>
  <si>
    <t>chr_0015_lifeng_62</t>
  </si>
  <si>
    <t>96.99158426257075</t>
  </si>
  <si>
    <t>83.37302756154025</t>
  </si>
  <si>
    <t>84.56448558804959</t>
  </si>
  <si>
    <t>chr_0015_lifeng_63</t>
  </si>
  <si>
    <t>98.25205133599805</t>
  </si>
  <si>
    <t>84.5200925731119</t>
  </si>
  <si>
    <t>85.73953292657264</t>
  </si>
  <si>
    <t>chr_0015_lifeng_64</t>
  </si>
  <si>
    <t>99.51251840942535</t>
  </si>
  <si>
    <t>85.66715758468354</t>
  </si>
  <si>
    <t>86.91458026509567</t>
  </si>
  <si>
    <t>chr_0015_lifeng_65</t>
  </si>
  <si>
    <t>100.77298548285266</t>
  </si>
  <si>
    <t>86.81422259625518</t>
  </si>
  <si>
    <t>88.08962760361871</t>
  </si>
  <si>
    <t>chr_0015_lifeng_66</t>
  </si>
  <si>
    <t>102.03345255627997</t>
  </si>
  <si>
    <t>87.96128760782682</t>
  </si>
  <si>
    <t>89.26467494214175</t>
  </si>
  <si>
    <t>chr_0015_lifeng_67</t>
  </si>
  <si>
    <t>103.29391962970728</t>
  </si>
  <si>
    <t>89.10835261939846</t>
  </si>
  <si>
    <t>90.43972228066478</t>
  </si>
  <si>
    <t>chr_0015_lifeng_68</t>
  </si>
  <si>
    <t>104.55438670313457</t>
  </si>
  <si>
    <t>90.2554176309701</t>
  </si>
  <si>
    <t>91.61476961918783</t>
  </si>
  <si>
    <t>chr_0015_lifeng_69</t>
  </si>
  <si>
    <t>105.81485377656188</t>
  </si>
  <si>
    <t>91.40248264254174</t>
  </si>
  <si>
    <t>92.78981695771085</t>
  </si>
  <si>
    <t>chr_0015_lifeng_70</t>
  </si>
  <si>
    <t>107.07532084998918</t>
  </si>
  <si>
    <t>92.54954765411338</t>
  </si>
  <si>
    <t>93.9648642962339</t>
  </si>
  <si>
    <t>chr_0015_lifeng_71</t>
  </si>
  <si>
    <t>108.33578792341649</t>
  </si>
  <si>
    <t>93.69661266568502</t>
  </si>
  <si>
    <t>95.13991163475693</t>
  </si>
  <si>
    <t>chr_0015_lifeng_72</t>
  </si>
  <si>
    <t>109.59625499684378</t>
  </si>
  <si>
    <t>94.84367767725666</t>
  </si>
  <si>
    <t>96.31495897327997</t>
  </si>
  <si>
    <t>chr_0015_lifeng_73</t>
  </si>
  <si>
    <t>110.85672207027109</t>
  </si>
  <si>
    <t>95.9907426888283</t>
  </si>
  <si>
    <t>97.49000631180301</t>
  </si>
  <si>
    <t>chr_0015_lifeng_74</t>
  </si>
  <si>
    <t>112.1171891436984</t>
  </si>
  <si>
    <t>97.13780770039996</t>
  </si>
  <si>
    <t>98.66505365032604</t>
  </si>
  <si>
    <t>chr_0015_lifeng_75</t>
  </si>
  <si>
    <t>113.3776562171257</t>
  </si>
  <si>
    <t>98.2848727119716</t>
  </si>
  <si>
    <t>99.84010098884909</t>
  </si>
  <si>
    <t>chr_0015_lifeng_76</t>
  </si>
  <si>
    <t>114.63812329055301</t>
  </si>
  <si>
    <t>99.43193772354324</t>
  </si>
  <si>
    <t>101.01514832737212</t>
  </si>
  <si>
    <t>chr_0015_lifeng_77</t>
  </si>
  <si>
    <t>115.8985903639803</t>
  </si>
  <si>
    <t>100.57900273511488</t>
  </si>
  <si>
    <t>102.19019566589516</t>
  </si>
  <si>
    <t>chr_0015_lifeng_78</t>
  </si>
  <si>
    <t>117.15905743740761</t>
  </si>
  <si>
    <t>101.72606774668652</t>
  </si>
  <si>
    <t>103.3652430044182</t>
  </si>
  <si>
    <t>chr_0015_lifeng_79</t>
  </si>
  <si>
    <t>118.41952451083492</t>
  </si>
  <si>
    <t>102.87313275825817</t>
  </si>
  <si>
    <t>104.54029034294123</t>
  </si>
  <si>
    <t>chr_0015_lifeng_80</t>
  </si>
  <si>
    <t>119.67999158426223</t>
  </si>
  <si>
    <t>104.0201977698298</t>
  </si>
  <si>
    <t>105.71533768146428</t>
  </si>
  <si>
    <t>chr_0015_lifeng_81</t>
  </si>
  <si>
    <t>120.94045865768952</t>
  </si>
  <si>
    <t>105.16726278140145</t>
  </si>
  <si>
    <t>106.8903850199873</t>
  </si>
  <si>
    <t>chr_0015_lifeng_82</t>
  </si>
  <si>
    <t>122.20092573111683</t>
  </si>
  <si>
    <t>106.31432779297309</t>
  </si>
  <si>
    <t>108.06543235851035</t>
  </si>
  <si>
    <t>chr_0015_lifeng_83</t>
  </si>
  <si>
    <t>123.46139280454413</t>
  </si>
  <si>
    <t>107.46139280454473</t>
  </si>
  <si>
    <t>109.24047969703338</t>
  </si>
  <si>
    <t>chr_0015_lifeng_84</t>
  </si>
  <si>
    <t>124.72185987797144</t>
  </si>
  <si>
    <t>108.60845781611637</t>
  </si>
  <si>
    <t>110.41552703555642</t>
  </si>
  <si>
    <t>chr_0015_lifeng_85</t>
  </si>
  <si>
    <t>125.98232695139875</t>
  </si>
  <si>
    <t>109.75552282768801</t>
  </si>
  <si>
    <t>111.59057437407947</t>
  </si>
  <si>
    <t>chr_0015_lifeng_86</t>
  </si>
  <si>
    <t>127.24279402482604</t>
  </si>
  <si>
    <t>110.90258783925965</t>
  </si>
  <si>
    <t>112.7656217126025</t>
  </si>
  <si>
    <t>chr_0015_lifeng_87</t>
  </si>
  <si>
    <t>128.50326109825335</t>
  </si>
  <si>
    <t>112.0496528508313</t>
  </si>
  <si>
    <t>113.94066905112554</t>
  </si>
  <si>
    <t>chr_0015_lifeng_88</t>
  </si>
  <si>
    <t>129.76372817168064</t>
  </si>
  <si>
    <t>113.19671786240293</t>
  </si>
  <si>
    <t>115.11571638964857</t>
  </si>
  <si>
    <t>chr_0015_lifeng_89</t>
  </si>
  <si>
    <t>131.02419524510796</t>
  </si>
  <si>
    <t>114.34378287397459</t>
  </si>
  <si>
    <t>116.29076372817161</t>
  </si>
  <si>
    <t>chr_0015_lifeng_90</t>
  </si>
  <si>
    <t>132.28466231853525</t>
  </si>
  <si>
    <t>115.49084788554623</t>
  </si>
  <si>
    <t>117.46581106669464</t>
  </si>
  <si>
    <t>chr_0015_lifeng_91</t>
  </si>
  <si>
    <t>133.54512939196255</t>
  </si>
  <si>
    <t>116.63791289711787</t>
  </si>
  <si>
    <t>118.64085840521768</t>
  </si>
  <si>
    <t>chr_0015_lifeng_92</t>
  </si>
  <si>
    <t>134.80559646538987</t>
  </si>
  <si>
    <t>117.78497790868951</t>
  </si>
  <si>
    <t>119.81590574374073</t>
  </si>
  <si>
    <t>chr_0015_lifeng_93</t>
  </si>
  <si>
    <t>136.06606353881716</t>
  </si>
  <si>
    <t>118.93204292026115</t>
  </si>
  <si>
    <t>120.99095308226376</t>
  </si>
  <si>
    <t>chr_0015_lifeng_94</t>
  </si>
  <si>
    <t>137.32653061224448</t>
  </si>
  <si>
    <t>120.0791079318328</t>
  </si>
  <si>
    <t>122.1660004207868</t>
  </si>
  <si>
    <t>chr_0015_lifeng_95</t>
  </si>
  <si>
    <t>138.58699768567178</t>
  </si>
  <si>
    <t>121.22617294340444</t>
  </si>
  <si>
    <t>123.34104775930983</t>
  </si>
  <si>
    <t>chr_0015_lifeng_96</t>
  </si>
  <si>
    <t>139.84746475909907</t>
  </si>
  <si>
    <t>122.37323795497608</t>
  </si>
  <si>
    <t>124.51609509783287</t>
  </si>
  <si>
    <t>chr_0015_lifeng_97</t>
  </si>
  <si>
    <t>141.1079318325264</t>
  </si>
  <si>
    <t>123.52030296654772</t>
  </si>
  <si>
    <t>125.69114243635592</t>
  </si>
  <si>
    <t>chr_0015_lifeng_98</t>
  </si>
  <si>
    <t>142.36839890595368</t>
  </si>
  <si>
    <t>124.66736797811936</t>
  </si>
  <si>
    <t>126.86618977487895</t>
  </si>
  <si>
    <t>chr_0015_lifeng_99</t>
  </si>
  <si>
    <t>143.628865979381</t>
  </si>
  <si>
    <t>125.814432989691</t>
  </si>
  <si>
    <t>128.041237113402</t>
  </si>
  <si>
    <t>chr_0024_deepfin_1</t>
  </si>
  <si>
    <t>chr_0024_deepfin</t>
  </si>
  <si>
    <t>阿列什</t>
  </si>
  <si>
    <t>Alesh</t>
  </si>
  <si>
    <t>技力恢复, 冻结</t>
  </si>
  <si>
    <r>
      <t>【咸鳞翻身】战技</t>
    </r>
    <r>
      <rPr>
        <b/>
        <sz val="11"/>
        <color rgb="FF33C2FF"/>
        <rFont val="宋体"/>
        <charset val="134"/>
      </rPr>
      <t>非常规路亚</t>
    </r>
    <r>
      <rPr>
        <sz val="11"/>
        <color theme="1"/>
        <rFont val="宋体"/>
        <family val="2"/>
        <scheme val="minor"/>
      </rPr>
      <t>触发恢复技力效果时，额外恢复</t>
    </r>
    <r>
      <rPr>
        <b/>
        <sz val="11"/>
        <color rgb="FF9EB7FF"/>
        <rFont val="宋体"/>
        <charset val="134"/>
      </rPr>
      <t>10</t>
    </r>
    <r>
      <rPr>
        <sz val="11"/>
        <color theme="1"/>
        <rFont val="宋体"/>
        <family val="2"/>
        <scheme val="minor"/>
      </rPr>
      <t>点技力。</t>
    </r>
  </si>
  <si>
    <r>
      <t>【沉心静气】力量</t>
    </r>
    <r>
      <rPr>
        <b/>
        <sz val="11"/>
        <color rgb="FF9EB7FF"/>
        <rFont val="宋体"/>
        <charset val="134"/>
      </rPr>
      <t>+15</t>
    </r>
    <r>
      <rPr>
        <sz val="11"/>
        <color theme="1"/>
        <rFont val="宋体"/>
        <family val="2"/>
        <scheme val="minor"/>
      </rPr>
      <t>，智识</t>
    </r>
    <r>
      <rPr>
        <b/>
        <sz val="11"/>
        <color rgb="FF9EB7FF"/>
        <rFont val="宋体"/>
        <charset val="134"/>
      </rPr>
      <t>+15</t>
    </r>
    <r>
      <rPr>
        <sz val="11"/>
        <color theme="1"/>
        <rFont val="宋体"/>
        <family val="2"/>
        <scheme val="minor"/>
      </rPr>
      <t>。</t>
    </r>
  </si>
  <si>
    <r>
      <t>【愿者上钩】连携技</t>
    </r>
    <r>
      <rPr>
        <b/>
        <sz val="11"/>
        <color rgb="FF33C2FF"/>
        <rFont val="宋体"/>
        <charset val="134"/>
      </rPr>
      <t>凿孔底钓术</t>
    </r>
    <r>
      <rPr>
        <sz val="11"/>
        <color theme="1"/>
        <rFont val="宋体"/>
        <family val="2"/>
        <scheme val="minor"/>
      </rPr>
      <t>成功钓起</t>
    </r>
    <r>
      <rPr>
        <b/>
        <sz val="11"/>
        <color rgb="FF33C2FF"/>
        <rFont val="宋体"/>
        <charset val="134"/>
      </rPr>
      <t>珍鳞</t>
    </r>
    <r>
      <rPr>
        <sz val="11"/>
        <color theme="1"/>
        <rFont val="宋体"/>
        <family val="2"/>
        <scheme val="minor"/>
      </rPr>
      <t>后，全队攻击力</t>
    </r>
    <r>
      <rPr>
        <b/>
        <sz val="11"/>
        <color rgb="FF9EB7FF"/>
        <rFont val="宋体"/>
        <charset val="134"/>
      </rPr>
      <t>+15%</t>
    </r>
    <r>
      <rPr>
        <sz val="11"/>
        <color theme="1"/>
        <rFont val="宋体"/>
        <family val="2"/>
        <scheme val="minor"/>
      </rPr>
      <t>，持续</t>
    </r>
    <r>
      <rPr>
        <b/>
        <sz val="11"/>
        <color rgb="FF9EB7FF"/>
        <rFont val="宋体"/>
        <charset val="134"/>
      </rPr>
      <t>10</t>
    </r>
    <r>
      <rPr>
        <sz val="11"/>
        <color theme="1"/>
        <rFont val="宋体"/>
        <family val="2"/>
        <scheme val="minor"/>
      </rPr>
      <t>秒，该效果无法叠加。</t>
    </r>
  </si>
  <si>
    <r>
      <t>【疯狂钓组】终结技</t>
    </r>
    <r>
      <rPr>
        <b/>
        <sz val="11"/>
        <color rgb="FF33C2FF"/>
        <rFont val="宋体"/>
        <charset val="134"/>
      </rPr>
      <t>大鳞，上钩！</t>
    </r>
    <r>
      <rPr>
        <sz val="11"/>
        <color theme="1"/>
        <rFont val="宋体"/>
        <family val="2"/>
        <scheme val="minor"/>
      </rPr>
      <t>所需的终结技能量</t>
    </r>
    <r>
      <rPr>
        <b/>
        <sz val="11"/>
        <color rgb="FF9EB7FF"/>
        <rFont val="宋体"/>
        <charset val="134"/>
      </rPr>
      <t>-15%</t>
    </r>
    <r>
      <rPr>
        <sz val="11"/>
        <color theme="1"/>
        <rFont val="宋体"/>
        <family val="2"/>
        <scheme val="minor"/>
      </rPr>
      <t>。</t>
    </r>
  </si>
  <si>
    <r>
      <t>【特大鳞讯】终结技</t>
    </r>
    <r>
      <rPr>
        <b/>
        <sz val="11"/>
        <color rgb="FF33C2FF"/>
        <rFont val="宋体"/>
        <charset val="134"/>
      </rPr>
      <t>大鳞，上钩！</t>
    </r>
    <r>
      <rPr>
        <sz val="11"/>
        <color theme="1"/>
        <rFont val="宋体"/>
        <family val="2"/>
        <scheme val="minor"/>
      </rPr>
      <t>命中生命值低于</t>
    </r>
    <r>
      <rPr>
        <b/>
        <sz val="11"/>
        <color rgb="FF9EB7FF"/>
        <rFont val="宋体"/>
        <charset val="134"/>
      </rPr>
      <t>50%</t>
    </r>
    <r>
      <rPr>
        <sz val="11"/>
        <color theme="1"/>
        <rFont val="宋体"/>
        <family val="2"/>
        <scheme val="minor"/>
      </rPr>
      <t>的目标时，伤害倍率提升至原本的</t>
    </r>
    <r>
      <rPr>
        <b/>
        <sz val="11"/>
        <color rgb="FF9EB7FF"/>
        <rFont val="宋体"/>
        <charset val="134"/>
      </rPr>
      <t>1.5</t>
    </r>
    <r>
      <rPr>
        <sz val="11"/>
        <color theme="1"/>
        <rFont val="宋体"/>
        <family val="2"/>
        <scheme val="minor"/>
      </rPr>
      <t>倍。</t>
    </r>
  </si>
  <si>
    <t>chr_0024_deepfin_2</t>
  </si>
  <si>
    <t>21.653271617925565</t>
  </si>
  <si>
    <t>10.455712181779932</t>
  </si>
  <si>
    <t>14.869093204292017</t>
  </si>
  <si>
    <t>11.714075320849954</t>
  </si>
  <si>
    <t>chr_0024_deepfin_3</t>
  </si>
  <si>
    <t>23.203450452345933</t>
  </si>
  <si>
    <t>11.426888281085635</t>
  </si>
  <si>
    <t>16.129938985903635</t>
  </si>
  <si>
    <t>12.603408373658706</t>
  </si>
  <si>
    <t>chr_0024_deepfin_4</t>
  </si>
  <si>
    <t>24.753629286766298</t>
  </si>
  <si>
    <t>12.398064380391336</t>
  </si>
  <si>
    <t>17.390784767515257</t>
  </si>
  <si>
    <t>13.49274142646746</t>
  </si>
  <si>
    <t>chr_0024_deepfin_5</t>
  </si>
  <si>
    <t>26.303808121186663</t>
  </si>
  <si>
    <t>13.369240479697037</t>
  </si>
  <si>
    <t>18.651630549126875</t>
  </si>
  <si>
    <t>14.382074479276213</t>
  </si>
  <si>
    <t>chr_0024_deepfin_6</t>
  </si>
  <si>
    <t>27.853986955607027</t>
  </si>
  <si>
    <t>14.340416579002738</t>
  </si>
  <si>
    <t>19.912476330738492</t>
  </si>
  <si>
    <t>15.271407532084966</t>
  </si>
  <si>
    <t>chr_0024_deepfin_7</t>
  </si>
  <si>
    <t>29.404165790027392</t>
  </si>
  <si>
    <t>15.31159267830844</t>
  </si>
  <si>
    <t>21.17332211235011</t>
  </si>
  <si>
    <t>16.16074058489372</t>
  </si>
  <si>
    <t>chr_0024_deepfin_8</t>
  </si>
  <si>
    <t>30.95434462444776</t>
  </si>
  <si>
    <t>16.282768777614145</t>
  </si>
  <si>
    <t>22.434167893961728</t>
  </si>
  <si>
    <t>17.05007363770247</t>
  </si>
  <si>
    <t>chr_0024_deepfin_9</t>
  </si>
  <si>
    <t>32.50452345886812</t>
  </si>
  <si>
    <t>17.253944876919846</t>
  </si>
  <si>
    <t>23.69501367557335</t>
  </si>
  <si>
    <t>17.939406690511227</t>
  </si>
  <si>
    <t>chr_0024_deepfin_10</t>
  </si>
  <si>
    <t>34.054702293288486</t>
  </si>
  <si>
    <t>18.225120976225547</t>
  </si>
  <si>
    <t>24.955859457184964</t>
  </si>
  <si>
    <t>18.82873974331998</t>
  </si>
  <si>
    <t>chr_0024_deepfin_11</t>
  </si>
  <si>
    <t>35.60488112770886</t>
  </si>
  <si>
    <t>19.19629707553125</t>
  </si>
  <si>
    <t>26.216705238796585</t>
  </si>
  <si>
    <t>19.71807279612873</t>
  </si>
  <si>
    <t>chr_0024_deepfin_12</t>
  </si>
  <si>
    <t>37.15505996212922</t>
  </si>
  <si>
    <t>20.16747317483695</t>
  </si>
  <si>
    <t>27.477551020408203</t>
  </si>
  <si>
    <t>20.607405848937482</t>
  </si>
  <si>
    <t>chr_0024_deepfin_13</t>
  </si>
  <si>
    <t>38.70523879654959</t>
  </si>
  <si>
    <t>21.13864927414265</t>
  </si>
  <si>
    <t>28.73839680201982</t>
  </si>
  <si>
    <t>21.496738901746237</t>
  </si>
  <si>
    <t>chr_0024_deepfin_14</t>
  </si>
  <si>
    <t>40.25541763096995</t>
  </si>
  <si>
    <t>22.109825373448352</t>
  </si>
  <si>
    <t>29.99924258363144</t>
  </si>
  <si>
    <t>22.386071954554993</t>
  </si>
  <si>
    <t>chr_0024_deepfin_15</t>
  </si>
  <si>
    <t>41.80559646539032</t>
  </si>
  <si>
    <t>23.081001472754053</t>
  </si>
  <si>
    <t>31.26008836524306</t>
  </si>
  <si>
    <t>23.275405007363744</t>
  </si>
  <si>
    <t>chr_0024_deepfin_16</t>
  </si>
  <si>
    <t>43.35577529981069</t>
  </si>
  <si>
    <t>24.052177572059755</t>
  </si>
  <si>
    <t>32.52093414685468</t>
  </si>
  <si>
    <t>24.164738060172496</t>
  </si>
  <si>
    <t>chr_0024_deepfin_17</t>
  </si>
  <si>
    <t>44.90595413423105</t>
  </si>
  <si>
    <t>25.023353671365456</t>
  </si>
  <si>
    <t>33.78177992846629</t>
  </si>
  <si>
    <t>25.054071112981248</t>
  </si>
  <si>
    <t>chr_0024_deepfin_18</t>
  </si>
  <si>
    <t>46.45613296865142</t>
  </si>
  <si>
    <t>25.994529770671157</t>
  </si>
  <si>
    <t>35.042625710077914</t>
  </si>
  <si>
    <t>25.943404165790003</t>
  </si>
  <si>
    <t>chr_0024_deepfin_19</t>
  </si>
  <si>
    <t>48.00631180307178</t>
  </si>
  <si>
    <t>26.96570586997686</t>
  </si>
  <si>
    <t>36.303471491689535</t>
  </si>
  <si>
    <t>26.83273721859876</t>
  </si>
  <si>
    <t>chr_0024_deepfin_20</t>
  </si>
  <si>
    <t>49.556490637492146</t>
  </si>
  <si>
    <t>27.93688196928256</t>
  </si>
  <si>
    <t>37.56431727330116</t>
  </si>
  <si>
    <t>27.72207027140751</t>
  </si>
  <si>
    <t>【闪冻锁鲜 Lv.1】附近有敌人被冻结或被附着源石结晶后，自身获得3点终结技能量。自身造成冻结触发上述效果时，额外获得6点终结技能量。该效果每3秒内最多触发一次。</t>
  </si>
  <si>
    <r>
      <t>【闪冻锁鲜 Lv.1】附近有敌人被</t>
    </r>
    <r>
      <rPr>
        <b/>
        <u/>
        <sz val="11"/>
        <color rgb="FF30D6E0"/>
        <rFont val="宋体"/>
        <charset val="134"/>
      </rPr>
      <t>冻结</t>
    </r>
    <r>
      <rPr>
        <sz val="11"/>
        <color theme="1"/>
        <rFont val="宋体"/>
        <family val="2"/>
        <scheme val="minor"/>
      </rPr>
      <t>或被附着</t>
    </r>
    <r>
      <rPr>
        <b/>
        <u/>
        <sz val="11"/>
        <color rgb="FF33C2FF"/>
        <rFont val="宋体"/>
        <charset val="134"/>
      </rPr>
      <t>源石结晶</t>
    </r>
    <r>
      <rPr>
        <sz val="11"/>
        <color theme="1"/>
        <rFont val="宋体"/>
        <family val="2"/>
        <scheme val="minor"/>
      </rPr>
      <t>后，自身获得</t>
    </r>
    <r>
      <rPr>
        <b/>
        <sz val="11"/>
        <color rgb="FF9EB7FF"/>
        <rFont val="宋体"/>
        <charset val="134"/>
      </rPr>
      <t>3</t>
    </r>
    <r>
      <rPr>
        <sz val="11"/>
        <color theme="1"/>
        <rFont val="宋体"/>
        <family val="2"/>
        <scheme val="minor"/>
      </rPr>
      <t>点终结技能量。自身造成</t>
    </r>
    <r>
      <rPr>
        <b/>
        <u/>
        <sz val="11"/>
        <color rgb="FF30D6E0"/>
        <rFont val="宋体"/>
        <charset val="134"/>
      </rPr>
      <t>冻结</t>
    </r>
    <r>
      <rPr>
        <sz val="11"/>
        <color theme="1"/>
        <rFont val="宋体"/>
        <family val="2"/>
        <scheme val="minor"/>
      </rPr>
      <t>触发上述效果时，额外获得</t>
    </r>
    <r>
      <rPr>
        <b/>
        <sz val="11"/>
        <color rgb="FF9EB7FF"/>
        <rFont val="宋体"/>
        <charset val="134"/>
      </rPr>
      <t>6</t>
    </r>
    <r>
      <rPr>
        <sz val="11"/>
        <color theme="1"/>
        <rFont val="宋体"/>
        <family val="2"/>
        <scheme val="minor"/>
      </rPr>
      <t>点终结技能量。该效果每3秒内最多触发一次。</t>
    </r>
  </si>
  <si>
    <t>chr_0024_deepfin_21</t>
  </si>
  <si>
    <t>51.10666947191251</t>
  </si>
  <si>
    <t>28.90805806858826</t>
  </si>
  <si>
    <t>38.82516305491277</t>
  </si>
  <si>
    <t>28.611403324216262</t>
  </si>
  <si>
    <t>chr_0024_deepfin_22</t>
  </si>
  <si>
    <t>52.656848306332876</t>
  </si>
  <si>
    <t>29.87923416789397</t>
  </si>
  <si>
    <t>40.086008836524385</t>
  </si>
  <si>
    <t>29.500736377025014</t>
  </si>
  <si>
    <t>chr_0024_deepfin_23</t>
  </si>
  <si>
    <t>54.20702714075324</t>
  </si>
  <si>
    <t>30.85041026719967</t>
  </si>
  <si>
    <t>41.34685461813601</t>
  </si>
  <si>
    <t>30.390069429833765</t>
  </si>
  <si>
    <t>chr_0024_deepfin_24</t>
  </si>
  <si>
    <t>55.757205975173605</t>
  </si>
  <si>
    <t>31.82158636650537</t>
  </si>
  <si>
    <t>42.60770039974763</t>
  </si>
  <si>
    <t>31.279402482642524</t>
  </si>
  <si>
    <t>chr_0024_deepfin_25</t>
  </si>
  <si>
    <t>57.30738480959397</t>
  </si>
  <si>
    <t>32.79276246581107</t>
  </si>
  <si>
    <t>43.86854618135924</t>
  </si>
  <si>
    <t>32.168735535451276</t>
  </si>
  <si>
    <t>chr_0024_deepfin_26</t>
  </si>
  <si>
    <t>58.857563644014334</t>
  </si>
  <si>
    <t>33.763938565116774</t>
  </si>
  <si>
    <t>45.129391962970864</t>
  </si>
  <si>
    <t>33.05806858826003</t>
  </si>
  <si>
    <t>chr_0024_deepfin_27</t>
  </si>
  <si>
    <t>60.4077424784347</t>
  </si>
  <si>
    <t>34.735114664422476</t>
  </si>
  <si>
    <t>46.39023774458248</t>
  </si>
  <si>
    <t>33.94740164106878</t>
  </si>
  <si>
    <t>chr_0024_deepfin_28</t>
  </si>
  <si>
    <t>61.95792131285506</t>
  </si>
  <si>
    <t>35.70629076372818</t>
  </si>
  <si>
    <t>47.6510835261941</t>
  </si>
  <si>
    <t>34.83673469387753</t>
  </si>
  <si>
    <t>chr_0024_deepfin_29</t>
  </si>
  <si>
    <t>63.50810014727544</t>
  </si>
  <si>
    <t>36.67746686303388</t>
  </si>
  <si>
    <t>48.91192930780572</t>
  </si>
  <si>
    <t>35.72606774668628</t>
  </si>
  <si>
    <t>chr_0024_deepfin_30</t>
  </si>
  <si>
    <t>65.0582789816958</t>
  </si>
  <si>
    <t>37.64864296233958</t>
  </si>
  <si>
    <t>50.172775089417335</t>
  </si>
  <si>
    <t>36.61540079949504</t>
  </si>
  <si>
    <t>chr_0024_deepfin_31</t>
  </si>
  <si>
    <t>66.60845781611617</t>
  </si>
  <si>
    <t>38.61981906164528</t>
  </si>
  <si>
    <t>51.43362087102896</t>
  </si>
  <si>
    <t>37.504733852303794</t>
  </si>
  <si>
    <t>chr_0024_deepfin_32</t>
  </si>
  <si>
    <t>68.15863665053654</t>
  </si>
  <si>
    <t>39.59099516095098</t>
  </si>
  <si>
    <t>52.69446665264057</t>
  </si>
  <si>
    <t>38.394066905112545</t>
  </si>
  <si>
    <t>chr_0024_deepfin_33</t>
  </si>
  <si>
    <t>69.7088154849569</t>
  </si>
  <si>
    <t>40.56217126025668</t>
  </si>
  <si>
    <t>53.95531243425219</t>
  </si>
  <si>
    <t>39.2833999579213</t>
  </si>
  <si>
    <t>chr_0024_deepfin_34</t>
  </si>
  <si>
    <t>71.25899431937727</t>
  </si>
  <si>
    <t>41.533347359562384</t>
  </si>
  <si>
    <t>55.216158215863814</t>
  </si>
  <si>
    <t>40.17273301073005</t>
  </si>
  <si>
    <t>chr_0024_deepfin_35</t>
  </si>
  <si>
    <t>72.80917315379763</t>
  </si>
  <si>
    <t>42.504523458868086</t>
  </si>
  <si>
    <t>56.47700399747543</t>
  </si>
  <si>
    <t>41.06206606353881</t>
  </si>
  <si>
    <t>chr_0024_deepfin_36</t>
  </si>
  <si>
    <t>74.359351988218</t>
  </si>
  <si>
    <t>43.47569955817379</t>
  </si>
  <si>
    <t>57.73784977908705</t>
  </si>
  <si>
    <t>41.95139911634756</t>
  </si>
  <si>
    <t>chr_0024_deepfin_37</t>
  </si>
  <si>
    <t>75.90953082263836</t>
  </si>
  <si>
    <t>44.44687565747949</t>
  </si>
  <si>
    <t>58.998695560698664</t>
  </si>
  <si>
    <t>42.84073216915631</t>
  </si>
  <si>
    <t>chr_0024_deepfin_38</t>
  </si>
  <si>
    <t>77.45970965705872</t>
  </si>
  <si>
    <t>45.41805175678519</t>
  </si>
  <si>
    <t>60.259541342310285</t>
  </si>
  <si>
    <t>43.73006522196506</t>
  </si>
  <si>
    <t>chr_0024_deepfin_39</t>
  </si>
  <si>
    <t>79.00988849147909</t>
  </si>
  <si>
    <t>46.38922785609089</t>
  </si>
  <si>
    <t>61.52038712392191</t>
  </si>
  <si>
    <t>44.619398274773815</t>
  </si>
  <si>
    <t>chr_0024_deepfin_40</t>
  </si>
  <si>
    <t>80.56006732589945</t>
  </si>
  <si>
    <t>47.36040395539659</t>
  </si>
  <si>
    <t>62.78123290553352</t>
  </si>
  <si>
    <t>45.50873132758257</t>
  </si>
  <si>
    <r>
      <t>【闪冻锁鲜 Lv.2】附近有敌人被</t>
    </r>
    <r>
      <rPr>
        <b/>
        <u/>
        <sz val="11"/>
        <color rgb="FF30D6E0"/>
        <rFont val="宋体"/>
        <charset val="134"/>
      </rPr>
      <t>冻结</t>
    </r>
    <r>
      <rPr>
        <sz val="11"/>
        <color theme="1"/>
        <rFont val="宋体"/>
        <family val="2"/>
        <scheme val="minor"/>
      </rPr>
      <t>或被附着</t>
    </r>
    <r>
      <rPr>
        <b/>
        <u/>
        <sz val="11"/>
        <color rgb="FF33C2FF"/>
        <rFont val="宋体"/>
        <charset val="134"/>
      </rPr>
      <t>源石结晶</t>
    </r>
    <r>
      <rPr>
        <sz val="11"/>
        <color theme="1"/>
        <rFont val="宋体"/>
        <family val="2"/>
        <scheme val="minor"/>
      </rPr>
      <t>后，自身获得</t>
    </r>
    <r>
      <rPr>
        <b/>
        <sz val="11"/>
        <color rgb="FF9EB7FF"/>
        <rFont val="宋体"/>
        <charset val="134"/>
      </rPr>
      <t>4</t>
    </r>
    <r>
      <rPr>
        <sz val="11"/>
        <color theme="1"/>
        <rFont val="宋体"/>
        <family val="2"/>
        <scheme val="minor"/>
      </rPr>
      <t>点终结技能量。自身造成</t>
    </r>
    <r>
      <rPr>
        <b/>
        <u/>
        <sz val="11"/>
        <color rgb="FF30D6E0"/>
        <rFont val="宋体"/>
        <charset val="134"/>
      </rPr>
      <t>冻结</t>
    </r>
    <r>
      <rPr>
        <sz val="11"/>
        <color theme="1"/>
        <rFont val="宋体"/>
        <family val="2"/>
        <scheme val="minor"/>
      </rPr>
      <t>触发上述效果时，额外获得</t>
    </r>
    <r>
      <rPr>
        <b/>
        <sz val="11"/>
        <color rgb="FF9EB7FF"/>
        <rFont val="宋体"/>
        <charset val="134"/>
      </rPr>
      <t>8</t>
    </r>
    <r>
      <rPr>
        <sz val="11"/>
        <color theme="1"/>
        <rFont val="宋体"/>
        <family val="2"/>
        <scheme val="minor"/>
      </rPr>
      <t>点终结技能量。该效果每3秒内最多触发一次。</t>
    </r>
  </si>
  <si>
    <t>【钓鳞老手 Lv.1】每10点智识会使连携技凿孔底钓术钓起珍鳞的概率+0.2%，最多+30%。</t>
  </si>
  <si>
    <r>
      <t>【钓鳞老手 Lv.1】每</t>
    </r>
    <r>
      <rPr>
        <b/>
        <sz val="11"/>
        <color rgb="FF9EB7FF"/>
        <rFont val="宋体"/>
        <charset val="134"/>
      </rPr>
      <t>10</t>
    </r>
    <r>
      <rPr>
        <sz val="11"/>
        <color theme="1"/>
        <rFont val="宋体"/>
        <family val="2"/>
        <scheme val="minor"/>
      </rPr>
      <t>点智识会使连携技</t>
    </r>
    <r>
      <rPr>
        <b/>
        <sz val="11"/>
        <color rgb="FF33C2FF"/>
        <rFont val="宋体"/>
        <charset val="134"/>
      </rPr>
      <t>凿孔底钓术</t>
    </r>
    <r>
      <rPr>
        <sz val="11"/>
        <color theme="1"/>
        <rFont val="宋体"/>
        <family val="2"/>
        <scheme val="minor"/>
      </rPr>
      <t>钓起</t>
    </r>
    <r>
      <rPr>
        <b/>
        <sz val="11"/>
        <color rgb="FF33C2FF"/>
        <rFont val="宋体"/>
        <charset val="134"/>
      </rPr>
      <t>珍鳞</t>
    </r>
    <r>
      <rPr>
        <sz val="11"/>
        <color theme="1"/>
        <rFont val="宋体"/>
        <family val="2"/>
        <scheme val="minor"/>
      </rPr>
      <t>的概率</t>
    </r>
    <r>
      <rPr>
        <b/>
        <sz val="11"/>
        <color rgb="FF9EB7FF"/>
        <rFont val="宋体"/>
        <charset val="134"/>
      </rPr>
      <t>+0.2%</t>
    </r>
    <r>
      <rPr>
        <sz val="11"/>
        <color theme="1"/>
        <rFont val="宋体"/>
        <family val="2"/>
        <scheme val="minor"/>
      </rPr>
      <t>，最多</t>
    </r>
    <r>
      <rPr>
        <b/>
        <sz val="11"/>
        <color rgb="FF9EB7FF"/>
        <rFont val="宋体"/>
        <charset val="134"/>
      </rPr>
      <t>+30%</t>
    </r>
    <r>
      <rPr>
        <sz val="11"/>
        <color theme="1"/>
        <rFont val="宋体"/>
        <family val="2"/>
        <scheme val="minor"/>
      </rPr>
      <t>。</t>
    </r>
  </si>
  <si>
    <t>chr_0024_deepfin_41</t>
  </si>
  <si>
    <t>82.11024616031982</t>
  </si>
  <si>
    <t>48.33158005470229</t>
  </si>
  <si>
    <t>64.04207868714514</t>
  </si>
  <si>
    <t>46.398064380391325</t>
  </si>
  <si>
    <t>chr_0024_deepfin_42</t>
  </si>
  <si>
    <t>83.66042499474018</t>
  </si>
  <si>
    <t>49.302756154008</t>
  </si>
  <si>
    <t>65.30292446875676</t>
  </si>
  <si>
    <t>47.28739743320008</t>
  </si>
  <si>
    <t>chr_0024_deepfin_43</t>
  </si>
  <si>
    <t>85.21060382916056</t>
  </si>
  <si>
    <t>50.2739322533137</t>
  </si>
  <si>
    <t>66.56377025036838</t>
  </si>
  <si>
    <t>48.17673048600883</t>
  </si>
  <si>
    <t>chr_0024_deepfin_44</t>
  </si>
  <si>
    <t>86.76078266358093</t>
  </si>
  <si>
    <t>51.245108352619404</t>
  </si>
  <si>
    <t>67.82461603198</t>
  </si>
  <si>
    <t>49.06606353881758</t>
  </si>
  <si>
    <t>chr_0024_deepfin_45</t>
  </si>
  <si>
    <t>88.31096149800129</t>
  </si>
  <si>
    <t>52.216284451925105</t>
  </si>
  <si>
    <t>69.08546181359162</t>
  </si>
  <si>
    <t>49.95539659162633</t>
  </si>
  <si>
    <t>chr_0024_deepfin_46</t>
  </si>
  <si>
    <t>89.86114033242166</t>
  </si>
  <si>
    <t>53.18746055123081</t>
  </si>
  <si>
    <t>70.34630759520323</t>
  </si>
  <si>
    <t>50.844729644435084</t>
  </si>
  <si>
    <t>chr_0024_deepfin_47</t>
  </si>
  <si>
    <t>91.41131916684202</t>
  </si>
  <si>
    <t>54.15863665053651</t>
  </si>
  <si>
    <t>71.60715337681485</t>
  </si>
  <si>
    <t>51.73406269724384</t>
  </si>
  <si>
    <t>chr_0024_deepfin_48</t>
  </si>
  <si>
    <t>92.96149800126238</t>
  </si>
  <si>
    <t>55.12981274984221</t>
  </si>
  <si>
    <t>72.86799915842647</t>
  </si>
  <si>
    <t>52.623395750052595</t>
  </si>
  <si>
    <t>chr_0024_deepfin_49</t>
  </si>
  <si>
    <t>94.51167683568275</t>
  </si>
  <si>
    <t>56.10098884914791</t>
  </si>
  <si>
    <t>74.12884494003808</t>
  </si>
  <si>
    <t>53.512728802861346</t>
  </si>
  <si>
    <t>chr_0024_deepfin_50</t>
  </si>
  <si>
    <t>96.06185567010311</t>
  </si>
  <si>
    <t>57.07216494845361</t>
  </si>
  <si>
    <t>75.38969072164971</t>
  </si>
  <si>
    <t>54.4020618556701</t>
  </si>
  <si>
    <t>chr_0024_deepfin_51</t>
  </si>
  <si>
    <t>97.61203450452348</t>
  </si>
  <si>
    <t>58.04334104775931</t>
  </si>
  <si>
    <t>76.65053650326132</t>
  </si>
  <si>
    <t>55.29139490847885</t>
  </si>
  <si>
    <t>chr_0024_deepfin_52</t>
  </si>
  <si>
    <t>99.16221333894384</t>
  </si>
  <si>
    <t>59.014517147065014</t>
  </si>
  <si>
    <t>77.91138228487296</t>
  </si>
  <si>
    <t>56.18072796128761</t>
  </si>
  <si>
    <t>chr_0024_deepfin_53</t>
  </si>
  <si>
    <t>100.71239217336421</t>
  </si>
  <si>
    <t>59.985693246370715</t>
  </si>
  <si>
    <t>79.17222806648456</t>
  </si>
  <si>
    <t>57.07006101409636</t>
  </si>
  <si>
    <t>chr_0024_deepfin_54</t>
  </si>
  <si>
    <t>102.26257100778457</t>
  </si>
  <si>
    <t>60.95686934567642</t>
  </si>
  <si>
    <t>80.43307384809617</t>
  </si>
  <si>
    <t>57.95939406690511</t>
  </si>
  <si>
    <t>chr_0024_deepfin_55</t>
  </si>
  <si>
    <t>103.81274984220494</t>
  </si>
  <si>
    <t>61.92804544498212</t>
  </si>
  <si>
    <t>81.6939196297078</t>
  </si>
  <si>
    <t>58.848727119713864</t>
  </si>
  <si>
    <t>chr_0024_deepfin_56</t>
  </si>
  <si>
    <t>105.3629286766253</t>
  </si>
  <si>
    <t>62.89922154428782</t>
  </si>
  <si>
    <t>82.95476541131941</t>
  </si>
  <si>
    <t>59.738060172522616</t>
  </si>
  <si>
    <t>chr_0024_deepfin_57</t>
  </si>
  <si>
    <t>106.91310751104568</t>
  </si>
  <si>
    <t>63.87039764359353</t>
  </si>
  <si>
    <t>84.21561119293105</t>
  </si>
  <si>
    <t>60.62739322533137</t>
  </si>
  <si>
    <t>chr_0024_deepfin_58</t>
  </si>
  <si>
    <t>108.46328634546605</t>
  </si>
  <si>
    <t>64.84157374289923</t>
  </si>
  <si>
    <t>85.47645697454266</t>
  </si>
  <si>
    <t>61.516726278140126</t>
  </si>
  <si>
    <t>chr_0024_deepfin_59</t>
  </si>
  <si>
    <t>110.01346517988641</t>
  </si>
  <si>
    <t>65.81274984220494</t>
  </si>
  <si>
    <t>86.73730275615426</t>
  </si>
  <si>
    <t>62.40605933094888</t>
  </si>
  <si>
    <t>chr_0024_deepfin_60</t>
  </si>
  <si>
    <t>111.56364401430677</t>
  </si>
  <si>
    <t>66.78392594151063</t>
  </si>
  <si>
    <t>87.9981485377659</t>
  </si>
  <si>
    <t>63.29539238375763</t>
  </si>
  <si>
    <r>
      <t>【钓鳞老手 Lv.2】每</t>
    </r>
    <r>
      <rPr>
        <b/>
        <sz val="11"/>
        <color rgb="FF9EB7FF"/>
        <rFont val="宋体"/>
        <charset val="134"/>
      </rPr>
      <t>10</t>
    </r>
    <r>
      <rPr>
        <sz val="11"/>
        <color theme="1"/>
        <rFont val="宋体"/>
        <family val="2"/>
        <scheme val="minor"/>
      </rPr>
      <t>点智识会使连携技</t>
    </r>
    <r>
      <rPr>
        <b/>
        <sz val="11"/>
        <color rgb="FF33C2FF"/>
        <rFont val="宋体"/>
        <charset val="134"/>
      </rPr>
      <t>凿孔底钓术</t>
    </r>
    <r>
      <rPr>
        <sz val="11"/>
        <color theme="1"/>
        <rFont val="宋体"/>
        <family val="2"/>
        <scheme val="minor"/>
      </rPr>
      <t>钓起</t>
    </r>
    <r>
      <rPr>
        <b/>
        <sz val="11"/>
        <color rgb="FF33C2FF"/>
        <rFont val="宋体"/>
        <charset val="134"/>
      </rPr>
      <t>珍鳞</t>
    </r>
    <r>
      <rPr>
        <sz val="11"/>
        <color theme="1"/>
        <rFont val="宋体"/>
        <family val="2"/>
        <scheme val="minor"/>
      </rPr>
      <t>的概率</t>
    </r>
    <r>
      <rPr>
        <b/>
        <sz val="11"/>
        <color rgb="FF9EB7FF"/>
        <rFont val="宋体"/>
        <charset val="134"/>
      </rPr>
      <t>+0.5%</t>
    </r>
    <r>
      <rPr>
        <sz val="11"/>
        <color theme="1"/>
        <rFont val="宋体"/>
        <family val="2"/>
        <scheme val="minor"/>
      </rPr>
      <t>，最多</t>
    </r>
    <r>
      <rPr>
        <b/>
        <sz val="11"/>
        <color rgb="FF9EB7FF"/>
        <rFont val="宋体"/>
        <charset val="134"/>
      </rPr>
      <t>+30%</t>
    </r>
    <r>
      <rPr>
        <sz val="11"/>
        <color theme="1"/>
        <rFont val="宋体"/>
        <family val="2"/>
        <scheme val="minor"/>
      </rPr>
      <t>。</t>
    </r>
  </si>
  <si>
    <t>chr_0024_deepfin_61</t>
  </si>
  <si>
    <t>113.11382284872714</t>
  </si>
  <si>
    <t>67.75510204081634</t>
  </si>
  <si>
    <t>89.2589943193775</t>
  </si>
  <si>
    <t>64.18472543656638</t>
  </si>
  <si>
    <t>chr_0024_deepfin_62</t>
  </si>
  <si>
    <t>114.6640016831475</t>
  </si>
  <si>
    <t>68.72627814012203</t>
  </si>
  <si>
    <t>90.51984010098914</t>
  </si>
  <si>
    <t>65.07405848937513</t>
  </si>
  <si>
    <t>chr_0024_deepfin_63</t>
  </si>
  <si>
    <t>116.21418051756787</t>
  </si>
  <si>
    <t>69.69745423942774</t>
  </si>
  <si>
    <t>91.78068588260075</t>
  </si>
  <si>
    <t>65.9633915421839</t>
  </si>
  <si>
    <t>chr_0024_deepfin_64</t>
  </si>
  <si>
    <t>117.76435935198823</t>
  </si>
  <si>
    <t>70.66863033873344</t>
  </si>
  <si>
    <t>93.04153166421236</t>
  </si>
  <si>
    <t>66.85272459499265</t>
  </si>
  <si>
    <t>chr_0024_deepfin_65</t>
  </si>
  <si>
    <t>119.3145381864086</t>
  </si>
  <si>
    <t>71.63980643803914</t>
  </si>
  <si>
    <t>94.30237744582399</t>
  </si>
  <si>
    <t>67.7420576478014</t>
  </si>
  <si>
    <t>chr_0024_deepfin_66</t>
  </si>
  <si>
    <t>120.86471702082896</t>
  </si>
  <si>
    <t>72.61098253734484</t>
  </si>
  <si>
    <t>95.5632232274356</t>
  </si>
  <si>
    <t>68.63139070061015</t>
  </si>
  <si>
    <t>chr_0024_deepfin_67</t>
  </si>
  <si>
    <t>122.41489585524933</t>
  </si>
  <si>
    <t>73.58215863665055</t>
  </si>
  <si>
    <t>96.82406900904724</t>
  </si>
  <si>
    <t>69.5207237534189</t>
  </si>
  <si>
    <t>chr_0024_deepfin_68</t>
  </si>
  <si>
    <t>123.96507468966969</t>
  </si>
  <si>
    <t>74.55333473595626</t>
  </si>
  <si>
    <t>98.08491479065884</t>
  </si>
  <si>
    <t>70.41005680622766</t>
  </si>
  <si>
    <t>chr_0024_deepfin_69</t>
  </si>
  <si>
    <t>125.51525352409006</t>
  </si>
  <si>
    <t>75.52451083526195</t>
  </si>
  <si>
    <t>99.34576057227045</t>
  </si>
  <si>
    <t>71.29938985903641</t>
  </si>
  <si>
    <t>chr_0024_deepfin_70</t>
  </si>
  <si>
    <t>127.06543235851042</t>
  </si>
  <si>
    <t>76.49568693456766</t>
  </si>
  <si>
    <t>100.60660635388209</t>
  </si>
  <si>
    <t>72.18872291184516</t>
  </si>
  <si>
    <t>chr_0024_deepfin_71</t>
  </si>
  <si>
    <t>128.61561119293077</t>
  </si>
  <si>
    <t>77.46686303387335</t>
  </si>
  <si>
    <t>101.86745213549369</t>
  </si>
  <si>
    <t>73.07805596465391</t>
  </si>
  <si>
    <t>chr_0024_deepfin_72</t>
  </si>
  <si>
    <t>130.16579002735114</t>
  </si>
  <si>
    <t>78.43803913317906</t>
  </si>
  <si>
    <t>103.12829791710533</t>
  </si>
  <si>
    <t>73.96738901746266</t>
  </si>
  <si>
    <t>chr_0024_deepfin_73</t>
  </si>
  <si>
    <t>131.7159688617715</t>
  </si>
  <si>
    <t>79.40921523248475</t>
  </si>
  <si>
    <t>104.38914369871694</t>
  </si>
  <si>
    <t>74.85672207027143</t>
  </si>
  <si>
    <t>chr_0024_deepfin_74</t>
  </si>
  <si>
    <t>133.2661476961919</t>
  </si>
  <si>
    <t>80.38039133179046</t>
  </si>
  <si>
    <t>105.64998948032854</t>
  </si>
  <si>
    <t>75.74605512308018</t>
  </si>
  <si>
    <t>chr_0024_deepfin_75</t>
  </si>
  <si>
    <t>134.81632653061226</t>
  </si>
  <si>
    <t>81.35156743109616</t>
  </si>
  <si>
    <t>106.91083526194018</t>
  </si>
  <si>
    <t>76.63538817588893</t>
  </si>
  <si>
    <t>chr_0024_deepfin_76</t>
  </si>
  <si>
    <t>136.36650536503262</t>
  </si>
  <si>
    <t>82.32274353040187</t>
  </si>
  <si>
    <t>108.17168104355179</t>
  </si>
  <si>
    <t>77.52472122869769</t>
  </si>
  <si>
    <t>chr_0024_deepfin_77</t>
  </si>
  <si>
    <t>137.916684199453</t>
  </si>
  <si>
    <t>83.29391962970756</t>
  </si>
  <si>
    <t>109.43252682516342</t>
  </si>
  <si>
    <t>78.41405428150644</t>
  </si>
  <si>
    <t>chr_0024_deepfin_78</t>
  </si>
  <si>
    <t>139.46686303387335</t>
  </si>
  <si>
    <t>84.26509572901327</t>
  </si>
  <si>
    <t>110.69337260677503</t>
  </si>
  <si>
    <t>79.30338733431519</t>
  </si>
  <si>
    <t>chr_0024_deepfin_79</t>
  </si>
  <si>
    <t>141.01704186829372</t>
  </si>
  <si>
    <t>85.23627182831896</t>
  </si>
  <si>
    <t>111.95421838838664</t>
  </si>
  <si>
    <t>80.19272038712394</t>
  </si>
  <si>
    <t>chr_0024_deepfin_80</t>
  </si>
  <si>
    <t>142.56722070271408</t>
  </si>
  <si>
    <t>86.20744792762467</t>
  </si>
  <si>
    <t>113.21506416999827</t>
  </si>
  <si>
    <t>81.0820534399327</t>
  </si>
  <si>
    <t>chr_0024_deepfin_81</t>
  </si>
  <si>
    <t>144.11739953713445</t>
  </si>
  <si>
    <t>87.17862402693036</t>
  </si>
  <si>
    <t>114.47590995160988</t>
  </si>
  <si>
    <t>81.97138649274146</t>
  </si>
  <si>
    <t>chr_0024_deepfin_82</t>
  </si>
  <si>
    <t>145.6675783715548</t>
  </si>
  <si>
    <t>88.14980012623607</t>
  </si>
  <si>
    <t>115.73675573322151</t>
  </si>
  <si>
    <t>82.86071954555021</t>
  </si>
  <si>
    <t>chr_0024_deepfin_83</t>
  </si>
  <si>
    <t>147.21775720597518</t>
  </si>
  <si>
    <t>89.12097622554178</t>
  </si>
  <si>
    <t>116.99760151483312</t>
  </si>
  <si>
    <t>83.75005259835896</t>
  </si>
  <si>
    <t>chr_0024_deepfin_84</t>
  </si>
  <si>
    <t>148.76793604039554</t>
  </si>
  <si>
    <t>90.09215232484748</t>
  </si>
  <si>
    <t>118.25844729644473</t>
  </si>
  <si>
    <t>84.63938565116771</t>
  </si>
  <si>
    <t>chr_0024_deepfin_85</t>
  </si>
  <si>
    <t>150.3181148748159</t>
  </si>
  <si>
    <t>91.06332842415318</t>
  </si>
  <si>
    <t>119.51929307805636</t>
  </si>
  <si>
    <t>85.52871870397647</t>
  </si>
  <si>
    <t>chr_0024_deepfin_86</t>
  </si>
  <si>
    <t>151.86829370923627</t>
  </si>
  <si>
    <t>92.03450452345888</t>
  </si>
  <si>
    <t>120.78013885966797</t>
  </si>
  <si>
    <t>86.41805175678522</t>
  </si>
  <si>
    <t>chr_0024_deepfin_87</t>
  </si>
  <si>
    <t>153.41847254365663</t>
  </si>
  <si>
    <t>93.00568062276459</t>
  </si>
  <si>
    <t>122.0409846412796</t>
  </si>
  <si>
    <t>87.30738480959397</t>
  </si>
  <si>
    <t>chr_0024_deepfin_88</t>
  </si>
  <si>
    <t>154.968651378077</t>
  </si>
  <si>
    <t>93.97685672207028</t>
  </si>
  <si>
    <t>123.30183042289121</t>
  </si>
  <si>
    <t>88.19671786240272</t>
  </si>
  <si>
    <t>chr_0024_deepfin_89</t>
  </si>
  <si>
    <t>156.51883021249736</t>
  </si>
  <si>
    <t>94.94803282137599</t>
  </si>
  <si>
    <t>124.56267620450282</t>
  </si>
  <si>
    <t>89.08605091521147</t>
  </si>
  <si>
    <t>chr_0024_deepfin_90</t>
  </si>
  <si>
    <t>158.06900904691773</t>
  </si>
  <si>
    <t>95.91920892068168</t>
  </si>
  <si>
    <t>125.82352198611446</t>
  </si>
  <si>
    <t>89.97538396802022</t>
  </si>
  <si>
    <t>chr_0024_deepfin_91</t>
  </si>
  <si>
    <t>159.6191878813381</t>
  </si>
  <si>
    <t>96.89038501998739</t>
  </si>
  <si>
    <t>127.08436776772606</t>
  </si>
  <si>
    <t>90.86471702082898</t>
  </si>
  <si>
    <t>chr_0024_deepfin_92</t>
  </si>
  <si>
    <t>161.16936671575846</t>
  </si>
  <si>
    <t>97.86156111929309</t>
  </si>
  <si>
    <t>128.3452135493377</t>
  </si>
  <si>
    <t>91.75405007363774</t>
  </si>
  <si>
    <t>chr_0024_deepfin_93</t>
  </si>
  <si>
    <t>162.71954555017882</t>
  </si>
  <si>
    <t>98.8327372185988</t>
  </si>
  <si>
    <t>129.6060593309493</t>
  </si>
  <si>
    <t>92.6433831264465</t>
  </si>
  <si>
    <t>chr_0024_deepfin_94</t>
  </si>
  <si>
    <t>164.2697243845992</t>
  </si>
  <si>
    <t>99.80391331790449</t>
  </si>
  <si>
    <t>130.86690511256091</t>
  </si>
  <si>
    <t>93.53271617925525</t>
  </si>
  <si>
    <t>chr_0024_deepfin_95</t>
  </si>
  <si>
    <t>165.81990321901955</t>
  </si>
  <si>
    <t>100.7750894172102</t>
  </si>
  <si>
    <t>132.12775089417255</t>
  </si>
  <si>
    <t>94.422049232064</t>
  </si>
  <si>
    <t>chr_0024_deepfin_96</t>
  </si>
  <si>
    <t>167.37008205343992</t>
  </si>
  <si>
    <t>101.74626551651589</t>
  </si>
  <si>
    <t>133.38859667578416</t>
  </si>
  <si>
    <t>95.31138228487275</t>
  </si>
  <si>
    <t>chr_0024_deepfin_97</t>
  </si>
  <si>
    <t>168.92026088786028</t>
  </si>
  <si>
    <t>102.7174416158216</t>
  </si>
  <si>
    <t>134.64944245739576</t>
  </si>
  <si>
    <t>96.2007153376815</t>
  </si>
  <si>
    <t>chr_0024_deepfin_98</t>
  </si>
  <si>
    <t>170.47043972228064</t>
  </si>
  <si>
    <t>103.68861771512731</t>
  </si>
  <si>
    <t>135.9102882390074</t>
  </si>
  <si>
    <t>97.09004839049025</t>
  </si>
  <si>
    <t>chr_0024_deepfin_99</t>
  </si>
  <si>
    <t>172.020618556701</t>
  </si>
  <si>
    <t>104.659793814433</t>
  </si>
  <si>
    <t>137.171134020619</t>
  </si>
  <si>
    <t>chr_0016_laevat_1</t>
  </si>
  <si>
    <t>chr_0016_laevat</t>
  </si>
  <si>
    <t>莱万汀</t>
  </si>
  <si>
    <t>Laevatain</t>
  </si>
  <si>
    <t>大量伤害, 燃烧</t>
  </si>
  <si>
    <t>9.58762886597938</t>
  </si>
  <si>
    <t>22.2680412371134</t>
  </si>
  <si>
    <r>
      <t>【熔火之心】战技</t>
    </r>
    <r>
      <rPr>
        <b/>
        <sz val="11"/>
        <color rgb="FF33C2FF"/>
        <rFont val="宋体"/>
        <charset val="134"/>
      </rPr>
      <t>焚灭</t>
    </r>
    <r>
      <rPr>
        <sz val="11"/>
        <color theme="1"/>
        <rFont val="宋体"/>
        <family val="2"/>
        <scheme val="minor"/>
      </rPr>
      <t>的追加攻击的伤害倍率提升至原本的</t>
    </r>
    <r>
      <rPr>
        <b/>
        <sz val="11"/>
        <color rgb="FF9EB7FF"/>
        <rFont val="宋体"/>
        <charset val="134"/>
      </rPr>
      <t>1.2</t>
    </r>
    <r>
      <rPr>
        <sz val="11"/>
        <color theme="1"/>
        <rFont val="宋体"/>
        <family val="2"/>
        <scheme val="minor"/>
      </rPr>
      <t>倍，且命中后</t>
    </r>
    <r>
      <rPr>
        <u/>
        <sz val="11"/>
        <rFont val="宋体"/>
        <charset val="134"/>
      </rPr>
      <t>返还</t>
    </r>
    <r>
      <rPr>
        <b/>
        <sz val="11"/>
        <color rgb="FF9EB7FF"/>
        <rFont val="宋体"/>
        <charset val="134"/>
      </rPr>
      <t>20</t>
    </r>
    <r>
      <rPr>
        <sz val="11"/>
        <color theme="1"/>
        <rFont val="宋体"/>
        <family val="2"/>
        <scheme val="minor"/>
      </rPr>
      <t>点技力。</t>
    </r>
  </si>
  <si>
    <r>
      <t>【追忆之旅】智识</t>
    </r>
    <r>
      <rPr>
        <b/>
        <sz val="11"/>
        <color rgb="FF9EB7FF"/>
        <rFont val="宋体"/>
        <charset val="134"/>
      </rPr>
      <t>+20</t>
    </r>
    <r>
      <rPr>
        <sz val="11"/>
        <color theme="1"/>
        <rFont val="宋体"/>
        <family val="2"/>
        <scheme val="minor"/>
      </rPr>
      <t>，普通攻击伤害</t>
    </r>
    <r>
      <rPr>
        <b/>
        <sz val="11"/>
        <color rgb="FF9EB7FF"/>
        <rFont val="宋体"/>
        <charset val="134"/>
      </rPr>
      <t>+15%</t>
    </r>
    <r>
      <rPr>
        <sz val="11"/>
        <color theme="1"/>
        <rFont val="宋体"/>
        <family val="2"/>
        <scheme val="minor"/>
      </rPr>
      <t>。</t>
    </r>
  </si>
  <si>
    <r>
      <t>【往事碎片】战技</t>
    </r>
    <r>
      <rPr>
        <b/>
        <sz val="11"/>
        <color rgb="FF33C2FF"/>
        <rFont val="宋体"/>
        <charset val="134"/>
      </rPr>
      <t>焚灭</t>
    </r>
    <r>
      <rPr>
        <sz val="11"/>
        <color theme="1"/>
        <rFont val="宋体"/>
        <family val="2"/>
        <scheme val="minor"/>
      </rPr>
      <t>造成的</t>
    </r>
    <r>
      <rPr>
        <b/>
        <u/>
        <sz val="11"/>
        <color rgb="FFFF8E59"/>
        <rFont val="宋体"/>
        <charset val="134"/>
      </rPr>
      <t>燃烧</t>
    </r>
    <r>
      <rPr>
        <sz val="11"/>
        <color theme="1"/>
        <rFont val="宋体"/>
        <family val="2"/>
        <scheme val="minor"/>
      </rPr>
      <t>持续时间</t>
    </r>
    <r>
      <rPr>
        <b/>
        <sz val="11"/>
        <color rgb="FF9EB7FF"/>
        <rFont val="宋体"/>
        <charset val="134"/>
      </rPr>
      <t>+50%</t>
    </r>
    <r>
      <rPr>
        <sz val="11"/>
        <color theme="1"/>
        <rFont val="宋体"/>
        <family val="2"/>
        <scheme val="minor"/>
      </rPr>
      <t>，且</t>
    </r>
    <r>
      <rPr>
        <b/>
        <u/>
        <sz val="11"/>
        <color rgb="FFFF8E59"/>
        <rFont val="宋体"/>
        <charset val="134"/>
      </rPr>
      <t>燃烧</t>
    </r>
    <r>
      <rPr>
        <sz val="11"/>
        <color theme="1"/>
        <rFont val="宋体"/>
        <family val="2"/>
        <scheme val="minor"/>
      </rPr>
      <t>的伤害提升至原本的</t>
    </r>
    <r>
      <rPr>
        <b/>
        <sz val="11"/>
        <color rgb="FF9EB7FF"/>
        <rFont val="宋体"/>
        <charset val="134"/>
      </rPr>
      <t>1.5</t>
    </r>
    <r>
      <rPr>
        <sz val="11"/>
        <color theme="1"/>
        <rFont val="宋体"/>
        <family val="2"/>
        <scheme val="minor"/>
      </rPr>
      <t>倍。</t>
    </r>
  </si>
  <si>
    <r>
      <t>【冰淇淋熔炉】终结技</t>
    </r>
    <r>
      <rPr>
        <b/>
        <sz val="11"/>
        <color rgb="FF33C2FF"/>
        <rFont val="宋体"/>
        <charset val="134"/>
      </rPr>
      <t>黄昏</t>
    </r>
    <r>
      <rPr>
        <sz val="11"/>
        <color theme="1"/>
        <rFont val="宋体"/>
        <family val="2"/>
        <scheme val="minor"/>
      </rPr>
      <t>所需的终结技能量</t>
    </r>
    <r>
      <rPr>
        <b/>
        <sz val="11"/>
        <color rgb="FF9EB7FF"/>
        <rFont val="宋体"/>
        <charset val="134"/>
      </rPr>
      <t>-15%</t>
    </r>
    <r>
      <rPr>
        <sz val="11"/>
        <color theme="1"/>
        <rFont val="宋体"/>
        <family val="2"/>
        <scheme val="minor"/>
      </rPr>
      <t>。</t>
    </r>
  </si>
  <si>
    <r>
      <t>【存在的证明】终结技</t>
    </r>
    <r>
      <rPr>
        <b/>
        <sz val="11"/>
        <color rgb="FF33C2FF"/>
        <rFont val="宋体"/>
        <charset val="134"/>
      </rPr>
      <t>黄昏</t>
    </r>
    <r>
      <rPr>
        <sz val="11"/>
        <color theme="1"/>
        <rFont val="宋体"/>
        <family val="2"/>
        <scheme val="minor"/>
      </rPr>
      <t>的强化普通攻击的伤害倍率提升至原本的</t>
    </r>
    <r>
      <rPr>
        <b/>
        <sz val="11"/>
        <color rgb="FF9EB7FF"/>
        <rFont val="宋体"/>
        <charset val="134"/>
      </rPr>
      <t>1.2</t>
    </r>
    <r>
      <rPr>
        <sz val="11"/>
        <color theme="1"/>
        <rFont val="宋体"/>
        <family val="2"/>
        <scheme val="minor"/>
      </rPr>
      <t>倍，且终结技期间，莱万汀每击败一个敌人，终结技的持续时间</t>
    </r>
    <r>
      <rPr>
        <b/>
        <sz val="11"/>
        <color rgb="FF9EB7FF"/>
        <rFont val="宋体"/>
        <charset val="134"/>
      </rPr>
      <t>+1</t>
    </r>
    <r>
      <rPr>
        <sz val="11"/>
        <color theme="1"/>
        <rFont val="宋体"/>
        <family val="2"/>
        <scheme val="minor"/>
      </rPr>
      <t>秒。（最多</t>
    </r>
    <r>
      <rPr>
        <b/>
        <sz val="11"/>
        <color rgb="FF9EB7FF"/>
        <rFont val="宋体"/>
        <charset val="134"/>
      </rPr>
      <t>+7</t>
    </r>
    <r>
      <rPr>
        <sz val="11"/>
        <color theme="1"/>
        <rFont val="宋体"/>
        <family val="2"/>
        <scheme val="minor"/>
      </rPr>
      <t>秒）</t>
    </r>
  </si>
  <si>
    <t>chr_0016_laevat_2</t>
  </si>
  <si>
    <t>14.819103723963803</t>
  </si>
  <si>
    <t>10.603197980223019</t>
  </si>
  <si>
    <t>24.017673048600887</t>
  </si>
  <si>
    <t>chr_0016_laevat_3</t>
  </si>
  <si>
    <t>16.029960025247206</t>
  </si>
  <si>
    <t>11.618767094466657</t>
  </si>
  <si>
    <t>25.767304860088373</t>
  </si>
  <si>
    <t>chr_0016_laevat_4</t>
  </si>
  <si>
    <t>17.240816326530613</t>
  </si>
  <si>
    <t>12.634336208710296</t>
  </si>
  <si>
    <t>27.516936671575856</t>
  </si>
  <si>
    <t>chr_0016_laevat_5</t>
  </si>
  <si>
    <t>18.451672627814016</t>
  </si>
  <si>
    <t>13.649905322953934</t>
  </si>
  <si>
    <t>29.266568483063345</t>
  </si>
  <si>
    <t>chr_0016_laevat_6</t>
  </si>
  <si>
    <t>19.66252892909742</t>
  </si>
  <si>
    <t>14.665474437197574</t>
  </si>
  <si>
    <t>31.016200294550828</t>
  </si>
  <si>
    <t>chr_0016_laevat_7</t>
  </si>
  <si>
    <t>20.873385230380826</t>
  </si>
  <si>
    <t>15.681043551441213</t>
  </si>
  <si>
    <t>32.76583210603832</t>
  </si>
  <si>
    <t>chr_0016_laevat_8</t>
  </si>
  <si>
    <t>22.08424153166423</t>
  </si>
  <si>
    <t>16.696612665684853</t>
  </si>
  <si>
    <t>34.5154639175258</t>
  </si>
  <si>
    <t>chr_0016_laevat_9</t>
  </si>
  <si>
    <t>23.295097832947633</t>
  </si>
  <si>
    <t>17.712181779928493</t>
  </si>
  <si>
    <t>36.26509572901328</t>
  </si>
  <si>
    <t>chr_0016_laevat_10</t>
  </si>
  <si>
    <t>24.505954134231036</t>
  </si>
  <si>
    <t>18.727750894172132</t>
  </si>
  <si>
    <t>38.01472754050077</t>
  </si>
  <si>
    <t>chr_0016_laevat_11</t>
  </si>
  <si>
    <t>25.71681043551444</t>
  </si>
  <si>
    <t>19.74332000841577</t>
  </si>
  <si>
    <t>39.76435935198826</t>
  </si>
  <si>
    <t>chr_0016_laevat_12</t>
  </si>
  <si>
    <t>26.927666736797846</t>
  </si>
  <si>
    <t>20.758889122659408</t>
  </si>
  <si>
    <t>41.513991163475744</t>
  </si>
  <si>
    <t>chr_0016_laevat_13</t>
  </si>
  <si>
    <t>28.13852303808125</t>
  </si>
  <si>
    <t>21.774458236903047</t>
  </si>
  <si>
    <t>43.263622974963226</t>
  </si>
  <si>
    <t>chr_0016_laevat_14</t>
  </si>
  <si>
    <t>29.349379339364653</t>
  </si>
  <si>
    <t>22.790027351146684</t>
  </si>
  <si>
    <t>45.013254786450716</t>
  </si>
  <si>
    <t>chr_0016_laevat_15</t>
  </si>
  <si>
    <t>30.56023564064806</t>
  </si>
  <si>
    <t>23.805596465390323</t>
  </si>
  <si>
    <t>46.7628865979382</t>
  </si>
  <si>
    <t>chr_0016_laevat_16</t>
  </si>
  <si>
    <t>31.771091941931463</t>
  </si>
  <si>
    <t>24.821165579633963</t>
  </si>
  <si>
    <t>48.51251840942568</t>
  </si>
  <si>
    <t>chr_0016_laevat_17</t>
  </si>
  <si>
    <t>32.981948243214866</t>
  </si>
  <si>
    <t>25.836734693877602</t>
  </si>
  <si>
    <t>50.26215022091317</t>
  </si>
  <si>
    <t>chr_0016_laevat_18</t>
  </si>
  <si>
    <t>34.19280454449827</t>
  </si>
  <si>
    <t>26.852303808121242</t>
  </si>
  <si>
    <t>52.01178203240066</t>
  </si>
  <si>
    <t>chr_0016_laevat_19</t>
  </si>
  <si>
    <t>35.40366084578167</t>
  </si>
  <si>
    <t>27.86787292236488</t>
  </si>
  <si>
    <t>53.76141384388814</t>
  </si>
  <si>
    <t>chr_0016_laevat_20</t>
  </si>
  <si>
    <t>36.61451714706508</t>
  </si>
  <si>
    <t>28.883442036608518</t>
  </si>
  <si>
    <t>55.511045655375625</t>
  </si>
  <si>
    <t>【灼心 Lv.1】主控干员重击或处决命中后，莱万汀会吸收周围敌人的灼热附着。每吸收一层灼热附着，自身获得一层熔火，最多叠加4层。达到4层后，莱万汀造成的伤害无视敌人10点灼热抗性，持续20秒。附近敌人被击败时，身上的灼热附着也会被吸收。</t>
  </si>
  <si>
    <r>
      <t>【灼心 Lv.1】主控干员</t>
    </r>
    <r>
      <rPr>
        <u/>
        <sz val="11"/>
        <rFont val="宋体"/>
        <charset val="134"/>
      </rPr>
      <t>重击</t>
    </r>
    <r>
      <rPr>
        <sz val="11"/>
        <color theme="1"/>
        <rFont val="宋体"/>
        <family val="2"/>
        <scheme val="minor"/>
      </rPr>
      <t>或处决命中后，莱万汀会吸收周围敌人的</t>
    </r>
    <r>
      <rPr>
        <b/>
        <u/>
        <sz val="11"/>
        <color rgb="FFFF8E59"/>
        <rFont val="宋体"/>
        <charset val="134"/>
      </rPr>
      <t>灼热附着</t>
    </r>
    <r>
      <rPr>
        <sz val="11"/>
        <color theme="1"/>
        <rFont val="宋体"/>
        <family val="2"/>
        <scheme val="minor"/>
      </rPr>
      <t>。每吸收一层</t>
    </r>
    <r>
      <rPr>
        <b/>
        <u/>
        <sz val="11"/>
        <color rgb="FFFF8E59"/>
        <rFont val="宋体"/>
        <charset val="134"/>
      </rPr>
      <t>灼热附着</t>
    </r>
    <r>
      <rPr>
        <sz val="11"/>
        <color theme="1"/>
        <rFont val="宋体"/>
        <family val="2"/>
        <scheme val="minor"/>
      </rPr>
      <t>，自身获得一层</t>
    </r>
    <r>
      <rPr>
        <b/>
        <sz val="11"/>
        <color rgb="FF33C2FF"/>
        <rFont val="宋体"/>
        <charset val="134"/>
      </rPr>
      <t>熔火</t>
    </r>
    <r>
      <rPr>
        <sz val="11"/>
        <color theme="1"/>
        <rFont val="宋体"/>
        <family val="2"/>
        <scheme val="minor"/>
      </rPr>
      <t>，最多叠加4层。达到4层后，莱万汀造成的伤害无视敌人</t>
    </r>
    <r>
      <rPr>
        <b/>
        <sz val="11"/>
        <color rgb="FF9EB7FF"/>
        <rFont val="宋体"/>
        <charset val="134"/>
      </rPr>
      <t>10</t>
    </r>
    <r>
      <rPr>
        <sz val="11"/>
        <color theme="1"/>
        <rFont val="宋体"/>
        <family val="2"/>
        <scheme val="minor"/>
      </rPr>
      <t>点</t>
    </r>
    <r>
      <rPr>
        <b/>
        <sz val="11"/>
        <color rgb="FFFF8E59"/>
        <rFont val="宋体"/>
        <charset val="134"/>
      </rPr>
      <t>灼热抗性</t>
    </r>
    <r>
      <rPr>
        <sz val="11"/>
        <color theme="1"/>
        <rFont val="宋体"/>
        <family val="2"/>
        <scheme val="minor"/>
      </rPr>
      <t>，持续20秒。</t>
    </r>
    <r>
      <rPr>
        <b/>
        <sz val="11"/>
        <color rgb="FF999999"/>
        <rFont val="宋体"/>
        <charset val="134"/>
      </rPr>
      <t>附近敌人被击败时，身上的灼热附着也会被吸收。</t>
    </r>
  </si>
  <si>
    <r>
      <t>【灼心 Lv.2】主控干员</t>
    </r>
    <r>
      <rPr>
        <u/>
        <sz val="11"/>
        <rFont val="宋体"/>
        <charset val="134"/>
      </rPr>
      <t>重击</t>
    </r>
    <r>
      <rPr>
        <sz val="11"/>
        <color theme="1"/>
        <rFont val="宋体"/>
        <family val="2"/>
        <scheme val="minor"/>
      </rPr>
      <t>或处决命中后，莱万汀会吸收周围敌人的</t>
    </r>
    <r>
      <rPr>
        <b/>
        <u/>
        <sz val="11"/>
        <color rgb="FFFF8E59"/>
        <rFont val="宋体"/>
        <charset val="134"/>
      </rPr>
      <t>灼热附着</t>
    </r>
    <r>
      <rPr>
        <sz val="11"/>
        <color theme="1"/>
        <rFont val="宋体"/>
        <family val="2"/>
        <scheme val="minor"/>
      </rPr>
      <t>。每吸收一层</t>
    </r>
    <r>
      <rPr>
        <b/>
        <u/>
        <sz val="11"/>
        <color rgb="FFFF8E59"/>
        <rFont val="宋体"/>
        <charset val="134"/>
      </rPr>
      <t>灼热附着</t>
    </r>
    <r>
      <rPr>
        <sz val="11"/>
        <color theme="1"/>
        <rFont val="宋体"/>
        <family val="2"/>
        <scheme val="minor"/>
      </rPr>
      <t>，自身获得一层</t>
    </r>
    <r>
      <rPr>
        <b/>
        <sz val="11"/>
        <color rgb="FF33C2FF"/>
        <rFont val="宋体"/>
        <charset val="134"/>
      </rPr>
      <t>熔火</t>
    </r>
    <r>
      <rPr>
        <sz val="11"/>
        <color theme="1"/>
        <rFont val="宋体"/>
        <family val="2"/>
        <scheme val="minor"/>
      </rPr>
      <t>，最多叠加4层。达到4层后，莱万汀造成的伤害无视敌人</t>
    </r>
    <r>
      <rPr>
        <b/>
        <sz val="11"/>
        <color rgb="FF9EB7FF"/>
        <rFont val="宋体"/>
        <charset val="134"/>
      </rPr>
      <t>15</t>
    </r>
    <r>
      <rPr>
        <sz val="11"/>
        <color theme="1"/>
        <rFont val="宋体"/>
        <family val="2"/>
        <scheme val="minor"/>
      </rPr>
      <t>点</t>
    </r>
    <r>
      <rPr>
        <b/>
        <sz val="11"/>
        <color rgb="FFFF8E59"/>
        <rFont val="宋体"/>
        <charset val="134"/>
      </rPr>
      <t>灼热抗性</t>
    </r>
    <r>
      <rPr>
        <sz val="11"/>
        <color theme="1"/>
        <rFont val="宋体"/>
        <family val="2"/>
        <scheme val="minor"/>
      </rPr>
      <t>，持续20秒。</t>
    </r>
    <r>
      <rPr>
        <b/>
        <sz val="11"/>
        <color rgb="FF999999"/>
        <rFont val="宋体"/>
        <charset val="134"/>
      </rPr>
      <t>附近敌人被击败时，身上的灼热附着也会被吸收。</t>
    </r>
  </si>
  <si>
    <t>chr_0016_laevat_21</t>
  </si>
  <si>
    <t>37.825373448348486</t>
  </si>
  <si>
    <t>29.899011150852157</t>
  </si>
  <si>
    <t>57.260677466863115</t>
  </si>
  <si>
    <t>chr_0016_laevat_22</t>
  </si>
  <si>
    <t>39.036229749631886</t>
  </si>
  <si>
    <t>30.914580265095797</t>
  </si>
  <si>
    <t>59.0103092783506</t>
  </si>
  <si>
    <t>chr_0016_laevat_23</t>
  </si>
  <si>
    <t>40.24708605091529</t>
  </si>
  <si>
    <t>31.930149379339436</t>
  </si>
  <si>
    <t>60.75994108983809</t>
  </si>
  <si>
    <t>chr_0016_laevat_24</t>
  </si>
  <si>
    <t>41.4579423521987</t>
  </si>
  <si>
    <t>32.94571849358307</t>
  </si>
  <si>
    <t>62.50957290132557</t>
  </si>
  <si>
    <t>chr_0016_laevat_25</t>
  </si>
  <si>
    <t>42.6687986534821</t>
  </si>
  <si>
    <t>33.96128760782672</t>
  </si>
  <si>
    <t>64.25920471281304</t>
  </si>
  <si>
    <t>chr_0016_laevat_26</t>
  </si>
  <si>
    <t>43.8796549547655</t>
  </si>
  <si>
    <t>34.97685672207035</t>
  </si>
  <si>
    <t>66.00883652430053</t>
  </si>
  <si>
    <t>chr_0016_laevat_27</t>
  </si>
  <si>
    <t>45.090511256048906</t>
  </si>
  <si>
    <t>35.99242583631399</t>
  </si>
  <si>
    <t>67.75846833578802</t>
  </si>
  <si>
    <t>chr_0016_laevat_28</t>
  </si>
  <si>
    <t>46.30136755733231</t>
  </si>
  <si>
    <t>37.00799495055763</t>
  </si>
  <si>
    <t>69.50810014727551</t>
  </si>
  <si>
    <t>chr_0016_laevat_29</t>
  </si>
  <si>
    <t>47.51222385861572</t>
  </si>
  <si>
    <t>38.02356406480127</t>
  </si>
  <si>
    <t>71.257731958763</t>
  </si>
  <si>
    <t>chr_0016_laevat_30</t>
  </si>
  <si>
    <t>48.72308015989912</t>
  </si>
  <si>
    <t>39.03913317904491</t>
  </si>
  <si>
    <t>73.00736377025049</t>
  </si>
  <si>
    <t>chr_0016_laevat_31</t>
  </si>
  <si>
    <t>49.933936461182526</t>
  </si>
  <si>
    <t>40.05470229328854</t>
  </si>
  <si>
    <t>74.75699558173797</t>
  </si>
  <si>
    <t>chr_0016_laevat_32</t>
  </si>
  <si>
    <t>51.144792762465926</t>
  </si>
  <si>
    <t>41.07027140753219</t>
  </si>
  <si>
    <t>76.50662739322546</t>
  </si>
  <si>
    <t>chr_0016_laevat_33</t>
  </si>
  <si>
    <t>52.35564906374933</t>
  </si>
  <si>
    <t>42.08584052177582</t>
  </si>
  <si>
    <t>78.25625920471293</t>
  </si>
  <si>
    <t>chr_0016_laevat_34</t>
  </si>
  <si>
    <t>53.56650536503274</t>
  </si>
  <si>
    <t>43.10140963601947</t>
  </si>
  <si>
    <t>80.00589101620042</t>
  </si>
  <si>
    <t>chr_0016_laevat_35</t>
  </si>
  <si>
    <t>54.77736166631614</t>
  </si>
  <si>
    <t>44.1169787502631</t>
  </si>
  <si>
    <t>81.75552282768791</t>
  </si>
  <si>
    <t>chr_0016_laevat_36</t>
  </si>
  <si>
    <t>55.988217967599546</t>
  </si>
  <si>
    <t>45.13254786450675</t>
  </si>
  <si>
    <t>83.5051546391754</t>
  </si>
  <si>
    <t>chr_0016_laevat_37</t>
  </si>
  <si>
    <t>57.199074268882946</t>
  </si>
  <si>
    <t>46.14811697875038</t>
  </si>
  <si>
    <t>85.25478645066289</t>
  </si>
  <si>
    <t>chr_0016_laevat_38</t>
  </si>
  <si>
    <t>58.40993057016635</t>
  </si>
  <si>
    <t>47.16368609299403</t>
  </si>
  <si>
    <t>87.00441826215038</t>
  </si>
  <si>
    <t>chr_0016_laevat_39</t>
  </si>
  <si>
    <t>59.62078687144976</t>
  </si>
  <si>
    <t>48.17925520723766</t>
  </si>
  <si>
    <t>88.75405007363784</t>
  </si>
  <si>
    <t>chr_0016_laevat_40</t>
  </si>
  <si>
    <t>60.83164317273316</t>
  </si>
  <si>
    <t>49.19482432148129</t>
  </si>
  <si>
    <t>90.50368188512533</t>
  </si>
  <si>
    <t>chr_0016_laevat_41</t>
  </si>
  <si>
    <t>62.042499474016566</t>
  </si>
  <si>
    <t>50.21039343572494</t>
  </si>
  <si>
    <t>92.25331369661282</t>
  </si>
  <si>
    <t>chr_0016_laevat_42</t>
  </si>
  <si>
    <t>63.25335577529997</t>
  </si>
  <si>
    <t>51.22596254996857</t>
  </si>
  <si>
    <t>94.00294550810031</t>
  </si>
  <si>
    <t>chr_0016_laevat_43</t>
  </si>
  <si>
    <t>64.46421207658338</t>
  </si>
  <si>
    <t>52.24153166421222</t>
  </si>
  <si>
    <t>95.7525773195878</t>
  </si>
  <si>
    <t>chr_0016_laevat_44</t>
  </si>
  <si>
    <t>65.67506837786678</t>
  </si>
  <si>
    <t>53.25710077845585</t>
  </si>
  <si>
    <t>97.50220913107529</t>
  </si>
  <si>
    <t>chr_0016_laevat_45</t>
  </si>
  <si>
    <t>66.88592467915018</t>
  </si>
  <si>
    <t>54.2726698926995</t>
  </si>
  <si>
    <t>99.25184094256278</t>
  </si>
  <si>
    <t>chr_0016_laevat_46</t>
  </si>
  <si>
    <t>68.09678098043358</t>
  </si>
  <si>
    <t>55.28823900694313</t>
  </si>
  <si>
    <t>101.00147275405024</t>
  </si>
  <si>
    <t>chr_0016_laevat_47</t>
  </si>
  <si>
    <t>69.30763728171699</t>
  </si>
  <si>
    <t>56.303808121186776</t>
  </si>
  <si>
    <t>102.75110456553773</t>
  </si>
  <si>
    <t>chr_0016_laevat_48</t>
  </si>
  <si>
    <t>70.51849358300039</t>
  </si>
  <si>
    <t>57.31937723543041</t>
  </si>
  <si>
    <t>104.50073637702522</t>
  </si>
  <si>
    <t>chr_0016_laevat_49</t>
  </si>
  <si>
    <t>71.7293498842838</t>
  </si>
  <si>
    <t>58.334946349674055</t>
  </si>
  <si>
    <t>106.25036818851271</t>
  </si>
  <si>
    <t>chr_0016_laevat_50</t>
  </si>
  <si>
    <t>72.9402061855672</t>
  </si>
  <si>
    <t>59.35051546391769</t>
  </si>
  <si>
    <t>108.0000000000002</t>
  </si>
  <si>
    <t>chr_0016_laevat_51</t>
  </si>
  <si>
    <t>74.1510624868506</t>
  </si>
  <si>
    <t>60.36608457816132</t>
  </si>
  <si>
    <t>109.74963181148769</t>
  </si>
  <si>
    <t>chr_0016_laevat_52</t>
  </si>
  <si>
    <t>75.361918788134</t>
  </si>
  <si>
    <t>61.38165369240497</t>
  </si>
  <si>
    <t>111.49926362297518</t>
  </si>
  <si>
    <t>chr_0016_laevat_53</t>
  </si>
  <si>
    <t>76.5727750894174</t>
  </si>
  <si>
    <t>62.3972228066486</t>
  </si>
  <si>
    <t>113.24889543446264</t>
  </si>
  <si>
    <t>chr_0016_laevat_54</t>
  </si>
  <si>
    <t>77.78363139070083</t>
  </si>
  <si>
    <t>63.412791920892246</t>
  </si>
  <si>
    <t>114.99852724595013</t>
  </si>
  <si>
    <t>chr_0016_laevat_55</t>
  </si>
  <si>
    <t>78.99448769198423</t>
  </si>
  <si>
    <t>64.42836103513588</t>
  </si>
  <si>
    <t>116.74815905743762</t>
  </si>
  <si>
    <t>chr_0016_laevat_56</t>
  </si>
  <si>
    <t>80.20534399326763</t>
  </si>
  <si>
    <t>65.44393014937953</t>
  </si>
  <si>
    <t>118.49779086892511</t>
  </si>
  <si>
    <t>chr_0016_laevat_57</t>
  </si>
  <si>
    <t>81.41620029455103</t>
  </si>
  <si>
    <t>66.45949926362316</t>
  </si>
  <si>
    <t>120.2474226804126</t>
  </si>
  <si>
    <t>chr_0016_laevat_58</t>
  </si>
  <si>
    <t>82.62705659583443</t>
  </si>
  <si>
    <t>67.4750683778668</t>
  </si>
  <si>
    <t>121.99705449190009</t>
  </si>
  <si>
    <t>chr_0016_laevat_59</t>
  </si>
  <si>
    <t>83.83791289711783</t>
  </si>
  <si>
    <t>68.49063749211044</t>
  </si>
  <si>
    <t>123.74668630338758</t>
  </si>
  <si>
    <t>chr_0016_laevat_60</t>
  </si>
  <si>
    <t>85.04876919840123</t>
  </si>
  <si>
    <t>69.50620660635407</t>
  </si>
  <si>
    <t>125.49631811487504</t>
  </si>
  <si>
    <r>
      <t>【灼心 Lv.3】主控干员</t>
    </r>
    <r>
      <rPr>
        <u/>
        <sz val="11"/>
        <rFont val="宋体"/>
        <charset val="134"/>
      </rPr>
      <t>重击</t>
    </r>
    <r>
      <rPr>
        <sz val="11"/>
        <color theme="1"/>
        <rFont val="宋体"/>
        <family val="2"/>
        <scheme val="minor"/>
      </rPr>
      <t>或处决命中后，莱万汀会吸收周围敌人的</t>
    </r>
    <r>
      <rPr>
        <b/>
        <u/>
        <sz val="11"/>
        <color rgb="FFFF8E59"/>
        <rFont val="宋体"/>
        <charset val="134"/>
      </rPr>
      <t>灼热附着</t>
    </r>
    <r>
      <rPr>
        <sz val="11"/>
        <color theme="1"/>
        <rFont val="宋体"/>
        <family val="2"/>
        <scheme val="minor"/>
      </rPr>
      <t>。每吸收一层</t>
    </r>
    <r>
      <rPr>
        <b/>
        <u/>
        <sz val="11"/>
        <color rgb="FFFF8E59"/>
        <rFont val="宋体"/>
        <charset val="134"/>
      </rPr>
      <t>灼热附着</t>
    </r>
    <r>
      <rPr>
        <sz val="11"/>
        <color theme="1"/>
        <rFont val="宋体"/>
        <family val="2"/>
        <scheme val="minor"/>
      </rPr>
      <t>，自身获得一层</t>
    </r>
    <r>
      <rPr>
        <b/>
        <sz val="11"/>
        <color rgb="FF33C2FF"/>
        <rFont val="宋体"/>
        <charset val="134"/>
      </rPr>
      <t>熔火</t>
    </r>
    <r>
      <rPr>
        <sz val="11"/>
        <color theme="1"/>
        <rFont val="宋体"/>
        <family val="2"/>
        <scheme val="minor"/>
      </rPr>
      <t>，最多叠加4层。达到4层后，莱万汀造成的伤害无视敌人</t>
    </r>
    <r>
      <rPr>
        <b/>
        <sz val="11"/>
        <color rgb="FF9EB7FF"/>
        <rFont val="宋体"/>
        <charset val="134"/>
      </rPr>
      <t>20</t>
    </r>
    <r>
      <rPr>
        <sz val="11"/>
        <color theme="1"/>
        <rFont val="宋体"/>
        <family val="2"/>
        <scheme val="minor"/>
      </rPr>
      <t>点</t>
    </r>
    <r>
      <rPr>
        <b/>
        <sz val="11"/>
        <color rgb="FFFF8E59"/>
        <rFont val="宋体"/>
        <charset val="134"/>
      </rPr>
      <t>灼热抗性</t>
    </r>
    <r>
      <rPr>
        <sz val="11"/>
        <color theme="1"/>
        <rFont val="宋体"/>
        <family val="2"/>
        <scheme val="minor"/>
      </rPr>
      <t>，持续20秒。</t>
    </r>
    <r>
      <rPr>
        <b/>
        <sz val="11"/>
        <color rgb="FF999999"/>
        <rFont val="宋体"/>
        <charset val="134"/>
      </rPr>
      <t>附近敌人被击败时，身上的灼热附着也会被吸收。</t>
    </r>
  </si>
  <si>
    <t>【复燃 Lv.1】当生命值低于40%时，获得90%庇护，并每秒回复5%最大生命值，持续4秒。该效果每120秒最多触发一次。</t>
  </si>
  <si>
    <r>
      <t>【复燃 Lv.1】当生命值低于40%时，获得</t>
    </r>
    <r>
      <rPr>
        <b/>
        <sz val="11"/>
        <color rgb="FF9EB7FF"/>
        <rFont val="宋体"/>
        <charset val="134"/>
      </rPr>
      <t>90%</t>
    </r>
    <r>
      <rPr>
        <b/>
        <u/>
        <sz val="11"/>
        <color rgb="FF33C2FF"/>
        <rFont val="宋体"/>
        <charset val="134"/>
      </rPr>
      <t>庇护</t>
    </r>
    <r>
      <rPr>
        <sz val="11"/>
        <color theme="1"/>
        <rFont val="宋体"/>
        <family val="2"/>
        <scheme val="minor"/>
      </rPr>
      <t>，并每秒回复</t>
    </r>
    <r>
      <rPr>
        <b/>
        <sz val="11"/>
        <color rgb="FFB4D945"/>
        <rFont val="宋体"/>
        <charset val="134"/>
      </rPr>
      <t>5%</t>
    </r>
    <r>
      <rPr>
        <sz val="11"/>
        <color theme="1"/>
        <rFont val="宋体"/>
        <family val="2"/>
        <scheme val="minor"/>
      </rPr>
      <t>最大生命值，持续</t>
    </r>
    <r>
      <rPr>
        <b/>
        <sz val="11"/>
        <color rgb="FF9EB7FF"/>
        <rFont val="宋体"/>
        <charset val="134"/>
      </rPr>
      <t>4</t>
    </r>
    <r>
      <rPr>
        <sz val="11"/>
        <color theme="1"/>
        <rFont val="宋体"/>
        <family val="2"/>
        <scheme val="minor"/>
      </rPr>
      <t>秒。该效果每120秒最多触发一次。</t>
    </r>
  </si>
  <si>
    <r>
      <t>【复燃 Lv.2】当生命值低于40%时，获得</t>
    </r>
    <r>
      <rPr>
        <b/>
        <sz val="11"/>
        <color rgb="FF9EB7FF"/>
        <rFont val="宋体"/>
        <charset val="134"/>
      </rPr>
      <t>90%</t>
    </r>
    <r>
      <rPr>
        <b/>
        <u/>
        <sz val="11"/>
        <color rgb="FF33C2FF"/>
        <rFont val="宋体"/>
        <charset val="134"/>
      </rPr>
      <t>庇护</t>
    </r>
    <r>
      <rPr>
        <sz val="11"/>
        <color theme="1"/>
        <rFont val="宋体"/>
        <family val="2"/>
        <scheme val="minor"/>
      </rPr>
      <t>，并每秒回复</t>
    </r>
    <r>
      <rPr>
        <b/>
        <sz val="11"/>
        <color rgb="FFB4D945"/>
        <rFont val="宋体"/>
        <charset val="134"/>
      </rPr>
      <t>5%</t>
    </r>
    <r>
      <rPr>
        <sz val="11"/>
        <color theme="1"/>
        <rFont val="宋体"/>
        <family val="2"/>
        <scheme val="minor"/>
      </rPr>
      <t>最大生命值，持续</t>
    </r>
    <r>
      <rPr>
        <b/>
        <sz val="11"/>
        <color rgb="FF9EB7FF"/>
        <rFont val="宋体"/>
        <charset val="134"/>
      </rPr>
      <t>8</t>
    </r>
    <r>
      <rPr>
        <sz val="11"/>
        <color theme="1"/>
        <rFont val="宋体"/>
        <family val="2"/>
        <scheme val="minor"/>
      </rPr>
      <t>秒。该效果每120秒最多触发一次。</t>
    </r>
  </si>
  <si>
    <t>chr_0016_laevat_61</t>
  </si>
  <si>
    <t>86.25962549968466</t>
  </si>
  <si>
    <t>70.52177572059772</t>
  </si>
  <si>
    <t>127.24594992636253</t>
  </si>
  <si>
    <t>chr_0016_laevat_62</t>
  </si>
  <si>
    <t>87.47048180096806</t>
  </si>
  <si>
    <t>71.53734483484135</t>
  </si>
  <si>
    <t>128.99558173785002</t>
  </si>
  <si>
    <t>chr_0016_laevat_63</t>
  </si>
  <si>
    <t>88.68133810225146</t>
  </si>
  <si>
    <t>72.552913949085</t>
  </si>
  <si>
    <t>130.7452135493375</t>
  </si>
  <si>
    <t>chr_0016_laevat_64</t>
  </si>
  <si>
    <t>89.89219440353486</t>
  </si>
  <si>
    <t>73.56848306332863</t>
  </si>
  <si>
    <t>132.494845360825</t>
  </si>
  <si>
    <t>chr_0016_laevat_65</t>
  </si>
  <si>
    <t>91.10305070481826</t>
  </si>
  <si>
    <t>74.58405217757227</t>
  </si>
  <si>
    <t>134.2444771723125</t>
  </si>
  <si>
    <t>chr_0016_laevat_66</t>
  </si>
  <si>
    <t>92.31390700610166</t>
  </si>
  <si>
    <t>75.59962129181591</t>
  </si>
  <si>
    <t>135.99410898379998</t>
  </si>
  <si>
    <t>chr_0016_laevat_67</t>
  </si>
  <si>
    <t>93.52476330738509</t>
  </si>
  <si>
    <t>76.61519040605955</t>
  </si>
  <si>
    <t>137.74374079528744</t>
  </si>
  <si>
    <t>chr_0016_laevat_68</t>
  </si>
  <si>
    <t>94.73561960866849</t>
  </si>
  <si>
    <t>77.63075952030319</t>
  </si>
  <si>
    <t>139.49337260677493</t>
  </si>
  <si>
    <t>chr_0016_laevat_69</t>
  </si>
  <si>
    <t>95.94647590995189</t>
  </si>
  <si>
    <t>78.64632863454683</t>
  </si>
  <si>
    <t>141.24300441826242</t>
  </si>
  <si>
    <t>chr_0016_laevat_70</t>
  </si>
  <si>
    <t>97.15733221123529</t>
  </si>
  <si>
    <t>79.66189774879047</t>
  </si>
  <si>
    <t>142.9926362297499</t>
  </si>
  <si>
    <t>chr_0016_laevat_71</t>
  </si>
  <si>
    <t>98.36818851251869</t>
  </si>
  <si>
    <t>80.67746686303411</t>
  </si>
  <si>
    <t>144.7422680412374</t>
  </si>
  <si>
    <t>chr_0016_laevat_72</t>
  </si>
  <si>
    <t>99.57904481380208</t>
  </si>
  <si>
    <t>81.69303597727775</t>
  </si>
  <si>
    <t>146.49189985272488</t>
  </si>
  <si>
    <t>chr_0016_laevat_73</t>
  </si>
  <si>
    <t>100.78990111508548</t>
  </si>
  <si>
    <t>82.70860509152139</t>
  </si>
  <si>
    <t>148.24153166421237</t>
  </si>
  <si>
    <t>chr_0016_laevat_74</t>
  </si>
  <si>
    <t>102.00075741636891</t>
  </si>
  <si>
    <t>83.72417420576502</t>
  </si>
  <si>
    <t>149.99116347569984</t>
  </si>
  <si>
    <t>chr_0016_laevat_75</t>
  </si>
  <si>
    <t>103.21161371765231</t>
  </si>
  <si>
    <t>84.73974332000867</t>
  </si>
  <si>
    <t>151.74079528718735</t>
  </si>
  <si>
    <t>chr_0016_laevat_76</t>
  </si>
  <si>
    <t>104.42247001893571</t>
  </si>
  <si>
    <t>85.7553124342523</t>
  </si>
  <si>
    <t>153.49042709867481</t>
  </si>
  <si>
    <t>chr_0016_laevat_77</t>
  </si>
  <si>
    <t>105.63332632021911</t>
  </si>
  <si>
    <t>86.77088154849594</t>
  </si>
  <si>
    <t>155.2400589101623</t>
  </si>
  <si>
    <t>chr_0016_laevat_78</t>
  </si>
  <si>
    <t>106.84418262150251</t>
  </si>
  <si>
    <t>87.78645066273958</t>
  </si>
  <si>
    <t>156.9896907216498</t>
  </si>
  <si>
    <t>chr_0016_laevat_79</t>
  </si>
  <si>
    <t>108.05503892278591</t>
  </si>
  <si>
    <t>88.80201977698322</t>
  </si>
  <si>
    <t>158.73932253313728</t>
  </si>
  <si>
    <t>chr_0016_laevat_80</t>
  </si>
  <si>
    <t>109.26589522406934</t>
  </si>
  <si>
    <t>89.81758889122686</t>
  </si>
  <si>
    <t>160.48895434462477</t>
  </si>
  <si>
    <t>chr_0016_laevat_81</t>
  </si>
  <si>
    <t>110.47675152535274</t>
  </si>
  <si>
    <t>90.8331580054705</t>
  </si>
  <si>
    <t>162.23858615611226</t>
  </si>
  <si>
    <t>chr_0016_laevat_82</t>
  </si>
  <si>
    <t>111.68760782663614</t>
  </si>
  <si>
    <t>91.84872711971414</t>
  </si>
  <si>
    <t>163.98821796759975</t>
  </si>
  <si>
    <t>chr_0016_laevat_83</t>
  </si>
  <si>
    <t>112.89846412791954</t>
  </si>
  <si>
    <t>92.86429623395777</t>
  </si>
  <si>
    <t>165.7378497790872</t>
  </si>
  <si>
    <t>chr_0016_laevat_84</t>
  </si>
  <si>
    <t>114.10932042920294</t>
  </si>
  <si>
    <t>93.87986534820142</t>
  </si>
  <si>
    <t>167.4874815905747</t>
  </si>
  <si>
    <t>chr_0016_laevat_85</t>
  </si>
  <si>
    <t>115.32017673048634</t>
  </si>
  <si>
    <t>94.89543446244505</t>
  </si>
  <si>
    <t>169.2371134020622</t>
  </si>
  <si>
    <t>chr_0016_laevat_86</t>
  </si>
  <si>
    <t>116.53103303176977</t>
  </si>
  <si>
    <t>95.9110035766887</t>
  </si>
  <si>
    <t>170.98674521354968</t>
  </si>
  <si>
    <t>chr_0016_laevat_87</t>
  </si>
  <si>
    <t>117.74188933305317</t>
  </si>
  <si>
    <t>96.92657269093233</t>
  </si>
  <si>
    <t>172.73637702503717</t>
  </si>
  <si>
    <t>chr_0016_laevat_88</t>
  </si>
  <si>
    <t>118.95274563433657</t>
  </si>
  <si>
    <t>97.94214180517596</t>
  </si>
  <si>
    <t>174.48600883652466</t>
  </si>
  <si>
    <t>chr_0016_laevat_89</t>
  </si>
  <si>
    <t>120.16360193561997</t>
  </si>
  <si>
    <t>98.95771091941961</t>
  </si>
  <si>
    <t>176.23564064801215</t>
  </si>
  <si>
    <t>chr_0016_laevat_90</t>
  </si>
  <si>
    <t>121.37445823690337</t>
  </si>
  <si>
    <t>99.97328003366324</t>
  </si>
  <si>
    <t>177.9852724594996</t>
  </si>
  <si>
    <t>chr_0016_laevat_91</t>
  </si>
  <si>
    <t>122.58531453818676</t>
  </si>
  <si>
    <t>100.98884914790689</t>
  </si>
  <si>
    <t>179.7349042709871</t>
  </si>
  <si>
    <t>chr_0016_laevat_92</t>
  </si>
  <si>
    <t>123.79617083947016</t>
  </si>
  <si>
    <t>102.00441826215052</t>
  </si>
  <si>
    <t>181.4845360824746</t>
  </si>
  <si>
    <t>chr_0016_laevat_93</t>
  </si>
  <si>
    <t>125.00702714075359</t>
  </si>
  <si>
    <t>103.01998737639417</t>
  </si>
  <si>
    <t>183.23416789396208</t>
  </si>
  <si>
    <t>chr_0016_laevat_94</t>
  </si>
  <si>
    <t>126.21788344203699</t>
  </si>
  <si>
    <t>104.0355564906378</t>
  </si>
  <si>
    <t>184.98379970544957</t>
  </si>
  <si>
    <t>chr_0016_laevat_95</t>
  </si>
  <si>
    <t>127.42873974332039</t>
  </si>
  <si>
    <t>105.05112560488145</t>
  </si>
  <si>
    <t>186.73343151693706</t>
  </si>
  <si>
    <t>chr_0016_laevat_96</t>
  </si>
  <si>
    <t>128.6395960446038</t>
  </si>
  <si>
    <t>106.06669471912508</t>
  </si>
  <si>
    <t>188.48306332842455</t>
  </si>
  <si>
    <t>chr_0016_laevat_97</t>
  </si>
  <si>
    <t>129.8504523458872</t>
  </si>
  <si>
    <t>107.08226383336873</t>
  </si>
  <si>
    <t>190.232695139912</t>
  </si>
  <si>
    <t>chr_0016_laevat_98</t>
  </si>
  <si>
    <t>131.0613086471706</t>
  </si>
  <si>
    <t>108.09783294761236</t>
  </si>
  <si>
    <t>191.9823269513995</t>
  </si>
  <si>
    <t>chr_0016_laevat_99</t>
  </si>
  <si>
    <t>132.27216494845402</t>
  </si>
  <si>
    <t>193.731958762887</t>
  </si>
  <si>
    <t>chr_0018_dapan_1</t>
  </si>
  <si>
    <t>chr_0018_dapan</t>
  </si>
  <si>
    <t>大潘</t>
  </si>
  <si>
    <t>Da Pan</t>
  </si>
  <si>
    <t>大量伤害, 击飞, 猛击</t>
  </si>
  <si>
    <t>24.2783505154639</t>
  </si>
  <si>
    <t>10.4329896907217</t>
  </si>
  <si>
    <r>
      <t>【精烹细作】如果终结技</t>
    </r>
    <r>
      <rPr>
        <b/>
        <sz val="11"/>
        <color rgb="FF33C2FF"/>
        <rFont val="宋体"/>
        <charset val="134"/>
      </rPr>
      <t>切丝入锅！</t>
    </r>
    <r>
      <rPr>
        <sz val="11"/>
        <color theme="1"/>
        <rFont val="宋体"/>
        <family val="2"/>
        <scheme val="minor"/>
      </rPr>
      <t>至少击败了一个敌人，大潘造成的</t>
    </r>
    <r>
      <rPr>
        <b/>
        <sz val="11"/>
        <color rgb="FFE3C19A"/>
        <rFont val="宋体"/>
        <charset val="134"/>
      </rPr>
      <t>物理伤害</t>
    </r>
    <r>
      <rPr>
        <b/>
        <sz val="11"/>
        <color rgb="FF9EB7FF"/>
        <rFont val="宋体"/>
        <charset val="134"/>
      </rPr>
      <t>+30%</t>
    </r>
    <r>
      <rPr>
        <sz val="11"/>
        <color theme="1"/>
        <rFont val="宋体"/>
        <family val="2"/>
        <scheme val="minor"/>
      </rPr>
      <t>，持续15秒，该效果无法叠加。</t>
    </r>
  </si>
  <si>
    <r>
      <t>【五味调和】天赋</t>
    </r>
    <r>
      <rPr>
        <b/>
        <sz val="11"/>
        <color rgb="FF33C2FF"/>
        <rFont val="宋体"/>
        <charset val="134"/>
      </rPr>
      <t>尝尝咸淡</t>
    </r>
    <r>
      <rPr>
        <sz val="11"/>
        <color theme="1"/>
        <rFont val="宋体"/>
        <family val="2"/>
        <scheme val="minor"/>
      </rPr>
      <t>效果加强：</t>
    </r>
    <r>
      <rPr>
        <b/>
        <sz val="11"/>
        <color rgb="FF33C2FF"/>
        <rFont val="宋体"/>
        <charset val="134"/>
      </rPr>
      <t>备料</t>
    </r>
    <r>
      <rPr>
        <sz val="11"/>
        <color theme="1"/>
        <rFont val="宋体"/>
        <family val="2"/>
        <scheme val="minor"/>
      </rPr>
      <t>状态持续时间</t>
    </r>
    <r>
      <rPr>
        <b/>
        <sz val="11"/>
        <color rgb="FF9EB7FF"/>
        <rFont val="宋体"/>
        <charset val="134"/>
      </rPr>
      <t>+10</t>
    </r>
    <r>
      <rPr>
        <sz val="11"/>
        <color theme="1"/>
        <rFont val="宋体"/>
        <family val="2"/>
        <scheme val="minor"/>
      </rPr>
      <t>秒，最大叠加层数</t>
    </r>
    <r>
      <rPr>
        <b/>
        <sz val="11"/>
        <color rgb="FF9EB7FF"/>
        <rFont val="宋体"/>
        <charset val="134"/>
      </rPr>
      <t>+1</t>
    </r>
    <r>
      <rPr>
        <sz val="11"/>
        <color theme="1"/>
        <rFont val="宋体"/>
        <family val="2"/>
        <scheme val="minor"/>
      </rPr>
      <t>。</t>
    </r>
  </si>
  <si>
    <r>
      <t>【先进工作者】力量</t>
    </r>
    <r>
      <rPr>
        <b/>
        <sz val="11"/>
        <color rgb="FF9EB7FF"/>
        <rFont val="宋体"/>
        <charset val="134"/>
      </rPr>
      <t>+15</t>
    </r>
    <r>
      <rPr>
        <sz val="11"/>
        <color theme="1"/>
        <rFont val="宋体"/>
        <family val="2"/>
        <scheme val="minor"/>
      </rPr>
      <t>，造成的物理伤害</t>
    </r>
    <r>
      <rPr>
        <b/>
        <sz val="11"/>
        <color rgb="FF9EB7FF"/>
        <rFont val="宋体"/>
        <charset val="134"/>
      </rPr>
      <t>+8%</t>
    </r>
    <r>
      <rPr>
        <sz val="11"/>
        <color theme="1"/>
        <rFont val="宋体"/>
        <family val="2"/>
        <scheme val="minor"/>
      </rPr>
      <t>。</t>
    </r>
  </si>
  <si>
    <r>
      <t>【自制酱料】终结技</t>
    </r>
    <r>
      <rPr>
        <b/>
        <sz val="11"/>
        <color rgb="FF33C2FF"/>
        <rFont val="宋体"/>
        <charset val="134"/>
      </rPr>
      <t>切丝入锅！</t>
    </r>
    <r>
      <rPr>
        <sz val="11"/>
        <color theme="1"/>
        <rFont val="宋体"/>
        <family val="2"/>
        <scheme val="minor"/>
      </rPr>
      <t>所需的终结技能量</t>
    </r>
    <r>
      <rPr>
        <b/>
        <sz val="11"/>
        <color rgb="FF9EB7FF"/>
        <rFont val="宋体"/>
        <charset val="134"/>
      </rPr>
      <t>-15%</t>
    </r>
    <r>
      <rPr>
        <sz val="11"/>
        <color theme="1"/>
        <rFont val="宋体"/>
        <family val="2"/>
        <scheme val="minor"/>
      </rPr>
      <t>。</t>
    </r>
  </si>
  <si>
    <r>
      <t>【猛火收汁】战技</t>
    </r>
    <r>
      <rPr>
        <b/>
        <sz val="11"/>
        <color rgb="FF33C2FF"/>
        <rFont val="宋体"/>
        <charset val="134"/>
      </rPr>
      <t>颠勺！</t>
    </r>
    <r>
      <rPr>
        <sz val="11"/>
        <color theme="1"/>
        <rFont val="宋体"/>
        <family val="2"/>
        <scheme val="minor"/>
      </rPr>
      <t>如果仅命中单个敌人，对目标额外施加一层</t>
    </r>
    <r>
      <rPr>
        <b/>
        <u/>
        <sz val="11"/>
        <color rgb="FFE3C19A"/>
        <rFont val="宋体"/>
        <charset val="134"/>
      </rPr>
      <t>破防</t>
    </r>
    <r>
      <rPr>
        <sz val="11"/>
        <color theme="1"/>
        <rFont val="宋体"/>
        <family val="2"/>
        <scheme val="minor"/>
      </rPr>
      <t>，该效果每45秒最多触发一次。</t>
    </r>
  </si>
  <si>
    <t>chr_0018_dapan_2</t>
  </si>
  <si>
    <t>25.9733852303808</t>
  </si>
  <si>
    <t>11.056595834210015</t>
  </si>
  <si>
    <t>11.463791289711814</t>
  </si>
  <si>
    <t>chr_0018_dapan_3</t>
  </si>
  <si>
    <t>27.668419945297696</t>
  </si>
  <si>
    <t>12.010098884914829</t>
  </si>
  <si>
    <t>12.49459288870193</t>
  </si>
  <si>
    <t>chr_0018_dapan_4</t>
  </si>
  <si>
    <t>29.363454660214597</t>
  </si>
  <si>
    <t>12.963601935619643</t>
  </si>
  <si>
    <t>13.525394487692045</t>
  </si>
  <si>
    <t>chr_0018_dapan_5</t>
  </si>
  <si>
    <t>31.058489375131494</t>
  </si>
  <si>
    <t>13.917104986324457</t>
  </si>
  <si>
    <t>14.55619608668216</t>
  </si>
  <si>
    <t>chr_0018_dapan_6</t>
  </si>
  <si>
    <t>32.753524090048394</t>
  </si>
  <si>
    <t>14.870608037029271</t>
  </si>
  <si>
    <t>15.586997685672277</t>
  </si>
  <si>
    <t>chr_0018_dapan_7</t>
  </si>
  <si>
    <t>34.448558804965295</t>
  </si>
  <si>
    <t>15.824111087734085</t>
  </si>
  <si>
    <t>16.61779928466239</t>
  </si>
  <si>
    <t>chr_0018_dapan_8</t>
  </si>
  <si>
    <t>36.14359351988219</t>
  </si>
  <si>
    <t>16.7776141384389</t>
  </si>
  <si>
    <t>17.648600883652506</t>
  </si>
  <si>
    <t>chr_0018_dapan_9</t>
  </si>
  <si>
    <t>37.83862823479909</t>
  </si>
  <si>
    <t>17.731117189143713</t>
  </si>
  <si>
    <t>18.679402482642622</t>
  </si>
  <si>
    <t>chr_0018_dapan_10</t>
  </si>
  <si>
    <t>39.53366294971599</t>
  </si>
  <si>
    <t>18.684620239848527</t>
  </si>
  <si>
    <t>19.71020408163274</t>
  </si>
  <si>
    <t>chr_0018_dapan_11</t>
  </si>
  <si>
    <t>41.22869766463289</t>
  </si>
  <si>
    <t>19.638123290553345</t>
  </si>
  <si>
    <t>20.741005680622855</t>
  </si>
  <si>
    <t>chr_0018_dapan_12</t>
  </si>
  <si>
    <t>42.92373237954979</t>
  </si>
  <si>
    <t>20.591626341258156</t>
  </si>
  <si>
    <t>21.77180727961297</t>
  </si>
  <si>
    <t>chr_0018_dapan_13</t>
  </si>
  <si>
    <t>44.61876709446669</t>
  </si>
  <si>
    <t>21.545129391962973</t>
  </si>
  <si>
    <t>22.80260887860308</t>
  </si>
  <si>
    <t>chr_0018_dapan_14</t>
  </si>
  <si>
    <t>46.313801809383584</t>
  </si>
  <si>
    <t>22.498632442667784</t>
  </si>
  <si>
    <t>23.833410477593198</t>
  </si>
  <si>
    <t>chr_0018_dapan_15</t>
  </si>
  <si>
    <t>48.008836524300484</t>
  </si>
  <si>
    <t>23.4521354933726</t>
  </si>
  <si>
    <t>24.864212076583314</t>
  </si>
  <si>
    <t>chr_0018_dapan_16</t>
  </si>
  <si>
    <t>49.70387123921738</t>
  </si>
  <si>
    <t>24.405638544077412</t>
  </si>
  <si>
    <t>25.89501367557343</t>
  </si>
  <si>
    <t>chr_0018_dapan_17</t>
  </si>
  <si>
    <t>51.39890595413428</t>
  </si>
  <si>
    <t>25.35914159478223</t>
  </si>
  <si>
    <t>26.925815274563547</t>
  </si>
  <si>
    <t>chr_0018_dapan_18</t>
  </si>
  <si>
    <t>53.09394066905118</t>
  </si>
  <si>
    <t>26.312644645487044</t>
  </si>
  <si>
    <t>27.956616873553664</t>
  </si>
  <si>
    <t>chr_0018_dapan_19</t>
  </si>
  <si>
    <t>54.78897538396808</t>
  </si>
  <si>
    <t>27.266147696191858</t>
  </si>
  <si>
    <t>28.987418472543773</t>
  </si>
  <si>
    <t>chr_0018_dapan_20</t>
  </si>
  <si>
    <t>56.48401009888498</t>
  </si>
  <si>
    <t>28.219650746896672</t>
  </si>
  <si>
    <t>30.01822007153389</t>
  </si>
  <si>
    <t>chr_0018_dapan_21</t>
  </si>
  <si>
    <t>58.17904481380188</t>
  </si>
  <si>
    <t>29.173153797601486</t>
  </si>
  <si>
    <t>31.049021670524006</t>
  </si>
  <si>
    <t>chr_0018_dapan_22</t>
  </si>
  <si>
    <t>59.874079528718774</t>
  </si>
  <si>
    <t>30.1266568483063</t>
  </si>
  <si>
    <t>32.07982326951412</t>
  </si>
  <si>
    <t>chr_0018_dapan_23</t>
  </si>
  <si>
    <t>61.569114243635674</t>
  </si>
  <si>
    <t>31.080159899011115</t>
  </si>
  <si>
    <t>33.11062486850424</t>
  </si>
  <si>
    <t>chr_0018_dapan_24</t>
  </si>
  <si>
    <t>63.264148958552575</t>
  </si>
  <si>
    <t>32.03366294971593</t>
  </si>
  <si>
    <t>34.141426467494355</t>
  </si>
  <si>
    <t>chr_0018_dapan_25</t>
  </si>
  <si>
    <t>64.95918367346948</t>
  </si>
  <si>
    <t>32.98716600042074</t>
  </si>
  <si>
    <t>35.172228066484465</t>
  </si>
  <si>
    <t>chr_0018_dapan_26</t>
  </si>
  <si>
    <t>66.65421838838637</t>
  </si>
  <si>
    <t>33.94066905112555</t>
  </si>
  <si>
    <t>36.20302966547458</t>
  </si>
  <si>
    <t>chr_0018_dapan_27</t>
  </si>
  <si>
    <t>68.34925310330327</t>
  </si>
  <si>
    <t>34.89417210183037</t>
  </si>
  <si>
    <t>37.2338312644647</t>
  </si>
  <si>
    <t>chr_0018_dapan_28</t>
  </si>
  <si>
    <t>70.04428781822017</t>
  </si>
  <si>
    <t>35.84767515253519</t>
  </si>
  <si>
    <t>38.264632863454814</t>
  </si>
  <si>
    <t>chr_0018_dapan_29</t>
  </si>
  <si>
    <t>71.73932253313707</t>
  </si>
  <si>
    <t>36.80117820324</t>
  </si>
  <si>
    <t>39.29543446244493</t>
  </si>
  <si>
    <t>chr_0018_dapan_30</t>
  </si>
  <si>
    <t>73.43435724805397</t>
  </si>
  <si>
    <t>37.75468125394481</t>
  </si>
  <si>
    <t>40.32623606143505</t>
  </si>
  <si>
    <t>chr_0018_dapan_31</t>
  </si>
  <si>
    <t>75.12939196297086</t>
  </si>
  <si>
    <t>38.70818430464963</t>
  </si>
  <si>
    <t>41.35703766042516</t>
  </si>
  <si>
    <t>chr_0018_dapan_32</t>
  </si>
  <si>
    <t>76.82442667788777</t>
  </si>
  <si>
    <t>39.661687355354445</t>
  </si>
  <si>
    <t>42.38783925941527</t>
  </si>
  <si>
    <t>chr_0018_dapan_33</t>
  </si>
  <si>
    <t>78.51946139280466</t>
  </si>
  <si>
    <t>40.615190406059256</t>
  </si>
  <si>
    <t>43.41864085840539</t>
  </si>
  <si>
    <t>chr_0018_dapan_34</t>
  </si>
  <si>
    <t>80.21449610772157</t>
  </si>
  <si>
    <t>41.568693456764066</t>
  </si>
  <si>
    <t>44.449442457395506</t>
  </si>
  <si>
    <t>chr_0018_dapan_35</t>
  </si>
  <si>
    <t>81.90953082263846</t>
  </si>
  <si>
    <t>42.52219650746889</t>
  </si>
  <si>
    <t>45.48024405638562</t>
  </si>
  <si>
    <t>chr_0018_dapan_36</t>
  </si>
  <si>
    <t>83.60456553755536</t>
  </si>
  <si>
    <t>43.4756995581737</t>
  </si>
  <si>
    <t>46.51104565537574</t>
  </si>
  <si>
    <t>chr_0018_dapan_37</t>
  </si>
  <si>
    <t>85.29960025247226</t>
  </si>
  <si>
    <t>44.42920260887851</t>
  </si>
  <si>
    <t>47.54184725436585</t>
  </si>
  <si>
    <t>chr_0018_dapan_38</t>
  </si>
  <si>
    <t>86.99463496738916</t>
  </si>
  <si>
    <t>45.38270565958332</t>
  </si>
  <si>
    <t>48.572648853355965</t>
  </si>
  <si>
    <t>chr_0018_dapan_39</t>
  </si>
  <si>
    <t>88.68966968230606</t>
  </si>
  <si>
    <t>46.33620871028815</t>
  </si>
  <si>
    <t>49.60345045234608</t>
  </si>
  <si>
    <t>chr_0018_dapan_40</t>
  </si>
  <si>
    <t>90.38470439722296</t>
  </si>
  <si>
    <t>47.28971176099296</t>
  </si>
  <si>
    <t>50.6342520513362</t>
  </si>
  <si>
    <t>chr_0018_dapan_41</t>
  </si>
  <si>
    <t>92.07973911213986</t>
  </si>
  <si>
    <t>48.24321481169777</t>
  </si>
  <si>
    <t>51.665053650326314</t>
  </si>
  <si>
    <t>chr_0018_dapan_42</t>
  </si>
  <si>
    <t>93.77477382705676</t>
  </si>
  <si>
    <t>49.19671786240258</t>
  </si>
  <si>
    <t>52.69585524931643</t>
  </si>
  <si>
    <t>chr_0018_dapan_43</t>
  </si>
  <si>
    <t>95.46980854197365</t>
  </si>
  <si>
    <t>50.150220913107404</t>
  </si>
  <si>
    <t>53.72665684830654</t>
  </si>
  <si>
    <t>chr_0018_dapan_44</t>
  </si>
  <si>
    <t>97.16484325689055</t>
  </si>
  <si>
    <t>51.103723963812214</t>
  </si>
  <si>
    <t>54.757458447296656</t>
  </si>
  <si>
    <t>chr_0018_dapan_45</t>
  </si>
  <si>
    <t>98.85987797180745</t>
  </si>
  <si>
    <t>52.057227014517025</t>
  </si>
  <si>
    <t>55.78826004628677</t>
  </si>
  <si>
    <t>chr_0018_dapan_46</t>
  </si>
  <si>
    <t>100.55491268672435</t>
  </si>
  <si>
    <t>53.010730065221836</t>
  </si>
  <si>
    <t>56.81906164527689</t>
  </si>
  <si>
    <t>chr_0018_dapan_47</t>
  </si>
  <si>
    <t>102.24994740164125</t>
  </si>
  <si>
    <t>53.96423311592666</t>
  </si>
  <si>
    <t>57.849863244267006</t>
  </si>
  <si>
    <t>chr_0018_dapan_48</t>
  </si>
  <si>
    <t>103.94498211655815</t>
  </si>
  <si>
    <t>54.91773616663147</t>
  </si>
  <si>
    <t>58.88066484325712</t>
  </si>
  <si>
    <t>chr_0018_dapan_49</t>
  </si>
  <si>
    <t>105.64001683147505</t>
  </si>
  <si>
    <t>55.87123921733628</t>
  </si>
  <si>
    <t>59.91146644224723</t>
  </si>
  <si>
    <t>chr_0018_dapan_50</t>
  </si>
  <si>
    <t>107.33505154639195</t>
  </si>
  <si>
    <t>56.82474226804109</t>
  </si>
  <si>
    <t>60.94226804123735</t>
  </si>
  <si>
    <t>chr_0018_dapan_51</t>
  </si>
  <si>
    <t>109.03008626130885</t>
  </si>
  <si>
    <t>57.77824531874592</t>
  </si>
  <si>
    <t>61.973069640227465</t>
  </si>
  <si>
    <t>chr_0018_dapan_52</t>
  </si>
  <si>
    <t>110.72512097622574</t>
  </si>
  <si>
    <t>58.73174836945073</t>
  </si>
  <si>
    <t>63.00387123921758</t>
  </si>
  <si>
    <t>chr_0018_dapan_53</t>
  </si>
  <si>
    <t>112.42015569114264</t>
  </si>
  <si>
    <t>59.68525142015554</t>
  </si>
  <si>
    <t>64.0346728382077</t>
  </si>
  <si>
    <t>chr_0018_dapan_54</t>
  </si>
  <si>
    <t>114.11519040605954</t>
  </si>
  <si>
    <t>60.63875447086035</t>
  </si>
  <si>
    <t>65.06547443719782</t>
  </si>
  <si>
    <t>chr_0018_dapan_55</t>
  </si>
  <si>
    <t>115.81022512097644</t>
  </si>
  <si>
    <t>61.59225752156517</t>
  </si>
  <si>
    <t>66.09627603618793</t>
  </si>
  <si>
    <t>chr_0018_dapan_56</t>
  </si>
  <si>
    <t>117.50525983589334</t>
  </si>
  <si>
    <t>62.545760572269984</t>
  </si>
  <si>
    <t>67.12707763517804</t>
  </si>
  <si>
    <t>chr_0018_dapan_57</t>
  </si>
  <si>
    <t>119.20029455081024</t>
  </si>
  <si>
    <t>63.499263622974794</t>
  </si>
  <si>
    <t>68.15787923416816</t>
  </si>
  <si>
    <t>chr_0018_dapan_58</t>
  </si>
  <si>
    <t>120.89532926572714</t>
  </si>
  <si>
    <t>64.4527666736796</t>
  </si>
  <si>
    <t>69.18868083315827</t>
  </si>
  <si>
    <t>chr_0018_dapan_59</t>
  </si>
  <si>
    <t>122.59036398064404</t>
  </si>
  <si>
    <t>65.40626972438443</t>
  </si>
  <si>
    <t>70.2194824321484</t>
  </si>
  <si>
    <t>chr_0018_dapan_60</t>
  </si>
  <si>
    <t>124.28539869556094</t>
  </si>
  <si>
    <t>66.35977277508924</t>
  </si>
  <si>
    <t>71.2502840311385</t>
  </si>
  <si>
    <t>【尝尝咸淡 Lv.1】终结技切丝入锅！的最后一击每命中一个敌人，获得一层备料状态，持续20秒，最多叠加1层。当处于备料状态时，连携技命中敌人后立即恢复40%冷却时间并消耗一层备料状态。</t>
  </si>
  <si>
    <r>
      <t>【尝尝咸淡 Lv.1】终结技</t>
    </r>
    <r>
      <rPr>
        <b/>
        <sz val="11"/>
        <color rgb="FF33C2FF"/>
        <rFont val="宋体"/>
        <charset val="134"/>
      </rPr>
      <t>切丝入锅！</t>
    </r>
    <r>
      <rPr>
        <sz val="11"/>
        <color theme="1"/>
        <rFont val="宋体"/>
        <family val="2"/>
        <scheme val="minor"/>
      </rPr>
      <t>的最后一击每命中一个敌人，获得一层</t>
    </r>
    <r>
      <rPr>
        <b/>
        <sz val="11"/>
        <color rgb="FF33C2FF"/>
        <rFont val="宋体"/>
        <charset val="134"/>
      </rPr>
      <t>备料</t>
    </r>
    <r>
      <rPr>
        <sz val="11"/>
        <color theme="1"/>
        <rFont val="宋体"/>
        <family val="2"/>
        <scheme val="minor"/>
      </rPr>
      <t>状态，持续20秒，最多叠加1层。当处于</t>
    </r>
    <r>
      <rPr>
        <b/>
        <sz val="11"/>
        <color rgb="FF33C2FF"/>
        <rFont val="宋体"/>
        <charset val="134"/>
      </rPr>
      <t>备料</t>
    </r>
    <r>
      <rPr>
        <sz val="11"/>
        <color theme="1"/>
        <rFont val="宋体"/>
        <family val="2"/>
        <scheme val="minor"/>
      </rPr>
      <t>状态时，连携技命中敌人后立即恢复</t>
    </r>
    <r>
      <rPr>
        <b/>
        <sz val="11"/>
        <color rgb="FF9EB7FF"/>
        <rFont val="宋体"/>
        <charset val="134"/>
      </rPr>
      <t>40%</t>
    </r>
    <r>
      <rPr>
        <sz val="11"/>
        <color theme="1"/>
        <rFont val="宋体"/>
        <family val="2"/>
        <scheme val="minor"/>
      </rPr>
      <t>冷却时间并</t>
    </r>
    <r>
      <rPr>
        <u/>
        <sz val="11"/>
        <rFont val="宋体"/>
        <charset val="134"/>
      </rPr>
      <t>消耗</t>
    </r>
    <r>
      <rPr>
        <sz val="11"/>
        <color theme="1"/>
        <rFont val="宋体"/>
        <family val="2"/>
        <scheme val="minor"/>
      </rPr>
      <t>一层</t>
    </r>
    <r>
      <rPr>
        <b/>
        <sz val="11"/>
        <color rgb="FF33C2FF"/>
        <rFont val="宋体"/>
        <charset val="134"/>
      </rPr>
      <t>备料</t>
    </r>
    <r>
      <rPr>
        <sz val="11"/>
        <color theme="1"/>
        <rFont val="宋体"/>
        <family val="2"/>
        <scheme val="minor"/>
      </rPr>
      <t>状态。</t>
    </r>
  </si>
  <si>
    <r>
      <t>【尝尝咸淡 Lv.2】终结技</t>
    </r>
    <r>
      <rPr>
        <b/>
        <sz val="11"/>
        <color rgb="FF33C2FF"/>
        <rFont val="宋体"/>
        <charset val="134"/>
      </rPr>
      <t>切丝入锅！</t>
    </r>
    <r>
      <rPr>
        <sz val="11"/>
        <color theme="1"/>
        <rFont val="宋体"/>
        <family val="2"/>
        <scheme val="minor"/>
      </rPr>
      <t>的最后一击每命中一个敌人，获得一层</t>
    </r>
    <r>
      <rPr>
        <b/>
        <sz val="11"/>
        <color rgb="FF33C2FF"/>
        <rFont val="宋体"/>
        <charset val="134"/>
      </rPr>
      <t>备料</t>
    </r>
    <r>
      <rPr>
        <sz val="11"/>
        <color theme="1"/>
        <rFont val="宋体"/>
        <family val="2"/>
        <scheme val="minor"/>
      </rPr>
      <t>状态，持续20秒，最多叠加2层。当处于</t>
    </r>
    <r>
      <rPr>
        <b/>
        <sz val="11"/>
        <color rgb="FF33C2FF"/>
        <rFont val="宋体"/>
        <charset val="134"/>
      </rPr>
      <t>备料</t>
    </r>
    <r>
      <rPr>
        <sz val="11"/>
        <color theme="1"/>
        <rFont val="宋体"/>
        <family val="2"/>
        <scheme val="minor"/>
      </rPr>
      <t>状态时，连携技命中敌人后立即恢复</t>
    </r>
    <r>
      <rPr>
        <b/>
        <sz val="11"/>
        <color rgb="FF9EB7FF"/>
        <rFont val="宋体"/>
        <charset val="134"/>
      </rPr>
      <t>40%</t>
    </r>
    <r>
      <rPr>
        <sz val="11"/>
        <color theme="1"/>
        <rFont val="宋体"/>
        <family val="2"/>
        <scheme val="minor"/>
      </rPr>
      <t>冷却时间并</t>
    </r>
    <r>
      <rPr>
        <u/>
        <sz val="11"/>
        <rFont val="宋体"/>
        <charset val="134"/>
      </rPr>
      <t>消耗</t>
    </r>
    <r>
      <rPr>
        <sz val="11"/>
        <color theme="1"/>
        <rFont val="宋体"/>
        <family val="2"/>
        <scheme val="minor"/>
      </rPr>
      <t>一层</t>
    </r>
    <r>
      <rPr>
        <b/>
        <sz val="11"/>
        <color rgb="FF33C2FF"/>
        <rFont val="宋体"/>
        <charset val="134"/>
      </rPr>
      <t>备料</t>
    </r>
    <r>
      <rPr>
        <sz val="11"/>
        <color theme="1"/>
        <rFont val="宋体"/>
        <family val="2"/>
        <scheme val="minor"/>
      </rPr>
      <t>状态。</t>
    </r>
  </si>
  <si>
    <t>【勾芡 Lv.1】每消耗1层破防后，造成的物理伤害+4%，持续10秒，该效果最多叠加4层。</t>
  </si>
  <si>
    <r>
      <t>【勾芡 Lv.1】每</t>
    </r>
    <r>
      <rPr>
        <u/>
        <sz val="11"/>
        <rFont val="宋体"/>
        <charset val="134"/>
      </rPr>
      <t>消耗</t>
    </r>
    <r>
      <rPr>
        <sz val="11"/>
        <color theme="1"/>
        <rFont val="宋体"/>
        <family val="2"/>
        <scheme val="minor"/>
      </rPr>
      <t>1层</t>
    </r>
    <r>
      <rPr>
        <b/>
        <u/>
        <sz val="11"/>
        <color rgb="FFE3C19A"/>
        <rFont val="宋体"/>
        <charset val="134"/>
      </rPr>
      <t>破防</t>
    </r>
    <r>
      <rPr>
        <sz val="11"/>
        <color theme="1"/>
        <rFont val="宋体"/>
        <family val="2"/>
        <scheme val="minor"/>
      </rPr>
      <t>后，造成的</t>
    </r>
    <r>
      <rPr>
        <b/>
        <sz val="11"/>
        <color rgb="FFE3C19A"/>
        <rFont val="宋体"/>
        <charset val="134"/>
      </rPr>
      <t>物理伤害</t>
    </r>
    <r>
      <rPr>
        <b/>
        <sz val="11"/>
        <color rgb="FF9EB7FF"/>
        <rFont val="宋体"/>
        <charset val="134"/>
      </rPr>
      <t>+4%</t>
    </r>
    <r>
      <rPr>
        <sz val="11"/>
        <color theme="1"/>
        <rFont val="宋体"/>
        <family val="2"/>
        <scheme val="minor"/>
      </rPr>
      <t>，持续</t>
    </r>
    <r>
      <rPr>
        <b/>
        <sz val="11"/>
        <color rgb="FF9EB7FF"/>
        <rFont val="宋体"/>
        <charset val="134"/>
      </rPr>
      <t>10</t>
    </r>
    <r>
      <rPr>
        <sz val="11"/>
        <color theme="1"/>
        <rFont val="宋体"/>
        <family val="2"/>
        <scheme val="minor"/>
      </rPr>
      <t>秒，该效果最多叠加</t>
    </r>
    <r>
      <rPr>
        <b/>
        <sz val="11"/>
        <color rgb="FF9EB7FF"/>
        <rFont val="宋体"/>
        <charset val="134"/>
      </rPr>
      <t>4</t>
    </r>
    <r>
      <rPr>
        <sz val="11"/>
        <color theme="1"/>
        <rFont val="宋体"/>
        <family val="2"/>
        <scheme val="minor"/>
      </rPr>
      <t>层。</t>
    </r>
  </si>
  <si>
    <r>
      <t>【勾芡 Lv.2】每</t>
    </r>
    <r>
      <rPr>
        <u/>
        <sz val="11"/>
        <rFont val="宋体"/>
        <charset val="134"/>
      </rPr>
      <t>消耗</t>
    </r>
    <r>
      <rPr>
        <sz val="11"/>
        <color theme="1"/>
        <rFont val="宋体"/>
        <family val="2"/>
        <scheme val="minor"/>
      </rPr>
      <t>1层</t>
    </r>
    <r>
      <rPr>
        <b/>
        <u/>
        <sz val="11"/>
        <color rgb="FFE3C19A"/>
        <rFont val="宋体"/>
        <charset val="134"/>
      </rPr>
      <t>破防</t>
    </r>
    <r>
      <rPr>
        <sz val="11"/>
        <color theme="1"/>
        <rFont val="宋体"/>
        <family val="2"/>
        <scheme val="minor"/>
      </rPr>
      <t>后，造成的</t>
    </r>
    <r>
      <rPr>
        <b/>
        <sz val="11"/>
        <color rgb="FFE3C19A"/>
        <rFont val="宋体"/>
        <charset val="134"/>
      </rPr>
      <t>物理伤害</t>
    </r>
    <r>
      <rPr>
        <b/>
        <sz val="11"/>
        <color rgb="FF9EB7FF"/>
        <rFont val="宋体"/>
        <charset val="134"/>
      </rPr>
      <t>+6%</t>
    </r>
    <r>
      <rPr>
        <sz val="11"/>
        <color theme="1"/>
        <rFont val="宋体"/>
        <family val="2"/>
        <scheme val="minor"/>
      </rPr>
      <t>，持续</t>
    </r>
    <r>
      <rPr>
        <b/>
        <sz val="11"/>
        <color rgb="FF9EB7FF"/>
        <rFont val="宋体"/>
        <charset val="134"/>
      </rPr>
      <t>10</t>
    </r>
    <r>
      <rPr>
        <sz val="11"/>
        <color theme="1"/>
        <rFont val="宋体"/>
        <family val="2"/>
        <scheme val="minor"/>
      </rPr>
      <t>秒，该效果最多叠加</t>
    </r>
    <r>
      <rPr>
        <b/>
        <sz val="11"/>
        <color rgb="FF9EB7FF"/>
        <rFont val="宋体"/>
        <charset val="134"/>
      </rPr>
      <t>4</t>
    </r>
    <r>
      <rPr>
        <sz val="11"/>
        <color theme="1"/>
        <rFont val="宋体"/>
        <family val="2"/>
        <scheme val="minor"/>
      </rPr>
      <t>层。</t>
    </r>
  </si>
  <si>
    <t>chr_0018_dapan_61</t>
  </si>
  <si>
    <t>125.98043341047783</t>
  </si>
  <si>
    <t>67.31327582579405</t>
  </si>
  <si>
    <t>72.28108563012863</t>
  </si>
  <si>
    <t>chr_0018_dapan_62</t>
  </si>
  <si>
    <t>127.67546812539473</t>
  </si>
  <si>
    <t>68.26677887649886</t>
  </si>
  <si>
    <t>73.31188722911874</t>
  </si>
  <si>
    <t>chr_0018_dapan_63</t>
  </si>
  <si>
    <t>129.37050284031164</t>
  </si>
  <si>
    <t>69.22028192720369</t>
  </si>
  <si>
    <t>74.34268882810885</t>
  </si>
  <si>
    <t>chr_0018_dapan_64</t>
  </si>
  <si>
    <t>131.06553755522853</t>
  </si>
  <si>
    <t>70.1737849779085</t>
  </si>
  <si>
    <t>75.37349042709897</t>
  </si>
  <si>
    <t>chr_0018_dapan_65</t>
  </si>
  <si>
    <t>132.76057227014542</t>
  </si>
  <si>
    <t>71.12728802861331</t>
  </si>
  <si>
    <t>76.40429202608908</t>
  </si>
  <si>
    <t>chr_0018_dapan_66</t>
  </si>
  <si>
    <t>134.45560698506233</t>
  </si>
  <si>
    <t>72.08079107931813</t>
  </si>
  <si>
    <t>77.43509362507919</t>
  </si>
  <si>
    <t>chr_0018_dapan_67</t>
  </si>
  <si>
    <t>136.15064169997925</t>
  </si>
  <si>
    <t>73.03429413002294</t>
  </si>
  <si>
    <t>78.46589522406931</t>
  </si>
  <si>
    <t>chr_0018_dapan_68</t>
  </si>
  <si>
    <t>137.84567641489613</t>
  </si>
  <si>
    <t>73.98779718072775</t>
  </si>
  <si>
    <t>79.49669682305942</t>
  </si>
  <si>
    <t>chr_0018_dapan_69</t>
  </si>
  <si>
    <t>139.54071112981302</t>
  </si>
  <si>
    <t>74.94130023143258</t>
  </si>
  <si>
    <t>80.52749842204955</t>
  </si>
  <si>
    <t>chr_0018_dapan_70</t>
  </si>
  <si>
    <t>141.23574584472993</t>
  </si>
  <si>
    <t>75.89480328213739</t>
  </si>
  <si>
    <t>81.55830002103966</t>
  </si>
  <si>
    <t>chr_0018_dapan_71</t>
  </si>
  <si>
    <t>142.93078055964682</t>
  </si>
  <si>
    <t>76.8483063328422</t>
  </si>
  <si>
    <t>82.58910162002978</t>
  </si>
  <si>
    <t>chr_0018_dapan_72</t>
  </si>
  <si>
    <t>144.6258152745637</t>
  </si>
  <si>
    <t>77.80180938354701</t>
  </si>
  <si>
    <t>83.61990321901989</t>
  </si>
  <si>
    <t>chr_0018_dapan_73</t>
  </si>
  <si>
    <t>146.32084998948062</t>
  </si>
  <si>
    <t>78.75531243425183</t>
  </si>
  <si>
    <t>84.65070481801</t>
  </si>
  <si>
    <t>chr_0018_dapan_74</t>
  </si>
  <si>
    <t>148.01588470439754</t>
  </si>
  <si>
    <t>79.70881548495665</t>
  </si>
  <si>
    <t>85.68150641700012</t>
  </si>
  <si>
    <t>chr_0018_dapan_75</t>
  </si>
  <si>
    <t>149.71091941931442</t>
  </si>
  <si>
    <t>80.66231853566146</t>
  </si>
  <si>
    <t>86.71230801599023</t>
  </si>
  <si>
    <t>chr_0018_dapan_76</t>
  </si>
  <si>
    <t>151.4059541342313</t>
  </si>
  <si>
    <t>81.61582158636627</t>
  </si>
  <si>
    <t>87.74310961498036</t>
  </si>
  <si>
    <t>chr_0018_dapan_77</t>
  </si>
  <si>
    <t>153.10098884914822</t>
  </si>
  <si>
    <t>82.56932463707109</t>
  </si>
  <si>
    <t>88.77391121397046</t>
  </si>
  <si>
    <t>chr_0018_dapan_78</t>
  </si>
  <si>
    <t>154.7960235640651</t>
  </si>
  <si>
    <t>83.5228276877759</t>
  </si>
  <si>
    <t>89.80471281296057</t>
  </si>
  <si>
    <t>chr_0018_dapan_79</t>
  </si>
  <si>
    <t>156.49105827898202</t>
  </si>
  <si>
    <t>84.47633073848071</t>
  </si>
  <si>
    <t>90.8355144119507</t>
  </si>
  <si>
    <t>chr_0018_dapan_80</t>
  </si>
  <si>
    <t>158.1860929938989</t>
  </si>
  <si>
    <t>85.42983378918552</t>
  </si>
  <si>
    <t>91.8663160109408</t>
  </si>
  <si>
    <t>chr_0018_dapan_81</t>
  </si>
  <si>
    <t>159.88112770881582</t>
  </si>
  <si>
    <t>86.38333683989035</t>
  </si>
  <si>
    <t>92.89711760993093</t>
  </si>
  <si>
    <t>chr_0018_dapan_82</t>
  </si>
  <si>
    <t>161.5761624237327</t>
  </si>
  <si>
    <t>87.33683989059516</t>
  </si>
  <si>
    <t>93.92791920892104</t>
  </si>
  <si>
    <t>chr_0018_dapan_83</t>
  </si>
  <si>
    <t>163.27119713864963</t>
  </si>
  <si>
    <t>88.29034294129997</t>
  </si>
  <si>
    <t>94.95872080791116</t>
  </si>
  <si>
    <t>chr_0018_dapan_84</t>
  </si>
  <si>
    <t>164.9662318535665</t>
  </si>
  <si>
    <t>89.24384599200478</t>
  </si>
  <si>
    <t>95.98952240690127</t>
  </si>
  <si>
    <t>chr_0018_dapan_85</t>
  </si>
  <si>
    <t>166.6612665684834</t>
  </si>
  <si>
    <t>90.1973490427096</t>
  </si>
  <si>
    <t>97.02032400589138</t>
  </si>
  <si>
    <t>chr_0018_dapan_86</t>
  </si>
  <si>
    <t>168.3563012834003</t>
  </si>
  <si>
    <t>91.15085209341441</t>
  </si>
  <si>
    <t>98.0511256048815</t>
  </si>
  <si>
    <t>chr_0018_dapan_87</t>
  </si>
  <si>
    <t>170.0513359983172</t>
  </si>
  <si>
    <t>92.10435514411922</t>
  </si>
  <si>
    <t>99.08192720387162</t>
  </si>
  <si>
    <t>chr_0018_dapan_88</t>
  </si>
  <si>
    <t>171.7463707132341</t>
  </si>
  <si>
    <t>93.05785819482404</t>
  </si>
  <si>
    <t>100.11272880286174</t>
  </si>
  <si>
    <t>chr_0018_dapan_89</t>
  </si>
  <si>
    <t>173.441405428151</t>
  </si>
  <si>
    <t>94.01136124552886</t>
  </si>
  <si>
    <t>101.14353040185185</t>
  </si>
  <si>
    <t>chr_0018_dapan_90</t>
  </si>
  <si>
    <t>175.13644014306792</t>
  </si>
  <si>
    <t>94.96486429623367</t>
  </si>
  <si>
    <t>102.17433200084197</t>
  </si>
  <si>
    <t>chr_0018_dapan_91</t>
  </si>
  <si>
    <t>176.8314748579848</t>
  </si>
  <si>
    <t>95.91836734693848</t>
  </si>
  <si>
    <t>103.20513359983208</t>
  </si>
  <si>
    <t>chr_0018_dapan_92</t>
  </si>
  <si>
    <t>178.52650957290172</t>
  </si>
  <si>
    <t>96.87187039764329</t>
  </si>
  <si>
    <t>104.23593519882219</t>
  </si>
  <si>
    <t>chr_0018_dapan_93</t>
  </si>
  <si>
    <t>180.2215442878186</t>
  </si>
  <si>
    <t>97.82537344834812</t>
  </si>
  <si>
    <t>105.26673679781231</t>
  </si>
  <si>
    <t>chr_0018_dapan_94</t>
  </si>
  <si>
    <t>181.9165790027355</t>
  </si>
  <si>
    <t>98.77887649905293</t>
  </si>
  <si>
    <t>106.29753839680242</t>
  </si>
  <si>
    <t>chr_0018_dapan_95</t>
  </si>
  <si>
    <t>183.6116137176524</t>
  </si>
  <si>
    <t>99.73237954975774</t>
  </si>
  <si>
    <t>107.32833999579255</t>
  </si>
  <si>
    <t>chr_0018_dapan_96</t>
  </si>
  <si>
    <t>185.3066484325693</t>
  </si>
  <si>
    <t>100.68588260046255</t>
  </si>
  <si>
    <t>108.35914159478266</t>
  </si>
  <si>
    <t>chr_0018_dapan_97</t>
  </si>
  <si>
    <t>187.0016831474862</t>
  </si>
  <si>
    <t>101.63938565116737</t>
  </si>
  <si>
    <t>109.38994319377277</t>
  </si>
  <si>
    <t>chr_0018_dapan_98</t>
  </si>
  <si>
    <t>188.6967178624031</t>
  </si>
  <si>
    <t>102.59288870187218</t>
  </si>
  <si>
    <t>110.42074479276289</t>
  </si>
  <si>
    <t>chr_0018_dapan_99</t>
  </si>
  <si>
    <t>190.39175257732</t>
  </si>
  <si>
    <t>103.546391752577</t>
  </si>
  <si>
    <t>111.451546391753</t>
  </si>
  <si>
    <t>chr_0019_karin_1</t>
  </si>
  <si>
    <t>chr_0019_karin</t>
  </si>
  <si>
    <t>秋栗</t>
  </si>
  <si>
    <t>Akekuri</t>
  </si>
  <si>
    <t>技力恢复, 灼热附着, 连击</t>
  </si>
  <si>
    <r>
      <t>【正向反馈】通过技能恢复技力后，攻击力</t>
    </r>
    <r>
      <rPr>
        <b/>
        <sz val="11"/>
        <color rgb="FF9EB7FF"/>
        <rFont val="宋体"/>
        <charset val="134"/>
      </rPr>
      <t>+10%</t>
    </r>
    <r>
      <rPr>
        <sz val="11"/>
        <color theme="1"/>
        <rFont val="宋体"/>
        <family val="2"/>
        <scheme val="minor"/>
      </rPr>
      <t>，持续10秒，该效果最多叠加5层。</t>
    </r>
  </si>
  <si>
    <r>
      <t>【理想热忱】敏捷+</t>
    </r>
    <r>
      <rPr>
        <b/>
        <sz val="11"/>
        <color rgb="FF9EB7FF"/>
        <rFont val="宋体"/>
        <charset val="134"/>
      </rPr>
      <t>10</t>
    </r>
    <r>
      <rPr>
        <sz val="11"/>
        <color theme="1"/>
        <rFont val="宋体"/>
        <family val="2"/>
        <scheme val="minor"/>
      </rPr>
      <t>，智识+</t>
    </r>
    <r>
      <rPr>
        <b/>
        <sz val="11"/>
        <color rgb="FF9EB7FF"/>
        <rFont val="宋体"/>
        <charset val="134"/>
      </rPr>
      <t>10</t>
    </r>
    <r>
      <rPr>
        <sz val="11"/>
        <color theme="1"/>
        <rFont val="宋体"/>
        <family val="2"/>
        <scheme val="minor"/>
      </rPr>
      <t>。</t>
    </r>
  </si>
  <si>
    <r>
      <t>【全力协作】施放终结技</t>
    </r>
    <r>
      <rPr>
        <b/>
        <sz val="11"/>
        <color rgb="FF33C2FF"/>
        <rFont val="宋体"/>
        <charset val="134"/>
      </rPr>
      <t>小队，集结！</t>
    </r>
    <r>
      <rPr>
        <sz val="11"/>
        <color theme="1"/>
        <rFont val="宋体"/>
        <family val="2"/>
        <scheme val="minor"/>
      </rPr>
      <t>期间，全队攻击力</t>
    </r>
    <r>
      <rPr>
        <b/>
        <sz val="11"/>
        <color rgb="FF9EB7FF"/>
        <rFont val="宋体"/>
        <charset val="134"/>
      </rPr>
      <t>+10%</t>
    </r>
    <r>
      <rPr>
        <sz val="11"/>
        <color theme="1"/>
        <rFont val="宋体"/>
        <family val="2"/>
        <scheme val="minor"/>
      </rPr>
      <t>。</t>
    </r>
  </si>
  <si>
    <r>
      <t>【满分状态】终结技</t>
    </r>
    <r>
      <rPr>
        <b/>
        <sz val="11"/>
        <color rgb="FF33C2FF"/>
        <rFont val="宋体"/>
        <charset val="134"/>
      </rPr>
      <t>小队，集结！</t>
    </r>
    <r>
      <rPr>
        <sz val="11"/>
        <color theme="1"/>
        <rFont val="宋体"/>
        <family val="2"/>
        <scheme val="minor"/>
      </rPr>
      <t>所需的终结技能量</t>
    </r>
    <r>
      <rPr>
        <b/>
        <sz val="11"/>
        <color rgb="FF9EB7FF"/>
        <rFont val="宋体"/>
        <charset val="134"/>
      </rPr>
      <t>-10%</t>
    </r>
    <r>
      <rPr>
        <sz val="11"/>
        <color theme="1"/>
        <rFont val="宋体"/>
        <family val="2"/>
        <scheme val="minor"/>
      </rPr>
      <t>。</t>
    </r>
  </si>
  <si>
    <r>
      <t>【残心节奏】天赋</t>
    </r>
    <r>
      <rPr>
        <b/>
        <sz val="11"/>
        <color rgb="FF33C2FF"/>
        <rFont val="宋体"/>
        <charset val="134"/>
      </rPr>
      <t>心流时间</t>
    </r>
    <r>
      <rPr>
        <sz val="11"/>
        <color theme="1"/>
        <rFont val="宋体"/>
        <family val="2"/>
        <scheme val="minor"/>
      </rPr>
      <t>效果加强：</t>
    </r>
    <r>
      <rPr>
        <b/>
        <u/>
        <sz val="11"/>
        <color rgb="FF33C2FF"/>
        <rFont val="宋体"/>
        <charset val="134"/>
      </rPr>
      <t>连击</t>
    </r>
    <r>
      <rPr>
        <sz val="11"/>
        <color theme="1"/>
        <rFont val="宋体"/>
        <family val="2"/>
        <scheme val="minor"/>
      </rPr>
      <t>在终结技</t>
    </r>
    <r>
      <rPr>
        <b/>
        <sz val="11"/>
        <color rgb="FF33C2FF"/>
        <rFont val="宋体"/>
        <charset val="134"/>
      </rPr>
      <t>小队，集结！</t>
    </r>
    <r>
      <rPr>
        <sz val="11"/>
        <color theme="1"/>
        <rFont val="宋体"/>
        <family val="2"/>
        <scheme val="minor"/>
      </rPr>
      <t>结束后还会持续</t>
    </r>
    <r>
      <rPr>
        <b/>
        <sz val="11"/>
        <color rgb="FF9EB7FF"/>
        <rFont val="宋体"/>
        <charset val="134"/>
      </rPr>
      <t>5</t>
    </r>
    <r>
      <rPr>
        <sz val="11"/>
        <color theme="1"/>
        <rFont val="宋体"/>
        <family val="2"/>
        <scheme val="minor"/>
      </rPr>
      <t>秒。</t>
    </r>
  </si>
  <si>
    <t>chr_0019_karin_2</t>
  </si>
  <si>
    <t>14.492320639596038</t>
  </si>
  <si>
    <t>16.567851883021213</t>
  </si>
  <si>
    <t>13.534188933305275</t>
  </si>
  <si>
    <t>10.387965495476543</t>
  </si>
  <si>
    <t>chr_0019_karin_3</t>
  </si>
  <si>
    <t>15.582579423521976</t>
  </si>
  <si>
    <t>17.981064590784726</t>
  </si>
  <si>
    <t>14.59415106248685</t>
  </si>
  <si>
    <t>11.497580475489167</t>
  </si>
  <si>
    <t>chr_0019_karin_4</t>
  </si>
  <si>
    <t>16.672838207447914</t>
  </si>
  <si>
    <t>19.39427729854824</t>
  </si>
  <si>
    <t>15.654113191668424</t>
  </si>
  <si>
    <t>12.60719545550179</t>
  </si>
  <si>
    <t>chr_0019_karin_5</t>
  </si>
  <si>
    <t>17.76309699137385</t>
  </si>
  <si>
    <t>20.807490006311752</t>
  </si>
  <si>
    <t>16.71407532085</t>
  </si>
  <si>
    <t>13.716810435514414</t>
  </si>
  <si>
    <t>chr_0019_karin_6</t>
  </si>
  <si>
    <t>18.85335577529979</t>
  </si>
  <si>
    <t>22.220702714075266</t>
  </si>
  <si>
    <t>17.77403745003157</t>
  </si>
  <si>
    <t>14.826425415527037</t>
  </si>
  <si>
    <t>chr_0019_karin_7</t>
  </si>
  <si>
    <t>19.94361455922573</t>
  </si>
  <si>
    <t>23.63391542183878</t>
  </si>
  <si>
    <t>18.83399957921315</t>
  </si>
  <si>
    <t>15.93604039553966</t>
  </si>
  <si>
    <t>chr_0019_karin_8</t>
  </si>
  <si>
    <t>21.033873343151665</t>
  </si>
  <si>
    <t>25.047128129602292</t>
  </si>
  <si>
    <t>19.89396170839472</t>
  </si>
  <si>
    <t>17.045655375552283</t>
  </si>
  <si>
    <t>chr_0019_karin_9</t>
  </si>
  <si>
    <t>22.1241321270776</t>
  </si>
  <si>
    <t>26.460340837365806</t>
  </si>
  <si>
    <t>20.953923837576298</t>
  </si>
  <si>
    <t>18.15527035556491</t>
  </si>
  <si>
    <t>chr_0019_karin_10</t>
  </si>
  <si>
    <t>23.21439091100354</t>
  </si>
  <si>
    <t>27.87355354512932</t>
  </si>
  <si>
    <t>22.01388596675787</t>
  </si>
  <si>
    <t>19.26488533557753</t>
  </si>
  <si>
    <t>chr_0019_karin_11</t>
  </si>
  <si>
    <t>24.30464969492948</t>
  </si>
  <si>
    <t>29.286766252892832</t>
  </si>
  <si>
    <t>23.073848095939447</t>
  </si>
  <si>
    <t>20.374500315590154</t>
  </si>
  <si>
    <t>chr_0019_karin_12</t>
  </si>
  <si>
    <t>25.394908478855417</t>
  </si>
  <si>
    <t>30.699978960656345</t>
  </si>
  <si>
    <t>24.133810225121017</t>
  </si>
  <si>
    <t>21.484115295602777</t>
  </si>
  <si>
    <t>chr_0019_karin_13</t>
  </si>
  <si>
    <t>26.485167262781353</t>
  </si>
  <si>
    <t>32.11319166841986</t>
  </si>
  <si>
    <t>25.193772354302595</t>
  </si>
  <si>
    <t>22.5937302756154</t>
  </si>
  <si>
    <t>chr_0019_karin_14</t>
  </si>
  <si>
    <t>27.575426046707292</t>
  </si>
  <si>
    <t>33.52640437618338</t>
  </si>
  <si>
    <t>26.253734483484166</t>
  </si>
  <si>
    <t>23.703345255628022</t>
  </si>
  <si>
    <t>chr_0019_karin_15</t>
  </si>
  <si>
    <t>28.665684830633232</t>
  </si>
  <si>
    <t>34.939617083946885</t>
  </si>
  <si>
    <t>27.313696612665744</t>
  </si>
  <si>
    <t>24.812960235640645</t>
  </si>
  <si>
    <t>chr_0019_karin_16</t>
  </si>
  <si>
    <t>29.755943614559165</t>
  </si>
  <si>
    <t>36.352829791710406</t>
  </si>
  <si>
    <t>28.373658741847315</t>
  </si>
  <si>
    <t>25.92257521565327</t>
  </si>
  <si>
    <t>chr_0019_karin_17</t>
  </si>
  <si>
    <t>30.846202398485104</t>
  </si>
  <si>
    <t>37.76604249947391</t>
  </si>
  <si>
    <t>29.433620871028893</t>
  </si>
  <si>
    <t>27.032190195665894</t>
  </si>
  <si>
    <t>chr_0019_karin_18</t>
  </si>
  <si>
    <t>31.936461182411044</t>
  </si>
  <si>
    <t>39.17925520723743</t>
  </si>
  <si>
    <t>30.493583000210464</t>
  </si>
  <si>
    <t>28.141805175678517</t>
  </si>
  <si>
    <t>chr_0019_karin_19</t>
  </si>
  <si>
    <t>33.026719966336984</t>
  </si>
  <si>
    <t>40.59246791500094</t>
  </si>
  <si>
    <t>31.55354512939204</t>
  </si>
  <si>
    <t>29.25142015569114</t>
  </si>
  <si>
    <t>chr_0019_karin_20</t>
  </si>
  <si>
    <t>34.116978750262916</t>
  </si>
  <si>
    <t>42.00568062276446</t>
  </si>
  <si>
    <t>32.61350725857361</t>
  </si>
  <si>
    <t>30.361035135703766</t>
  </si>
  <si>
    <t>chr_0019_karin_21</t>
  </si>
  <si>
    <t>35.207237534188856</t>
  </si>
  <si>
    <t>43.418893330527965</t>
  </si>
  <si>
    <t>33.67346938775519</t>
  </si>
  <si>
    <t>31.47065011571639</t>
  </si>
  <si>
    <t>chr_0019_karin_22</t>
  </si>
  <si>
    <t>36.297496318114796</t>
  </si>
  <si>
    <t>44.832106038291485</t>
  </si>
  <si>
    <t>34.73343151693676</t>
  </si>
  <si>
    <t>32.58026509572901</t>
  </si>
  <si>
    <t>chr_0019_karin_23</t>
  </si>
  <si>
    <t>37.387755102040735</t>
  </si>
  <si>
    <t>46.24531874605499</t>
  </si>
  <si>
    <t>35.79339364611834</t>
  </si>
  <si>
    <t>33.689880075741634</t>
  </si>
  <si>
    <t>chr_0019_karin_24</t>
  </si>
  <si>
    <t>38.47801388596667</t>
  </si>
  <si>
    <t>47.65853145381851</t>
  </si>
  <si>
    <t>36.85335577529991</t>
  </si>
  <si>
    <t>34.79949505575426</t>
  </si>
  <si>
    <t>chr_0019_karin_25</t>
  </si>
  <si>
    <t>39.56827266989261</t>
  </si>
  <si>
    <t>49.071744161582025</t>
  </si>
  <si>
    <t>37.91331790448149</t>
  </si>
  <si>
    <t>35.90911003576688</t>
  </si>
  <si>
    <t>chr_0019_karin_26</t>
  </si>
  <si>
    <t>40.65853145381855</t>
  </si>
  <si>
    <t>50.48495686934554</t>
  </si>
  <si>
    <t>38.97328003366306</t>
  </si>
  <si>
    <t>37.01872501577951</t>
  </si>
  <si>
    <t>chr_0019_karin_27</t>
  </si>
  <si>
    <t>41.74879023774449</t>
  </si>
  <si>
    <t>51.89816957710905</t>
  </si>
  <si>
    <t>40.03324216284464</t>
  </si>
  <si>
    <t>38.12833999579213</t>
  </si>
  <si>
    <t>chr_0019_karin_28</t>
  </si>
  <si>
    <t>42.83904902167042</t>
  </si>
  <si>
    <t>53.311382284872565</t>
  </si>
  <si>
    <t>41.09320429202621</t>
  </si>
  <si>
    <t>39.237954975804755</t>
  </si>
  <si>
    <t>chr_0019_karin_29</t>
  </si>
  <si>
    <t>43.92930780559636</t>
  </si>
  <si>
    <t>54.72459499263608</t>
  </si>
  <si>
    <t>42.153166421207786</t>
  </si>
  <si>
    <t>40.34756995581738</t>
  </si>
  <si>
    <t>chr_0019_karin_30</t>
  </si>
  <si>
    <t>45.0195665895223</t>
  </si>
  <si>
    <t>56.13780770039959</t>
  </si>
  <si>
    <t>43.21312855038936</t>
  </si>
  <si>
    <t>41.45718493583</t>
  </si>
  <si>
    <t>chr_0019_karin_31</t>
  </si>
  <si>
    <t>46.10982537344823</t>
  </si>
  <si>
    <t>57.551020408163104</t>
  </si>
  <si>
    <t>44.273090679570934</t>
  </si>
  <si>
    <t>42.56679991584262</t>
  </si>
  <si>
    <t>chr_0019_karin_32</t>
  </si>
  <si>
    <t>47.20008415737417</t>
  </si>
  <si>
    <t>58.96423311592662</t>
  </si>
  <si>
    <t>45.33305280875251</t>
  </si>
  <si>
    <t>43.676414895855245</t>
  </si>
  <si>
    <t>chr_0019_karin_33</t>
  </si>
  <si>
    <t>48.29034294130011</t>
  </si>
  <si>
    <t>60.37744582369013</t>
  </si>
  <si>
    <t>46.39301493793408</t>
  </si>
  <si>
    <t>44.78602987586787</t>
  </si>
  <si>
    <t>chr_0019_karin_34</t>
  </si>
  <si>
    <t>49.38060172522605</t>
  </si>
  <si>
    <t>61.790658531453644</t>
  </si>
  <si>
    <t>47.452977067115654</t>
  </si>
  <si>
    <t>45.89564485588049</t>
  </si>
  <si>
    <t>chr_0019_karin_35</t>
  </si>
  <si>
    <t>50.47086050915199</t>
  </si>
  <si>
    <t>63.20387123921716</t>
  </si>
  <si>
    <t>48.51293919629723</t>
  </si>
  <si>
    <t>47.00525983589311</t>
  </si>
  <si>
    <t>chr_0019_karin_36</t>
  </si>
  <si>
    <t>51.56111929307792</t>
  </si>
  <si>
    <t>64.61708394698067</t>
  </si>
  <si>
    <t>49.57290132547881</t>
  </si>
  <si>
    <t>48.114874815905736</t>
  </si>
  <si>
    <t>chr_0019_karin_37</t>
  </si>
  <si>
    <t>52.65137807700386</t>
  </si>
  <si>
    <t>66.03029665474418</t>
  </si>
  <si>
    <t>50.63286345466038</t>
  </si>
  <si>
    <t>49.22448979591836</t>
  </si>
  <si>
    <t>chr_0019_karin_38</t>
  </si>
  <si>
    <t>53.7416368609298</t>
  </si>
  <si>
    <t>67.4435093625077</t>
  </si>
  <si>
    <t>51.69282558384195</t>
  </si>
  <si>
    <t>50.33410477593098</t>
  </si>
  <si>
    <t>chr_0019_karin_39</t>
  </si>
  <si>
    <t>54.831895644855734</t>
  </si>
  <si>
    <t>68.85672207027122</t>
  </si>
  <si>
    <t>52.75278771302353</t>
  </si>
  <si>
    <t>51.44371975594361</t>
  </si>
  <si>
    <t>chr_0019_karin_40</t>
  </si>
  <si>
    <t>55.922154428781674</t>
  </si>
  <si>
    <t>70.26993477803472</t>
  </si>
  <si>
    <t>53.81274984220511</t>
  </si>
  <si>
    <t>52.553334735956234</t>
  </si>
  <si>
    <t>【胜利喝彩 Lv.2】每10点智识会使连携技快闪冲击的技力恢复量+1.5%，最多提高75%。</t>
  </si>
  <si>
    <r>
      <t>【胜利喝彩 Lv.2】每10点智识会使连携技</t>
    </r>
    <r>
      <rPr>
        <b/>
        <sz val="11"/>
        <color rgb="FF33C2FF"/>
        <rFont val="宋体"/>
        <charset val="134"/>
      </rPr>
      <t>快闪冲击</t>
    </r>
    <r>
      <rPr>
        <sz val="11"/>
        <color theme="1"/>
        <rFont val="宋体"/>
        <family val="2"/>
        <scheme val="minor"/>
      </rPr>
      <t>的技力恢复量</t>
    </r>
    <r>
      <rPr>
        <b/>
        <sz val="11"/>
        <color rgb="FF9EB7FF"/>
        <rFont val="宋体"/>
        <charset val="134"/>
      </rPr>
      <t>+1.5%</t>
    </r>
    <r>
      <rPr>
        <sz val="11"/>
        <color theme="1"/>
        <rFont val="宋体"/>
        <family val="2"/>
        <scheme val="minor"/>
      </rPr>
      <t>，最多提高</t>
    </r>
    <r>
      <rPr>
        <b/>
        <sz val="11"/>
        <color rgb="FF9EB7FF"/>
        <rFont val="宋体"/>
        <charset val="134"/>
      </rPr>
      <t>75%</t>
    </r>
    <r>
      <rPr>
        <sz val="11"/>
        <color theme="1"/>
        <rFont val="宋体"/>
        <family val="2"/>
        <scheme val="minor"/>
      </rPr>
      <t>。</t>
    </r>
  </si>
  <si>
    <t>chr_0019_karin_41</t>
  </si>
  <si>
    <t>57.012413212707614</t>
  </si>
  <si>
    <t>71.68314748579823</t>
  </si>
  <si>
    <t>54.87271197138668</t>
  </si>
  <si>
    <t>53.66294971596886</t>
  </si>
  <si>
    <t>chr_0019_karin_42</t>
  </si>
  <si>
    <t>58.10267199663355</t>
  </si>
  <si>
    <t>73.09636019356175</t>
  </si>
  <si>
    <t>55.93267410056825</t>
  </si>
  <si>
    <t>54.77256469598148</t>
  </si>
  <si>
    <t>chr_0019_karin_43</t>
  </si>
  <si>
    <t>59.19293078055949</t>
  </si>
  <si>
    <t>74.50957290132527</t>
  </si>
  <si>
    <t>56.99263622974983</t>
  </si>
  <si>
    <t>55.8821796759941</t>
  </si>
  <si>
    <t>chr_0019_karin_44</t>
  </si>
  <si>
    <t>60.283189564485426</t>
  </si>
  <si>
    <t>75.92278560908878</t>
  </si>
  <si>
    <t>58.052598358931405</t>
  </si>
  <si>
    <t>56.991794656006725</t>
  </si>
  <si>
    <t>chr_0019_karin_45</t>
  </si>
  <si>
    <t>61.373448348411365</t>
  </si>
  <si>
    <t>77.33599831685228</t>
  </si>
  <si>
    <t>59.112560488112976</t>
  </si>
  <si>
    <t>58.10140963601935</t>
  </si>
  <si>
    <t>chr_0019_karin_46</t>
  </si>
  <si>
    <t>62.463707132337305</t>
  </si>
  <si>
    <t>78.7492110246158</t>
  </si>
  <si>
    <t>60.17252261729455</t>
  </si>
  <si>
    <t>59.21102461603197</t>
  </si>
  <si>
    <t>chr_0019_karin_47</t>
  </si>
  <si>
    <t>63.55396591626324</t>
  </si>
  <si>
    <t>80.16242373237932</t>
  </si>
  <si>
    <t>61.232484746476125</t>
  </si>
  <si>
    <t>60.32063959604459</t>
  </si>
  <si>
    <t>chr_0019_karin_48</t>
  </si>
  <si>
    <t>64.64422470018918</t>
  </si>
  <si>
    <t>81.57563644014283</t>
  </si>
  <si>
    <t>62.2924468756577</t>
  </si>
  <si>
    <t>61.430254576057216</t>
  </si>
  <si>
    <t>chr_0019_karin_49</t>
  </si>
  <si>
    <t>65.73448348411512</t>
  </si>
  <si>
    <t>82.98884914790635</t>
  </si>
  <si>
    <t>63.352409004839274</t>
  </si>
  <si>
    <t>62.53986955606984</t>
  </si>
  <si>
    <t>chr_0019_karin_50</t>
  </si>
  <si>
    <t>66.82474226804106</t>
  </si>
  <si>
    <t>84.40206185566986</t>
  </si>
  <si>
    <t>64.41237113402084</t>
  </si>
  <si>
    <t>63.64948453608247</t>
  </si>
  <si>
    <t>chr_0019_karin_51</t>
  </si>
  <si>
    <t>67.915001051967</t>
  </si>
  <si>
    <t>85.81527456343338</t>
  </si>
  <si>
    <t>65.47233326320242</t>
  </si>
  <si>
    <t>64.75909951609509</t>
  </si>
  <si>
    <t>chr_0019_karin_52</t>
  </si>
  <si>
    <t>69.00525983589293</t>
  </si>
  <si>
    <t>87.22848727119688</t>
  </si>
  <si>
    <t>66.532295392384</t>
  </si>
  <si>
    <t>65.86871449610771</t>
  </si>
  <si>
    <t>chr_0019_karin_53</t>
  </si>
  <si>
    <t>70.09551861981888</t>
  </si>
  <si>
    <t>88.6416999789604</t>
  </si>
  <si>
    <t>67.59225752156557</t>
  </si>
  <si>
    <t>66.97832947612034</t>
  </si>
  <si>
    <t>chr_0019_karin_54</t>
  </si>
  <si>
    <t>71.18577740374481</t>
  </si>
  <si>
    <t>90.05491268672391</t>
  </si>
  <si>
    <t>68.65221965074714</t>
  </si>
  <si>
    <t>68.08794445613296</t>
  </si>
  <si>
    <t>chr_0019_karin_55</t>
  </si>
  <si>
    <t>72.27603618767074</t>
  </si>
  <si>
    <t>91.46812539448743</t>
  </si>
  <si>
    <t>69.71218177992871</t>
  </si>
  <si>
    <t>69.19755943614558</t>
  </si>
  <si>
    <t>chr_0019_karin_56</t>
  </si>
  <si>
    <t>73.36629497159669</t>
  </si>
  <si>
    <t>92.88133810225094</t>
  </si>
  <si>
    <t>70.7721439091103</t>
  </si>
  <si>
    <t>70.3071744161582</t>
  </si>
  <si>
    <t>chr_0019_karin_57</t>
  </si>
  <si>
    <t>74.45655375552262</t>
  </si>
  <si>
    <t>94.29455081001446</t>
  </si>
  <si>
    <t>71.83210603829187</t>
  </si>
  <si>
    <t>71.41678939617083</t>
  </si>
  <si>
    <t>chr_0019_karin_58</t>
  </si>
  <si>
    <t>75.54681253944857</t>
  </si>
  <si>
    <t>95.70776351777796</t>
  </si>
  <si>
    <t>72.89206816747344</t>
  </si>
  <si>
    <t>72.52640437618345</t>
  </si>
  <si>
    <t>chr_0019_karin_59</t>
  </si>
  <si>
    <t>76.6370713233745</t>
  </si>
  <si>
    <t>97.12097622554148</t>
  </si>
  <si>
    <t>73.95203029665501</t>
  </si>
  <si>
    <t>73.63601935619607</t>
  </si>
  <si>
    <t>chr_0019_karin_60</t>
  </si>
  <si>
    <t>77.72733010730043</t>
  </si>
  <si>
    <t>98.53418893330499</t>
  </si>
  <si>
    <t>75.0119924258366</t>
  </si>
  <si>
    <t>74.7456343362087</t>
  </si>
  <si>
    <t>【胜利喝彩 Lv.1】每10点智识会使连携技快闪冲击的技力恢复量+1.0%，最多提高50%。</t>
  </si>
  <si>
    <r>
      <t>【胜利喝彩 Lv.1】每10点智识会使连携技</t>
    </r>
    <r>
      <rPr>
        <b/>
        <sz val="11"/>
        <color rgb="FF33C2FF"/>
        <rFont val="宋体"/>
        <charset val="134"/>
      </rPr>
      <t>快闪冲击</t>
    </r>
    <r>
      <rPr>
        <sz val="11"/>
        <color theme="1"/>
        <rFont val="宋体"/>
        <family val="2"/>
        <scheme val="minor"/>
      </rPr>
      <t>的技力恢复量</t>
    </r>
    <r>
      <rPr>
        <b/>
        <sz val="11"/>
        <color rgb="FF9EB7FF"/>
        <rFont val="宋体"/>
        <charset val="134"/>
      </rPr>
      <t>+1.0%</t>
    </r>
    <r>
      <rPr>
        <sz val="11"/>
        <color theme="1"/>
        <rFont val="宋体"/>
        <family val="2"/>
        <scheme val="minor"/>
      </rPr>
      <t>，最多提高</t>
    </r>
    <r>
      <rPr>
        <b/>
        <sz val="11"/>
        <color rgb="FF9EB7FF"/>
        <rFont val="宋体"/>
        <charset val="134"/>
      </rPr>
      <t>50%</t>
    </r>
    <r>
      <rPr>
        <sz val="11"/>
        <color theme="1"/>
        <rFont val="宋体"/>
        <family val="2"/>
        <scheme val="minor"/>
      </rPr>
      <t>。</t>
    </r>
  </si>
  <si>
    <t>【心流时间 Lv.1】施放终结技小队，集结！期间，获得连击。</t>
  </si>
  <si>
    <r>
      <t>【心流时间 Lv.1】施放终结技</t>
    </r>
    <r>
      <rPr>
        <b/>
        <sz val="11"/>
        <color rgb="FF33C2FF"/>
        <rFont val="宋体"/>
        <charset val="134"/>
      </rPr>
      <t>小队，集结！</t>
    </r>
    <r>
      <rPr>
        <sz val="11"/>
        <color theme="1"/>
        <rFont val="宋体"/>
        <family val="2"/>
        <scheme val="minor"/>
      </rPr>
      <t>期间，获得</t>
    </r>
    <r>
      <rPr>
        <b/>
        <u/>
        <sz val="11"/>
        <color rgb="FF33C2FF"/>
        <rFont val="宋体"/>
        <charset val="134"/>
      </rPr>
      <t>连击</t>
    </r>
    <r>
      <rPr>
        <sz val="11"/>
        <color theme="1"/>
        <rFont val="宋体"/>
        <family val="2"/>
        <scheme val="minor"/>
      </rPr>
      <t>。</t>
    </r>
  </si>
  <si>
    <t>chr_0019_karin_61</t>
  </si>
  <si>
    <t>78.81758889122636</t>
  </si>
  <si>
    <t>99.94740164106851</t>
  </si>
  <si>
    <t>76.07195455501817</t>
  </si>
  <si>
    <t>chr_0019_karin_62</t>
  </si>
  <si>
    <t>79.90784767515231</t>
  </si>
  <si>
    <t>101.36061434883202</t>
  </si>
  <si>
    <t>77.13191668419974</t>
  </si>
  <si>
    <t>76.96486429623394</t>
  </si>
  <si>
    <t>chr_0019_karin_63</t>
  </si>
  <si>
    <t>80.99810645907824</t>
  </si>
  <si>
    <t>102.77382705659554</t>
  </si>
  <si>
    <t>78.19187881338132</t>
  </si>
  <si>
    <t>78.07447927624656</t>
  </si>
  <si>
    <t>chr_0019_karin_64</t>
  </si>
  <si>
    <t>82.08836524300419</t>
  </si>
  <si>
    <t>104.18703976435904</t>
  </si>
  <si>
    <t>79.2518409425629</t>
  </si>
  <si>
    <t>79.18409425625919</t>
  </si>
  <si>
    <t>chr_0019_karin_65</t>
  </si>
  <si>
    <t>83.17862402693012</t>
  </si>
  <si>
    <t>105.60025247212256</t>
  </si>
  <si>
    <t>80.31180307174446</t>
  </si>
  <si>
    <t>80.29370923627181</t>
  </si>
  <si>
    <t>chr_0019_karin_66</t>
  </si>
  <si>
    <t>84.26888281085606</t>
  </si>
  <si>
    <t>107.01346517988608</t>
  </si>
  <si>
    <t>81.37176520092603</t>
  </si>
  <si>
    <t>81.40332421628443</t>
  </si>
  <si>
    <t>chr_0019_karin_67</t>
  </si>
  <si>
    <t>85.359141594782</t>
  </si>
  <si>
    <t>108.42667788764959</t>
  </si>
  <si>
    <t>82.4317273301076</t>
  </si>
  <si>
    <t>82.51293919629705</t>
  </si>
  <si>
    <t>chr_0019_karin_68</t>
  </si>
  <si>
    <t>86.44940037870794</t>
  </si>
  <si>
    <t>109.83989059541311</t>
  </si>
  <si>
    <t>83.49168945928919</t>
  </si>
  <si>
    <t>83.62255417630968</t>
  </si>
  <si>
    <t>chr_0019_karin_69</t>
  </si>
  <si>
    <t>87.53965916263388</t>
  </si>
  <si>
    <t>111.25310330317662</t>
  </si>
  <si>
    <t>84.55165158847076</t>
  </si>
  <si>
    <t>84.7321691563223</t>
  </si>
  <si>
    <t>chr_0019_karin_70</t>
  </si>
  <si>
    <t>88.62991794655981</t>
  </si>
  <si>
    <t>112.66631601094014</t>
  </si>
  <si>
    <t>85.61161371765233</t>
  </si>
  <si>
    <t>85.84178413633492</t>
  </si>
  <si>
    <t>chr_0019_karin_71</t>
  </si>
  <si>
    <t>89.72017673048575</t>
  </si>
  <si>
    <t>114.07952871870364</t>
  </si>
  <si>
    <t>86.67157584683392</t>
  </si>
  <si>
    <t>86.95139911634755</t>
  </si>
  <si>
    <t>chr_0019_karin_72</t>
  </si>
  <si>
    <t>90.8104355144117</t>
  </si>
  <si>
    <t>115.49274142646716</t>
  </si>
  <si>
    <t>87.73153797601549</t>
  </si>
  <si>
    <t>88.06101409636017</t>
  </si>
  <si>
    <t>chr_0019_karin_73</t>
  </si>
  <si>
    <t>91.90069429833763</t>
  </si>
  <si>
    <t>116.90595413423067</t>
  </si>
  <si>
    <t>88.79150010519706</t>
  </si>
  <si>
    <t>89.17062907637279</t>
  </si>
  <si>
    <t>chr_0019_karin_74</t>
  </si>
  <si>
    <t>92.99095308226356</t>
  </si>
  <si>
    <t>118.31916684199419</t>
  </si>
  <si>
    <t>89.85146223437863</t>
  </si>
  <si>
    <t>90.28024405638541</t>
  </si>
  <si>
    <t>chr_0019_karin_75</t>
  </si>
  <si>
    <t>94.0812118661895</t>
  </si>
  <si>
    <t>119.7323795497577</t>
  </si>
  <si>
    <t>90.9114243635602</t>
  </si>
  <si>
    <t>91.38985903639804</t>
  </si>
  <si>
    <t>chr_0019_karin_76</t>
  </si>
  <si>
    <t>95.17147065011544</t>
  </si>
  <si>
    <t>121.14559225752122</t>
  </si>
  <si>
    <t>91.97138649274179</t>
  </si>
  <si>
    <t>92.49947401641069</t>
  </si>
  <si>
    <t>chr_0019_karin_77</t>
  </si>
  <si>
    <t>96.26172943404137</t>
  </si>
  <si>
    <t>122.55880496528472</t>
  </si>
  <si>
    <t>93.03134862192336</t>
  </si>
  <si>
    <t>93.60908899642331</t>
  </si>
  <si>
    <t>chr_0019_karin_78</t>
  </si>
  <si>
    <t>97.35198821796732</t>
  </si>
  <si>
    <t>123.97201767304824</t>
  </si>
  <si>
    <t>94.09131075110493</t>
  </si>
  <si>
    <t>94.71870397643593</t>
  </si>
  <si>
    <t>chr_0019_karin_79</t>
  </si>
  <si>
    <t>98.44224700189325</t>
  </si>
  <si>
    <t>125.38523038081175</t>
  </si>
  <si>
    <t>95.15127288028651</t>
  </si>
  <si>
    <t>95.82831895644856</t>
  </si>
  <si>
    <t>chr_0019_karin_80</t>
  </si>
  <si>
    <t>99.5325057858192</t>
  </si>
  <si>
    <t>126.79844308857527</t>
  </si>
  <si>
    <t>96.21123500946808</t>
  </si>
  <si>
    <t>96.93793393646118</t>
  </si>
  <si>
    <t>chr_0019_karin_81</t>
  </si>
  <si>
    <t>100.62276456974513</t>
  </si>
  <si>
    <t>128.2116557963388</t>
  </si>
  <si>
    <t>97.27119713864965</t>
  </si>
  <si>
    <t>98.0475489164738</t>
  </si>
  <si>
    <t>chr_0019_karin_82</t>
  </si>
  <si>
    <t>101.71302335367106</t>
  </si>
  <si>
    <t>129.6248685041023</t>
  </si>
  <si>
    <t>98.33115926783123</t>
  </si>
  <si>
    <t>99.15716389648642</t>
  </si>
  <si>
    <t>chr_0019_karin_83</t>
  </si>
  <si>
    <t>102.80328213759701</t>
  </si>
  <si>
    <t>131.0380812118658</t>
  </si>
  <si>
    <t>99.3911213970128</t>
  </si>
  <si>
    <t>100.26677887649905</t>
  </si>
  <si>
    <t>chr_0019_karin_84</t>
  </si>
  <si>
    <t>103.89354092152294</t>
  </si>
  <si>
    <t>132.45129391962934</t>
  </si>
  <si>
    <t>100.45108352619438</t>
  </si>
  <si>
    <t>101.37639385651167</t>
  </si>
  <si>
    <t>chr_0019_karin_85</t>
  </si>
  <si>
    <t>104.98379970544889</t>
  </si>
  <si>
    <t>133.8645066273928</t>
  </si>
  <si>
    <t>101.51104565537595</t>
  </si>
  <si>
    <t>102.48600883652429</t>
  </si>
  <si>
    <t>chr_0019_karin_86</t>
  </si>
  <si>
    <t>106.07405848937482</t>
  </si>
  <si>
    <t>135.27771933515635</t>
  </si>
  <si>
    <t>102.57100778455752</t>
  </si>
  <si>
    <t>103.59562381653691</t>
  </si>
  <si>
    <t>chr_0019_karin_87</t>
  </si>
  <si>
    <t>107.16431727330075</t>
  </si>
  <si>
    <t>136.69093204291985</t>
  </si>
  <si>
    <t>103.63096991373911</t>
  </si>
  <si>
    <t>104.70523879654954</t>
  </si>
  <si>
    <t>chr_0019_karin_88</t>
  </si>
  <si>
    <t>108.2545760572267</t>
  </si>
  <si>
    <t>138.10414475068336</t>
  </si>
  <si>
    <t>104.69093204292068</t>
  </si>
  <si>
    <t>105.81485377656216</t>
  </si>
  <si>
    <t>chr_0019_karin_89</t>
  </si>
  <si>
    <t>109.34483484115263</t>
  </si>
  <si>
    <t>139.5173574584469</t>
  </si>
  <si>
    <t>105.75089417210225</t>
  </si>
  <si>
    <t>106.92446875657478</t>
  </si>
  <si>
    <t>chr_0019_karin_90</t>
  </si>
  <si>
    <t>110.43509362507857</t>
  </si>
  <si>
    <t>140.9305701662104</t>
  </si>
  <si>
    <t>106.81085630128382</t>
  </si>
  <si>
    <t>108.0340837365874</t>
  </si>
  <si>
    <t>chr_0019_karin_91</t>
  </si>
  <si>
    <t>111.52535240900451</t>
  </si>
  <si>
    <t>142.3437828739739</t>
  </si>
  <si>
    <t>107.87081843046539</t>
  </si>
  <si>
    <t>109.14369871660003</t>
  </si>
  <si>
    <t>chr_0019_karin_92</t>
  </si>
  <si>
    <t>112.61561119293044</t>
  </si>
  <si>
    <t>143.7569955817374</t>
  </si>
  <si>
    <t>108.93078055964698</t>
  </si>
  <si>
    <t>110.25331369661265</t>
  </si>
  <si>
    <t>chr_0019_karin_93</t>
  </si>
  <si>
    <t>113.70586997685638</t>
  </si>
  <si>
    <t>145.17020828950095</t>
  </si>
  <si>
    <t>109.99074268882855</t>
  </si>
  <si>
    <t>111.36292867662527</t>
  </si>
  <si>
    <t>chr_0019_karin_94</t>
  </si>
  <si>
    <t>114.79612876078232</t>
  </si>
  <si>
    <t>146.58342099726445</t>
  </si>
  <si>
    <t>111.05070481801012</t>
  </si>
  <si>
    <t>112.4725436566379</t>
  </si>
  <si>
    <t>chr_0019_karin_95</t>
  </si>
  <si>
    <t>115.88638754470826</t>
  </si>
  <si>
    <t>147.99663370502796</t>
  </si>
  <si>
    <t>112.1106669471917</t>
  </si>
  <si>
    <t>113.58215863665052</t>
  </si>
  <si>
    <t>chr_0019_karin_96</t>
  </si>
  <si>
    <t>116.9766463286342</t>
  </si>
  <si>
    <t>149.40984641279147</t>
  </si>
  <si>
    <t>113.17062907637327</t>
  </si>
  <si>
    <t>114.69177361666314</t>
  </si>
  <si>
    <t>chr_0019_karin_97</t>
  </si>
  <si>
    <t>118.06690511256014</t>
  </si>
  <si>
    <t>150.823059120555</t>
  </si>
  <si>
    <t>114.23059120555484</t>
  </si>
  <si>
    <t>115.80138859667576</t>
  </si>
  <si>
    <t>chr_0019_karin_98</t>
  </si>
  <si>
    <t>119.15716389648607</t>
  </si>
  <si>
    <t>152.2362718283185</t>
  </si>
  <si>
    <t>115.29055333473642</t>
  </si>
  <si>
    <t>116.91100357668839</t>
  </si>
  <si>
    <t>chr_0019_karin_99</t>
  </si>
  <si>
    <t>118.02061855670101</t>
  </si>
  <si>
    <t>chr_0021_whiten_1</t>
  </si>
  <si>
    <t>chr_0021_whiten</t>
  </si>
  <si>
    <t>埃特拉</t>
  </si>
  <si>
    <t>Estella</t>
  </si>
  <si>
    <t>寒冷附着, 击飞, 物理脆弱</t>
  </si>
  <si>
    <t>13.0412371134021</t>
  </si>
  <si>
    <r>
      <t>【习惯性延误】连携技</t>
    </r>
    <r>
      <rPr>
        <b/>
        <sz val="11"/>
        <color rgb="FF33C2FF"/>
        <rFont val="宋体"/>
        <charset val="134"/>
      </rPr>
      <t>失真</t>
    </r>
    <r>
      <rPr>
        <sz val="11"/>
        <color theme="1"/>
        <rFont val="宋体"/>
        <family val="2"/>
        <scheme val="minor"/>
      </rPr>
      <t>施加的</t>
    </r>
    <r>
      <rPr>
        <b/>
        <u/>
        <sz val="11"/>
        <color rgb="FFE3C19A"/>
        <rFont val="宋体"/>
        <charset val="134"/>
      </rPr>
      <t>物理脆弱</t>
    </r>
    <r>
      <rPr>
        <sz val="11"/>
        <color theme="1"/>
        <rFont val="宋体"/>
        <family val="2"/>
        <scheme val="minor"/>
      </rPr>
      <t>持续时间</t>
    </r>
    <r>
      <rPr>
        <b/>
        <sz val="11"/>
        <color rgb="FF9EB7FF"/>
        <rFont val="宋体"/>
        <charset val="134"/>
      </rPr>
      <t>+3</t>
    </r>
    <r>
      <rPr>
        <sz val="11"/>
        <color theme="1"/>
        <rFont val="宋体"/>
        <family val="2"/>
        <scheme val="minor"/>
      </rPr>
      <t>秒。</t>
    </r>
  </si>
  <si>
    <r>
      <t>【放低预期】终结技</t>
    </r>
    <r>
      <rPr>
        <b/>
        <sz val="11"/>
        <color rgb="FF33C2FF"/>
        <rFont val="宋体"/>
        <charset val="134"/>
      </rPr>
      <t>震音</t>
    </r>
    <r>
      <rPr>
        <sz val="11"/>
        <color theme="1"/>
        <rFont val="宋体"/>
        <family val="2"/>
        <scheme val="minor"/>
      </rPr>
      <t>所需的终结技能量</t>
    </r>
    <r>
      <rPr>
        <b/>
        <sz val="11"/>
        <color rgb="FF9EB7FF"/>
        <rFont val="宋体"/>
        <charset val="134"/>
      </rPr>
      <t>-10%</t>
    </r>
    <r>
      <rPr>
        <sz val="11"/>
        <color theme="1"/>
        <rFont val="宋体"/>
        <family val="2"/>
        <scheme val="minor"/>
      </rPr>
      <t>。</t>
    </r>
  </si>
  <si>
    <r>
      <t>【延后工作】战技</t>
    </r>
    <r>
      <rPr>
        <b/>
        <sz val="11"/>
        <color rgb="FF33C2FF"/>
        <rFont val="宋体"/>
        <charset val="134"/>
      </rPr>
      <t>凝声</t>
    </r>
    <r>
      <rPr>
        <sz val="11"/>
        <color theme="1"/>
        <rFont val="宋体"/>
        <family val="2"/>
        <scheme val="minor"/>
      </rPr>
      <t>激发的制冷声波飞行距离</t>
    </r>
    <r>
      <rPr>
        <b/>
        <sz val="11"/>
        <color rgb="FF9EB7FF"/>
        <rFont val="宋体"/>
        <charset val="134"/>
      </rPr>
      <t>+50%</t>
    </r>
    <r>
      <rPr>
        <sz val="11"/>
        <color theme="1"/>
        <rFont val="宋体"/>
        <family val="2"/>
        <scheme val="minor"/>
      </rPr>
      <t>，并对首个命中敌人的伤害</t>
    </r>
    <r>
      <rPr>
        <b/>
        <sz val="11"/>
        <color rgb="FF9EB7FF"/>
        <rFont val="宋体"/>
        <charset val="134"/>
      </rPr>
      <t>+40%</t>
    </r>
    <r>
      <rPr>
        <sz val="11"/>
        <color theme="1"/>
        <rFont val="宋体"/>
        <family val="2"/>
        <scheme val="minor"/>
      </rPr>
      <t>。</t>
    </r>
  </si>
  <si>
    <r>
      <t>【生命大于任务】意志</t>
    </r>
    <r>
      <rPr>
        <b/>
        <sz val="11"/>
        <color rgb="FF9EB7FF"/>
        <rFont val="宋体"/>
        <charset val="134"/>
      </rPr>
      <t>+10</t>
    </r>
    <r>
      <rPr>
        <sz val="11"/>
        <color theme="1"/>
        <rFont val="宋体"/>
        <family val="2"/>
        <scheme val="minor"/>
      </rPr>
      <t>，力量</t>
    </r>
    <r>
      <rPr>
        <b/>
        <sz val="11"/>
        <color rgb="FF9EB7FF"/>
        <rFont val="宋体"/>
        <charset val="134"/>
      </rPr>
      <t>+10</t>
    </r>
    <r>
      <rPr>
        <sz val="11"/>
        <color theme="1"/>
        <rFont val="宋体"/>
        <family val="2"/>
        <scheme val="minor"/>
      </rPr>
      <t>。</t>
    </r>
  </si>
  <si>
    <r>
      <t>【活着就是胜利】每当有敌人被施加</t>
    </r>
    <r>
      <rPr>
        <b/>
        <u/>
        <sz val="11"/>
        <color rgb="FF30D6E0"/>
        <rFont val="宋体"/>
        <charset val="134"/>
      </rPr>
      <t>冻结</t>
    </r>
    <r>
      <rPr>
        <sz val="11"/>
        <color theme="1"/>
        <rFont val="宋体"/>
        <family val="2"/>
        <scheme val="minor"/>
      </rPr>
      <t>后，获得</t>
    </r>
    <r>
      <rPr>
        <b/>
        <sz val="11"/>
        <color rgb="FF9EB7FF"/>
        <rFont val="宋体"/>
        <charset val="134"/>
      </rPr>
      <t>5</t>
    </r>
    <r>
      <rPr>
        <sz val="11"/>
        <color theme="1"/>
        <rFont val="宋体"/>
        <family val="2"/>
        <scheme val="minor"/>
      </rPr>
      <t>点终结技能量，该效果每1秒最多触发一次。</t>
    </r>
  </si>
  <si>
    <t>chr_0021_whiten_2</t>
  </si>
  <si>
    <t>14.070418682937131</t>
  </si>
  <si>
    <t>9.764148958552497</t>
  </si>
  <si>
    <t>16.53408373658742</t>
  </si>
  <si>
    <t>chr_0021_whiten_3</t>
  </si>
  <si>
    <t>15.09960025247216</t>
  </si>
  <si>
    <t>10.76541131916684</t>
  </si>
  <si>
    <t>18.06816747317484</t>
  </si>
  <si>
    <t>chr_0021_whiten_4</t>
  </si>
  <si>
    <t>16.12878182200719</t>
  </si>
  <si>
    <t>11.766673679781187</t>
  </si>
  <si>
    <t>19.602251209762255</t>
  </si>
  <si>
    <t>chr_0021_whiten_5</t>
  </si>
  <si>
    <t>17.157963391542218</t>
  </si>
  <si>
    <t>12.767936040395533</t>
  </si>
  <si>
    <t>21.136334946349674</t>
  </si>
  <si>
    <t>chr_0021_whiten_6</t>
  </si>
  <si>
    <t>18.187144961077248</t>
  </si>
  <si>
    <t>13.769198401009879</t>
  </si>
  <si>
    <t>22.670418682937093</t>
  </si>
  <si>
    <t>chr_0021_whiten_7</t>
  </si>
  <si>
    <t>19.216326530612278</t>
  </si>
  <si>
    <t>14.770460761624225</t>
  </si>
  <si>
    <t>24.20450241952451</t>
  </si>
  <si>
    <t>chr_0021_whiten_8</t>
  </si>
  <si>
    <t>20.24550810014731</t>
  </si>
  <si>
    <t>15.77172312223857</t>
  </si>
  <si>
    <t>25.73858615611193</t>
  </si>
  <si>
    <t>chr_0021_whiten_9</t>
  </si>
  <si>
    <t>21.27468966968234</t>
  </si>
  <si>
    <t>16.772985482852917</t>
  </si>
  <si>
    <t>27.272669892699348</t>
  </si>
  <si>
    <t>chr_0021_whiten_10</t>
  </si>
  <si>
    <t>22.303871239217365</t>
  </si>
  <si>
    <t>17.77424784346726</t>
  </si>
  <si>
    <t>28.806753629286767</t>
  </si>
  <si>
    <t>chr_0021_whiten_11</t>
  </si>
  <si>
    <t>23.333052808752395</t>
  </si>
  <si>
    <t>18.775510204081606</t>
  </si>
  <si>
    <t>30.340837365874187</t>
  </si>
  <si>
    <t>chr_0021_whiten_12</t>
  </si>
  <si>
    <t>24.362234378287425</t>
  </si>
  <si>
    <t>19.776772564695953</t>
  </si>
  <si>
    <t>31.874921102461602</t>
  </si>
  <si>
    <t>chr_0021_whiten_13</t>
  </si>
  <si>
    <t>25.391415947822455</t>
  </si>
  <si>
    <t>20.778034925310298</t>
  </si>
  <si>
    <t>33.40900483904902</t>
  </si>
  <si>
    <t>chr_0021_whiten_14</t>
  </si>
  <si>
    <t>26.420597517357486</t>
  </si>
  <si>
    <t>21.779297285924642</t>
  </si>
  <si>
    <t>34.94308857563644</t>
  </si>
  <si>
    <t>chr_0021_whiten_15</t>
  </si>
  <si>
    <t>27.449779086892512</t>
  </si>
  <si>
    <t>22.78055964653899</t>
  </si>
  <si>
    <t>36.47717231222386</t>
  </si>
  <si>
    <t>chr_0021_whiten_16</t>
  </si>
  <si>
    <t>28.478960656427542</t>
  </si>
  <si>
    <t>23.781822007153334</t>
  </si>
  <si>
    <t>38.011256048811276</t>
  </si>
  <si>
    <t>chr_0021_whiten_17</t>
  </si>
  <si>
    <t>29.508142225962573</t>
  </si>
  <si>
    <t>24.783084367767678</t>
  </si>
  <si>
    <t>39.545339785398696</t>
  </si>
  <si>
    <t>chr_0021_whiten_18</t>
  </si>
  <si>
    <t>30.537323795497603</t>
  </si>
  <si>
    <t>25.784346728382026</t>
  </si>
  <si>
    <t>41.079423521986115</t>
  </si>
  <si>
    <t>chr_0021_whiten_19</t>
  </si>
  <si>
    <t>31.566505365032633</t>
  </si>
  <si>
    <t>26.785609088996374</t>
  </si>
  <si>
    <t>42.613507258573534</t>
  </si>
  <si>
    <t>chr_0021_whiten_20</t>
  </si>
  <si>
    <t>32.59568693456766</t>
  </si>
  <si>
    <t>27.786871449610715</t>
  </si>
  <si>
    <t>44.147590995160954</t>
  </si>
  <si>
    <t>chr_0021_whiten_21</t>
  </si>
  <si>
    <t>33.62486850410269</t>
  </si>
  <si>
    <t>28.788133810225062</t>
  </si>
  <si>
    <t>45.68167473174837</t>
  </si>
  <si>
    <t>chr_0021_whiten_22</t>
  </si>
  <si>
    <t>34.65405007363772</t>
  </si>
  <si>
    <t>29.78939617083941</t>
  </si>
  <si>
    <t>47.215758468335785</t>
  </si>
  <si>
    <t>chr_0021_whiten_23</t>
  </si>
  <si>
    <t>35.683231643172746</t>
  </si>
  <si>
    <t>30.79065853145375</t>
  </si>
  <si>
    <t>48.749842204923205</t>
  </si>
  <si>
    <t>chr_0021_whiten_24</t>
  </si>
  <si>
    <t>36.71241321270778</t>
  </si>
  <si>
    <t>31.7919208920681</t>
  </si>
  <si>
    <t>50.283925941510624</t>
  </si>
  <si>
    <t>chr_0021_whiten_25</t>
  </si>
  <si>
    <t>37.741594782242814</t>
  </si>
  <si>
    <t>32.79318325268245</t>
  </si>
  <si>
    <t>51.81800967809804</t>
  </si>
  <si>
    <t>chr_0021_whiten_26</t>
  </si>
  <si>
    <t>38.77077635177784</t>
  </si>
  <si>
    <t>33.79444561329679</t>
  </si>
  <si>
    <t>53.35209341468546</t>
  </si>
  <si>
    <t>chr_0021_whiten_27</t>
  </si>
  <si>
    <t>39.79995792131287</t>
  </si>
  <si>
    <t>34.795707973911135</t>
  </si>
  <si>
    <t>54.88617715127288</t>
  </si>
  <si>
    <t>chr_0021_whiten_28</t>
  </si>
  <si>
    <t>40.82913949084789</t>
  </si>
  <si>
    <t>35.79697033452548</t>
  </si>
  <si>
    <t>56.4202608878603</t>
  </si>
  <si>
    <t>chr_0021_whiten_29</t>
  </si>
  <si>
    <t>41.85832106038293</t>
  </si>
  <si>
    <t>36.79823269513982</t>
  </si>
  <si>
    <t>57.954344624447714</t>
  </si>
  <si>
    <t>chr_0021_whiten_30</t>
  </si>
  <si>
    <t>42.88750262991796</t>
  </si>
  <si>
    <t>37.79949505575417</t>
  </si>
  <si>
    <t>59.48842836103513</t>
  </si>
  <si>
    <t>chr_0021_whiten_31</t>
  </si>
  <si>
    <t>43.91668419945299</t>
  </si>
  <si>
    <t>38.80075741636852</t>
  </si>
  <si>
    <t>61.02251209762255</t>
  </si>
  <si>
    <t>chr_0021_whiten_32</t>
  </si>
  <si>
    <t>44.945865768988014</t>
  </si>
  <si>
    <t>39.80201977698287</t>
  </si>
  <si>
    <t>62.55659583420997</t>
  </si>
  <si>
    <t>chr_0021_whiten_33</t>
  </si>
  <si>
    <t>45.97504733852304</t>
  </si>
  <si>
    <t>40.80328213759721</t>
  </si>
  <si>
    <t>64.09067957079739</t>
  </si>
  <si>
    <t>chr_0021_whiten_34</t>
  </si>
  <si>
    <t>47.00422890805807</t>
  </si>
  <si>
    <t>41.804544498211555</t>
  </si>
  <si>
    <t>65.62476330738481</t>
  </si>
  <si>
    <t>chr_0021_whiten_35</t>
  </si>
  <si>
    <t>48.03341047759311</t>
  </si>
  <si>
    <t>42.805806858825896</t>
  </si>
  <si>
    <t>67.15884704397223</t>
  </si>
  <si>
    <t>chr_0021_whiten_36</t>
  </si>
  <si>
    <t>49.062592047128135</t>
  </si>
  <si>
    <t>43.807069219440244</t>
  </si>
  <si>
    <t>68.69293078055965</t>
  </si>
  <si>
    <t>chr_0021_whiten_37</t>
  </si>
  <si>
    <t>50.09177361666316</t>
  </si>
  <si>
    <t>44.80833158005459</t>
  </si>
  <si>
    <t>70.22701451714707</t>
  </si>
  <si>
    <t>chr_0021_whiten_38</t>
  </si>
  <si>
    <t>51.12095518619819</t>
  </si>
  <si>
    <t>45.80959394066893</t>
  </si>
  <si>
    <t>71.76109825373447</t>
  </si>
  <si>
    <t>chr_0021_whiten_39</t>
  </si>
  <si>
    <t>52.150136755733214</t>
  </si>
  <si>
    <t>46.81085630128328</t>
  </si>
  <si>
    <t>73.29518199032191</t>
  </si>
  <si>
    <t>chr_0021_whiten_40</t>
  </si>
  <si>
    <t>53.179318325268255</t>
  </si>
  <si>
    <t>47.81211866189763</t>
  </si>
  <si>
    <t>74.82926572690931</t>
  </si>
  <si>
    <t>【同病相怜 Lv.1】每当触发碎冰效果后，下一次战技凝声会返还7.5技力，该效果无法叠加。</t>
  </si>
  <si>
    <r>
      <t>【同病相怜 Lv.1】每当触发</t>
    </r>
    <r>
      <rPr>
        <b/>
        <u/>
        <sz val="11"/>
        <color rgb="FF30D6E0"/>
        <rFont val="宋体"/>
        <charset val="134"/>
      </rPr>
      <t>碎冰</t>
    </r>
    <r>
      <rPr>
        <sz val="11"/>
        <color theme="1"/>
        <rFont val="宋体"/>
        <family val="2"/>
        <scheme val="minor"/>
      </rPr>
      <t>效果后，下一次战技</t>
    </r>
    <r>
      <rPr>
        <b/>
        <sz val="11"/>
        <color rgb="FF33C2FF"/>
        <rFont val="宋体"/>
        <charset val="134"/>
      </rPr>
      <t>凝声</t>
    </r>
    <r>
      <rPr>
        <sz val="11"/>
        <color theme="1"/>
        <rFont val="宋体"/>
        <family val="2"/>
        <scheme val="minor"/>
      </rPr>
      <t>会</t>
    </r>
    <r>
      <rPr>
        <u/>
        <sz val="11"/>
        <rFont val="宋体"/>
        <charset val="134"/>
      </rPr>
      <t>返还</t>
    </r>
    <r>
      <rPr>
        <b/>
        <sz val="11"/>
        <color rgb="FF9EB7FF"/>
        <rFont val="宋体"/>
        <charset val="134"/>
      </rPr>
      <t>7.5</t>
    </r>
    <r>
      <rPr>
        <sz val="11"/>
        <color theme="1"/>
        <rFont val="宋体"/>
        <family val="2"/>
        <scheme val="minor"/>
      </rPr>
      <t>技力，该效果无法叠加。</t>
    </r>
  </si>
  <si>
    <r>
      <t>【同病相怜 Lv.2】每当触发</t>
    </r>
    <r>
      <rPr>
        <b/>
        <u/>
        <sz val="11"/>
        <color rgb="FF30D6E0"/>
        <rFont val="宋体"/>
        <charset val="134"/>
      </rPr>
      <t>碎冰</t>
    </r>
    <r>
      <rPr>
        <sz val="11"/>
        <color theme="1"/>
        <rFont val="宋体"/>
        <family val="2"/>
        <scheme val="minor"/>
      </rPr>
      <t>效果后，下一次战技</t>
    </r>
    <r>
      <rPr>
        <b/>
        <sz val="11"/>
        <color rgb="FF33C2FF"/>
        <rFont val="宋体"/>
        <charset val="134"/>
      </rPr>
      <t>凝声</t>
    </r>
    <r>
      <rPr>
        <sz val="11"/>
        <color theme="1"/>
        <rFont val="宋体"/>
        <family val="2"/>
        <scheme val="minor"/>
      </rPr>
      <t>会</t>
    </r>
    <r>
      <rPr>
        <u/>
        <sz val="11"/>
        <rFont val="宋体"/>
        <charset val="134"/>
      </rPr>
      <t>返还</t>
    </r>
    <r>
      <rPr>
        <b/>
        <sz val="11"/>
        <color rgb="FF9EB7FF"/>
        <rFont val="宋体"/>
        <charset val="134"/>
      </rPr>
      <t>15</t>
    </r>
    <r>
      <rPr>
        <sz val="11"/>
        <color theme="1"/>
        <rFont val="宋体"/>
        <family val="2"/>
        <scheme val="minor"/>
      </rPr>
      <t>技力，该效果无法叠加。</t>
    </r>
  </si>
  <si>
    <t>【惰性使然 Lv.1】不会被寒冷附着，且受到的寒冷伤害-10% 。</t>
  </si>
  <si>
    <r>
      <t>【惰性使然 Lv.1】不会被</t>
    </r>
    <r>
      <rPr>
        <b/>
        <u/>
        <sz val="11"/>
        <color rgb="FF30D6E0"/>
        <rFont val="宋体"/>
        <charset val="134"/>
      </rPr>
      <t>寒冷附着</t>
    </r>
    <r>
      <rPr>
        <sz val="11"/>
        <color theme="1"/>
        <rFont val="宋体"/>
        <family val="2"/>
        <scheme val="minor"/>
      </rPr>
      <t>，且受到的</t>
    </r>
    <r>
      <rPr>
        <b/>
        <sz val="11"/>
        <color rgb="FF30D6E0"/>
        <rFont val="宋体"/>
        <charset val="134"/>
      </rPr>
      <t>寒冷伤害</t>
    </r>
    <r>
      <rPr>
        <b/>
        <sz val="11"/>
        <color rgb="FF9EB7FF"/>
        <rFont val="宋体"/>
        <charset val="134"/>
      </rPr>
      <t>-10%</t>
    </r>
    <r>
      <rPr>
        <sz val="11"/>
        <color theme="1"/>
        <rFont val="宋体"/>
        <family val="2"/>
        <scheme val="minor"/>
      </rPr>
      <t xml:space="preserve"> 。</t>
    </r>
  </si>
  <si>
    <t>chr_0021_whiten_41</t>
  </si>
  <si>
    <t>54.20849989480328</t>
  </si>
  <si>
    <t>48.813381022511976</t>
  </si>
  <si>
    <t>76.36334946349675</t>
  </si>
  <si>
    <t>chr_0021_whiten_42</t>
  </si>
  <si>
    <t>55.23768146433831</t>
  </si>
  <si>
    <t>49.81464338312632</t>
  </si>
  <si>
    <t>77.89743320008415</t>
  </si>
  <si>
    <t>chr_0021_whiten_43</t>
  </si>
  <si>
    <t>56.266863033873335</t>
  </si>
  <si>
    <t>50.815905743740664</t>
  </si>
  <si>
    <t>79.43151693667157</t>
  </si>
  <si>
    <t>chr_0021_whiten_44</t>
  </si>
  <si>
    <t>57.29604460340836</t>
  </si>
  <si>
    <t>51.81716810435501</t>
  </si>
  <si>
    <t>80.96560067325899</t>
  </si>
  <si>
    <t>chr_0021_whiten_45</t>
  </si>
  <si>
    <t>58.3252261729434</t>
  </si>
  <si>
    <t>52.81843046496935</t>
  </si>
  <si>
    <t>82.49968440984641</t>
  </si>
  <si>
    <t>chr_0021_whiten_46</t>
  </si>
  <si>
    <t>59.35440774247843</t>
  </si>
  <si>
    <t>53.8196928255837</t>
  </si>
  <si>
    <t>84.03376814643383</t>
  </si>
  <si>
    <t>chr_0021_whiten_47</t>
  </si>
  <si>
    <t>60.383589312013456</t>
  </si>
  <si>
    <t>54.82095518619805</t>
  </si>
  <si>
    <t>85.56785188302125</t>
  </si>
  <si>
    <t>chr_0021_whiten_48</t>
  </si>
  <si>
    <t>61.41277088154848</t>
  </si>
  <si>
    <t>55.82221754681239</t>
  </si>
  <si>
    <t>87.10193561960867</t>
  </si>
  <si>
    <t>chr_0021_whiten_49</t>
  </si>
  <si>
    <t>62.44195245108352</t>
  </si>
  <si>
    <t>56.82347990742674</t>
  </si>
  <si>
    <t>88.63601935619609</t>
  </si>
  <si>
    <t>chr_0021_whiten_50</t>
  </si>
  <si>
    <t>63.47113402061855</t>
  </si>
  <si>
    <t>57.824742268041085</t>
  </si>
  <si>
    <t>90.1701030927835</t>
  </si>
  <si>
    <t>chr_0021_whiten_51</t>
  </si>
  <si>
    <t>64.50031559015358</t>
  </si>
  <si>
    <t>58.826004628655426</t>
  </si>
  <si>
    <t>91.70418682937093</t>
  </si>
  <si>
    <t>chr_0021_whiten_52</t>
  </si>
  <si>
    <t>65.5294971596886</t>
  </si>
  <si>
    <t>59.82726698926977</t>
  </si>
  <si>
    <t>93.23827056595835</t>
  </si>
  <si>
    <t>chr_0021_whiten_53</t>
  </si>
  <si>
    <t>66.55867872922363</t>
  </si>
  <si>
    <t>60.82852934988412</t>
  </si>
  <si>
    <t>94.77235430254576</t>
  </si>
  <si>
    <t>chr_0021_whiten_54</t>
  </si>
  <si>
    <t>67.58786029875867</t>
  </si>
  <si>
    <t>61.82979171049846</t>
  </si>
  <si>
    <t>96.30643803913318</t>
  </si>
  <si>
    <t>chr_0021_whiten_55</t>
  </si>
  <si>
    <t>68.6170418682937</t>
  </si>
  <si>
    <t>62.83105407111281</t>
  </si>
  <si>
    <t>97.8405217757206</t>
  </si>
  <si>
    <t>chr_0021_whiten_56</t>
  </si>
  <si>
    <t>69.64622343782872</t>
  </si>
  <si>
    <t>63.83231643172716</t>
  </si>
  <si>
    <t>99.37460551230802</t>
  </si>
  <si>
    <t>chr_0021_whiten_57</t>
  </si>
  <si>
    <t>70.67540500736375</t>
  </si>
  <si>
    <t>64.8335787923415</t>
  </si>
  <si>
    <t>100.90868924889543</t>
  </si>
  <si>
    <t>chr_0021_whiten_58</t>
  </si>
  <si>
    <t>71.70458657689878</t>
  </si>
  <si>
    <t>65.83484115295585</t>
  </si>
  <si>
    <t>102.44277298548285</t>
  </si>
  <si>
    <t>chr_0021_whiten_59</t>
  </si>
  <si>
    <t>72.73376814643382</t>
  </si>
  <si>
    <t>66.8361035135702</t>
  </si>
  <si>
    <t>103.97685672207027</t>
  </si>
  <si>
    <t>chr_0021_whiten_60</t>
  </si>
  <si>
    <t>73.76294971596884</t>
  </si>
  <si>
    <t>67.83736587418454</t>
  </si>
  <si>
    <t>105.51094045865769</t>
  </si>
  <si>
    <r>
      <t>【惰性使然 Lv.2】不会被</t>
    </r>
    <r>
      <rPr>
        <b/>
        <u/>
        <sz val="11"/>
        <color rgb="FF30D6E0"/>
        <rFont val="宋体"/>
        <charset val="134"/>
      </rPr>
      <t>寒冷附着</t>
    </r>
    <r>
      <rPr>
        <sz val="11"/>
        <color theme="1"/>
        <rFont val="宋体"/>
        <family val="2"/>
        <scheme val="minor"/>
      </rPr>
      <t>，且受到的</t>
    </r>
    <r>
      <rPr>
        <b/>
        <sz val="11"/>
        <color rgb="FF30D6E0"/>
        <rFont val="宋体"/>
        <charset val="134"/>
      </rPr>
      <t>寒冷伤害</t>
    </r>
    <r>
      <rPr>
        <b/>
        <sz val="11"/>
        <color rgb="FF9EB7FF"/>
        <rFont val="宋体"/>
        <charset val="134"/>
      </rPr>
      <t>-20%</t>
    </r>
    <r>
      <rPr>
        <sz val="11"/>
        <color theme="1"/>
        <rFont val="宋体"/>
        <family val="2"/>
        <scheme val="minor"/>
      </rPr>
      <t xml:space="preserve"> 。</t>
    </r>
  </si>
  <si>
    <t>chr_0021_whiten_61</t>
  </si>
  <si>
    <t>74.79213128550387</t>
  </si>
  <si>
    <t>68.83862823479889</t>
  </si>
  <si>
    <t>107.0450241952451</t>
  </si>
  <si>
    <t>chr_0021_whiten_62</t>
  </si>
  <si>
    <t>75.8213128550389</t>
  </si>
  <si>
    <t>69.83989059541324</t>
  </si>
  <si>
    <t>108.57910793183252</t>
  </si>
  <si>
    <t>chr_0021_whiten_63</t>
  </si>
  <si>
    <t>76.85049442457392</t>
  </si>
  <si>
    <t>70.84115295602759</t>
  </si>
  <si>
    <t>110.11319166841994</t>
  </si>
  <si>
    <t>chr_0021_whiten_64</t>
  </si>
  <si>
    <t>77.87967599410896</t>
  </si>
  <si>
    <t>71.84241531664192</t>
  </si>
  <si>
    <t>111.64727540500736</t>
  </si>
  <si>
    <t>chr_0021_whiten_65</t>
  </si>
  <si>
    <t>78.90885756364399</t>
  </si>
  <si>
    <t>72.84367767725627</t>
  </si>
  <si>
    <t>113.18135914159478</t>
  </si>
  <si>
    <t>chr_0021_whiten_66</t>
  </si>
  <si>
    <t>79.93803913317902</t>
  </si>
  <si>
    <t>73.84494003787061</t>
  </si>
  <si>
    <t>114.7154428781822</t>
  </si>
  <si>
    <t>chr_0021_whiten_67</t>
  </si>
  <si>
    <t>80.96722070271404</t>
  </si>
  <si>
    <t>74.84620239848496</t>
  </si>
  <si>
    <t>116.24952661476962</t>
  </si>
  <si>
    <t>chr_0021_whiten_68</t>
  </si>
  <si>
    <t>81.99640227224909</t>
  </si>
  <si>
    <t>75.84746475909931</t>
  </si>
  <si>
    <t>117.78361035135704</t>
  </si>
  <si>
    <t>chr_0021_whiten_69</t>
  </si>
  <si>
    <t>83.02558384178411</t>
  </si>
  <si>
    <t>76.84872711971364</t>
  </si>
  <si>
    <t>119.31769408794446</t>
  </si>
  <si>
    <t>chr_0021_whiten_70</t>
  </si>
  <si>
    <t>84.05476541131914</t>
  </si>
  <si>
    <t>77.84998948032799</t>
  </si>
  <si>
    <t>120.85177782453188</t>
  </si>
  <si>
    <t>chr_0021_whiten_71</t>
  </si>
  <si>
    <t>85.08394698085417</t>
  </si>
  <si>
    <t>78.85125184094234</t>
  </si>
  <si>
    <t>122.3858615611193</t>
  </si>
  <si>
    <t>chr_0021_whiten_72</t>
  </si>
  <si>
    <t>86.11312855038919</t>
  </si>
  <si>
    <t>79.85251420155669</t>
  </si>
  <si>
    <t>123.91994529770672</t>
  </si>
  <si>
    <t>chr_0021_whiten_73</t>
  </si>
  <si>
    <t>87.14231011992423</t>
  </si>
  <si>
    <t>80.85377656217103</t>
  </si>
  <si>
    <t>125.45402903429414</t>
  </si>
  <si>
    <t>chr_0021_whiten_74</t>
  </si>
  <si>
    <t>88.17149168945926</t>
  </si>
  <si>
    <t>81.85503892278538</t>
  </si>
  <si>
    <t>126.98811277088154</t>
  </si>
  <si>
    <t>chr_0021_whiten_75</t>
  </si>
  <si>
    <t>89.20067325899429</t>
  </si>
  <si>
    <t>82.85630128339972</t>
  </si>
  <si>
    <t>128.52219650746895</t>
  </si>
  <si>
    <t>chr_0021_whiten_76</t>
  </si>
  <si>
    <t>90.22985482852931</t>
  </si>
  <si>
    <t>83.85756364401406</t>
  </si>
  <si>
    <t>130.05628024405638</t>
  </si>
  <si>
    <t>chr_0021_whiten_77</t>
  </si>
  <si>
    <t>91.25903639806434</t>
  </si>
  <si>
    <t>84.85882600462841</t>
  </si>
  <si>
    <t>131.59036398064382</t>
  </si>
  <si>
    <t>chr_0021_whiten_78</t>
  </si>
  <si>
    <t>92.28821796759938</t>
  </si>
  <si>
    <t>85.86008836524276</t>
  </si>
  <si>
    <t>133.12444771723122</t>
  </si>
  <si>
    <t>chr_0021_whiten_79</t>
  </si>
  <si>
    <t>93.3173995371344</t>
  </si>
  <si>
    <t>86.86135072585711</t>
  </si>
  <si>
    <t>134.65853145381863</t>
  </si>
  <si>
    <t>chr_0021_whiten_80</t>
  </si>
  <si>
    <t>94.34658110666943</t>
  </si>
  <si>
    <t>87.86261308647146</t>
  </si>
  <si>
    <t>136.19261519040606</t>
  </si>
  <si>
    <t>chr_0021_whiten_81</t>
  </si>
  <si>
    <t>95.37576267620446</t>
  </si>
  <si>
    <t>88.8638754470858</t>
  </si>
  <si>
    <t>137.7266989269935</t>
  </si>
  <si>
    <t>chr_0021_whiten_82</t>
  </si>
  <si>
    <t>96.40494424573949</t>
  </si>
  <si>
    <t>89.86513780770014</t>
  </si>
  <si>
    <t>139.2607826635809</t>
  </si>
  <si>
    <t>chr_0021_whiten_83</t>
  </si>
  <si>
    <t>97.43412581527453</t>
  </si>
  <si>
    <t>90.86640016831448</t>
  </si>
  <si>
    <t>140.7948664001683</t>
  </si>
  <si>
    <t>chr_0021_whiten_84</t>
  </si>
  <si>
    <t>98.46330738480955</t>
  </si>
  <si>
    <t>91.86766252892883</t>
  </si>
  <si>
    <t>142.32895013675574</t>
  </si>
  <si>
    <t>chr_0021_whiten_85</t>
  </si>
  <si>
    <t>99.49248895434458</t>
  </si>
  <si>
    <t>92.86892488954318</t>
  </si>
  <si>
    <t>143.86303387334314</t>
  </si>
  <si>
    <t>chr_0021_whiten_86</t>
  </si>
  <si>
    <t>100.5216705238796</t>
  </si>
  <si>
    <t>93.87018725015753</t>
  </si>
  <si>
    <t>145.39711760993058</t>
  </si>
  <si>
    <t>chr_0021_whiten_87</t>
  </si>
  <si>
    <t>101.55085209341463</t>
  </si>
  <si>
    <t>94.87144961077188</t>
  </si>
  <si>
    <t>146.93120134651798</t>
  </si>
  <si>
    <t>chr_0021_whiten_88</t>
  </si>
  <si>
    <t>102.58003366294967</t>
  </si>
  <si>
    <t>95.87271197138621</t>
  </si>
  <si>
    <t>148.4652850831054</t>
  </si>
  <si>
    <t>chr_0021_whiten_89</t>
  </si>
  <si>
    <t>103.6092152324847</t>
  </si>
  <si>
    <t>96.87397433200056</t>
  </si>
  <si>
    <t>149.99936881969282</t>
  </si>
  <si>
    <t>chr_0021_whiten_90</t>
  </si>
  <si>
    <t>104.63839680201973</t>
  </si>
  <si>
    <t>97.8752366926149</t>
  </si>
  <si>
    <t>151.53345255628025</t>
  </si>
  <si>
    <t>chr_0021_whiten_91</t>
  </si>
  <si>
    <t>105.66757837155475</t>
  </si>
  <si>
    <t>98.87649905322925</t>
  </si>
  <si>
    <t>153.06753629286766</t>
  </si>
  <si>
    <t>chr_0021_whiten_92</t>
  </si>
  <si>
    <t>106.69675994108978</t>
  </si>
  <si>
    <t>99.8777614138436</t>
  </si>
  <si>
    <t>154.6016200294551</t>
  </si>
  <si>
    <t>chr_0021_whiten_93</t>
  </si>
  <si>
    <t>107.72594151062482</t>
  </si>
  <si>
    <t>100.87902377445795</t>
  </si>
  <si>
    <t>156.1357037660425</t>
  </si>
  <si>
    <t>chr_0021_whiten_94</t>
  </si>
  <si>
    <t>108.75512308015985</t>
  </si>
  <si>
    <t>101.88028613507228</t>
  </si>
  <si>
    <t>157.66978750262993</t>
  </si>
  <si>
    <t>chr_0021_whiten_95</t>
  </si>
  <si>
    <t>109.78430464969487</t>
  </si>
  <si>
    <t>102.88154849568663</t>
  </si>
  <si>
    <t>159.20387123921734</t>
  </si>
  <si>
    <t>chr_0021_whiten_96</t>
  </si>
  <si>
    <t>110.8134862192299</t>
  </si>
  <si>
    <t>103.88281085630098</t>
  </si>
  <si>
    <t>160.73795497580477</t>
  </si>
  <si>
    <t>chr_0021_whiten_97</t>
  </si>
  <si>
    <t>111.84266778876494</t>
  </si>
  <si>
    <t>104.88407321691533</t>
  </si>
  <si>
    <t>162.27203871239217</t>
  </si>
  <si>
    <t>chr_0021_whiten_98</t>
  </si>
  <si>
    <t>112.87184935829997</t>
  </si>
  <si>
    <t>105.88533557752967</t>
  </si>
  <si>
    <t>163.80612244897958</t>
  </si>
  <si>
    <t>chr_0021_whiten_99</t>
  </si>
  <si>
    <t>113.901030927835</t>
  </si>
  <si>
    <t>106.88659793814402</t>
  </si>
  <si>
    <t>165.340206185567</t>
  </si>
  <si>
    <t>chr_0026_lastrite_1</t>
  </si>
  <si>
    <t>chr_0026_lastrite</t>
  </si>
  <si>
    <t>别礼</t>
  </si>
  <si>
    <t>Last Rite</t>
  </si>
  <si>
    <t>大量伤害, 寒冷附着</t>
  </si>
  <si>
    <r>
      <t>【守墓人之赠】受到</t>
    </r>
    <r>
      <rPr>
        <b/>
        <sz val="11"/>
        <color rgb="FF33C2FF"/>
        <rFont val="宋体"/>
        <charset val="134"/>
      </rPr>
      <t>低温灌注</t>
    </r>
    <r>
      <rPr>
        <sz val="11"/>
        <color theme="1"/>
        <rFont val="宋体"/>
        <family val="2"/>
        <scheme val="minor"/>
      </rPr>
      <t>的主控干员，</t>
    </r>
    <r>
      <rPr>
        <u/>
        <sz val="11"/>
        <rFont val="宋体"/>
        <charset val="134"/>
      </rPr>
      <t>重击</t>
    </r>
    <r>
      <rPr>
        <sz val="11"/>
        <color theme="1"/>
        <rFont val="宋体"/>
        <family val="2"/>
        <scheme val="minor"/>
      </rPr>
      <t>命中敌人时额外造成</t>
    </r>
    <r>
      <rPr>
        <b/>
        <sz val="11"/>
        <color rgb="FF9EB7FF"/>
        <rFont val="宋体"/>
        <charset val="134"/>
      </rPr>
      <t>20%</t>
    </r>
    <r>
      <rPr>
        <sz val="11"/>
        <color theme="1"/>
        <rFont val="宋体"/>
        <family val="2"/>
        <scheme val="minor"/>
      </rPr>
      <t>伤害和</t>
    </r>
    <r>
      <rPr>
        <b/>
        <sz val="11"/>
        <color rgb="FF9EB7FF"/>
        <rFont val="宋体"/>
        <charset val="134"/>
      </rPr>
      <t>5</t>
    </r>
    <r>
      <rPr>
        <sz val="11"/>
        <color theme="1"/>
        <rFont val="宋体"/>
        <family val="2"/>
        <scheme val="minor"/>
      </rPr>
      <t>点失衡。</t>
    </r>
  </si>
  <si>
    <r>
      <t>【零度武装】力量</t>
    </r>
    <r>
      <rPr>
        <b/>
        <sz val="11"/>
        <color rgb="FF9EB7FF"/>
        <rFont val="宋体"/>
        <charset val="134"/>
      </rPr>
      <t>+20</t>
    </r>
    <r>
      <rPr>
        <sz val="11"/>
        <color theme="1"/>
        <rFont val="宋体"/>
        <family val="2"/>
        <scheme val="minor"/>
      </rPr>
      <t>，寒冷伤害</t>
    </r>
    <r>
      <rPr>
        <b/>
        <sz val="11"/>
        <color rgb="FF9EB7FF"/>
        <rFont val="宋体"/>
        <charset val="134"/>
      </rPr>
      <t>+10%</t>
    </r>
    <r>
      <rPr>
        <sz val="11"/>
        <color theme="1"/>
        <rFont val="宋体"/>
        <family val="2"/>
        <scheme val="minor"/>
      </rPr>
      <t>。</t>
    </r>
  </si>
  <si>
    <r>
      <t>【统御严冬】连携技</t>
    </r>
    <r>
      <rPr>
        <b/>
        <sz val="11"/>
        <color rgb="FF33C2FF"/>
        <rFont val="宋体"/>
        <charset val="134"/>
      </rPr>
      <t>噬冬</t>
    </r>
    <r>
      <rPr>
        <sz val="11"/>
        <color theme="1"/>
        <rFont val="宋体"/>
        <family val="2"/>
        <scheme val="minor"/>
      </rPr>
      <t>和终结技</t>
    </r>
    <r>
      <rPr>
        <b/>
        <sz val="11"/>
        <color rgb="FF33C2FF"/>
        <rFont val="宋体"/>
        <charset val="134"/>
      </rPr>
      <t>临终别礼</t>
    </r>
    <r>
      <rPr>
        <sz val="11"/>
        <color theme="1"/>
        <rFont val="宋体"/>
        <family val="2"/>
        <scheme val="minor"/>
      </rPr>
      <t>的伤害倍率提高至原本的</t>
    </r>
    <r>
      <rPr>
        <b/>
        <sz val="11"/>
        <color rgb="FF9EB7FF"/>
        <rFont val="宋体"/>
        <charset val="134"/>
      </rPr>
      <t>1.15</t>
    </r>
    <r>
      <rPr>
        <sz val="11"/>
        <color theme="1"/>
        <rFont val="宋体"/>
        <family val="2"/>
        <scheme val="minor"/>
      </rPr>
      <t>倍。</t>
    </r>
  </si>
  <si>
    <r>
      <t>【诚挚告别】终结技</t>
    </r>
    <r>
      <rPr>
        <b/>
        <sz val="11"/>
        <color rgb="FF33C2FF"/>
        <rFont val="宋体"/>
        <charset val="134"/>
      </rPr>
      <t>临终别礼</t>
    </r>
    <r>
      <rPr>
        <sz val="11"/>
        <color theme="1"/>
        <rFont val="宋体"/>
        <family val="2"/>
        <scheme val="minor"/>
      </rPr>
      <t>所需的终结技能量</t>
    </r>
    <r>
      <rPr>
        <b/>
        <sz val="11"/>
        <color rgb="FF9EB7FF"/>
        <rFont val="宋体"/>
        <charset val="134"/>
      </rPr>
      <t>-15%</t>
    </r>
    <r>
      <rPr>
        <sz val="11"/>
        <color theme="1"/>
        <rFont val="宋体"/>
        <family val="2"/>
        <scheme val="minor"/>
      </rPr>
      <t>。</t>
    </r>
  </si>
  <si>
    <r>
      <t>【寒风再起】战技</t>
    </r>
    <r>
      <rPr>
        <b/>
        <sz val="11"/>
        <color rgb="FF33C2FF"/>
        <rFont val="宋体"/>
        <charset val="134"/>
      </rPr>
      <t>塞什卡的秘传</t>
    </r>
    <r>
      <rPr>
        <u/>
        <sz val="11"/>
        <rFont val="宋体"/>
        <charset val="134"/>
      </rPr>
      <t>返还</t>
    </r>
    <r>
      <rPr>
        <sz val="11"/>
        <color theme="1"/>
        <rFont val="宋体"/>
        <family val="2"/>
        <scheme val="minor"/>
      </rPr>
      <t>的技力额外提高</t>
    </r>
    <r>
      <rPr>
        <b/>
        <sz val="11"/>
        <color rgb="FF9EB7FF"/>
        <rFont val="宋体"/>
        <charset val="134"/>
      </rPr>
      <t>5</t>
    </r>
    <r>
      <rPr>
        <sz val="11"/>
        <color theme="1"/>
        <rFont val="宋体"/>
        <family val="2"/>
        <scheme val="minor"/>
      </rPr>
      <t>点，并额外提高生成的幻影追击伤害倍率至原本的</t>
    </r>
    <r>
      <rPr>
        <b/>
        <sz val="11"/>
        <color rgb="FF9EB7FF"/>
        <rFont val="宋体"/>
        <charset val="134"/>
      </rPr>
      <t>1.2</t>
    </r>
    <r>
      <rPr>
        <sz val="11"/>
        <color theme="1"/>
        <rFont val="宋体"/>
        <family val="2"/>
        <scheme val="minor"/>
      </rPr>
      <t>倍。</t>
    </r>
  </si>
  <si>
    <t>chr_0026_lastrite_2</t>
  </si>
  <si>
    <t>23.149800126236087</t>
  </si>
  <si>
    <t>9.835724805386077</t>
  </si>
  <si>
    <t>16.926530612244886</t>
  </si>
  <si>
    <t>chr_0026_lastrite_3</t>
  </si>
  <si>
    <t>24.650115716389674</t>
  </si>
  <si>
    <t>10.908563012834005</t>
  </si>
  <si>
    <t>17.976772564695967</t>
  </si>
  <si>
    <t>chr_0026_lastrite_4</t>
  </si>
  <si>
    <t>26.15043130654326</t>
  </si>
  <si>
    <t>11.981401220281931</t>
  </si>
  <si>
    <t>19.02701451714705</t>
  </si>
  <si>
    <t>chr_0026_lastrite_5</t>
  </si>
  <si>
    <t>27.650746896696848</t>
  </si>
  <si>
    <t>13.054239427729858</t>
  </si>
  <si>
    <t>20.077256469598133</t>
  </si>
  <si>
    <t>chr_0026_lastrite_6</t>
  </si>
  <si>
    <t>29.151062486850435</t>
  </si>
  <si>
    <t>14.127077635177786</t>
  </si>
  <si>
    <t>21.127498422049218</t>
  </si>
  <si>
    <t>chr_0026_lastrite_7</t>
  </si>
  <si>
    <t>30.65137807700402</t>
  </si>
  <si>
    <t>15.199915842625712</t>
  </si>
  <si>
    <t>22.177740374500303</t>
  </si>
  <si>
    <t>chr_0026_lastrite_8</t>
  </si>
  <si>
    <t>32.15169366715761</t>
  </si>
  <si>
    <t>16.27275405007364</t>
  </si>
  <si>
    <t>23.227982326951384</t>
  </si>
  <si>
    <t>chr_0026_lastrite_9</t>
  </si>
  <si>
    <t>33.65200925731119</t>
  </si>
  <si>
    <t>17.345592257521567</t>
  </si>
  <si>
    <t>24.27822427940247</t>
  </si>
  <si>
    <t>chr_0026_lastrite_10</t>
  </si>
  <si>
    <t>35.15232484746478</t>
  </si>
  <si>
    <t>18.418430464969493</t>
  </si>
  <si>
    <t>25.328466231853554</t>
  </si>
  <si>
    <t>chr_0026_lastrite_11</t>
  </si>
  <si>
    <t>36.652640437618366</t>
  </si>
  <si>
    <t>19.49126867241742</t>
  </si>
  <si>
    <t>26.378708184304635</t>
  </si>
  <si>
    <t>chr_0026_lastrite_12</t>
  </si>
  <si>
    <t>38.15295602777195</t>
  </si>
  <si>
    <t>20.56410687986535</t>
  </si>
  <si>
    <t>27.42895013675572</t>
  </si>
  <si>
    <t>chr_0026_lastrite_13</t>
  </si>
  <si>
    <t>39.65327161792554</t>
  </si>
  <si>
    <t>21.636945087313272</t>
  </si>
  <si>
    <t>28.479192089206805</t>
  </si>
  <si>
    <t>chr_0026_lastrite_14</t>
  </si>
  <si>
    <t>41.15358720807913</t>
  </si>
  <si>
    <t>22.709783294761202</t>
  </si>
  <si>
    <t>29.529434041657886</t>
  </si>
  <si>
    <t>chr_0026_lastrite_15</t>
  </si>
  <si>
    <t>42.653902798232714</t>
  </si>
  <si>
    <t>23.78262150220913</t>
  </si>
  <si>
    <t>30.57967599410897</t>
  </si>
  <si>
    <t>chr_0026_lastrite_16</t>
  </si>
  <si>
    <t>44.1542183883863</t>
  </si>
  <si>
    <t>24.855459709657055</t>
  </si>
  <si>
    <t>31.629917946560056</t>
  </si>
  <si>
    <t>chr_0026_lastrite_17</t>
  </si>
  <si>
    <t>45.65453397853989</t>
  </si>
  <si>
    <t>25.928297917104985</t>
  </si>
  <si>
    <t>32.68015989901114</t>
  </si>
  <si>
    <t>chr_0026_lastrite_18</t>
  </si>
  <si>
    <t>47.15484956869348</t>
  </si>
  <si>
    <t>27.001136124552907</t>
  </si>
  <si>
    <t>33.73040185146222</t>
  </si>
  <si>
    <t>chr_0026_lastrite_19</t>
  </si>
  <si>
    <t>48.65516515884706</t>
  </si>
  <si>
    <t>28.073974332000837</t>
  </si>
  <si>
    <t>34.78064380391331</t>
  </si>
  <si>
    <t>chr_0026_lastrite_20</t>
  </si>
  <si>
    <t>50.155480749000645</t>
  </si>
  <si>
    <t>29.146812539448767</t>
  </si>
  <si>
    <t>35.83088575636439</t>
  </si>
  <si>
    <t>chr_0026_lastrite_21</t>
  </si>
  <si>
    <t>51.655796339154236</t>
  </si>
  <si>
    <t>30.21965074689669</t>
  </si>
  <si>
    <t>36.88112770881547</t>
  </si>
  <si>
    <t>chr_0026_lastrite_22</t>
  </si>
  <si>
    <t>53.156111929307826</t>
  </si>
  <si>
    <t>31.29248895434462</t>
  </si>
  <si>
    <t>37.93136966126656</t>
  </si>
  <si>
    <t>chr_0026_lastrite_23</t>
  </si>
  <si>
    <t>54.6564275194614</t>
  </si>
  <si>
    <t>32.36532716179254</t>
  </si>
  <si>
    <t>38.98161161371764</t>
  </si>
  <si>
    <t>chr_0026_lastrite_24</t>
  </si>
  <si>
    <t>56.15674310961499</t>
  </si>
  <si>
    <t>33.43816536924047</t>
  </si>
  <si>
    <t>40.03185356616872</t>
  </si>
  <si>
    <t>chr_0026_lastrite_25</t>
  </si>
  <si>
    <t>57.657058699768584</t>
  </si>
  <si>
    <t>34.511003576688395</t>
  </si>
  <si>
    <t>41.08209551861981</t>
  </si>
  <si>
    <t>chr_0026_lastrite_26</t>
  </si>
  <si>
    <t>59.157374289922174</t>
  </si>
  <si>
    <t>35.583841784136325</t>
  </si>
  <si>
    <t>42.13233747107089</t>
  </si>
  <si>
    <t>chr_0026_lastrite_27</t>
  </si>
  <si>
    <t>60.65768988007575</t>
  </si>
  <si>
    <t>36.656679991584255</t>
  </si>
  <si>
    <t>43.18257942352197</t>
  </si>
  <si>
    <t>chr_0026_lastrite_28</t>
  </si>
  <si>
    <t>62.15800547022934</t>
  </si>
  <si>
    <t>37.72951819903218</t>
  </si>
  <si>
    <t>44.23282137597306</t>
  </si>
  <si>
    <t>chr_0026_lastrite_29</t>
  </si>
  <si>
    <t>63.65832106038293</t>
  </si>
  <si>
    <t>38.80235640648011</t>
  </si>
  <si>
    <t>45.28306332842414</t>
  </si>
  <si>
    <t>chr_0026_lastrite_30</t>
  </si>
  <si>
    <t>65.15863665053652</t>
  </si>
  <si>
    <t>39.87519461392803</t>
  </si>
  <si>
    <t>46.33330528087522</t>
  </si>
  <si>
    <t>chr_0026_lastrite_31</t>
  </si>
  <si>
    <t>66.6589522406901</t>
  </si>
  <si>
    <t>40.94803282137596</t>
  </si>
  <si>
    <t>47.38354723332631</t>
  </si>
  <si>
    <t>chr_0026_lastrite_32</t>
  </si>
  <si>
    <t>68.15926783084369</t>
  </si>
  <si>
    <t>42.02087102882388</t>
  </si>
  <si>
    <t>48.43378918577739</t>
  </si>
  <si>
    <t>chr_0026_lastrite_33</t>
  </si>
  <si>
    <t>69.65958342099728</t>
  </si>
  <si>
    <t>43.09370923627181</t>
  </si>
  <si>
    <t>49.484031138228474</t>
  </si>
  <si>
    <t>chr_0026_lastrite_34</t>
  </si>
  <si>
    <t>71.15989901115086</t>
  </si>
  <si>
    <t>44.16654744371974</t>
  </si>
  <si>
    <t>50.534273090679555</t>
  </si>
  <si>
    <t>chr_0026_lastrite_35</t>
  </si>
  <si>
    <t>72.66021460130445</t>
  </si>
  <si>
    <t>45.239385651167666</t>
  </si>
  <si>
    <t>51.584515043130644</t>
  </si>
  <si>
    <t>chr_0026_lastrite_36</t>
  </si>
  <si>
    <t>74.16053019145804</t>
  </si>
  <si>
    <t>46.312223858615596</t>
  </si>
  <si>
    <t>52.634756995581725</t>
  </si>
  <si>
    <t>chr_0026_lastrite_37</t>
  </si>
  <si>
    <t>75.66084578161163</t>
  </si>
  <si>
    <t>47.38506206606352</t>
  </si>
  <si>
    <t>53.684998948032806</t>
  </si>
  <si>
    <t>chr_0026_lastrite_38</t>
  </si>
  <si>
    <t>77.1611613717652</t>
  </si>
  <si>
    <t>48.45790027351145</t>
  </si>
  <si>
    <t>54.735240900483895</t>
  </si>
  <si>
    <t>chr_0026_lastrite_39</t>
  </si>
  <si>
    <t>78.6614769619188</t>
  </si>
  <si>
    <t>49.53073848095938</t>
  </si>
  <si>
    <t>55.785482852934976</t>
  </si>
  <si>
    <t>chr_0026_lastrite_40</t>
  </si>
  <si>
    <t>80.16179255207238</t>
  </si>
  <si>
    <t>50.6035766884073</t>
  </si>
  <si>
    <t>56.83572480538606</t>
  </si>
  <si>
    <t>【低温症 Lv.1】当别礼消耗任何法术附着后，对该目标施加寒冷脆弱，效果为被消耗的法术附着层数×2%，持续15秒，该效果无法叠加。</t>
  </si>
  <si>
    <r>
      <t>【低温症 Lv.1】当别礼</t>
    </r>
    <r>
      <rPr>
        <u/>
        <sz val="11"/>
        <rFont val="宋体"/>
        <charset val="134"/>
      </rPr>
      <t>消耗</t>
    </r>
    <r>
      <rPr>
        <sz val="11"/>
        <color theme="1"/>
        <rFont val="宋体"/>
        <family val="2"/>
        <scheme val="minor"/>
      </rPr>
      <t>任何</t>
    </r>
    <r>
      <rPr>
        <b/>
        <u/>
        <sz val="11"/>
        <color rgb="FF33C2FF"/>
        <rFont val="宋体"/>
        <charset val="134"/>
      </rPr>
      <t>法术附着</t>
    </r>
    <r>
      <rPr>
        <sz val="11"/>
        <color theme="1"/>
        <rFont val="宋体"/>
        <family val="2"/>
        <scheme val="minor"/>
      </rPr>
      <t>后，对该目标施加</t>
    </r>
    <r>
      <rPr>
        <b/>
        <u/>
        <sz val="11"/>
        <color rgb="FF30D6E0"/>
        <rFont val="宋体"/>
        <charset val="134"/>
      </rPr>
      <t>寒冷脆弱</t>
    </r>
    <r>
      <rPr>
        <sz val="11"/>
        <color theme="1"/>
        <rFont val="宋体"/>
        <family val="2"/>
        <scheme val="minor"/>
      </rPr>
      <t>，效果为被</t>
    </r>
    <r>
      <rPr>
        <u/>
        <sz val="11"/>
        <rFont val="宋体"/>
        <charset val="134"/>
      </rPr>
      <t>消耗</t>
    </r>
    <r>
      <rPr>
        <sz val="11"/>
        <color theme="1"/>
        <rFont val="宋体"/>
        <family val="2"/>
        <scheme val="minor"/>
      </rPr>
      <t>的</t>
    </r>
    <r>
      <rPr>
        <b/>
        <u/>
        <sz val="11"/>
        <color rgb="FF33C2FF"/>
        <rFont val="宋体"/>
        <charset val="134"/>
      </rPr>
      <t>法术附着</t>
    </r>
    <r>
      <rPr>
        <sz val="11"/>
        <color theme="1"/>
        <rFont val="宋体"/>
        <family val="2"/>
        <scheme val="minor"/>
      </rPr>
      <t>层数×</t>
    </r>
    <r>
      <rPr>
        <b/>
        <sz val="11"/>
        <color rgb="FF9EB7FF"/>
        <rFont val="宋体"/>
        <charset val="134"/>
      </rPr>
      <t>2%</t>
    </r>
    <r>
      <rPr>
        <sz val="11"/>
        <color theme="1"/>
        <rFont val="宋体"/>
        <family val="2"/>
        <scheme val="minor"/>
      </rPr>
      <t>，持续</t>
    </r>
    <r>
      <rPr>
        <b/>
        <sz val="11"/>
        <color rgb="FF9EB7FF"/>
        <rFont val="宋体"/>
        <charset val="134"/>
      </rPr>
      <t>15</t>
    </r>
    <r>
      <rPr>
        <sz val="11"/>
        <color theme="1"/>
        <rFont val="宋体"/>
        <family val="2"/>
        <scheme val="minor"/>
      </rPr>
      <t>秒，该效果无法叠加。</t>
    </r>
  </si>
  <si>
    <r>
      <t>【低温症 Lv.2】当别礼</t>
    </r>
    <r>
      <rPr>
        <u/>
        <sz val="11"/>
        <rFont val="宋体"/>
        <charset val="134"/>
      </rPr>
      <t>消耗</t>
    </r>
    <r>
      <rPr>
        <sz val="11"/>
        <color theme="1"/>
        <rFont val="宋体"/>
        <family val="2"/>
        <scheme val="minor"/>
      </rPr>
      <t>任何</t>
    </r>
    <r>
      <rPr>
        <b/>
        <u/>
        <sz val="11"/>
        <color rgb="FF33C2FF"/>
        <rFont val="宋体"/>
        <charset val="134"/>
      </rPr>
      <t>法术附着</t>
    </r>
    <r>
      <rPr>
        <sz val="11"/>
        <color theme="1"/>
        <rFont val="宋体"/>
        <family val="2"/>
        <scheme val="minor"/>
      </rPr>
      <t>后，对该目标施加</t>
    </r>
    <r>
      <rPr>
        <b/>
        <u/>
        <sz val="11"/>
        <color rgb="FF30D6E0"/>
        <rFont val="宋体"/>
        <charset val="134"/>
      </rPr>
      <t>寒冷脆弱</t>
    </r>
    <r>
      <rPr>
        <sz val="11"/>
        <color theme="1"/>
        <rFont val="宋体"/>
        <family val="2"/>
        <scheme val="minor"/>
      </rPr>
      <t>，效果为被</t>
    </r>
    <r>
      <rPr>
        <u/>
        <sz val="11"/>
        <rFont val="宋体"/>
        <charset val="134"/>
      </rPr>
      <t>消耗</t>
    </r>
    <r>
      <rPr>
        <sz val="11"/>
        <color theme="1"/>
        <rFont val="宋体"/>
        <family val="2"/>
        <scheme val="minor"/>
      </rPr>
      <t>的</t>
    </r>
    <r>
      <rPr>
        <b/>
        <u/>
        <sz val="11"/>
        <color rgb="FF33C2FF"/>
        <rFont val="宋体"/>
        <charset val="134"/>
      </rPr>
      <t>法术附着</t>
    </r>
    <r>
      <rPr>
        <sz val="11"/>
        <color theme="1"/>
        <rFont val="宋体"/>
        <family val="2"/>
        <scheme val="minor"/>
      </rPr>
      <t>层数×</t>
    </r>
    <r>
      <rPr>
        <b/>
        <sz val="11"/>
        <color rgb="FF9EB7FF"/>
        <rFont val="宋体"/>
        <charset val="134"/>
      </rPr>
      <t>4%</t>
    </r>
    <r>
      <rPr>
        <sz val="11"/>
        <color theme="1"/>
        <rFont val="宋体"/>
        <family val="2"/>
        <scheme val="minor"/>
      </rPr>
      <t>，持续</t>
    </r>
    <r>
      <rPr>
        <b/>
        <sz val="11"/>
        <color rgb="FF9EB7FF"/>
        <rFont val="宋体"/>
        <charset val="134"/>
      </rPr>
      <t>15</t>
    </r>
    <r>
      <rPr>
        <sz val="11"/>
        <color theme="1"/>
        <rFont val="宋体"/>
        <family val="2"/>
        <scheme val="minor"/>
      </rPr>
      <t>秒，该效果无法叠加。</t>
    </r>
  </si>
  <si>
    <t>【低温脆性 Lv.1】终结技临终别礼造成伤害时，如果敌人处于寒冷脆弱状态，将其寒冷脆弱的效果视为原本的1.2倍。</t>
  </si>
  <si>
    <r>
      <t>【低温脆性 Lv.1】终结技</t>
    </r>
    <r>
      <rPr>
        <b/>
        <sz val="11"/>
        <color rgb="FF33C2FF"/>
        <rFont val="宋体"/>
        <charset val="134"/>
      </rPr>
      <t>临终别礼</t>
    </r>
    <r>
      <rPr>
        <sz val="11"/>
        <color theme="1"/>
        <rFont val="宋体"/>
        <family val="2"/>
        <scheme val="minor"/>
      </rPr>
      <t>造成伤害时，如果敌人处于</t>
    </r>
    <r>
      <rPr>
        <b/>
        <u/>
        <sz val="11"/>
        <color rgb="FF30D6E0"/>
        <rFont val="宋体"/>
        <charset val="134"/>
      </rPr>
      <t>寒冷脆弱</t>
    </r>
    <r>
      <rPr>
        <sz val="11"/>
        <color theme="1"/>
        <rFont val="宋体"/>
        <family val="2"/>
        <scheme val="minor"/>
      </rPr>
      <t>状态，将其</t>
    </r>
    <r>
      <rPr>
        <b/>
        <u/>
        <sz val="11"/>
        <color rgb="FF30D6E0"/>
        <rFont val="宋体"/>
        <charset val="134"/>
      </rPr>
      <t>寒冷脆弱</t>
    </r>
    <r>
      <rPr>
        <sz val="11"/>
        <color theme="1"/>
        <rFont val="宋体"/>
        <family val="2"/>
        <scheme val="minor"/>
      </rPr>
      <t>的效果视为原本的</t>
    </r>
    <r>
      <rPr>
        <b/>
        <sz val="11"/>
        <color rgb="FF9EB7FF"/>
        <rFont val="宋体"/>
        <charset val="134"/>
      </rPr>
      <t>1.2</t>
    </r>
    <r>
      <rPr>
        <sz val="11"/>
        <color theme="1"/>
        <rFont val="宋体"/>
        <family val="2"/>
        <scheme val="minor"/>
      </rPr>
      <t>倍。</t>
    </r>
  </si>
  <si>
    <t>chr_0026_lastrite_41</t>
  </si>
  <si>
    <t>81.66210814222597</t>
  </si>
  <si>
    <t>51.67641489585523</t>
  </si>
  <si>
    <t>57.88596675783714</t>
  </si>
  <si>
    <t>chr_0026_lastrite_42</t>
  </si>
  <si>
    <t>83.16242373237955</t>
  </si>
  <si>
    <t>52.749253103303154</t>
  </si>
  <si>
    <t>58.93620871028823</t>
  </si>
  <si>
    <t>chr_0026_lastrite_43</t>
  </si>
  <si>
    <t>84.66273932253314</t>
  </si>
  <si>
    <t>53.822091310751084</t>
  </si>
  <si>
    <t>59.98645066273931</t>
  </si>
  <si>
    <t>chr_0026_lastrite_44</t>
  </si>
  <si>
    <t>86.16305491268673</t>
  </si>
  <si>
    <t>54.894929518199014</t>
  </si>
  <si>
    <t>61.03669261519039</t>
  </si>
  <si>
    <t>chr_0026_lastrite_45</t>
  </si>
  <si>
    <t>87.66337050284031</t>
  </si>
  <si>
    <t>55.96776772564694</t>
  </si>
  <si>
    <t>62.08693456764148</t>
  </si>
  <si>
    <t>chr_0026_lastrite_46</t>
  </si>
  <si>
    <t>89.1636860929939</t>
  </si>
  <si>
    <t>57.04060593309487</t>
  </si>
  <si>
    <t>63.13717652009256</t>
  </si>
  <si>
    <t>chr_0026_lastrite_47</t>
  </si>
  <si>
    <t>90.66400168314749</t>
  </si>
  <si>
    <t>58.11344414054279</t>
  </si>
  <si>
    <t>64.18741847254364</t>
  </si>
  <si>
    <t>chr_0026_lastrite_48</t>
  </si>
  <si>
    <t>92.16431727330108</t>
  </si>
  <si>
    <t>59.18628234799072</t>
  </si>
  <si>
    <t>65.23766042499473</t>
  </si>
  <si>
    <t>chr_0026_lastrite_49</t>
  </si>
  <si>
    <t>93.66463286345466</t>
  </si>
  <si>
    <t>60.25912055543864</t>
  </si>
  <si>
    <t>66.28790237744582</t>
  </si>
  <si>
    <t>chr_0026_lastrite_50</t>
  </si>
  <si>
    <t>95.16494845360825</t>
  </si>
  <si>
    <t>61.33195876288657</t>
  </si>
  <si>
    <t>67.33814432989689</t>
  </si>
  <si>
    <t>chr_0026_lastrite_51</t>
  </si>
  <si>
    <t>96.66526404376184</t>
  </si>
  <si>
    <t>62.4047969703345</t>
  </si>
  <si>
    <t>68.38838628234798</t>
  </si>
  <si>
    <t>chr_0026_lastrite_52</t>
  </si>
  <si>
    <t>98.16557963391541</t>
  </si>
  <si>
    <t>63.477635177782425</t>
  </si>
  <si>
    <t>69.43862823479907</t>
  </si>
  <si>
    <t>chr_0026_lastrite_53</t>
  </si>
  <si>
    <t>99.665895224069</t>
  </si>
  <si>
    <t>64.55047338523036</t>
  </si>
  <si>
    <t>70.48887018725014</t>
  </si>
  <si>
    <t>chr_0026_lastrite_54</t>
  </si>
  <si>
    <t>101.1662108142226</t>
  </si>
  <si>
    <t>65.62331159267828</t>
  </si>
  <si>
    <t>71.53911213970123</t>
  </si>
  <si>
    <t>chr_0026_lastrite_55</t>
  </si>
  <si>
    <t>102.66652640437619</t>
  </si>
  <si>
    <t>66.69614980012621</t>
  </si>
  <si>
    <t>72.58935409215232</t>
  </si>
  <si>
    <t>chr_0026_lastrite_56</t>
  </si>
  <si>
    <t>104.16684199452976</t>
  </si>
  <si>
    <t>67.76898800757414</t>
  </si>
  <si>
    <t>73.6395960446034</t>
  </si>
  <si>
    <t>chr_0026_lastrite_57</t>
  </si>
  <si>
    <t>105.66715758468335</t>
  </si>
  <si>
    <t>68.84182621502207</t>
  </si>
  <si>
    <t>74.68983799705448</t>
  </si>
  <si>
    <t>chr_0026_lastrite_58</t>
  </si>
  <si>
    <t>107.16747317483694</t>
  </si>
  <si>
    <t>69.91466442247</t>
  </si>
  <si>
    <t>75.74007994950557</t>
  </si>
  <si>
    <t>chr_0026_lastrite_59</t>
  </si>
  <si>
    <t>108.66778876499053</t>
  </si>
  <si>
    <t>70.98750262991791</t>
  </si>
  <si>
    <t>76.79032190195664</t>
  </si>
  <si>
    <t>chr_0026_lastrite_60</t>
  </si>
  <si>
    <t>110.16810435514411</t>
  </si>
  <si>
    <t>72.06034083736584</t>
  </si>
  <si>
    <t>77.84056385440772</t>
  </si>
  <si>
    <r>
      <t>【低温脆性 Lv.2】终结技</t>
    </r>
    <r>
      <rPr>
        <b/>
        <sz val="11"/>
        <color rgb="FF33C2FF"/>
        <rFont val="宋体"/>
        <charset val="134"/>
      </rPr>
      <t>临终别礼</t>
    </r>
    <r>
      <rPr>
        <sz val="11"/>
        <color theme="1"/>
        <rFont val="宋体"/>
        <family val="2"/>
        <scheme val="minor"/>
      </rPr>
      <t>造成伤害时，如果敌人处于</t>
    </r>
    <r>
      <rPr>
        <b/>
        <u/>
        <sz val="11"/>
        <color rgb="FF30D6E0"/>
        <rFont val="宋体"/>
        <charset val="134"/>
      </rPr>
      <t>寒冷脆弱</t>
    </r>
    <r>
      <rPr>
        <sz val="11"/>
        <color theme="1"/>
        <rFont val="宋体"/>
        <family val="2"/>
        <scheme val="minor"/>
      </rPr>
      <t>状态，将其</t>
    </r>
    <r>
      <rPr>
        <b/>
        <u/>
        <sz val="11"/>
        <color rgb="FF30D6E0"/>
        <rFont val="宋体"/>
        <charset val="134"/>
      </rPr>
      <t>寒冷脆弱</t>
    </r>
    <r>
      <rPr>
        <sz val="11"/>
        <color theme="1"/>
        <rFont val="宋体"/>
        <family val="2"/>
        <scheme val="minor"/>
      </rPr>
      <t>的效果视为原本的</t>
    </r>
    <r>
      <rPr>
        <b/>
        <sz val="11"/>
        <color rgb="FF9EB7FF"/>
        <rFont val="宋体"/>
        <charset val="134"/>
      </rPr>
      <t>1.5</t>
    </r>
    <r>
      <rPr>
        <sz val="11"/>
        <color theme="1"/>
        <rFont val="宋体"/>
        <family val="2"/>
        <scheme val="minor"/>
      </rPr>
      <t>倍。</t>
    </r>
  </si>
  <si>
    <t>chr_0026_lastrite_61</t>
  </si>
  <si>
    <t>111.6684199452977</t>
  </si>
  <si>
    <t>73.13317904481377</t>
  </si>
  <si>
    <t>78.89080580685882</t>
  </si>
  <si>
    <t>chr_0026_lastrite_62</t>
  </si>
  <si>
    <t>113.16873553545129</t>
  </si>
  <si>
    <t>74.2060172522617</t>
  </si>
  <si>
    <t>79.9410477593099</t>
  </si>
  <si>
    <t>chr_0026_lastrite_63</t>
  </si>
  <si>
    <t>114.66905112560488</t>
  </si>
  <si>
    <t>75.27885545970962</t>
  </si>
  <si>
    <t>80.99128971176098</t>
  </si>
  <si>
    <t>chr_0026_lastrite_64</t>
  </si>
  <si>
    <t>116.16936671575846</t>
  </si>
  <si>
    <t>76.35169366715755</t>
  </si>
  <si>
    <t>82.04153166421206</t>
  </si>
  <si>
    <t>chr_0026_lastrite_65</t>
  </si>
  <si>
    <t>117.66968230591205</t>
  </si>
  <si>
    <t>77.42453187460548</t>
  </si>
  <si>
    <t>83.09177361666315</t>
  </si>
  <si>
    <t>chr_0026_lastrite_66</t>
  </si>
  <si>
    <t>119.16999789606564</t>
  </si>
  <si>
    <t>78.49737008205341</t>
  </si>
  <si>
    <t>84.14201556911424</t>
  </si>
  <si>
    <t>chr_0026_lastrite_67</t>
  </si>
  <si>
    <t>120.67031348621921</t>
  </si>
  <si>
    <t>79.57020828950134</t>
  </si>
  <si>
    <t>85.19225752156531</t>
  </si>
  <si>
    <t>chr_0026_lastrite_68</t>
  </si>
  <si>
    <t>122.1706290763728</t>
  </si>
  <si>
    <t>80.64304649694925</t>
  </si>
  <si>
    <t>86.2424994740164</t>
  </si>
  <si>
    <t>chr_0026_lastrite_69</t>
  </si>
  <si>
    <t>123.6709446665264</t>
  </si>
  <si>
    <t>81.71588470439718</t>
  </si>
  <si>
    <t>87.29274142646749</t>
  </si>
  <si>
    <t>chr_0026_lastrite_70</t>
  </si>
  <si>
    <t>125.17126025667999</t>
  </si>
  <si>
    <t>82.78872291184511</t>
  </si>
  <si>
    <t>88.34298337891856</t>
  </si>
  <si>
    <t>chr_0026_lastrite_71</t>
  </si>
  <si>
    <t>126.67157584683356</t>
  </si>
  <si>
    <t>83.86156111929304</t>
  </si>
  <si>
    <t>89.39322533136965</t>
  </si>
  <si>
    <t>chr_0026_lastrite_72</t>
  </si>
  <si>
    <t>128.17189143698715</t>
  </si>
  <si>
    <t>84.93439932674097</t>
  </si>
  <si>
    <t>90.44346728382074</t>
  </si>
  <si>
    <t>chr_0026_lastrite_73</t>
  </si>
  <si>
    <t>129.67220702714076</t>
  </si>
  <si>
    <t>86.00723753418889</t>
  </si>
  <si>
    <t>91.49370923627181</t>
  </si>
  <si>
    <t>chr_0026_lastrite_74</t>
  </si>
  <si>
    <t>131.17252261729433</t>
  </si>
  <si>
    <t>87.08007574163682</t>
  </si>
  <si>
    <t>92.5439511887229</t>
  </si>
  <si>
    <t>chr_0026_lastrite_75</t>
  </si>
  <si>
    <t>132.6728382074479</t>
  </si>
  <si>
    <t>88.15291394908475</t>
  </si>
  <si>
    <t>93.59419314117399</t>
  </si>
  <si>
    <t>chr_0026_lastrite_76</t>
  </si>
  <si>
    <t>134.17315379760151</t>
  </si>
  <si>
    <t>89.22575215653268</t>
  </si>
  <si>
    <t>94.64443509362506</t>
  </si>
  <si>
    <t>chr_0026_lastrite_77</t>
  </si>
  <si>
    <t>135.6734693877551</t>
  </si>
  <si>
    <t>90.29859036398061</t>
  </si>
  <si>
    <t>95.69467704607615</t>
  </si>
  <si>
    <t>chr_0026_lastrite_78</t>
  </si>
  <si>
    <t>137.1737849779087</t>
  </si>
  <si>
    <t>91.37142857142852</t>
  </si>
  <si>
    <t>96.74491899852724</t>
  </si>
  <si>
    <t>chr_0026_lastrite_79</t>
  </si>
  <si>
    <t>138.67410056806227</t>
  </si>
  <si>
    <t>92.44426677887645</t>
  </si>
  <si>
    <t>97.79516095097831</t>
  </si>
  <si>
    <t>chr_0026_lastrite_80</t>
  </si>
  <si>
    <t>140.17441615821585</t>
  </si>
  <si>
    <t>93.51710498632438</t>
  </si>
  <si>
    <t>98.8454029034294</t>
  </si>
  <si>
    <t>chr_0026_lastrite_81</t>
  </si>
  <si>
    <t>141.67473174836945</t>
  </si>
  <si>
    <t>94.58994319377231</t>
  </si>
  <si>
    <t>99.89564485588048</t>
  </si>
  <si>
    <t>chr_0026_lastrite_82</t>
  </si>
  <si>
    <t>143.17504733852303</t>
  </si>
  <si>
    <t>95.66278140122024</t>
  </si>
  <si>
    <t>100.94588680833157</t>
  </si>
  <si>
    <t>chr_0026_lastrite_83</t>
  </si>
  <si>
    <t>144.6753629286766</t>
  </si>
  <si>
    <t>96.73561960866816</t>
  </si>
  <si>
    <t>101.99612876078265</t>
  </si>
  <si>
    <t>chr_0026_lastrite_84</t>
  </si>
  <si>
    <t>146.1756785188302</t>
  </si>
  <si>
    <t>97.80845781611609</t>
  </si>
  <si>
    <t>103.04637071323373</t>
  </si>
  <si>
    <t>chr_0026_lastrite_85</t>
  </si>
  <si>
    <t>147.6759941089838</t>
  </si>
  <si>
    <t>98.88129602356402</t>
  </si>
  <si>
    <t>104.09661266568482</t>
  </si>
  <si>
    <t>chr_0026_lastrite_86</t>
  </si>
  <si>
    <t>149.17630969913736</t>
  </si>
  <si>
    <t>99.95413423101195</t>
  </si>
  <si>
    <t>105.1468546181359</t>
  </si>
  <si>
    <t>chr_0026_lastrite_87</t>
  </si>
  <si>
    <t>150.67662528929097</t>
  </si>
  <si>
    <t>101.02697243845988</t>
  </si>
  <si>
    <t>106.19709657058698</t>
  </si>
  <si>
    <t>chr_0026_lastrite_88</t>
  </si>
  <si>
    <t>152.17694087944454</t>
  </si>
  <si>
    <t>102.0998106459078</t>
  </si>
  <si>
    <t>107.24733852303807</t>
  </si>
  <si>
    <t>chr_0026_lastrite_89</t>
  </si>
  <si>
    <t>153.67725646959812</t>
  </si>
  <si>
    <t>103.17264885335572</t>
  </si>
  <si>
    <t>108.29758047548916</t>
  </si>
  <si>
    <t>chr_0026_lastrite_90</t>
  </si>
  <si>
    <t>155.17757205975172</t>
  </si>
  <si>
    <t>104.24548706080365</t>
  </si>
  <si>
    <t>109.34782242794023</t>
  </si>
  <si>
    <t>chr_0026_lastrite_91</t>
  </si>
  <si>
    <t>156.6778876499053</t>
  </si>
  <si>
    <t>105.31832526825158</t>
  </si>
  <si>
    <t>110.39806438039132</t>
  </si>
  <si>
    <t>chr_0026_lastrite_92</t>
  </si>
  <si>
    <t>158.17820324005888</t>
  </si>
  <si>
    <t>106.39116347569951</t>
  </si>
  <si>
    <t>111.4483063328424</t>
  </si>
  <si>
    <t>chr_0026_lastrite_93</t>
  </si>
  <si>
    <t>159.67851883021248</t>
  </si>
  <si>
    <t>107.46400168314743</t>
  </si>
  <si>
    <t>112.49854828529348</t>
  </si>
  <si>
    <t>chr_0026_lastrite_94</t>
  </si>
  <si>
    <t>161.17883442036606</t>
  </si>
  <si>
    <t>108.53683989059536</t>
  </si>
  <si>
    <t>113.54879023774457</t>
  </si>
  <si>
    <t>chr_0026_lastrite_95</t>
  </si>
  <si>
    <t>162.67915001051966</t>
  </si>
  <si>
    <t>109.60967809804329</t>
  </si>
  <si>
    <t>114.59903219019566</t>
  </si>
  <si>
    <t>chr_0026_lastrite_96</t>
  </si>
  <si>
    <t>164.17946560067324</t>
  </si>
  <si>
    <t>110.68251630549122</t>
  </si>
  <si>
    <t>115.64927414264673</t>
  </si>
  <si>
    <t>chr_0026_lastrite_97</t>
  </si>
  <si>
    <t>165.67978119082682</t>
  </si>
  <si>
    <t>111.75535451293914</t>
  </si>
  <si>
    <t>116.69951609509782</t>
  </si>
  <si>
    <t>chr_0026_lastrite_98</t>
  </si>
  <si>
    <t>167.18009678098042</t>
  </si>
  <si>
    <t>112.82819272038707</t>
  </si>
  <si>
    <t>117.74975804754891</t>
  </si>
  <si>
    <t>chr_0026_lastrite_99</t>
  </si>
  <si>
    <t>chr_0022_bounda_1</t>
  </si>
  <si>
    <t>chr_0022_bounda</t>
  </si>
  <si>
    <t>萤石</t>
  </si>
  <si>
    <t>Fluorite</t>
  </si>
  <si>
    <t>自然附着, 寒冷附着</t>
  </si>
  <si>
    <r>
      <t>【利手成双】敏捷</t>
    </r>
    <r>
      <rPr>
        <b/>
        <sz val="11"/>
        <color rgb="FF9EB7FF"/>
        <rFont val="宋体"/>
        <charset val="134"/>
      </rPr>
      <t>+10</t>
    </r>
    <r>
      <rPr>
        <sz val="11"/>
        <color theme="1"/>
        <rFont val="宋体"/>
        <family val="2"/>
        <scheme val="minor"/>
      </rPr>
      <t>，智识</t>
    </r>
    <r>
      <rPr>
        <b/>
        <sz val="11"/>
        <color rgb="FF9EB7FF"/>
        <rFont val="宋体"/>
        <charset val="134"/>
      </rPr>
      <t>+10</t>
    </r>
    <r>
      <rPr>
        <sz val="11"/>
        <color theme="1"/>
        <rFont val="宋体"/>
        <family val="2"/>
        <scheme val="minor"/>
      </rPr>
      <t>。</t>
    </r>
  </si>
  <si>
    <r>
      <t>【读心技巧】天赋</t>
    </r>
    <r>
      <rPr>
        <b/>
        <sz val="11"/>
        <color rgb="FF33C2FF"/>
        <rFont val="宋体"/>
        <charset val="134"/>
      </rPr>
      <t>捉摸不定</t>
    </r>
    <r>
      <rPr>
        <sz val="11"/>
        <color theme="1"/>
        <rFont val="宋体"/>
        <family val="2"/>
        <scheme val="minor"/>
      </rPr>
      <t>效果加强：法术伤害免疫概率</t>
    </r>
    <r>
      <rPr>
        <b/>
        <sz val="11"/>
        <color rgb="FF9EB7FF"/>
        <rFont val="宋体"/>
        <charset val="134"/>
      </rPr>
      <t>+10%</t>
    </r>
    <r>
      <rPr>
        <sz val="11"/>
        <color theme="1"/>
        <rFont val="宋体"/>
        <family val="2"/>
        <scheme val="minor"/>
      </rPr>
      <t>。</t>
    </r>
  </si>
  <si>
    <r>
      <t>【三倍惊喜】战技</t>
    </r>
    <r>
      <rPr>
        <b/>
        <sz val="11"/>
        <color rgb="FF33C2FF"/>
        <rFont val="宋体"/>
        <charset val="134"/>
      </rPr>
      <t>小惊喜</t>
    </r>
    <r>
      <rPr>
        <sz val="11"/>
        <color theme="1"/>
        <rFont val="宋体"/>
        <family val="2"/>
        <scheme val="minor"/>
      </rPr>
      <t>黏附的</t>
    </r>
    <r>
      <rPr>
        <b/>
        <sz val="11"/>
        <color rgb="FF33C2FF"/>
        <rFont val="宋体"/>
        <charset val="134"/>
      </rPr>
      <t>自制炸弹</t>
    </r>
    <r>
      <rPr>
        <sz val="11"/>
        <color theme="1"/>
        <rFont val="宋体"/>
        <family val="2"/>
        <scheme val="minor"/>
      </rPr>
      <t>爆炸后，将</t>
    </r>
    <r>
      <rPr>
        <b/>
        <u/>
        <sz val="11"/>
        <color rgb="FF33C2FF"/>
        <rFont val="宋体"/>
        <charset val="134"/>
      </rPr>
      <t>缓速</t>
    </r>
    <r>
      <rPr>
        <sz val="11"/>
        <color theme="1"/>
        <rFont val="宋体"/>
        <family val="2"/>
        <scheme val="minor"/>
      </rPr>
      <t>效果扩散给所有命中敌人，持续</t>
    </r>
    <r>
      <rPr>
        <b/>
        <sz val="11"/>
        <color rgb="FF9EB7FF"/>
        <rFont val="宋体"/>
        <charset val="134"/>
      </rPr>
      <t>6</t>
    </r>
    <r>
      <rPr>
        <sz val="11"/>
        <color theme="1"/>
        <rFont val="宋体"/>
        <family val="2"/>
        <scheme val="minor"/>
      </rPr>
      <t>秒。</t>
    </r>
  </si>
  <si>
    <r>
      <t>【闹剧专家】终结技</t>
    </r>
    <r>
      <rPr>
        <b/>
        <sz val="11"/>
        <color rgb="FF33C2FF"/>
        <rFont val="宋体"/>
        <charset val="134"/>
      </rPr>
      <t>巅峰闹剧</t>
    </r>
    <r>
      <rPr>
        <sz val="11"/>
        <color theme="1"/>
        <rFont val="宋体"/>
        <family val="2"/>
        <scheme val="minor"/>
      </rPr>
      <t>所需的终结技能量</t>
    </r>
    <r>
      <rPr>
        <b/>
        <sz val="11"/>
        <color rgb="FF9EB7FF"/>
        <rFont val="宋体"/>
        <charset val="134"/>
      </rPr>
      <t>-10%</t>
    </r>
    <r>
      <rPr>
        <sz val="11"/>
        <color theme="1"/>
        <rFont val="宋体"/>
        <family val="2"/>
        <scheme val="minor"/>
      </rPr>
      <t>。</t>
    </r>
  </si>
  <si>
    <r>
      <t>【享受混乱】每当有敌人被施加</t>
    </r>
    <r>
      <rPr>
        <b/>
        <u/>
        <sz val="11"/>
        <color rgb="FF30D6E0"/>
        <rFont val="宋体"/>
        <charset val="134"/>
      </rPr>
      <t>寒冷附着</t>
    </r>
    <r>
      <rPr>
        <sz val="11"/>
        <color theme="1"/>
        <rFont val="宋体"/>
        <family val="2"/>
        <scheme val="minor"/>
      </rPr>
      <t>或</t>
    </r>
    <r>
      <rPr>
        <b/>
        <u/>
        <sz val="11"/>
        <color rgb="FFB4D945"/>
        <rFont val="宋体"/>
        <charset val="134"/>
      </rPr>
      <t>自然附着</t>
    </r>
    <r>
      <rPr>
        <sz val="11"/>
        <color theme="1"/>
        <rFont val="宋体"/>
        <family val="2"/>
        <scheme val="minor"/>
      </rPr>
      <t>时，连携技</t>
    </r>
    <r>
      <rPr>
        <b/>
        <sz val="11"/>
        <color rgb="FF33C2FF"/>
        <rFont val="宋体"/>
        <charset val="134"/>
      </rPr>
      <t>免费赠礼</t>
    </r>
    <r>
      <rPr>
        <sz val="11"/>
        <color theme="1"/>
        <rFont val="宋体"/>
        <family val="2"/>
        <scheme val="minor"/>
      </rPr>
      <t>冷却时间</t>
    </r>
    <r>
      <rPr>
        <b/>
        <sz val="11"/>
        <color rgb="FF9EB7FF"/>
        <rFont val="宋体"/>
        <charset val="134"/>
      </rPr>
      <t>-1</t>
    </r>
    <r>
      <rPr>
        <sz val="11"/>
        <color theme="1"/>
        <rFont val="宋体"/>
        <family val="2"/>
        <scheme val="minor"/>
      </rPr>
      <t>秒，该效果每1秒最多触发一次。</t>
    </r>
  </si>
  <si>
    <t>chr_0022_bounda_2</t>
  </si>
  <si>
    <t>14.877340626972408</t>
  </si>
  <si>
    <t>16.415421838838597</t>
  </si>
  <si>
    <t>13.621670523879642</t>
  </si>
  <si>
    <t>11.022512097622597</t>
  </si>
  <si>
    <t>chr_0022_bounda_3</t>
  </si>
  <si>
    <t>15.734062697243818</t>
  </si>
  <si>
    <t>18.140122028192692</t>
  </si>
  <si>
    <t>14.769114243635585</t>
  </si>
  <si>
    <t>11.941931411739992</t>
  </si>
  <si>
    <t>chr_0022_bounda_4</t>
  </si>
  <si>
    <t>16.590784767515224</t>
  </si>
  <si>
    <t>19.86482221754679</t>
  </si>
  <si>
    <t>15.916557963391526</t>
  </si>
  <si>
    <t>12.861350725857388</t>
  </si>
  <si>
    <t>chr_0022_bounda_5</t>
  </si>
  <si>
    <t>17.447506837786634</t>
  </si>
  <si>
    <t>21.58952240690089</t>
  </si>
  <si>
    <t>17.064001683147467</t>
  </si>
  <si>
    <t>13.780770039974783</t>
  </si>
  <si>
    <t>chr_0022_bounda_6</t>
  </si>
  <si>
    <t>18.304228908058043</t>
  </si>
  <si>
    <t>23.314222596254986</t>
  </si>
  <si>
    <t>18.211445402903408</t>
  </si>
  <si>
    <t>14.70018935409218</t>
  </si>
  <si>
    <t>chr_0022_bounda_7</t>
  </si>
  <si>
    <t>19.16095097832945</t>
  </si>
  <si>
    <t>25.03892278560908</t>
  </si>
  <si>
    <t>19.35888912265935</t>
  </si>
  <si>
    <t>15.619608668209576</t>
  </si>
  <si>
    <t>chr_0022_bounda_8</t>
  </si>
  <si>
    <t>20.01767304860086</t>
  </si>
  <si>
    <t>26.76362297496318</t>
  </si>
  <si>
    <t>20.506332842415294</t>
  </si>
  <si>
    <t>16.53902798232697</t>
  </si>
  <si>
    <t>chr_0022_bounda_9</t>
  </si>
  <si>
    <t>20.874395118872265</t>
  </si>
  <si>
    <t>28.48832316431728</t>
  </si>
  <si>
    <t>21.653776562171235</t>
  </si>
  <si>
    <t>17.45844729644437</t>
  </si>
  <si>
    <t>chr_0022_bounda_10</t>
  </si>
  <si>
    <t>21.731117189143674</t>
  </si>
  <si>
    <t>30.213023353671375</t>
  </si>
  <si>
    <t>22.801220281927176</t>
  </si>
  <si>
    <t>18.377866610561764</t>
  </si>
  <si>
    <t>chr_0022_bounda_11</t>
  </si>
  <si>
    <t>22.587839259415084</t>
  </si>
  <si>
    <t>31.93772354302547</t>
  </si>
  <si>
    <t>23.94866400168312</t>
  </si>
  <si>
    <t>19.29728592467916</t>
  </si>
  <si>
    <t>chr_0022_bounda_12</t>
  </si>
  <si>
    <t>23.444561329686493</t>
  </si>
  <si>
    <t>33.66242373237957</t>
  </si>
  <si>
    <t>25.09610772143906</t>
  </si>
  <si>
    <t>20.216705238796557</t>
  </si>
  <si>
    <t>chr_0022_bounda_13</t>
  </si>
  <si>
    <t>24.3012833999579</t>
  </si>
  <si>
    <t>35.38712392173367</t>
  </si>
  <si>
    <t>26.243551441195002</t>
  </si>
  <si>
    <t>21.13612455291395</t>
  </si>
  <si>
    <t>chr_0022_bounda_14</t>
  </si>
  <si>
    <t>25.158005470229305</t>
  </si>
  <si>
    <t>37.11182411108776</t>
  </si>
  <si>
    <t>27.390995160950943</t>
  </si>
  <si>
    <t>22.055543867031346</t>
  </si>
  <si>
    <t>chr_0022_bounda_15</t>
  </si>
  <si>
    <t>26.014727540500715</t>
  </si>
  <si>
    <t>38.83652430044186</t>
  </si>
  <si>
    <t>28.538438880706885</t>
  </si>
  <si>
    <t>22.974963181148745</t>
  </si>
  <si>
    <t>chr_0022_bounda_16</t>
  </si>
  <si>
    <t>26.871449610772125</t>
  </si>
  <si>
    <t>40.56122448979596</t>
  </si>
  <si>
    <t>29.685882600462826</t>
  </si>
  <si>
    <t>23.894382495266136</t>
  </si>
  <si>
    <t>chr_0022_bounda_17</t>
  </si>
  <si>
    <t>27.728171681043534</t>
  </si>
  <si>
    <t>42.28592467915006</t>
  </si>
  <si>
    <t>30.833326320218767</t>
  </si>
  <si>
    <t>24.813801809383534</t>
  </si>
  <si>
    <t>chr_0022_bounda_18</t>
  </si>
  <si>
    <t>28.58489375131494</t>
  </si>
  <si>
    <t>44.01062486850415</t>
  </si>
  <si>
    <t>31.980770039974708</t>
  </si>
  <si>
    <t>25.733221123500932</t>
  </si>
  <si>
    <t>chr_0022_bounda_19</t>
  </si>
  <si>
    <t>29.441615821586346</t>
  </si>
  <si>
    <t>45.73532505785825</t>
  </si>
  <si>
    <t>33.12821375973065</t>
  </si>
  <si>
    <t>26.652640437618327</t>
  </si>
  <si>
    <t>chr_0022_bounda_20</t>
  </si>
  <si>
    <t>30.298337891857756</t>
  </si>
  <si>
    <t>47.46002524721235</t>
  </si>
  <si>
    <t>34.2756574794866</t>
  </si>
  <si>
    <t>27.572059751735722</t>
  </si>
  <si>
    <t>chr_0022_bounda_21</t>
  </si>
  <si>
    <t>31.155059962129165</t>
  </si>
  <si>
    <t>49.184725436566445</t>
  </si>
  <si>
    <t>35.42310119924254</t>
  </si>
  <si>
    <t>28.491479065853117</t>
  </si>
  <si>
    <t>chr_0022_bounda_22</t>
  </si>
  <si>
    <t>32.011782032400575</t>
  </si>
  <si>
    <t>50.90942562592054</t>
  </si>
  <si>
    <t>36.57054491899848</t>
  </si>
  <si>
    <t>29.410898379970515</t>
  </si>
  <si>
    <t>chr_0022_bounda_23</t>
  </si>
  <si>
    <t>32.868504102671984</t>
  </si>
  <si>
    <t>52.63412581527464</t>
  </si>
  <si>
    <t>37.71798863875442</t>
  </si>
  <si>
    <t>30.33031769408791</t>
  </si>
  <si>
    <t>chr_0022_bounda_24</t>
  </si>
  <si>
    <t>33.72522617294339</t>
  </si>
  <si>
    <t>54.35882600462874</t>
  </si>
  <si>
    <t>38.86543235851036</t>
  </si>
  <si>
    <t>31.249737008205305</t>
  </si>
  <si>
    <t>chr_0022_bounda_25</t>
  </si>
  <si>
    <t>34.581948243214796</t>
  </si>
  <si>
    <t>56.083526193982834</t>
  </si>
  <si>
    <t>40.0128760782663</t>
  </si>
  <si>
    <t>32.169156322322706</t>
  </si>
  <si>
    <t>chr_0022_bounda_26</t>
  </si>
  <si>
    <t>35.438670313486206</t>
  </si>
  <si>
    <t>57.80822638333693</t>
  </si>
  <si>
    <t>41.16031979802224</t>
  </si>
  <si>
    <t>33.0885756364401</t>
  </si>
  <si>
    <t>chr_0022_bounda_27</t>
  </si>
  <si>
    <t>36.295392383757616</t>
  </si>
  <si>
    <t>59.532926572691025</t>
  </si>
  <si>
    <t>42.307763517778184</t>
  </si>
  <si>
    <t>34.00799495055749</t>
  </si>
  <si>
    <t>chr_0022_bounda_28</t>
  </si>
  <si>
    <t>37.152114454029025</t>
  </si>
  <si>
    <t>61.25762676204513</t>
  </si>
  <si>
    <t>43.455207237534125</t>
  </si>
  <si>
    <t>34.92741426467489</t>
  </si>
  <si>
    <t>chr_0022_bounda_29</t>
  </si>
  <si>
    <t>38.008836524300435</t>
  </si>
  <si>
    <t>62.98232695139922</t>
  </si>
  <si>
    <t>44.602650957290074</t>
  </si>
  <si>
    <t>35.846833578792285</t>
  </si>
  <si>
    <t>chr_0022_bounda_30</t>
  </si>
  <si>
    <t>38.86555859457184</t>
  </si>
  <si>
    <t>64.70702714075331</t>
  </si>
  <si>
    <t>45.750094677046015</t>
  </si>
  <si>
    <t>36.76625289290968</t>
  </si>
  <si>
    <t>chr_0022_bounda_31</t>
  </si>
  <si>
    <t>39.72228066484325</t>
  </si>
  <si>
    <t>66.43172733010742</t>
  </si>
  <si>
    <t>46.897538396801956</t>
  </si>
  <si>
    <t>37.685672207027075</t>
  </si>
  <si>
    <t>chr_0022_bounda_32</t>
  </si>
  <si>
    <t>40.579002735114656</t>
  </si>
  <si>
    <t>68.15642751946152</t>
  </si>
  <si>
    <t>48.0449821165579</t>
  </si>
  <si>
    <t>38.60509152114447</t>
  </si>
  <si>
    <t>chr_0022_bounda_33</t>
  </si>
  <si>
    <t>41.435724805386066</t>
  </si>
  <si>
    <t>69.88112770881561</t>
  </si>
  <si>
    <t>49.19242583631384</t>
  </si>
  <si>
    <t>39.524510835261864</t>
  </si>
  <si>
    <t>chr_0022_bounda_34</t>
  </si>
  <si>
    <t>42.292446875657475</t>
  </si>
  <si>
    <t>71.60582789816971</t>
  </si>
  <si>
    <t>50.33986955606978</t>
  </si>
  <si>
    <t>40.44393014937926</t>
  </si>
  <si>
    <t>chr_0022_bounda_35</t>
  </si>
  <si>
    <t>43.14916894592888</t>
  </si>
  <si>
    <t>73.3305280875238</t>
  </si>
  <si>
    <t>51.48731327582572</t>
  </si>
  <si>
    <t>41.36334946349666</t>
  </si>
  <si>
    <t>chr_0022_bounda_36</t>
  </si>
  <si>
    <t>44.00589101620029</t>
  </si>
  <si>
    <t>75.0552282768779</t>
  </si>
  <si>
    <t>52.63475699558166</t>
  </si>
  <si>
    <t>42.28276877761405</t>
  </si>
  <si>
    <t>chr_0022_bounda_37</t>
  </si>
  <si>
    <t>44.8626130864717</t>
  </si>
  <si>
    <t>76.779928466232</t>
  </si>
  <si>
    <t>53.7822007153376</t>
  </si>
  <si>
    <t>43.20218809173146</t>
  </si>
  <si>
    <t>chr_0022_bounda_38</t>
  </si>
  <si>
    <t>45.71933515674311</t>
  </si>
  <si>
    <t>78.50462865558609</t>
  </si>
  <si>
    <t>54.92964443509354</t>
  </si>
  <si>
    <t>44.12160740584885</t>
  </si>
  <si>
    <t>chr_0022_bounda_39</t>
  </si>
  <si>
    <t>46.576057227014516</t>
  </si>
  <si>
    <t>80.2293288449402</t>
  </si>
  <si>
    <t>56.07708815484949</t>
  </si>
  <si>
    <t>45.04102671996624</t>
  </si>
  <si>
    <t>chr_0022_bounda_40</t>
  </si>
  <si>
    <t>47.432779297285926</t>
  </si>
  <si>
    <t>81.9540290342943</t>
  </si>
  <si>
    <t>57.22453187460543</t>
  </si>
  <si>
    <t>45.960446034083645</t>
  </si>
  <si>
    <t>【落井下石爱好者 Lv.1】萤石对处于缓速状态的目标造成的伤害+10% 。</t>
  </si>
  <si>
    <r>
      <t>【落井下石爱好者 Lv.1】萤石对处于</t>
    </r>
    <r>
      <rPr>
        <b/>
        <u/>
        <sz val="11"/>
        <color rgb="FF33C2FF"/>
        <rFont val="宋体"/>
        <charset val="134"/>
      </rPr>
      <t>缓速</t>
    </r>
    <r>
      <rPr>
        <sz val="11"/>
        <color theme="1"/>
        <rFont val="宋体"/>
        <family val="2"/>
        <scheme val="minor"/>
      </rPr>
      <t>状态的目标造成的伤害</t>
    </r>
    <r>
      <rPr>
        <b/>
        <sz val="11"/>
        <color rgb="FF9EB7FF"/>
        <rFont val="宋体"/>
        <charset val="134"/>
      </rPr>
      <t>+10%</t>
    </r>
    <r>
      <rPr>
        <sz val="11"/>
        <color theme="1"/>
        <rFont val="宋体"/>
        <family val="2"/>
        <scheme val="minor"/>
      </rPr>
      <t xml:space="preserve"> 。</t>
    </r>
  </si>
  <si>
    <r>
      <t>【落井下石爱好者 Lv.2】萤石对处于</t>
    </r>
    <r>
      <rPr>
        <b/>
        <u/>
        <sz val="11"/>
        <color rgb="FF33C2FF"/>
        <rFont val="宋体"/>
        <charset val="134"/>
      </rPr>
      <t>缓速</t>
    </r>
    <r>
      <rPr>
        <sz val="11"/>
        <color theme="1"/>
        <rFont val="宋体"/>
        <family val="2"/>
        <scheme val="minor"/>
      </rPr>
      <t>状态的目标造成的伤害</t>
    </r>
    <r>
      <rPr>
        <b/>
        <sz val="11"/>
        <color rgb="FF9EB7FF"/>
        <rFont val="宋体"/>
        <charset val="134"/>
      </rPr>
      <t>+20%</t>
    </r>
    <r>
      <rPr>
        <sz val="11"/>
        <color theme="1"/>
        <rFont val="宋体"/>
        <family val="2"/>
        <scheme val="minor"/>
      </rPr>
      <t xml:space="preserve"> 。</t>
    </r>
  </si>
  <si>
    <t>【捉摸不定 Lv.1】有20%的概率免疫法术伤害，之后使自身攻击力+10%，持续10秒，该效果无法叠加。</t>
  </si>
  <si>
    <r>
      <t>【捉摸不定 Lv.1】有</t>
    </r>
    <r>
      <rPr>
        <b/>
        <sz val="11"/>
        <color rgb="FF9EB7FF"/>
        <rFont val="宋体"/>
        <charset val="134"/>
      </rPr>
      <t>20%</t>
    </r>
    <r>
      <rPr>
        <sz val="11"/>
        <color theme="1"/>
        <rFont val="宋体"/>
        <family val="2"/>
        <scheme val="minor"/>
      </rPr>
      <t>的概率免疫</t>
    </r>
    <r>
      <rPr>
        <b/>
        <u/>
        <sz val="11"/>
        <color rgb="FF33C2FF"/>
        <rFont val="宋体"/>
        <charset val="134"/>
      </rPr>
      <t>法术伤害</t>
    </r>
    <r>
      <rPr>
        <sz val="11"/>
        <color theme="1"/>
        <rFont val="宋体"/>
        <family val="2"/>
        <scheme val="minor"/>
      </rPr>
      <t>，之后使自身攻击力</t>
    </r>
    <r>
      <rPr>
        <b/>
        <sz val="11"/>
        <color rgb="FF9EB7FF"/>
        <rFont val="宋体"/>
        <charset val="134"/>
      </rPr>
      <t>+10%</t>
    </r>
    <r>
      <rPr>
        <sz val="11"/>
        <color theme="1"/>
        <rFont val="宋体"/>
        <family val="2"/>
        <scheme val="minor"/>
      </rPr>
      <t>，持续</t>
    </r>
    <r>
      <rPr>
        <b/>
        <sz val="11"/>
        <color rgb="FF9EB7FF"/>
        <rFont val="宋体"/>
        <charset val="134"/>
      </rPr>
      <t>10</t>
    </r>
    <r>
      <rPr>
        <sz val="11"/>
        <color theme="1"/>
        <rFont val="宋体"/>
        <family val="2"/>
        <scheme val="minor"/>
      </rPr>
      <t>秒，该效果无法叠加。</t>
    </r>
  </si>
  <si>
    <t>chr_0022_bounda_41</t>
  </si>
  <si>
    <t>48.28950136755733</t>
  </si>
  <si>
    <t>83.67872922364839</t>
  </si>
  <si>
    <t>58.37197559436137</t>
  </si>
  <si>
    <t>46.87986534820104</t>
  </si>
  <si>
    <t>chr_0022_bounda_42</t>
  </si>
  <si>
    <t>49.14622343782874</t>
  </si>
  <si>
    <t>85.40342941300248</t>
  </si>
  <si>
    <t>59.519419314117314</t>
  </si>
  <si>
    <t>47.79928466231843</t>
  </si>
  <si>
    <t>chr_0022_bounda_43</t>
  </si>
  <si>
    <t>50.00294550810015</t>
  </si>
  <si>
    <t>87.12812960235658</t>
  </si>
  <si>
    <t>60.666863033873256</t>
  </si>
  <si>
    <t>48.71870397643583</t>
  </si>
  <si>
    <t>chr_0022_bounda_44</t>
  </si>
  <si>
    <t>50.85966757837156</t>
  </si>
  <si>
    <t>88.85282979171068</t>
  </si>
  <si>
    <t>61.8143067536292</t>
  </si>
  <si>
    <t>49.638123290553224</t>
  </si>
  <si>
    <t>chr_0022_bounda_45</t>
  </si>
  <si>
    <t>51.716389648642966</t>
  </si>
  <si>
    <t>90.57752998106479</t>
  </si>
  <si>
    <t>62.96175047338514</t>
  </si>
  <si>
    <t>50.557542604670616</t>
  </si>
  <si>
    <t>chr_0022_bounda_46</t>
  </si>
  <si>
    <t>52.573111718914376</t>
  </si>
  <si>
    <t>92.30223017041888</t>
  </si>
  <si>
    <t>64.10919419314108</t>
  </si>
  <si>
    <t>51.47696191878802</t>
  </si>
  <si>
    <t>chr_0022_bounda_47</t>
  </si>
  <si>
    <t>53.42983378918578</t>
  </si>
  <si>
    <t>94.02693035977298</t>
  </si>
  <si>
    <t>65.25663791289702</t>
  </si>
  <si>
    <t>52.39638123290541</t>
  </si>
  <si>
    <t>chr_0022_bounda_48</t>
  </si>
  <si>
    <t>54.28655585945719</t>
  </si>
  <si>
    <t>95.75163054912707</t>
  </si>
  <si>
    <t>66.40408163265296</t>
  </si>
  <si>
    <t>53.3158005470228</t>
  </si>
  <si>
    <t>chr_0022_bounda_49</t>
  </si>
  <si>
    <t>55.1432779297286</t>
  </si>
  <si>
    <t>97.47633073848117</t>
  </si>
  <si>
    <t>67.5515253524089</t>
  </si>
  <si>
    <t>54.23521986114021</t>
  </si>
  <si>
    <t>chr_0022_bounda_50</t>
  </si>
  <si>
    <t>56.00000000000001</t>
  </si>
  <si>
    <t>99.20103092783526</t>
  </si>
  <si>
    <t>68.69896907216484</t>
  </si>
  <si>
    <t>55.1546391752576</t>
  </si>
  <si>
    <t>chr_0022_bounda_51</t>
  </si>
  <si>
    <t>56.85672207027142</t>
  </si>
  <si>
    <t>100.92573111718936</t>
  </si>
  <si>
    <t>69.84641279192078</t>
  </si>
  <si>
    <t>56.07405848937499</t>
  </si>
  <si>
    <t>chr_0022_bounda_52</t>
  </si>
  <si>
    <t>57.71344414054282</t>
  </si>
  <si>
    <t>102.65043130654345</t>
  </si>
  <si>
    <t>70.99385651167673</t>
  </si>
  <si>
    <t>56.99347780349238</t>
  </si>
  <si>
    <t>chr_0022_bounda_53</t>
  </si>
  <si>
    <t>58.57016621081423</t>
  </si>
  <si>
    <t>104.37513149589755</t>
  </si>
  <si>
    <t>72.14130023143267</t>
  </si>
  <si>
    <t>57.91289711760979</t>
  </si>
  <si>
    <t>chr_0022_bounda_54</t>
  </si>
  <si>
    <t>59.42688828108564</t>
  </si>
  <si>
    <t>106.09983168525166</t>
  </si>
  <si>
    <t>73.28874395118861</t>
  </si>
  <si>
    <t>58.83231643172718</t>
  </si>
  <si>
    <t>chr_0022_bounda_55</t>
  </si>
  <si>
    <t>60.28361035135705</t>
  </si>
  <si>
    <t>107.82453187460575</t>
  </si>
  <si>
    <t>74.43618767094455</t>
  </si>
  <si>
    <t>59.75173574584457</t>
  </si>
  <si>
    <t>chr_0022_bounda_56</t>
  </si>
  <si>
    <t>61.14033242162846</t>
  </si>
  <si>
    <t>109.54923206395985</t>
  </si>
  <si>
    <t>75.58363139070049</t>
  </si>
  <si>
    <t>60.671155059961976</t>
  </si>
  <si>
    <t>chr_0022_bounda_57</t>
  </si>
  <si>
    <t>61.99705449189987</t>
  </si>
  <si>
    <t>111.27393225331394</t>
  </si>
  <si>
    <t>76.73107511045644</t>
  </si>
  <si>
    <t>61.59057437407937</t>
  </si>
  <si>
    <t>chr_0022_bounda_58</t>
  </si>
  <si>
    <t>62.85377656217127</t>
  </si>
  <si>
    <t>112.99863244266804</t>
  </si>
  <si>
    <t>77.87851883021239</t>
  </si>
  <si>
    <t>62.50999368819676</t>
  </si>
  <si>
    <t>chr_0022_bounda_59</t>
  </si>
  <si>
    <t>63.71049863244268</t>
  </si>
  <si>
    <t>114.72333263202214</t>
  </si>
  <si>
    <t>79.02596254996833</t>
  </si>
  <si>
    <t>63.42941300231416</t>
  </si>
  <si>
    <t>chr_0022_bounda_60</t>
  </si>
  <si>
    <t>64.56722070271408</t>
  </si>
  <si>
    <t>116.44803282137623</t>
  </si>
  <si>
    <t>80.17340626972427</t>
  </si>
  <si>
    <t>64.34883231643155</t>
  </si>
  <si>
    <r>
      <t>【捉摸不定 Lv.2】有</t>
    </r>
    <r>
      <rPr>
        <b/>
        <sz val="11"/>
        <color rgb="FF9EB7FF"/>
        <rFont val="宋体"/>
        <charset val="134"/>
      </rPr>
      <t>20%</t>
    </r>
    <r>
      <rPr>
        <sz val="11"/>
        <color theme="1"/>
        <rFont val="宋体"/>
        <family val="2"/>
        <scheme val="minor"/>
      </rPr>
      <t>的概率免疫</t>
    </r>
    <r>
      <rPr>
        <b/>
        <u/>
        <sz val="11"/>
        <color rgb="FF33C2FF"/>
        <rFont val="宋体"/>
        <charset val="134"/>
      </rPr>
      <t>法术伤害</t>
    </r>
    <r>
      <rPr>
        <sz val="11"/>
        <color theme="1"/>
        <rFont val="宋体"/>
        <family val="2"/>
        <scheme val="minor"/>
      </rPr>
      <t>，之后使自身攻击力</t>
    </r>
    <r>
      <rPr>
        <b/>
        <sz val="11"/>
        <color rgb="FF9EB7FF"/>
        <rFont val="宋体"/>
        <charset val="134"/>
      </rPr>
      <t>+20%</t>
    </r>
    <r>
      <rPr>
        <sz val="11"/>
        <color theme="1"/>
        <rFont val="宋体"/>
        <family val="2"/>
        <scheme val="minor"/>
      </rPr>
      <t>，持续</t>
    </r>
    <r>
      <rPr>
        <b/>
        <sz val="11"/>
        <color rgb="FF9EB7FF"/>
        <rFont val="宋体"/>
        <charset val="134"/>
      </rPr>
      <t>10</t>
    </r>
    <r>
      <rPr>
        <sz val="11"/>
        <color theme="1"/>
        <rFont val="宋体"/>
        <family val="2"/>
        <scheme val="minor"/>
      </rPr>
      <t>秒，该效果无法叠加。</t>
    </r>
  </si>
  <si>
    <t>chr_0022_bounda_61</t>
  </si>
  <si>
    <t>65.4239427729855</t>
  </si>
  <si>
    <t>118.17273301073034</t>
  </si>
  <si>
    <t>81.32084998948021</t>
  </si>
  <si>
    <t>65.26825163054895</t>
  </si>
  <si>
    <t>chr_0022_bounda_62</t>
  </si>
  <si>
    <t>66.2806648432569</t>
  </si>
  <si>
    <t>119.89743320008444</t>
  </si>
  <si>
    <t>82.46829370923615</t>
  </si>
  <si>
    <t>66.18767094466635</t>
  </si>
  <si>
    <t>chr_0022_bounda_63</t>
  </si>
  <si>
    <t>67.1373869135283</t>
  </si>
  <si>
    <t>121.62213338943853</t>
  </si>
  <si>
    <t>83.61573742899209</t>
  </si>
  <si>
    <t>67.10709025878374</t>
  </si>
  <si>
    <t>chr_0022_bounda_64</t>
  </si>
  <si>
    <t>67.99410898379972</t>
  </si>
  <si>
    <t>123.34683357879263</t>
  </si>
  <si>
    <t>84.76318114874803</t>
  </si>
  <si>
    <t>68.02650957290113</t>
  </si>
  <si>
    <t>chr_0022_bounda_65</t>
  </si>
  <si>
    <t>68.85083105407112</t>
  </si>
  <si>
    <t>125.07153376814672</t>
  </si>
  <si>
    <t>85.91062486850397</t>
  </si>
  <si>
    <t>68.94592888701854</t>
  </si>
  <si>
    <t>chr_0022_bounda_66</t>
  </si>
  <si>
    <t>69.70755312434254</t>
  </si>
  <si>
    <t>126.79623395750082</t>
  </si>
  <si>
    <t>87.05806858825991</t>
  </si>
  <si>
    <t>69.86534820113593</t>
  </si>
  <si>
    <t>chr_0022_bounda_67</t>
  </si>
  <si>
    <t>70.56427519461394</t>
  </si>
  <si>
    <t>128.5209341468549</t>
  </si>
  <si>
    <t>88.20551230801586</t>
  </si>
  <si>
    <t>70.78476751525332</t>
  </si>
  <si>
    <t>chr_0022_bounda_68</t>
  </si>
  <si>
    <t>71.42099726488534</t>
  </si>
  <si>
    <t>130.245634336209</t>
  </si>
  <si>
    <t>89.3529560277718</t>
  </si>
  <si>
    <t>71.70418682937073</t>
  </si>
  <si>
    <t>chr_0022_bounda_69</t>
  </si>
  <si>
    <t>72.27771933515676</t>
  </si>
  <si>
    <t>131.9703345255631</t>
  </si>
  <si>
    <t>90.50039974752774</t>
  </si>
  <si>
    <t>72.62360614348812</t>
  </si>
  <si>
    <t>chr_0022_bounda_70</t>
  </si>
  <si>
    <t>73.13444140542816</t>
  </si>
  <si>
    <t>133.6950347149172</t>
  </si>
  <si>
    <t>91.64784346728368</t>
  </si>
  <si>
    <t>73.54302545760551</t>
  </si>
  <si>
    <t>chr_0022_bounda_71</t>
  </si>
  <si>
    <t>73.99116347569958</t>
  </si>
  <si>
    <t>135.4197349042713</t>
  </si>
  <si>
    <t>92.79528718703962</t>
  </si>
  <si>
    <t>74.46244477172291</t>
  </si>
  <si>
    <t>chr_0022_bounda_72</t>
  </si>
  <si>
    <t>74.84788554597098</t>
  </si>
  <si>
    <t>137.1444350936254</t>
  </si>
  <si>
    <t>93.94273090679556</t>
  </si>
  <si>
    <t>75.3818640858403</t>
  </si>
  <si>
    <t>chr_0022_bounda_73</t>
  </si>
  <si>
    <t>75.70460761624238</t>
  </si>
  <si>
    <t>138.8691352829795</t>
  </si>
  <si>
    <t>95.0901746265515</t>
  </si>
  <si>
    <t>76.30128339995771</t>
  </si>
  <si>
    <t>chr_0022_bounda_74</t>
  </si>
  <si>
    <t>76.5613296865138</t>
  </si>
  <si>
    <t>140.59383547233358</t>
  </si>
  <si>
    <t>96.23761834630744</t>
  </si>
  <si>
    <t>77.2207027140751</t>
  </si>
  <si>
    <t>chr_0022_bounda_75</t>
  </si>
  <si>
    <t>77.4180517567852</t>
  </si>
  <si>
    <t>142.3185356616877</t>
  </si>
  <si>
    <t>97.38506206606338</t>
  </si>
  <si>
    <t>78.1401220281925</t>
  </si>
  <si>
    <t>chr_0022_bounda_76</t>
  </si>
  <si>
    <t>78.2747738270566</t>
  </si>
  <si>
    <t>144.04323585104177</t>
  </si>
  <si>
    <t>98.53250578581934</t>
  </si>
  <si>
    <t>79.0595413423099</t>
  </si>
  <si>
    <t>chr_0022_bounda_77</t>
  </si>
  <si>
    <t>79.13149589732802</t>
  </si>
  <si>
    <t>145.76793604039588</t>
  </si>
  <si>
    <t>99.67994950557528</t>
  </si>
  <si>
    <t>79.97896065642729</t>
  </si>
  <si>
    <t>chr_0022_bounda_78</t>
  </si>
  <si>
    <t>79.98821796759943</t>
  </si>
  <si>
    <t>147.49263622974996</t>
  </si>
  <si>
    <t>100.82739322533122</t>
  </si>
  <si>
    <t>80.89837997054468</t>
  </si>
  <si>
    <t>chr_0022_bounda_79</t>
  </si>
  <si>
    <t>80.84494003787084</t>
  </si>
  <si>
    <t>149.21733641910407</t>
  </si>
  <si>
    <t>101.97483694508716</t>
  </si>
  <si>
    <t>81.81779928466209</t>
  </si>
  <si>
    <t>chr_0022_bounda_80</t>
  </si>
  <si>
    <t>81.70166210814224</t>
  </si>
  <si>
    <t>150.94203660845815</t>
  </si>
  <si>
    <t>103.1222806648431</t>
  </si>
  <si>
    <t>82.73721859877948</t>
  </si>
  <si>
    <t>chr_0022_bounda_81</t>
  </si>
  <si>
    <t>82.55838417841365</t>
  </si>
  <si>
    <t>152.66673679781226</t>
  </si>
  <si>
    <t>104.26972438459904</t>
  </si>
  <si>
    <t>83.65663791289687</t>
  </si>
  <si>
    <t>chr_0022_bounda_82</t>
  </si>
  <si>
    <t>83.41510624868506</t>
  </si>
  <si>
    <t>154.39143698716637</t>
  </si>
  <si>
    <t>105.41716810435499</t>
  </si>
  <si>
    <t>84.57605722701427</t>
  </si>
  <si>
    <t>chr_0022_bounda_83</t>
  </si>
  <si>
    <t>84.27182831895647</t>
  </si>
  <si>
    <t>156.11613717652045</t>
  </si>
  <si>
    <t>106.56461182411093</t>
  </si>
  <si>
    <t>85.49547654113167</t>
  </si>
  <si>
    <t>chr_0022_bounda_84</t>
  </si>
  <si>
    <t>85.12855038922788</t>
  </si>
  <si>
    <t>157.84083736587456</t>
  </si>
  <si>
    <t>107.71205554386687</t>
  </si>
  <si>
    <t>86.41489585524906</t>
  </si>
  <si>
    <t>chr_0022_bounda_85</t>
  </si>
  <si>
    <t>85.98527245949928</t>
  </si>
  <si>
    <t>159.56553755522864</t>
  </si>
  <si>
    <t>108.85949926362281</t>
  </si>
  <si>
    <t>87.33431516936646</t>
  </si>
  <si>
    <t>chr_0022_bounda_86</t>
  </si>
  <si>
    <t>86.8419945297707</t>
  </si>
  <si>
    <t>161.29023774458275</t>
  </si>
  <si>
    <t>110.00694298337875</t>
  </si>
  <si>
    <t>88.25373448348385</t>
  </si>
  <si>
    <t>chr_0022_bounda_87</t>
  </si>
  <si>
    <t>87.6987166000421</t>
  </si>
  <si>
    <t>163.01493793393684</t>
  </si>
  <si>
    <t>111.15438670313469</t>
  </si>
  <si>
    <t>89.17315379760124</t>
  </si>
  <si>
    <t>chr_0022_bounda_88</t>
  </si>
  <si>
    <t>88.5554386703135</t>
  </si>
  <si>
    <t>164.73963812329094</t>
  </si>
  <si>
    <t>112.30183042289063</t>
  </si>
  <si>
    <t>90.09257311171865</t>
  </si>
  <si>
    <t>chr_0022_bounda_89</t>
  </si>
  <si>
    <t>89.41216074058492</t>
  </si>
  <si>
    <t>166.46433831264505</t>
  </si>
  <si>
    <t>113.44927414264657</t>
  </si>
  <si>
    <t>91.01199242583604</t>
  </si>
  <si>
    <t>chr_0022_bounda_90</t>
  </si>
  <si>
    <t>90.26888281085633</t>
  </si>
  <si>
    <t>168.18903850199914</t>
  </si>
  <si>
    <t>114.59671786240251</t>
  </si>
  <si>
    <t>91.93141173995343</t>
  </si>
  <si>
    <t>chr_0022_bounda_91</t>
  </si>
  <si>
    <t>91.12560488112774</t>
  </si>
  <si>
    <t>169.91373869135325</t>
  </si>
  <si>
    <t>115.74416158215845</t>
  </si>
  <si>
    <t>92.85083105407084</t>
  </si>
  <si>
    <t>chr_0022_bounda_92</t>
  </si>
  <si>
    <t>91.98232695139914</t>
  </si>
  <si>
    <t>171.63843888070733</t>
  </si>
  <si>
    <t>116.8916053019144</t>
  </si>
  <si>
    <t>93.77025036818823</t>
  </si>
  <si>
    <t>chr_0022_bounda_93</t>
  </si>
  <si>
    <t>92.83904902167055</t>
  </si>
  <si>
    <t>173.36313907006144</t>
  </si>
  <si>
    <t>118.03904902167034</t>
  </si>
  <si>
    <t>94.68966968230562</t>
  </si>
  <si>
    <t>chr_0022_bounda_94</t>
  </si>
  <si>
    <t>93.69577109194196</t>
  </si>
  <si>
    <t>175.08783925941552</t>
  </si>
  <si>
    <t>119.18649274142628</t>
  </si>
  <si>
    <t>95.60908899642303</t>
  </si>
  <si>
    <t>chr_0022_bounda_95</t>
  </si>
  <si>
    <t>94.55249316221337</t>
  </si>
  <si>
    <t>176.81253944876963</t>
  </si>
  <si>
    <t>120.33393646118222</t>
  </si>
  <si>
    <t>96.52850831054042</t>
  </si>
  <si>
    <t>chr_0022_bounda_96</t>
  </si>
  <si>
    <t>95.40921523248478</t>
  </si>
  <si>
    <t>178.5372396381237</t>
  </si>
  <si>
    <t>121.48138018093816</t>
  </si>
  <si>
    <t>97.44792762465781</t>
  </si>
  <si>
    <t>chr_0022_bounda_97</t>
  </si>
  <si>
    <t>96.26593730275619</t>
  </si>
  <si>
    <t>180.26193982747782</t>
  </si>
  <si>
    <t>122.6288239006941</t>
  </si>
  <si>
    <t>98.36734693877521</t>
  </si>
  <si>
    <t>chr_0022_bounda_98</t>
  </si>
  <si>
    <t>97.12265937302759</t>
  </si>
  <si>
    <t>181.98664001683193</t>
  </si>
  <si>
    <t>123.77626762045006</t>
  </si>
  <si>
    <t>99.2867662528926</t>
  </si>
  <si>
    <t>chr_0022_bounda_99</t>
  </si>
  <si>
    <t>183.711340206186</t>
  </si>
  <si>
    <t>124.923711340206</t>
  </si>
  <si>
    <t>chr_0025_ardelia_1</t>
  </si>
  <si>
    <t>chr_0025_ardelia</t>
  </si>
  <si>
    <t>艾尔黛拉</t>
  </si>
  <si>
    <t>Ardelia</t>
  </si>
  <si>
    <t>治疗, 腐蚀, 脆弱</t>
  </si>
  <si>
    <r>
      <t>【羊的乐园】战技</t>
    </r>
    <r>
      <rPr>
        <b/>
        <sz val="11"/>
        <color rgb="FF33C2FF"/>
        <rFont val="宋体"/>
        <charset val="134"/>
      </rPr>
      <t>奔腾的多利</t>
    </r>
    <r>
      <rPr>
        <u/>
        <sz val="11"/>
        <rFont val="宋体"/>
        <charset val="134"/>
      </rPr>
      <t>消耗</t>
    </r>
    <r>
      <rPr>
        <b/>
        <u/>
        <sz val="11"/>
        <color rgb="FFB4D945"/>
        <rFont val="宋体"/>
        <charset val="134"/>
      </rPr>
      <t>腐蚀</t>
    </r>
    <r>
      <rPr>
        <sz val="11"/>
        <color theme="1"/>
        <rFont val="宋体"/>
        <family val="2"/>
        <scheme val="minor"/>
      </rPr>
      <t>后施加的</t>
    </r>
    <r>
      <rPr>
        <b/>
        <u/>
        <sz val="11"/>
        <color rgb="FFE3C19A"/>
        <rFont val="宋体"/>
        <charset val="134"/>
      </rPr>
      <t>物理脆弱</t>
    </r>
    <r>
      <rPr>
        <sz val="11"/>
        <color theme="1"/>
        <rFont val="宋体"/>
        <family val="2"/>
        <scheme val="minor"/>
      </rPr>
      <t>与</t>
    </r>
    <r>
      <rPr>
        <b/>
        <u/>
        <sz val="11"/>
        <color rgb="FF33C2FF"/>
        <rFont val="宋体"/>
        <charset val="134"/>
      </rPr>
      <t>法术脆弱</t>
    </r>
    <r>
      <rPr>
        <sz val="11"/>
        <color theme="1"/>
        <rFont val="宋体"/>
        <family val="2"/>
        <scheme val="minor"/>
      </rPr>
      <t>效果</t>
    </r>
    <r>
      <rPr>
        <b/>
        <sz val="11"/>
        <color rgb="FF9EB7FF"/>
        <rFont val="宋体"/>
        <charset val="134"/>
      </rPr>
      <t>+8%</t>
    </r>
    <r>
      <rPr>
        <sz val="11"/>
        <color theme="1"/>
        <rFont val="宋体"/>
        <family val="2"/>
        <scheme val="minor"/>
      </rPr>
      <t>。</t>
    </r>
  </si>
  <si>
    <r>
      <t>【游戏奖励】天赋</t>
    </r>
    <r>
      <rPr>
        <b/>
        <sz val="11"/>
        <color rgb="FF33C2FF"/>
        <rFont val="宋体"/>
        <charset val="134"/>
      </rPr>
      <t>朋友的身影</t>
    </r>
    <r>
      <rPr>
        <sz val="11"/>
        <color theme="1"/>
        <rFont val="宋体"/>
        <family val="2"/>
        <scheme val="minor"/>
      </rPr>
      <t>效果加强：当主控干员触碰</t>
    </r>
    <r>
      <rPr>
        <b/>
        <sz val="11"/>
        <color rgb="FF33C2FF"/>
        <rFont val="宋体"/>
        <charset val="134"/>
      </rPr>
      <t>多利先生的影子</t>
    </r>
    <r>
      <rPr>
        <sz val="11"/>
        <color theme="1"/>
        <rFont val="宋体"/>
        <family val="2"/>
        <scheme val="minor"/>
      </rPr>
      <t>后，艾尔黛拉会以一半的效果额外治疗另一名生命值百分比最低的友方干员。</t>
    </r>
  </si>
  <si>
    <r>
      <t>【爆炸式喷发】终结技</t>
    </r>
    <r>
      <rPr>
        <b/>
        <sz val="11"/>
        <color rgb="FF33C2FF"/>
        <rFont val="宋体"/>
        <charset val="134"/>
      </rPr>
      <t>毛茸茸派对</t>
    </r>
    <r>
      <rPr>
        <sz val="11"/>
        <color theme="1"/>
        <rFont val="宋体"/>
        <family val="2"/>
        <scheme val="minor"/>
      </rPr>
      <t>的持续时间</t>
    </r>
    <r>
      <rPr>
        <b/>
        <sz val="11"/>
        <color rgb="FF9EB7FF"/>
        <rFont val="宋体"/>
        <charset val="134"/>
      </rPr>
      <t>+1</t>
    </r>
    <r>
      <rPr>
        <sz val="11"/>
        <color theme="1"/>
        <rFont val="宋体"/>
        <family val="2"/>
        <scheme val="minor"/>
      </rPr>
      <t>秒，且生成</t>
    </r>
    <r>
      <rPr>
        <b/>
        <sz val="11"/>
        <color rgb="FF33C2FF"/>
        <rFont val="宋体"/>
        <charset val="134"/>
      </rPr>
      <t>多利先生的影子</t>
    </r>
    <r>
      <rPr>
        <sz val="11"/>
        <color theme="1"/>
        <rFont val="宋体"/>
        <family val="2"/>
        <scheme val="minor"/>
      </rPr>
      <t>的概率提升至原本的</t>
    </r>
    <r>
      <rPr>
        <b/>
        <sz val="11"/>
        <color rgb="FF9EB7FF"/>
        <rFont val="宋体"/>
        <charset val="134"/>
      </rPr>
      <t>1.2</t>
    </r>
    <r>
      <rPr>
        <sz val="11"/>
        <color theme="1"/>
        <rFont val="宋体"/>
        <family val="2"/>
        <scheme val="minor"/>
      </rPr>
      <t>倍。</t>
    </r>
  </si>
  <si>
    <r>
      <t>【岩中花朵】终结技</t>
    </r>
    <r>
      <rPr>
        <b/>
        <sz val="11"/>
        <color rgb="FF33C2FF"/>
        <rFont val="宋体"/>
        <charset val="134"/>
      </rPr>
      <t>毛茸茸派对</t>
    </r>
    <r>
      <rPr>
        <sz val="11"/>
        <color theme="1"/>
        <rFont val="宋体"/>
        <family val="2"/>
        <scheme val="minor"/>
      </rPr>
      <t>所需的终结技能量能量</t>
    </r>
    <r>
      <rPr>
        <b/>
        <sz val="11"/>
        <color rgb="FF9EB7FF"/>
        <rFont val="宋体"/>
        <charset val="134"/>
      </rPr>
      <t>-15%</t>
    </r>
    <r>
      <rPr>
        <sz val="11"/>
        <color theme="1"/>
        <rFont val="宋体"/>
        <family val="2"/>
        <scheme val="minor"/>
      </rPr>
      <t>。</t>
    </r>
  </si>
  <si>
    <r>
      <t>【火山蒸汽】连携技</t>
    </r>
    <r>
      <rPr>
        <b/>
        <sz val="11"/>
        <color rgb="FF33C2FF"/>
        <rFont val="宋体"/>
        <charset val="134"/>
      </rPr>
      <t>火山蘑菇云</t>
    </r>
    <r>
      <rPr>
        <sz val="11"/>
        <color theme="1"/>
        <rFont val="宋体"/>
        <family val="2"/>
        <scheme val="minor"/>
      </rPr>
      <t>冷却时间</t>
    </r>
    <r>
      <rPr>
        <b/>
        <sz val="11"/>
        <color rgb="FF9EB7FF"/>
        <rFont val="宋体"/>
        <charset val="134"/>
      </rPr>
      <t>-2</t>
    </r>
    <r>
      <rPr>
        <sz val="11"/>
        <color theme="1"/>
        <rFont val="宋体"/>
        <family val="2"/>
        <scheme val="minor"/>
      </rPr>
      <t>秒，伤害倍率提升至原本的</t>
    </r>
    <r>
      <rPr>
        <b/>
        <sz val="11"/>
        <color rgb="FF9EB7FF"/>
        <rFont val="宋体"/>
        <charset val="134"/>
      </rPr>
      <t>1.2</t>
    </r>
    <r>
      <rPr>
        <sz val="11"/>
        <color theme="1"/>
        <rFont val="宋体"/>
        <family val="2"/>
        <scheme val="minor"/>
      </rPr>
      <t>倍，施加的</t>
    </r>
    <r>
      <rPr>
        <b/>
        <u/>
        <sz val="11"/>
        <color rgb="FFB4D945"/>
        <rFont val="宋体"/>
        <charset val="134"/>
      </rPr>
      <t>腐蚀</t>
    </r>
    <r>
      <rPr>
        <sz val="11"/>
        <color theme="1"/>
        <rFont val="宋体"/>
        <family val="2"/>
        <scheme val="minor"/>
      </rPr>
      <t>效果持续时间</t>
    </r>
    <r>
      <rPr>
        <b/>
        <sz val="11"/>
        <color rgb="FF9EB7FF"/>
        <rFont val="宋体"/>
        <charset val="134"/>
      </rPr>
      <t>+4</t>
    </r>
    <r>
      <rPr>
        <sz val="11"/>
        <color theme="1"/>
        <rFont val="宋体"/>
        <family val="2"/>
        <scheme val="minor"/>
      </rPr>
      <t>秒。</t>
    </r>
  </si>
  <si>
    <t>chr_0025_ardelia_2</t>
  </si>
  <si>
    <t>10.943614559225754</t>
  </si>
  <si>
    <t>21.51693667157589</t>
  </si>
  <si>
    <t>17.02650957290131</t>
  </si>
  <si>
    <t>chr_0025_ardelia_3</t>
  </si>
  <si>
    <t>12.093414685461818</t>
  </si>
  <si>
    <t>22.930780559646585</t>
  </si>
  <si>
    <t>18.176730486008825</t>
  </si>
  <si>
    <t>chr_0025_ardelia_4</t>
  </si>
  <si>
    <t>13.243214811697882</t>
  </si>
  <si>
    <t>24.344624447717276</t>
  </si>
  <si>
    <t>19.326951399116336</t>
  </si>
  <si>
    <t>chr_0025_ardelia_5</t>
  </si>
  <si>
    <t>14.393014937933948</t>
  </si>
  <si>
    <t>25.758468335787967</t>
  </si>
  <si>
    <t>20.47717231222385</t>
  </si>
  <si>
    <t>chr_0025_ardelia_6</t>
  </si>
  <si>
    <t>15.54281506417001</t>
  </si>
  <si>
    <t>27.17231222385866</t>
  </si>
  <si>
    <t>21.62739322533136</t>
  </si>
  <si>
    <t>chr_0025_ardelia_7</t>
  </si>
  <si>
    <t>16.692615190406077</t>
  </si>
  <si>
    <t>28.586156111929352</t>
  </si>
  <si>
    <t>22.77761413843887</t>
  </si>
  <si>
    <t>chr_0025_ardelia_8</t>
  </si>
  <si>
    <t>17.84241531664214</t>
  </si>
  <si>
    <t>30.000000000000043</t>
  </si>
  <si>
    <t>23.927835051546385</t>
  </si>
  <si>
    <t>chr_0025_ardelia_9</t>
  </si>
  <si>
    <t>18.992215442878205</t>
  </si>
  <si>
    <t>31.413843888070737</t>
  </si>
  <si>
    <t>25.0780559646539</t>
  </si>
  <si>
    <t>chr_0025_ardelia_10</t>
  </si>
  <si>
    <t>20.14201556911427</t>
  </si>
  <si>
    <t>32.82768777614143</t>
  </si>
  <si>
    <t>26.22827687776141</t>
  </si>
  <si>
    <t>chr_0025_ardelia_11</t>
  </si>
  <si>
    <t>21.291815695350333</t>
  </si>
  <si>
    <t>34.24153166421212</t>
  </si>
  <si>
    <t>27.37849779086892</t>
  </si>
  <si>
    <t>chr_0025_ardelia_12</t>
  </si>
  <si>
    <t>22.441615821586396</t>
  </si>
  <si>
    <t>35.65537555228281</t>
  </si>
  <si>
    <t>28.528718703976434</t>
  </si>
  <si>
    <t>chr_0025_ardelia_13</t>
  </si>
  <si>
    <t>23.591415947822462</t>
  </si>
  <si>
    <t>37.06921944035351</t>
  </si>
  <si>
    <t>29.678939617083945</t>
  </si>
  <si>
    <t>chr_0025_ardelia_14</t>
  </si>
  <si>
    <t>24.741216074058528</t>
  </si>
  <si>
    <t>38.483063328424194</t>
  </si>
  <si>
    <t>30.82916053019146</t>
  </si>
  <si>
    <t>chr_0025_ardelia_15</t>
  </si>
  <si>
    <t>25.891016200294594</t>
  </si>
  <si>
    <t>39.89690721649488</t>
  </si>
  <si>
    <t>31.97938144329897</t>
  </si>
  <si>
    <t>chr_0025_ardelia_16</t>
  </si>
  <si>
    <t>27.040816326530653</t>
  </si>
  <si>
    <t>41.31075110456558</t>
  </si>
  <si>
    <t>33.12960235640648</t>
  </si>
  <si>
    <t>chr_0025_ardelia_17</t>
  </si>
  <si>
    <t>28.19061645276672</t>
  </si>
  <si>
    <t>42.72459499263627</t>
  </si>
  <si>
    <t>34.279823269514</t>
  </si>
  <si>
    <t>chr_0025_ardelia_18</t>
  </si>
  <si>
    <t>29.340416579002785</t>
  </si>
  <si>
    <t>44.13843888070696</t>
  </si>
  <si>
    <t>35.4300441826215</t>
  </si>
  <si>
    <t>chr_0025_ardelia_19</t>
  </si>
  <si>
    <t>30.49021670523885</t>
  </si>
  <si>
    <t>45.55228276877766</t>
  </si>
  <si>
    <t>36.58026509572902</t>
  </si>
  <si>
    <t>chr_0025_ardelia_20</t>
  </si>
  <si>
    <t>31.640016831474917</t>
  </si>
  <si>
    <t>46.966126656848346</t>
  </si>
  <si>
    <t>37.73048600883653</t>
  </si>
  <si>
    <t>【朋友的身影 Lv.2】战技奔腾的多利命中敌人后生成3个多利先生的影子，终结技毛茸茸派对散射的多利先生的分身落地时有10%概率生成多利先生的影子。主控干员触碰多利先生的影子后，艾尔黛拉为其回复[63+意志×0.53]点生命值。主控干员生命值已满时，将转而治疗小队中生命值百分比最低的干员。多利先生的影子持续10秒，最多同时存在10个。</t>
  </si>
  <si>
    <r>
      <t>【朋友的身影 Lv.2】战技</t>
    </r>
    <r>
      <rPr>
        <b/>
        <sz val="11"/>
        <color rgb="FF33C2FF"/>
        <rFont val="宋体"/>
        <charset val="134"/>
      </rPr>
      <t>奔腾的多利</t>
    </r>
    <r>
      <rPr>
        <sz val="11"/>
        <color theme="1"/>
        <rFont val="宋体"/>
        <family val="2"/>
        <scheme val="minor"/>
      </rPr>
      <t>命中敌人后生成3个</t>
    </r>
    <r>
      <rPr>
        <b/>
        <sz val="11"/>
        <color rgb="FF33C2FF"/>
        <rFont val="宋体"/>
        <charset val="134"/>
      </rPr>
      <t>多利先生的影子</t>
    </r>
    <r>
      <rPr>
        <sz val="11"/>
        <color theme="1"/>
        <rFont val="宋体"/>
        <family val="2"/>
        <scheme val="minor"/>
      </rPr>
      <t>，终结技</t>
    </r>
    <r>
      <rPr>
        <b/>
        <sz val="11"/>
        <color rgb="FF33C2FF"/>
        <rFont val="宋体"/>
        <charset val="134"/>
      </rPr>
      <t>毛茸茸派对</t>
    </r>
    <r>
      <rPr>
        <sz val="11"/>
        <color theme="1"/>
        <rFont val="宋体"/>
        <family val="2"/>
        <scheme val="minor"/>
      </rPr>
      <t>散射的多利先生的分身落地时有10%概率生成</t>
    </r>
    <r>
      <rPr>
        <b/>
        <sz val="11"/>
        <color rgb="FF33C2FF"/>
        <rFont val="宋体"/>
        <charset val="134"/>
      </rPr>
      <t>多利先生的影子</t>
    </r>
    <r>
      <rPr>
        <sz val="11"/>
        <color theme="1"/>
        <rFont val="宋体"/>
        <family val="2"/>
        <scheme val="minor"/>
      </rPr>
      <t>。主控干员触碰</t>
    </r>
    <r>
      <rPr>
        <b/>
        <sz val="11"/>
        <color rgb="FF33C2FF"/>
        <rFont val="宋体"/>
        <charset val="134"/>
      </rPr>
      <t>多利先生的影子</t>
    </r>
    <r>
      <rPr>
        <sz val="11"/>
        <color theme="1"/>
        <rFont val="宋体"/>
        <family val="2"/>
        <scheme val="minor"/>
      </rPr>
      <t>后，艾尔黛拉为其回复</t>
    </r>
    <r>
      <rPr>
        <b/>
        <sz val="11"/>
        <color rgb="FFB4D945"/>
        <rFont val="宋体"/>
        <charset val="134"/>
      </rPr>
      <t>[63+意志×0.53]</t>
    </r>
    <r>
      <rPr>
        <sz val="11"/>
        <color theme="1"/>
        <rFont val="宋体"/>
        <family val="2"/>
        <scheme val="minor"/>
      </rPr>
      <t>点生命值。</t>
    </r>
    <r>
      <rPr>
        <b/>
        <sz val="11"/>
        <color rgb="FF999999"/>
        <rFont val="宋体"/>
        <charset val="134"/>
      </rPr>
      <t>主控干员生命值已满时，将转而治疗小队中生命值百分比最低的干员。</t>
    </r>
    <r>
      <rPr>
        <b/>
        <sz val="11"/>
        <color rgb="FF999999"/>
        <rFont val="宋体"/>
        <charset val="134"/>
      </rPr>
      <t>多利先生的影子持续10秒，最多同时存在10个。</t>
    </r>
  </si>
  <si>
    <t>chr_0025_ardelia_21</t>
  </si>
  <si>
    <t>32.789816957710975</t>
  </si>
  <si>
    <t>48.37997054491903</t>
  </si>
  <si>
    <t>38.88070692194404</t>
  </si>
  <si>
    <t>chr_0025_ardelia_22</t>
  </si>
  <si>
    <t>33.93961708394704</t>
  </si>
  <si>
    <t>49.793814432989734</t>
  </si>
  <si>
    <t>40.03092783505156</t>
  </si>
  <si>
    <t>chr_0025_ardelia_23</t>
  </si>
  <si>
    <t>35.08941721018311</t>
  </si>
  <si>
    <t>51.20765832106042</t>
  </si>
  <si>
    <t>41.18114874815907</t>
  </si>
  <si>
    <t>chr_0025_ardelia_24</t>
  </si>
  <si>
    <t>36.23921733641917</t>
  </si>
  <si>
    <t>52.62150220913111</t>
  </si>
  <si>
    <t>42.33136966126658</t>
  </si>
  <si>
    <t>chr_0025_ardelia_25</t>
  </si>
  <si>
    <t>37.38901746265524</t>
  </si>
  <si>
    <t>54.03534609720181</t>
  </si>
  <si>
    <t>43.48159057437409</t>
  </si>
  <si>
    <t>chr_0025_ardelia_26</t>
  </si>
  <si>
    <t>38.5388175888913</t>
  </si>
  <si>
    <t>55.4491899852725</t>
  </si>
  <si>
    <t>44.6318114874816</t>
  </si>
  <si>
    <t>chr_0025_ardelia_27</t>
  </si>
  <si>
    <t>39.688617715127364</t>
  </si>
  <si>
    <t>56.863033873343184</t>
  </si>
  <si>
    <t>45.78203240058912</t>
  </si>
  <si>
    <t>chr_0025_ardelia_28</t>
  </si>
  <si>
    <t>40.83841784136343</t>
  </si>
  <si>
    <t>58.276877761413886</t>
  </si>
  <si>
    <t>46.93225331369663</t>
  </si>
  <si>
    <t>chr_0025_ardelia_29</t>
  </si>
  <si>
    <t>41.988217967599496</t>
  </si>
  <si>
    <t>59.69072164948457</t>
  </si>
  <si>
    <t>48.08247422680414</t>
  </si>
  <si>
    <t>chr_0025_ardelia_30</t>
  </si>
  <si>
    <t>43.13801809383556</t>
  </si>
  <si>
    <t>61.10456553755526</t>
  </si>
  <si>
    <t>49.23269513991165</t>
  </si>
  <si>
    <t>chr_0025_ardelia_31</t>
  </si>
  <si>
    <t>44.28781822007162</t>
  </si>
  <si>
    <t>62.51840942562596</t>
  </si>
  <si>
    <t>50.382916053019166</t>
  </si>
  <si>
    <t>chr_0025_ardelia_32</t>
  </si>
  <si>
    <t>45.43761834630769</t>
  </si>
  <si>
    <t>63.93225331369665</t>
  </si>
  <si>
    <t>51.533136966126676</t>
  </si>
  <si>
    <t>chr_0025_ardelia_33</t>
  </si>
  <si>
    <t>46.58741847254375</t>
  </si>
  <si>
    <t>65.34609720176734</t>
  </si>
  <si>
    <t>52.68335787923419</t>
  </si>
  <si>
    <t>chr_0025_ardelia_34</t>
  </si>
  <si>
    <t>47.73721859877982</t>
  </si>
  <si>
    <t>66.75994108983804</t>
  </si>
  <si>
    <t>53.8335787923417</t>
  </si>
  <si>
    <t>chr_0025_ardelia_35</t>
  </si>
  <si>
    <t>48.887018725015885</t>
  </si>
  <si>
    <t>68.17378497790872</t>
  </si>
  <si>
    <t>54.98379970544921</t>
  </si>
  <si>
    <t>chr_0025_ardelia_36</t>
  </si>
  <si>
    <t>50.036818851251944</t>
  </si>
  <si>
    <t>69.58762886597941</t>
  </si>
  <si>
    <t>56.134020618556725</t>
  </si>
  <si>
    <t>chr_0025_ardelia_37</t>
  </si>
  <si>
    <t>51.18661897748801</t>
  </si>
  <si>
    <t>71.00147275405011</t>
  </si>
  <si>
    <t>57.284241531664236</t>
  </si>
  <si>
    <t>chr_0025_ardelia_38</t>
  </si>
  <si>
    <t>52.336419103724076</t>
  </si>
  <si>
    <t>72.4153166421208</t>
  </si>
  <si>
    <t>58.43446244477175</t>
  </si>
  <si>
    <t>chr_0025_ardelia_39</t>
  </si>
  <si>
    <t>53.48621922996014</t>
  </si>
  <si>
    <t>73.82916053019149</t>
  </si>
  <si>
    <t>59.58468335787926</t>
  </si>
  <si>
    <t>chr_0025_ardelia_40</t>
  </si>
  <si>
    <t>54.6360193561962</t>
  </si>
  <si>
    <t>75.24300441826219</t>
  </si>
  <si>
    <t>60.734904270986775</t>
  </si>
  <si>
    <t>【朋友的身影 Lv.1】战技奔腾的多利命中敌人后生成3个多利先生的影子，终结技毛茸茸派对散射的多利先生的分身落地时有10%概率生成多利先生的影子。主控干员触碰多利先生的影子后，艾尔黛拉为其回复[45+意志×0.38]点生命值。主控干员生命值已满时，将转而治疗小队中生命值百分比最低的干员。多利先生的影子持续10秒，最多同时存在10个。</t>
  </si>
  <si>
    <r>
      <t>【朋友的身影 Lv.1】战技</t>
    </r>
    <r>
      <rPr>
        <b/>
        <sz val="11"/>
        <color rgb="FF33C2FF"/>
        <rFont val="宋体"/>
        <charset val="134"/>
      </rPr>
      <t>奔腾的多利</t>
    </r>
    <r>
      <rPr>
        <sz val="11"/>
        <color theme="1"/>
        <rFont val="宋体"/>
        <family val="2"/>
        <scheme val="minor"/>
      </rPr>
      <t>命中敌人后生成3个</t>
    </r>
    <r>
      <rPr>
        <b/>
        <sz val="11"/>
        <color rgb="FF33C2FF"/>
        <rFont val="宋体"/>
        <charset val="134"/>
      </rPr>
      <t>多利先生的影子</t>
    </r>
    <r>
      <rPr>
        <sz val="11"/>
        <color theme="1"/>
        <rFont val="宋体"/>
        <family val="2"/>
        <scheme val="minor"/>
      </rPr>
      <t>，终结技</t>
    </r>
    <r>
      <rPr>
        <b/>
        <sz val="11"/>
        <color rgb="FF33C2FF"/>
        <rFont val="宋体"/>
        <charset val="134"/>
      </rPr>
      <t>毛茸茸派对</t>
    </r>
    <r>
      <rPr>
        <sz val="11"/>
        <color theme="1"/>
        <rFont val="宋体"/>
        <family val="2"/>
        <scheme val="minor"/>
      </rPr>
      <t>散射的多利先生的分身落地时有10%概率生成</t>
    </r>
    <r>
      <rPr>
        <b/>
        <sz val="11"/>
        <color rgb="FF33C2FF"/>
        <rFont val="宋体"/>
        <charset val="134"/>
      </rPr>
      <t>多利先生的影子</t>
    </r>
    <r>
      <rPr>
        <sz val="11"/>
        <color theme="1"/>
        <rFont val="宋体"/>
        <family val="2"/>
        <scheme val="minor"/>
      </rPr>
      <t>。主控干员触碰</t>
    </r>
    <r>
      <rPr>
        <b/>
        <sz val="11"/>
        <color rgb="FF33C2FF"/>
        <rFont val="宋体"/>
        <charset val="134"/>
      </rPr>
      <t>多利先生的影子</t>
    </r>
    <r>
      <rPr>
        <sz val="11"/>
        <color theme="1"/>
        <rFont val="宋体"/>
        <family val="2"/>
        <scheme val="minor"/>
      </rPr>
      <t>后，艾尔黛拉为其回复</t>
    </r>
    <r>
      <rPr>
        <b/>
        <sz val="11"/>
        <color rgb="FFB4D945"/>
        <rFont val="宋体"/>
        <charset val="134"/>
      </rPr>
      <t>[45+意志×0.38]</t>
    </r>
    <r>
      <rPr>
        <sz val="11"/>
        <color theme="1"/>
        <rFont val="宋体"/>
        <family val="2"/>
        <scheme val="minor"/>
      </rPr>
      <t>点生命值。</t>
    </r>
    <r>
      <rPr>
        <b/>
        <sz val="11"/>
        <color rgb="FF999999"/>
        <rFont val="宋体"/>
        <charset val="134"/>
      </rPr>
      <t>主控干员生命值已满时，将转而治疗小队中生命值百分比最低的干员。</t>
    </r>
    <r>
      <rPr>
        <b/>
        <sz val="11"/>
        <color rgb="FF999999"/>
        <rFont val="宋体"/>
        <charset val="134"/>
      </rPr>
      <t>多利先生的影子持续10秒，最多同时存在10个。</t>
    </r>
  </si>
  <si>
    <r>
      <t>【朋友的身影 Lv.3】战技</t>
    </r>
    <r>
      <rPr>
        <b/>
        <sz val="11"/>
        <color rgb="FF33C2FF"/>
        <rFont val="宋体"/>
        <charset val="134"/>
      </rPr>
      <t>奔腾的多利</t>
    </r>
    <r>
      <rPr>
        <sz val="11"/>
        <color theme="1"/>
        <rFont val="宋体"/>
        <family val="2"/>
        <scheme val="minor"/>
      </rPr>
      <t>命中敌人后生成3个</t>
    </r>
    <r>
      <rPr>
        <b/>
        <sz val="11"/>
        <color rgb="FF33C2FF"/>
        <rFont val="宋体"/>
        <charset val="134"/>
      </rPr>
      <t>多利先生的影子</t>
    </r>
    <r>
      <rPr>
        <sz val="11"/>
        <color theme="1"/>
        <rFont val="宋体"/>
        <family val="2"/>
        <scheme val="minor"/>
      </rPr>
      <t>，终结技</t>
    </r>
    <r>
      <rPr>
        <b/>
        <sz val="11"/>
        <color rgb="FF33C2FF"/>
        <rFont val="宋体"/>
        <charset val="134"/>
      </rPr>
      <t>毛茸茸派对</t>
    </r>
    <r>
      <rPr>
        <sz val="11"/>
        <color theme="1"/>
        <rFont val="宋体"/>
        <family val="2"/>
        <scheme val="minor"/>
      </rPr>
      <t>散射的多利先生的分身落地时有10%概率生成</t>
    </r>
    <r>
      <rPr>
        <b/>
        <sz val="11"/>
        <color rgb="FF33C2FF"/>
        <rFont val="宋体"/>
        <charset val="134"/>
      </rPr>
      <t>多利先生的影子</t>
    </r>
    <r>
      <rPr>
        <sz val="11"/>
        <color theme="1"/>
        <rFont val="宋体"/>
        <family val="2"/>
        <scheme val="minor"/>
      </rPr>
      <t>。主控干员触碰</t>
    </r>
    <r>
      <rPr>
        <b/>
        <sz val="11"/>
        <color rgb="FF33C2FF"/>
        <rFont val="宋体"/>
        <charset val="134"/>
      </rPr>
      <t>多利先生的影子</t>
    </r>
    <r>
      <rPr>
        <sz val="11"/>
        <color theme="1"/>
        <rFont val="宋体"/>
        <family val="2"/>
        <scheme val="minor"/>
      </rPr>
      <t>后，艾尔黛拉为其回复</t>
    </r>
    <r>
      <rPr>
        <b/>
        <sz val="11"/>
        <color rgb="FFB4D945"/>
        <rFont val="宋体"/>
        <charset val="134"/>
      </rPr>
      <t>[90+意志×0.75]</t>
    </r>
    <r>
      <rPr>
        <sz val="11"/>
        <color theme="1"/>
        <rFont val="宋体"/>
        <family val="2"/>
        <scheme val="minor"/>
      </rPr>
      <t>点生命值。</t>
    </r>
    <r>
      <rPr>
        <b/>
        <sz val="11"/>
        <color rgb="FF999999"/>
        <rFont val="宋体"/>
        <charset val="134"/>
      </rPr>
      <t>主控干员生命值已满时，将转而治疗小队中生命值百分比最低的干员。</t>
    </r>
    <r>
      <rPr>
        <b/>
        <sz val="11"/>
        <color rgb="FF999999"/>
        <rFont val="宋体"/>
        <charset val="134"/>
      </rPr>
      <t>多利先生的影子持续10秒，最多同时存在10个。</t>
    </r>
  </si>
  <si>
    <t>【山顶冲浪 Lv.1】当艾尔黛拉的战技奔腾的多利成功触发额外效果后，若附近存在其他处于腐蚀状态的敌人，会立即再对其发动一次战技。每次主动施放战技只会触发一次该效果。</t>
  </si>
  <si>
    <r>
      <t>【山顶冲浪 Lv.1】当艾尔黛拉的战技</t>
    </r>
    <r>
      <rPr>
        <b/>
        <sz val="11"/>
        <color rgb="FF33C2FF"/>
        <rFont val="宋体"/>
        <charset val="134"/>
      </rPr>
      <t>奔腾的多利</t>
    </r>
    <r>
      <rPr>
        <sz val="11"/>
        <color theme="1"/>
        <rFont val="宋体"/>
        <family val="2"/>
        <scheme val="minor"/>
      </rPr>
      <t>成功触发额外效果后，若附近存在其他处于</t>
    </r>
    <r>
      <rPr>
        <b/>
        <u/>
        <sz val="11"/>
        <color rgb="FFB4D945"/>
        <rFont val="宋体"/>
        <charset val="134"/>
      </rPr>
      <t>腐蚀</t>
    </r>
    <r>
      <rPr>
        <sz val="11"/>
        <color theme="1"/>
        <rFont val="宋体"/>
        <family val="2"/>
        <scheme val="minor"/>
      </rPr>
      <t>状态的敌人，会立即再对其发动一次战技。</t>
    </r>
    <r>
      <rPr>
        <b/>
        <sz val="11"/>
        <color rgb="FF999999"/>
        <rFont val="宋体"/>
        <charset val="134"/>
      </rPr>
      <t>每次主动施放战技只会触发一次该效果。</t>
    </r>
  </si>
  <si>
    <t>chr_0025_ardelia_41</t>
  </si>
  <si>
    <t>55.78581948243227</t>
  </si>
  <si>
    <t>76.65684830633288</t>
  </si>
  <si>
    <t>61.885125184094285</t>
  </si>
  <si>
    <t>chr_0025_ardelia_42</t>
  </si>
  <si>
    <t>56.93561960866833</t>
  </si>
  <si>
    <t>78.07069219440356</t>
  </si>
  <si>
    <t>63.035346097201796</t>
  </si>
  <si>
    <t>chr_0025_ardelia_43</t>
  </si>
  <si>
    <t>58.0854197349044</t>
  </si>
  <si>
    <t>79.48453608247426</t>
  </si>
  <si>
    <t>64.18556701030931</t>
  </si>
  <si>
    <t>chr_0025_ardelia_44</t>
  </si>
  <si>
    <t>59.235219861140465</t>
  </si>
  <si>
    <t>80.89837997054495</t>
  </si>
  <si>
    <t>65.33578792341682</t>
  </si>
  <si>
    <t>chr_0025_ardelia_45</t>
  </si>
  <si>
    <t>60.38501998737652</t>
  </si>
  <si>
    <t>82.31222385861564</t>
  </si>
  <si>
    <t>66.48600883652433</t>
  </si>
  <si>
    <t>chr_0025_ardelia_46</t>
  </si>
  <si>
    <t>61.53482011361259</t>
  </si>
  <si>
    <t>83.72606774668634</t>
  </si>
  <si>
    <t>67.63622974963184</t>
  </si>
  <si>
    <t>chr_0025_ardelia_47</t>
  </si>
  <si>
    <t>62.684620239848655</t>
  </si>
  <si>
    <t>85.13991163475703</t>
  </si>
  <si>
    <t>68.78645066273936</t>
  </si>
  <si>
    <t>chr_0025_ardelia_48</t>
  </si>
  <si>
    <t>63.83442036608472</t>
  </si>
  <si>
    <t>86.55375552282771</t>
  </si>
  <si>
    <t>69.93667157584687</t>
  </si>
  <si>
    <t>chr_0025_ardelia_49</t>
  </si>
  <si>
    <t>64.98422049232079</t>
  </si>
  <si>
    <t>87.96759941089842</t>
  </si>
  <si>
    <t>71.08689248895438</t>
  </si>
  <si>
    <t>chr_0025_ardelia_50</t>
  </si>
  <si>
    <t>66.13402061855685</t>
  </si>
  <si>
    <t>89.3814432989691</t>
  </si>
  <si>
    <t>72.2371134020619</t>
  </si>
  <si>
    <t>chr_0025_ardelia_51</t>
  </si>
  <si>
    <t>67.2838207447929</t>
  </si>
  <si>
    <t>90.79528718703979</t>
  </si>
  <si>
    <t>73.3873343151694</t>
  </si>
  <si>
    <t>chr_0025_ardelia_52</t>
  </si>
  <si>
    <t>68.43362087102898</t>
  </si>
  <si>
    <t>92.20913107511049</t>
  </si>
  <si>
    <t>74.53755522827691</t>
  </si>
  <si>
    <t>chr_0025_ardelia_53</t>
  </si>
  <si>
    <t>69.58342099726504</t>
  </si>
  <si>
    <t>93.62297496318118</t>
  </si>
  <si>
    <t>75.68777614138443</t>
  </si>
  <si>
    <t>chr_0025_ardelia_54</t>
  </si>
  <si>
    <t>70.7332211235011</t>
  </si>
  <si>
    <t>95.03681885125187</t>
  </si>
  <si>
    <t>76.83799705449195</t>
  </si>
  <si>
    <t>chr_0025_ardelia_55</t>
  </si>
  <si>
    <t>71.88302124973717</t>
  </si>
  <si>
    <t>96.45066273932257</t>
  </si>
  <si>
    <t>77.98821796759945</t>
  </si>
  <si>
    <t>chr_0025_ardelia_56</t>
  </si>
  <si>
    <t>73.03282137597323</t>
  </si>
  <si>
    <t>97.86450662739325</t>
  </si>
  <si>
    <t>79.13843888070696</t>
  </si>
  <si>
    <t>chr_0025_ardelia_57</t>
  </si>
  <si>
    <t>74.1826215022093</t>
  </si>
  <si>
    <t>99.27835051546394</t>
  </si>
  <si>
    <t>80.28865979381447</t>
  </si>
  <si>
    <t>chr_0025_ardelia_58</t>
  </si>
  <si>
    <t>75.33242162844536</t>
  </si>
  <si>
    <t>100.69219440353464</t>
  </si>
  <si>
    <t>81.43888070692199</t>
  </si>
  <si>
    <t>chr_0025_ardelia_59</t>
  </si>
  <si>
    <t>76.48222175468143</t>
  </si>
  <si>
    <t>102.10603829160533</t>
  </si>
  <si>
    <t>82.5891016200295</t>
  </si>
  <si>
    <t>chr_0025_ardelia_60</t>
  </si>
  <si>
    <t>77.63202188091749</t>
  </si>
  <si>
    <t>103.51988217967602</t>
  </si>
  <si>
    <t>83.73932253313701</t>
  </si>
  <si>
    <t>chr_0025_ardelia_61</t>
  </si>
  <si>
    <t>78.78182200715355</t>
  </si>
  <si>
    <t>104.93372606774672</t>
  </si>
  <si>
    <t>84.88954344624453</t>
  </si>
  <si>
    <t>chr_0025_ardelia_62</t>
  </si>
  <si>
    <t>79.93162213338962</t>
  </si>
  <si>
    <t>106.3475699558174</t>
  </si>
  <si>
    <t>86.03976435935203</t>
  </si>
  <si>
    <t>chr_0025_ardelia_63</t>
  </si>
  <si>
    <t>81.08142225962568</t>
  </si>
  <si>
    <t>107.76141384388809</t>
  </si>
  <si>
    <t>87.18998527245955</t>
  </si>
  <si>
    <t>chr_0025_ardelia_64</t>
  </si>
  <si>
    <t>82.23122238586176</t>
  </si>
  <si>
    <t>109.1752577319588</t>
  </si>
  <si>
    <t>88.34020618556706</t>
  </si>
  <si>
    <t>chr_0025_ardelia_65</t>
  </si>
  <si>
    <t>83.38102251209781</t>
  </si>
  <si>
    <t>110.58910162002948</t>
  </si>
  <si>
    <t>89.49042709867457</t>
  </si>
  <si>
    <t>chr_0025_ardelia_66</t>
  </si>
  <si>
    <t>84.53082263833387</t>
  </si>
  <si>
    <t>112.00294550810017</t>
  </si>
  <si>
    <t>90.64064801178209</t>
  </si>
  <si>
    <t>chr_0025_ardelia_67</t>
  </si>
  <si>
    <t>85.68062276456995</t>
  </si>
  <si>
    <t>113.41678939617087</t>
  </si>
  <si>
    <t>91.7908689248896</t>
  </si>
  <si>
    <t>chr_0025_ardelia_68</t>
  </si>
  <si>
    <t>86.830422890806</t>
  </si>
  <si>
    <t>114.83063328424156</t>
  </si>
  <si>
    <t>92.94108983799711</t>
  </si>
  <si>
    <t>chr_0025_ardelia_69</t>
  </si>
  <si>
    <t>87.98022301704208</t>
  </si>
  <si>
    <t>116.24447717231224</t>
  </si>
  <si>
    <t>94.09131075110461</t>
  </si>
  <si>
    <t>chr_0025_ardelia_70</t>
  </si>
  <si>
    <t>89.13002314327814</t>
  </si>
  <si>
    <t>117.65832106038295</t>
  </si>
  <si>
    <t>95.24153166421213</t>
  </si>
  <si>
    <t>chr_0025_ardelia_71</t>
  </si>
  <si>
    <t>90.2798232695142</t>
  </si>
  <si>
    <t>119.07216494845363</t>
  </si>
  <si>
    <t>96.39175257731965</t>
  </si>
  <si>
    <t>chr_0025_ardelia_72</t>
  </si>
  <si>
    <t>91.42962339575027</t>
  </si>
  <si>
    <t>120.48600883652432</t>
  </si>
  <si>
    <t>97.54197349042715</t>
  </si>
  <si>
    <t>chr_0025_ardelia_73</t>
  </si>
  <si>
    <t>92.57942352198633</t>
  </si>
  <si>
    <t>121.89985272459502</t>
  </si>
  <si>
    <t>98.69219440353467</t>
  </si>
  <si>
    <t>chr_0025_ardelia_74</t>
  </si>
  <si>
    <t>93.7292236482224</t>
  </si>
  <si>
    <t>123.31369661266571</t>
  </si>
  <si>
    <t>99.84241531664217</t>
  </si>
  <si>
    <t>chr_0025_ardelia_75</t>
  </si>
  <si>
    <t>94.87902377445846</t>
  </si>
  <si>
    <t>124.7275405007364</t>
  </si>
  <si>
    <t>100.99263622974969</t>
  </si>
  <si>
    <t>chr_0025_ardelia_76</t>
  </si>
  <si>
    <t>96.02882390069452</t>
  </si>
  <si>
    <t>126.1413843888071</t>
  </si>
  <si>
    <t>102.14285714285721</t>
  </si>
  <si>
    <t>chr_0025_ardelia_77</t>
  </si>
  <si>
    <t>97.17862402693059</t>
  </si>
  <si>
    <t>127.55522827687778</t>
  </si>
  <si>
    <t>103.29307805596471</t>
  </si>
  <si>
    <t>chr_0025_ardelia_78</t>
  </si>
  <si>
    <t>98.32842415316665</t>
  </si>
  <si>
    <t>128.96907216494847</t>
  </si>
  <si>
    <t>104.44329896907223</t>
  </si>
  <si>
    <t>chr_0025_ardelia_79</t>
  </si>
  <si>
    <t>99.47822427940271</t>
  </si>
  <si>
    <t>130.38291605301916</t>
  </si>
  <si>
    <t>105.59351988217975</t>
  </si>
  <si>
    <t>chr_0025_ardelia_80</t>
  </si>
  <si>
    <t>100.62802440563878</t>
  </si>
  <si>
    <t>131.79675994108985</t>
  </si>
  <si>
    <t>106.74374079528725</t>
  </si>
  <si>
    <t>chr_0025_ardelia_81</t>
  </si>
  <si>
    <t>101.77782453187484</t>
  </si>
  <si>
    <t>133.21060382916053</t>
  </si>
  <si>
    <t>107.89396170839477</t>
  </si>
  <si>
    <t>chr_0025_ardelia_82</t>
  </si>
  <si>
    <t>102.92762465811091</t>
  </si>
  <si>
    <t>134.62444771723125</t>
  </si>
  <si>
    <t>109.04418262150227</t>
  </si>
  <si>
    <t>chr_0025_ardelia_83</t>
  </si>
  <si>
    <t>104.07742478434697</t>
  </si>
  <si>
    <t>136.03829160530194</t>
  </si>
  <si>
    <t>110.19440353460979</t>
  </si>
  <si>
    <t>chr_0025_ardelia_84</t>
  </si>
  <si>
    <t>105.22722491058303</t>
  </si>
  <si>
    <t>137.45213549337262</t>
  </si>
  <si>
    <t>111.34462444771731</t>
  </si>
  <si>
    <t>chr_0025_ardelia_85</t>
  </si>
  <si>
    <t>106.3770250368191</t>
  </si>
  <si>
    <t>138.8659793814433</t>
  </si>
  <si>
    <t>112.49484536082481</t>
  </si>
  <si>
    <t>chr_0025_ardelia_86</t>
  </si>
  <si>
    <t>107.52682516305516</t>
  </si>
  <si>
    <t>140.279823269514</t>
  </si>
  <si>
    <t>113.64506627393233</t>
  </si>
  <si>
    <t>chr_0025_ardelia_87</t>
  </si>
  <si>
    <t>108.67662528929124</t>
  </si>
  <si>
    <t>141.69366715758468</t>
  </si>
  <si>
    <t>114.79528718703983</t>
  </si>
  <si>
    <t>chr_0025_ardelia_88</t>
  </si>
  <si>
    <t>109.8264254155273</t>
  </si>
  <si>
    <t>143.1075110456554</t>
  </si>
  <si>
    <t>115.94550810014735</t>
  </si>
  <si>
    <t>chr_0025_ardelia_89</t>
  </si>
  <si>
    <t>110.97622554176336</t>
  </si>
  <si>
    <t>144.5213549337261</t>
  </si>
  <si>
    <t>117.09572901325487</t>
  </si>
  <si>
    <t>chr_0025_ardelia_90</t>
  </si>
  <si>
    <t>112.12602566799943</t>
  </si>
  <si>
    <t>145.93519882179677</t>
  </si>
  <si>
    <t>118.24594992636237</t>
  </si>
  <si>
    <t>chr_0025_ardelia_91</t>
  </si>
  <si>
    <t>113.27582579423549</t>
  </si>
  <si>
    <t>147.34904270986746</t>
  </si>
  <si>
    <t>119.39617083946989</t>
  </si>
  <si>
    <t>chr_0025_ardelia_92</t>
  </si>
  <si>
    <t>114.42562592047156</t>
  </si>
  <si>
    <t>148.76288659793815</t>
  </si>
  <si>
    <t>120.54639175257739</t>
  </si>
  <si>
    <t>chr_0025_ardelia_93</t>
  </si>
  <si>
    <t>115.57542604670762</t>
  </si>
  <si>
    <t>150.17673048600884</t>
  </si>
  <si>
    <t>121.69661266568491</t>
  </si>
  <si>
    <t>chr_0025_ardelia_94</t>
  </si>
  <si>
    <t>116.72522617294368</t>
  </si>
  <si>
    <t>151.59057437407952</t>
  </si>
  <si>
    <t>122.84683357879243</t>
  </si>
  <si>
    <t>chr_0025_ardelia_95</t>
  </si>
  <si>
    <t>117.87502629917975</t>
  </si>
  <si>
    <t>153.0044182621502</t>
  </si>
  <si>
    <t>123.99705449189993</t>
  </si>
  <si>
    <t>chr_0025_ardelia_96</t>
  </si>
  <si>
    <t>119.02482642541581</t>
  </si>
  <si>
    <t>154.41826215022093</t>
  </si>
  <si>
    <t>125.14727540500745</t>
  </si>
  <si>
    <t>chr_0025_ardelia_97</t>
  </si>
  <si>
    <t>120.17462655165188</t>
  </si>
  <si>
    <t>155.8321060382916</t>
  </si>
  <si>
    <t>126.29749631811495</t>
  </si>
  <si>
    <t>chr_0025_ardelia_98</t>
  </si>
  <si>
    <t>121.32442667788794</t>
  </si>
  <si>
    <t>157.2459499263623</t>
  </si>
  <si>
    <t>127.44771723122247</t>
  </si>
  <si>
    <t>chr_0025_ardelia_99</t>
  </si>
  <si>
    <t>122.474226804124</t>
  </si>
  <si>
    <t>128.59793814433</t>
  </si>
  <si>
    <t>chr_0027_tangtang_1</t>
  </si>
  <si>
    <t>chr_0027_tangtang</t>
  </si>
  <si>
    <t>汤汤</t>
  </si>
  <si>
    <t>Tangtang</t>
  </si>
  <si>
    <t>寒冷附着, 法术脆弱</t>
  </si>
  <si>
    <t>13.60824742</t>
  </si>
  <si>
    <t>23.50515464</t>
  </si>
  <si>
    <t>8.865979381</t>
  </si>
  <si>
    <t>10.30927835</t>
  </si>
  <si>
    <r>
      <t>【财宝储备】连携技</t>
    </r>
    <r>
      <rPr>
        <b/>
        <sz val="11"/>
        <color rgb="FF33C2FF"/>
        <rFont val="宋体"/>
        <charset val="134"/>
      </rPr>
      <t>河水，助我！</t>
    </r>
    <r>
      <rPr>
        <sz val="11"/>
        <color theme="1"/>
        <rFont val="宋体"/>
        <family val="2"/>
        <scheme val="minor"/>
      </rPr>
      <t>的伤害倍率提升至原本的</t>
    </r>
    <r>
      <rPr>
        <b/>
        <sz val="11"/>
        <color rgb="FF9EB7FF"/>
        <rFont val="宋体"/>
        <charset val="134"/>
      </rPr>
      <t>1.2</t>
    </r>
    <r>
      <rPr>
        <sz val="11"/>
        <color theme="1"/>
        <rFont val="宋体"/>
        <family val="2"/>
        <scheme val="minor"/>
      </rPr>
      <t>倍，冷却时间</t>
    </r>
    <r>
      <rPr>
        <b/>
        <sz val="11"/>
        <color rgb="FF9EB7FF"/>
        <rFont val="宋体"/>
        <charset val="134"/>
      </rPr>
      <t>-2</t>
    </r>
    <r>
      <rPr>
        <sz val="11"/>
        <color theme="1"/>
        <rFont val="宋体"/>
        <family val="2"/>
        <scheme val="minor"/>
      </rPr>
      <t>秒。战技</t>
    </r>
    <r>
      <rPr>
        <b/>
        <sz val="11"/>
        <color rgb="FF33C2FF"/>
        <rFont val="宋体"/>
        <charset val="134"/>
      </rPr>
      <t>踏潮卷浪！</t>
    </r>
    <r>
      <rPr>
        <sz val="11"/>
        <color theme="1"/>
        <rFont val="宋体"/>
        <family val="2"/>
        <scheme val="minor"/>
      </rPr>
      <t>每消耗一处</t>
    </r>
    <r>
      <rPr>
        <b/>
        <sz val="11"/>
        <color rgb="FF33C2FF"/>
        <rFont val="宋体"/>
        <charset val="134"/>
      </rPr>
      <t>涡流</t>
    </r>
    <r>
      <rPr>
        <sz val="11"/>
        <color theme="1"/>
        <rFont val="宋体"/>
        <family val="2"/>
        <scheme val="minor"/>
      </rPr>
      <t>形成</t>
    </r>
    <r>
      <rPr>
        <b/>
        <sz val="11"/>
        <color rgb="FF33C2FF"/>
        <rFont val="宋体"/>
        <charset val="134"/>
      </rPr>
      <t>水龙卷</t>
    </r>
    <r>
      <rPr>
        <sz val="11"/>
        <color theme="1"/>
        <rFont val="宋体"/>
        <family val="2"/>
        <scheme val="minor"/>
      </rPr>
      <t>，额外</t>
    </r>
    <r>
      <rPr>
        <u/>
        <sz val="11"/>
        <rFont val="宋体"/>
        <charset val="134"/>
      </rPr>
      <t>返还</t>
    </r>
    <r>
      <rPr>
        <b/>
        <sz val="11"/>
        <color rgb="FF9EB7FF"/>
        <rFont val="宋体"/>
        <charset val="134"/>
      </rPr>
      <t>5</t>
    </r>
    <r>
      <rPr>
        <sz val="11"/>
        <color theme="1"/>
        <rFont val="宋体"/>
        <family val="2"/>
        <scheme val="minor"/>
      </rPr>
      <t>点技力。</t>
    </r>
  </si>
  <si>
    <r>
      <t>【河流的女儿】敏捷</t>
    </r>
    <r>
      <rPr>
        <b/>
        <sz val="11"/>
        <color rgb="FF9EB7FF"/>
        <rFont val="宋体"/>
        <charset val="134"/>
      </rPr>
      <t>+20</t>
    </r>
    <r>
      <rPr>
        <sz val="11"/>
        <color theme="1"/>
        <rFont val="宋体"/>
        <family val="2"/>
        <scheme val="minor"/>
      </rPr>
      <t>，寒冷伤害</t>
    </r>
    <r>
      <rPr>
        <b/>
        <sz val="11"/>
        <color rgb="FF9EB7FF"/>
        <rFont val="宋体"/>
        <charset val="134"/>
      </rPr>
      <t>+10%</t>
    </r>
    <r>
      <rPr>
        <sz val="11"/>
        <color theme="1"/>
        <rFont val="宋体"/>
        <family val="2"/>
        <scheme val="minor"/>
      </rPr>
      <t>。</t>
    </r>
  </si>
  <si>
    <r>
      <t>【当家气魄】战技</t>
    </r>
    <r>
      <rPr>
        <b/>
        <sz val="11"/>
        <color rgb="FF33C2FF"/>
        <rFont val="宋体"/>
        <charset val="134"/>
      </rPr>
      <t>踏潮卷浪！</t>
    </r>
    <r>
      <rPr>
        <sz val="11"/>
        <color theme="1"/>
        <rFont val="宋体"/>
        <family val="2"/>
        <scheme val="minor"/>
      </rPr>
      <t>伤害倍率提升至原本的</t>
    </r>
    <r>
      <rPr>
        <b/>
        <sz val="11"/>
        <color rgb="FF9EB7FF"/>
        <rFont val="宋体"/>
        <charset val="134"/>
      </rPr>
      <t>1.1</t>
    </r>
    <r>
      <rPr>
        <sz val="11"/>
        <color theme="1"/>
        <rFont val="宋体"/>
        <family val="2"/>
        <scheme val="minor"/>
      </rPr>
      <t>倍，且同时形成多个</t>
    </r>
    <r>
      <rPr>
        <b/>
        <sz val="11"/>
        <color rgb="FF33C2FF"/>
        <rFont val="宋体"/>
        <charset val="134"/>
      </rPr>
      <t>水龙卷</t>
    </r>
    <r>
      <rPr>
        <sz val="11"/>
        <color theme="1"/>
        <rFont val="宋体"/>
        <family val="2"/>
        <scheme val="minor"/>
      </rPr>
      <t>时造成的</t>
    </r>
    <r>
      <rPr>
        <b/>
        <u/>
        <sz val="11"/>
        <color rgb="FF33C2FF"/>
        <rFont val="宋体"/>
        <charset val="134"/>
      </rPr>
      <t>法术脆弱</t>
    </r>
    <r>
      <rPr>
        <sz val="11"/>
        <color theme="1"/>
        <rFont val="宋体"/>
        <family val="2"/>
        <scheme val="minor"/>
      </rPr>
      <t>效果额外</t>
    </r>
    <r>
      <rPr>
        <b/>
        <sz val="11"/>
        <color rgb="FF9EB7FF"/>
        <rFont val="宋体"/>
        <charset val="134"/>
      </rPr>
      <t>+5%</t>
    </r>
    <r>
      <rPr>
        <sz val="11"/>
        <color theme="1"/>
        <rFont val="宋体"/>
        <family val="2"/>
        <scheme val="minor"/>
      </rPr>
      <t>。</t>
    </r>
  </si>
  <si>
    <r>
      <t>【清波修炼法】终结技</t>
    </r>
    <r>
      <rPr>
        <b/>
        <sz val="11"/>
        <color rgb="FF33C2FF"/>
        <rFont val="宋体"/>
        <charset val="134"/>
      </rPr>
      <t>大当家盯着呢！</t>
    </r>
    <r>
      <rPr>
        <sz val="11"/>
        <color theme="1"/>
        <rFont val="宋体"/>
        <family val="2"/>
        <scheme val="minor"/>
      </rPr>
      <t>所需的终结技能量</t>
    </r>
    <r>
      <rPr>
        <b/>
        <sz val="11"/>
        <color rgb="FF9EB7FF"/>
        <rFont val="宋体"/>
        <charset val="134"/>
      </rPr>
      <t>-15%</t>
    </r>
    <r>
      <rPr>
        <sz val="11"/>
        <color theme="1"/>
        <rFont val="宋体"/>
        <family val="2"/>
        <scheme val="minor"/>
      </rPr>
      <t>。</t>
    </r>
  </si>
  <si>
    <r>
      <t>【魔眼效能】终结技</t>
    </r>
    <r>
      <rPr>
        <b/>
        <sz val="11"/>
        <color rgb="FF33C2FF"/>
        <rFont val="宋体"/>
        <charset val="134"/>
      </rPr>
      <t>大当家盯着呢！</t>
    </r>
    <r>
      <rPr>
        <sz val="11"/>
        <color theme="1"/>
        <rFont val="宋体"/>
        <family val="2"/>
        <scheme val="minor"/>
      </rPr>
      <t>的伤害倍率提升至原本的</t>
    </r>
    <r>
      <rPr>
        <b/>
        <sz val="11"/>
        <color rgb="FF9EB7FF"/>
        <rFont val="宋体"/>
        <charset val="134"/>
      </rPr>
      <t>1.15</t>
    </r>
    <r>
      <rPr>
        <sz val="11"/>
        <color theme="1"/>
        <rFont val="宋体"/>
        <family val="2"/>
        <scheme val="minor"/>
      </rPr>
      <t>倍。天赋</t>
    </r>
    <r>
      <rPr>
        <b/>
        <sz val="11"/>
        <color rgb="FF33C2FF"/>
        <rFont val="宋体"/>
        <charset val="134"/>
      </rPr>
      <t>呼风唤浪</t>
    </r>
    <r>
      <rPr>
        <sz val="11"/>
        <color theme="1"/>
        <rFont val="宋体"/>
        <family val="2"/>
        <scheme val="minor"/>
      </rPr>
      <t>效果加强：终结技</t>
    </r>
    <r>
      <rPr>
        <b/>
        <sz val="11"/>
        <color rgb="FF33C2FF"/>
        <rFont val="宋体"/>
        <charset val="134"/>
      </rPr>
      <t>大当家盯着呢！</t>
    </r>
    <r>
      <rPr>
        <sz val="11"/>
        <color theme="1"/>
        <rFont val="宋体"/>
        <family val="2"/>
        <scheme val="minor"/>
      </rPr>
      <t>形成的水龙卷伤害提升效果额外</t>
    </r>
    <r>
      <rPr>
        <b/>
        <sz val="11"/>
        <color rgb="FF9EB7FF"/>
        <rFont val="宋体"/>
        <charset val="134"/>
      </rPr>
      <t>+80%</t>
    </r>
    <r>
      <rPr>
        <sz val="11"/>
        <color theme="1"/>
        <rFont val="宋体"/>
        <family val="2"/>
        <scheme val="minor"/>
      </rPr>
      <t>。</t>
    </r>
  </si>
  <si>
    <t>chr_0027_tangtang_2</t>
  </si>
  <si>
    <t>14.844098461632653</t>
  </si>
  <si>
    <t>25.259204714081633</t>
  </si>
  <si>
    <t>9.729854828132654</t>
  </si>
  <si>
    <t>11.340206185204082</t>
  </si>
  <si>
    <t>chr_0027_tangtang_3</t>
  </si>
  <si>
    <t>16.079949503265304</t>
  </si>
  <si>
    <t>27.013254788163266</t>
  </si>
  <si>
    <t>10.593730275265306</t>
  </si>
  <si>
    <t>12.371134020408164</t>
  </si>
  <si>
    <t>chr_0027_tangtang_4</t>
  </si>
  <si>
    <t>17.31580054489796</t>
  </si>
  <si>
    <t>28.7673048622449</t>
  </si>
  <si>
    <t>11.457605722397961</t>
  </si>
  <si>
    <t>13.402061855612244</t>
  </si>
  <si>
    <t>chr_0027_tangtang_5</t>
  </si>
  <si>
    <t>18.55165158653061</t>
  </si>
  <si>
    <t>30.52135493632653</t>
  </si>
  <si>
    <t>12.321481169530614</t>
  </si>
  <si>
    <t>14.432989690816326</t>
  </si>
  <si>
    <t>chr_0027_tangtang_6</t>
  </si>
  <si>
    <t>19.787502628163267</t>
  </si>
  <si>
    <t>32.275405010408164</t>
  </si>
  <si>
    <t>13.185356616663267</t>
  </si>
  <si>
    <t>15.463917526020408</t>
  </si>
  <si>
    <t>chr_0027_tangtang_7</t>
  </si>
  <si>
    <t>21.023353669795917</t>
  </si>
  <si>
    <t>34.0294550844898</t>
  </si>
  <si>
    <t>14.04923206379592</t>
  </si>
  <si>
    <t>16.49484536122449</t>
  </si>
  <si>
    <t>chr_0027_tangtang_8</t>
  </si>
  <si>
    <t>22.259204711428573</t>
  </si>
  <si>
    <t>35.78350515857143</t>
  </si>
  <si>
    <t>14.913107510928572</t>
  </si>
  <si>
    <t>17.52577319642857</t>
  </si>
  <si>
    <t>chr_0027_tangtang_9</t>
  </si>
  <si>
    <t>23.495055753061223</t>
  </si>
  <si>
    <t>37.53755523265306</t>
  </si>
  <si>
    <t>15.776982958061225</t>
  </si>
  <si>
    <t>18.556701031632652</t>
  </si>
  <si>
    <t>chr_0027_tangtang_10</t>
  </si>
  <si>
    <t>24.73090679469388</t>
  </si>
  <si>
    <t>39.291605306734695</t>
  </si>
  <si>
    <t>16.640858405193878</t>
  </si>
  <si>
    <t>19.587628866836734</t>
  </si>
  <si>
    <t>chr_0027_tangtang_11</t>
  </si>
  <si>
    <t>25.96675783632653</t>
  </si>
  <si>
    <t>41.04565538081633</t>
  </si>
  <si>
    <t>17.50473385232653</t>
  </si>
  <si>
    <t>20.618556702040816</t>
  </si>
  <si>
    <t>chr_0027_tangtang_12</t>
  </si>
  <si>
    <t>27.202608877959186</t>
  </si>
  <si>
    <t>42.79970545489796</t>
  </si>
  <si>
    <t>18.368609299459184</t>
  </si>
  <si>
    <t>21.649484537244895</t>
  </si>
  <si>
    <t>chr_0027_tangtang_13</t>
  </si>
  <si>
    <t>28.438459919591836</t>
  </si>
  <si>
    <t>44.55375552897959</t>
  </si>
  <si>
    <t>19.232484746591837</t>
  </si>
  <si>
    <t>22.680412372448977</t>
  </si>
  <si>
    <t>chr_0027_tangtang_14</t>
  </si>
  <si>
    <t>29.674310961224492</t>
  </si>
  <si>
    <t>46.307805603061226</t>
  </si>
  <si>
    <t>20.096360193724493</t>
  </si>
  <si>
    <t>23.71134020765306</t>
  </si>
  <si>
    <t>chr_0027_tangtang_15</t>
  </si>
  <si>
    <t>30.91016200285714</t>
  </si>
  <si>
    <t>48.06185567714286</t>
  </si>
  <si>
    <t>20.960235640857142</t>
  </si>
  <si>
    <t>24.74226804285714</t>
  </si>
  <si>
    <t>chr_0027_tangtang_16</t>
  </si>
  <si>
    <t>32.1460130444898</t>
  </si>
  <si>
    <t>49.81590575122449</t>
  </si>
  <si>
    <t>21.8241110879898</t>
  </si>
  <si>
    <t>25.773195878061223</t>
  </si>
  <si>
    <t>chr_0027_tangtang_17</t>
  </si>
  <si>
    <t>33.38186408612245</t>
  </si>
  <si>
    <t>51.569955825306124</t>
  </si>
  <si>
    <t>22.687986535122448</t>
  </si>
  <si>
    <t>26.804123713265305</t>
  </si>
  <si>
    <t>chr_0027_tangtang_18</t>
  </si>
  <si>
    <t>34.617715127755105</t>
  </si>
  <si>
    <t>53.32400589938776</t>
  </si>
  <si>
    <t>23.551861982255105</t>
  </si>
  <si>
    <t>27.835051548469387</t>
  </si>
  <si>
    <t>chr_0027_tangtang_19</t>
  </si>
  <si>
    <t>35.853566169387754</t>
  </si>
  <si>
    <t>55.07805597346939</t>
  </si>
  <si>
    <t>24.415737429387754</t>
  </si>
  <si>
    <t>28.86597938367347</t>
  </si>
  <si>
    <t>chr_0027_tangtang_20</t>
  </si>
  <si>
    <t>37.08941721102041</t>
  </si>
  <si>
    <t>56.83210604755102</t>
  </si>
  <si>
    <t>25.27961287652041</t>
  </si>
  <si>
    <t>29.89690721887755</t>
  </si>
  <si>
    <t>【肝胆相照 Lv.1】涡流附近5米范围内，友方干员获得10%加速，敌人受到20%缓速，离开范围后该效果持续3秒。</t>
  </si>
  <si>
    <r>
      <t>【肝胆相照 Lv.1】</t>
    </r>
    <r>
      <rPr>
        <b/>
        <sz val="11"/>
        <color rgb="FF33C2FF"/>
        <rFont val="宋体"/>
        <charset val="134"/>
      </rPr>
      <t>涡流</t>
    </r>
    <r>
      <rPr>
        <sz val="11"/>
        <color theme="1"/>
        <rFont val="宋体"/>
        <family val="2"/>
        <scheme val="minor"/>
      </rPr>
      <t>附近</t>
    </r>
    <r>
      <rPr>
        <b/>
        <sz val="11"/>
        <color rgb="FF9EB7FF"/>
        <rFont val="宋体"/>
        <charset val="134"/>
      </rPr>
      <t>5</t>
    </r>
    <r>
      <rPr>
        <sz val="11"/>
        <color theme="1"/>
        <rFont val="宋体"/>
        <family val="2"/>
        <scheme val="minor"/>
      </rPr>
      <t>米范围内，友方干员获得</t>
    </r>
    <r>
      <rPr>
        <b/>
        <sz val="11"/>
        <color rgb="FF9EB7FF"/>
        <rFont val="宋体"/>
        <charset val="134"/>
      </rPr>
      <t>10%</t>
    </r>
    <r>
      <rPr>
        <b/>
        <u/>
        <sz val="11"/>
        <color rgb="FF33C2FF"/>
        <rFont val="宋体"/>
        <charset val="134"/>
      </rPr>
      <t>加速</t>
    </r>
    <r>
      <rPr>
        <sz val="11"/>
        <color theme="1"/>
        <rFont val="宋体"/>
        <family val="2"/>
        <scheme val="minor"/>
      </rPr>
      <t>，敌人受到</t>
    </r>
    <r>
      <rPr>
        <b/>
        <sz val="11"/>
        <color rgb="FF9EB7FF"/>
        <rFont val="宋体"/>
        <charset val="134"/>
      </rPr>
      <t>20%</t>
    </r>
    <r>
      <rPr>
        <b/>
        <u/>
        <sz val="11"/>
        <color rgb="FF33C2FF"/>
        <rFont val="宋体"/>
        <charset val="134"/>
      </rPr>
      <t>缓速</t>
    </r>
    <r>
      <rPr>
        <sz val="11"/>
        <color theme="1"/>
        <rFont val="宋体"/>
        <family val="2"/>
        <scheme val="minor"/>
      </rPr>
      <t>，离开范围后该效果持续3秒。</t>
    </r>
  </si>
  <si>
    <t>chr_0027_tangtang_21</t>
  </si>
  <si>
    <t>38.32526825265306</t>
  </si>
  <si>
    <t>58.586156121632655</t>
  </si>
  <si>
    <t>26.14348832365306</t>
  </si>
  <si>
    <t>30.927835054081633</t>
  </si>
  <si>
    <t>chr_0027_tangtang_22</t>
  </si>
  <si>
    <t>39.56111929428572</t>
  </si>
  <si>
    <t>60.34020619571429</t>
  </si>
  <si>
    <t>27.007363770785716</t>
  </si>
  <si>
    <t>31.958762889285712</t>
  </si>
  <si>
    <t>chr_0027_tangtang_23</t>
  </si>
  <si>
    <t>40.79697033591837</t>
  </si>
  <si>
    <t>62.09425626979592</t>
  </si>
  <si>
    <t>27.871239217918365</t>
  </si>
  <si>
    <t>32.98969072448979</t>
  </si>
  <si>
    <t>chr_0027_tangtang_24</t>
  </si>
  <si>
    <t>42.03282137755102</t>
  </si>
  <si>
    <t>63.84830634387755</t>
  </si>
  <si>
    <t>28.73511466505102</t>
  </si>
  <si>
    <t>34.02061855969387</t>
  </si>
  <si>
    <t>chr_0027_tangtang_25</t>
  </si>
  <si>
    <t>43.26867241918367</t>
  </si>
  <si>
    <t>65.60235641795919</t>
  </si>
  <si>
    <t>29.598990112183678</t>
  </si>
  <si>
    <t>35.051546394897954</t>
  </si>
  <si>
    <t>chr_0027_tangtang_26</t>
  </si>
  <si>
    <t>44.50452346081633</t>
  </si>
  <si>
    <t>67.35640649204082</t>
  </si>
  <si>
    <t>30.462865559316327</t>
  </si>
  <si>
    <t>36.08247423010204</t>
  </si>
  <si>
    <t>chr_0027_tangtang_27</t>
  </si>
  <si>
    <t>45.74037450244898</t>
  </si>
  <si>
    <t>69.11045656612245</t>
  </si>
  <si>
    <t>31.326741006448984</t>
  </si>
  <si>
    <t>37.11340206530612</t>
  </si>
  <si>
    <t>chr_0027_tangtang_28</t>
  </si>
  <si>
    <t>46.97622554408163</t>
  </si>
  <si>
    <t>70.86450664020408</t>
  </si>
  <si>
    <t>32.19061645358163</t>
  </si>
  <si>
    <t>38.1443299005102</t>
  </si>
  <si>
    <t>chr_0027_tangtang_29</t>
  </si>
  <si>
    <t>48.212076585714286</t>
  </si>
  <si>
    <t>72.61855671428572</t>
  </si>
  <si>
    <t>33.05449190071429</t>
  </si>
  <si>
    <t>39.17525773571428</t>
  </si>
  <si>
    <t>chr_0027_tangtang_30</t>
  </si>
  <si>
    <t>49.44792762734694</t>
  </si>
  <si>
    <t>74.37260678836735</t>
  </si>
  <si>
    <t>33.91836734784694</t>
  </si>
  <si>
    <t>40.206185570918365</t>
  </si>
  <si>
    <t>chr_0027_tangtang_31</t>
  </si>
  <si>
    <t>50.68377866897959</t>
  </si>
  <si>
    <t>76.12665686244898</t>
  </si>
  <si>
    <t>34.782242794979595</t>
  </si>
  <si>
    <t>41.23711340612245</t>
  </si>
  <si>
    <t>chr_0027_tangtang_32</t>
  </si>
  <si>
    <t>51.91962971061224</t>
  </si>
  <si>
    <t>77.88070693653061</t>
  </si>
  <si>
    <t>35.646118242112244</t>
  </si>
  <si>
    <t>42.26804124132653</t>
  </si>
  <si>
    <t>chr_0027_tangtang_33</t>
  </si>
  <si>
    <t>53.1554807522449</t>
  </si>
  <si>
    <t>79.63475701061225</t>
  </si>
  <si>
    <t>36.5099936892449</t>
  </si>
  <si>
    <t>43.29896907653061</t>
  </si>
  <si>
    <t>chr_0027_tangtang_34</t>
  </si>
  <si>
    <t>54.391331793877555</t>
  </si>
  <si>
    <t>81.38880708469388</t>
  </si>
  <si>
    <t>37.37386913637755</t>
  </si>
  <si>
    <t>44.32989691173469</t>
  </si>
  <si>
    <t>chr_0027_tangtang_35</t>
  </si>
  <si>
    <t>55.627182835510204</t>
  </si>
  <si>
    <t>83.14285715877551</t>
  </si>
  <si>
    <t>38.23774458351021</t>
  </si>
  <si>
    <t>45.360824746938775</t>
  </si>
  <si>
    <t>chr_0027_tangtang_36</t>
  </si>
  <si>
    <t>56.863033877142854</t>
  </si>
  <si>
    <t>84.89690723285715</t>
  </si>
  <si>
    <t>39.101620030642856</t>
  </si>
  <si>
    <t>46.39175258214286</t>
  </si>
  <si>
    <t>chr_0027_tangtang_37</t>
  </si>
  <si>
    <t>58.09888491877551</t>
  </si>
  <si>
    <t>86.65095730693878</t>
  </si>
  <si>
    <t>39.96549547777551</t>
  </si>
  <si>
    <t>47.42268041734694</t>
  </si>
  <si>
    <t>chr_0027_tangtang_38</t>
  </si>
  <si>
    <t>59.33473596040817</t>
  </si>
  <si>
    <t>88.40500738102041</t>
  </si>
  <si>
    <t>40.82937092490816</t>
  </si>
  <si>
    <t>48.45360825255102</t>
  </si>
  <si>
    <t>chr_0027_tangtang_39</t>
  </si>
  <si>
    <t>60.57058700204082</t>
  </si>
  <si>
    <t>90.15905745510204</t>
  </si>
  <si>
    <t>41.69324637204082</t>
  </si>
  <si>
    <t>49.4845360877551</t>
  </si>
  <si>
    <t>chr_0027_tangtang_40</t>
  </si>
  <si>
    <t>61.80643804367347</t>
  </si>
  <si>
    <t>91.91310752918368</t>
  </si>
  <si>
    <t>42.557121819173474</t>
  </si>
  <si>
    <t>50.515463922959185</t>
  </si>
  <si>
    <r>
      <t>【肝胆相照 Lv.2】</t>
    </r>
    <r>
      <rPr>
        <b/>
        <sz val="11"/>
        <color rgb="FF33C2FF"/>
        <rFont val="宋体"/>
        <charset val="134"/>
      </rPr>
      <t>涡流</t>
    </r>
    <r>
      <rPr>
        <sz val="11"/>
        <color theme="1"/>
        <rFont val="宋体"/>
        <family val="2"/>
        <scheme val="minor"/>
      </rPr>
      <t>附近</t>
    </r>
    <r>
      <rPr>
        <b/>
        <sz val="11"/>
        <color rgb="FF9EB7FF"/>
        <rFont val="宋体"/>
        <charset val="134"/>
      </rPr>
      <t>5</t>
    </r>
    <r>
      <rPr>
        <sz val="11"/>
        <color theme="1"/>
        <rFont val="宋体"/>
        <family val="2"/>
        <scheme val="minor"/>
      </rPr>
      <t>米范围内，友方干员获得</t>
    </r>
    <r>
      <rPr>
        <b/>
        <sz val="11"/>
        <color rgb="FF9EB7FF"/>
        <rFont val="宋体"/>
        <charset val="134"/>
      </rPr>
      <t>20%</t>
    </r>
    <r>
      <rPr>
        <b/>
        <u/>
        <sz val="11"/>
        <color rgb="FF33C2FF"/>
        <rFont val="宋体"/>
        <charset val="134"/>
      </rPr>
      <t>加速</t>
    </r>
    <r>
      <rPr>
        <sz val="11"/>
        <color theme="1"/>
        <rFont val="宋体"/>
        <family val="2"/>
        <scheme val="minor"/>
      </rPr>
      <t>，敌人受到</t>
    </r>
    <r>
      <rPr>
        <b/>
        <sz val="11"/>
        <color rgb="FF9EB7FF"/>
        <rFont val="宋体"/>
        <charset val="134"/>
      </rPr>
      <t>40%</t>
    </r>
    <r>
      <rPr>
        <b/>
        <u/>
        <sz val="11"/>
        <color rgb="FF33C2FF"/>
        <rFont val="宋体"/>
        <charset val="134"/>
      </rPr>
      <t>缓速</t>
    </r>
    <r>
      <rPr>
        <sz val="11"/>
        <color theme="1"/>
        <rFont val="宋体"/>
        <family val="2"/>
        <scheme val="minor"/>
      </rPr>
      <t>，离开范围后该效果持续3秒。</t>
    </r>
  </si>
  <si>
    <t>【呼风唤浪 Lv.1】主控干员在古老图形中进行下落攻击，提前结束演化时，形成一个水龙卷，并消耗附近所有涡流使其形成额外的水龙卷。此次形成的水龙卷效果同战技踏潮卷浪！，造成的伤害+40%。</t>
  </si>
  <si>
    <r>
      <t>【呼风唤浪 Lv.1】主控干员在</t>
    </r>
    <r>
      <rPr>
        <b/>
        <sz val="11"/>
        <color rgb="FF33C2FF"/>
        <rFont val="宋体"/>
        <charset val="134"/>
      </rPr>
      <t>古老图形</t>
    </r>
    <r>
      <rPr>
        <sz val="11"/>
        <color theme="1"/>
        <rFont val="宋体"/>
        <family val="2"/>
        <scheme val="minor"/>
      </rPr>
      <t>中进行下落攻击，提前结束演化时，形成一个</t>
    </r>
    <r>
      <rPr>
        <b/>
        <sz val="11"/>
        <color rgb="FF33C2FF"/>
        <rFont val="宋体"/>
        <charset val="134"/>
      </rPr>
      <t>水龙卷</t>
    </r>
    <r>
      <rPr>
        <sz val="11"/>
        <color theme="1"/>
        <rFont val="宋体"/>
        <family val="2"/>
        <scheme val="minor"/>
      </rPr>
      <t>，并消耗附近所有</t>
    </r>
    <r>
      <rPr>
        <b/>
        <sz val="11"/>
        <color rgb="FF33C2FF"/>
        <rFont val="宋体"/>
        <charset val="134"/>
      </rPr>
      <t>涡流</t>
    </r>
    <r>
      <rPr>
        <sz val="11"/>
        <color theme="1"/>
        <rFont val="宋体"/>
        <family val="2"/>
        <scheme val="minor"/>
      </rPr>
      <t>使其形成额外的</t>
    </r>
    <r>
      <rPr>
        <b/>
        <sz val="11"/>
        <color rgb="FF33C2FF"/>
        <rFont val="宋体"/>
        <charset val="134"/>
      </rPr>
      <t>水龙卷</t>
    </r>
    <r>
      <rPr>
        <sz val="11"/>
        <color theme="1"/>
        <rFont val="宋体"/>
        <family val="2"/>
        <scheme val="minor"/>
      </rPr>
      <t>。此次形成的</t>
    </r>
    <r>
      <rPr>
        <b/>
        <sz val="11"/>
        <color rgb="FF33C2FF"/>
        <rFont val="宋体"/>
        <charset val="134"/>
      </rPr>
      <t>水龙卷</t>
    </r>
    <r>
      <rPr>
        <sz val="11"/>
        <color theme="1"/>
        <rFont val="宋体"/>
        <family val="2"/>
        <scheme val="minor"/>
      </rPr>
      <t>效果同战技</t>
    </r>
    <r>
      <rPr>
        <b/>
        <sz val="11"/>
        <color rgb="FF33C2FF"/>
        <rFont val="宋体"/>
        <charset val="134"/>
      </rPr>
      <t>踏潮卷浪！</t>
    </r>
    <r>
      <rPr>
        <sz val="11"/>
        <color theme="1"/>
        <rFont val="宋体"/>
        <family val="2"/>
        <scheme val="minor"/>
      </rPr>
      <t>，造成的伤害</t>
    </r>
    <r>
      <rPr>
        <b/>
        <sz val="11"/>
        <color rgb="FF9EB7FF"/>
        <rFont val="宋体"/>
        <charset val="134"/>
      </rPr>
      <t>+40%</t>
    </r>
    <r>
      <rPr>
        <sz val="11"/>
        <color theme="1"/>
        <rFont val="宋体"/>
        <family val="2"/>
        <scheme val="minor"/>
      </rPr>
      <t>。</t>
    </r>
  </si>
  <si>
    <t>chr_0027_tangtang_41</t>
  </si>
  <si>
    <t>63.04228908530612</t>
  </si>
  <si>
    <t>93.66715760326531</t>
  </si>
  <si>
    <t>43.420997266306124</t>
  </si>
  <si>
    <t>51.54639175816327</t>
  </si>
  <si>
    <t>chr_0027_tangtang_42</t>
  </si>
  <si>
    <t>64.27814012693878</t>
  </si>
  <si>
    <t>95.42120767734694</t>
  </si>
  <si>
    <t>44.28487271343878</t>
  </si>
  <si>
    <t>52.57731959336734</t>
  </si>
  <si>
    <t>chr_0027_tangtang_43</t>
  </si>
  <si>
    <t>65.51399116857144</t>
  </si>
  <si>
    <t>97.17525775142857</t>
  </si>
  <si>
    <t>45.14874816057143</t>
  </si>
  <si>
    <t>53.608247428571424</t>
  </si>
  <si>
    <t>chr_0027_tangtang_44</t>
  </si>
  <si>
    <t>66.74984221020408</t>
  </si>
  <si>
    <t>98.92930782551021</t>
  </si>
  <si>
    <t>46.012623607704086</t>
  </si>
  <si>
    <t>54.639175263775506</t>
  </si>
  <si>
    <t>chr_0027_tangtang_45</t>
  </si>
  <si>
    <t>67.98569325183674</t>
  </si>
  <si>
    <t>100.68335789959184</t>
  </si>
  <si>
    <t>46.876499054836735</t>
  </si>
  <si>
    <t>55.67010309897959</t>
  </si>
  <si>
    <t>chr_0027_tangtang_46</t>
  </si>
  <si>
    <t>69.22154429346939</t>
  </si>
  <si>
    <t>102.43740797367347</t>
  </si>
  <si>
    <t>47.74037450196939</t>
  </si>
  <si>
    <t>56.70103093418367</t>
  </si>
  <si>
    <t>chr_0027_tangtang_47</t>
  </si>
  <si>
    <t>70.45739533510205</t>
  </si>
  <si>
    <t>104.1914580477551</t>
  </si>
  <si>
    <t>48.60424994910204</t>
  </si>
  <si>
    <t>57.73195876938775</t>
  </si>
  <si>
    <t>chr_0027_tangtang_48</t>
  </si>
  <si>
    <t>71.69324637673469</t>
  </si>
  <si>
    <t>105.94550812183674</t>
  </si>
  <si>
    <t>49.4681253962347</t>
  </si>
  <si>
    <t>58.762886604591834</t>
  </si>
  <si>
    <t>chr_0027_tangtang_49</t>
  </si>
  <si>
    <t>72.92909741836735</t>
  </si>
  <si>
    <t>107.69955819591837</t>
  </si>
  <si>
    <t>50.332000843367354</t>
  </si>
  <si>
    <t>59.793814439795916</t>
  </si>
  <si>
    <t>chr_0027_tangtang_50</t>
  </si>
  <si>
    <t>74.16494846</t>
  </si>
  <si>
    <t>109.45360827</t>
  </si>
  <si>
    <t>51.1958762905</t>
  </si>
  <si>
    <t>60.824742275</t>
  </si>
  <si>
    <t>chr_0027_tangtang_51</t>
  </si>
  <si>
    <t>75.40079950163266</t>
  </si>
  <si>
    <t>111.20765834408164</t>
  </si>
  <si>
    <t>52.05975173763266</t>
  </si>
  <si>
    <t>61.85567011020408</t>
  </si>
  <si>
    <t>chr_0027_tangtang_52</t>
  </si>
  <si>
    <t>76.6366505432653</t>
  </si>
  <si>
    <t>112.96170841816327</t>
  </si>
  <si>
    <t>52.92362718476531</t>
  </si>
  <si>
    <t>62.88659794540816</t>
  </si>
  <si>
    <t>chr_0027_tangtang_53</t>
  </si>
  <si>
    <t>77.87250158489796</t>
  </si>
  <si>
    <t>114.7157584922449</t>
  </si>
  <si>
    <t>53.787502631897965</t>
  </si>
  <si>
    <t>63.917525780612245</t>
  </si>
  <si>
    <t>chr_0027_tangtang_54</t>
  </si>
  <si>
    <t>79.10835262653062</t>
  </si>
  <si>
    <t>116.46980856632653</t>
  </si>
  <si>
    <t>54.651378079030614</t>
  </si>
  <si>
    <t>64.94845361581633</t>
  </si>
  <si>
    <t>chr_0027_tangtang_55</t>
  </si>
  <si>
    <t>80.34420366816326</t>
  </si>
  <si>
    <t>118.22385864040817</t>
  </si>
  <si>
    <t>55.51525352616327</t>
  </si>
  <si>
    <t>65.9793814510204</t>
  </si>
  <si>
    <t>chr_0027_tangtang_56</t>
  </si>
  <si>
    <t>81.58005470979592</t>
  </si>
  <si>
    <t>119.9779087144898</t>
  </si>
  <si>
    <t>56.37912897329592</t>
  </si>
  <si>
    <t>67.0103092862245</t>
  </si>
  <si>
    <t>chr_0027_tangtang_57</t>
  </si>
  <si>
    <t>82.81590575142857</t>
  </si>
  <si>
    <t>121.73195878857143</t>
  </si>
  <si>
    <t>57.243004420428576</t>
  </si>
  <si>
    <t>68.04123712142857</t>
  </si>
  <si>
    <t>chr_0027_tangtang_58</t>
  </si>
  <si>
    <t>84.05175679306123</t>
  </si>
  <si>
    <t>123.48600886265307</t>
  </si>
  <si>
    <t>58.106879867561226</t>
  </si>
  <si>
    <t>69.07216495663265</t>
  </si>
  <si>
    <t>chr_0027_tangtang_59</t>
  </si>
  <si>
    <t>85.28760783469389</t>
  </si>
  <si>
    <t>125.2400589367347</t>
  </si>
  <si>
    <t>58.97075531469388</t>
  </si>
  <si>
    <t>70.10309279183673</t>
  </si>
  <si>
    <t>chr_0027_tangtang_60</t>
  </si>
  <si>
    <t>86.52345887632653</t>
  </si>
  <si>
    <t>126.99410901081633</t>
  </si>
  <si>
    <t>59.83463076182653</t>
  </si>
  <si>
    <t>71.13402062704081</t>
  </si>
  <si>
    <r>
      <t>【呼风唤浪 Lv.2】主控干员在</t>
    </r>
    <r>
      <rPr>
        <b/>
        <sz val="11"/>
        <color rgb="FF33C2FF"/>
        <rFont val="宋体"/>
        <charset val="134"/>
      </rPr>
      <t>古老图形</t>
    </r>
    <r>
      <rPr>
        <sz val="11"/>
        <color theme="1"/>
        <rFont val="宋体"/>
        <family val="2"/>
        <scheme val="minor"/>
      </rPr>
      <t>中进行下落攻击，提前结束演化时，形成一个</t>
    </r>
    <r>
      <rPr>
        <b/>
        <sz val="11"/>
        <color rgb="FF33C2FF"/>
        <rFont val="宋体"/>
        <charset val="134"/>
      </rPr>
      <t>水龙卷</t>
    </r>
    <r>
      <rPr>
        <sz val="11"/>
        <color theme="1"/>
        <rFont val="宋体"/>
        <family val="2"/>
        <scheme val="minor"/>
      </rPr>
      <t>，并消耗附近所有</t>
    </r>
    <r>
      <rPr>
        <b/>
        <sz val="11"/>
        <color rgb="FF33C2FF"/>
        <rFont val="宋体"/>
        <charset val="134"/>
      </rPr>
      <t>涡流</t>
    </r>
    <r>
      <rPr>
        <sz val="11"/>
        <color theme="1"/>
        <rFont val="宋体"/>
        <family val="2"/>
        <scheme val="minor"/>
      </rPr>
      <t>使其形成额外的</t>
    </r>
    <r>
      <rPr>
        <b/>
        <sz val="11"/>
        <color rgb="FF33C2FF"/>
        <rFont val="宋体"/>
        <charset val="134"/>
      </rPr>
      <t>水龙卷</t>
    </r>
    <r>
      <rPr>
        <sz val="11"/>
        <color theme="1"/>
        <rFont val="宋体"/>
        <family val="2"/>
        <scheme val="minor"/>
      </rPr>
      <t>。此次形成的</t>
    </r>
    <r>
      <rPr>
        <b/>
        <sz val="11"/>
        <color rgb="FF33C2FF"/>
        <rFont val="宋体"/>
        <charset val="134"/>
      </rPr>
      <t>水龙卷</t>
    </r>
    <r>
      <rPr>
        <sz val="11"/>
        <color theme="1"/>
        <rFont val="宋体"/>
        <family val="2"/>
        <scheme val="minor"/>
      </rPr>
      <t>效果同战技</t>
    </r>
    <r>
      <rPr>
        <b/>
        <sz val="11"/>
        <color rgb="FF33C2FF"/>
        <rFont val="宋体"/>
        <charset val="134"/>
      </rPr>
      <t>踏潮卷浪！</t>
    </r>
    <r>
      <rPr>
        <sz val="11"/>
        <color theme="1"/>
        <rFont val="宋体"/>
        <family val="2"/>
        <scheme val="minor"/>
      </rPr>
      <t>，造成的伤害</t>
    </r>
    <r>
      <rPr>
        <b/>
        <sz val="11"/>
        <color rgb="FF9EB7FF"/>
        <rFont val="宋体"/>
        <charset val="134"/>
      </rPr>
      <t>+60%</t>
    </r>
    <r>
      <rPr>
        <sz val="11"/>
        <color theme="1"/>
        <rFont val="宋体"/>
        <family val="2"/>
        <scheme val="minor"/>
      </rPr>
      <t>。</t>
    </r>
  </si>
  <si>
    <t>chr_0027_tangtang_61</t>
  </si>
  <si>
    <t>87.75930991795919</t>
  </si>
  <si>
    <t>128.74815908489796</t>
  </si>
  <si>
    <t>60.69850620895919</t>
  </si>
  <si>
    <t>72.1649484622449</t>
  </si>
  <si>
    <t>chr_0027_tangtang_62</t>
  </si>
  <si>
    <t>88.99516095959184</t>
  </si>
  <si>
    <t>130.5022091589796</t>
  </si>
  <si>
    <t>61.56238165609184</t>
  </si>
  <si>
    <t>73.19587629744898</t>
  </si>
  <si>
    <t>chr_0027_tangtang_63</t>
  </si>
  <si>
    <t>90.23101200122449</t>
  </si>
  <si>
    <t>132.25625923306123</t>
  </si>
  <si>
    <t>62.42625710322449</t>
  </si>
  <si>
    <t>74.22680413265306</t>
  </si>
  <si>
    <t>chr_0027_tangtang_64</t>
  </si>
  <si>
    <t>91.46686304285714</t>
  </si>
  <si>
    <t>134.01030930714285</t>
  </si>
  <si>
    <t>63.29013255035714</t>
  </si>
  <si>
    <t>75.25773196785714</t>
  </si>
  <si>
    <t>chr_0027_tangtang_65</t>
  </si>
  <si>
    <t>92.7027140844898</t>
  </si>
  <si>
    <t>135.7643593812245</t>
  </si>
  <si>
    <t>64.1540079974898</t>
  </si>
  <si>
    <t>76.28865980306122</t>
  </si>
  <si>
    <t>chr_0027_tangtang_66</t>
  </si>
  <si>
    <t>93.93856512612246</t>
  </si>
  <si>
    <t>137.51840945530614</t>
  </si>
  <si>
    <t>65.01788344462246</t>
  </si>
  <si>
    <t>77.3195876382653</t>
  </si>
  <si>
    <t>chr_0027_tangtang_67</t>
  </si>
  <si>
    <t>95.17441616775511</t>
  </si>
  <si>
    <t>139.27245952938776</t>
  </si>
  <si>
    <t>65.8817588917551</t>
  </si>
  <si>
    <t>78.35051547346939</t>
  </si>
  <si>
    <t>chr_0027_tangtang_68</t>
  </si>
  <si>
    <t>96.41026720938775</t>
  </si>
  <si>
    <t>141.02650960346938</t>
  </si>
  <si>
    <t>66.74563433888775</t>
  </si>
  <si>
    <t>79.38144330867347</t>
  </si>
  <si>
    <t>chr_0027_tangtang_69</t>
  </si>
  <si>
    <t>97.64611825102041</t>
  </si>
  <si>
    <t>142.78055967755103</t>
  </si>
  <si>
    <t>67.60950978602041</t>
  </si>
  <si>
    <t>80.41237114387755</t>
  </si>
  <si>
    <t>chr_0027_tangtang_70</t>
  </si>
  <si>
    <t>98.88196929265307</t>
  </si>
  <si>
    <t>144.53460975163267</t>
  </si>
  <si>
    <t>68.47338523315307</t>
  </si>
  <si>
    <t>81.44329897908163</t>
  </si>
  <si>
    <t>chr_0027_tangtang_71</t>
  </si>
  <si>
    <t>100.11782033428571</t>
  </si>
  <si>
    <t>146.2886598257143</t>
  </si>
  <si>
    <t>69.33726068028571</t>
  </si>
  <si>
    <t>82.47422681428571</t>
  </si>
  <si>
    <t>chr_0027_tangtang_72</t>
  </si>
  <si>
    <t>101.35367137591837</t>
  </si>
  <si>
    <t>148.0427098997959</t>
  </si>
  <si>
    <t>70.20113612741837</t>
  </si>
  <si>
    <t>83.5051546494898</t>
  </si>
  <si>
    <t>chr_0027_tangtang_73</t>
  </si>
  <si>
    <t>102.58952241755102</t>
  </si>
  <si>
    <t>149.79675997387756</t>
  </si>
  <si>
    <t>71.06501157455102</t>
  </si>
  <si>
    <t>84.53608248469388</t>
  </si>
  <si>
    <t>chr_0027_tangtang_74</t>
  </si>
  <si>
    <t>103.82537345918368</t>
  </si>
  <si>
    <t>151.5508100479592</t>
  </si>
  <si>
    <t>71.92888702168368</t>
  </si>
  <si>
    <t>85.56701031989796</t>
  </si>
  <si>
    <t>chr_0027_tangtang_75</t>
  </si>
  <si>
    <t>105.06122450081634</t>
  </si>
  <si>
    <t>153.30486012204082</t>
  </si>
  <si>
    <t>72.79276246881632</t>
  </si>
  <si>
    <t>86.59793815510204</t>
  </si>
  <si>
    <t>chr_0027_tangtang_76</t>
  </si>
  <si>
    <t>106.29707554244898</t>
  </si>
  <si>
    <t>155.05891019612244</t>
  </si>
  <si>
    <t>73.65663791594898</t>
  </si>
  <si>
    <t>87.62886599030612</t>
  </si>
  <si>
    <t>chr_0027_tangtang_77</t>
  </si>
  <si>
    <t>107.53292658408164</t>
  </si>
  <si>
    <t>156.8129602702041</t>
  </si>
  <si>
    <t>74.52051336308163</t>
  </si>
  <si>
    <t>88.6597938255102</t>
  </si>
  <si>
    <t>chr_0027_tangtang_78</t>
  </si>
  <si>
    <t>108.76877762571429</t>
  </si>
  <si>
    <t>158.56701034428573</t>
  </si>
  <si>
    <t>75.38438881021429</t>
  </si>
  <si>
    <t>89.69072166071429</t>
  </si>
  <si>
    <t>chr_0027_tangtang_79</t>
  </si>
  <si>
    <t>110.00462866734694</t>
  </si>
  <si>
    <t>160.32106041836735</t>
  </si>
  <si>
    <t>76.24826425734695</t>
  </si>
  <si>
    <t>90.72164949591837</t>
  </si>
  <si>
    <t>chr_0027_tangtang_80</t>
  </si>
  <si>
    <t>111.24047970897959</t>
  </si>
  <si>
    <t>162.07511049244897</t>
  </si>
  <si>
    <t>77.11213970447959</t>
  </si>
  <si>
    <t>91.75257733112245</t>
  </si>
  <si>
    <t>chr_0027_tangtang_81</t>
  </si>
  <si>
    <t>112.47633075061225</t>
  </si>
  <si>
    <t>163.82916056653062</t>
  </si>
  <si>
    <t>77.97601515161224</t>
  </si>
  <si>
    <t>92.78350516632653</t>
  </si>
  <si>
    <t>chr_0027_tangtang_82</t>
  </si>
  <si>
    <t>113.7121817922449</t>
  </si>
  <si>
    <t>165.58321064061226</t>
  </si>
  <si>
    <t>78.8398905987449</t>
  </si>
  <si>
    <t>93.8144330015306</t>
  </si>
  <si>
    <t>chr_0027_tangtang_83</t>
  </si>
  <si>
    <t>114.94803283387756</t>
  </si>
  <si>
    <t>167.33726071469388</t>
  </si>
  <si>
    <t>79.70376604587756</t>
  </si>
  <si>
    <t>94.84536083673468</t>
  </si>
  <si>
    <t>chr_0027_tangtang_84</t>
  </si>
  <si>
    <t>116.1838838755102</t>
  </si>
  <si>
    <t>169.0913107887755</t>
  </si>
  <si>
    <t>80.56764149301021</t>
  </si>
  <si>
    <t>95.87628867193877</t>
  </si>
  <si>
    <t>chr_0027_tangtang_85</t>
  </si>
  <si>
    <t>117.41973491714286</t>
  </si>
  <si>
    <t>170.84536086285715</t>
  </si>
  <si>
    <t>81.43151694014286</t>
  </si>
  <si>
    <t>96.90721650714285</t>
  </si>
  <si>
    <t>chr_0027_tangtang_86</t>
  </si>
  <si>
    <t>118.65558595877552</t>
  </si>
  <si>
    <t>172.5994109369388</t>
  </si>
  <si>
    <t>82.29539238727551</t>
  </si>
  <si>
    <t>97.93814434234693</t>
  </si>
  <si>
    <t>chr_0027_tangtang_87</t>
  </si>
  <si>
    <t>119.89143700040816</t>
  </si>
  <si>
    <t>174.3534610110204</t>
  </si>
  <si>
    <t>83.15926783440817</t>
  </si>
  <si>
    <t>98.96907217755101</t>
  </si>
  <si>
    <t>chr_0027_tangtang_88</t>
  </si>
  <si>
    <t>121.12728804204082</t>
  </si>
  <si>
    <t>176.10751108510203</t>
  </si>
  <si>
    <t>84.02314328154083</t>
  </si>
  <si>
    <t>100.0000000127551</t>
  </si>
  <si>
    <t>chr_0027_tangtang_89</t>
  </si>
  <si>
    <t>122.36313908367347</t>
  </si>
  <si>
    <t>177.86156115918368</t>
  </si>
  <si>
    <t>84.88701872867347</t>
  </si>
  <si>
    <t>101.03092784795918</t>
  </si>
  <si>
    <t>chr_0027_tangtang_90</t>
  </si>
  <si>
    <t>123.59899012530613</t>
  </si>
  <si>
    <t>179.61561123326533</t>
  </si>
  <si>
    <t>85.75089417580612</t>
  </si>
  <si>
    <t>102.06185568316326</t>
  </si>
  <si>
    <t>chr_0027_tangtang_91</t>
  </si>
  <si>
    <t>124.83484116693879</t>
  </si>
  <si>
    <t>181.36966130734695</t>
  </si>
  <si>
    <t>86.61476962293878</t>
  </si>
  <si>
    <t>103.09278351836734</t>
  </si>
  <si>
    <t>chr_0027_tangtang_92</t>
  </si>
  <si>
    <t>126.07069220857143</t>
  </si>
  <si>
    <t>183.12371138142856</t>
  </si>
  <si>
    <t>87.47864507007144</t>
  </si>
  <si>
    <t>104.12371135357142</t>
  </si>
  <si>
    <t>chr_0027_tangtang_93</t>
  </si>
  <si>
    <t>127.30654325020409</t>
  </si>
  <si>
    <t>184.8777614555102</t>
  </si>
  <si>
    <t>88.34252051720408</t>
  </si>
  <si>
    <t>105.1546391887755</t>
  </si>
  <si>
    <t>chr_0027_tangtang_94</t>
  </si>
  <si>
    <t>128.54239429183676</t>
  </si>
  <si>
    <t>186.63181152959186</t>
  </si>
  <si>
    <t>89.20639596433674</t>
  </si>
  <si>
    <t>106.18556702397959</t>
  </si>
  <si>
    <t>chr_0027_tangtang_95</t>
  </si>
  <si>
    <t>129.77824533346939</t>
  </si>
  <si>
    <t>188.38586160367348</t>
  </si>
  <si>
    <t>90.07027141146939</t>
  </si>
  <si>
    <t>107.21649485918367</t>
  </si>
  <si>
    <t>chr_0027_tangtang_96</t>
  </si>
  <si>
    <t>131.01409637510204</t>
  </si>
  <si>
    <t>190.1399116777551</t>
  </si>
  <si>
    <t>90.93414685860205</t>
  </si>
  <si>
    <t>108.24742269438775</t>
  </si>
  <si>
    <t>chr_0027_tangtang_97</t>
  </si>
  <si>
    <t>132.2499474167347</t>
  </si>
  <si>
    <t>191.89396175183674</t>
  </si>
  <si>
    <t>91.7980223057347</t>
  </si>
  <si>
    <t>109.27835052959183</t>
  </si>
  <si>
    <t>chr_0027_tangtang_98</t>
  </si>
  <si>
    <t>133.48579845836736</t>
  </si>
  <si>
    <t>193.6480118259184</t>
  </si>
  <si>
    <t>92.66189775286735</t>
  </si>
  <si>
    <t>110.30927836479592</t>
  </si>
  <si>
    <t>chr_0027_tangtang_99</t>
  </si>
  <si>
    <t>134.7216495</t>
  </si>
  <si>
    <t>195.4020619</t>
  </si>
  <si>
    <t>93.5257732</t>
  </si>
  <si>
    <t>111.3402062</t>
  </si>
  <si>
    <t>chr_0029_pograni_1</t>
  </si>
  <si>
    <t>chr_0029_pograni</t>
  </si>
  <si>
    <t>骏卫</t>
  </si>
  <si>
    <t>Pogranichnik</t>
  </si>
  <si>
    <t>技力恢复, 碎甲</t>
  </si>
  <si>
    <t>10.3092783505155</t>
  </si>
  <si>
    <r>
      <t>【阵线扫荡】战技</t>
    </r>
    <r>
      <rPr>
        <b/>
        <sz val="11"/>
        <color rgb="FF33C2FF"/>
        <rFont val="宋体"/>
        <charset val="134"/>
      </rPr>
      <t>粉碎阵线</t>
    </r>
    <r>
      <rPr>
        <sz val="11"/>
        <color theme="1"/>
        <rFont val="宋体"/>
        <family val="2"/>
        <scheme val="minor"/>
      </rPr>
      <t>命中至少两个敌人时，</t>
    </r>
    <r>
      <rPr>
        <u/>
        <sz val="11"/>
        <rFont val="宋体"/>
        <charset val="134"/>
      </rPr>
      <t>返还</t>
    </r>
    <r>
      <rPr>
        <b/>
        <sz val="11"/>
        <color rgb="FF9EB7FF"/>
        <rFont val="宋体"/>
        <charset val="134"/>
      </rPr>
      <t>15</t>
    </r>
    <r>
      <rPr>
        <sz val="11"/>
        <color theme="1"/>
        <rFont val="宋体"/>
        <family val="2"/>
        <scheme val="minor"/>
      </rPr>
      <t>点技力。</t>
    </r>
  </si>
  <si>
    <r>
      <t>【“行军”】意志</t>
    </r>
    <r>
      <rPr>
        <b/>
        <sz val="11"/>
        <color rgb="FF9EB7FF"/>
        <rFont val="宋体"/>
        <charset val="134"/>
      </rPr>
      <t>+20</t>
    </r>
    <r>
      <rPr>
        <sz val="11"/>
        <color theme="1"/>
        <rFont val="宋体"/>
        <family val="2"/>
        <scheme val="minor"/>
      </rPr>
      <t>，造成的物理伤害</t>
    </r>
    <r>
      <rPr>
        <b/>
        <sz val="11"/>
        <color rgb="FF9EB7FF"/>
        <rFont val="宋体"/>
        <charset val="134"/>
      </rPr>
      <t>+10%</t>
    </r>
    <r>
      <rPr>
        <sz val="11"/>
        <color theme="1"/>
        <rFont val="宋体"/>
        <family val="2"/>
        <scheme val="minor"/>
      </rPr>
      <t>。</t>
    </r>
  </si>
  <si>
    <r>
      <t>【战旗飘扬时】天赋</t>
    </r>
    <r>
      <rPr>
        <b/>
        <sz val="11"/>
        <color rgb="FF33C2FF"/>
        <rFont val="宋体"/>
        <charset val="134"/>
      </rPr>
      <t>活着的旗帜</t>
    </r>
    <r>
      <rPr>
        <sz val="11"/>
        <color theme="1"/>
        <rFont val="宋体"/>
        <family val="2"/>
        <scheme val="minor"/>
      </rPr>
      <t>效果加强：获得</t>
    </r>
    <r>
      <rPr>
        <b/>
        <sz val="11"/>
        <color rgb="FF33C2FF"/>
        <rFont val="宋体"/>
        <charset val="134"/>
      </rPr>
      <t>士气激昂</t>
    </r>
    <r>
      <rPr>
        <sz val="11"/>
        <color theme="1"/>
        <rFont val="宋体"/>
        <family val="2"/>
        <scheme val="minor"/>
      </rPr>
      <t>所需的技力恢复量降低至</t>
    </r>
    <r>
      <rPr>
        <b/>
        <sz val="11"/>
        <color rgb="FF9EB7FF"/>
        <rFont val="宋体"/>
        <charset val="134"/>
      </rPr>
      <t>60</t>
    </r>
    <r>
      <rPr>
        <sz val="11"/>
        <color theme="1"/>
        <rFont val="宋体"/>
        <family val="2"/>
        <scheme val="minor"/>
      </rPr>
      <t>点。自身</t>
    </r>
    <r>
      <rPr>
        <b/>
        <sz val="11"/>
        <color rgb="FF33C2FF"/>
        <rFont val="宋体"/>
        <charset val="134"/>
      </rPr>
      <t>士气激昂</t>
    </r>
    <r>
      <rPr>
        <sz val="11"/>
        <color theme="1"/>
        <rFont val="宋体"/>
        <family val="2"/>
        <scheme val="minor"/>
      </rPr>
      <t>最大叠加层数</t>
    </r>
    <r>
      <rPr>
        <b/>
        <sz val="11"/>
        <color rgb="FF9EB7FF"/>
        <rFont val="宋体"/>
        <charset val="134"/>
      </rPr>
      <t>+2</t>
    </r>
    <r>
      <rPr>
        <sz val="11"/>
        <color theme="1"/>
        <rFont val="宋体"/>
        <family val="2"/>
        <scheme val="minor"/>
      </rPr>
      <t>。</t>
    </r>
  </si>
  <si>
    <r>
      <t>【塔卫二之盾】终结技</t>
    </r>
    <r>
      <rPr>
        <b/>
        <sz val="11"/>
        <color rgb="FF33C2FF"/>
        <rFont val="宋体"/>
        <charset val="134"/>
      </rPr>
      <t>盾卫旗队，上前</t>
    </r>
    <r>
      <rPr>
        <sz val="11"/>
        <color theme="1"/>
        <rFont val="宋体"/>
        <family val="2"/>
        <scheme val="minor"/>
      </rPr>
      <t>所需的终结技能量</t>
    </r>
    <r>
      <rPr>
        <b/>
        <sz val="11"/>
        <color rgb="FF9EB7FF"/>
        <rFont val="宋体"/>
        <charset val="134"/>
      </rPr>
      <t>-15%</t>
    </r>
    <r>
      <rPr>
        <sz val="11"/>
        <color theme="1"/>
        <rFont val="宋体"/>
        <family val="2"/>
        <scheme val="minor"/>
      </rPr>
      <t>。</t>
    </r>
  </si>
  <si>
    <r>
      <t>【新铸剑锋】连携技</t>
    </r>
    <r>
      <rPr>
        <b/>
        <sz val="11"/>
        <color rgb="FF33C2FF"/>
        <rFont val="宋体"/>
        <charset val="134"/>
      </rPr>
      <t>盈月邀击</t>
    </r>
    <r>
      <rPr>
        <sz val="11"/>
        <color theme="1"/>
        <rFont val="宋体"/>
        <family val="2"/>
        <scheme val="minor"/>
      </rPr>
      <t>冷却时间</t>
    </r>
    <r>
      <rPr>
        <b/>
        <sz val="11"/>
        <color rgb="FF9EB7FF"/>
        <rFont val="宋体"/>
        <charset val="134"/>
      </rPr>
      <t>-2</t>
    </r>
    <r>
      <rPr>
        <sz val="11"/>
        <color theme="1"/>
        <rFont val="宋体"/>
        <family val="2"/>
        <scheme val="minor"/>
      </rPr>
      <t>秒，且技力恢复量变为原本的</t>
    </r>
    <r>
      <rPr>
        <b/>
        <sz val="11"/>
        <color rgb="FF9EB7FF"/>
        <rFont val="宋体"/>
        <charset val="134"/>
      </rPr>
      <t>1.2</t>
    </r>
    <r>
      <rPr>
        <sz val="11"/>
        <color theme="1"/>
        <rFont val="宋体"/>
        <family val="2"/>
        <scheme val="minor"/>
      </rPr>
      <t>倍。</t>
    </r>
  </si>
  <si>
    <t>chr_0029_pograni_2</t>
  </si>
  <si>
    <t>13.369661266568523</t>
  </si>
  <si>
    <t>14.694130023143263</t>
  </si>
  <si>
    <t>11.283399957921352</t>
  </si>
  <si>
    <t>21.82369030086266</t>
  </si>
  <si>
    <t>chr_0029_pograni_3</t>
  </si>
  <si>
    <t>14.368188512518445</t>
  </si>
  <si>
    <t>15.780012623606126</t>
  </si>
  <si>
    <t>12.257521565327204</t>
  </si>
  <si>
    <t>23.544287818220113</t>
  </si>
  <si>
    <t>chr_0029_pograni_4</t>
  </si>
  <si>
    <t>15.366715758468366</t>
  </si>
  <si>
    <t>16.86589522406899</t>
  </si>
  <si>
    <t>13.231643172733056</t>
  </si>
  <si>
    <t>25.26488533557757</t>
  </si>
  <si>
    <t>chr_0029_pograni_5</t>
  </si>
  <si>
    <t>16.36524300441829</t>
  </si>
  <si>
    <t>17.951777824531852</t>
  </si>
  <si>
    <t>14.205764780138908</t>
  </si>
  <si>
    <t>26.98548285293503</t>
  </si>
  <si>
    <t>chr_0029_pograni_6</t>
  </si>
  <si>
    <t>17.363770250368212</t>
  </si>
  <si>
    <t>19.037660424994716</t>
  </si>
  <si>
    <t>15.179886387544759</t>
  </si>
  <si>
    <t>28.706080370292486</t>
  </si>
  <si>
    <t>chr_0029_pograni_7</t>
  </si>
  <si>
    <t>18.362297496318135</t>
  </si>
  <si>
    <t>20.12354302545758</t>
  </si>
  <si>
    <t>16.15400799495061</t>
  </si>
  <si>
    <t>30.426677887649944</t>
  </si>
  <si>
    <t>chr_0029_pograni_8</t>
  </si>
  <si>
    <t>19.360824742268058</t>
  </si>
  <si>
    <t>21.209425625920442</t>
  </si>
  <si>
    <t>17.128129602356463</t>
  </si>
  <si>
    <t>32.1472754050074</t>
  </si>
  <si>
    <t>chr_0029_pograni_9</t>
  </si>
  <si>
    <t>20.35935198821798</t>
  </si>
  <si>
    <t>22.295308226383305</t>
  </si>
  <si>
    <t>18.102251209762315</t>
  </si>
  <si>
    <t>33.86787292236485</t>
  </si>
  <si>
    <t>chr_0029_pograni_10</t>
  </si>
  <si>
    <t>21.357879234167903</t>
  </si>
  <si>
    <t>23.38119082684617</t>
  </si>
  <si>
    <t>19.076372817168167</t>
  </si>
  <si>
    <t>35.588470439722315</t>
  </si>
  <si>
    <t>chr_0029_pograni_11</t>
  </si>
  <si>
    <t>22.356406480117826</t>
  </si>
  <si>
    <t>24.467073427309032</t>
  </si>
  <si>
    <t>20.05049442457402</t>
  </si>
  <si>
    <t>37.309067957079776</t>
  </si>
  <si>
    <t>chr_0029_pograni_12</t>
  </si>
  <si>
    <t>23.35493372606775</t>
  </si>
  <si>
    <t>25.552956027771895</t>
  </si>
  <si>
    <t>21.02461603197987</t>
  </si>
  <si>
    <t>39.02966547443722</t>
  </si>
  <si>
    <t>chr_0029_pograni_13</t>
  </si>
  <si>
    <t>24.353460972017672</t>
  </si>
  <si>
    <t>26.63883862823476</t>
  </si>
  <si>
    <t>21.998737639385723</t>
  </si>
  <si>
    <t>40.750262991794685</t>
  </si>
  <si>
    <t>chr_0029_pograni_14</t>
  </si>
  <si>
    <t>25.351988217967595</t>
  </si>
  <si>
    <t>27.72472122869762</t>
  </si>
  <si>
    <t>22.972859246791575</t>
  </si>
  <si>
    <t>42.470860509152146</t>
  </si>
  <si>
    <t>chr_0029_pograni_15</t>
  </si>
  <si>
    <t>26.350515463917514</t>
  </si>
  <si>
    <t>28.810603829160485</t>
  </si>
  <si>
    <t>23.946980854197427</t>
  </si>
  <si>
    <t>44.19145802650959</t>
  </si>
  <si>
    <t>chr_0029_pograni_16</t>
  </si>
  <si>
    <t>27.349042709867437</t>
  </si>
  <si>
    <t>29.896486429623348</t>
  </si>
  <si>
    <t>24.92110246160328</t>
  </si>
  <si>
    <t>45.912055543867055</t>
  </si>
  <si>
    <t>chr_0029_pograni_17</t>
  </si>
  <si>
    <t>28.34756995581736</t>
  </si>
  <si>
    <t>30.98236903008621</t>
  </si>
  <si>
    <t>25.89522406900913</t>
  </si>
  <si>
    <t>47.63265306122452</t>
  </si>
  <si>
    <t>chr_0029_pograni_18</t>
  </si>
  <si>
    <t>29.34609720176728</t>
  </si>
  <si>
    <t>32.06825163054907</t>
  </si>
  <si>
    <t>26.86934567641498</t>
  </si>
  <si>
    <t>49.35325057858197</t>
  </si>
  <si>
    <t>chr_0029_pograni_19</t>
  </si>
  <si>
    <t>30.3446244477172</t>
  </si>
  <si>
    <t>33.15413423101194</t>
  </si>
  <si>
    <t>27.843467283820836</t>
  </si>
  <si>
    <t>51.073848095939425</t>
  </si>
  <si>
    <t>chr_0029_pograni_20</t>
  </si>
  <si>
    <t>31.343151693667124</t>
  </si>
  <si>
    <t>34.240016831474804</t>
  </si>
  <si>
    <t>28.817588891226684</t>
  </si>
  <si>
    <t>52.79444561329689</t>
  </si>
  <si>
    <t>chr_0029_pograni_21</t>
  </si>
  <si>
    <t>32.34167893961705</t>
  </si>
  <si>
    <t>35.325899431937664</t>
  </si>
  <si>
    <t>29.79171049863254</t>
  </si>
  <si>
    <t>54.51504313065435</t>
  </si>
  <si>
    <t>chr_0029_pograni_22</t>
  </si>
  <si>
    <t>33.34020618556697</t>
  </si>
  <si>
    <t>36.411782032400524</t>
  </si>
  <si>
    <t>30.76583210603839</t>
  </si>
  <si>
    <t>56.235640648011795</t>
  </si>
  <si>
    <t>chr_0029_pograni_23</t>
  </si>
  <si>
    <t>34.33873343151689</t>
  </si>
  <si>
    <t>37.49766463286339</t>
  </si>
  <si>
    <t>31.739953713444244</t>
  </si>
  <si>
    <t>57.95623816536926</t>
  </si>
  <si>
    <t>chr_0029_pograni_24</t>
  </si>
  <si>
    <t>35.337260677466816</t>
  </si>
  <si>
    <t>38.58354723332626</t>
  </si>
  <si>
    <t>32.71407532085009</t>
  </si>
  <si>
    <t>59.67683568272672</t>
  </si>
  <si>
    <t>chr_0029_pograni_25</t>
  </si>
  <si>
    <t>36.33578792341674</t>
  </si>
  <si>
    <t>39.66942983378912</t>
  </si>
  <si>
    <t>33.68819692825595</t>
  </si>
  <si>
    <t>61.397433200084166</t>
  </si>
  <si>
    <t>chr_0029_pograni_26</t>
  </si>
  <si>
    <t>37.33431516936666</t>
  </si>
  <si>
    <t>40.75531243425198</t>
  </si>
  <si>
    <t>34.6623185356618</t>
  </si>
  <si>
    <t>63.11803071744163</t>
  </si>
  <si>
    <t>chr_0029_pograni_27</t>
  </si>
  <si>
    <t>38.332842415316584</t>
  </si>
  <si>
    <t>41.84119503471484</t>
  </si>
  <si>
    <t>35.63644014306765</t>
  </si>
  <si>
    <t>64.83862823479909</t>
  </si>
  <si>
    <t>chr_0029_pograni_28</t>
  </si>
  <si>
    <t>39.33136966126651</t>
  </si>
  <si>
    <t>42.92707763517771</t>
  </si>
  <si>
    <t>36.6105617504735</t>
  </si>
  <si>
    <t>66.55922575215654</t>
  </si>
  <si>
    <t>chr_0029_pograni_29</t>
  </si>
  <si>
    <t>40.32989690721643</t>
  </si>
  <si>
    <t>44.01296023564057</t>
  </si>
  <si>
    <t>37.584683357879356</t>
  </si>
  <si>
    <t>68.279823269514</t>
  </si>
  <si>
    <t>chr_0029_pograni_30</t>
  </si>
  <si>
    <t>41.32842415316635</t>
  </si>
  <si>
    <t>45.09884283610343</t>
  </si>
  <si>
    <t>38.558804965285205</t>
  </si>
  <si>
    <t>70.00042078687146</t>
  </si>
  <si>
    <t>chr_0029_pograni_31</t>
  </si>
  <si>
    <t>42.326951399116275</t>
  </si>
  <si>
    <t>46.184725436566296</t>
  </si>
  <si>
    <t>39.53292657269106</t>
  </si>
  <si>
    <t>71.7210183042289</t>
  </si>
  <si>
    <t>chr_0029_pograni_32</t>
  </si>
  <si>
    <t>43.3254786450662</t>
  </si>
  <si>
    <t>47.270608037029156</t>
  </si>
  <si>
    <t>40.50704818009691</t>
  </si>
  <si>
    <t>73.44161582158637</t>
  </si>
  <si>
    <t>chr_0029_pograni_33</t>
  </si>
  <si>
    <t>44.32400589101612</t>
  </si>
  <si>
    <t>48.35649063749202</t>
  </si>
  <si>
    <t>41.481169787502765</t>
  </si>
  <si>
    <t>75.16221333894383</t>
  </si>
  <si>
    <t>chr_0029_pograni_34</t>
  </si>
  <si>
    <t>45.32253313696604</t>
  </si>
  <si>
    <t>49.44237323795489</t>
  </si>
  <si>
    <t>42.45529139490861</t>
  </si>
  <si>
    <t>76.88281085630128</t>
  </si>
  <si>
    <t>chr_0029_pograni_35</t>
  </si>
  <si>
    <t>46.32106038291596</t>
  </si>
  <si>
    <t>50.52825583841775</t>
  </si>
  <si>
    <t>43.42941300231446</t>
  </si>
  <si>
    <t>78.60340837365874</t>
  </si>
  <si>
    <t>chr_0029_pograni_36</t>
  </si>
  <si>
    <t>47.31958762886588</t>
  </si>
  <si>
    <t>51.61413843888061</t>
  </si>
  <si>
    <t>44.40353460972032</t>
  </si>
  <si>
    <t>80.3240058910162</t>
  </si>
  <si>
    <t>chr_0029_pograni_37</t>
  </si>
  <si>
    <t>48.318114874815805</t>
  </si>
  <si>
    <t>52.700021039343476</t>
  </si>
  <si>
    <t>45.377656217126166</t>
  </si>
  <si>
    <t>82.04460340837366</t>
  </si>
  <si>
    <t>chr_0029_pograni_38</t>
  </si>
  <si>
    <t>49.31664212076573</t>
  </si>
  <si>
    <t>53.78590363980634</t>
  </si>
  <si>
    <t>46.35177782453202</t>
  </si>
  <si>
    <t>83.76520092573111</t>
  </si>
  <si>
    <t>chr_0029_pograni_39</t>
  </si>
  <si>
    <t>50.31516936671565</t>
  </si>
  <si>
    <t>54.8717862402692</t>
  </si>
  <si>
    <t>47.32589943193787</t>
  </si>
  <si>
    <t>85.48579844308857</t>
  </si>
  <si>
    <t>chr_0029_pograni_40</t>
  </si>
  <si>
    <t>51.313696612665574</t>
  </si>
  <si>
    <t>55.95766884073206</t>
  </si>
  <si>
    <t>48.300021039343726</t>
  </si>
  <si>
    <t>87.20639596044603</t>
  </si>
  <si>
    <t>【战术教导 Lv.1】当任意干员触发终结技盾卫旗队，上前的后续效果后，也会获得持续5秒的士气激昂。需要激活天赋活着的旗帜。</t>
  </si>
  <si>
    <r>
      <t>【战术教导 Lv.1】当任意干员触发终结技</t>
    </r>
    <r>
      <rPr>
        <b/>
        <sz val="11"/>
        <color rgb="FF33C2FF"/>
        <rFont val="宋体"/>
        <charset val="134"/>
      </rPr>
      <t>盾卫旗队，上前</t>
    </r>
    <r>
      <rPr>
        <sz val="11"/>
        <color theme="1"/>
        <rFont val="宋体"/>
        <family val="2"/>
        <scheme val="minor"/>
      </rPr>
      <t>的后续效果后，也会获得持续</t>
    </r>
    <r>
      <rPr>
        <b/>
        <sz val="11"/>
        <color rgb="FF9EB7FF"/>
        <rFont val="宋体"/>
        <charset val="134"/>
      </rPr>
      <t>5</t>
    </r>
    <r>
      <rPr>
        <sz val="11"/>
        <color theme="1"/>
        <rFont val="宋体"/>
        <family val="2"/>
        <scheme val="minor"/>
      </rPr>
      <t>秒的</t>
    </r>
    <r>
      <rPr>
        <b/>
        <sz val="11"/>
        <color rgb="FF33C2FF"/>
        <rFont val="宋体"/>
        <charset val="134"/>
      </rPr>
      <t>士气激昂</t>
    </r>
    <r>
      <rPr>
        <sz val="11"/>
        <color theme="1"/>
        <rFont val="宋体"/>
        <family val="2"/>
        <scheme val="minor"/>
      </rPr>
      <t>。</t>
    </r>
    <r>
      <rPr>
        <b/>
        <sz val="11"/>
        <color rgb="FF999999"/>
        <rFont val="宋体"/>
        <charset val="134"/>
      </rPr>
      <t>需要激活天赋活着的旗帜。</t>
    </r>
  </si>
  <si>
    <t>【活着的旗帜 Lv.1】战斗中，通过自身技能每恢复80点技力后，获得持续20秒的士气激昂。士气激昂效果：攻击力+4%，源石技艺强度+4。该效果最多叠加3层，每层单独计算时间。</t>
  </si>
  <si>
    <r>
      <t>【活着的旗帜 Lv.1】战斗中，通过自身技能每恢复</t>
    </r>
    <r>
      <rPr>
        <b/>
        <sz val="11"/>
        <color rgb="FF9EB7FF"/>
        <rFont val="宋体"/>
        <charset val="134"/>
      </rPr>
      <t>80</t>
    </r>
    <r>
      <rPr>
        <sz val="11"/>
        <color theme="1"/>
        <rFont val="宋体"/>
        <family val="2"/>
        <scheme val="minor"/>
      </rPr>
      <t>点技力后，获得持续</t>
    </r>
    <r>
      <rPr>
        <b/>
        <sz val="11"/>
        <color rgb="FF9EB7FF"/>
        <rFont val="宋体"/>
        <charset val="134"/>
      </rPr>
      <t>20</t>
    </r>
    <r>
      <rPr>
        <sz val="11"/>
        <color theme="1"/>
        <rFont val="宋体"/>
        <family val="2"/>
        <scheme val="minor"/>
      </rPr>
      <t>秒的</t>
    </r>
    <r>
      <rPr>
        <b/>
        <sz val="11"/>
        <color rgb="FF33C2FF"/>
        <rFont val="宋体"/>
        <charset val="134"/>
      </rPr>
      <t>士气激昂</t>
    </r>
    <r>
      <rPr>
        <sz val="11"/>
        <color theme="1"/>
        <rFont val="宋体"/>
        <family val="2"/>
        <scheme val="minor"/>
      </rPr>
      <t>。</t>
    </r>
    <r>
      <rPr>
        <b/>
        <sz val="11"/>
        <color rgb="FF33C2FF"/>
        <rFont val="宋体"/>
        <charset val="134"/>
      </rPr>
      <t>士气激昂</t>
    </r>
    <r>
      <rPr>
        <sz val="11"/>
        <color theme="1"/>
        <rFont val="宋体"/>
        <family val="2"/>
        <scheme val="minor"/>
      </rPr>
      <t>效果：攻击力</t>
    </r>
    <r>
      <rPr>
        <b/>
        <sz val="11"/>
        <color rgb="FF9EB7FF"/>
        <rFont val="宋体"/>
        <charset val="134"/>
      </rPr>
      <t>+4%</t>
    </r>
    <r>
      <rPr>
        <sz val="11"/>
        <color theme="1"/>
        <rFont val="宋体"/>
        <family val="2"/>
        <scheme val="minor"/>
      </rPr>
      <t>，源石技艺强度</t>
    </r>
    <r>
      <rPr>
        <b/>
        <sz val="11"/>
        <color rgb="FF9EB7FF"/>
        <rFont val="宋体"/>
        <charset val="134"/>
      </rPr>
      <t>+4</t>
    </r>
    <r>
      <rPr>
        <sz val="11"/>
        <color theme="1"/>
        <rFont val="宋体"/>
        <family val="2"/>
        <scheme val="minor"/>
      </rPr>
      <t>。</t>
    </r>
    <r>
      <rPr>
        <b/>
        <sz val="11"/>
        <color rgb="FF999999"/>
        <rFont val="宋体"/>
        <charset val="134"/>
      </rPr>
      <t>该效果最多叠加3层，每层单独计算时间。</t>
    </r>
  </si>
  <si>
    <r>
      <t>【活着的旗帜 Lv.2】战斗中，通过自身技能每恢复</t>
    </r>
    <r>
      <rPr>
        <b/>
        <sz val="11"/>
        <color rgb="FF9EB7FF"/>
        <rFont val="宋体"/>
        <charset val="134"/>
      </rPr>
      <t>80</t>
    </r>
    <r>
      <rPr>
        <sz val="11"/>
        <color theme="1"/>
        <rFont val="宋体"/>
        <family val="2"/>
        <scheme val="minor"/>
      </rPr>
      <t>点技力后，获得持续</t>
    </r>
    <r>
      <rPr>
        <b/>
        <sz val="11"/>
        <color rgb="FF9EB7FF"/>
        <rFont val="宋体"/>
        <charset val="134"/>
      </rPr>
      <t>20</t>
    </r>
    <r>
      <rPr>
        <sz val="11"/>
        <color theme="1"/>
        <rFont val="宋体"/>
        <family val="2"/>
        <scheme val="minor"/>
      </rPr>
      <t>秒的</t>
    </r>
    <r>
      <rPr>
        <b/>
        <sz val="11"/>
        <color rgb="FF33C2FF"/>
        <rFont val="宋体"/>
        <charset val="134"/>
      </rPr>
      <t>士气激昂</t>
    </r>
    <r>
      <rPr>
        <sz val="11"/>
        <color theme="1"/>
        <rFont val="宋体"/>
        <family val="2"/>
        <scheme val="minor"/>
      </rPr>
      <t>。</t>
    </r>
    <r>
      <rPr>
        <b/>
        <sz val="11"/>
        <color rgb="FF33C2FF"/>
        <rFont val="宋体"/>
        <charset val="134"/>
      </rPr>
      <t>士气激昂</t>
    </r>
    <r>
      <rPr>
        <sz val="11"/>
        <color theme="1"/>
        <rFont val="宋体"/>
        <family val="2"/>
        <scheme val="minor"/>
      </rPr>
      <t>效果：攻击力</t>
    </r>
    <r>
      <rPr>
        <b/>
        <sz val="11"/>
        <color rgb="FF9EB7FF"/>
        <rFont val="宋体"/>
        <charset val="134"/>
      </rPr>
      <t>+8%</t>
    </r>
    <r>
      <rPr>
        <sz val="11"/>
        <color theme="1"/>
        <rFont val="宋体"/>
        <family val="2"/>
        <scheme val="minor"/>
      </rPr>
      <t>，源石技艺强度</t>
    </r>
    <r>
      <rPr>
        <b/>
        <sz val="11"/>
        <color rgb="FF9EB7FF"/>
        <rFont val="宋体"/>
        <charset val="134"/>
      </rPr>
      <t>+8</t>
    </r>
    <r>
      <rPr>
        <sz val="11"/>
        <color theme="1"/>
        <rFont val="宋体"/>
        <family val="2"/>
        <scheme val="minor"/>
      </rPr>
      <t>。</t>
    </r>
    <r>
      <rPr>
        <b/>
        <sz val="11"/>
        <color rgb="FF999999"/>
        <rFont val="宋体"/>
        <charset val="134"/>
      </rPr>
      <t>该效果最多叠加3层，每层单独计算时间。</t>
    </r>
  </si>
  <si>
    <t>chr_0029_pograni_41</t>
  </si>
  <si>
    <t>52.312223858615496</t>
  </si>
  <si>
    <t>57.04355144119493</t>
  </si>
  <si>
    <t>49.274142646749574</t>
  </si>
  <si>
    <t>88.92699347780349</t>
  </si>
  <si>
    <t>chr_0029_pograni_42</t>
  </si>
  <si>
    <t>53.31075110456542</t>
  </si>
  <si>
    <t>58.129434041657795</t>
  </si>
  <si>
    <t>50.24826425415543</t>
  </si>
  <si>
    <t>90.64759099516094</t>
  </si>
  <si>
    <t>chr_0029_pograni_43</t>
  </si>
  <si>
    <t>54.30927835051534</t>
  </si>
  <si>
    <t>59.215316642120655</t>
  </si>
  <si>
    <t>51.22238586156128</t>
  </si>
  <si>
    <t>92.3681885125184</t>
  </si>
  <si>
    <t>chr_0029_pograni_44</t>
  </si>
  <si>
    <t>55.307805596465265</t>
  </si>
  <si>
    <t>60.301199242583515</t>
  </si>
  <si>
    <t>52.196507468967134</t>
  </si>
  <si>
    <t>94.08878602987586</t>
  </si>
  <si>
    <t>chr_0029_pograni_45</t>
  </si>
  <si>
    <t>56.30633284241519</t>
  </si>
  <si>
    <t>61.38708184304638</t>
  </si>
  <si>
    <t>53.17062907637298</t>
  </si>
  <si>
    <t>95.80938354723331</t>
  </si>
  <si>
    <t>chr_0029_pograni_46</t>
  </si>
  <si>
    <t>57.30486008836511</t>
  </si>
  <si>
    <t>62.47296444350925</t>
  </si>
  <si>
    <t>54.14475068377884</t>
  </si>
  <si>
    <t>97.52998106459077</t>
  </si>
  <si>
    <t>chr_0029_pograni_47</t>
  </si>
  <si>
    <t>58.30338733431503</t>
  </si>
  <si>
    <t>63.55884704397211</t>
  </si>
  <si>
    <t>55.11887229118469</t>
  </si>
  <si>
    <t>99.25057858194823</t>
  </si>
  <si>
    <t>chr_0029_pograni_48</t>
  </si>
  <si>
    <t>59.301914580264956</t>
  </si>
  <si>
    <t>64.64472964443496</t>
  </si>
  <si>
    <t>56.09299389859054</t>
  </si>
  <si>
    <t>100.97117609930568</t>
  </si>
  <si>
    <t>chr_0029_pograni_49</t>
  </si>
  <si>
    <t>60.30044182621488</t>
  </si>
  <si>
    <t>65.73061224489783</t>
  </si>
  <si>
    <t>57.06711550599639</t>
  </si>
  <si>
    <t>102.69177361666314</t>
  </si>
  <si>
    <t>chr_0029_pograni_50</t>
  </si>
  <si>
    <t>61.2989690721648</t>
  </si>
  <si>
    <t>66.8164948453607</t>
  </si>
  <si>
    <t>58.04123711340225</t>
  </si>
  <si>
    <t>104.4123711340206</t>
  </si>
  <si>
    <t>chr_0029_pograni_51</t>
  </si>
  <si>
    <t>62.297496318114725</t>
  </si>
  <si>
    <t>67.90237744582356</t>
  </si>
  <si>
    <t>59.015358720808095</t>
  </si>
  <si>
    <t>106.13296865137805</t>
  </si>
  <si>
    <t>chr_0029_pograni_52</t>
  </si>
  <si>
    <t>63.29602356406465</t>
  </si>
  <si>
    <t>68.98826004628643</t>
  </si>
  <si>
    <t>59.98948032821395</t>
  </si>
  <si>
    <t>107.85356616873551</t>
  </si>
  <si>
    <t>chr_0029_pograni_53</t>
  </si>
  <si>
    <t>64.29455081001457</t>
  </si>
  <si>
    <t>70.0741426467493</t>
  </si>
  <si>
    <t>60.9636019356198</t>
  </si>
  <si>
    <t>109.57416368609297</t>
  </si>
  <si>
    <t>chr_0029_pograni_54</t>
  </si>
  <si>
    <t>65.2930780559645</t>
  </si>
  <si>
    <t>71.16002524721216</t>
  </si>
  <si>
    <t>61.937723543025655</t>
  </si>
  <si>
    <t>111.29476120345042</t>
  </si>
  <si>
    <t>chr_0029_pograni_55</t>
  </si>
  <si>
    <t>66.29160530191442</t>
  </si>
  <si>
    <t>72.24590784767501</t>
  </si>
  <si>
    <t>62.9118451504315</t>
  </si>
  <si>
    <t>113.01535872080788</t>
  </si>
  <si>
    <t>chr_0029_pograni_56</t>
  </si>
  <si>
    <t>67.29013254786433</t>
  </si>
  <si>
    <t>73.33179044813787</t>
  </si>
  <si>
    <t>63.88596675783736</t>
  </si>
  <si>
    <t>114.73595623816534</t>
  </si>
  <si>
    <t>chr_0029_pograni_57</t>
  </si>
  <si>
    <t>68.28865979381426</t>
  </si>
  <si>
    <t>74.41767304860073</t>
  </si>
  <si>
    <t>64.86008836524321</t>
  </si>
  <si>
    <t>116.45655375552279</t>
  </si>
  <si>
    <t>chr_0029_pograni_58</t>
  </si>
  <si>
    <t>69.28718703976418</t>
  </si>
  <si>
    <t>75.5035556490636</t>
  </si>
  <si>
    <t>65.83420997264906</t>
  </si>
  <si>
    <t>118.17715127288025</t>
  </si>
  <si>
    <t>chr_0029_pograni_59</t>
  </si>
  <si>
    <t>70.2857142857141</t>
  </si>
  <si>
    <t>76.58943824952647</t>
  </si>
  <si>
    <t>66.80833158005491</t>
  </si>
  <si>
    <t>119.89774879023771</t>
  </si>
  <si>
    <t>chr_0029_pograni_60</t>
  </si>
  <si>
    <t>71.28424153166402</t>
  </si>
  <si>
    <t>77.67532084998933</t>
  </si>
  <si>
    <t>67.78245318746077</t>
  </si>
  <si>
    <t>121.61834630759517</t>
  </si>
  <si>
    <t>【战术教导 Lv.2】当任意干员触发终结技盾卫旗队，上前的后续效果后，也会获得持续10秒的士气激昂。需要激活天赋活着的旗帜。</t>
  </si>
  <si>
    <r>
      <t>【战术教导 Lv.2】当任意干员触发终结技</t>
    </r>
    <r>
      <rPr>
        <b/>
        <sz val="11"/>
        <color rgb="FF33C2FF"/>
        <rFont val="宋体"/>
        <charset val="134"/>
      </rPr>
      <t>盾卫旗队，上前</t>
    </r>
    <r>
      <rPr>
        <sz val="11"/>
        <color theme="1"/>
        <rFont val="宋体"/>
        <family val="2"/>
        <scheme val="minor"/>
      </rPr>
      <t>的后续效果后，也会获得持续</t>
    </r>
    <r>
      <rPr>
        <b/>
        <sz val="11"/>
        <color rgb="FF9EB7FF"/>
        <rFont val="宋体"/>
        <charset val="134"/>
      </rPr>
      <t>10</t>
    </r>
    <r>
      <rPr>
        <sz val="11"/>
        <color theme="1"/>
        <rFont val="宋体"/>
        <family val="2"/>
        <scheme val="minor"/>
      </rPr>
      <t>秒的</t>
    </r>
    <r>
      <rPr>
        <b/>
        <sz val="11"/>
        <color rgb="FF33C2FF"/>
        <rFont val="宋体"/>
        <charset val="134"/>
      </rPr>
      <t>士气激昂</t>
    </r>
    <r>
      <rPr>
        <sz val="11"/>
        <color theme="1"/>
        <rFont val="宋体"/>
        <family val="2"/>
        <scheme val="minor"/>
      </rPr>
      <t>。</t>
    </r>
    <r>
      <rPr>
        <b/>
        <sz val="11"/>
        <color rgb="FF999999"/>
        <rFont val="宋体"/>
        <charset val="134"/>
      </rPr>
      <t>需要激活天赋活着的旗帜。</t>
    </r>
  </si>
  <si>
    <t>chr_0029_pograni_61</t>
  </si>
  <si>
    <t>72.28276877761395</t>
  </si>
  <si>
    <t>78.7612034504522</t>
  </si>
  <si>
    <t>68.75657479486662</t>
  </si>
  <si>
    <t>123.33894382495262</t>
  </si>
  <si>
    <t>chr_0029_pograni_62</t>
  </si>
  <si>
    <t>73.28129602356387</t>
  </si>
  <si>
    <t>79.84708605091507</t>
  </si>
  <si>
    <t>69.73069640227247</t>
  </si>
  <si>
    <t>125.05954134231008</t>
  </si>
  <si>
    <t>chr_0029_pograni_63</t>
  </si>
  <si>
    <t>74.2798232695138</t>
  </si>
  <si>
    <t>80.9329686513779</t>
  </si>
  <si>
    <t>70.70481800967832</t>
  </si>
  <si>
    <t>126.78013885966755</t>
  </si>
  <si>
    <t>chr_0029_pograni_64</t>
  </si>
  <si>
    <t>75.27835051546371</t>
  </si>
  <si>
    <t>82.01885125184077</t>
  </si>
  <si>
    <t>71.67893961708418</t>
  </si>
  <si>
    <t>128.500736377025</t>
  </si>
  <si>
    <t>chr_0029_pograni_65</t>
  </si>
  <si>
    <t>76.27687776141364</t>
  </si>
  <si>
    <t>83.10473385230364</t>
  </si>
  <si>
    <t>72.65306122449003</t>
  </si>
  <si>
    <t>130.22133389438244</t>
  </si>
  <si>
    <t>chr_0029_pograni_66</t>
  </si>
  <si>
    <t>77.27540500736356</t>
  </si>
  <si>
    <t>84.1906164527665</t>
  </si>
  <si>
    <t>73.62718283189588</t>
  </si>
  <si>
    <t>131.94193141173992</t>
  </si>
  <si>
    <t>chr_0029_pograni_67</t>
  </si>
  <si>
    <t>78.27393225331348</t>
  </si>
  <si>
    <t>85.27649905322937</t>
  </si>
  <si>
    <t>74.60130443930173</t>
  </si>
  <si>
    <t>133.66252892909736</t>
  </si>
  <si>
    <t>chr_0029_pograni_68</t>
  </si>
  <si>
    <t>79.2724594992634</t>
  </si>
  <si>
    <t>86.36238165369224</t>
  </si>
  <si>
    <t>75.57542604670758</t>
  </si>
  <si>
    <t>135.3831264464548</t>
  </si>
  <si>
    <t>chr_0029_pograni_69</t>
  </si>
  <si>
    <t>80.27098674521332</t>
  </si>
  <si>
    <t>87.4482642541551</t>
  </si>
  <si>
    <t>76.54954765411343</t>
  </si>
  <si>
    <t>137.10372396381229</t>
  </si>
  <si>
    <t>chr_0029_pograni_70</t>
  </si>
  <si>
    <t>81.26951399116325</t>
  </si>
  <si>
    <t>88.53414685461797</t>
  </si>
  <si>
    <t>77.52366926151929</t>
  </si>
  <si>
    <t>138.82432148116973</t>
  </si>
  <si>
    <t>chr_0029_pograni_71</t>
  </si>
  <si>
    <t>82.26804123711317</t>
  </si>
  <si>
    <t>89.62002945508081</t>
  </si>
  <si>
    <t>78.49779086892514</t>
  </si>
  <si>
    <t>140.54491899852718</t>
  </si>
  <si>
    <t>chr_0029_pograni_72</t>
  </si>
  <si>
    <t>83.2665684830631</t>
  </si>
  <si>
    <t>90.70591205554368</t>
  </si>
  <si>
    <t>79.47191247633098</t>
  </si>
  <si>
    <t>142.26551651588466</t>
  </si>
  <si>
    <t>chr_0029_pograni_73</t>
  </si>
  <si>
    <t>84.26509572901301</t>
  </si>
  <si>
    <t>91.79179465600654</t>
  </si>
  <si>
    <t>80.44603408373683</t>
  </si>
  <si>
    <t>143.9861140332421</t>
  </si>
  <si>
    <t>chr_0029_pograni_74</t>
  </si>
  <si>
    <t>85.26362297496294</t>
  </si>
  <si>
    <t>92.87767725646941</t>
  </si>
  <si>
    <t>81.4201556911427</t>
  </si>
  <si>
    <t>145.70671155059955</t>
  </si>
  <si>
    <t>chr_0029_pograni_75</t>
  </si>
  <si>
    <t>86.26215022091286</t>
  </si>
  <si>
    <t>93.96355985693228</t>
  </si>
  <si>
    <t>82.39427729854854</t>
  </si>
  <si>
    <t>147.42730906795703</t>
  </si>
  <si>
    <t>chr_0029_pograni_76</t>
  </si>
  <si>
    <t>87.26067746686279</t>
  </si>
  <si>
    <t>95.04944245739514</t>
  </si>
  <si>
    <t>83.3683989059544</t>
  </si>
  <si>
    <t>149.14790658531447</t>
  </si>
  <si>
    <t>chr_0029_pograni_77</t>
  </si>
  <si>
    <t>88.2592047128127</t>
  </si>
  <si>
    <t>96.13532505785801</t>
  </si>
  <si>
    <t>84.34252051336024</t>
  </si>
  <si>
    <t>150.86850410267192</t>
  </si>
  <si>
    <t>chr_0029_pograni_78</t>
  </si>
  <si>
    <t>89.25773195876263</t>
  </si>
  <si>
    <t>97.22120765832088</t>
  </si>
  <si>
    <t>85.3166421207661</t>
  </si>
  <si>
    <t>152.58910162002937</t>
  </si>
  <si>
    <t>chr_0029_pograni_79</t>
  </si>
  <si>
    <t>90.25625920471255</t>
  </si>
  <si>
    <t>98.30709025878372</t>
  </si>
  <si>
    <t>86.29076372817195</t>
  </si>
  <si>
    <t>154.30969913738684</t>
  </si>
  <si>
    <t>chr_0029_pograni_80</t>
  </si>
  <si>
    <t>91.25478645066248</t>
  </si>
  <si>
    <t>99.39297285924658</t>
  </si>
  <si>
    <t>87.2648853355778</t>
  </si>
  <si>
    <t>156.0302966547443</t>
  </si>
  <si>
    <t>chr_0029_pograni_81</t>
  </si>
  <si>
    <t>92.2533136966124</t>
  </si>
  <si>
    <t>100.47885545970945</t>
  </si>
  <si>
    <t>88.23900694298365</t>
  </si>
  <si>
    <t>157.75089417210177</t>
  </si>
  <si>
    <t>chr_0029_pograni_82</t>
  </si>
  <si>
    <t>93.25184094256232</t>
  </si>
  <si>
    <t>101.56473806017232</t>
  </si>
  <si>
    <t>89.21312855038951</t>
  </si>
  <si>
    <t>159.4714916894592</t>
  </si>
  <si>
    <t>chr_0029_pograni_83</t>
  </si>
  <si>
    <t>94.25036818851224</t>
  </si>
  <si>
    <t>102.65062066063518</t>
  </si>
  <si>
    <t>90.18725015779536</t>
  </si>
  <si>
    <t>161.19208920681666</t>
  </si>
  <si>
    <t>chr_0029_pograni_84</t>
  </si>
  <si>
    <t>95.24889543446217</t>
  </si>
  <si>
    <t>103.73650326109805</t>
  </si>
  <si>
    <t>91.16137176520121</t>
  </si>
  <si>
    <t>162.91268672417414</t>
  </si>
  <si>
    <t>chr_0029_pograni_85</t>
  </si>
  <si>
    <t>96.24742268041209</t>
  </si>
  <si>
    <t>104.82238586156092</t>
  </si>
  <si>
    <t>92.13549337260706</t>
  </si>
  <si>
    <t>164.63328424153158</t>
  </si>
  <si>
    <t>chr_0029_pograni_86</t>
  </si>
  <si>
    <t>97.24594992636202</t>
  </si>
  <si>
    <t>105.90826846202378</t>
  </si>
  <si>
    <t>93.10961498001292</t>
  </si>
  <si>
    <t>166.35388175888903</t>
  </si>
  <si>
    <t>chr_0029_pograni_87</t>
  </si>
  <si>
    <t>98.24447717231193</t>
  </si>
  <si>
    <t>106.99415106248662</t>
  </si>
  <si>
    <t>94.08373658741877</t>
  </si>
  <si>
    <t>168.0744792762465</t>
  </si>
  <si>
    <t>chr_0029_pograni_88</t>
  </si>
  <si>
    <t>99.24300441826185</t>
  </si>
  <si>
    <t>108.08003366294949</t>
  </si>
  <si>
    <t>95.05785819482462</t>
  </si>
  <si>
    <t>169.79507679360395</t>
  </si>
  <si>
    <t>chr_0029_pograni_89</t>
  </si>
  <si>
    <t>100.24153166421178</t>
  </si>
  <si>
    <t>109.16591626341236</t>
  </si>
  <si>
    <t>96.03197980223047</t>
  </si>
  <si>
    <t>171.5156743109614</t>
  </si>
  <si>
    <t>chr_0029_pograni_90</t>
  </si>
  <si>
    <t>101.2400589101617</t>
  </si>
  <si>
    <t>110.25179886387522</t>
  </si>
  <si>
    <t>97.00610140963633</t>
  </si>
  <si>
    <t>173.23627182831888</t>
  </si>
  <si>
    <t>chr_0029_pograni_91</t>
  </si>
  <si>
    <t>102.23858615611162</t>
  </si>
  <si>
    <t>111.33768146433809</t>
  </si>
  <si>
    <t>97.98022301704218</t>
  </si>
  <si>
    <t>174.95686934567632</t>
  </si>
  <si>
    <t>chr_0029_pograni_92</t>
  </si>
  <si>
    <t>103.23711340206154</t>
  </si>
  <si>
    <t>112.42356406480096</t>
  </si>
  <si>
    <t>98.95434462444803</t>
  </si>
  <si>
    <t>176.67746686303377</t>
  </si>
  <si>
    <t>chr_0029_pograni_93</t>
  </si>
  <si>
    <t>104.23564064801147</t>
  </si>
  <si>
    <t>113.50944666526382</t>
  </si>
  <si>
    <t>99.92846623185388</t>
  </si>
  <si>
    <t>178.39806438039125</t>
  </si>
  <si>
    <t>chr_0029_pograni_94</t>
  </si>
  <si>
    <t>105.23416789396138</t>
  </si>
  <si>
    <t>114.59532926572669</t>
  </si>
  <si>
    <t>100.90258783925974</t>
  </si>
  <si>
    <t>180.1186618977487</t>
  </si>
  <si>
    <t>chr_0029_pograni_95</t>
  </si>
  <si>
    <t>106.23269513991131</t>
  </si>
  <si>
    <t>115.68121186618953</t>
  </si>
  <si>
    <t>101.87670944666559</t>
  </si>
  <si>
    <t>181.83925941510614</t>
  </si>
  <si>
    <t>chr_0029_pograni_96</t>
  </si>
  <si>
    <t>107.23122238586123</t>
  </si>
  <si>
    <t>116.7670944666524</t>
  </si>
  <si>
    <t>102.85083105407143</t>
  </si>
  <si>
    <t>183.55985693246362</t>
  </si>
  <si>
    <t>chr_0029_pograni_97</t>
  </si>
  <si>
    <t>108.22974963181116</t>
  </si>
  <si>
    <t>117.85297706711526</t>
  </si>
  <si>
    <t>103.82495266147728</t>
  </si>
  <si>
    <t>185.28045444982106</t>
  </si>
  <si>
    <t>chr_0029_pograni_98</t>
  </si>
  <si>
    <t>109.22827687776108</t>
  </si>
  <si>
    <t>118.93885966757813</t>
  </si>
  <si>
    <t>104.79907426888313</t>
  </si>
  <si>
    <t>187.0010519671785</t>
  </si>
  <si>
    <t>chr_0029_pograni_99</t>
  </si>
  <si>
    <t>110.226804123711</t>
  </si>
  <si>
    <t>120.024742268041</t>
  </si>
  <si>
    <t>188.721649484536</t>
  </si>
  <si>
    <t>⚔ 管理员 - 技能数据面板</t>
  </si>
  <si>
    <t xml:space="preserve"> ✦ 【普通攻击】毁伤序列 (chr_9000_endmin_NormalAttack)</t>
  </si>
  <si>
    <r>
      <rPr>
        <i/>
        <sz val="10"/>
        <color rgb="FF404040"/>
        <rFont val="微软雅黑"/>
        <family val="2"/>
        <charset val="134"/>
      </rPr>
      <t>普通攻击：对敌人进行至多5段攻击，造成</t>
    </r>
    <r>
      <rPr>
        <b/>
        <i/>
        <sz val="10"/>
        <color rgb="FFE3C19A"/>
        <rFont val="微软雅黑"/>
        <family val="2"/>
        <charset val="134"/>
      </rPr>
      <t>物理伤害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18</t>
    </r>
    <r>
      <rPr>
        <i/>
        <sz val="10"/>
        <color rgb="FF404040"/>
        <rFont val="微软雅黑"/>
        <family val="2"/>
        <charset val="134"/>
      </rPr>
      <t>点失衡。 下落攻击：处于空中时使用普通攻击，会下落并攻击附近敌人，造成</t>
    </r>
    <r>
      <rPr>
        <b/>
        <i/>
        <sz val="10"/>
        <color rgb="FFE3C19A"/>
        <rFont val="微软雅黑"/>
        <family val="2"/>
        <charset val="134"/>
      </rPr>
      <t>物理伤害</t>
    </r>
    <r>
      <rPr>
        <i/>
        <sz val="10"/>
        <color rgb="FF404040"/>
        <rFont val="微软雅黑"/>
        <family val="2"/>
        <charset val="134"/>
      </rPr>
      <t>。 处决攻击：附近有敌人处于失衡状态时使用普通攻击，将处决该敌人，造成大量</t>
    </r>
    <r>
      <rPr>
        <b/>
        <i/>
        <sz val="10"/>
        <color rgb="FFE3C19A"/>
        <rFont val="微软雅黑"/>
        <family val="2"/>
        <charset val="134"/>
      </rPr>
      <t>物理伤害</t>
    </r>
    <r>
      <rPr>
        <i/>
        <sz val="10"/>
        <color rgb="FF404040"/>
        <rFont val="微软雅黑"/>
        <family val="2"/>
        <charset val="134"/>
      </rPr>
      <t>并恢复一定技力。</t>
    </r>
  </si>
  <si>
    <t>参数名称</t>
  </si>
  <si>
    <t>Lv1</t>
  </si>
  <si>
    <t>Lv2</t>
  </si>
  <si>
    <t>Lv3</t>
  </si>
  <si>
    <t>Lv4</t>
  </si>
  <si>
    <t>Lv5</t>
  </si>
  <si>
    <t>Lv6</t>
  </si>
  <si>
    <t>Lv7</t>
  </si>
  <si>
    <t>Lv8</t>
  </si>
  <si>
    <t>Lv9</t>
  </si>
  <si>
    <t>M1</t>
  </si>
  <si>
    <t>M2</t>
  </si>
  <si>
    <t>M3</t>
  </si>
  <si>
    <t>普攻第一段倍率</t>
  </si>
  <si>
    <t>23%</t>
  </si>
  <si>
    <t>25%</t>
  </si>
  <si>
    <t>27%</t>
  </si>
  <si>
    <t>29%</t>
  </si>
  <si>
    <t>32%</t>
  </si>
  <si>
    <t>34%</t>
  </si>
  <si>
    <t>36%</t>
  </si>
  <si>
    <t>39%</t>
  </si>
  <si>
    <t>41%</t>
  </si>
  <si>
    <t>44%</t>
  </si>
  <si>
    <t>47%</t>
  </si>
  <si>
    <t>51%</t>
  </si>
  <si>
    <t>普攻第二段倍率</t>
  </si>
  <si>
    <t>30%</t>
  </si>
  <si>
    <t>35%</t>
  </si>
  <si>
    <t>38%</t>
  </si>
  <si>
    <t>43%</t>
  </si>
  <si>
    <t>46%</t>
  </si>
  <si>
    <t>49%</t>
  </si>
  <si>
    <t>52%</t>
  </si>
  <si>
    <t>56%</t>
  </si>
  <si>
    <t>61%</t>
  </si>
  <si>
    <t>普攻第三段倍率</t>
  </si>
  <si>
    <t>33%</t>
  </si>
  <si>
    <t>42%</t>
  </si>
  <si>
    <t>45%</t>
  </si>
  <si>
    <t>48%</t>
  </si>
  <si>
    <t>54%</t>
  </si>
  <si>
    <t>58%</t>
  </si>
  <si>
    <t>63%</t>
  </si>
  <si>
    <t>68%</t>
  </si>
  <si>
    <t>普攻第四段倍率</t>
  </si>
  <si>
    <t>55%</t>
  </si>
  <si>
    <t>59%</t>
  </si>
  <si>
    <t>62%</t>
  </si>
  <si>
    <t>67%</t>
  </si>
  <si>
    <t>72%</t>
  </si>
  <si>
    <t>78%</t>
  </si>
  <si>
    <t>普攻第五段倍率</t>
  </si>
  <si>
    <t>40%</t>
  </si>
  <si>
    <t>60%</t>
  </si>
  <si>
    <t>64%</t>
  </si>
  <si>
    <t>77%</t>
  </si>
  <si>
    <t>83%</t>
  </si>
  <si>
    <t>90%</t>
  </si>
  <si>
    <t>处决攻击倍率</t>
  </si>
  <si>
    <t>400%</t>
  </si>
  <si>
    <t>440%</t>
  </si>
  <si>
    <t>480%</t>
  </si>
  <si>
    <t>520%</t>
  </si>
  <si>
    <t>560%</t>
  </si>
  <si>
    <t>600%</t>
  </si>
  <si>
    <t>640%</t>
  </si>
  <si>
    <t>680%</t>
  </si>
  <si>
    <t>720%</t>
  </si>
  <si>
    <t>770%</t>
  </si>
  <si>
    <t>830%</t>
  </si>
  <si>
    <t>900%</t>
  </si>
  <si>
    <t>下落攻击倍率</t>
  </si>
  <si>
    <t>80%</t>
  </si>
  <si>
    <t>88%</t>
  </si>
  <si>
    <t>96%</t>
  </si>
  <si>
    <t>104%</t>
  </si>
  <si>
    <t>112%</t>
  </si>
  <si>
    <t>120%</t>
  </si>
  <si>
    <t>128%</t>
  </si>
  <si>
    <t>136%</t>
  </si>
  <si>
    <t>144%</t>
  </si>
  <si>
    <t>154%</t>
  </si>
  <si>
    <t>166%</t>
  </si>
  <si>
    <t>180%</t>
  </si>
  <si>
    <t xml:space="preserve"> ✦ 【战技】构成序列 (chr_9000_endmin_NormalSkill)</t>
  </si>
  <si>
    <r>
      <rPr>
        <i/>
        <sz val="10"/>
        <color rgb="FF404040"/>
        <rFont val="微软雅黑"/>
        <family val="2"/>
        <charset val="134"/>
      </rPr>
      <t>使用源石技艺冲击前方一定范围内的敌人，造成</t>
    </r>
    <r>
      <rPr>
        <b/>
        <i/>
        <sz val="10"/>
        <color rgb="FFE3C19A"/>
        <rFont val="微软雅黑"/>
        <family val="2"/>
        <charset val="134"/>
      </rPr>
      <t>物理伤害</t>
    </r>
    <r>
      <rPr>
        <i/>
        <sz val="10"/>
        <color rgb="FF404040"/>
        <rFont val="微软雅黑"/>
        <family val="2"/>
        <charset val="134"/>
      </rPr>
      <t>和</t>
    </r>
    <r>
      <rPr>
        <b/>
        <i/>
        <u/>
        <sz val="10"/>
        <color rgb="FFE3C19A"/>
        <rFont val="微软雅黑"/>
        <family val="2"/>
        <charset val="134"/>
      </rPr>
      <t>猛击</t>
    </r>
    <r>
      <rPr>
        <i/>
        <sz val="10"/>
        <color rgb="FF404040"/>
        <rFont val="微软雅黑"/>
        <family val="2"/>
        <charset val="134"/>
      </rPr>
      <t>。</t>
    </r>
  </si>
  <si>
    <t>伤害倍率</t>
  </si>
  <si>
    <t>156%</t>
  </si>
  <si>
    <t>171%</t>
  </si>
  <si>
    <t>187%</t>
  </si>
  <si>
    <t>202%</t>
  </si>
  <si>
    <t>218%</t>
  </si>
  <si>
    <t>234%</t>
  </si>
  <si>
    <t>249%</t>
  </si>
  <si>
    <t>265%</t>
  </si>
  <si>
    <t>280%</t>
  </si>
  <si>
    <t>300%</t>
  </si>
  <si>
    <t>323%</t>
  </si>
  <si>
    <t>350%</t>
  </si>
  <si>
    <t>失衡值</t>
  </si>
  <si>
    <t>10</t>
  </si>
  <si>
    <t xml:space="preserve"> ✦ 【终结技】轰击序列 (chr_9000_endmin_UltimateSkill)</t>
  </si>
  <si>
    <r>
      <rPr>
        <i/>
        <sz val="10"/>
        <color rgb="FF404040"/>
        <rFont val="微软雅黑"/>
        <family val="2"/>
        <charset val="134"/>
      </rPr>
      <t>使用源石技艺轰击地面，对前方扇形范围内的敌人造成大量</t>
    </r>
    <r>
      <rPr>
        <b/>
        <i/>
        <sz val="10"/>
        <color rgb="FFE3C19A"/>
        <rFont val="微软雅黑"/>
        <family val="2"/>
        <charset val="134"/>
      </rPr>
      <t>物理伤害</t>
    </r>
    <r>
      <rPr>
        <i/>
        <sz val="10"/>
        <color rgb="FF404040"/>
        <rFont val="微软雅黑"/>
        <family val="2"/>
        <charset val="134"/>
      </rPr>
      <t>。如果敌人身上附着</t>
    </r>
    <r>
      <rPr>
        <b/>
        <i/>
        <u/>
        <sz val="10"/>
        <color rgb="FF33C2FF"/>
        <rFont val="微软雅黑"/>
        <family val="2"/>
        <charset val="134"/>
      </rPr>
      <t>源石结晶</t>
    </r>
    <r>
      <rPr>
        <i/>
        <sz val="10"/>
        <color rgb="FF404040"/>
        <rFont val="微软雅黑"/>
        <family val="2"/>
        <charset val="134"/>
      </rPr>
      <t>，则</t>
    </r>
    <r>
      <rPr>
        <i/>
        <u/>
        <sz val="10"/>
        <color rgb="FF404040"/>
        <rFont val="微软雅黑"/>
        <family val="2"/>
        <charset val="134"/>
      </rPr>
      <t>消耗</t>
    </r>
    <r>
      <rPr>
        <b/>
        <i/>
        <u/>
        <sz val="10"/>
        <color rgb="FF33C2FF"/>
        <rFont val="微软雅黑"/>
        <family val="2"/>
        <charset val="134"/>
      </rPr>
      <t>源石结晶</t>
    </r>
    <r>
      <rPr>
        <i/>
        <sz val="10"/>
        <color rgb="FF404040"/>
        <rFont val="微软雅黑"/>
        <family val="2"/>
        <charset val="134"/>
      </rPr>
      <t>并额外造成一次</t>
    </r>
    <r>
      <rPr>
        <b/>
        <i/>
        <sz val="10"/>
        <color rgb="FFE3C19A"/>
        <rFont val="微软雅黑"/>
        <family val="2"/>
        <charset val="134"/>
      </rPr>
      <t>物理伤害</t>
    </r>
    <r>
      <rPr>
        <i/>
        <sz val="10"/>
        <color rgb="FF404040"/>
        <rFont val="微软雅黑"/>
        <family val="2"/>
        <charset val="134"/>
      </rPr>
      <t>。</t>
    </r>
  </si>
  <si>
    <t>所需终结技能量</t>
  </si>
  <si>
    <t>80</t>
  </si>
  <si>
    <t>冷却时间</t>
  </si>
  <si>
    <t>10.0s</t>
  </si>
  <si>
    <t>所需终结技能量 (2)</t>
  </si>
  <si>
    <t>冷却时间 (2)</t>
  </si>
  <si>
    <t>356%</t>
  </si>
  <si>
    <t>391%</t>
  </si>
  <si>
    <t>427%</t>
  </si>
  <si>
    <t>462%</t>
  </si>
  <si>
    <t>498%</t>
  </si>
  <si>
    <t>533%</t>
  </si>
  <si>
    <t>569%</t>
  </si>
  <si>
    <t>604%</t>
  </si>
  <si>
    <t>684%</t>
  </si>
  <si>
    <t>738%</t>
  </si>
  <si>
    <t>800%</t>
  </si>
  <si>
    <t>额外伤害倍率</t>
  </si>
  <si>
    <t>267%</t>
  </si>
  <si>
    <t>294%</t>
  </si>
  <si>
    <t>320%</t>
  </si>
  <si>
    <t>347%</t>
  </si>
  <si>
    <t>374%</t>
  </si>
  <si>
    <t>454%</t>
  </si>
  <si>
    <t>514%</t>
  </si>
  <si>
    <t>554%</t>
  </si>
  <si>
    <t>25</t>
  </si>
  <si>
    <t>伤害倍率 (2)</t>
  </si>
  <si>
    <t>额外伤害倍率 (2)</t>
  </si>
  <si>
    <t>失衡值 (2)</t>
  </si>
  <si>
    <t xml:space="preserve"> ✦ 【连携技】锁闭序列 (chr_9000_endmin_ComboSkill)</t>
  </si>
  <si>
    <r>
      <rPr>
        <i/>
        <sz val="10"/>
        <color rgb="FF404040"/>
        <rFont val="微软雅黑"/>
        <family val="2"/>
        <charset val="134"/>
      </rPr>
      <t>当小队内其他干员的连携技造成伤害时可以发动。冲到敌人身边，对其造成</t>
    </r>
    <r>
      <rPr>
        <b/>
        <i/>
        <sz val="10"/>
        <color rgb="FFE3C19A"/>
        <rFont val="微软雅黑"/>
        <family val="2"/>
        <charset val="134"/>
      </rPr>
      <t>物理伤害</t>
    </r>
    <r>
      <rPr>
        <i/>
        <sz val="10"/>
        <color rgb="FF404040"/>
        <rFont val="微软雅黑"/>
        <family val="2"/>
        <charset val="134"/>
      </rPr>
      <t>，并附着</t>
    </r>
    <r>
      <rPr>
        <b/>
        <i/>
        <u/>
        <sz val="10"/>
        <color rgb="FF33C2FF"/>
        <rFont val="微软雅黑"/>
        <family val="2"/>
        <charset val="134"/>
      </rPr>
      <t>源石结晶</t>
    </r>
    <r>
      <rPr>
        <i/>
        <sz val="10"/>
        <color rgb="FF404040"/>
        <rFont val="微软雅黑"/>
        <family val="2"/>
        <charset val="134"/>
      </rPr>
      <t>，在一段时间内将其封印。施加</t>
    </r>
    <r>
      <rPr>
        <b/>
        <i/>
        <u/>
        <sz val="10"/>
        <color rgb="FFE3C19A"/>
        <rFont val="微软雅黑"/>
        <family val="2"/>
        <charset val="134"/>
      </rPr>
      <t>物理异常</t>
    </r>
    <r>
      <rPr>
        <i/>
        <sz val="10"/>
        <color rgb="FF404040"/>
        <rFont val="微软雅黑"/>
        <family val="2"/>
        <charset val="134"/>
      </rPr>
      <t>或</t>
    </r>
    <r>
      <rPr>
        <b/>
        <i/>
        <u/>
        <sz val="10"/>
        <color rgb="FFE3C19A"/>
        <rFont val="微软雅黑"/>
        <family val="2"/>
        <charset val="134"/>
      </rPr>
      <t>破防</t>
    </r>
    <r>
      <rPr>
        <i/>
        <sz val="10"/>
        <color rgb="FF404040"/>
        <rFont val="微软雅黑"/>
        <family val="2"/>
        <charset val="134"/>
      </rPr>
      <t>会</t>
    </r>
    <r>
      <rPr>
        <i/>
        <u/>
        <sz val="10"/>
        <color rgb="FF404040"/>
        <rFont val="微软雅黑"/>
        <family val="2"/>
        <charset val="134"/>
      </rPr>
      <t>消耗</t>
    </r>
    <r>
      <rPr>
        <b/>
        <i/>
        <u/>
        <sz val="10"/>
        <color rgb="FF33C2FF"/>
        <rFont val="微软雅黑"/>
        <family val="2"/>
        <charset val="134"/>
      </rPr>
      <t>源石结晶</t>
    </r>
    <r>
      <rPr>
        <i/>
        <sz val="10"/>
        <color rgb="FF404040"/>
        <rFont val="微软雅黑"/>
        <family val="2"/>
        <charset val="134"/>
      </rPr>
      <t>并额外造成</t>
    </r>
    <r>
      <rPr>
        <b/>
        <i/>
        <sz val="10"/>
        <color rgb="FFE3C19A"/>
        <rFont val="微软雅黑"/>
        <family val="2"/>
        <charset val="134"/>
      </rPr>
      <t>物理伤害</t>
    </r>
    <r>
      <rPr>
        <i/>
        <sz val="10"/>
        <color rgb="FF404040"/>
        <rFont val="微软雅黑"/>
        <family val="2"/>
        <charset val="134"/>
      </rPr>
      <t>。</t>
    </r>
  </si>
  <si>
    <t>16.0s</t>
  </si>
  <si>
    <t>15.0s</t>
  </si>
  <si>
    <t>71%</t>
  </si>
  <si>
    <t>76%</t>
  </si>
  <si>
    <t>86%</t>
  </si>
  <si>
    <t>93%</t>
  </si>
  <si>
    <t>100%</t>
  </si>
  <si>
    <t>击碎结晶伤害倍率</t>
  </si>
  <si>
    <t>178%</t>
  </si>
  <si>
    <t>196%</t>
  </si>
  <si>
    <t>213%</t>
  </si>
  <si>
    <t>231%</t>
  </si>
  <si>
    <t>284%</t>
  </si>
  <si>
    <t>302%</t>
  </si>
  <si>
    <t>342%</t>
  </si>
  <si>
    <t>369%</t>
  </si>
  <si>
    <t>封印时间（秒）</t>
  </si>
  <si>
    <t>4</t>
  </si>
  <si>
    <t>4.5</t>
  </si>
  <si>
    <t>5</t>
  </si>
  <si>
    <t>击碎结晶伤害倍率 (2)</t>
  </si>
  <si>
    <t>封印时间（秒） (2)</t>
  </si>
  <si>
    <t>⚔ 管理员(男) - 技能数据面板</t>
  </si>
  <si>
    <t xml:space="preserve"> ✦ 【普通攻击】毁伤序列 (chr_0002_endminm_NormalAttack)</t>
  </si>
  <si>
    <t xml:space="preserve"> ✦ 【战技】构成序列 (chr_0002_endminm_NormalSkill)</t>
  </si>
  <si>
    <r>
      <rPr>
        <i/>
        <sz val="10"/>
        <color rgb="FF404040"/>
        <rFont val="微软雅黑"/>
        <family val="2"/>
        <charset val="134"/>
      </rPr>
      <t>使用</t>
    </r>
    <r>
      <rPr>
        <b/>
        <i/>
        <sz val="10"/>
        <color rgb="FF33C2FF"/>
        <rFont val="微软雅黑"/>
        <family val="2"/>
        <charset val="134"/>
      </rPr>
      <t>源石结晶</t>
    </r>
    <r>
      <rPr>
        <i/>
        <sz val="10"/>
        <color rgb="FF404040"/>
        <rFont val="微软雅黑"/>
        <family val="2"/>
        <charset val="134"/>
      </rPr>
      <t>冲击前方一定范围内的敌人，造成</t>
    </r>
    <r>
      <rPr>
        <b/>
        <i/>
        <sz val="10"/>
        <color rgb="FFE3C19A"/>
        <rFont val="微软雅黑"/>
        <family val="2"/>
        <charset val="134"/>
      </rPr>
      <t>物理伤害</t>
    </r>
    <r>
      <rPr>
        <i/>
        <sz val="10"/>
        <color rgb="FF404040"/>
        <rFont val="微软雅黑"/>
        <family val="2"/>
        <charset val="134"/>
      </rPr>
      <t>和</t>
    </r>
    <r>
      <rPr>
        <b/>
        <i/>
        <u/>
        <sz val="10"/>
        <color rgb="FFE3C19A"/>
        <rFont val="微软雅黑"/>
        <family val="2"/>
        <charset val="134"/>
      </rPr>
      <t>猛击</t>
    </r>
    <r>
      <rPr>
        <i/>
        <sz val="10"/>
        <color rgb="FF404040"/>
        <rFont val="微软雅黑"/>
        <family val="2"/>
        <charset val="134"/>
      </rPr>
      <t>。</t>
    </r>
  </si>
  <si>
    <t xml:space="preserve"> ✦ 【终结技】轰击序列 (chr_0002_endminm_UltimateSkill)</t>
  </si>
  <si>
    <r>
      <rPr>
        <i/>
        <sz val="10"/>
        <color rgb="FF404040"/>
        <rFont val="微软雅黑"/>
        <family val="2"/>
        <charset val="134"/>
      </rPr>
      <t>使用</t>
    </r>
    <r>
      <rPr>
        <b/>
        <i/>
        <sz val="10"/>
        <color rgb="FF33C2FF"/>
        <rFont val="微软雅黑"/>
        <family val="2"/>
        <charset val="134"/>
      </rPr>
      <t>源石结晶</t>
    </r>
    <r>
      <rPr>
        <i/>
        <sz val="10"/>
        <color rgb="FF404040"/>
        <rFont val="微软雅黑"/>
        <family val="2"/>
        <charset val="134"/>
      </rPr>
      <t>轰击地面，对前方扇形范围内的敌人造成大量</t>
    </r>
    <r>
      <rPr>
        <b/>
        <i/>
        <sz val="10"/>
        <color rgb="FFE3C19A"/>
        <rFont val="微软雅黑"/>
        <family val="2"/>
        <charset val="134"/>
      </rPr>
      <t>物理伤害</t>
    </r>
    <r>
      <rPr>
        <i/>
        <sz val="10"/>
        <color rgb="FF404040"/>
        <rFont val="微软雅黑"/>
        <family val="2"/>
        <charset val="134"/>
      </rPr>
      <t>。如果敌人身上附着</t>
    </r>
    <r>
      <rPr>
        <b/>
        <i/>
        <sz val="10"/>
        <color rgb="FF33C2FF"/>
        <rFont val="微软雅黑"/>
        <family val="2"/>
        <charset val="134"/>
      </rPr>
      <t>源石结晶</t>
    </r>
    <r>
      <rPr>
        <i/>
        <sz val="10"/>
        <color rgb="FF404040"/>
        <rFont val="微软雅黑"/>
        <family val="2"/>
        <charset val="134"/>
      </rPr>
      <t>，则击碎</t>
    </r>
    <r>
      <rPr>
        <b/>
        <i/>
        <sz val="10"/>
        <color rgb="FF33C2FF"/>
        <rFont val="微软雅黑"/>
        <family val="2"/>
        <charset val="134"/>
      </rPr>
      <t>源石结晶</t>
    </r>
    <r>
      <rPr>
        <i/>
        <sz val="10"/>
        <color rgb="FF404040"/>
        <rFont val="微软雅黑"/>
        <family val="2"/>
        <charset val="134"/>
      </rPr>
      <t>并额外造成一次</t>
    </r>
    <r>
      <rPr>
        <b/>
        <i/>
        <sz val="10"/>
        <color rgb="FFE3C19A"/>
        <rFont val="微软雅黑"/>
        <family val="2"/>
        <charset val="134"/>
      </rPr>
      <t>物理伤害</t>
    </r>
    <r>
      <rPr>
        <i/>
        <sz val="10"/>
        <color rgb="FF404040"/>
        <rFont val="微软雅黑"/>
        <family val="2"/>
        <charset val="134"/>
      </rPr>
      <t>。</t>
    </r>
  </si>
  <si>
    <t xml:space="preserve"> ✦ 【连携技】锁闭序列 (chr_0002_endminm_ComboSkill)</t>
  </si>
  <si>
    <r>
      <rPr>
        <i/>
        <sz val="10"/>
        <color rgb="FF404040"/>
        <rFont val="微软雅黑"/>
        <family val="2"/>
        <charset val="134"/>
      </rPr>
      <t>当小队内其他干员的连携技造成伤害时可以发动。冲到敌人身边，对其造成</t>
    </r>
    <r>
      <rPr>
        <b/>
        <i/>
        <sz val="10"/>
        <color rgb="FFE3C19A"/>
        <rFont val="微软雅黑"/>
        <family val="2"/>
        <charset val="134"/>
      </rPr>
      <t>物理伤害</t>
    </r>
    <r>
      <rPr>
        <i/>
        <sz val="10"/>
        <color rgb="FF404040"/>
        <rFont val="微软雅黑"/>
        <family val="2"/>
        <charset val="134"/>
      </rPr>
      <t>，并附着</t>
    </r>
    <r>
      <rPr>
        <b/>
        <i/>
        <sz val="10"/>
        <color rgb="FF33C2FF"/>
        <rFont val="微软雅黑"/>
        <family val="2"/>
        <charset val="134"/>
      </rPr>
      <t>源石结晶</t>
    </r>
    <r>
      <rPr>
        <i/>
        <sz val="10"/>
        <color rgb="FF404040"/>
        <rFont val="微软雅黑"/>
        <family val="2"/>
        <charset val="134"/>
      </rPr>
      <t>，在一段时间内将其封印。施加</t>
    </r>
    <r>
      <rPr>
        <b/>
        <i/>
        <u/>
        <sz val="10"/>
        <color rgb="FFE3C19A"/>
        <rFont val="微软雅黑"/>
        <family val="2"/>
        <charset val="134"/>
      </rPr>
      <t>物理异常</t>
    </r>
    <r>
      <rPr>
        <i/>
        <sz val="10"/>
        <color rgb="FF404040"/>
        <rFont val="微软雅黑"/>
        <family val="2"/>
        <charset val="134"/>
      </rPr>
      <t>和</t>
    </r>
    <r>
      <rPr>
        <b/>
        <i/>
        <u/>
        <sz val="10"/>
        <color rgb="FFE3C19A"/>
        <rFont val="微软雅黑"/>
        <family val="2"/>
        <charset val="134"/>
      </rPr>
      <t>破防</t>
    </r>
    <r>
      <rPr>
        <i/>
        <sz val="10"/>
        <color rgb="FF404040"/>
        <rFont val="微软雅黑"/>
        <family val="2"/>
        <charset val="134"/>
      </rPr>
      <t>会击碎</t>
    </r>
    <r>
      <rPr>
        <b/>
        <i/>
        <sz val="10"/>
        <color rgb="FF33C2FF"/>
        <rFont val="微软雅黑"/>
        <family val="2"/>
        <charset val="134"/>
      </rPr>
      <t>源石结晶</t>
    </r>
    <r>
      <rPr>
        <i/>
        <sz val="10"/>
        <color rgb="FF404040"/>
        <rFont val="微软雅黑"/>
        <family val="2"/>
        <charset val="134"/>
      </rPr>
      <t>并额外造成</t>
    </r>
    <r>
      <rPr>
        <b/>
        <i/>
        <sz val="10"/>
        <color rgb="FFE3C19A"/>
        <rFont val="微软雅黑"/>
        <family val="2"/>
        <charset val="134"/>
      </rPr>
      <t>物理伤害</t>
    </r>
    <r>
      <rPr>
        <i/>
        <sz val="10"/>
        <color rgb="FF404040"/>
        <rFont val="微软雅黑"/>
        <family val="2"/>
        <charset val="134"/>
      </rPr>
      <t>。</t>
    </r>
  </si>
  <si>
    <t>⚔ 管理员(女) - 技能数据面板</t>
  </si>
  <si>
    <t xml:space="preserve"> ✦ 【普通攻击】毁伤序列 (chr_0003_endminf_NormalAttack)</t>
  </si>
  <si>
    <t xml:space="preserve"> ✦ 【战技】构成序列 (chr_0003_endminf_NormalSkill)</t>
  </si>
  <si>
    <t xml:space="preserve"> ✦ 【终结技】轰击序列 (chr_0003_endminf_UltimateSkill)</t>
  </si>
  <si>
    <t xml:space="preserve"> ✦ 【连携技】锁闭序列 (chr_0003_endminf_ComboSkill)</t>
  </si>
  <si>
    <t>⚔ 佩丽卡 - 技能数据面板</t>
  </si>
  <si>
    <t xml:space="preserve"> ✦ 【普通攻击】协议α·突破 (chr_0004_pelica_NormalAttack)</t>
  </si>
  <si>
    <r>
      <rPr>
        <i/>
        <sz val="10"/>
        <color rgb="FF404040"/>
        <rFont val="微软雅黑"/>
        <family val="2"/>
        <charset val="134"/>
      </rPr>
      <t>普通攻击：对敌人进行至多4段攻击，造成</t>
    </r>
    <r>
      <rPr>
        <b/>
        <i/>
        <sz val="10"/>
        <color rgb="FFFFCC00"/>
        <rFont val="微软雅黑"/>
        <family val="2"/>
        <charset val="134"/>
      </rPr>
      <t>电磁伤害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15</t>
    </r>
    <r>
      <rPr>
        <i/>
        <sz val="10"/>
        <color rgb="FF404040"/>
        <rFont val="微软雅黑"/>
        <family val="2"/>
        <charset val="134"/>
      </rPr>
      <t>点失衡。下落攻击：处于空中时使用普通攻击，会下落并攻击附近敌人，造成</t>
    </r>
    <r>
      <rPr>
        <b/>
        <i/>
        <sz val="10"/>
        <color rgb="FFFFCC00"/>
        <rFont val="微软雅黑"/>
        <family val="2"/>
        <charset val="134"/>
      </rPr>
      <t>电磁伤害</t>
    </r>
    <r>
      <rPr>
        <i/>
        <sz val="10"/>
        <color rgb="FF404040"/>
        <rFont val="微软雅黑"/>
        <family val="2"/>
        <charset val="134"/>
      </rPr>
      <t>。处决攻击：附近有敌人处于失衡状态时使用普通攻击，将处决该敌人，造成大量</t>
    </r>
    <r>
      <rPr>
        <b/>
        <i/>
        <sz val="10"/>
        <color rgb="FFFFCC00"/>
        <rFont val="微软雅黑"/>
        <family val="2"/>
        <charset val="134"/>
      </rPr>
      <t>电磁伤害</t>
    </r>
    <r>
      <rPr>
        <i/>
        <sz val="10"/>
        <color rgb="FF404040"/>
        <rFont val="微软雅黑"/>
        <family val="2"/>
        <charset val="134"/>
      </rPr>
      <t>并恢复一定技力。</t>
    </r>
  </si>
  <si>
    <t>28%</t>
  </si>
  <si>
    <t>31%</t>
  </si>
  <si>
    <t>53%</t>
  </si>
  <si>
    <t>57%</t>
  </si>
  <si>
    <t>37%</t>
  </si>
  <si>
    <t>84%</t>
  </si>
  <si>
    <t>73%</t>
  </si>
  <si>
    <t>79%</t>
  </si>
  <si>
    <t>85%</t>
  </si>
  <si>
    <t>102%</t>
  </si>
  <si>
    <t>109%</t>
  </si>
  <si>
    <t>117%</t>
  </si>
  <si>
    <t>127%</t>
  </si>
  <si>
    <t xml:space="preserve"> ✦ 【战技】协议ω·雷击 (chr_0004_pelica_NormalSkill)</t>
  </si>
  <si>
    <r>
      <rPr>
        <i/>
        <sz val="10"/>
        <color rgb="FF404040"/>
        <rFont val="微软雅黑"/>
        <family val="2"/>
        <charset val="134"/>
      </rPr>
      <t>释放一道电磁能量从空中落下，对小范围内敌人造成</t>
    </r>
    <r>
      <rPr>
        <b/>
        <i/>
        <sz val="10"/>
        <color rgb="FFFFCC00"/>
        <rFont val="微软雅黑"/>
        <family val="2"/>
        <charset val="134"/>
      </rPr>
      <t>电磁伤害</t>
    </r>
    <r>
      <rPr>
        <i/>
        <sz val="10"/>
        <color rgb="FF404040"/>
        <rFont val="微软雅黑"/>
        <family val="2"/>
        <charset val="134"/>
      </rPr>
      <t>并施加</t>
    </r>
    <r>
      <rPr>
        <b/>
        <i/>
        <u/>
        <sz val="10"/>
        <color rgb="FFFFCC00"/>
        <rFont val="微软雅黑"/>
        <family val="2"/>
        <charset val="134"/>
      </rPr>
      <t>电磁附着</t>
    </r>
    <r>
      <rPr>
        <i/>
        <sz val="10"/>
        <color rgb="FF404040"/>
        <rFont val="微软雅黑"/>
        <family val="2"/>
        <charset val="134"/>
      </rPr>
      <t>。</t>
    </r>
  </si>
  <si>
    <t>285%</t>
  </si>
  <si>
    <t xml:space="preserve"> ✦ 【终结技】协议ε·70.41κ (chr_0004_pelica_UltimateSkill)</t>
  </si>
  <si>
    <r>
      <rPr>
        <i/>
        <sz val="10"/>
        <color rgb="FF404040"/>
        <rFont val="微软雅黑"/>
        <family val="2"/>
        <charset val="134"/>
      </rPr>
      <t>立即传送一块巨大的轨道漂浮物对目标区域进行毁灭性打击，对区域内的敌人造成大量</t>
    </r>
    <r>
      <rPr>
        <b/>
        <i/>
        <sz val="10"/>
        <color rgb="FFFFCC00"/>
        <rFont val="微软雅黑"/>
        <family val="2"/>
        <charset val="134"/>
      </rPr>
      <t>电磁伤害</t>
    </r>
    <r>
      <rPr>
        <i/>
        <sz val="10"/>
        <color rgb="FF404040"/>
        <rFont val="微软雅黑"/>
        <family val="2"/>
        <charset val="134"/>
      </rPr>
      <t>。</t>
    </r>
  </si>
  <si>
    <t>445%</t>
  </si>
  <si>
    <t>489%</t>
  </si>
  <si>
    <t>534%</t>
  </si>
  <si>
    <t>578%</t>
  </si>
  <si>
    <t>622%</t>
  </si>
  <si>
    <t>667%</t>
  </si>
  <si>
    <t>711%</t>
  </si>
  <si>
    <t>756%</t>
  </si>
  <si>
    <t>856%</t>
  </si>
  <si>
    <t>923%</t>
  </si>
  <si>
    <t>1000%</t>
  </si>
  <si>
    <t>20</t>
  </si>
  <si>
    <t xml:space="preserve"> ✦ 【连携技】即时协议·闪链 (chr_0004_pelica_ComboSkill)</t>
  </si>
  <si>
    <r>
      <rPr>
        <i/>
        <sz val="10"/>
        <color rgb="FF404040"/>
        <rFont val="微软雅黑"/>
        <family val="2"/>
        <charset val="134"/>
      </rPr>
      <t>当主控干员对敌人造成</t>
    </r>
    <r>
      <rPr>
        <i/>
        <u/>
        <sz val="10"/>
        <color rgb="FF404040"/>
        <rFont val="微软雅黑"/>
        <family val="2"/>
        <charset val="134"/>
      </rPr>
      <t>重击</t>
    </r>
    <r>
      <rPr>
        <i/>
        <sz val="10"/>
        <color rgb="FF404040"/>
        <rFont val="微软雅黑"/>
        <family val="2"/>
        <charset val="134"/>
      </rPr>
      <t>后可以发动。释放积蓄的电磁能量轰击目标，造成</t>
    </r>
    <r>
      <rPr>
        <b/>
        <i/>
        <sz val="10"/>
        <color rgb="FFFFCC00"/>
        <rFont val="微软雅黑"/>
        <family val="2"/>
        <charset val="134"/>
      </rPr>
      <t>电磁伤害</t>
    </r>
    <r>
      <rPr>
        <i/>
        <sz val="10"/>
        <color rgb="FF404040"/>
        <rFont val="微软雅黑"/>
        <family val="2"/>
        <charset val="134"/>
      </rPr>
      <t>并强制施加短暂的</t>
    </r>
    <r>
      <rPr>
        <b/>
        <i/>
        <u/>
        <sz val="10"/>
        <color rgb="FFFFCC00"/>
        <rFont val="微软雅黑"/>
        <family val="2"/>
        <charset val="134"/>
      </rPr>
      <t>导电</t>
    </r>
    <r>
      <rPr>
        <i/>
        <sz val="10"/>
        <color rgb="FF404040"/>
        <rFont val="微软雅黑"/>
        <family val="2"/>
        <charset val="134"/>
      </rPr>
      <t>。</t>
    </r>
  </si>
  <si>
    <t>20.0s</t>
  </si>
  <si>
    <t>19.0s</t>
  </si>
  <si>
    <t>导电时长（秒）</t>
  </si>
  <si>
    <t>⚔ 陈千语 - 技能数据面板</t>
  </si>
  <si>
    <t xml:space="preserve"> ✦ 【普通攻击】破飞霞 (chr_0005_chen_NormalAttack)</t>
  </si>
  <si>
    <r>
      <rPr>
        <i/>
        <sz val="10"/>
        <color rgb="FF404040"/>
        <rFont val="微软雅黑"/>
        <family val="2"/>
        <charset val="134"/>
      </rPr>
      <t>普通攻击：对敌人进行至多5段攻击，造成</t>
    </r>
    <r>
      <rPr>
        <b/>
        <i/>
        <sz val="10"/>
        <color rgb="FFE3C19A"/>
        <rFont val="微软雅黑"/>
        <family val="2"/>
        <charset val="134"/>
      </rPr>
      <t>物理伤害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16</t>
    </r>
    <r>
      <rPr>
        <i/>
        <sz val="10"/>
        <color rgb="FF404040"/>
        <rFont val="微软雅黑"/>
        <family val="2"/>
        <charset val="134"/>
      </rPr>
      <t>点失衡。下落攻击：处于空中时使用普通攻击，会下落并攻击附近敌人，造成</t>
    </r>
    <r>
      <rPr>
        <b/>
        <i/>
        <sz val="10"/>
        <color rgb="FFE3C19A"/>
        <rFont val="微软雅黑"/>
        <family val="2"/>
        <charset val="134"/>
      </rPr>
      <t>物理伤害</t>
    </r>
    <r>
      <rPr>
        <i/>
        <sz val="10"/>
        <color rgb="FF404040"/>
        <rFont val="微软雅黑"/>
        <family val="2"/>
        <charset val="134"/>
      </rPr>
      <t>。处决攻击：附近有敌人处于失衡状态时使用普通攻击，将处决该敌人，造成大量</t>
    </r>
    <r>
      <rPr>
        <b/>
        <i/>
        <sz val="10"/>
        <color rgb="FFE3C19A"/>
        <rFont val="微软雅黑"/>
        <family val="2"/>
        <charset val="134"/>
      </rPr>
      <t>物理伤害</t>
    </r>
    <r>
      <rPr>
        <i/>
        <sz val="10"/>
        <color rgb="FF404040"/>
        <rFont val="微软雅黑"/>
        <family val="2"/>
        <charset val="134"/>
      </rPr>
      <t>并恢复一定技力。</t>
    </r>
  </si>
  <si>
    <t>20%</t>
  </si>
  <si>
    <t>22%</t>
  </si>
  <si>
    <t>24%</t>
  </si>
  <si>
    <t>26%</t>
  </si>
  <si>
    <t>50%</t>
  </si>
  <si>
    <t xml:space="preserve"> ✦ 【战技】归穹宇 (chr_0005_chen_NormalSkill)</t>
  </si>
  <si>
    <r>
      <rPr>
        <i/>
        <sz val="10"/>
        <color rgb="FF404040"/>
        <rFont val="微软雅黑"/>
        <family val="2"/>
        <charset val="134"/>
      </rPr>
      <t>对目标敌人进行上挑攻击，造成</t>
    </r>
    <r>
      <rPr>
        <b/>
        <i/>
        <sz val="10"/>
        <color rgb="FFE3C19A"/>
        <rFont val="微软雅黑"/>
        <family val="2"/>
        <charset val="134"/>
      </rPr>
      <t>物理伤害</t>
    </r>
    <r>
      <rPr>
        <i/>
        <sz val="10"/>
        <color rgb="FF404040"/>
        <rFont val="微软雅黑"/>
        <family val="2"/>
        <charset val="134"/>
      </rPr>
      <t>和</t>
    </r>
    <r>
      <rPr>
        <b/>
        <i/>
        <u/>
        <sz val="10"/>
        <color rgb="FFE3C19A"/>
        <rFont val="微软雅黑"/>
        <family val="2"/>
        <charset val="134"/>
      </rPr>
      <t>击飞</t>
    </r>
    <r>
      <rPr>
        <i/>
        <sz val="10"/>
        <color rgb="FF404040"/>
        <rFont val="微软雅黑"/>
        <family val="2"/>
        <charset val="134"/>
      </rPr>
      <t>。</t>
    </r>
  </si>
  <si>
    <t>169%</t>
  </si>
  <si>
    <t>186%</t>
  </si>
  <si>
    <t>203%</t>
  </si>
  <si>
    <t>219%</t>
  </si>
  <si>
    <t>236%</t>
  </si>
  <si>
    <t>253%</t>
  </si>
  <si>
    <t>270%</t>
  </si>
  <si>
    <t>287%</t>
  </si>
  <si>
    <t>304%</t>
  </si>
  <si>
    <t>325%</t>
  </si>
  <si>
    <t>380%</t>
  </si>
  <si>
    <t>浮空时间（秒）</t>
  </si>
  <si>
    <t>1</t>
  </si>
  <si>
    <t>2</t>
  </si>
  <si>
    <t>2.5</t>
  </si>
  <si>
    <t xml:space="preserve"> ✦ 【终结技】冽风霜 (chr_0005_chen_UltimateSkill)</t>
  </si>
  <si>
    <r>
      <rPr>
        <i/>
        <sz val="10"/>
        <color rgb="FF404040"/>
        <rFont val="微软雅黑"/>
        <family val="2"/>
        <charset val="134"/>
      </rPr>
      <t>对目标敌人进行7段斩击，每次造成</t>
    </r>
    <r>
      <rPr>
        <b/>
        <i/>
        <sz val="10"/>
        <color rgb="FFE3C19A"/>
        <rFont val="微软雅黑"/>
        <family val="2"/>
        <charset val="134"/>
      </rPr>
      <t>物理伤害</t>
    </r>
    <r>
      <rPr>
        <i/>
        <sz val="10"/>
        <color rgb="FF404040"/>
        <rFont val="微软雅黑"/>
        <family val="2"/>
        <charset val="134"/>
      </rPr>
      <t>。最后一段斩击造成的伤害更高。</t>
    </r>
  </si>
  <si>
    <t>70</t>
  </si>
  <si>
    <t>斩击伤害倍率</t>
  </si>
  <si>
    <t>65%</t>
  </si>
  <si>
    <t>69%</t>
  </si>
  <si>
    <t>75%</t>
  </si>
  <si>
    <t>81%</t>
  </si>
  <si>
    <t>第一击失衡值</t>
  </si>
  <si>
    <t>15</t>
  </si>
  <si>
    <t>终结一击伤害倍率</t>
  </si>
  <si>
    <t>455%</t>
  </si>
  <si>
    <t>500%</t>
  </si>
  <si>
    <t>545%</t>
  </si>
  <si>
    <t>591%</t>
  </si>
  <si>
    <t>636%</t>
  </si>
  <si>
    <t>682%</t>
  </si>
  <si>
    <t>727%</t>
  </si>
  <si>
    <t>773%</t>
  </si>
  <si>
    <t>818%</t>
  </si>
  <si>
    <t>875%</t>
  </si>
  <si>
    <t>943%</t>
  </si>
  <si>
    <t>1023%</t>
  </si>
  <si>
    <t>终结一击失衡值</t>
  </si>
  <si>
    <t xml:space="preserve"> ✦ 【连携技】见天河 (chr_0005_chen_ComboSkill)</t>
  </si>
  <si>
    <r>
      <rPr>
        <i/>
        <sz val="10"/>
        <color rgb="FF404040"/>
        <rFont val="微软雅黑"/>
        <family val="2"/>
        <charset val="134"/>
      </rPr>
      <t>当有敌人进入</t>
    </r>
    <r>
      <rPr>
        <b/>
        <i/>
        <u/>
        <sz val="10"/>
        <color rgb="FFE3C19A"/>
        <rFont val="微软雅黑"/>
        <family val="2"/>
        <charset val="134"/>
      </rPr>
      <t>破防</t>
    </r>
    <r>
      <rPr>
        <i/>
        <sz val="10"/>
        <color rgb="FF404040"/>
        <rFont val="微软雅黑"/>
        <family val="2"/>
        <charset val="134"/>
      </rPr>
      <t>状态时可以发动。进行穿梭斩击，对路径上的所有敌人造成</t>
    </r>
    <r>
      <rPr>
        <b/>
        <i/>
        <sz val="10"/>
        <color rgb="FFE3C19A"/>
        <rFont val="微软雅黑"/>
        <family val="2"/>
        <charset val="134"/>
      </rPr>
      <t>物理伤害</t>
    </r>
    <r>
      <rPr>
        <i/>
        <sz val="10"/>
        <color rgb="FF404040"/>
        <rFont val="微软雅黑"/>
        <family val="2"/>
        <charset val="134"/>
      </rPr>
      <t>和</t>
    </r>
    <r>
      <rPr>
        <b/>
        <i/>
        <u/>
        <sz val="10"/>
        <color rgb="FFE3C19A"/>
        <rFont val="微软雅黑"/>
        <family val="2"/>
        <charset val="134"/>
      </rPr>
      <t>击飞</t>
    </r>
    <r>
      <rPr>
        <i/>
        <sz val="10"/>
        <color rgb="FF404040"/>
        <rFont val="微软雅黑"/>
        <family val="2"/>
        <charset val="134"/>
      </rPr>
      <t>。</t>
    </r>
  </si>
  <si>
    <t>132%</t>
  </si>
  <si>
    <t>168%</t>
  </si>
  <si>
    <t>192%</t>
  </si>
  <si>
    <t>204%</t>
  </si>
  <si>
    <t>216%</t>
  </si>
  <si>
    <t>⚔ 狼卫 - 技能数据面板</t>
  </si>
  <si>
    <t xml:space="preserve"> ✦ 【普通攻击】多重连射 (chr_0006_wolfgd_NormalAttack)</t>
  </si>
  <si>
    <r>
      <rPr>
        <i/>
        <sz val="10"/>
        <color rgb="FF404040"/>
        <rFont val="微软雅黑"/>
        <family val="2"/>
        <charset val="134"/>
      </rPr>
      <t>普通攻击：对敌人进行至多4段攻击，造成</t>
    </r>
    <r>
      <rPr>
        <b/>
        <i/>
        <sz val="10"/>
        <color rgb="FFFF8E59"/>
        <rFont val="微软雅黑"/>
        <family val="2"/>
        <charset val="134"/>
      </rPr>
      <t>灼热伤害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18</t>
    </r>
    <r>
      <rPr>
        <i/>
        <sz val="10"/>
        <color rgb="FF404040"/>
        <rFont val="微软雅黑"/>
        <family val="2"/>
        <charset val="134"/>
      </rPr>
      <t>点失衡。下落攻击：处于空中时使用普通攻击，会下落并攻击附近敌人，造成</t>
    </r>
    <r>
      <rPr>
        <b/>
        <i/>
        <sz val="10"/>
        <color rgb="FFFF8E59"/>
        <rFont val="微软雅黑"/>
        <family val="2"/>
        <charset val="134"/>
      </rPr>
      <t>灼热伤害</t>
    </r>
    <r>
      <rPr>
        <i/>
        <sz val="10"/>
        <color rgb="FF404040"/>
        <rFont val="微软雅黑"/>
        <family val="2"/>
        <charset val="134"/>
      </rPr>
      <t>。处决攻击：附近有敌人处于失衡状态时使用普通攻击，将处决该敌人，造成大量</t>
    </r>
    <r>
      <rPr>
        <b/>
        <i/>
        <sz val="10"/>
        <color rgb="FFFF8E59"/>
        <rFont val="微软雅黑"/>
        <family val="2"/>
        <charset val="134"/>
      </rPr>
      <t>灼热伤害</t>
    </r>
    <r>
      <rPr>
        <i/>
        <sz val="10"/>
        <color rgb="FF404040"/>
        <rFont val="微软雅黑"/>
        <family val="2"/>
        <charset val="134"/>
      </rPr>
      <t>并恢复一定技力。</t>
    </r>
  </si>
  <si>
    <t>89%</t>
  </si>
  <si>
    <t>94%</t>
  </si>
  <si>
    <t>107%</t>
  </si>
  <si>
    <t>115%</t>
  </si>
  <si>
    <t>125%</t>
  </si>
  <si>
    <t>74%</t>
  </si>
  <si>
    <t>95%</t>
  </si>
  <si>
    <t>101%</t>
  </si>
  <si>
    <t>108%</t>
  </si>
  <si>
    <t>122%</t>
  </si>
  <si>
    <t>130%</t>
  </si>
  <si>
    <t>140%</t>
  </si>
  <si>
    <t>152%</t>
  </si>
  <si>
    <t xml:space="preserve"> ✦ 【战技】灼热弹痕 (chr_0006_wolfgd_NormalSkill)</t>
  </si>
  <si>
    <r>
      <rPr>
        <i/>
        <sz val="10"/>
        <color rgb="FF404040"/>
        <rFont val="微软雅黑"/>
        <family val="2"/>
        <charset val="134"/>
      </rPr>
      <t>对目标进行连射，造成少量</t>
    </r>
    <r>
      <rPr>
        <b/>
        <i/>
        <sz val="10"/>
        <color rgb="FFFF8E59"/>
        <rFont val="微软雅黑"/>
        <family val="2"/>
        <charset val="134"/>
      </rPr>
      <t>灼热伤害</t>
    </r>
    <r>
      <rPr>
        <i/>
        <sz val="10"/>
        <color rgb="FF404040"/>
        <rFont val="微软雅黑"/>
        <family val="2"/>
        <charset val="134"/>
      </rPr>
      <t>，最后一次射击施加</t>
    </r>
    <r>
      <rPr>
        <b/>
        <i/>
        <u/>
        <sz val="10"/>
        <color rgb="FFFF8E59"/>
        <rFont val="微软雅黑"/>
        <family val="2"/>
        <charset val="134"/>
      </rPr>
      <t>灼热附着</t>
    </r>
    <r>
      <rPr>
        <i/>
        <sz val="10"/>
        <color rgb="FF404040"/>
        <rFont val="微软雅黑"/>
        <family val="2"/>
        <charset val="134"/>
      </rPr>
      <t>。如果目标处于</t>
    </r>
    <r>
      <rPr>
        <b/>
        <i/>
        <u/>
        <sz val="10"/>
        <color rgb="FFFF8E59"/>
        <rFont val="微软雅黑"/>
        <family val="2"/>
        <charset val="134"/>
      </rPr>
      <t>燃烧</t>
    </r>
    <r>
      <rPr>
        <i/>
        <sz val="10"/>
        <color rgb="FF404040"/>
        <rFont val="微软雅黑"/>
        <family val="2"/>
        <charset val="134"/>
      </rPr>
      <t>或</t>
    </r>
    <r>
      <rPr>
        <b/>
        <i/>
        <u/>
        <sz val="10"/>
        <color rgb="FFFFCC00"/>
        <rFont val="微软雅黑"/>
        <family val="2"/>
        <charset val="134"/>
      </rPr>
      <t>导电</t>
    </r>
    <r>
      <rPr>
        <i/>
        <sz val="10"/>
        <color rgb="FF404040"/>
        <rFont val="微软雅黑"/>
        <family val="2"/>
        <charset val="134"/>
      </rPr>
      <t>状态，则不再施加</t>
    </r>
    <r>
      <rPr>
        <b/>
        <i/>
        <u/>
        <sz val="10"/>
        <color rgb="FFFF8E59"/>
        <rFont val="微软雅黑"/>
        <family val="2"/>
        <charset val="134"/>
      </rPr>
      <t>灼热附着</t>
    </r>
    <r>
      <rPr>
        <i/>
        <sz val="10"/>
        <color rgb="FF404040"/>
        <rFont val="微软雅黑"/>
        <family val="2"/>
        <charset val="134"/>
      </rPr>
      <t>，而是</t>
    </r>
    <r>
      <rPr>
        <i/>
        <u/>
        <sz val="10"/>
        <color rgb="FF404040"/>
        <rFont val="微软雅黑"/>
        <family val="2"/>
        <charset val="134"/>
      </rPr>
      <t>消耗</t>
    </r>
    <r>
      <rPr>
        <i/>
        <sz val="10"/>
        <color rgb="FF404040"/>
        <rFont val="微软雅黑"/>
        <family val="2"/>
        <charset val="134"/>
      </rPr>
      <t>该状态并追加一次射击，造成大量</t>
    </r>
    <r>
      <rPr>
        <b/>
        <i/>
        <sz val="10"/>
        <color rgb="FFFF8E59"/>
        <rFont val="微软雅黑"/>
        <family val="2"/>
        <charset val="134"/>
      </rPr>
      <t>灼热伤害</t>
    </r>
    <r>
      <rPr>
        <i/>
        <sz val="10"/>
        <color rgb="FF404040"/>
        <rFont val="微软雅黑"/>
        <family val="2"/>
        <charset val="134"/>
      </rPr>
      <t>。</t>
    </r>
  </si>
  <si>
    <t>133%</t>
  </si>
  <si>
    <t>143%</t>
  </si>
  <si>
    <t>153%</t>
  </si>
  <si>
    <t>163%</t>
  </si>
  <si>
    <t>174%</t>
  </si>
  <si>
    <t>184%</t>
  </si>
  <si>
    <t>212%</t>
  </si>
  <si>
    <t>230%</t>
  </si>
  <si>
    <t>追加伤害倍率</t>
  </si>
  <si>
    <t>378%</t>
  </si>
  <si>
    <t>415%</t>
  </si>
  <si>
    <t>453%</t>
  </si>
  <si>
    <t>491%</t>
  </si>
  <si>
    <t>529%</t>
  </si>
  <si>
    <t>566%</t>
  </si>
  <si>
    <t>642%</t>
  </si>
  <si>
    <t>784%</t>
  </si>
  <si>
    <t>850%</t>
  </si>
  <si>
    <t>追加失衡值</t>
  </si>
  <si>
    <t xml:space="preserve"> ✦ 【终结技】狼之怒 (chr_0006_wolfgd_UltimateSkill)</t>
  </si>
  <si>
    <r>
      <rPr>
        <i/>
        <sz val="10"/>
        <color rgb="FF404040"/>
        <rFont val="微软雅黑"/>
        <family val="2"/>
        <charset val="134"/>
      </rPr>
      <t>进行快速射击并施放</t>
    </r>
    <r>
      <rPr>
        <b/>
        <i/>
        <sz val="10"/>
        <color rgb="FF33C2FF"/>
        <rFont val="微软雅黑"/>
        <family val="2"/>
        <charset val="134"/>
      </rPr>
      <t>狼之怒</t>
    </r>
    <r>
      <rPr>
        <i/>
        <sz val="10"/>
        <color rgb="FF404040"/>
        <rFont val="微软雅黑"/>
        <family val="2"/>
        <charset val="134"/>
      </rPr>
      <t>攻击附近敌人，造成5次</t>
    </r>
    <r>
      <rPr>
        <b/>
        <i/>
        <sz val="10"/>
        <color rgb="FFFF8E59"/>
        <rFont val="微软雅黑"/>
        <family val="2"/>
        <charset val="134"/>
      </rPr>
      <t>灼热伤害</t>
    </r>
    <r>
      <rPr>
        <i/>
        <sz val="10"/>
        <color rgb="FF404040"/>
        <rFont val="微软雅黑"/>
        <family val="2"/>
        <charset val="134"/>
      </rPr>
      <t>并强制施加</t>
    </r>
    <r>
      <rPr>
        <b/>
        <i/>
        <u/>
        <sz val="10"/>
        <color rgb="FFFF8E59"/>
        <rFont val="微软雅黑"/>
        <family val="2"/>
        <charset val="134"/>
      </rPr>
      <t>燃烧</t>
    </r>
    <r>
      <rPr>
        <i/>
        <sz val="10"/>
        <color rgb="FF404040"/>
        <rFont val="微软雅黑"/>
        <family val="2"/>
        <charset val="134"/>
      </rPr>
      <t>。</t>
    </r>
  </si>
  <si>
    <t>90</t>
  </si>
  <si>
    <t>每段伤害倍率</t>
  </si>
  <si>
    <t>66%</t>
  </si>
  <si>
    <t xml:space="preserve"> ✦ 【连携技】爆裂手雷·β型 (chr_0006_wolfgd_ComboSkill)</t>
  </si>
  <si>
    <r>
      <rPr>
        <i/>
        <sz val="10"/>
        <color rgb="FF404040"/>
        <rFont val="微软雅黑"/>
        <family val="2"/>
        <charset val="134"/>
      </rPr>
      <t>当有敌人被施加</t>
    </r>
    <r>
      <rPr>
        <b/>
        <i/>
        <u/>
        <sz val="10"/>
        <color rgb="FF33C2FF"/>
        <rFont val="微软雅黑"/>
        <family val="2"/>
        <charset val="134"/>
      </rPr>
      <t>法术附着</t>
    </r>
    <r>
      <rPr>
        <i/>
        <sz val="10"/>
        <color rgb="FF404040"/>
        <rFont val="微软雅黑"/>
        <family val="2"/>
        <charset val="134"/>
      </rPr>
      <t>时可以发动。向目标所在位置扔出一颗爆裂手雷，手雷落地后爆炸，对附近范围的敌人造成</t>
    </r>
    <r>
      <rPr>
        <b/>
        <i/>
        <sz val="10"/>
        <color rgb="FFFF8E59"/>
        <rFont val="微软雅黑"/>
        <family val="2"/>
        <charset val="134"/>
      </rPr>
      <t>灼热伤害</t>
    </r>
    <r>
      <rPr>
        <i/>
        <sz val="10"/>
        <color rgb="FF404040"/>
        <rFont val="微软雅黑"/>
        <family val="2"/>
        <charset val="134"/>
      </rPr>
      <t>并施加</t>
    </r>
    <r>
      <rPr>
        <b/>
        <i/>
        <u/>
        <sz val="10"/>
        <color rgb="FFFF8E59"/>
        <rFont val="微软雅黑"/>
        <family val="2"/>
        <charset val="134"/>
      </rPr>
      <t>灼热附着</t>
    </r>
    <r>
      <rPr>
        <i/>
        <sz val="10"/>
        <color rgb="FF404040"/>
        <rFont val="微软雅黑"/>
        <family val="2"/>
        <charset val="134"/>
      </rPr>
      <t>。</t>
    </r>
  </si>
  <si>
    <t>116%</t>
  </si>
  <si>
    <t>135%</t>
  </si>
  <si>
    <t>⚔ 弧光 - 技能数据面板</t>
  </si>
  <si>
    <t xml:space="preserve"> ✦ 【普通攻击】循迹逐猎 (chr_0007_ikut_NormalAttack)</t>
  </si>
  <si>
    <t>10%</t>
  </si>
  <si>
    <t>11%</t>
  </si>
  <si>
    <t>12%</t>
  </si>
  <si>
    <t>13%</t>
  </si>
  <si>
    <t>14%</t>
  </si>
  <si>
    <t>15%</t>
  </si>
  <si>
    <t>16%</t>
  </si>
  <si>
    <t>17%</t>
  </si>
  <si>
    <t>18%</t>
  </si>
  <si>
    <t>19%</t>
  </si>
  <si>
    <t>21%</t>
  </si>
  <si>
    <t>91%</t>
  </si>
  <si>
    <t>99%</t>
  </si>
  <si>
    <t xml:space="preserve"> ✦ 【战技】疾风迅雷 (chr_0007_ikut_NormalSkill)</t>
  </si>
  <si>
    <r>
      <rPr>
        <i/>
        <sz val="10"/>
        <color rgb="FF404040"/>
        <rFont val="微软雅黑"/>
        <family val="2"/>
        <charset val="134"/>
      </rPr>
      <t>瞬闪至敌人身边进行2次斩击，造成少量</t>
    </r>
    <r>
      <rPr>
        <b/>
        <i/>
        <sz val="10"/>
        <color rgb="FFE3C19A"/>
        <rFont val="微软雅黑"/>
        <family val="2"/>
        <charset val="134"/>
      </rPr>
      <t>物理伤害</t>
    </r>
    <r>
      <rPr>
        <i/>
        <sz val="10"/>
        <color rgb="FF404040"/>
        <rFont val="微软雅黑"/>
        <family val="2"/>
        <charset val="134"/>
      </rPr>
      <t>。若敌人处于</t>
    </r>
    <r>
      <rPr>
        <b/>
        <i/>
        <u/>
        <sz val="10"/>
        <color rgb="FFFFCC00"/>
        <rFont val="微软雅黑"/>
        <family val="2"/>
        <charset val="134"/>
      </rPr>
      <t>导电</t>
    </r>
    <r>
      <rPr>
        <i/>
        <sz val="10"/>
        <color rgb="FF404040"/>
        <rFont val="微软雅黑"/>
        <family val="2"/>
        <charset val="134"/>
      </rPr>
      <t>状态，</t>
    </r>
    <r>
      <rPr>
        <i/>
        <u/>
        <sz val="10"/>
        <color rgb="FF404040"/>
        <rFont val="微软雅黑"/>
        <family val="2"/>
        <charset val="134"/>
      </rPr>
      <t>消耗</t>
    </r>
    <r>
      <rPr>
        <i/>
        <sz val="10"/>
        <color rgb="FF404040"/>
        <rFont val="微软雅黑"/>
        <family val="2"/>
        <charset val="134"/>
      </rPr>
      <t>其</t>
    </r>
    <r>
      <rPr>
        <b/>
        <i/>
        <u/>
        <sz val="10"/>
        <color rgb="FFFFCC00"/>
        <rFont val="微软雅黑"/>
        <family val="2"/>
        <charset val="134"/>
      </rPr>
      <t>导电</t>
    </r>
    <r>
      <rPr>
        <i/>
        <sz val="10"/>
        <color rgb="FF404040"/>
        <rFont val="微软雅黑"/>
        <family val="2"/>
        <charset val="134"/>
      </rPr>
      <t>状态并追加一次攻击，造成</t>
    </r>
    <r>
      <rPr>
        <b/>
        <i/>
        <sz val="10"/>
        <color rgb="FFFFCC00"/>
        <rFont val="微软雅黑"/>
        <family val="2"/>
        <charset val="134"/>
      </rPr>
      <t>电磁伤害</t>
    </r>
    <r>
      <rPr>
        <i/>
        <sz val="10"/>
        <color rgb="FF404040"/>
        <rFont val="微软雅黑"/>
        <family val="2"/>
        <charset val="134"/>
      </rPr>
      <t>，然后恢复一定技力。</t>
    </r>
  </si>
  <si>
    <t>第一段伤害倍率</t>
  </si>
  <si>
    <t>87%</t>
  </si>
  <si>
    <t>第二段伤害倍率</t>
  </si>
  <si>
    <t>第二段失衡值</t>
  </si>
  <si>
    <t>198%</t>
  </si>
  <si>
    <t>252%</t>
  </si>
  <si>
    <t>288%</t>
  </si>
  <si>
    <t>306%</t>
  </si>
  <si>
    <t>324%</t>
  </si>
  <si>
    <t>405%</t>
  </si>
  <si>
    <t>恢复技力</t>
  </si>
  <si>
    <t>30</t>
  </si>
  <si>
    <t>35</t>
  </si>
  <si>
    <t>40</t>
  </si>
  <si>
    <t xml:space="preserve"> ✦ 【终结技】轰雷掣电 (chr_0007_ikut_UltimateSkill)</t>
  </si>
  <si>
    <r>
      <rPr>
        <i/>
        <sz val="10"/>
        <color rgb="FF404040"/>
        <rFont val="微软雅黑"/>
        <family val="2"/>
        <charset val="134"/>
      </rPr>
      <t>用电弧包裹自身后向前方冲刺一段距离，对路径上的敌人造成</t>
    </r>
    <r>
      <rPr>
        <b/>
        <i/>
        <sz val="10"/>
        <color rgb="FFFFCC00"/>
        <rFont val="微软雅黑"/>
        <family val="2"/>
        <charset val="134"/>
      </rPr>
      <t>电磁伤害</t>
    </r>
    <r>
      <rPr>
        <i/>
        <sz val="10"/>
        <color rgb="FF404040"/>
        <rFont val="微软雅黑"/>
        <family val="2"/>
        <charset val="134"/>
      </rPr>
      <t>并施加</t>
    </r>
    <r>
      <rPr>
        <b/>
        <i/>
        <u/>
        <sz val="10"/>
        <color rgb="FFFFCC00"/>
        <rFont val="微软雅黑"/>
        <family val="2"/>
        <charset val="134"/>
      </rPr>
      <t>电磁附着</t>
    </r>
    <r>
      <rPr>
        <i/>
        <sz val="10"/>
        <color rgb="FF404040"/>
        <rFont val="微软雅黑"/>
        <family val="2"/>
        <charset val="134"/>
      </rPr>
      <t>。一段时间后，引爆留下的电弧，再次造成</t>
    </r>
    <r>
      <rPr>
        <b/>
        <i/>
        <sz val="10"/>
        <color rgb="FFFFCC00"/>
        <rFont val="微软雅黑"/>
        <family val="2"/>
        <charset val="134"/>
      </rPr>
      <t>电磁伤害</t>
    </r>
    <r>
      <rPr>
        <i/>
        <sz val="10"/>
        <color rgb="FF404040"/>
        <rFont val="微软雅黑"/>
        <family val="2"/>
        <charset val="134"/>
      </rPr>
      <t>，若敌人处于</t>
    </r>
    <r>
      <rPr>
        <b/>
        <i/>
        <u/>
        <sz val="10"/>
        <color rgb="FFFFCC00"/>
        <rFont val="微软雅黑"/>
        <family val="2"/>
        <charset val="134"/>
      </rPr>
      <t>电磁附着</t>
    </r>
    <r>
      <rPr>
        <i/>
        <sz val="10"/>
        <color rgb="FF404040"/>
        <rFont val="微软雅黑"/>
        <family val="2"/>
        <charset val="134"/>
      </rPr>
      <t>状态，则会</t>
    </r>
    <r>
      <rPr>
        <i/>
        <u/>
        <sz val="10"/>
        <color rgb="FF404040"/>
        <rFont val="微软雅黑"/>
        <family val="2"/>
        <charset val="134"/>
      </rPr>
      <t>消耗</t>
    </r>
    <r>
      <rPr>
        <i/>
        <sz val="10"/>
        <color rgb="FF404040"/>
        <rFont val="微软雅黑"/>
        <family val="2"/>
        <charset val="134"/>
      </rPr>
      <t>其</t>
    </r>
    <r>
      <rPr>
        <b/>
        <i/>
        <u/>
        <sz val="10"/>
        <color rgb="FFFFCC00"/>
        <rFont val="微软雅黑"/>
        <family val="2"/>
        <charset val="134"/>
      </rPr>
      <t>电磁附着</t>
    </r>
    <r>
      <rPr>
        <i/>
        <sz val="10"/>
        <color rgb="FF404040"/>
        <rFont val="微软雅黑"/>
        <family val="2"/>
        <charset val="134"/>
      </rPr>
      <t>并强制施加</t>
    </r>
    <r>
      <rPr>
        <b/>
        <i/>
        <u/>
        <sz val="10"/>
        <color rgb="FFFFCC00"/>
        <rFont val="微软雅黑"/>
        <family val="2"/>
        <charset val="134"/>
      </rPr>
      <t>导电</t>
    </r>
    <r>
      <rPr>
        <i/>
        <sz val="10"/>
        <color rgb="FF404040"/>
        <rFont val="微软雅黑"/>
        <family val="2"/>
        <charset val="134"/>
      </rPr>
      <t>。</t>
    </r>
  </si>
  <si>
    <t>第一段失衡值</t>
  </si>
  <si>
    <t>7</t>
  </si>
  <si>
    <t>244%</t>
  </si>
  <si>
    <t>269%</t>
  </si>
  <si>
    <t>293%</t>
  </si>
  <si>
    <t>318%</t>
  </si>
  <si>
    <t>367%</t>
  </si>
  <si>
    <t>470%</t>
  </si>
  <si>
    <t>507%</t>
  </si>
  <si>
    <t>550%</t>
  </si>
  <si>
    <t xml:space="preserve"> ✦ 【连携技】鸣雷 (chr_0007_ikut_ComboSkill)</t>
  </si>
  <si>
    <r>
      <rPr>
        <i/>
        <sz val="10"/>
        <color rgb="FF404040"/>
        <rFont val="微软雅黑"/>
        <family val="2"/>
        <charset val="134"/>
      </rPr>
      <t>当有敌人进入</t>
    </r>
    <r>
      <rPr>
        <b/>
        <i/>
        <u/>
        <sz val="10"/>
        <color rgb="FFFFCC00"/>
        <rFont val="微软雅黑"/>
        <family val="2"/>
        <charset val="134"/>
      </rPr>
      <t>导电</t>
    </r>
    <r>
      <rPr>
        <i/>
        <sz val="10"/>
        <color rgb="FF404040"/>
        <rFont val="微软雅黑"/>
        <family val="2"/>
        <charset val="134"/>
      </rPr>
      <t>状态或</t>
    </r>
    <r>
      <rPr>
        <b/>
        <i/>
        <u/>
        <sz val="10"/>
        <color rgb="FFFFCC00"/>
        <rFont val="微软雅黑"/>
        <family val="2"/>
        <charset val="134"/>
      </rPr>
      <t>导电</t>
    </r>
    <r>
      <rPr>
        <i/>
        <sz val="10"/>
        <color rgb="FF404040"/>
        <rFont val="微软雅黑"/>
        <family val="2"/>
        <charset val="134"/>
      </rPr>
      <t>状态被</t>
    </r>
    <r>
      <rPr>
        <i/>
        <u/>
        <sz val="10"/>
        <color rgb="FF404040"/>
        <rFont val="微软雅黑"/>
        <family val="2"/>
        <charset val="134"/>
      </rPr>
      <t>消耗</t>
    </r>
    <r>
      <rPr>
        <i/>
        <sz val="10"/>
        <color rgb="FF404040"/>
        <rFont val="微软雅黑"/>
        <family val="2"/>
        <charset val="134"/>
      </rPr>
      <t>后可以发动。瞬闪至敌人身边进行多次斩击，造成</t>
    </r>
    <r>
      <rPr>
        <b/>
        <i/>
        <sz val="10"/>
        <color rgb="FFE3C19A"/>
        <rFont val="微软雅黑"/>
        <family val="2"/>
        <charset val="134"/>
      </rPr>
      <t>物理伤害</t>
    </r>
    <r>
      <rPr>
        <i/>
        <sz val="10"/>
        <color rgb="FF404040"/>
        <rFont val="微软雅黑"/>
        <family val="2"/>
        <charset val="134"/>
      </rPr>
      <t>，并恢复一定技力。</t>
    </r>
  </si>
  <si>
    <t>3.0s</t>
  </si>
  <si>
    <t>155%</t>
  </si>
  <si>
    <t>233%</t>
  </si>
  <si>
    <t>264%</t>
  </si>
  <si>
    <t>299%</t>
  </si>
  <si>
    <t>322%</t>
  </si>
  <si>
    <t>8</t>
  </si>
  <si>
    <t>9</t>
  </si>
  <si>
    <t>⚔ 余烬 - 技能数据面板</t>
  </si>
  <si>
    <t xml:space="preserve"> ✦ 【普通攻击】陷阵剑术 (chr_0009_azrila_NormalAttack)</t>
  </si>
  <si>
    <r>
      <rPr>
        <i/>
        <sz val="10"/>
        <color rgb="FF404040"/>
        <rFont val="微软雅黑"/>
        <family val="2"/>
        <charset val="134"/>
      </rPr>
      <t>普通攻击：对敌人进行至多4段攻击，造成</t>
    </r>
    <r>
      <rPr>
        <b/>
        <i/>
        <sz val="10"/>
        <color rgb="FFE3C19A"/>
        <rFont val="微软雅黑"/>
        <family val="2"/>
        <charset val="134"/>
      </rPr>
      <t>物理伤害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25</t>
    </r>
    <r>
      <rPr>
        <i/>
        <sz val="10"/>
        <color rgb="FF404040"/>
        <rFont val="微软雅黑"/>
        <family val="2"/>
        <charset val="134"/>
      </rPr>
      <t>点失衡。下落攻击：处于空中时使用普攻，会下落并攻击附近敌人，造成</t>
    </r>
    <r>
      <rPr>
        <b/>
        <i/>
        <sz val="10"/>
        <color rgb="FFE3C19A"/>
        <rFont val="微软雅黑"/>
        <family val="2"/>
        <charset val="134"/>
      </rPr>
      <t>物理伤害</t>
    </r>
    <r>
      <rPr>
        <i/>
        <sz val="10"/>
        <color rgb="FF404040"/>
        <rFont val="微软雅黑"/>
        <family val="2"/>
        <charset val="134"/>
      </rPr>
      <t>。处决攻击：附近有敌人处于失衡状态时使用普通攻击，将处决该敌人，造成大量</t>
    </r>
    <r>
      <rPr>
        <b/>
        <i/>
        <sz val="10"/>
        <color rgb="FFE3C19A"/>
        <rFont val="微软雅黑"/>
        <family val="2"/>
        <charset val="134"/>
      </rPr>
      <t>物理伤害</t>
    </r>
    <r>
      <rPr>
        <i/>
        <sz val="10"/>
        <color rgb="FF404040"/>
        <rFont val="微软雅黑"/>
        <family val="2"/>
        <charset val="134"/>
      </rPr>
      <t>并恢复一定技力。</t>
    </r>
  </si>
  <si>
    <t>70%</t>
  </si>
  <si>
    <t>103%</t>
  </si>
  <si>
    <t>111%</t>
  </si>
  <si>
    <t>106%</t>
  </si>
  <si>
    <t>113%</t>
  </si>
  <si>
    <t>119%</t>
  </si>
  <si>
    <t>138%</t>
  </si>
  <si>
    <t>149%</t>
  </si>
  <si>
    <t>82%</t>
  </si>
  <si>
    <t>98%</t>
  </si>
  <si>
    <t>114%</t>
  </si>
  <si>
    <t>131%</t>
  </si>
  <si>
    <t>139%</t>
  </si>
  <si>
    <t>147%</t>
  </si>
  <si>
    <t>157%</t>
  </si>
  <si>
    <t xml:space="preserve"> ✦ 【战技】进军 (chr_0009_azrila_NormalSkill)</t>
  </si>
  <si>
    <r>
      <rPr>
        <i/>
        <sz val="10"/>
        <color rgb="FF404040"/>
        <rFont val="微软雅黑"/>
        <family val="2"/>
        <charset val="134"/>
      </rPr>
      <t>向前方跃起随后重砸，对扇形范围内的所有敌人造成</t>
    </r>
    <r>
      <rPr>
        <b/>
        <i/>
        <sz val="10"/>
        <color rgb="FFFF8E59"/>
        <rFont val="微软雅黑"/>
        <family val="2"/>
        <charset val="134"/>
      </rPr>
      <t>灼热伤害</t>
    </r>
    <r>
      <rPr>
        <i/>
        <sz val="10"/>
        <color rgb="FF404040"/>
        <rFont val="微软雅黑"/>
        <family val="2"/>
        <charset val="134"/>
      </rPr>
      <t>并</t>
    </r>
    <r>
      <rPr>
        <b/>
        <i/>
        <u/>
        <sz val="10"/>
        <color rgb="FFE3C19A"/>
        <rFont val="微软雅黑"/>
        <family val="2"/>
        <charset val="134"/>
      </rPr>
      <t>倒地</t>
    </r>
    <r>
      <rPr>
        <i/>
        <sz val="10"/>
        <color rgb="FF404040"/>
        <rFont val="微软雅黑"/>
        <family val="2"/>
        <charset val="134"/>
      </rPr>
      <t>。施放过程中若受到过来自敌人的伤害，命中时额外造成一定失衡。</t>
    </r>
  </si>
  <si>
    <t>173%</t>
  </si>
  <si>
    <t>191%</t>
  </si>
  <si>
    <t>208%</t>
  </si>
  <si>
    <t>225%</t>
  </si>
  <si>
    <t>243%</t>
  </si>
  <si>
    <t>260%</t>
  </si>
  <si>
    <t>277%</t>
  </si>
  <si>
    <t>295%</t>
  </si>
  <si>
    <t>312%</t>
  </si>
  <si>
    <t>334%</t>
  </si>
  <si>
    <t>360%</t>
  </si>
  <si>
    <t>390%</t>
  </si>
  <si>
    <t>受击后额外造成失衡值</t>
  </si>
  <si>
    <t xml:space="preserve"> ✦ 【终结技】重燃誓约 (chr_0009_azrila_UltimateSkill)</t>
  </si>
  <si>
    <r>
      <rPr>
        <i/>
        <sz val="10"/>
        <color rgb="FF404040"/>
        <rFont val="微软雅黑"/>
        <family val="2"/>
        <charset val="134"/>
      </rPr>
      <t>猛击地面，对附近敌人造成</t>
    </r>
    <r>
      <rPr>
        <b/>
        <i/>
        <sz val="10"/>
        <color rgb="FFFF8E59"/>
        <rFont val="微软雅黑"/>
        <family val="2"/>
        <charset val="134"/>
      </rPr>
      <t>灼热伤害</t>
    </r>
    <r>
      <rPr>
        <i/>
        <sz val="10"/>
        <color rgb="FF404040"/>
        <rFont val="微软雅黑"/>
        <family val="2"/>
        <charset val="134"/>
      </rPr>
      <t>，同时使全队获得基于余烬最大生命值的</t>
    </r>
    <r>
      <rPr>
        <b/>
        <i/>
        <u/>
        <sz val="10"/>
        <color rgb="FF33C2FF"/>
        <rFont val="微软雅黑"/>
        <family val="2"/>
        <charset val="134"/>
      </rPr>
      <t>护盾</t>
    </r>
    <r>
      <rPr>
        <i/>
        <sz val="10"/>
        <color rgb="FF404040"/>
        <rFont val="微软雅黑"/>
        <family val="2"/>
        <charset val="134"/>
      </rPr>
      <t>。</t>
    </r>
  </si>
  <si>
    <t>100</t>
  </si>
  <si>
    <t>289%</t>
  </si>
  <si>
    <t>376%</t>
  </si>
  <si>
    <t>404%</t>
  </si>
  <si>
    <t>433%</t>
  </si>
  <si>
    <t>556%</t>
  </si>
  <si>
    <t>599%</t>
  </si>
  <si>
    <t>650%</t>
  </si>
  <si>
    <t>护盾转化比例（生命值）</t>
  </si>
  <si>
    <t>护盾持续时间（秒）</t>
  </si>
  <si>
    <t xml:space="preserve"> ✦ 【连携技】前线援护 (chr_0009_azrila_ComboSkill)</t>
  </si>
  <si>
    <r>
      <rPr>
        <i/>
        <sz val="10"/>
        <color rgb="FF404040"/>
        <rFont val="微软雅黑"/>
        <family val="2"/>
        <charset val="134"/>
      </rPr>
      <t>主控干员受到攻击后可以发动。向目标敌人跳起并重砸，造成</t>
    </r>
    <r>
      <rPr>
        <b/>
        <i/>
        <sz val="10"/>
        <color rgb="FFE3C19A"/>
        <rFont val="微软雅黑"/>
        <family val="2"/>
        <charset val="134"/>
      </rPr>
      <t>物理伤害</t>
    </r>
    <r>
      <rPr>
        <i/>
        <sz val="10"/>
        <color rgb="FF404040"/>
        <rFont val="微软雅黑"/>
        <family val="2"/>
        <charset val="134"/>
      </rPr>
      <t>和</t>
    </r>
    <r>
      <rPr>
        <b/>
        <i/>
        <u/>
        <sz val="10"/>
        <color rgb="FFE3C19A"/>
        <rFont val="微软雅黑"/>
        <family val="2"/>
        <charset val="134"/>
      </rPr>
      <t>倒地</t>
    </r>
    <r>
      <rPr>
        <i/>
        <sz val="10"/>
        <color rgb="FF404040"/>
        <rFont val="微软雅黑"/>
        <family val="2"/>
        <charset val="134"/>
      </rPr>
      <t>，同时治疗主控干员。意志可以额外提高治疗量。</t>
    </r>
  </si>
  <si>
    <t>18.0s</t>
  </si>
  <si>
    <t>基础治疗值</t>
  </si>
  <si>
    <t>300</t>
  </si>
  <si>
    <t>360</t>
  </si>
  <si>
    <t>420</t>
  </si>
  <si>
    <t>480</t>
  </si>
  <si>
    <t>510</t>
  </si>
  <si>
    <t>540</t>
  </si>
  <si>
    <t>570</t>
  </si>
  <si>
    <t>600</t>
  </si>
  <si>
    <t>630</t>
  </si>
  <si>
    <t>645</t>
  </si>
  <si>
    <t>660</t>
  </si>
  <si>
    <t>675</t>
  </si>
  <si>
    <t>每点意志增加的治疗值</t>
  </si>
  <si>
    <t>0.7</t>
  </si>
  <si>
    <t>0.84</t>
  </si>
  <si>
    <t>0.98</t>
  </si>
  <si>
    <t>1.12</t>
  </si>
  <si>
    <t>1.19</t>
  </si>
  <si>
    <t>1.26</t>
  </si>
  <si>
    <t>1.33</t>
  </si>
  <si>
    <t>1.4</t>
  </si>
  <si>
    <t>1.47</t>
  </si>
  <si>
    <t>1.51</t>
  </si>
  <si>
    <t>1.54</t>
  </si>
  <si>
    <t>1.58</t>
  </si>
  <si>
    <t>⚔ 赛希 - 技能数据面板</t>
  </si>
  <si>
    <t xml:space="preserve"> ✦ 【普通攻击】冷却 (chr_0011_seraph_NormalAttack)</t>
  </si>
  <si>
    <r>
      <rPr>
        <i/>
        <sz val="10"/>
        <color rgb="FF404040"/>
        <rFont val="微软雅黑"/>
        <family val="2"/>
        <charset val="134"/>
      </rPr>
      <t>普通攻击：对敌人进行至多5段攻击，造成</t>
    </r>
    <r>
      <rPr>
        <b/>
        <i/>
        <sz val="10"/>
        <color rgb="FF30D6E0"/>
        <rFont val="微软雅黑"/>
        <family val="2"/>
        <charset val="134"/>
      </rPr>
      <t>寒冷伤害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15</t>
    </r>
    <r>
      <rPr>
        <i/>
        <sz val="10"/>
        <color rgb="FF404040"/>
        <rFont val="微软雅黑"/>
        <family val="2"/>
        <charset val="134"/>
      </rPr>
      <t>点失衡。下落攻击：处于空中时使用普通攻击，会下落并攻击附近敌人，造成</t>
    </r>
    <r>
      <rPr>
        <b/>
        <i/>
        <sz val="10"/>
        <color rgb="FF30D6E0"/>
        <rFont val="微软雅黑"/>
        <family val="2"/>
        <charset val="134"/>
      </rPr>
      <t>寒冷伤害</t>
    </r>
    <r>
      <rPr>
        <i/>
        <sz val="10"/>
        <color rgb="FF404040"/>
        <rFont val="微软雅黑"/>
        <family val="2"/>
        <charset val="134"/>
      </rPr>
      <t>。处决攻击：附近有敌人处于失衡状态时使用普通攻击，将处决该敌人，造成大量</t>
    </r>
    <r>
      <rPr>
        <b/>
        <i/>
        <sz val="10"/>
        <color rgb="FF30D6E0"/>
        <rFont val="微软雅黑"/>
        <family val="2"/>
        <charset val="134"/>
      </rPr>
      <t>寒冷伤害</t>
    </r>
    <r>
      <rPr>
        <i/>
        <sz val="10"/>
        <color rgb="FF404040"/>
        <rFont val="微软雅黑"/>
        <family val="2"/>
        <charset val="134"/>
      </rPr>
      <t>并恢复一定技力。</t>
    </r>
  </si>
  <si>
    <t>124%</t>
  </si>
  <si>
    <t xml:space="preserve"> ✦ 【战技】分布式拒绝服务 (chr_0011_seraph_NormalSkill)</t>
  </si>
  <si>
    <r>
      <rPr>
        <i/>
        <sz val="10"/>
        <color rgb="FF404040"/>
        <rFont val="微软雅黑"/>
        <family val="2"/>
        <charset val="134"/>
      </rPr>
      <t>召唤</t>
    </r>
    <r>
      <rPr>
        <b/>
        <i/>
        <sz val="10"/>
        <color rgb="FF33C2FF"/>
        <rFont val="微软雅黑"/>
        <family val="2"/>
        <charset val="134"/>
      </rPr>
      <t>支援晶体</t>
    </r>
    <r>
      <rPr>
        <i/>
        <sz val="10"/>
        <color rgb="FF404040"/>
        <rFont val="微软雅黑"/>
        <family val="2"/>
        <charset val="134"/>
      </rPr>
      <t>在一段时间内环绕主控干员。当主控干员对敌人造成</t>
    </r>
    <r>
      <rPr>
        <i/>
        <u/>
        <sz val="10"/>
        <color rgb="FF404040"/>
        <rFont val="微软雅黑"/>
        <family val="2"/>
        <charset val="134"/>
      </rPr>
      <t>重击</t>
    </r>
    <r>
      <rPr>
        <i/>
        <sz val="10"/>
        <color rgb="FF404040"/>
        <rFont val="微软雅黑"/>
        <family val="2"/>
        <charset val="134"/>
      </rPr>
      <t>后</t>
    </r>
    <r>
      <rPr>
        <b/>
        <i/>
        <sz val="10"/>
        <color rgb="FF33C2FF"/>
        <rFont val="微软雅黑"/>
        <family val="2"/>
        <charset val="134"/>
      </rPr>
      <t>支援晶体</t>
    </r>
    <r>
      <rPr>
        <i/>
        <sz val="10"/>
        <color rgb="FF404040"/>
        <rFont val="微软雅黑"/>
        <family val="2"/>
        <charset val="134"/>
      </rPr>
      <t>为其回复生命值，该效果最多可触发2次。意志可以额外提高治疗量。若触发回复时主控干员生命值已满，则额外对其施加一段时间的</t>
    </r>
    <r>
      <rPr>
        <b/>
        <i/>
        <u/>
        <sz val="10"/>
        <color rgb="FF33C2FF"/>
        <rFont val="微软雅黑"/>
        <family val="2"/>
        <charset val="134"/>
      </rPr>
      <t>法术增幅</t>
    </r>
    <r>
      <rPr>
        <i/>
        <sz val="10"/>
        <color rgb="FF404040"/>
        <rFont val="微软雅黑"/>
        <family val="2"/>
        <charset val="134"/>
      </rPr>
      <t>，该效果无法叠加。</t>
    </r>
  </si>
  <si>
    <t>144</t>
  </si>
  <si>
    <t>173</t>
  </si>
  <si>
    <t>202</t>
  </si>
  <si>
    <t>230</t>
  </si>
  <si>
    <t>245</t>
  </si>
  <si>
    <t>259</t>
  </si>
  <si>
    <t>274</t>
  </si>
  <si>
    <t>288</t>
  </si>
  <si>
    <t>302</t>
  </si>
  <si>
    <t>310</t>
  </si>
  <si>
    <t>317</t>
  </si>
  <si>
    <t>324</t>
  </si>
  <si>
    <t>0.34</t>
  </si>
  <si>
    <t>0.4</t>
  </si>
  <si>
    <t>0.47</t>
  </si>
  <si>
    <t>0.54</t>
  </si>
  <si>
    <t>0.57</t>
  </si>
  <si>
    <t>0.6</t>
  </si>
  <si>
    <t>0.64</t>
  </si>
  <si>
    <t>0.67</t>
  </si>
  <si>
    <t>0.71</t>
  </si>
  <si>
    <t>0.72</t>
  </si>
  <si>
    <t>0.74</t>
  </si>
  <si>
    <t>0.76</t>
  </si>
  <si>
    <t>支援晶体持续时间（秒）</t>
  </si>
  <si>
    <t>法术增幅效果</t>
  </si>
  <si>
    <t>9%</t>
  </si>
  <si>
    <t>法术增幅持续时间（秒）</t>
  </si>
  <si>
    <t xml:space="preserve"> ✦ 【终结技】栈溢出 (chr_0011_seraph_UltimateSkill)</t>
  </si>
  <si>
    <r>
      <rPr>
        <i/>
        <sz val="10"/>
        <color rgb="FF404040"/>
        <rFont val="微软雅黑"/>
        <family val="2"/>
        <charset val="134"/>
      </rPr>
      <t>对全队施加一段时间的</t>
    </r>
    <r>
      <rPr>
        <b/>
        <i/>
        <u/>
        <sz val="10"/>
        <color rgb="FF30D6E0"/>
        <rFont val="微软雅黑"/>
        <family val="2"/>
        <charset val="134"/>
      </rPr>
      <t>寒冷增幅</t>
    </r>
    <r>
      <rPr>
        <i/>
        <sz val="10"/>
        <color rgb="FF404040"/>
        <rFont val="微软雅黑"/>
        <family val="2"/>
        <charset val="134"/>
      </rPr>
      <t>和</t>
    </r>
    <r>
      <rPr>
        <b/>
        <i/>
        <u/>
        <sz val="10"/>
        <color rgb="FFB4D945"/>
        <rFont val="微软雅黑"/>
        <family val="2"/>
        <charset val="134"/>
      </rPr>
      <t>自然增幅</t>
    </r>
    <r>
      <rPr>
        <i/>
        <sz val="10"/>
        <color rgb="FF404040"/>
        <rFont val="微软雅黑"/>
        <family val="2"/>
        <charset val="134"/>
      </rPr>
      <t>，智识可以额外提高该增幅效果。</t>
    </r>
  </si>
  <si>
    <t>基础寒冷增幅效果</t>
  </si>
  <si>
    <t>基础自然增幅效果</t>
  </si>
  <si>
    <t>每点智识提升的增幅效果</t>
  </si>
  <si>
    <t>0.014%</t>
  </si>
  <si>
    <t>0.015%</t>
  </si>
  <si>
    <t>0.016%</t>
  </si>
  <si>
    <t>0.018%</t>
  </si>
  <si>
    <t>0.019%</t>
  </si>
  <si>
    <t>0.02%</t>
  </si>
  <si>
    <t>0.022%</t>
  </si>
  <si>
    <t>0.023%</t>
  </si>
  <si>
    <t>0.024%</t>
  </si>
  <si>
    <t>0.026%</t>
  </si>
  <si>
    <t>0.028%</t>
  </si>
  <si>
    <t>0.03%</t>
  </si>
  <si>
    <t>智识提升增幅上限</t>
  </si>
  <si>
    <t>持续时间（秒）</t>
  </si>
  <si>
    <t>12</t>
  </si>
  <si>
    <t xml:space="preserve"> ✦ 【连携技】压力测试 (chr_0011_seraph_ComboSkill)</t>
  </si>
  <si>
    <r>
      <rPr>
        <i/>
        <sz val="10"/>
        <color rgb="FF404040"/>
        <rFont val="微软雅黑"/>
        <family val="2"/>
        <charset val="134"/>
      </rPr>
      <t>当</t>
    </r>
    <r>
      <rPr>
        <b/>
        <i/>
        <sz val="10"/>
        <color rgb="FF33C2FF"/>
        <rFont val="微软雅黑"/>
        <family val="2"/>
        <charset val="134"/>
      </rPr>
      <t>支援晶体</t>
    </r>
    <r>
      <rPr>
        <i/>
        <sz val="10"/>
        <color rgb="FF404040"/>
        <rFont val="微软雅黑"/>
        <family val="2"/>
        <charset val="134"/>
      </rPr>
      <t>的生命回复次数耗尽后可以发动。短暂蓄力后将</t>
    </r>
    <r>
      <rPr>
        <b/>
        <i/>
        <sz val="10"/>
        <color rgb="FF33C2FF"/>
        <rFont val="微软雅黑"/>
        <family val="2"/>
        <charset val="134"/>
      </rPr>
      <t>支援晶体</t>
    </r>
    <r>
      <rPr>
        <i/>
        <sz val="10"/>
        <color rgb="FF404040"/>
        <rFont val="微软雅黑"/>
        <family val="2"/>
        <charset val="134"/>
      </rPr>
      <t>丢向敌人，造成</t>
    </r>
    <r>
      <rPr>
        <b/>
        <i/>
        <sz val="10"/>
        <color rgb="FF30D6E0"/>
        <rFont val="微软雅黑"/>
        <family val="2"/>
        <charset val="134"/>
      </rPr>
      <t>寒冷伤害</t>
    </r>
    <r>
      <rPr>
        <i/>
        <sz val="10"/>
        <color rgb="FF404040"/>
        <rFont val="微软雅黑"/>
        <family val="2"/>
        <charset val="134"/>
      </rPr>
      <t>并施加</t>
    </r>
    <r>
      <rPr>
        <b/>
        <i/>
        <u/>
        <sz val="10"/>
        <color rgb="FF30D6E0"/>
        <rFont val="微软雅黑"/>
        <family val="2"/>
        <charset val="134"/>
      </rPr>
      <t>寒冷附着</t>
    </r>
    <r>
      <rPr>
        <i/>
        <sz val="10"/>
        <color rgb="FF404040"/>
        <rFont val="微软雅黑"/>
        <family val="2"/>
        <charset val="134"/>
      </rPr>
      <t>。</t>
    </r>
  </si>
  <si>
    <t>8.0s</t>
  </si>
  <si>
    <t>7.0s</t>
  </si>
  <si>
    <t>200%</t>
  </si>
  <si>
    <t>220%</t>
  </si>
  <si>
    <t>240%</t>
  </si>
  <si>
    <t>340%</t>
  </si>
  <si>
    <t>385%</t>
  </si>
  <si>
    <t>450%</t>
  </si>
  <si>
    <t>⚔ 艾维文娜 - 技能数据面板</t>
  </si>
  <si>
    <t xml:space="preserve"> ✦ 【普通攻击】雷枪·疾袭 (chr_0012_avywen_NormalAttack)</t>
  </si>
  <si>
    <r>
      <rPr>
        <i/>
        <sz val="10"/>
        <color rgb="FF404040"/>
        <rFont val="微软雅黑"/>
        <family val="2"/>
        <charset val="134"/>
      </rPr>
      <t>普通攻击：对敌人进行至多5段攻击，造成</t>
    </r>
    <r>
      <rPr>
        <b/>
        <i/>
        <sz val="10"/>
        <color rgb="FFE3C19A"/>
        <rFont val="微软雅黑"/>
        <family val="2"/>
        <charset val="134"/>
      </rPr>
      <t>物理伤害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17</t>
    </r>
    <r>
      <rPr>
        <i/>
        <sz val="10"/>
        <color rgb="FF404040"/>
        <rFont val="微软雅黑"/>
        <family val="2"/>
        <charset val="134"/>
      </rPr>
      <t>点失衡。下落攻击：处于空中时使用普通攻击，会下落并攻击附近敌人，造成</t>
    </r>
    <r>
      <rPr>
        <b/>
        <i/>
        <sz val="10"/>
        <color rgb="FFE3C19A"/>
        <rFont val="微软雅黑"/>
        <family val="2"/>
        <charset val="134"/>
      </rPr>
      <t>物理伤害</t>
    </r>
    <r>
      <rPr>
        <i/>
        <sz val="10"/>
        <color rgb="FF404040"/>
        <rFont val="微软雅黑"/>
        <family val="2"/>
        <charset val="134"/>
      </rPr>
      <t>。处决攻击：附近有敌人处于失衡状态时使用普通攻击，将处决该敌人，造成大量</t>
    </r>
    <r>
      <rPr>
        <b/>
        <i/>
        <sz val="10"/>
        <color rgb="FFE3C19A"/>
        <rFont val="微软雅黑"/>
        <family val="2"/>
        <charset val="134"/>
      </rPr>
      <t>物理伤害</t>
    </r>
    <r>
      <rPr>
        <i/>
        <sz val="10"/>
        <color rgb="FF404040"/>
        <rFont val="微软雅黑"/>
        <family val="2"/>
        <charset val="134"/>
      </rPr>
      <t>并恢复一定技力。</t>
    </r>
  </si>
  <si>
    <t xml:space="preserve"> ✦ 【战技】雷枪·截回 (chr_0012_avywen_NormalSkill)</t>
  </si>
  <si>
    <r>
      <rPr>
        <i/>
        <sz val="10"/>
        <color rgb="FF404040"/>
        <rFont val="微软雅黑"/>
        <family val="2"/>
        <charset val="134"/>
      </rPr>
      <t>跃起后用枪刮起旋风，对周围的敌人造成少量</t>
    </r>
    <r>
      <rPr>
        <b/>
        <i/>
        <sz val="10"/>
        <color rgb="FFFFCC00"/>
        <rFont val="微软雅黑"/>
        <family val="2"/>
        <charset val="134"/>
      </rPr>
      <t>电磁伤害</t>
    </r>
    <r>
      <rPr>
        <i/>
        <sz val="10"/>
        <color rgb="FF404040"/>
        <rFont val="微软雅黑"/>
        <family val="2"/>
        <charset val="134"/>
      </rPr>
      <t>。同时召回全部</t>
    </r>
    <r>
      <rPr>
        <b/>
        <i/>
        <sz val="10"/>
        <color rgb="FF33C2FF"/>
        <rFont val="微软雅黑"/>
        <family val="2"/>
        <charset val="134"/>
      </rPr>
      <t>雷枪</t>
    </r>
    <r>
      <rPr>
        <i/>
        <sz val="10"/>
        <color rgb="FF404040"/>
        <rFont val="微软雅黑"/>
        <family val="2"/>
        <charset val="134"/>
      </rPr>
      <t>、</t>
    </r>
    <r>
      <rPr>
        <b/>
        <i/>
        <sz val="10"/>
        <color rgb="FF33C2FF"/>
        <rFont val="微软雅黑"/>
        <family val="2"/>
        <charset val="134"/>
      </rPr>
      <t>强雷枪</t>
    </r>
    <r>
      <rPr>
        <i/>
        <sz val="10"/>
        <color rgb="FF404040"/>
        <rFont val="微软雅黑"/>
        <family val="2"/>
        <charset val="134"/>
      </rPr>
      <t>。</t>
    </r>
    <r>
      <rPr>
        <b/>
        <i/>
        <sz val="10"/>
        <color rgb="FF33C2FF"/>
        <rFont val="微软雅黑"/>
        <family val="2"/>
        <charset val="134"/>
      </rPr>
      <t>雷枪</t>
    </r>
    <r>
      <rPr>
        <i/>
        <sz val="10"/>
        <color rgb="FF404040"/>
        <rFont val="微软雅黑"/>
        <family val="2"/>
        <charset val="134"/>
      </rPr>
      <t>被召回时若穿过敌人则对其造成</t>
    </r>
    <r>
      <rPr>
        <b/>
        <i/>
        <sz val="10"/>
        <color rgb="FFFFCC00"/>
        <rFont val="微软雅黑"/>
        <family val="2"/>
        <charset val="134"/>
      </rPr>
      <t>电磁伤害</t>
    </r>
    <r>
      <rPr>
        <i/>
        <sz val="10"/>
        <color rgb="FF404040"/>
        <rFont val="微软雅黑"/>
        <family val="2"/>
        <charset val="134"/>
      </rPr>
      <t>。</t>
    </r>
    <r>
      <rPr>
        <b/>
        <i/>
        <sz val="10"/>
        <color rgb="FF33C2FF"/>
        <rFont val="微软雅黑"/>
        <family val="2"/>
        <charset val="134"/>
      </rPr>
      <t>强雷枪</t>
    </r>
    <r>
      <rPr>
        <i/>
        <sz val="10"/>
        <color rgb="FF404040"/>
        <rFont val="微软雅黑"/>
        <family val="2"/>
        <charset val="134"/>
      </rPr>
      <t>造成更高的</t>
    </r>
    <r>
      <rPr>
        <b/>
        <i/>
        <sz val="10"/>
        <color rgb="FFFFCC00"/>
        <rFont val="微软雅黑"/>
        <family val="2"/>
        <charset val="134"/>
      </rPr>
      <t>电磁伤害</t>
    </r>
    <r>
      <rPr>
        <i/>
        <sz val="10"/>
        <color rgb="FF404040"/>
        <rFont val="微软雅黑"/>
        <family val="2"/>
        <charset val="134"/>
      </rPr>
      <t>，还会施加</t>
    </r>
    <r>
      <rPr>
        <b/>
        <i/>
        <u/>
        <sz val="10"/>
        <color rgb="FFFFCC00"/>
        <rFont val="微软雅黑"/>
        <family val="2"/>
        <charset val="134"/>
      </rPr>
      <t>电磁附着</t>
    </r>
    <r>
      <rPr>
        <i/>
        <sz val="10"/>
        <color rgb="FF404040"/>
        <rFont val="微软雅黑"/>
        <family val="2"/>
        <charset val="134"/>
      </rPr>
      <t>。</t>
    </r>
  </si>
  <si>
    <t>150%</t>
  </si>
  <si>
    <t>雷枪伤害倍率</t>
  </si>
  <si>
    <t>97%</t>
  </si>
  <si>
    <t>134%</t>
  </si>
  <si>
    <t>雷枪失衡值</t>
  </si>
  <si>
    <t>强雷枪伤害倍率</t>
  </si>
  <si>
    <t>211%</t>
  </si>
  <si>
    <t>250%</t>
  </si>
  <si>
    <t>307%</t>
  </si>
  <si>
    <t>326%</t>
  </si>
  <si>
    <t>346%</t>
  </si>
  <si>
    <t>370%</t>
  </si>
  <si>
    <t>398%</t>
  </si>
  <si>
    <t>432%</t>
  </si>
  <si>
    <t>强雷枪失衡值</t>
  </si>
  <si>
    <t xml:space="preserve"> ✦ 【终结技】雷枪·决颤 (chr_0012_avywen_UltimateSkill)</t>
  </si>
  <si>
    <r>
      <rPr>
        <i/>
        <sz val="10"/>
        <color rgb="FF404040"/>
        <rFont val="微软雅黑"/>
        <family val="2"/>
        <charset val="134"/>
      </rPr>
      <t>向目标区域投下一支</t>
    </r>
    <r>
      <rPr>
        <b/>
        <i/>
        <sz val="10"/>
        <color rgb="FF33C2FF"/>
        <rFont val="微软雅黑"/>
        <family val="2"/>
        <charset val="134"/>
      </rPr>
      <t>强雷枪</t>
    </r>
    <r>
      <rPr>
        <i/>
        <sz val="10"/>
        <color rgb="FF404040"/>
        <rFont val="微软雅黑"/>
        <family val="2"/>
        <charset val="134"/>
      </rPr>
      <t>，对附近敌人造成大量</t>
    </r>
    <r>
      <rPr>
        <b/>
        <i/>
        <sz val="10"/>
        <color rgb="FFFFCC00"/>
        <rFont val="微软雅黑"/>
        <family val="2"/>
        <charset val="134"/>
      </rPr>
      <t>电磁伤害</t>
    </r>
    <r>
      <rPr>
        <i/>
        <sz val="10"/>
        <color rgb="FF404040"/>
        <rFont val="微软雅黑"/>
        <family val="2"/>
        <charset val="134"/>
      </rPr>
      <t>。</t>
    </r>
  </si>
  <si>
    <t>422%</t>
  </si>
  <si>
    <t>464%</t>
  </si>
  <si>
    <t>549%</t>
  </si>
  <si>
    <t>633%</t>
  </si>
  <si>
    <t>675%</t>
  </si>
  <si>
    <t>718%</t>
  </si>
  <si>
    <t>760%</t>
  </si>
  <si>
    <t>813%</t>
  </si>
  <si>
    <t>876%</t>
  </si>
  <si>
    <t>950%</t>
  </si>
  <si>
    <t>强雷枪存在时间（秒）</t>
  </si>
  <si>
    <t xml:space="preserve"> ✦ 【连携技】雷枪·掣击 (chr_0012_avywen_ComboSkill)</t>
  </si>
  <si>
    <r>
      <rPr>
        <i/>
        <sz val="10"/>
        <color rgb="FF404040"/>
        <rFont val="微软雅黑"/>
        <family val="2"/>
        <charset val="134"/>
      </rPr>
      <t>主控干员对处于</t>
    </r>
    <r>
      <rPr>
        <b/>
        <i/>
        <u/>
        <sz val="10"/>
        <color rgb="FFFFCC00"/>
        <rFont val="微软雅黑"/>
        <family val="2"/>
        <charset val="134"/>
      </rPr>
      <t>电磁附着</t>
    </r>
    <r>
      <rPr>
        <i/>
        <sz val="10"/>
        <color rgb="FF404040"/>
        <rFont val="微软雅黑"/>
        <family val="2"/>
        <charset val="134"/>
      </rPr>
      <t>或</t>
    </r>
    <r>
      <rPr>
        <b/>
        <i/>
        <u/>
        <sz val="10"/>
        <color rgb="FFFFCC00"/>
        <rFont val="微软雅黑"/>
        <family val="2"/>
        <charset val="134"/>
      </rPr>
      <t>导电</t>
    </r>
    <r>
      <rPr>
        <i/>
        <sz val="10"/>
        <color rgb="FF404040"/>
        <rFont val="微软雅黑"/>
        <family val="2"/>
        <charset val="134"/>
      </rPr>
      <t>状态的目标进行</t>
    </r>
    <r>
      <rPr>
        <i/>
        <u/>
        <sz val="10"/>
        <color rgb="FF404040"/>
        <rFont val="微软雅黑"/>
        <family val="2"/>
        <charset val="134"/>
      </rPr>
      <t>重击</t>
    </r>
    <r>
      <rPr>
        <i/>
        <sz val="10"/>
        <color rgb="FF404040"/>
        <rFont val="微软雅黑"/>
        <family val="2"/>
        <charset val="134"/>
      </rPr>
      <t>后可以发动。跃起并向目标掷出3支</t>
    </r>
    <r>
      <rPr>
        <b/>
        <i/>
        <sz val="10"/>
        <color rgb="FF33C2FF"/>
        <rFont val="微软雅黑"/>
        <family val="2"/>
        <charset val="134"/>
      </rPr>
      <t>雷枪</t>
    </r>
    <r>
      <rPr>
        <i/>
        <sz val="10"/>
        <color rgb="FF404040"/>
        <rFont val="微软雅黑"/>
        <family val="2"/>
        <charset val="134"/>
      </rPr>
      <t>，并对前方范围内的敌人造成一次</t>
    </r>
    <r>
      <rPr>
        <b/>
        <i/>
        <sz val="10"/>
        <color rgb="FFFFCC00"/>
        <rFont val="微软雅黑"/>
        <family val="2"/>
        <charset val="134"/>
      </rPr>
      <t>电磁伤害</t>
    </r>
    <r>
      <rPr>
        <i/>
        <sz val="10"/>
        <color rgb="FF404040"/>
        <rFont val="微软雅黑"/>
        <family val="2"/>
        <charset val="134"/>
      </rPr>
      <t>。</t>
    </r>
  </si>
  <si>
    <t>13.0s</t>
  </si>
  <si>
    <t>12.0s</t>
  </si>
  <si>
    <t>雷枪存在时间（秒）</t>
  </si>
  <si>
    <t>⚔ 洁尔佩塔 - 技能数据面板</t>
  </si>
  <si>
    <t xml:space="preserve"> ✦ 【普通攻击】秘杖·束能技艺 (chr_0013_aglina_NormalAttack)</t>
  </si>
  <si>
    <r>
      <rPr>
        <i/>
        <sz val="10"/>
        <color rgb="FF404040"/>
        <rFont val="微软雅黑"/>
        <family val="2"/>
        <charset val="134"/>
      </rPr>
      <t>普通攻击：对敌人进行至多4段攻击，造成</t>
    </r>
    <r>
      <rPr>
        <b/>
        <i/>
        <sz val="10"/>
        <color rgb="FFB4D945"/>
        <rFont val="微软雅黑"/>
        <family val="2"/>
        <charset val="134"/>
      </rPr>
      <t>自然伤害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16</t>
    </r>
    <r>
      <rPr>
        <i/>
        <sz val="10"/>
        <color rgb="FF404040"/>
        <rFont val="微软雅黑"/>
        <family val="2"/>
        <charset val="134"/>
      </rPr>
      <t>点失衡。下落攻击：处于空中时使用普通攻击，会下落并攻击附近敌人，造成</t>
    </r>
    <r>
      <rPr>
        <b/>
        <i/>
        <sz val="10"/>
        <color rgb="FFB4D945"/>
        <rFont val="微软雅黑"/>
        <family val="2"/>
        <charset val="134"/>
      </rPr>
      <t>自然伤害</t>
    </r>
    <r>
      <rPr>
        <i/>
        <sz val="10"/>
        <color rgb="FF404040"/>
        <rFont val="微软雅黑"/>
        <family val="2"/>
        <charset val="134"/>
      </rPr>
      <t>。处决攻击：附近有敌人处于失衡状态时使用普通攻击，将处决该敌人，造成大量</t>
    </r>
    <r>
      <rPr>
        <b/>
        <i/>
        <sz val="10"/>
        <color rgb="FFB4D945"/>
        <rFont val="微软雅黑"/>
        <family val="2"/>
        <charset val="134"/>
      </rPr>
      <t>自然伤害</t>
    </r>
    <r>
      <rPr>
        <i/>
        <sz val="10"/>
        <color rgb="FF404040"/>
        <rFont val="微软雅黑"/>
        <family val="2"/>
        <charset val="134"/>
      </rPr>
      <t>并恢复一定技力。</t>
    </r>
  </si>
  <si>
    <t xml:space="preserve"> ✦ 【战技】秘杖·引力模式 (chr_0013_aglina_NormalSkill)</t>
  </si>
  <si>
    <r>
      <rPr>
        <i/>
        <sz val="10"/>
        <color rgb="FF404040"/>
        <rFont val="微软雅黑"/>
        <family val="2"/>
        <charset val="134"/>
      </rPr>
      <t>进入持续施法状态，在前方产生</t>
    </r>
    <r>
      <rPr>
        <b/>
        <i/>
        <sz val="10"/>
        <color rgb="FF33C2FF"/>
        <rFont val="微软雅黑"/>
        <family val="2"/>
        <charset val="134"/>
      </rPr>
      <t>重力奇点</t>
    </r>
    <r>
      <rPr>
        <i/>
        <sz val="10"/>
        <color rgb="FF404040"/>
        <rFont val="微软雅黑"/>
        <family val="2"/>
        <charset val="134"/>
      </rPr>
      <t>。</t>
    </r>
    <r>
      <rPr>
        <b/>
        <i/>
        <sz val="10"/>
        <color rgb="FF33C2FF"/>
        <rFont val="微软雅黑"/>
        <family val="2"/>
        <charset val="134"/>
      </rPr>
      <t>重力奇点</t>
    </r>
    <r>
      <rPr>
        <i/>
        <sz val="10"/>
        <color rgb="FF404040"/>
        <rFont val="微软雅黑"/>
        <family val="2"/>
        <charset val="134"/>
      </rPr>
      <t>会持续吸引附近的敌人并对其造成</t>
    </r>
    <r>
      <rPr>
        <b/>
        <i/>
        <sz val="10"/>
        <color rgb="FFB4D945"/>
        <rFont val="微软雅黑"/>
        <family val="2"/>
        <charset val="134"/>
      </rPr>
      <t>自然伤害</t>
    </r>
    <r>
      <rPr>
        <i/>
        <sz val="10"/>
        <color rgb="FF404040"/>
        <rFont val="微软雅黑"/>
        <family val="2"/>
        <charset val="134"/>
      </rPr>
      <t>。施法结束时</t>
    </r>
    <r>
      <rPr>
        <b/>
        <i/>
        <sz val="10"/>
        <color rgb="FF33C2FF"/>
        <rFont val="微软雅黑"/>
        <family val="2"/>
        <charset val="134"/>
      </rPr>
      <t>重力奇点</t>
    </r>
    <r>
      <rPr>
        <i/>
        <sz val="10"/>
        <color rgb="FF404040"/>
        <rFont val="微软雅黑"/>
        <family val="2"/>
        <charset val="134"/>
      </rPr>
      <t>会爆炸，对范围内的敌人造成</t>
    </r>
    <r>
      <rPr>
        <b/>
        <i/>
        <sz val="10"/>
        <color rgb="FFB4D945"/>
        <rFont val="微软雅黑"/>
        <family val="2"/>
        <charset val="134"/>
      </rPr>
      <t>自然伤害</t>
    </r>
    <r>
      <rPr>
        <i/>
        <sz val="10"/>
        <color rgb="FF404040"/>
        <rFont val="微软雅黑"/>
        <family val="2"/>
        <charset val="134"/>
      </rPr>
      <t>并施加</t>
    </r>
    <r>
      <rPr>
        <b/>
        <i/>
        <u/>
        <sz val="10"/>
        <color rgb="FFB4D945"/>
        <rFont val="微软雅黑"/>
        <family val="2"/>
        <charset val="134"/>
      </rPr>
      <t>自然附着</t>
    </r>
    <r>
      <rPr>
        <i/>
        <sz val="10"/>
        <color rgb="FF404040"/>
        <rFont val="微软雅黑"/>
        <family val="2"/>
        <charset val="134"/>
      </rPr>
      <t>。</t>
    </r>
  </si>
  <si>
    <t>牵引伤害倍率</t>
  </si>
  <si>
    <t>126%</t>
  </si>
  <si>
    <t>146%</t>
  </si>
  <si>
    <t>165%</t>
  </si>
  <si>
    <t>175%</t>
  </si>
  <si>
    <t>爆炸伤害倍率</t>
  </si>
  <si>
    <t>92%</t>
  </si>
  <si>
    <t>爆炸失衡值</t>
  </si>
  <si>
    <t xml:space="preserve"> ✦ 【终结技】秘杖·重力场 (chr_0013_aglina_UltimateSkill)</t>
  </si>
  <si>
    <r>
      <rPr>
        <i/>
        <sz val="10"/>
        <color rgb="FF404040"/>
        <rFont val="微软雅黑"/>
        <family val="2"/>
        <charset val="134"/>
      </rPr>
      <t>创造一个</t>
    </r>
    <r>
      <rPr>
        <b/>
        <i/>
        <sz val="10"/>
        <color rgb="FF33C2FF"/>
        <rFont val="微软雅黑"/>
        <family val="2"/>
        <charset val="134"/>
      </rPr>
      <t>重力紊乱区域</t>
    </r>
    <r>
      <rPr>
        <i/>
        <sz val="10"/>
        <color rgb="FF404040"/>
        <rFont val="微软雅黑"/>
        <family val="2"/>
        <charset val="134"/>
      </rPr>
      <t>，对区域内的敌人立即造成一次</t>
    </r>
    <r>
      <rPr>
        <b/>
        <i/>
        <sz val="10"/>
        <color rgb="FFB4D945"/>
        <rFont val="微软雅黑"/>
        <family val="2"/>
        <charset val="134"/>
      </rPr>
      <t>自然伤害</t>
    </r>
    <r>
      <rPr>
        <i/>
        <sz val="10"/>
        <color rgb="FF404040"/>
        <rFont val="微软雅黑"/>
        <family val="2"/>
        <charset val="134"/>
      </rPr>
      <t>并施加</t>
    </r>
    <r>
      <rPr>
        <b/>
        <i/>
        <u/>
        <sz val="10"/>
        <color rgb="FFB4D945"/>
        <rFont val="微软雅黑"/>
        <family val="2"/>
        <charset val="134"/>
      </rPr>
      <t>自然附着</t>
    </r>
    <r>
      <rPr>
        <i/>
        <sz val="10"/>
        <color rgb="FF404040"/>
        <rFont val="微软雅黑"/>
        <family val="2"/>
        <charset val="134"/>
      </rPr>
      <t>。处于</t>
    </r>
    <r>
      <rPr>
        <b/>
        <i/>
        <sz val="10"/>
        <color rgb="FF33C2FF"/>
        <rFont val="微软雅黑"/>
        <family val="2"/>
        <charset val="134"/>
      </rPr>
      <t>重力紊乱区域</t>
    </r>
    <r>
      <rPr>
        <i/>
        <sz val="10"/>
        <color rgb="FF404040"/>
        <rFont val="微软雅黑"/>
        <family val="2"/>
        <charset val="134"/>
      </rPr>
      <t>中的目标被施加</t>
    </r>
    <r>
      <rPr>
        <b/>
        <i/>
        <u/>
        <sz val="10"/>
        <color rgb="FF33C2FF"/>
        <rFont val="微软雅黑"/>
        <family val="2"/>
        <charset val="134"/>
      </rPr>
      <t>缓速</t>
    </r>
    <r>
      <rPr>
        <i/>
        <sz val="10"/>
        <color rgb="FF404040"/>
        <rFont val="微软雅黑"/>
        <family val="2"/>
        <charset val="134"/>
      </rPr>
      <t>和</t>
    </r>
    <r>
      <rPr>
        <b/>
        <i/>
        <u/>
        <sz val="10"/>
        <color rgb="FF33C2FF"/>
        <rFont val="微软雅黑"/>
        <family val="2"/>
        <charset val="134"/>
      </rPr>
      <t>法术脆弱</t>
    </r>
    <r>
      <rPr>
        <i/>
        <sz val="10"/>
        <color rgb="FF404040"/>
        <rFont val="微软雅黑"/>
        <family val="2"/>
        <charset val="134"/>
      </rPr>
      <t>。目标处于</t>
    </r>
    <r>
      <rPr>
        <b/>
        <i/>
        <u/>
        <sz val="10"/>
        <color rgb="FFE3C19A"/>
        <rFont val="微软雅黑"/>
        <family val="2"/>
        <charset val="134"/>
      </rPr>
      <t>破防</t>
    </r>
    <r>
      <rPr>
        <i/>
        <sz val="10"/>
        <color rgb="FF404040"/>
        <rFont val="微软雅黑"/>
        <family val="2"/>
        <charset val="134"/>
      </rPr>
      <t>状态时，</t>
    </r>
    <r>
      <rPr>
        <b/>
        <i/>
        <u/>
        <sz val="10"/>
        <color rgb="FF33C2FF"/>
        <rFont val="微软雅黑"/>
        <family val="2"/>
        <charset val="134"/>
      </rPr>
      <t>法术脆弱</t>
    </r>
    <r>
      <rPr>
        <i/>
        <sz val="10"/>
        <color rgb="FF404040"/>
        <rFont val="微软雅黑"/>
        <family val="2"/>
        <charset val="134"/>
      </rPr>
      <t>效果会随</t>
    </r>
    <r>
      <rPr>
        <b/>
        <i/>
        <u/>
        <sz val="10"/>
        <color rgb="FFE3C19A"/>
        <rFont val="微软雅黑"/>
        <family val="2"/>
        <charset val="134"/>
      </rPr>
      <t>破防</t>
    </r>
    <r>
      <rPr>
        <i/>
        <sz val="10"/>
        <color rgb="FF404040"/>
        <rFont val="微软雅黑"/>
        <family val="2"/>
        <charset val="134"/>
      </rPr>
      <t>层数额外提升。</t>
    </r>
    <r>
      <rPr>
        <b/>
        <i/>
        <sz val="10"/>
        <color rgb="FF999999"/>
        <rFont val="微软雅黑"/>
        <family val="2"/>
        <charset val="134"/>
      </rPr>
      <t>区域内的目标若处于击飞状态，将保持击飞状态直到区域效果结束。</t>
    </r>
  </si>
  <si>
    <t>333%</t>
  </si>
  <si>
    <t>467%</t>
  </si>
  <si>
    <t>567%</t>
  </si>
  <si>
    <t>692%</t>
  </si>
  <si>
    <t>750%</t>
  </si>
  <si>
    <t>力场持续时间（秒）</t>
  </si>
  <si>
    <t>缓速效果</t>
  </si>
  <si>
    <t>基础法术脆弱效果</t>
  </si>
  <si>
    <t>每层破防提升法术脆弱</t>
  </si>
  <si>
    <t>1.8%</t>
  </si>
  <si>
    <t>2.2%</t>
  </si>
  <si>
    <t>2.6%</t>
  </si>
  <si>
    <t>3%</t>
  </si>
  <si>
    <t xml:space="preserve"> ✦ 【连携技】秘杖·矩阵位移 (chr_0013_aglina_ComboSkill)</t>
  </si>
  <si>
    <r>
      <rPr>
        <i/>
        <sz val="10"/>
        <color rgb="FF404040"/>
        <rFont val="微软雅黑"/>
        <family val="2"/>
        <charset val="134"/>
      </rPr>
      <t>当有敌人被施加</t>
    </r>
    <r>
      <rPr>
        <b/>
        <i/>
        <u/>
        <sz val="10"/>
        <color rgb="FF33C2FF"/>
        <rFont val="微软雅黑"/>
        <family val="2"/>
        <charset val="134"/>
      </rPr>
      <t>法术异常</t>
    </r>
    <r>
      <rPr>
        <i/>
        <sz val="10"/>
        <color rgb="FF404040"/>
        <rFont val="微软雅黑"/>
        <family val="2"/>
        <charset val="134"/>
      </rPr>
      <t>时可以发动。短暂施法后使目标及附近敌人全部受到重力牵引，对其造成</t>
    </r>
    <r>
      <rPr>
        <b/>
        <i/>
        <sz val="10"/>
        <color rgb="FFB4D945"/>
        <rFont val="微软雅黑"/>
        <family val="2"/>
        <charset val="134"/>
      </rPr>
      <t>自然伤害</t>
    </r>
    <r>
      <rPr>
        <i/>
        <sz val="10"/>
        <color rgb="FF404040"/>
        <rFont val="微软雅黑"/>
        <family val="2"/>
        <charset val="134"/>
      </rPr>
      <t>并强制造成</t>
    </r>
    <r>
      <rPr>
        <b/>
        <i/>
        <u/>
        <sz val="10"/>
        <color rgb="FFE3C19A"/>
        <rFont val="微软雅黑"/>
        <family val="2"/>
        <charset val="134"/>
      </rPr>
      <t>击飞</t>
    </r>
    <r>
      <rPr>
        <i/>
        <sz val="10"/>
        <color rgb="FF404040"/>
        <rFont val="微软雅黑"/>
        <family val="2"/>
        <charset val="134"/>
      </rPr>
      <t>。</t>
    </r>
  </si>
  <si>
    <t>182%</t>
  </si>
  <si>
    <t>210%</t>
  </si>
  <si>
    <t>224%</t>
  </si>
  <si>
    <t>238%</t>
  </si>
  <si>
    <t>291%</t>
  </si>
  <si>
    <t>315%</t>
  </si>
  <si>
    <t>⚔ 昼雪 - 技能数据面板</t>
  </si>
  <si>
    <t xml:space="preserve"> ✦ 【普通攻击】失温猛击 (chr_0014_aurora_NormalAttack)</t>
  </si>
  <si>
    <r>
      <rPr>
        <i/>
        <sz val="10"/>
        <color rgb="FF404040"/>
        <rFont val="微软雅黑"/>
        <family val="2"/>
        <charset val="134"/>
      </rPr>
      <t>普通攻击：对敌人进行至多3段攻击，造成</t>
    </r>
    <r>
      <rPr>
        <b/>
        <i/>
        <sz val="10"/>
        <color rgb="FFE3C19A"/>
        <rFont val="微软雅黑"/>
        <family val="2"/>
        <charset val="134"/>
      </rPr>
      <t>物理伤害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23</t>
    </r>
    <r>
      <rPr>
        <i/>
        <sz val="10"/>
        <color rgb="FF404040"/>
        <rFont val="微软雅黑"/>
        <family val="2"/>
        <charset val="134"/>
      </rPr>
      <t>点失衡。下落攻击：处于空中时使用普通攻击，会下落并攻击附近敌人，造成</t>
    </r>
    <r>
      <rPr>
        <b/>
        <i/>
        <sz val="10"/>
        <color rgb="FFE3C19A"/>
        <rFont val="微软雅黑"/>
        <family val="2"/>
        <charset val="134"/>
      </rPr>
      <t>物理伤害</t>
    </r>
    <r>
      <rPr>
        <i/>
        <sz val="10"/>
        <color rgb="FF404040"/>
        <rFont val="微软雅黑"/>
        <family val="2"/>
        <charset val="134"/>
      </rPr>
      <t>。处决攻击：附近有失衡敌人时使用普通攻击，将处决该敌人，造成大量</t>
    </r>
    <r>
      <rPr>
        <b/>
        <i/>
        <sz val="10"/>
        <color rgb="FFE3C19A"/>
        <rFont val="微软雅黑"/>
        <family val="2"/>
        <charset val="134"/>
      </rPr>
      <t>物理伤害</t>
    </r>
    <r>
      <rPr>
        <i/>
        <sz val="10"/>
        <color rgb="FF404040"/>
        <rFont val="微软雅黑"/>
        <family val="2"/>
        <charset val="134"/>
      </rPr>
      <t>并恢复一定技力。</t>
    </r>
  </si>
  <si>
    <t>105%</t>
  </si>
  <si>
    <t>121%</t>
  </si>
  <si>
    <t>110%</t>
  </si>
  <si>
    <t>160%</t>
  </si>
  <si>
    <t>170%</t>
  </si>
  <si>
    <t>193%</t>
  </si>
  <si>
    <t xml:space="preserve"> ✦ 【战技】饱和性防御 (chr_0014_aurora_NormalSkill)</t>
  </si>
  <si>
    <r>
      <rPr>
        <i/>
        <sz val="10"/>
        <color rgb="FF404040"/>
        <rFont val="微软雅黑"/>
        <family val="2"/>
        <charset val="134"/>
      </rPr>
      <t>架起盾牌格挡攻击，使自身及周围干员获得</t>
    </r>
    <r>
      <rPr>
        <b/>
        <i/>
        <u/>
        <sz val="10"/>
        <color rgb="FF33C2FF"/>
        <rFont val="微软雅黑"/>
        <family val="2"/>
        <charset val="134"/>
      </rPr>
      <t>庇护</t>
    </r>
    <r>
      <rPr>
        <i/>
        <sz val="10"/>
        <color rgb="FF404040"/>
        <rFont val="微软雅黑"/>
        <family val="2"/>
        <charset val="134"/>
      </rPr>
      <t>，并立即</t>
    </r>
    <r>
      <rPr>
        <i/>
        <u/>
        <sz val="10"/>
        <color rgb="FF404040"/>
        <rFont val="微软雅黑"/>
        <family val="2"/>
        <charset val="134"/>
      </rPr>
      <t>返还</t>
    </r>
    <r>
      <rPr>
        <i/>
        <sz val="10"/>
        <color rgb="FF404040"/>
        <rFont val="微软雅黑"/>
        <family val="2"/>
        <charset val="134"/>
      </rPr>
      <t>一定技力。若在立盾期间受到攻击，则发动一次反击，尝试对攻击者造成</t>
    </r>
    <r>
      <rPr>
        <b/>
        <i/>
        <sz val="10"/>
        <color rgb="FF30D6E0"/>
        <rFont val="微软雅黑"/>
        <family val="2"/>
        <charset val="134"/>
      </rPr>
      <t>寒冷伤害</t>
    </r>
    <r>
      <rPr>
        <i/>
        <sz val="10"/>
        <color rgb="FF404040"/>
        <rFont val="微软雅黑"/>
        <family val="2"/>
        <charset val="134"/>
      </rPr>
      <t>，并施加</t>
    </r>
    <r>
      <rPr>
        <b/>
        <i/>
        <u/>
        <sz val="10"/>
        <color rgb="FF30D6E0"/>
        <rFont val="微软雅黑"/>
        <family val="2"/>
        <charset val="134"/>
      </rPr>
      <t>寒冷附着</t>
    </r>
    <r>
      <rPr>
        <i/>
        <sz val="10"/>
        <color rgb="FF404040"/>
        <rFont val="微软雅黑"/>
        <family val="2"/>
        <charset val="134"/>
      </rPr>
      <t>。</t>
    </r>
  </si>
  <si>
    <t>庇护效果</t>
  </si>
  <si>
    <t>返还技力</t>
  </si>
  <si>
    <t xml:space="preserve"> ✦ 【终结技】凛冽寒霜 (chr_0014_aurora_UltimateSkill)</t>
  </si>
  <si>
    <r>
      <rPr>
        <i/>
        <sz val="10"/>
        <color rgb="FF404040"/>
        <rFont val="微软雅黑"/>
        <family val="2"/>
        <charset val="134"/>
      </rPr>
      <t>借助喷气装置跳起并朝前砸下盾牌，对范围内的敌人造成大量</t>
    </r>
    <r>
      <rPr>
        <b/>
        <i/>
        <sz val="10"/>
        <color rgb="FF30D6E0"/>
        <rFont val="微软雅黑"/>
        <family val="2"/>
        <charset val="134"/>
      </rPr>
      <t>寒冷伤害</t>
    </r>
    <r>
      <rPr>
        <i/>
        <sz val="10"/>
        <color rgb="FF404040"/>
        <rFont val="微软雅黑"/>
        <family val="2"/>
        <charset val="134"/>
      </rPr>
      <t>，并生成一个持续数秒的</t>
    </r>
    <r>
      <rPr>
        <b/>
        <i/>
        <sz val="10"/>
        <color rgb="FF33C2FF"/>
        <rFont val="微软雅黑"/>
        <family val="2"/>
        <charset val="134"/>
      </rPr>
      <t>冰雪地带</t>
    </r>
    <r>
      <rPr>
        <i/>
        <sz val="10"/>
        <color rgb="FF404040"/>
        <rFont val="微软雅黑"/>
        <family val="2"/>
        <charset val="134"/>
      </rPr>
      <t>持续对敌人造成</t>
    </r>
    <r>
      <rPr>
        <b/>
        <i/>
        <sz val="10"/>
        <color rgb="FF30D6E0"/>
        <rFont val="微软雅黑"/>
        <family val="2"/>
        <charset val="134"/>
      </rPr>
      <t>寒冷伤害</t>
    </r>
    <r>
      <rPr>
        <i/>
        <sz val="10"/>
        <color rgb="FF404040"/>
        <rFont val="微软雅黑"/>
        <family val="2"/>
        <charset val="134"/>
      </rPr>
      <t>。敌人身处</t>
    </r>
    <r>
      <rPr>
        <b/>
        <i/>
        <sz val="10"/>
        <color rgb="FF33C2FF"/>
        <rFont val="微软雅黑"/>
        <family val="2"/>
        <charset val="134"/>
      </rPr>
      <t>冰雪地带</t>
    </r>
    <r>
      <rPr>
        <i/>
        <sz val="10"/>
        <color rgb="FF404040"/>
        <rFont val="微软雅黑"/>
        <family val="2"/>
        <charset val="134"/>
      </rPr>
      <t>内一段时间后将被强制</t>
    </r>
    <r>
      <rPr>
        <b/>
        <i/>
        <u/>
        <sz val="10"/>
        <color rgb="FF30D6E0"/>
        <rFont val="微软雅黑"/>
        <family val="2"/>
        <charset val="134"/>
      </rPr>
      <t>冻结</t>
    </r>
    <r>
      <rPr>
        <i/>
        <sz val="10"/>
        <color rgb="FF404040"/>
        <rFont val="微软雅黑"/>
        <family val="2"/>
        <charset val="134"/>
      </rPr>
      <t>。</t>
    </r>
  </si>
  <si>
    <t>持续伤害倍率</t>
  </si>
  <si>
    <t>持续伤害间隔（秒）</t>
  </si>
  <si>
    <t>0.5</t>
  </si>
  <si>
    <t xml:space="preserve"> ✦ 【连携技】极地救援 (chr_0014_aurora_ComboSkill)</t>
  </si>
  <si>
    <r>
      <rPr>
        <i/>
        <sz val="10"/>
        <color rgb="FF404040"/>
        <rFont val="微软雅黑"/>
        <family val="2"/>
        <charset val="134"/>
      </rPr>
      <t>当主控干员受到攻击后，如果生命值低于60%可以发动。昼雪对其丢出雪地救援助理，触碰到目标时立即大量</t>
    </r>
    <r>
      <rPr>
        <b/>
        <i/>
        <sz val="10"/>
        <color rgb="FFB4D945"/>
        <rFont val="微软雅黑"/>
        <family val="2"/>
        <charset val="134"/>
      </rPr>
      <t>治疗</t>
    </r>
    <r>
      <rPr>
        <i/>
        <sz val="10"/>
        <color rgb="FF404040"/>
        <rFont val="微软雅黑"/>
        <family val="2"/>
        <charset val="134"/>
      </rPr>
      <t>附近的干员，并在接下来一段时间内对范围内的干员持续提供</t>
    </r>
    <r>
      <rPr>
        <b/>
        <i/>
        <sz val="10"/>
        <color rgb="FFB4D945"/>
        <rFont val="微软雅黑"/>
        <family val="2"/>
        <charset val="134"/>
      </rPr>
      <t>治疗</t>
    </r>
    <r>
      <rPr>
        <i/>
        <sz val="10"/>
        <color rgb="FF404040"/>
        <rFont val="微软雅黑"/>
        <family val="2"/>
        <charset val="134"/>
      </rPr>
      <t>。意志可以额外提高治疗量。</t>
    </r>
  </si>
  <si>
    <t>25.0s</t>
  </si>
  <si>
    <t>24.0s</t>
  </si>
  <si>
    <t>23.0s</t>
  </si>
  <si>
    <t>初始治疗基础值</t>
  </si>
  <si>
    <t>96</t>
  </si>
  <si>
    <t>115</t>
  </si>
  <si>
    <t>134</t>
  </si>
  <si>
    <t>154</t>
  </si>
  <si>
    <t>163</t>
  </si>
  <si>
    <t>182</t>
  </si>
  <si>
    <t>192</t>
  </si>
  <si>
    <t>206</t>
  </si>
  <si>
    <t>211</t>
  </si>
  <si>
    <t>216</t>
  </si>
  <si>
    <t>每点意志增加的初始治疗值</t>
  </si>
  <si>
    <t>0.22</t>
  </si>
  <si>
    <t>0.27</t>
  </si>
  <si>
    <t>0.31</t>
  </si>
  <si>
    <t>0.36</t>
  </si>
  <si>
    <t>0.38</t>
  </si>
  <si>
    <t>0.43</t>
  </si>
  <si>
    <t>0.45</t>
  </si>
  <si>
    <t>0.48</t>
  </si>
  <si>
    <t>0.49</t>
  </si>
  <si>
    <t>持续治疗基础值</t>
  </si>
  <si>
    <t>24</t>
  </si>
  <si>
    <t>29</t>
  </si>
  <si>
    <t>34</t>
  </si>
  <si>
    <t>38</t>
  </si>
  <si>
    <t>41</t>
  </si>
  <si>
    <t>43</t>
  </si>
  <si>
    <t>46</t>
  </si>
  <si>
    <t>48</t>
  </si>
  <si>
    <t>50</t>
  </si>
  <si>
    <t>52</t>
  </si>
  <si>
    <t>53</t>
  </si>
  <si>
    <t>54</t>
  </si>
  <si>
    <t>每点意志增加的持续治疗值</t>
  </si>
  <si>
    <t>0.06</t>
  </si>
  <si>
    <t>0.07</t>
  </si>
  <si>
    <t>0.08</t>
  </si>
  <si>
    <t>0.09</t>
  </si>
  <si>
    <t>0.1</t>
  </si>
  <si>
    <t>0.11</t>
  </si>
  <si>
    <t>0.12</t>
  </si>
  <si>
    <t>0.13</t>
  </si>
  <si>
    <t>持续治疗间隔（秒）</t>
  </si>
  <si>
    <t>3</t>
  </si>
  <si>
    <t>⚔ 黎风 - 技能数据面板</t>
  </si>
  <si>
    <t xml:space="preserve"> ✦ 【普通攻击】摧破 (chr_0015_lifeng_NormalAttack)</t>
  </si>
  <si>
    <r>
      <rPr>
        <i/>
        <sz val="10"/>
        <color rgb="FF404040"/>
        <rFont val="微软雅黑"/>
        <family val="2"/>
        <charset val="134"/>
      </rPr>
      <t>普通攻击：对敌人进行至多4段攻击，造成</t>
    </r>
    <r>
      <rPr>
        <b/>
        <i/>
        <sz val="10"/>
        <color rgb="FFE3C19A"/>
        <rFont val="微软雅黑"/>
        <family val="2"/>
        <charset val="134"/>
      </rPr>
      <t>物理伤害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19</t>
    </r>
    <r>
      <rPr>
        <i/>
        <sz val="10"/>
        <color rgb="FF404040"/>
        <rFont val="微软雅黑"/>
        <family val="2"/>
        <charset val="134"/>
      </rPr>
      <t>点失衡。下落攻击：处于空中时使用普通攻击，会下落并攻击附近敌人，造成</t>
    </r>
    <r>
      <rPr>
        <b/>
        <i/>
        <sz val="10"/>
        <color rgb="FFE3C19A"/>
        <rFont val="微软雅黑"/>
        <family val="2"/>
        <charset val="134"/>
      </rPr>
      <t>物理伤害</t>
    </r>
    <r>
      <rPr>
        <i/>
        <sz val="10"/>
        <color rgb="FF404040"/>
        <rFont val="微软雅黑"/>
        <family val="2"/>
        <charset val="134"/>
      </rPr>
      <t>。处决攻击：附近有敌人处于失衡状态时使用普通攻击，将处决该敌人，造成大量</t>
    </r>
    <r>
      <rPr>
        <b/>
        <i/>
        <sz val="10"/>
        <color rgb="FFE3C19A"/>
        <rFont val="微软雅黑"/>
        <family val="2"/>
        <charset val="134"/>
      </rPr>
      <t>物理伤害</t>
    </r>
    <r>
      <rPr>
        <i/>
        <sz val="10"/>
        <color rgb="FF404040"/>
        <rFont val="微软雅黑"/>
        <family val="2"/>
        <charset val="134"/>
      </rPr>
      <t>并恢复一定技力。</t>
    </r>
  </si>
  <si>
    <t xml:space="preserve"> ✦ 【战技】荡浊身 (chr_0015_lifeng_NormalSkill)</t>
  </si>
  <si>
    <r>
      <rPr>
        <i/>
        <sz val="10"/>
        <color rgb="FF404040"/>
        <rFont val="微软雅黑"/>
        <family val="2"/>
        <charset val="134"/>
      </rPr>
      <t>连续向前挥枪，造成2次</t>
    </r>
    <r>
      <rPr>
        <b/>
        <i/>
        <sz val="10"/>
        <color rgb="FFE3C19A"/>
        <rFont val="微软雅黑"/>
        <family val="2"/>
        <charset val="134"/>
      </rPr>
      <t>物理伤害</t>
    </r>
    <r>
      <rPr>
        <i/>
        <sz val="10"/>
        <color rgb="FF404040"/>
        <rFont val="微软雅黑"/>
        <family val="2"/>
        <charset val="134"/>
      </rPr>
      <t>，之后重砸地面，再次对前方所有敌人造成</t>
    </r>
    <r>
      <rPr>
        <b/>
        <i/>
        <sz val="10"/>
        <color rgb="FFE3C19A"/>
        <rFont val="微软雅黑"/>
        <family val="2"/>
        <charset val="134"/>
      </rPr>
      <t>物理伤害</t>
    </r>
    <r>
      <rPr>
        <i/>
        <sz val="10"/>
        <color rgb="FF404040"/>
        <rFont val="微软雅黑"/>
        <family val="2"/>
        <charset val="134"/>
      </rPr>
      <t>并造成</t>
    </r>
    <r>
      <rPr>
        <b/>
        <i/>
        <u/>
        <sz val="10"/>
        <color rgb="FFE3C19A"/>
        <rFont val="微软雅黑"/>
        <family val="2"/>
        <charset val="134"/>
      </rPr>
      <t>倒地</t>
    </r>
    <r>
      <rPr>
        <i/>
        <sz val="10"/>
        <color rgb="FF404040"/>
        <rFont val="微软雅黑"/>
        <family val="2"/>
        <charset val="134"/>
      </rPr>
      <t>。最后一击命中的敌人若不处于</t>
    </r>
    <r>
      <rPr>
        <b/>
        <i/>
        <u/>
        <sz val="10"/>
        <color rgb="FFE3C19A"/>
        <rFont val="微软雅黑"/>
        <family val="2"/>
        <charset val="134"/>
      </rPr>
      <t>破防</t>
    </r>
    <r>
      <rPr>
        <i/>
        <sz val="10"/>
        <color rgb="FF404040"/>
        <rFont val="微软雅黑"/>
        <family val="2"/>
        <charset val="134"/>
      </rPr>
      <t>状态，则额外对其施加</t>
    </r>
    <r>
      <rPr>
        <b/>
        <i/>
        <u/>
        <sz val="10"/>
        <color rgb="FFE3C19A"/>
        <rFont val="微软雅黑"/>
        <family val="2"/>
        <charset val="134"/>
      </rPr>
      <t>物理脆弱</t>
    </r>
    <r>
      <rPr>
        <i/>
        <sz val="10"/>
        <color rgb="FF404040"/>
        <rFont val="微软雅黑"/>
        <family val="2"/>
        <charset val="134"/>
      </rPr>
      <t>。</t>
    </r>
  </si>
  <si>
    <t>第三段伤害倍率</t>
  </si>
  <si>
    <t>167%</t>
  </si>
  <si>
    <t>190%</t>
  </si>
  <si>
    <t>214%</t>
  </si>
  <si>
    <t>229%</t>
  </si>
  <si>
    <t>247%</t>
  </si>
  <si>
    <t>268%</t>
  </si>
  <si>
    <t>第三段失衡值</t>
  </si>
  <si>
    <t>物理脆弱效果</t>
  </si>
  <si>
    <t>5%</t>
  </si>
  <si>
    <t>7%</t>
  </si>
  <si>
    <t>物理脆弱持续时间（秒）</t>
  </si>
  <si>
    <t xml:space="preserve"> ✦ 【终结技】不动心 (chr_0015_lifeng_UltimateSkill)</t>
  </si>
  <si>
    <r>
      <rPr>
        <i/>
        <sz val="10"/>
        <color rgb="FF404040"/>
        <rFont val="微软雅黑"/>
        <family val="2"/>
        <charset val="134"/>
      </rPr>
      <t>施放身外身，使用不动杵重砸前方地面，对大范围内的所有敌人造成</t>
    </r>
    <r>
      <rPr>
        <b/>
        <i/>
        <sz val="10"/>
        <color rgb="FFE3C19A"/>
        <rFont val="微软雅黑"/>
        <family val="2"/>
        <charset val="134"/>
      </rPr>
      <t>物理伤害</t>
    </r>
    <r>
      <rPr>
        <i/>
        <sz val="10"/>
        <color rgb="FF404040"/>
        <rFont val="微软雅黑"/>
        <family val="2"/>
        <charset val="134"/>
      </rPr>
      <t>并造成</t>
    </r>
    <r>
      <rPr>
        <b/>
        <i/>
        <u/>
        <sz val="10"/>
        <color rgb="FFE3C19A"/>
        <rFont val="微软雅黑"/>
        <family val="2"/>
        <charset val="134"/>
      </rPr>
      <t>倒地</t>
    </r>
    <r>
      <rPr>
        <i/>
        <sz val="10"/>
        <color rgb="FF404040"/>
        <rFont val="微软雅黑"/>
        <family val="2"/>
        <charset val="134"/>
      </rPr>
      <t>，然后将所有敌人聚拢至中心。一段时间后，对仍然留在砸地范围内的所有敌人再次造成大量</t>
    </r>
    <r>
      <rPr>
        <b/>
        <i/>
        <sz val="10"/>
        <color rgb="FFE3C19A"/>
        <rFont val="微软雅黑"/>
        <family val="2"/>
        <charset val="134"/>
      </rPr>
      <t>物理伤害</t>
    </r>
    <r>
      <rPr>
        <i/>
        <sz val="10"/>
        <color rgb="FF404040"/>
        <rFont val="微软雅黑"/>
        <family val="2"/>
        <charset val="134"/>
      </rPr>
      <t>并造成</t>
    </r>
    <r>
      <rPr>
        <b/>
        <i/>
        <u/>
        <sz val="10"/>
        <color rgb="FFE3C19A"/>
        <rFont val="微软雅黑"/>
        <family val="2"/>
        <charset val="134"/>
      </rPr>
      <t>倒地</t>
    </r>
    <r>
      <rPr>
        <i/>
        <sz val="10"/>
        <color rgb="FF404040"/>
        <rFont val="微软雅黑"/>
        <family val="2"/>
        <charset val="134"/>
      </rPr>
      <t>。若该技能</t>
    </r>
    <r>
      <rPr>
        <i/>
        <u/>
        <sz val="10"/>
        <color rgb="FF404040"/>
        <rFont val="微软雅黑"/>
        <family val="2"/>
        <charset val="134"/>
      </rPr>
      <t>消耗</t>
    </r>
    <r>
      <rPr>
        <i/>
        <sz val="10"/>
        <color rgb="FF404040"/>
        <rFont val="微软雅黑"/>
        <family val="2"/>
        <charset val="134"/>
      </rPr>
      <t>了</t>
    </r>
    <r>
      <rPr>
        <b/>
        <i/>
        <u/>
        <sz val="10"/>
        <color rgb="FF33C2FF"/>
        <rFont val="微软雅黑"/>
        <family val="2"/>
        <charset val="134"/>
      </rPr>
      <t>连击</t>
    </r>
    <r>
      <rPr>
        <i/>
        <sz val="10"/>
        <color rgb="FF404040"/>
        <rFont val="微软雅黑"/>
        <family val="2"/>
        <charset val="134"/>
      </rPr>
      <t>，则会追加大量</t>
    </r>
    <r>
      <rPr>
        <b/>
        <i/>
        <sz val="10"/>
        <color rgb="FFE3C19A"/>
        <rFont val="微软雅黑"/>
        <family val="2"/>
        <charset val="134"/>
      </rPr>
      <t>物理伤害</t>
    </r>
    <r>
      <rPr>
        <i/>
        <sz val="10"/>
        <color rgb="FF404040"/>
        <rFont val="微软雅黑"/>
        <family val="2"/>
        <charset val="134"/>
      </rPr>
      <t>。</t>
    </r>
  </si>
  <si>
    <t xml:space="preserve"> ✦ 【连携技】忿怒相 (chr_0015_lifeng_ComboSkill)</t>
  </si>
  <si>
    <r>
      <rPr>
        <i/>
        <sz val="10"/>
        <color rgb="FF404040"/>
        <rFont val="微软雅黑"/>
        <family val="2"/>
        <charset val="134"/>
      </rPr>
      <t>当处于</t>
    </r>
    <r>
      <rPr>
        <b/>
        <i/>
        <u/>
        <sz val="10"/>
        <color rgb="FFE3C19A"/>
        <rFont val="微软雅黑"/>
        <family val="2"/>
        <charset val="134"/>
      </rPr>
      <t>物理脆弱</t>
    </r>
    <r>
      <rPr>
        <i/>
        <sz val="10"/>
        <color rgb="FF404040"/>
        <rFont val="微软雅黑"/>
        <family val="2"/>
        <charset val="134"/>
      </rPr>
      <t>或</t>
    </r>
    <r>
      <rPr>
        <b/>
        <i/>
        <u/>
        <sz val="10"/>
        <color rgb="FFE3C19A"/>
        <rFont val="微软雅黑"/>
        <family val="2"/>
        <charset val="134"/>
      </rPr>
      <t>碎甲</t>
    </r>
    <r>
      <rPr>
        <i/>
        <sz val="10"/>
        <color rgb="FF404040"/>
        <rFont val="微软雅黑"/>
        <family val="2"/>
        <charset val="134"/>
      </rPr>
      <t>状态的敌人受到主控干员</t>
    </r>
    <r>
      <rPr>
        <i/>
        <u/>
        <sz val="10"/>
        <color rgb="FF404040"/>
        <rFont val="微软雅黑"/>
        <family val="2"/>
        <charset val="134"/>
      </rPr>
      <t>重击</t>
    </r>
    <r>
      <rPr>
        <i/>
        <sz val="10"/>
        <color rgb="FF404040"/>
        <rFont val="微软雅黑"/>
        <family val="2"/>
        <charset val="134"/>
      </rPr>
      <t>后可以发动。施放身外身以长枪突刺，造成</t>
    </r>
    <r>
      <rPr>
        <b/>
        <i/>
        <sz val="10"/>
        <color rgb="FFE3C19A"/>
        <rFont val="微软雅黑"/>
        <family val="2"/>
        <charset val="134"/>
      </rPr>
      <t>物理伤害</t>
    </r>
    <r>
      <rPr>
        <i/>
        <sz val="10"/>
        <color rgb="FF404040"/>
        <rFont val="微软雅黑"/>
        <family val="2"/>
        <charset val="134"/>
      </rPr>
      <t>，并且获得</t>
    </r>
    <r>
      <rPr>
        <b/>
        <i/>
        <u/>
        <sz val="10"/>
        <color rgb="FF33C2FF"/>
        <rFont val="微软雅黑"/>
        <family val="2"/>
        <charset val="134"/>
      </rPr>
      <t>连击</t>
    </r>
    <r>
      <rPr>
        <i/>
        <sz val="10"/>
        <color rgb="FF404040"/>
        <rFont val="微软雅黑"/>
        <family val="2"/>
        <charset val="134"/>
      </rPr>
      <t>。</t>
    </r>
  </si>
  <si>
    <t>183%</t>
  </si>
  <si>
    <t>217%</t>
  </si>
  <si>
    <t>283%</t>
  </si>
  <si>
    <t>321%</t>
  </si>
  <si>
    <t>375%</t>
  </si>
  <si>
    <t>连击持续时间（秒）</t>
  </si>
  <si>
    <t>⚔ 莱万汀 - 技能数据面板</t>
  </si>
  <si>
    <t xml:space="preserve"> ✦ 【普通攻击】燃烬 (chr_0016_laevat_NormalAttack)</t>
  </si>
  <si>
    <r>
      <rPr>
        <i/>
        <sz val="10"/>
        <color rgb="FF404040"/>
        <rFont val="微软雅黑"/>
        <family val="2"/>
        <charset val="134"/>
      </rPr>
      <t>普通攻击：对敌人进行至多5段攻击，造成</t>
    </r>
    <r>
      <rPr>
        <b/>
        <i/>
        <sz val="10"/>
        <color rgb="FFFF8E59"/>
        <rFont val="微软雅黑"/>
        <family val="2"/>
        <charset val="134"/>
      </rPr>
      <t>灼热伤害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18</t>
    </r>
    <r>
      <rPr>
        <i/>
        <sz val="10"/>
        <color rgb="FF404040"/>
        <rFont val="微软雅黑"/>
        <family val="2"/>
        <charset val="134"/>
      </rPr>
      <t>点失衡。下落攻击：处于空中时使用普通攻击，会下落并攻击附近敌人，造成</t>
    </r>
    <r>
      <rPr>
        <b/>
        <i/>
        <sz val="10"/>
        <color rgb="FFFF8E59"/>
        <rFont val="微软雅黑"/>
        <family val="2"/>
        <charset val="134"/>
      </rPr>
      <t>灼热伤害</t>
    </r>
    <r>
      <rPr>
        <i/>
        <sz val="10"/>
        <color rgb="FF404040"/>
        <rFont val="微软雅黑"/>
        <family val="2"/>
        <charset val="134"/>
      </rPr>
      <t>。处决攻击：附近有敌人处于失衡状态时使用普通攻击，将处决该敌人，造成大量</t>
    </r>
    <r>
      <rPr>
        <b/>
        <i/>
        <sz val="10"/>
        <color rgb="FFFF8E59"/>
        <rFont val="微软雅黑"/>
        <family val="2"/>
        <charset val="134"/>
      </rPr>
      <t>灼热伤害</t>
    </r>
    <r>
      <rPr>
        <i/>
        <sz val="10"/>
        <color rgb="FF404040"/>
        <rFont val="微软雅黑"/>
        <family val="2"/>
        <charset val="134"/>
      </rPr>
      <t>并恢复一定技力。</t>
    </r>
  </si>
  <si>
    <t xml:space="preserve"> ✦ 【战技】焚灭 (chr_0016_laevat_NormalSkill)</t>
  </si>
  <si>
    <r>
      <rPr>
        <i/>
        <sz val="10"/>
        <color rgb="FF404040"/>
        <rFont val="微软雅黑"/>
        <family val="2"/>
        <charset val="134"/>
      </rPr>
      <t>召唤熔核碎片持续攻击前方敌人，造成</t>
    </r>
    <r>
      <rPr>
        <b/>
        <i/>
        <sz val="10"/>
        <color rgb="FFFF8E59"/>
        <rFont val="微软雅黑"/>
        <family val="2"/>
        <charset val="134"/>
      </rPr>
      <t>灼热伤害</t>
    </r>
    <r>
      <rPr>
        <i/>
        <sz val="10"/>
        <color rgb="FF404040"/>
        <rFont val="微软雅黑"/>
        <family val="2"/>
        <charset val="134"/>
      </rPr>
      <t>。如果命中敌人，会获得1层</t>
    </r>
    <r>
      <rPr>
        <b/>
        <i/>
        <sz val="10"/>
        <color rgb="FF33C2FF"/>
        <rFont val="微软雅黑"/>
        <family val="2"/>
        <charset val="134"/>
      </rPr>
      <t>熔火</t>
    </r>
    <r>
      <rPr>
        <i/>
        <sz val="10"/>
        <color rgb="FF404040"/>
        <rFont val="微软雅黑"/>
        <family val="2"/>
        <charset val="134"/>
      </rPr>
      <t>。 如果施放时已拥有4层</t>
    </r>
    <r>
      <rPr>
        <b/>
        <i/>
        <sz val="10"/>
        <color rgb="FF33C2FF"/>
        <rFont val="微软雅黑"/>
        <family val="2"/>
        <charset val="134"/>
      </rPr>
      <t>熔火</t>
    </r>
    <r>
      <rPr>
        <i/>
        <sz val="10"/>
        <color rgb="FF404040"/>
        <rFont val="微软雅黑"/>
        <family val="2"/>
        <charset val="134"/>
      </rPr>
      <t>，则最后会消耗所有层数，对大范围内敌人追加1次攻击，造成</t>
    </r>
    <r>
      <rPr>
        <b/>
        <i/>
        <sz val="10"/>
        <color rgb="FFFF8E59"/>
        <rFont val="微软雅黑"/>
        <family val="2"/>
        <charset val="134"/>
      </rPr>
      <t>灼热伤害</t>
    </r>
    <r>
      <rPr>
        <i/>
        <sz val="10"/>
        <color rgb="FF404040"/>
        <rFont val="微软雅黑"/>
        <family val="2"/>
        <charset val="134"/>
      </rPr>
      <t>并强制施加短暂的</t>
    </r>
    <r>
      <rPr>
        <b/>
        <i/>
        <u/>
        <sz val="10"/>
        <color rgb="FFFF8E59"/>
        <rFont val="微软雅黑"/>
        <family val="2"/>
        <charset val="134"/>
      </rPr>
      <t>燃烧</t>
    </r>
    <r>
      <rPr>
        <i/>
        <sz val="10"/>
        <color rgb="FF404040"/>
        <rFont val="微软雅黑"/>
        <family val="2"/>
        <charset val="134"/>
      </rPr>
      <t>。 追加攻击命中敌人会额外获得终结技能量。</t>
    </r>
    <r>
      <rPr>
        <b/>
        <i/>
        <sz val="10"/>
        <color rgb="FF999999"/>
        <rFont val="微软雅黑"/>
        <family val="2"/>
        <charset val="134"/>
      </rPr>
      <t>终结技期间，战技效果增强。</t>
    </r>
  </si>
  <si>
    <t>初始爆炸伤害倍率</t>
  </si>
  <si>
    <t>129%</t>
  </si>
  <si>
    <t>初始爆炸失衡值</t>
  </si>
  <si>
    <t>持续伤害每段倍率</t>
  </si>
  <si>
    <t>6%</t>
  </si>
  <si>
    <t>8%</t>
  </si>
  <si>
    <t>410%</t>
  </si>
  <si>
    <t>479%</t>
  </si>
  <si>
    <t>513%</t>
  </si>
  <si>
    <t>547%</t>
  </si>
  <si>
    <t>581%</t>
  </si>
  <si>
    <t>616%</t>
  </si>
  <si>
    <t>658%</t>
  </si>
  <si>
    <t>710%</t>
  </si>
  <si>
    <t>燃烧时长（秒）</t>
  </si>
  <si>
    <t>追加攻击获得终结技能量</t>
  </si>
  <si>
    <t>终结技期间第一段倍率</t>
  </si>
  <si>
    <t>161%</t>
  </si>
  <si>
    <t>176%</t>
  </si>
  <si>
    <t>205%</t>
  </si>
  <si>
    <t>235%</t>
  </si>
  <si>
    <t>282%</t>
  </si>
  <si>
    <t>330%</t>
  </si>
  <si>
    <t>终结技期间第一段失衡值</t>
  </si>
  <si>
    <t>终结技期间第二段倍率</t>
  </si>
  <si>
    <t>164%</t>
  </si>
  <si>
    <t>181%</t>
  </si>
  <si>
    <t>197%</t>
  </si>
  <si>
    <t>263%</t>
  </si>
  <si>
    <t>279%</t>
  </si>
  <si>
    <t>296%</t>
  </si>
  <si>
    <t>316%</t>
  </si>
  <si>
    <t>341%</t>
  </si>
  <si>
    <t>终结技期间第二段失衡值</t>
  </si>
  <si>
    <t>终结技期间追加攻击倍率</t>
  </si>
  <si>
    <t>终结技期间追加攻击失衡值</t>
  </si>
  <si>
    <t>终结技期间燃烧时长（秒）</t>
  </si>
  <si>
    <t xml:space="preserve"> ✦ 【终结技】黄昏 (chr_0016_laevat_UltimateSkill)</t>
  </si>
  <si>
    <r>
      <rPr>
        <i/>
        <sz val="10"/>
        <color rgb="FF404040"/>
        <rFont val="微软雅黑"/>
        <family val="2"/>
        <charset val="134"/>
      </rPr>
      <t>召唤烈焰魔剑并切换为主控角色。一段时间内，普通攻击得到强化，烈焰魔剑会协同莱万汀发动攻击，每次攻击造成</t>
    </r>
    <r>
      <rPr>
        <b/>
        <i/>
        <sz val="10"/>
        <color rgb="FFFF8E59"/>
        <rFont val="微软雅黑"/>
        <family val="2"/>
        <charset val="134"/>
      </rPr>
      <t>灼热伤害</t>
    </r>
    <r>
      <rPr>
        <i/>
        <sz val="10"/>
        <color rgb="FF404040"/>
        <rFont val="微软雅黑"/>
        <family val="2"/>
        <charset val="134"/>
      </rPr>
      <t>。此外，普通攻击第3段会施加</t>
    </r>
    <r>
      <rPr>
        <b/>
        <i/>
        <u/>
        <sz val="10"/>
        <color rgb="FFFF8E59"/>
        <rFont val="微软雅黑"/>
        <family val="2"/>
        <charset val="134"/>
      </rPr>
      <t>灼热附着</t>
    </r>
    <r>
      <rPr>
        <i/>
        <sz val="10"/>
        <color rgb="FF404040"/>
        <rFont val="微软雅黑"/>
        <family val="2"/>
        <charset val="134"/>
      </rPr>
      <t>。</t>
    </r>
  </si>
  <si>
    <t>强化普攻第一段倍率</t>
  </si>
  <si>
    <t>强化普攻第二段倍率</t>
  </si>
  <si>
    <t>强化普攻第三段倍率</t>
  </si>
  <si>
    <t>162%</t>
  </si>
  <si>
    <t>185%</t>
  </si>
  <si>
    <t>222%</t>
  </si>
  <si>
    <t>强化普攻第四段倍率</t>
  </si>
  <si>
    <t>223%</t>
  </si>
  <si>
    <t>344%</t>
  </si>
  <si>
    <t>365%</t>
  </si>
  <si>
    <t>420%</t>
  </si>
  <si>
    <t>456%</t>
  </si>
  <si>
    <t xml:space="preserve"> ✦ 【连携技】沸腾 (chr_0016_laevat_ComboSkill)</t>
  </si>
  <si>
    <r>
      <rPr>
        <i/>
        <sz val="10"/>
        <color rgb="FF404040"/>
        <rFont val="微软雅黑"/>
        <family val="2"/>
        <charset val="134"/>
      </rPr>
      <t>当有敌人进入</t>
    </r>
    <r>
      <rPr>
        <b/>
        <i/>
        <u/>
        <sz val="10"/>
        <color rgb="FFFF8E59"/>
        <rFont val="微软雅黑"/>
        <family val="2"/>
        <charset val="134"/>
      </rPr>
      <t>燃烧</t>
    </r>
    <r>
      <rPr>
        <i/>
        <sz val="10"/>
        <color rgb="FF404040"/>
        <rFont val="微软雅黑"/>
        <family val="2"/>
        <charset val="134"/>
      </rPr>
      <t>或</t>
    </r>
    <r>
      <rPr>
        <b/>
        <i/>
        <u/>
        <sz val="10"/>
        <color rgb="FFB4D945"/>
        <rFont val="微软雅黑"/>
        <family val="2"/>
        <charset val="134"/>
      </rPr>
      <t>腐蚀</t>
    </r>
    <r>
      <rPr>
        <i/>
        <sz val="10"/>
        <color rgb="FF404040"/>
        <rFont val="微软雅黑"/>
        <family val="2"/>
        <charset val="134"/>
      </rPr>
      <t>状态时可以发动。让所有处于</t>
    </r>
    <r>
      <rPr>
        <b/>
        <i/>
        <u/>
        <sz val="10"/>
        <color rgb="FFFF8E59"/>
        <rFont val="微软雅黑"/>
        <family val="2"/>
        <charset val="134"/>
      </rPr>
      <t>燃烧</t>
    </r>
    <r>
      <rPr>
        <i/>
        <sz val="10"/>
        <color rgb="FF404040"/>
        <rFont val="微软雅黑"/>
        <family val="2"/>
        <charset val="134"/>
      </rPr>
      <t>或</t>
    </r>
    <r>
      <rPr>
        <b/>
        <i/>
        <u/>
        <sz val="10"/>
        <color rgb="FFB4D945"/>
        <rFont val="微软雅黑"/>
        <family val="2"/>
        <charset val="134"/>
      </rPr>
      <t>腐蚀</t>
    </r>
    <r>
      <rPr>
        <i/>
        <sz val="10"/>
        <color rgb="FF404040"/>
        <rFont val="微软雅黑"/>
        <family val="2"/>
        <charset val="134"/>
      </rPr>
      <t>状态的敌人脚下喷出火焰，对其造成</t>
    </r>
    <r>
      <rPr>
        <b/>
        <i/>
        <sz val="10"/>
        <color rgb="FFFF8E59"/>
        <rFont val="微软雅黑"/>
        <family val="2"/>
        <charset val="134"/>
      </rPr>
      <t>灼热伤害</t>
    </r>
    <r>
      <rPr>
        <i/>
        <sz val="10"/>
        <color rgb="FF404040"/>
        <rFont val="微软雅黑"/>
        <family val="2"/>
        <charset val="134"/>
      </rPr>
      <t>。如果命中敌人，会获得1层</t>
    </r>
    <r>
      <rPr>
        <b/>
        <i/>
        <sz val="10"/>
        <color rgb="FF33C2FF"/>
        <rFont val="微软雅黑"/>
        <family val="2"/>
        <charset val="134"/>
      </rPr>
      <t>熔火</t>
    </r>
    <r>
      <rPr>
        <i/>
        <sz val="10"/>
        <color rgb="FF404040"/>
        <rFont val="微软雅黑"/>
        <family val="2"/>
        <charset val="134"/>
      </rPr>
      <t>。每命中1个敌人，还会额外获得终结技能量。</t>
    </r>
  </si>
  <si>
    <t>9.0s</t>
  </si>
  <si>
    <t>336%</t>
  </si>
  <si>
    <t>384%</t>
  </si>
  <si>
    <t>408%</t>
  </si>
  <si>
    <t>540%</t>
  </si>
  <si>
    <t>命中1个敌人获得终结技能量</t>
  </si>
  <si>
    <t>命中2个敌人获得终结技能量</t>
  </si>
  <si>
    <t>命中3个或以上敌人获得终结技能量</t>
  </si>
  <si>
    <t>⚔ 伊冯 - 技能数据面板</t>
  </si>
  <si>
    <t xml:space="preserve"> ✦ 【普通攻击】雀跃扳机 (chr_0017_yvonne_NormalAttack)</t>
  </si>
  <si>
    <r>
      <rPr>
        <i/>
        <sz val="10"/>
        <color rgb="FF404040"/>
        <rFont val="微软雅黑"/>
        <family val="2"/>
        <charset val="134"/>
      </rPr>
      <t>普通攻击：对敌人进行至多5段攻击，造成</t>
    </r>
    <r>
      <rPr>
        <b/>
        <i/>
        <sz val="10"/>
        <color rgb="FF30D6E0"/>
        <rFont val="微软雅黑"/>
        <family val="2"/>
        <charset val="134"/>
      </rPr>
      <t>寒冷伤害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17</t>
    </r>
    <r>
      <rPr>
        <i/>
        <sz val="10"/>
        <color rgb="FF404040"/>
        <rFont val="微软雅黑"/>
        <family val="2"/>
        <charset val="134"/>
      </rPr>
      <t>点失衡。 下落攻击：处于空中时使用普通攻击，会下落并攻击附近敌人，造成</t>
    </r>
    <r>
      <rPr>
        <b/>
        <i/>
        <sz val="10"/>
        <color rgb="FF30D6E0"/>
        <rFont val="微软雅黑"/>
        <family val="2"/>
        <charset val="134"/>
      </rPr>
      <t>寒冷伤害</t>
    </r>
    <r>
      <rPr>
        <i/>
        <sz val="10"/>
        <color rgb="FF404040"/>
        <rFont val="微软雅黑"/>
        <family val="2"/>
        <charset val="134"/>
      </rPr>
      <t>。 处决攻击：附近有敌人处于失衡状态时使用普通攻击，将处决该敌人，造成大量</t>
    </r>
    <r>
      <rPr>
        <b/>
        <i/>
        <sz val="10"/>
        <color rgb="FF30D6E0"/>
        <rFont val="微软雅黑"/>
        <family val="2"/>
        <charset val="134"/>
      </rPr>
      <t>寒冷伤害</t>
    </r>
    <r>
      <rPr>
        <i/>
        <sz val="10"/>
        <color rgb="FF404040"/>
        <rFont val="微软雅黑"/>
        <family val="2"/>
        <charset val="134"/>
      </rPr>
      <t>并恢复一定技力。</t>
    </r>
  </si>
  <si>
    <t xml:space="preserve"> ✦ 【战技】冰冰弹·β型 (chr_0017_yvonne_NormalSkill)</t>
  </si>
  <si>
    <r>
      <rPr>
        <i/>
        <sz val="10"/>
        <color rgb="FF404040"/>
        <rFont val="微软雅黑"/>
        <family val="2"/>
        <charset val="134"/>
      </rPr>
      <t>向前发射一颗制冷弹。制冷弹碰到敌人后会发生爆炸，造成</t>
    </r>
    <r>
      <rPr>
        <b/>
        <i/>
        <sz val="10"/>
        <color rgb="FF30D6E0"/>
        <rFont val="微软雅黑"/>
        <family val="2"/>
        <charset val="134"/>
      </rPr>
      <t>寒冷伤害</t>
    </r>
    <r>
      <rPr>
        <i/>
        <sz val="10"/>
        <color rgb="FF404040"/>
        <rFont val="微软雅黑"/>
        <family val="2"/>
        <charset val="134"/>
      </rPr>
      <t>。命中处于</t>
    </r>
    <r>
      <rPr>
        <b/>
        <i/>
        <u/>
        <sz val="10"/>
        <color rgb="FF30D6E0"/>
        <rFont val="微软雅黑"/>
        <family val="2"/>
        <charset val="134"/>
      </rPr>
      <t>寒冷附着</t>
    </r>
    <r>
      <rPr>
        <i/>
        <sz val="10"/>
        <color rgb="FF404040"/>
        <rFont val="微软雅黑"/>
        <family val="2"/>
        <charset val="134"/>
      </rPr>
      <t>或</t>
    </r>
    <r>
      <rPr>
        <b/>
        <i/>
        <u/>
        <sz val="10"/>
        <color rgb="FFB4D945"/>
        <rFont val="微软雅黑"/>
        <family val="2"/>
        <charset val="134"/>
      </rPr>
      <t>自然附着</t>
    </r>
    <r>
      <rPr>
        <i/>
        <sz val="10"/>
        <color rgb="FF404040"/>
        <rFont val="微软雅黑"/>
        <family val="2"/>
        <charset val="134"/>
      </rPr>
      <t>的敌人时，</t>
    </r>
    <r>
      <rPr>
        <i/>
        <u/>
        <sz val="10"/>
        <color rgb="FF404040"/>
        <rFont val="微软雅黑"/>
        <family val="2"/>
        <charset val="134"/>
      </rPr>
      <t>消耗</t>
    </r>
    <r>
      <rPr>
        <i/>
        <sz val="10"/>
        <color rgb="FF404040"/>
        <rFont val="微软雅黑"/>
        <family val="2"/>
        <charset val="134"/>
      </rPr>
      <t>掉目标身上所有的</t>
    </r>
    <r>
      <rPr>
        <b/>
        <i/>
        <u/>
        <sz val="10"/>
        <color rgb="FF33C2FF"/>
        <rFont val="微软雅黑"/>
        <family val="2"/>
        <charset val="134"/>
      </rPr>
      <t>法术附着</t>
    </r>
    <r>
      <rPr>
        <i/>
        <sz val="10"/>
        <color rgb="FF404040"/>
        <rFont val="微软雅黑"/>
        <family val="2"/>
        <charset val="134"/>
      </rPr>
      <t>，对其强制施加</t>
    </r>
    <r>
      <rPr>
        <b/>
        <i/>
        <u/>
        <sz val="10"/>
        <color rgb="FF30D6E0"/>
        <rFont val="微软雅黑"/>
        <family val="2"/>
        <charset val="134"/>
      </rPr>
      <t>冻结</t>
    </r>
    <r>
      <rPr>
        <i/>
        <sz val="10"/>
        <color rgb="FF404040"/>
        <rFont val="微软雅黑"/>
        <family val="2"/>
        <charset val="134"/>
      </rPr>
      <t>，并基于</t>
    </r>
    <r>
      <rPr>
        <i/>
        <u/>
        <sz val="10"/>
        <color rgb="FF404040"/>
        <rFont val="微软雅黑"/>
        <family val="2"/>
        <charset val="134"/>
      </rPr>
      <t>消耗</t>
    </r>
    <r>
      <rPr>
        <i/>
        <sz val="10"/>
        <color rgb="FF404040"/>
        <rFont val="微软雅黑"/>
        <family val="2"/>
        <charset val="134"/>
      </rPr>
      <t>的层数造成</t>
    </r>
    <r>
      <rPr>
        <b/>
        <i/>
        <sz val="10"/>
        <color rgb="FF30D6E0"/>
        <rFont val="微软雅黑"/>
        <family val="2"/>
        <charset val="134"/>
      </rPr>
      <t>寒冷伤害</t>
    </r>
    <r>
      <rPr>
        <i/>
        <sz val="10"/>
        <color rgb="FF404040"/>
        <rFont val="微软雅黑"/>
        <family val="2"/>
        <charset val="134"/>
      </rPr>
      <t>。战技成功施加</t>
    </r>
    <r>
      <rPr>
        <b/>
        <i/>
        <u/>
        <sz val="10"/>
        <color rgb="FF30D6E0"/>
        <rFont val="微软雅黑"/>
        <family val="2"/>
        <charset val="134"/>
      </rPr>
      <t>冻结</t>
    </r>
    <r>
      <rPr>
        <i/>
        <sz val="10"/>
        <color rgb="FF404040"/>
        <rFont val="微软雅黑"/>
        <family val="2"/>
        <charset val="134"/>
      </rPr>
      <t>后，会基于</t>
    </r>
    <r>
      <rPr>
        <i/>
        <u/>
        <sz val="10"/>
        <color rgb="FF404040"/>
        <rFont val="微软雅黑"/>
        <family val="2"/>
        <charset val="134"/>
      </rPr>
      <t>消耗</t>
    </r>
    <r>
      <rPr>
        <i/>
        <sz val="10"/>
        <color rgb="FF404040"/>
        <rFont val="微软雅黑"/>
        <family val="2"/>
        <charset val="134"/>
      </rPr>
      <t>的层数，额外获得终结技能量，命中多名目标时仅获得1次。</t>
    </r>
  </si>
  <si>
    <t>基础伤害倍率</t>
  </si>
  <si>
    <t>189%</t>
  </si>
  <si>
    <t>施加冻结伤害倍率</t>
  </si>
  <si>
    <t>消耗每层附着额外伤害倍率</t>
  </si>
  <si>
    <t>142%</t>
  </si>
  <si>
    <t>151%</t>
  </si>
  <si>
    <t>施加冻结获得终结技能量</t>
  </si>
  <si>
    <t>消耗每层附着额外获得终结技能量</t>
  </si>
  <si>
    <t xml:space="preserve"> ✦ 【终结技】冷冻射手 (chr_0017_yvonne_UltimateSkill)</t>
  </si>
  <si>
    <r>
      <rPr>
        <i/>
        <sz val="10"/>
        <color rgb="FF404040"/>
        <rFont val="微软雅黑"/>
        <family val="2"/>
        <charset val="134"/>
      </rPr>
      <t>立即部署小嘀嗒进行辅助，并切换至主控干员。在接下来一定时间内，伊冯的普通攻击会得到</t>
    </r>
    <r>
      <rPr>
        <b/>
        <i/>
        <sz val="10"/>
        <color rgb="FF33C2FF"/>
        <rFont val="微软雅黑"/>
        <family val="2"/>
        <charset val="134"/>
      </rPr>
      <t>强化</t>
    </r>
    <r>
      <rPr>
        <i/>
        <sz val="10"/>
        <color rgb="FF404040"/>
        <rFont val="微软雅黑"/>
        <family val="2"/>
        <charset val="134"/>
      </rPr>
      <t>，每次普通攻击都会增加自己的暴击率。当叠加至最大层数后，自身暴击伤害增加。持续时间结束前的最后一次强力攻击会变为</t>
    </r>
    <r>
      <rPr>
        <i/>
        <u/>
        <sz val="10"/>
        <color rgb="FF404040"/>
        <rFont val="微软雅黑"/>
        <family val="2"/>
        <charset val="134"/>
      </rPr>
      <t>重击</t>
    </r>
    <r>
      <rPr>
        <i/>
        <sz val="10"/>
        <color rgb="FF404040"/>
        <rFont val="微软雅黑"/>
        <family val="2"/>
        <charset val="134"/>
      </rPr>
      <t>，造成大量</t>
    </r>
    <r>
      <rPr>
        <b/>
        <i/>
        <sz val="10"/>
        <color rgb="FF30D6E0"/>
        <rFont val="微软雅黑"/>
        <family val="2"/>
        <charset val="134"/>
      </rPr>
      <t>寒冷伤害</t>
    </r>
    <r>
      <rPr>
        <i/>
        <sz val="10"/>
        <color rgb="FF404040"/>
        <rFont val="微软雅黑"/>
        <family val="2"/>
        <charset val="134"/>
      </rPr>
      <t>。如果敌人处于</t>
    </r>
    <r>
      <rPr>
        <b/>
        <i/>
        <u/>
        <sz val="10"/>
        <color rgb="FF30D6E0"/>
        <rFont val="微软雅黑"/>
        <family val="2"/>
        <charset val="134"/>
      </rPr>
      <t>冻结</t>
    </r>
    <r>
      <rPr>
        <i/>
        <sz val="10"/>
        <color rgb="FF404040"/>
        <rFont val="微软雅黑"/>
        <family val="2"/>
        <charset val="134"/>
      </rPr>
      <t>状态，额外造成一次</t>
    </r>
    <r>
      <rPr>
        <b/>
        <i/>
        <sz val="10"/>
        <color rgb="FF30D6E0"/>
        <rFont val="微软雅黑"/>
        <family val="2"/>
        <charset val="134"/>
      </rPr>
      <t>寒冷伤害</t>
    </r>
    <r>
      <rPr>
        <i/>
        <sz val="10"/>
        <color rgb="FF404040"/>
        <rFont val="微软雅黑"/>
        <family val="2"/>
        <charset val="134"/>
      </rPr>
      <t>后，</t>
    </r>
    <r>
      <rPr>
        <i/>
        <u/>
        <sz val="10"/>
        <color rgb="FF404040"/>
        <rFont val="微软雅黑"/>
        <family val="2"/>
        <charset val="134"/>
      </rPr>
      <t>消耗</t>
    </r>
    <r>
      <rPr>
        <i/>
        <sz val="10"/>
        <color rgb="FF404040"/>
        <rFont val="微软雅黑"/>
        <family val="2"/>
        <charset val="134"/>
      </rPr>
      <t>其</t>
    </r>
    <r>
      <rPr>
        <b/>
        <i/>
        <u/>
        <sz val="10"/>
        <color rgb="FF30D6E0"/>
        <rFont val="微软雅黑"/>
        <family val="2"/>
        <charset val="134"/>
      </rPr>
      <t>冻结</t>
    </r>
    <r>
      <rPr>
        <i/>
        <sz val="10"/>
        <color rgb="FF404040"/>
        <rFont val="微软雅黑"/>
        <family val="2"/>
        <charset val="134"/>
      </rPr>
      <t>状态。</t>
    </r>
  </si>
  <si>
    <t>220</t>
  </si>
  <si>
    <t>普通攻击伤害倍率</t>
  </si>
  <si>
    <t>8.9%</t>
  </si>
  <si>
    <t>9.8%</t>
  </si>
  <si>
    <t>10.7%</t>
  </si>
  <si>
    <t>11.6%</t>
  </si>
  <si>
    <t>12.5%</t>
  </si>
  <si>
    <t>13.4%</t>
  </si>
  <si>
    <t>14.3%</t>
  </si>
  <si>
    <t>15.1%</t>
  </si>
  <si>
    <t>17.2%</t>
  </si>
  <si>
    <t>18.5%</t>
  </si>
  <si>
    <t>强力攻击伤害倍率</t>
  </si>
  <si>
    <t>226%</t>
  </si>
  <si>
    <t>256%</t>
  </si>
  <si>
    <t>276%</t>
  </si>
  <si>
    <t>额外攻击伤害倍率</t>
  </si>
  <si>
    <t>强力攻击失衡值</t>
  </si>
  <si>
    <t>最大叠加层数</t>
  </si>
  <si>
    <t>每层暴击率增加</t>
  </si>
  <si>
    <t>满层暴击伤害增加</t>
  </si>
  <si>
    <t xml:space="preserve"> ✦ 【连携技】速冻仔·υ37 (chr_0017_yvonne_ComboSkill)</t>
  </si>
  <si>
    <r>
      <rPr>
        <i/>
        <sz val="10"/>
        <color rgb="FF404040"/>
        <rFont val="微软雅黑"/>
        <family val="2"/>
        <charset val="134"/>
      </rPr>
      <t>当主控干员对处于</t>
    </r>
    <r>
      <rPr>
        <b/>
        <i/>
        <u/>
        <sz val="10"/>
        <color rgb="FF30D6E0"/>
        <rFont val="微软雅黑"/>
        <family val="2"/>
        <charset val="134"/>
      </rPr>
      <t>冻结</t>
    </r>
    <r>
      <rPr>
        <i/>
        <sz val="10"/>
        <color rgb="FF404040"/>
        <rFont val="微软雅黑"/>
        <family val="2"/>
        <charset val="134"/>
      </rPr>
      <t>状态的敌人造成</t>
    </r>
    <r>
      <rPr>
        <i/>
        <u/>
        <sz val="10"/>
        <color rgb="FF404040"/>
        <rFont val="微软雅黑"/>
        <family val="2"/>
        <charset val="134"/>
      </rPr>
      <t>重击</t>
    </r>
    <r>
      <rPr>
        <i/>
        <sz val="10"/>
        <color rgb="FF404040"/>
        <rFont val="微软雅黑"/>
        <family val="2"/>
        <charset val="134"/>
      </rPr>
      <t>时可以发动。立即在敌人旁部署一个速冻仔，速冻仔会不断施放能量攻击周围的敌人，造成</t>
    </r>
    <r>
      <rPr>
        <b/>
        <i/>
        <sz val="10"/>
        <color rgb="FF30D6E0"/>
        <rFont val="微软雅黑"/>
        <family val="2"/>
        <charset val="134"/>
      </rPr>
      <t>寒冷伤害</t>
    </r>
    <r>
      <rPr>
        <i/>
        <sz val="10"/>
        <color rgb="FF404040"/>
        <rFont val="微软雅黑"/>
        <family val="2"/>
        <charset val="134"/>
      </rPr>
      <t>并持续向中心</t>
    </r>
    <r>
      <rPr>
        <b/>
        <i/>
        <sz val="10"/>
        <color rgb="FF33C2FF"/>
        <rFont val="微软雅黑"/>
        <family val="2"/>
        <charset val="134"/>
      </rPr>
      <t>牵引</t>
    </r>
    <r>
      <rPr>
        <i/>
        <sz val="10"/>
        <color rgb="FF404040"/>
        <rFont val="微软雅黑"/>
        <family val="2"/>
        <charset val="134"/>
      </rPr>
      <t>。持续时间结束后，速冻仔自爆，对周围敌人强制施加</t>
    </r>
    <r>
      <rPr>
        <b/>
        <i/>
        <u/>
        <sz val="10"/>
        <color rgb="FF30D6E0"/>
        <rFont val="微软雅黑"/>
        <family val="2"/>
        <charset val="134"/>
      </rPr>
      <t>冻结</t>
    </r>
    <r>
      <rPr>
        <i/>
        <sz val="10"/>
        <color rgb="FF404040"/>
        <rFont val="微软雅黑"/>
        <family val="2"/>
        <charset val="134"/>
      </rPr>
      <t>并造成</t>
    </r>
    <r>
      <rPr>
        <b/>
        <i/>
        <sz val="10"/>
        <color rgb="FF30D6E0"/>
        <rFont val="微软雅黑"/>
        <family val="2"/>
        <charset val="134"/>
      </rPr>
      <t>寒冷伤害</t>
    </r>
    <r>
      <rPr>
        <i/>
        <sz val="10"/>
        <color rgb="FF404040"/>
        <rFont val="微软雅黑"/>
        <family val="2"/>
        <charset val="134"/>
      </rPr>
      <t>。连携技成功命中敌人后，会额外获得终结技能量，命中多名目标时仅获得1次。</t>
    </r>
  </si>
  <si>
    <t>施放能量次数</t>
  </si>
  <si>
    <t>能量伤害倍率</t>
  </si>
  <si>
    <t>额外获得终结技能量</t>
  </si>
  <si>
    <t>⚔ 大潘 - 技能数据面板</t>
  </si>
  <si>
    <t xml:space="preserve"> ✦ 【普通攻击】滚刀切！ (chr_0018_dapan_NormalAttack)</t>
  </si>
  <si>
    <r>
      <rPr>
        <i/>
        <sz val="10"/>
        <color rgb="FF404040"/>
        <rFont val="微软雅黑"/>
        <family val="2"/>
        <charset val="134"/>
      </rPr>
      <t>普通攻击：对敌人进行至多4段攻击，造成</t>
    </r>
    <r>
      <rPr>
        <b/>
        <i/>
        <sz val="10"/>
        <color rgb="FFE3C19A"/>
        <rFont val="微软雅黑"/>
        <family val="2"/>
        <charset val="134"/>
      </rPr>
      <t>物理伤害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20</t>
    </r>
    <r>
      <rPr>
        <i/>
        <sz val="10"/>
        <color rgb="FF404040"/>
        <rFont val="微软雅黑"/>
        <family val="2"/>
        <charset val="134"/>
      </rPr>
      <t>点失衡。下落攻击：处于空中时使用普通攻击，会下落并攻击附近敌人，造成</t>
    </r>
    <r>
      <rPr>
        <b/>
        <i/>
        <sz val="10"/>
        <color rgb="FFE3C19A"/>
        <rFont val="微软雅黑"/>
        <family val="2"/>
        <charset val="134"/>
      </rPr>
      <t>物理伤害</t>
    </r>
    <r>
      <rPr>
        <i/>
        <sz val="10"/>
        <color rgb="FF404040"/>
        <rFont val="微软雅黑"/>
        <family val="2"/>
        <charset val="134"/>
      </rPr>
      <t>。 处决攻击：附近有敌人处于失衡状态时使用普通攻击，将处决该敌人，造成大量</t>
    </r>
    <r>
      <rPr>
        <b/>
        <i/>
        <sz val="10"/>
        <color rgb="FFE3C19A"/>
        <rFont val="微软雅黑"/>
        <family val="2"/>
        <charset val="134"/>
      </rPr>
      <t>物理伤害</t>
    </r>
    <r>
      <rPr>
        <i/>
        <sz val="10"/>
        <color rgb="FF404040"/>
        <rFont val="微软雅黑"/>
        <family val="2"/>
        <charset val="134"/>
      </rPr>
      <t>并恢复一定技力。</t>
    </r>
  </si>
  <si>
    <t xml:space="preserve"> ✦ 【战技】颠勺！ (chr_0018_dapan_NormalSkill)</t>
  </si>
  <si>
    <r>
      <rPr>
        <i/>
        <sz val="10"/>
        <color rgb="FF404040"/>
        <rFont val="微软雅黑"/>
        <family val="2"/>
        <charset val="134"/>
      </rPr>
      <t>掏出铁锅进行短暂蓄力后，用力向上颠勺，对敌人造成</t>
    </r>
    <r>
      <rPr>
        <b/>
        <i/>
        <sz val="10"/>
        <color rgb="FFE3C19A"/>
        <rFont val="微软雅黑"/>
        <family val="2"/>
        <charset val="134"/>
      </rPr>
      <t>物理伤害</t>
    </r>
    <r>
      <rPr>
        <i/>
        <sz val="10"/>
        <color rgb="FF404040"/>
        <rFont val="微软雅黑"/>
        <family val="2"/>
        <charset val="134"/>
      </rPr>
      <t>与</t>
    </r>
    <r>
      <rPr>
        <b/>
        <i/>
        <u/>
        <sz val="10"/>
        <color rgb="FFE3C19A"/>
        <rFont val="微软雅黑"/>
        <family val="2"/>
        <charset val="134"/>
      </rPr>
      <t>击飞</t>
    </r>
    <r>
      <rPr>
        <i/>
        <sz val="10"/>
        <color rgb="FF404040"/>
        <rFont val="微软雅黑"/>
        <family val="2"/>
        <charset val="134"/>
      </rPr>
      <t>。</t>
    </r>
  </si>
  <si>
    <t>1.8</t>
  </si>
  <si>
    <t xml:space="preserve"> ✦ 【终结技】切丝入锅！ (chr_0018_dapan_UltimateSkill)</t>
  </si>
  <si>
    <r>
      <rPr>
        <i/>
        <sz val="10"/>
        <color rgb="FF404040"/>
        <rFont val="微软雅黑"/>
        <family val="2"/>
        <charset val="134"/>
      </rPr>
      <t>猛拍砧板，立即对前方范围内的敌人强制造成</t>
    </r>
    <r>
      <rPr>
        <b/>
        <i/>
        <u/>
        <sz val="10"/>
        <color rgb="FFE3C19A"/>
        <rFont val="微软雅黑"/>
        <family val="2"/>
        <charset val="134"/>
      </rPr>
      <t>击飞</t>
    </r>
    <r>
      <rPr>
        <i/>
        <sz val="10"/>
        <color rgb="FF404040"/>
        <rFont val="微软雅黑"/>
        <family val="2"/>
        <charset val="134"/>
      </rPr>
      <t>。随后发动6段连续斩击，造成</t>
    </r>
    <r>
      <rPr>
        <b/>
        <i/>
        <sz val="10"/>
        <color rgb="FFE3C19A"/>
        <rFont val="微软雅黑"/>
        <family val="2"/>
        <charset val="134"/>
      </rPr>
      <t>物理伤害</t>
    </r>
    <r>
      <rPr>
        <i/>
        <sz val="10"/>
        <color rgb="FF404040"/>
        <rFont val="微软雅黑"/>
        <family val="2"/>
        <charset val="134"/>
      </rPr>
      <t>，最后将所有敌人一并击坠，强制造成</t>
    </r>
    <r>
      <rPr>
        <b/>
        <i/>
        <u/>
        <sz val="10"/>
        <color rgb="FFE3C19A"/>
        <rFont val="微软雅黑"/>
        <family val="2"/>
        <charset val="134"/>
      </rPr>
      <t>倒地</t>
    </r>
    <r>
      <rPr>
        <i/>
        <sz val="10"/>
        <color rgb="FF404040"/>
        <rFont val="微软雅黑"/>
        <family val="2"/>
        <charset val="134"/>
      </rPr>
      <t>，造成大量</t>
    </r>
    <r>
      <rPr>
        <b/>
        <i/>
        <sz val="10"/>
        <color rgb="FFE3C19A"/>
        <rFont val="微软雅黑"/>
        <family val="2"/>
        <charset val="134"/>
      </rPr>
      <t>物理伤害</t>
    </r>
    <r>
      <rPr>
        <i/>
        <sz val="10"/>
        <color rgb="FF404040"/>
        <rFont val="微软雅黑"/>
        <family val="2"/>
        <charset val="134"/>
      </rPr>
      <t>。</t>
    </r>
  </si>
  <si>
    <t>空中连斩伤害倍率</t>
  </si>
  <si>
    <t>终结伤害倍率</t>
  </si>
  <si>
    <t xml:space="preserve"> ✦ 【连携技】加料！ (chr_0018_dapan_ComboSkill)</t>
  </si>
  <si>
    <r>
      <rPr>
        <i/>
        <sz val="10"/>
        <color rgb="FF404040"/>
        <rFont val="微软雅黑"/>
        <family val="2"/>
        <charset val="134"/>
      </rPr>
      <t>当有敌人达到4层</t>
    </r>
    <r>
      <rPr>
        <b/>
        <i/>
        <u/>
        <sz val="10"/>
        <color rgb="FFE3C19A"/>
        <rFont val="微软雅黑"/>
        <family val="2"/>
        <charset val="134"/>
      </rPr>
      <t>破防</t>
    </r>
    <r>
      <rPr>
        <i/>
        <sz val="10"/>
        <color rgb="FF404040"/>
        <rFont val="微软雅黑"/>
        <family val="2"/>
        <charset val="134"/>
      </rPr>
      <t>时可以发动。抡起铁锅对敌人造成大量</t>
    </r>
    <r>
      <rPr>
        <b/>
        <i/>
        <sz val="10"/>
        <color rgb="FFE3C19A"/>
        <rFont val="微软雅黑"/>
        <family val="2"/>
        <charset val="134"/>
      </rPr>
      <t>物理伤害</t>
    </r>
    <r>
      <rPr>
        <i/>
        <sz val="10"/>
        <color rgb="FF404040"/>
        <rFont val="微软雅黑"/>
        <family val="2"/>
        <charset val="134"/>
      </rPr>
      <t>并</t>
    </r>
    <r>
      <rPr>
        <b/>
        <i/>
        <u/>
        <sz val="10"/>
        <color rgb="FFE3C19A"/>
        <rFont val="微软雅黑"/>
        <family val="2"/>
        <charset val="134"/>
      </rPr>
      <t>猛击</t>
    </r>
    <r>
      <rPr>
        <i/>
        <sz val="10"/>
        <color rgb="FF404040"/>
        <rFont val="微软雅黑"/>
        <family val="2"/>
        <charset val="134"/>
      </rPr>
      <t>，本次</t>
    </r>
    <r>
      <rPr>
        <b/>
        <i/>
        <u/>
        <sz val="10"/>
        <color rgb="FFE3C19A"/>
        <rFont val="微软雅黑"/>
        <family val="2"/>
        <charset val="134"/>
      </rPr>
      <t>猛击</t>
    </r>
    <r>
      <rPr>
        <i/>
        <sz val="10"/>
        <color rgb="FF404040"/>
        <rFont val="微软雅黑"/>
        <family val="2"/>
        <charset val="134"/>
      </rPr>
      <t>的伤害获得额外提升。</t>
    </r>
  </si>
  <si>
    <t>猛击伤害额外提升</t>
  </si>
  <si>
    <t>⚔ 秋栗 - 技能数据面板</t>
  </si>
  <si>
    <t xml:space="preserve"> ✦ 【普通攻击】进取剑锋 (chr_0019_karin_NormalAttack)</t>
  </si>
  <si>
    <r>
      <rPr>
        <i/>
        <sz val="10"/>
        <color rgb="FF404040"/>
        <rFont val="微软雅黑"/>
        <family val="2"/>
        <charset val="134"/>
      </rPr>
      <t>普通攻击：对敌人进行至多4段攻击，造成</t>
    </r>
    <r>
      <rPr>
        <b/>
        <i/>
        <sz val="10"/>
        <color rgb="FFE3C19A"/>
        <rFont val="微软雅黑"/>
        <family val="2"/>
        <charset val="134"/>
      </rPr>
      <t>物理伤害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17</t>
    </r>
    <r>
      <rPr>
        <i/>
        <sz val="10"/>
        <color rgb="FF404040"/>
        <rFont val="微软雅黑"/>
        <family val="2"/>
        <charset val="134"/>
      </rPr>
      <t>点失衡。下落攻击：处于空中时使用普通攻击，会下落并攻击附近敌人，造成</t>
    </r>
    <r>
      <rPr>
        <b/>
        <i/>
        <sz val="10"/>
        <color rgb="FFE3C19A"/>
        <rFont val="微软雅黑"/>
        <family val="2"/>
        <charset val="134"/>
      </rPr>
      <t>物理伤害</t>
    </r>
    <r>
      <rPr>
        <i/>
        <sz val="10"/>
        <color rgb="FF404040"/>
        <rFont val="微软雅黑"/>
        <family val="2"/>
        <charset val="134"/>
      </rPr>
      <t>。处决攻击：附近有敌人处于失衡状态时使用普通攻击，将处决该敌人，造成大量</t>
    </r>
    <r>
      <rPr>
        <b/>
        <i/>
        <sz val="10"/>
        <color rgb="FFE3C19A"/>
        <rFont val="微软雅黑"/>
        <family val="2"/>
        <charset val="134"/>
      </rPr>
      <t>物理伤害</t>
    </r>
    <r>
      <rPr>
        <i/>
        <sz val="10"/>
        <color rgb="FF404040"/>
        <rFont val="微软雅黑"/>
        <family val="2"/>
        <charset val="134"/>
      </rPr>
      <t>并恢复一定技力。</t>
    </r>
  </si>
  <si>
    <t xml:space="preserve"> ✦ 【战技】热情迸发 (chr_0019_karin_NormalSkill)</t>
  </si>
  <si>
    <r>
      <rPr>
        <i/>
        <sz val="10"/>
        <color rgb="FF404040"/>
        <rFont val="微软雅黑"/>
        <family val="2"/>
        <charset val="134"/>
      </rPr>
      <t>向前方挥斩，造成</t>
    </r>
    <r>
      <rPr>
        <b/>
        <i/>
        <sz val="10"/>
        <color rgb="FFFF8E59"/>
        <rFont val="微软雅黑"/>
        <family val="2"/>
        <charset val="134"/>
      </rPr>
      <t>灼热伤害</t>
    </r>
    <r>
      <rPr>
        <i/>
        <sz val="10"/>
        <color rgb="FF404040"/>
        <rFont val="微软雅黑"/>
        <family val="2"/>
        <charset val="134"/>
      </rPr>
      <t>并施加</t>
    </r>
    <r>
      <rPr>
        <b/>
        <i/>
        <u/>
        <sz val="10"/>
        <color rgb="FFFF8E59"/>
        <rFont val="微软雅黑"/>
        <family val="2"/>
        <charset val="134"/>
      </rPr>
      <t>灼热附着</t>
    </r>
    <r>
      <rPr>
        <i/>
        <sz val="10"/>
        <color rgb="FF404040"/>
        <rFont val="微软雅黑"/>
        <family val="2"/>
        <charset val="134"/>
      </rPr>
      <t>。</t>
    </r>
  </si>
  <si>
    <t>199%</t>
  </si>
  <si>
    <t>228%</t>
  </si>
  <si>
    <t>242%</t>
  </si>
  <si>
    <t>274%</t>
  </si>
  <si>
    <t xml:space="preserve"> ✦ 【终结技】小队，集结！ (chr_0019_karin_UltimateSkill)</t>
  </si>
  <si>
    <r>
      <rPr>
        <i/>
        <sz val="10"/>
        <color rgb="FF404040"/>
        <rFont val="微软雅黑"/>
        <family val="2"/>
        <charset val="134"/>
      </rPr>
      <t>进入持续施法状态，发射3枚集结信号弹，每次发射恢复一定技力。</t>
    </r>
  </si>
  <si>
    <t>120</t>
  </si>
  <si>
    <t>58</t>
  </si>
  <si>
    <t>60</t>
  </si>
  <si>
    <t>62</t>
  </si>
  <si>
    <t>64</t>
  </si>
  <si>
    <t>66</t>
  </si>
  <si>
    <t>68</t>
  </si>
  <si>
    <t>72</t>
  </si>
  <si>
    <t>74</t>
  </si>
  <si>
    <t>76</t>
  </si>
  <si>
    <t>78</t>
  </si>
  <si>
    <t xml:space="preserve"> ✦ 【连携技】快闪冲击 (chr_0019_karin_ComboSkill)</t>
  </si>
  <si>
    <r>
      <rPr>
        <i/>
        <sz val="10"/>
        <color rgb="FF404040"/>
        <rFont val="微软雅黑"/>
        <family val="2"/>
        <charset val="134"/>
      </rPr>
      <t>当有敌人失衡，或触发</t>
    </r>
    <r>
      <rPr>
        <b/>
        <i/>
        <u/>
        <sz val="10"/>
        <color rgb="FFFFAE6B"/>
        <rFont val="微软雅黑"/>
        <family val="2"/>
        <charset val="134"/>
      </rPr>
      <t>失衡节点</t>
    </r>
    <r>
      <rPr>
        <i/>
        <sz val="10"/>
        <color rgb="FF404040"/>
        <rFont val="微软雅黑"/>
        <family val="2"/>
        <charset val="134"/>
      </rPr>
      <t>时可以发动。进行来回2段突刺，每段造成</t>
    </r>
    <r>
      <rPr>
        <b/>
        <i/>
        <sz val="10"/>
        <color rgb="FFE3C19A"/>
        <rFont val="微软雅黑"/>
        <family val="2"/>
        <charset val="134"/>
      </rPr>
      <t>物理伤害</t>
    </r>
    <r>
      <rPr>
        <i/>
        <sz val="10"/>
        <color rgb="FF404040"/>
        <rFont val="微软雅黑"/>
        <family val="2"/>
        <charset val="134"/>
      </rPr>
      <t>，并恢复一定技力。</t>
    </r>
  </si>
  <si>
    <t>每段失衡值</t>
  </si>
  <si>
    <t>每段恢复技力</t>
  </si>
  <si>
    <t>7.5</t>
  </si>
  <si>
    <t>⚔ 卡契尔 - 技能数据面板</t>
  </si>
  <si>
    <t xml:space="preserve"> ✦ 【普通攻击】基础战术 (chr_0020_meurs_NormalAttack)</t>
  </si>
  <si>
    <r>
      <rPr>
        <i/>
        <sz val="10"/>
        <color rgb="FF404040"/>
        <rFont val="微软雅黑"/>
        <family val="2"/>
        <charset val="134"/>
      </rPr>
      <t>普通攻击：对敌人进行至多4段攻击，造成</t>
    </r>
    <r>
      <rPr>
        <b/>
        <i/>
        <sz val="10"/>
        <color rgb="FFE3C19A"/>
        <rFont val="微软雅黑"/>
        <family val="2"/>
        <charset val="134"/>
      </rPr>
      <t>物理伤害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22</t>
    </r>
    <r>
      <rPr>
        <i/>
        <sz val="10"/>
        <color rgb="FF404040"/>
        <rFont val="微软雅黑"/>
        <family val="2"/>
        <charset val="134"/>
      </rPr>
      <t>点失衡。下落攻击：处于空中时使用普通攻击，会下落并攻击附近敌人，造成</t>
    </r>
    <r>
      <rPr>
        <b/>
        <i/>
        <sz val="10"/>
        <color rgb="FFE3C19A"/>
        <rFont val="微软雅黑"/>
        <family val="2"/>
        <charset val="134"/>
      </rPr>
      <t>物理伤害</t>
    </r>
    <r>
      <rPr>
        <i/>
        <sz val="10"/>
        <color rgb="FF404040"/>
        <rFont val="微软雅黑"/>
        <family val="2"/>
        <charset val="134"/>
      </rPr>
      <t>。处决攻击：附近有敌人处于失衡状态时使用普通攻击，将处决该敌人，造成大量</t>
    </r>
    <r>
      <rPr>
        <b/>
        <i/>
        <sz val="10"/>
        <color rgb="FFE3C19A"/>
        <rFont val="微软雅黑"/>
        <family val="2"/>
        <charset val="134"/>
      </rPr>
      <t>物理伤害</t>
    </r>
    <r>
      <rPr>
        <i/>
        <sz val="10"/>
        <color rgb="FF404040"/>
        <rFont val="微软雅黑"/>
        <family val="2"/>
        <charset val="134"/>
      </rPr>
      <t>并恢复一定技力。</t>
    </r>
  </si>
  <si>
    <t>137%</t>
  </si>
  <si>
    <t xml:space="preserve"> ✦ 【战技】刚性阻击 (chr_0020_meurs_NormalSkill)</t>
  </si>
  <si>
    <r>
      <rPr>
        <i/>
        <sz val="10"/>
        <color rgb="FF404040"/>
        <rFont val="微软雅黑"/>
        <family val="2"/>
        <charset val="134"/>
      </rPr>
      <t>架起盾牌格挡攻击，使自身及周围干员获得</t>
    </r>
    <r>
      <rPr>
        <b/>
        <i/>
        <u/>
        <sz val="10"/>
        <color rgb="FF33C2FF"/>
        <rFont val="微软雅黑"/>
        <family val="2"/>
        <charset val="134"/>
      </rPr>
      <t>庇护</t>
    </r>
    <r>
      <rPr>
        <i/>
        <sz val="10"/>
        <color rgb="FF404040"/>
        <rFont val="微软雅黑"/>
        <family val="2"/>
        <charset val="134"/>
      </rPr>
      <t>，并立即</t>
    </r>
    <r>
      <rPr>
        <i/>
        <u/>
        <sz val="10"/>
        <color rgb="FF404040"/>
        <rFont val="微软雅黑"/>
        <family val="2"/>
        <charset val="134"/>
      </rPr>
      <t>返还</t>
    </r>
    <r>
      <rPr>
        <i/>
        <sz val="10"/>
        <color rgb="FF404040"/>
        <rFont val="微软雅黑"/>
        <family val="2"/>
        <charset val="134"/>
      </rPr>
      <t>一定技力。若在立盾期间受到攻击，则发动一次反击，尝试对敌人造成</t>
    </r>
    <r>
      <rPr>
        <b/>
        <i/>
        <sz val="10"/>
        <color rgb="FFE3C19A"/>
        <rFont val="微软雅黑"/>
        <family val="2"/>
        <charset val="134"/>
      </rPr>
      <t>物理伤害</t>
    </r>
    <r>
      <rPr>
        <i/>
        <sz val="10"/>
        <color rgb="FF404040"/>
        <rFont val="微软雅黑"/>
        <family val="2"/>
        <charset val="134"/>
      </rPr>
      <t>并施加1层</t>
    </r>
    <r>
      <rPr>
        <b/>
        <i/>
        <u/>
        <sz val="10"/>
        <color rgb="FFE3C19A"/>
        <rFont val="微软雅黑"/>
        <family val="2"/>
        <charset val="134"/>
      </rPr>
      <t>破防</t>
    </r>
    <r>
      <rPr>
        <i/>
        <sz val="10"/>
        <color rgb="FF404040"/>
        <rFont val="微软雅黑"/>
        <family val="2"/>
        <charset val="134"/>
      </rPr>
      <t>。</t>
    </r>
  </si>
  <si>
    <t xml:space="preserve"> ✦ 【终结技】教科书式猛攻 (chr_0020_meurs_UltimateSkill)</t>
  </si>
  <si>
    <r>
      <rPr>
        <i/>
        <sz val="10"/>
        <color rgb="FF404040"/>
        <rFont val="微软雅黑"/>
        <family val="2"/>
        <charset val="134"/>
      </rPr>
      <t>挥动大剑快速向前斩击2次，造成</t>
    </r>
    <r>
      <rPr>
        <b/>
        <i/>
        <sz val="10"/>
        <color rgb="FFE3C19A"/>
        <rFont val="微软雅黑"/>
        <family val="2"/>
        <charset val="134"/>
      </rPr>
      <t>物理伤害</t>
    </r>
    <r>
      <rPr>
        <i/>
        <sz val="10"/>
        <color rgb="FF404040"/>
        <rFont val="微软雅黑"/>
        <family val="2"/>
        <charset val="134"/>
      </rPr>
      <t>并施加</t>
    </r>
    <r>
      <rPr>
        <b/>
        <i/>
        <u/>
        <sz val="10"/>
        <color rgb="FF33C2FF"/>
        <rFont val="微软雅黑"/>
        <family val="2"/>
        <charset val="134"/>
      </rPr>
      <t>虚弱</t>
    </r>
    <r>
      <rPr>
        <i/>
        <sz val="10"/>
        <color rgb="FF404040"/>
        <rFont val="微软雅黑"/>
        <family val="2"/>
        <charset val="134"/>
      </rPr>
      <t>。最后向下猛砸，对目标范围内的所有敌人造成大量</t>
    </r>
    <r>
      <rPr>
        <b/>
        <i/>
        <sz val="10"/>
        <color rgb="FFE3C19A"/>
        <rFont val="微软雅黑"/>
        <family val="2"/>
        <charset val="134"/>
      </rPr>
      <t>物理伤害</t>
    </r>
    <r>
      <rPr>
        <i/>
        <sz val="10"/>
        <color rgb="FF404040"/>
        <rFont val="微软雅黑"/>
        <family val="2"/>
        <charset val="134"/>
      </rPr>
      <t>并造成</t>
    </r>
    <r>
      <rPr>
        <b/>
        <i/>
        <u/>
        <sz val="10"/>
        <color rgb="FFE3C19A"/>
        <rFont val="微软雅黑"/>
        <family val="2"/>
        <charset val="134"/>
      </rPr>
      <t>倒地</t>
    </r>
    <r>
      <rPr>
        <i/>
        <sz val="10"/>
        <color rgb="FF404040"/>
        <rFont val="微软雅黑"/>
        <family val="2"/>
        <charset val="134"/>
      </rPr>
      <t>。</t>
    </r>
  </si>
  <si>
    <t>172%</t>
  </si>
  <si>
    <t>虚弱效果</t>
  </si>
  <si>
    <t>虚弱持续时间（秒）</t>
  </si>
  <si>
    <t xml:space="preserve"> ✦ 【连携技】即时压制 (chr_0020_meurs_ComboSkill)</t>
  </si>
  <si>
    <r>
      <rPr>
        <i/>
        <sz val="10"/>
        <color rgb="FF404040"/>
        <rFont val="微软雅黑"/>
        <family val="2"/>
        <charset val="134"/>
      </rPr>
      <t>当敌人开始蓄力，或主控干员受到攻击后生命值低于40%可以发动。挥拳向前用力扣下，对敌人造成</t>
    </r>
    <r>
      <rPr>
        <b/>
        <i/>
        <sz val="10"/>
        <color rgb="FFE3C19A"/>
        <rFont val="微软雅黑"/>
        <family val="2"/>
        <charset val="134"/>
      </rPr>
      <t>物理伤害</t>
    </r>
    <r>
      <rPr>
        <i/>
        <sz val="10"/>
        <color rgb="FF404040"/>
        <rFont val="微软雅黑"/>
        <family val="2"/>
        <charset val="134"/>
      </rPr>
      <t>，并使自身和另一名友方干员（主控干员优先）获得</t>
    </r>
    <r>
      <rPr>
        <b/>
        <i/>
        <u/>
        <sz val="10"/>
        <color rgb="FF33C2FF"/>
        <rFont val="微软雅黑"/>
        <family val="2"/>
        <charset val="134"/>
      </rPr>
      <t>护盾</t>
    </r>
    <r>
      <rPr>
        <i/>
        <sz val="10"/>
        <color rgb="FF404040"/>
        <rFont val="微软雅黑"/>
        <family val="2"/>
        <charset val="134"/>
      </rPr>
      <t>。防御力可以额外提高护盾值。</t>
    </r>
  </si>
  <si>
    <t>35.0s</t>
  </si>
  <si>
    <t>33.0s</t>
  </si>
  <si>
    <t>基础值护盾</t>
  </si>
  <si>
    <t>432</t>
  </si>
  <si>
    <t>504</t>
  </si>
  <si>
    <t>576</t>
  </si>
  <si>
    <t>612</t>
  </si>
  <si>
    <t>648</t>
  </si>
  <si>
    <t>684</t>
  </si>
  <si>
    <t>720</t>
  </si>
  <si>
    <t>756</t>
  </si>
  <si>
    <t>774</t>
  </si>
  <si>
    <t>792</t>
  </si>
  <si>
    <t>810</t>
  </si>
  <si>
    <t>每点防御力提升的护盾值</t>
  </si>
  <si>
    <t>2.25</t>
  </si>
  <si>
    <t>2.7</t>
  </si>
  <si>
    <t>3.15</t>
  </si>
  <si>
    <t>3.6</t>
  </si>
  <si>
    <t>3.83</t>
  </si>
  <si>
    <t>4.05</t>
  </si>
  <si>
    <t>4.28</t>
  </si>
  <si>
    <t>4.73</t>
  </si>
  <si>
    <t>4.84</t>
  </si>
  <si>
    <t>4.95</t>
  </si>
  <si>
    <t>5.06</t>
  </si>
  <si>
    <t>⚔ 埃特拉 - 技能数据面板</t>
  </si>
  <si>
    <t xml:space="preserve"> ✦ 【普通攻击】噪点 (chr_0021_whiten_NormalAttack)</t>
  </si>
  <si>
    <t xml:space="preserve"> ✦ 【战技】凝声 (chr_0021_whiten_NormalSkill)</t>
  </si>
  <si>
    <r>
      <rPr>
        <i/>
        <sz val="10"/>
        <color rgb="FF404040"/>
        <rFont val="微软雅黑"/>
        <family val="2"/>
        <charset val="134"/>
      </rPr>
      <t>向前刺出长枪，激发出一道制冷声波，对一条直线上的敌人造成</t>
    </r>
    <r>
      <rPr>
        <b/>
        <i/>
        <sz val="10"/>
        <color rgb="FF30D6E0"/>
        <rFont val="微软雅黑"/>
        <family val="2"/>
        <charset val="134"/>
      </rPr>
      <t>寒冷伤害</t>
    </r>
    <r>
      <rPr>
        <i/>
        <sz val="10"/>
        <color rgb="FF404040"/>
        <rFont val="微软雅黑"/>
        <family val="2"/>
        <charset val="134"/>
      </rPr>
      <t>并施加</t>
    </r>
    <r>
      <rPr>
        <b/>
        <i/>
        <u/>
        <sz val="10"/>
        <color rgb="FF30D6E0"/>
        <rFont val="微软雅黑"/>
        <family val="2"/>
        <charset val="134"/>
      </rPr>
      <t>寒冷附着</t>
    </r>
    <r>
      <rPr>
        <i/>
        <sz val="10"/>
        <color rgb="FF404040"/>
        <rFont val="微软雅黑"/>
        <family val="2"/>
        <charset val="134"/>
      </rPr>
      <t>。</t>
    </r>
  </si>
  <si>
    <t xml:space="preserve"> ✦ 【终结技】震音 (chr_0021_whiten_UltimateSkill)</t>
  </si>
  <si>
    <r>
      <rPr>
        <i/>
        <sz val="10"/>
        <color rgb="FF404040"/>
        <rFont val="微软雅黑"/>
        <family val="2"/>
        <charset val="134"/>
      </rPr>
      <t>耗尽全身力气，用力下砸枪柄，对自身附近圆形范围的敌人造成</t>
    </r>
    <r>
      <rPr>
        <b/>
        <i/>
        <sz val="10"/>
        <color rgb="FFE3C19A"/>
        <rFont val="微软雅黑"/>
        <family val="2"/>
        <charset val="134"/>
      </rPr>
      <t>物理伤害</t>
    </r>
    <r>
      <rPr>
        <i/>
        <sz val="10"/>
        <color rgb="FF404040"/>
        <rFont val="微软雅黑"/>
        <family val="2"/>
        <charset val="134"/>
      </rPr>
      <t>。如果敌人处于</t>
    </r>
    <r>
      <rPr>
        <b/>
        <i/>
        <u/>
        <sz val="10"/>
        <color rgb="FFE3C19A"/>
        <rFont val="微软雅黑"/>
        <family val="2"/>
        <charset val="134"/>
      </rPr>
      <t>物理脆弱</t>
    </r>
    <r>
      <rPr>
        <i/>
        <sz val="10"/>
        <color rgb="FF404040"/>
        <rFont val="微软雅黑"/>
        <family val="2"/>
        <charset val="134"/>
      </rPr>
      <t>状态，则对其强制造成</t>
    </r>
    <r>
      <rPr>
        <b/>
        <i/>
        <u/>
        <sz val="10"/>
        <color rgb="FFE3C19A"/>
        <rFont val="微软雅黑"/>
        <family val="2"/>
        <charset val="134"/>
      </rPr>
      <t>击飞</t>
    </r>
    <r>
      <rPr>
        <i/>
        <sz val="10"/>
        <color rgb="FF404040"/>
        <rFont val="微软雅黑"/>
        <family val="2"/>
        <charset val="134"/>
      </rPr>
      <t>。</t>
    </r>
  </si>
  <si>
    <t>538%</t>
  </si>
  <si>
    <t>586%</t>
  </si>
  <si>
    <t>635%</t>
  </si>
  <si>
    <t>733%</t>
  </si>
  <si>
    <t>782%</t>
  </si>
  <si>
    <t>831%</t>
  </si>
  <si>
    <t>880%</t>
  </si>
  <si>
    <t>941%</t>
  </si>
  <si>
    <t>1014%</t>
  </si>
  <si>
    <t>1100%</t>
  </si>
  <si>
    <t xml:space="preserve"> ✦ 【连携技】失真 (chr_0021_whiten_ComboSkill)</t>
  </si>
  <si>
    <r>
      <rPr>
        <i/>
        <sz val="10"/>
        <color rgb="FF404040"/>
        <rFont val="微软雅黑"/>
        <family val="2"/>
        <charset val="134"/>
      </rPr>
      <t>当有敌人进入</t>
    </r>
    <r>
      <rPr>
        <b/>
        <i/>
        <u/>
        <sz val="10"/>
        <color rgb="FF30D6E0"/>
        <rFont val="微软雅黑"/>
        <family val="2"/>
        <charset val="134"/>
      </rPr>
      <t>冻结</t>
    </r>
    <r>
      <rPr>
        <i/>
        <sz val="10"/>
        <color rgb="FF404040"/>
        <rFont val="微软雅黑"/>
        <family val="2"/>
        <charset val="134"/>
      </rPr>
      <t>状态时可以发动。迅速移动到敌人身边，对小范围内的敌人造成</t>
    </r>
    <r>
      <rPr>
        <b/>
        <i/>
        <sz val="10"/>
        <color rgb="FFE3C19A"/>
        <rFont val="微软雅黑"/>
        <family val="2"/>
        <charset val="134"/>
      </rPr>
      <t>物理伤害</t>
    </r>
    <r>
      <rPr>
        <i/>
        <sz val="10"/>
        <color rgb="FF404040"/>
        <rFont val="微软雅黑"/>
        <family val="2"/>
        <charset val="134"/>
      </rPr>
      <t>并强制造成</t>
    </r>
    <r>
      <rPr>
        <b/>
        <i/>
        <u/>
        <sz val="10"/>
        <color rgb="FFE3C19A"/>
        <rFont val="微软雅黑"/>
        <family val="2"/>
        <charset val="134"/>
      </rPr>
      <t>击飞</t>
    </r>
    <r>
      <rPr>
        <i/>
        <sz val="10"/>
        <color rgb="FF404040"/>
        <rFont val="微软雅黑"/>
        <family val="2"/>
        <charset val="134"/>
      </rPr>
      <t>。如果命中处于</t>
    </r>
    <r>
      <rPr>
        <b/>
        <i/>
        <u/>
        <sz val="10"/>
        <color rgb="FF30D6E0"/>
        <rFont val="微软雅黑"/>
        <family val="2"/>
        <charset val="134"/>
      </rPr>
      <t>冻结</t>
    </r>
    <r>
      <rPr>
        <i/>
        <sz val="10"/>
        <color rgb="FF404040"/>
        <rFont val="微软雅黑"/>
        <family val="2"/>
        <charset val="134"/>
      </rPr>
      <t>状态的敌人，还会造成额外伤害并施加</t>
    </r>
    <r>
      <rPr>
        <b/>
        <i/>
        <u/>
        <sz val="10"/>
        <color rgb="FFE3C19A"/>
        <rFont val="微软雅黑"/>
        <family val="2"/>
        <charset val="134"/>
      </rPr>
      <t>物理脆弱</t>
    </r>
    <r>
      <rPr>
        <i/>
        <sz val="10"/>
        <color rgb="FF404040"/>
        <rFont val="微软雅黑"/>
        <family val="2"/>
        <charset val="134"/>
      </rPr>
      <t>。</t>
    </r>
  </si>
  <si>
    <t>17.0s</t>
  </si>
  <si>
    <t>对非冻结敌人的伤害倍率</t>
  </si>
  <si>
    <t>272%</t>
  </si>
  <si>
    <t>308%</t>
  </si>
  <si>
    <t>332%</t>
  </si>
  <si>
    <t>对冻结敌人的伤害倍率</t>
  </si>
  <si>
    <t>364%</t>
  </si>
  <si>
    <t>392%</t>
  </si>
  <si>
    <t>448%</t>
  </si>
  <si>
    <t>476%</t>
  </si>
  <si>
    <t>504%</t>
  </si>
  <si>
    <t>539%</t>
  </si>
  <si>
    <t>630%</t>
  </si>
  <si>
    <t>物理脆弱倍率</t>
  </si>
  <si>
    <t>物理脆弱持续时间</t>
  </si>
  <si>
    <t>6</t>
  </si>
  <si>
    <t>⚔ 萤石 - 技能数据面板</t>
  </si>
  <si>
    <t xml:space="preserve"> ✦ 【普通攻击】独门射击法 (chr_0022_bounda_NormalAttack)</t>
  </si>
  <si>
    <r>
      <rPr>
        <i/>
        <sz val="10"/>
        <color rgb="FF404040"/>
        <rFont val="微软雅黑"/>
        <family val="2"/>
        <charset val="134"/>
      </rPr>
      <t>普通攻击：对敌人进行至多4段攻击，造成</t>
    </r>
    <r>
      <rPr>
        <b/>
        <i/>
        <sz val="10"/>
        <color rgb="FFB4D945"/>
        <rFont val="微软雅黑"/>
        <family val="2"/>
        <charset val="134"/>
      </rPr>
      <t>自然伤害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15</t>
    </r>
    <r>
      <rPr>
        <i/>
        <sz val="10"/>
        <color rgb="FF404040"/>
        <rFont val="微软雅黑"/>
        <family val="2"/>
        <charset val="134"/>
      </rPr>
      <t>点失衡。下落攻击：处于空中时使用普通攻击，会下落并攻击附近敌人，造成</t>
    </r>
    <r>
      <rPr>
        <b/>
        <i/>
        <sz val="10"/>
        <color rgb="FFB4D945"/>
        <rFont val="微软雅黑"/>
        <family val="2"/>
        <charset val="134"/>
      </rPr>
      <t>自然伤害</t>
    </r>
    <r>
      <rPr>
        <i/>
        <sz val="10"/>
        <color rgb="FF404040"/>
        <rFont val="微软雅黑"/>
        <family val="2"/>
        <charset val="134"/>
      </rPr>
      <t>。处决攻击：附近有敌人处于失衡状态时使用普通攻击，将处决该敌人，造成大量</t>
    </r>
    <r>
      <rPr>
        <b/>
        <i/>
        <sz val="10"/>
        <color rgb="FFB4D945"/>
        <rFont val="微软雅黑"/>
        <family val="2"/>
        <charset val="134"/>
      </rPr>
      <t>自然伤害</t>
    </r>
    <r>
      <rPr>
        <i/>
        <sz val="10"/>
        <color rgb="FF404040"/>
        <rFont val="微软雅黑"/>
        <family val="2"/>
        <charset val="134"/>
      </rPr>
      <t>并恢复一定技力。</t>
    </r>
  </si>
  <si>
    <t xml:space="preserve"> ✦ 【战技】小惊喜 (chr_0022_bounda_NormalSkill)</t>
  </si>
  <si>
    <r>
      <rPr>
        <i/>
        <sz val="10"/>
        <color rgb="FF404040"/>
        <rFont val="微软雅黑"/>
        <family val="2"/>
        <charset val="134"/>
      </rPr>
      <t>踢出</t>
    </r>
    <r>
      <rPr>
        <b/>
        <i/>
        <sz val="10"/>
        <color rgb="FF33C2FF"/>
        <rFont val="微软雅黑"/>
        <family val="2"/>
        <charset val="134"/>
      </rPr>
      <t>自制炸弹</t>
    </r>
    <r>
      <rPr>
        <i/>
        <sz val="10"/>
        <color rgb="FF404040"/>
        <rFont val="微软雅黑"/>
        <family val="2"/>
        <charset val="134"/>
      </rPr>
      <t>将其黏附在目标身上，并施加</t>
    </r>
    <r>
      <rPr>
        <b/>
        <i/>
        <u/>
        <sz val="10"/>
        <color rgb="FF33C2FF"/>
        <rFont val="微软雅黑"/>
        <family val="2"/>
        <charset val="134"/>
      </rPr>
      <t>缓速</t>
    </r>
    <r>
      <rPr>
        <i/>
        <sz val="10"/>
        <color rgb="FF404040"/>
        <rFont val="微软雅黑"/>
        <family val="2"/>
        <charset val="134"/>
      </rPr>
      <t>，短暂延迟后爆炸对范围内的敌人造成</t>
    </r>
    <r>
      <rPr>
        <b/>
        <i/>
        <sz val="10"/>
        <color rgb="FFB4D945"/>
        <rFont val="微软雅黑"/>
        <family val="2"/>
        <charset val="134"/>
      </rPr>
      <t>自然伤害</t>
    </r>
    <r>
      <rPr>
        <i/>
        <sz val="10"/>
        <color rgb="FF404040"/>
        <rFont val="微软雅黑"/>
        <family val="2"/>
        <charset val="134"/>
      </rPr>
      <t>并施加</t>
    </r>
    <r>
      <rPr>
        <b/>
        <i/>
        <u/>
        <sz val="10"/>
        <color rgb="FFB4D945"/>
        <rFont val="微软雅黑"/>
        <family val="2"/>
        <charset val="134"/>
      </rPr>
      <t>自然附着</t>
    </r>
    <r>
      <rPr>
        <i/>
        <sz val="10"/>
        <color rgb="FF404040"/>
        <rFont val="微软雅黑"/>
        <family val="2"/>
        <charset val="134"/>
      </rPr>
      <t>。若黏附目标被击败则</t>
    </r>
    <r>
      <rPr>
        <b/>
        <i/>
        <sz val="10"/>
        <color rgb="FF33C2FF"/>
        <rFont val="微软雅黑"/>
        <family val="2"/>
        <charset val="134"/>
      </rPr>
      <t>自制炸弹</t>
    </r>
    <r>
      <rPr>
        <i/>
        <sz val="10"/>
        <color rgb="FF404040"/>
        <rFont val="微软雅黑"/>
        <family val="2"/>
        <charset val="134"/>
      </rPr>
      <t>提前爆炸。</t>
    </r>
    <r>
      <rPr>
        <b/>
        <i/>
        <sz val="10"/>
        <color rgb="FF999999"/>
        <rFont val="微软雅黑"/>
        <family val="2"/>
        <charset val="134"/>
      </rPr>
      <t>场上同时只能存在一个自制炸弹。</t>
    </r>
  </si>
  <si>
    <t>206%</t>
  </si>
  <si>
    <t>262%</t>
  </si>
  <si>
    <t>388%</t>
  </si>
  <si>
    <t xml:space="preserve"> ✦ 【终结技】巅峰闹剧 (chr_0022_bounda_UltimateSkill)</t>
  </si>
  <si>
    <r>
      <rPr>
        <i/>
        <sz val="10"/>
        <color rgb="FF404040"/>
        <rFont val="微软雅黑"/>
        <family val="2"/>
        <charset val="134"/>
      </rPr>
      <t>萤石以弧形轨迹高速运动并向弧内目标快速射击，造成4段</t>
    </r>
    <r>
      <rPr>
        <b/>
        <i/>
        <sz val="10"/>
        <color rgb="FFB4D945"/>
        <rFont val="微软雅黑"/>
        <family val="2"/>
        <charset val="134"/>
      </rPr>
      <t>自然伤害</t>
    </r>
    <r>
      <rPr>
        <i/>
        <sz val="10"/>
        <color rgb="FF404040"/>
        <rFont val="微软雅黑"/>
        <family val="2"/>
        <charset val="134"/>
      </rPr>
      <t>，若命中目标身上粘有</t>
    </r>
    <r>
      <rPr>
        <b/>
        <i/>
        <sz val="10"/>
        <color rgb="FF33C2FF"/>
        <rFont val="微软雅黑"/>
        <family val="2"/>
        <charset val="134"/>
      </rPr>
      <t>自制炸弹</t>
    </r>
    <r>
      <rPr>
        <i/>
        <sz val="10"/>
        <color rgb="FF404040"/>
        <rFont val="微软雅黑"/>
        <family val="2"/>
        <charset val="134"/>
      </rPr>
      <t>，则立刻将其引爆并提升爆炸伤害及范围。若最后一段伤害命中处于2层及以上</t>
    </r>
    <r>
      <rPr>
        <b/>
        <i/>
        <u/>
        <sz val="10"/>
        <color rgb="FF30D6E0"/>
        <rFont val="微软雅黑"/>
        <family val="2"/>
        <charset val="134"/>
      </rPr>
      <t>寒冷附着</t>
    </r>
    <r>
      <rPr>
        <i/>
        <sz val="10"/>
        <color rgb="FF404040"/>
        <rFont val="微软雅黑"/>
        <family val="2"/>
        <charset val="134"/>
      </rPr>
      <t>或</t>
    </r>
    <r>
      <rPr>
        <b/>
        <i/>
        <u/>
        <sz val="10"/>
        <color rgb="FFB4D945"/>
        <rFont val="微软雅黑"/>
        <family val="2"/>
        <charset val="134"/>
      </rPr>
      <t>自然附着</t>
    </r>
    <r>
      <rPr>
        <i/>
        <sz val="10"/>
        <color rgb="FF404040"/>
        <rFont val="微软雅黑"/>
        <family val="2"/>
        <charset val="134"/>
      </rPr>
      <t>的目标，则再次施加该</t>
    </r>
    <r>
      <rPr>
        <b/>
        <i/>
        <u/>
        <sz val="10"/>
        <color rgb="FF33C2FF"/>
        <rFont val="微软雅黑"/>
        <family val="2"/>
        <charset val="134"/>
      </rPr>
      <t>法术附着</t>
    </r>
    <r>
      <rPr>
        <i/>
        <sz val="10"/>
        <color rgb="FF404040"/>
        <rFont val="微软雅黑"/>
        <family val="2"/>
        <charset val="134"/>
      </rPr>
      <t>。</t>
    </r>
  </si>
  <si>
    <t>第四段伤害倍率</t>
  </si>
  <si>
    <t>战技范围提升</t>
  </si>
  <si>
    <t>战技伤害提升</t>
  </si>
  <si>
    <t xml:space="preserve"> ✦ 【连携技】免费赠礼 (chr_0022_bounda_ComboSkill)</t>
  </si>
  <si>
    <r>
      <rPr>
        <i/>
        <sz val="10"/>
        <color rgb="FF404040"/>
        <rFont val="微软雅黑"/>
        <family val="2"/>
        <charset val="134"/>
      </rPr>
      <t>当敌人进入2层及以上</t>
    </r>
    <r>
      <rPr>
        <b/>
        <i/>
        <u/>
        <sz val="10"/>
        <color rgb="FF30D6E0"/>
        <rFont val="微软雅黑"/>
        <family val="2"/>
        <charset val="134"/>
      </rPr>
      <t>寒冷附着</t>
    </r>
    <r>
      <rPr>
        <i/>
        <sz val="10"/>
        <color rgb="FF404040"/>
        <rFont val="微软雅黑"/>
        <family val="2"/>
        <charset val="134"/>
      </rPr>
      <t>或</t>
    </r>
    <r>
      <rPr>
        <b/>
        <i/>
        <u/>
        <sz val="10"/>
        <color rgb="FFB4D945"/>
        <rFont val="微软雅黑"/>
        <family val="2"/>
        <charset val="134"/>
      </rPr>
      <t>自然附着</t>
    </r>
    <r>
      <rPr>
        <i/>
        <sz val="10"/>
        <color rgb="FF404040"/>
        <rFont val="微软雅黑"/>
        <family val="2"/>
        <charset val="134"/>
      </rPr>
      <t>时可以发动。射击目标敌人，引发一次特殊爆炸，造成</t>
    </r>
    <r>
      <rPr>
        <b/>
        <i/>
        <sz val="10"/>
        <color rgb="FFB4D945"/>
        <rFont val="微软雅黑"/>
        <family val="2"/>
        <charset val="134"/>
      </rPr>
      <t>自然伤害</t>
    </r>
    <r>
      <rPr>
        <i/>
        <sz val="10"/>
        <color rgb="FF404040"/>
        <rFont val="微软雅黑"/>
        <family val="2"/>
        <charset val="134"/>
      </rPr>
      <t>并施加该</t>
    </r>
    <r>
      <rPr>
        <b/>
        <i/>
        <u/>
        <sz val="10"/>
        <color rgb="FF33C2FF"/>
        <rFont val="微软雅黑"/>
        <family val="2"/>
        <charset val="134"/>
      </rPr>
      <t>法术附着</t>
    </r>
    <r>
      <rPr>
        <i/>
        <sz val="10"/>
        <color rgb="FF404040"/>
        <rFont val="微软雅黑"/>
        <family val="2"/>
        <charset val="134"/>
      </rPr>
      <t>。</t>
    </r>
  </si>
  <si>
    <t>40.0s</t>
  </si>
  <si>
    <t>38.0s</t>
  </si>
  <si>
    <t>237%</t>
  </si>
  <si>
    <t>254%</t>
  </si>
  <si>
    <t>351%</t>
  </si>
  <si>
    <t>⚔ 安塔尔 - 技能数据面板</t>
  </si>
  <si>
    <t xml:space="preserve"> ✦ 【普通攻击】交换电流 (chr_0023_antal_NormalAttack)</t>
  </si>
  <si>
    <t xml:space="preserve"> ✦ 【战技】指定研究对象 (chr_0023_antal_NormalSkill)</t>
  </si>
  <si>
    <r>
      <rPr>
        <i/>
        <sz val="10"/>
        <color rgb="FF404040"/>
        <rFont val="微软雅黑"/>
        <family val="2"/>
        <charset val="134"/>
      </rPr>
      <t>对敌人施加长时间</t>
    </r>
    <r>
      <rPr>
        <b/>
        <i/>
        <sz val="10"/>
        <color rgb="FF33C2FF"/>
        <rFont val="微软雅黑"/>
        <family val="2"/>
        <charset val="134"/>
      </rPr>
      <t>聚焦</t>
    </r>
    <r>
      <rPr>
        <i/>
        <sz val="10"/>
        <color rgb="FF404040"/>
        <rFont val="微软雅黑"/>
        <family val="2"/>
        <charset val="134"/>
      </rPr>
      <t>，造成</t>
    </r>
    <r>
      <rPr>
        <b/>
        <i/>
        <sz val="10"/>
        <color rgb="FFFFCC00"/>
        <rFont val="微软雅黑"/>
        <family val="2"/>
        <charset val="134"/>
      </rPr>
      <t>电磁伤害</t>
    </r>
    <r>
      <rPr>
        <i/>
        <sz val="10"/>
        <color rgb="FF404040"/>
        <rFont val="微软雅黑"/>
        <family val="2"/>
        <charset val="134"/>
      </rPr>
      <t>，被</t>
    </r>
    <r>
      <rPr>
        <b/>
        <i/>
        <sz val="10"/>
        <color rgb="FF33C2FF"/>
        <rFont val="微软雅黑"/>
        <family val="2"/>
        <charset val="134"/>
      </rPr>
      <t>聚焦</t>
    </r>
    <r>
      <rPr>
        <i/>
        <sz val="10"/>
        <color rgb="FF404040"/>
        <rFont val="微软雅黑"/>
        <family val="2"/>
        <charset val="134"/>
      </rPr>
      <t>的敌人受到</t>
    </r>
    <r>
      <rPr>
        <b/>
        <i/>
        <u/>
        <sz val="10"/>
        <color rgb="FFFFCC00"/>
        <rFont val="微软雅黑"/>
        <family val="2"/>
        <charset val="134"/>
      </rPr>
      <t>电磁脆弱</t>
    </r>
    <r>
      <rPr>
        <i/>
        <sz val="10"/>
        <color rgb="FF404040"/>
        <rFont val="微软雅黑"/>
        <family val="2"/>
        <charset val="134"/>
      </rPr>
      <t>和</t>
    </r>
    <r>
      <rPr>
        <b/>
        <i/>
        <u/>
        <sz val="10"/>
        <color rgb="FFFF8E59"/>
        <rFont val="微软雅黑"/>
        <family val="2"/>
        <charset val="134"/>
      </rPr>
      <t>灼热脆弱</t>
    </r>
    <r>
      <rPr>
        <i/>
        <sz val="10"/>
        <color rgb="FF404040"/>
        <rFont val="微软雅黑"/>
        <family val="2"/>
        <charset val="134"/>
      </rPr>
      <t>，同时最多</t>
    </r>
    <r>
      <rPr>
        <b/>
        <i/>
        <sz val="10"/>
        <color rgb="FF33C2FF"/>
        <rFont val="微软雅黑"/>
        <family val="2"/>
        <charset val="134"/>
      </rPr>
      <t>聚焦</t>
    </r>
    <r>
      <rPr>
        <i/>
        <sz val="10"/>
        <color rgb="FF404040"/>
        <rFont val="微软雅黑"/>
        <family val="2"/>
        <charset val="134"/>
      </rPr>
      <t>1个敌人。</t>
    </r>
  </si>
  <si>
    <t>电磁脆弱效果</t>
  </si>
  <si>
    <t>灼热脆弱效果</t>
  </si>
  <si>
    <t xml:space="preserve"> ✦ 【终结技】超频时刻 (chr_0023_antal_UltimateSkill)</t>
  </si>
  <si>
    <r>
      <rPr>
        <i/>
        <sz val="10"/>
        <color rgb="FF404040"/>
        <rFont val="微软雅黑"/>
        <family val="2"/>
        <charset val="134"/>
      </rPr>
      <t>对全队施加一段时间的</t>
    </r>
    <r>
      <rPr>
        <b/>
        <i/>
        <u/>
        <sz val="10"/>
        <color rgb="FFFFCC00"/>
        <rFont val="微软雅黑"/>
        <family val="2"/>
        <charset val="134"/>
      </rPr>
      <t>电磁增幅</t>
    </r>
    <r>
      <rPr>
        <i/>
        <sz val="10"/>
        <color rgb="FF404040"/>
        <rFont val="微软雅黑"/>
        <family val="2"/>
        <charset val="134"/>
      </rPr>
      <t>和</t>
    </r>
    <r>
      <rPr>
        <b/>
        <i/>
        <u/>
        <sz val="10"/>
        <color rgb="FFFF8E59"/>
        <rFont val="微软雅黑"/>
        <family val="2"/>
        <charset val="134"/>
      </rPr>
      <t>灼热增幅</t>
    </r>
    <r>
      <rPr>
        <i/>
        <sz val="10"/>
        <color rgb="FF404040"/>
        <rFont val="微软雅黑"/>
        <family val="2"/>
        <charset val="134"/>
      </rPr>
      <t>。</t>
    </r>
  </si>
  <si>
    <t>电磁增幅效果</t>
  </si>
  <si>
    <t>灼热增幅效果</t>
  </si>
  <si>
    <t xml:space="preserve"> ✦ 【连携技】磁暴试验场 (chr_0023_antal_ComboSkill)</t>
  </si>
  <si>
    <r>
      <rPr>
        <i/>
        <sz val="10"/>
        <color rgb="FF404040"/>
        <rFont val="微软雅黑"/>
        <family val="2"/>
        <charset val="134"/>
      </rPr>
      <t>当被</t>
    </r>
    <r>
      <rPr>
        <b/>
        <i/>
        <sz val="10"/>
        <color rgb="FF33C2FF"/>
        <rFont val="微软雅黑"/>
        <family val="2"/>
        <charset val="134"/>
      </rPr>
      <t>聚焦</t>
    </r>
    <r>
      <rPr>
        <i/>
        <sz val="10"/>
        <color rgb="FF404040"/>
        <rFont val="微软雅黑"/>
        <family val="2"/>
        <charset val="134"/>
      </rPr>
      <t>的敌人进入</t>
    </r>
    <r>
      <rPr>
        <b/>
        <i/>
        <u/>
        <sz val="10"/>
        <color rgb="FFE3C19A"/>
        <rFont val="微软雅黑"/>
        <family val="2"/>
        <charset val="134"/>
      </rPr>
      <t>物理异常</t>
    </r>
    <r>
      <rPr>
        <i/>
        <sz val="10"/>
        <color rgb="FF404040"/>
        <rFont val="微软雅黑"/>
        <family val="2"/>
        <charset val="134"/>
      </rPr>
      <t>或</t>
    </r>
    <r>
      <rPr>
        <b/>
        <i/>
        <u/>
        <sz val="10"/>
        <color rgb="FF33C2FF"/>
        <rFont val="微软雅黑"/>
        <family val="2"/>
        <charset val="134"/>
      </rPr>
      <t>法术附着</t>
    </r>
    <r>
      <rPr>
        <i/>
        <sz val="10"/>
        <color rgb="FF404040"/>
        <rFont val="微软雅黑"/>
        <family val="2"/>
        <charset val="134"/>
      </rPr>
      <t>状态时可以发动。在该敌人身上引发1次能量爆炸，造成</t>
    </r>
    <r>
      <rPr>
        <b/>
        <i/>
        <sz val="10"/>
        <color rgb="FFFFCC00"/>
        <rFont val="微软雅黑"/>
        <family val="2"/>
        <charset val="134"/>
      </rPr>
      <t>电磁伤害</t>
    </r>
    <r>
      <rPr>
        <i/>
        <sz val="10"/>
        <color rgb="FF404040"/>
        <rFont val="微软雅黑"/>
        <family val="2"/>
        <charset val="134"/>
      </rPr>
      <t>并再次对其施加该</t>
    </r>
    <r>
      <rPr>
        <b/>
        <i/>
        <u/>
        <sz val="10"/>
        <color rgb="FFE3C19A"/>
        <rFont val="微软雅黑"/>
        <family val="2"/>
        <charset val="134"/>
      </rPr>
      <t>物理异常</t>
    </r>
    <r>
      <rPr>
        <i/>
        <sz val="10"/>
        <color rgb="FF404040"/>
        <rFont val="微软雅黑"/>
        <family val="2"/>
        <charset val="134"/>
      </rPr>
      <t>或</t>
    </r>
    <r>
      <rPr>
        <b/>
        <i/>
        <u/>
        <sz val="10"/>
        <color rgb="FF33C2FF"/>
        <rFont val="微软雅黑"/>
        <family val="2"/>
        <charset val="134"/>
      </rPr>
      <t>法术附着</t>
    </r>
    <r>
      <rPr>
        <i/>
        <sz val="10"/>
        <color rgb="FF404040"/>
        <rFont val="微软雅黑"/>
        <family val="2"/>
        <charset val="134"/>
      </rPr>
      <t>。</t>
    </r>
  </si>
  <si>
    <t>227%</t>
  </si>
  <si>
    <t>257%</t>
  </si>
  <si>
    <t>313%</t>
  </si>
  <si>
    <t>⚔ 阿列什 - 技能数据面板</t>
  </si>
  <si>
    <t xml:space="preserve"> ✦ 【普通攻击】基本挥竿法 (chr_0024_deepfin_NormalAttack)</t>
  </si>
  <si>
    <t xml:space="preserve"> ✦ 【战技】非常规路亚 (chr_0024_deepfin_NormalSkill)</t>
  </si>
  <si>
    <r>
      <rPr>
        <i/>
        <sz val="10"/>
        <color rgb="FF404040"/>
        <rFont val="微软雅黑"/>
        <family val="2"/>
        <charset val="134"/>
      </rPr>
      <t>勾起冰块砸击面前的敌人，对目标造成</t>
    </r>
    <r>
      <rPr>
        <b/>
        <i/>
        <sz val="10"/>
        <color rgb="FFE3C19A"/>
        <rFont val="微软雅黑"/>
        <family val="2"/>
        <charset val="134"/>
      </rPr>
      <t>物理伤害</t>
    </r>
    <r>
      <rPr>
        <i/>
        <sz val="10"/>
        <color rgb="FF404040"/>
        <rFont val="微软雅黑"/>
        <family val="2"/>
        <charset val="134"/>
      </rPr>
      <t>。命中处于</t>
    </r>
    <r>
      <rPr>
        <b/>
        <i/>
        <u/>
        <sz val="10"/>
        <color rgb="FF30D6E0"/>
        <rFont val="微软雅黑"/>
        <family val="2"/>
        <charset val="134"/>
      </rPr>
      <t>寒冷附着</t>
    </r>
    <r>
      <rPr>
        <i/>
        <sz val="10"/>
        <color rgb="FF404040"/>
        <rFont val="微软雅黑"/>
        <family val="2"/>
        <charset val="134"/>
      </rPr>
      <t>状态的目标时，</t>
    </r>
    <r>
      <rPr>
        <i/>
        <u/>
        <sz val="10"/>
        <color rgb="FF404040"/>
        <rFont val="微软雅黑"/>
        <family val="2"/>
        <charset val="134"/>
      </rPr>
      <t>消耗</t>
    </r>
    <r>
      <rPr>
        <i/>
        <sz val="10"/>
        <color rgb="FF404040"/>
        <rFont val="微软雅黑"/>
        <family val="2"/>
        <charset val="134"/>
      </rPr>
      <t>掉目标身上所有</t>
    </r>
    <r>
      <rPr>
        <b/>
        <i/>
        <u/>
        <sz val="10"/>
        <color rgb="FF30D6E0"/>
        <rFont val="微软雅黑"/>
        <family val="2"/>
        <charset val="134"/>
      </rPr>
      <t>寒冷附着</t>
    </r>
    <r>
      <rPr>
        <i/>
        <sz val="10"/>
        <color rgb="FF404040"/>
        <rFont val="微软雅黑"/>
        <family val="2"/>
        <charset val="134"/>
      </rPr>
      <t>，对其强制施加</t>
    </r>
    <r>
      <rPr>
        <b/>
        <i/>
        <u/>
        <sz val="10"/>
        <color rgb="FF30D6E0"/>
        <rFont val="微软雅黑"/>
        <family val="2"/>
        <charset val="134"/>
      </rPr>
      <t>冻结</t>
    </r>
    <r>
      <rPr>
        <i/>
        <sz val="10"/>
        <color rgb="FF404040"/>
        <rFont val="微软雅黑"/>
        <family val="2"/>
        <charset val="134"/>
      </rPr>
      <t>，并基于</t>
    </r>
    <r>
      <rPr>
        <i/>
        <u/>
        <sz val="10"/>
        <color rgb="FF404040"/>
        <rFont val="微软雅黑"/>
        <family val="2"/>
        <charset val="134"/>
      </rPr>
      <t>消耗</t>
    </r>
    <r>
      <rPr>
        <i/>
        <sz val="10"/>
        <color rgb="FF404040"/>
        <rFont val="微软雅黑"/>
        <family val="2"/>
        <charset val="134"/>
      </rPr>
      <t>层数恢复技力，命中多名目标时仅恢复1次。</t>
    </r>
  </si>
  <si>
    <t>消耗一层附着时恢复技力</t>
  </si>
  <si>
    <t>消耗二层附着时恢复技力</t>
  </si>
  <si>
    <t>消耗三层附着时恢复技力</t>
  </si>
  <si>
    <t>消耗四层附着时恢复技力</t>
  </si>
  <si>
    <t>45</t>
  </si>
  <si>
    <t xml:space="preserve"> ✦ 【终结技】大鳞，上钩！ (chr_0024_deepfin_UltimateSkill)</t>
  </si>
  <si>
    <r>
      <rPr>
        <i/>
        <sz val="10"/>
        <color rgb="FF404040"/>
        <rFont val="微软雅黑"/>
        <family val="2"/>
        <charset val="134"/>
      </rPr>
      <t>钓起超乎想象的大鳞砸击面前的所有敌人，造成大范围的</t>
    </r>
    <r>
      <rPr>
        <b/>
        <i/>
        <sz val="10"/>
        <color rgb="FF30D6E0"/>
        <rFont val="微软雅黑"/>
        <family val="2"/>
        <charset val="134"/>
      </rPr>
      <t>寒冷伤害</t>
    </r>
    <r>
      <rPr>
        <i/>
        <sz val="10"/>
        <color rgb="FF404040"/>
        <rFont val="微软雅黑"/>
        <family val="2"/>
        <charset val="134"/>
      </rPr>
      <t>，施加</t>
    </r>
    <r>
      <rPr>
        <b/>
        <i/>
        <u/>
        <sz val="10"/>
        <color rgb="FF30D6E0"/>
        <rFont val="微软雅黑"/>
        <family val="2"/>
        <charset val="134"/>
      </rPr>
      <t>寒冷附着</t>
    </r>
    <r>
      <rPr>
        <i/>
        <sz val="10"/>
        <color rgb="FF404040"/>
        <rFont val="微软雅黑"/>
        <family val="2"/>
        <charset val="134"/>
      </rPr>
      <t>并恢复一定技力，每击败一个目标将额外恢复一定技力。</t>
    </r>
  </si>
  <si>
    <t>436%</t>
  </si>
  <si>
    <t>523%</t>
  </si>
  <si>
    <t>610%</t>
  </si>
  <si>
    <t>653%</t>
  </si>
  <si>
    <t>697%</t>
  </si>
  <si>
    <t>741%</t>
  </si>
  <si>
    <t>839%</t>
  </si>
  <si>
    <t>904%</t>
  </si>
  <si>
    <t>980%</t>
  </si>
  <si>
    <t>基础恢复技力</t>
  </si>
  <si>
    <t>击败目标时额外恢复技力</t>
  </si>
  <si>
    <t>技力恢复上限</t>
  </si>
  <si>
    <t xml:space="preserve"> ✦ 【连携技】凿孔底钓术 (chr_0024_deepfin_ComboSkill)</t>
  </si>
  <si>
    <r>
      <rPr>
        <i/>
        <sz val="10"/>
        <color rgb="FF404040"/>
        <rFont val="微软雅黑"/>
        <family val="2"/>
        <charset val="134"/>
      </rPr>
      <t>当附近目标的</t>
    </r>
    <r>
      <rPr>
        <b/>
        <i/>
        <u/>
        <sz val="10"/>
        <color rgb="FF33C2FF"/>
        <rFont val="微软雅黑"/>
        <family val="2"/>
        <charset val="134"/>
      </rPr>
      <t>法术异常</t>
    </r>
    <r>
      <rPr>
        <i/>
        <sz val="10"/>
        <color rgb="FF404040"/>
        <rFont val="微软雅黑"/>
        <family val="2"/>
        <charset val="134"/>
      </rPr>
      <t>或</t>
    </r>
    <r>
      <rPr>
        <b/>
        <i/>
        <u/>
        <sz val="10"/>
        <color rgb="FF33C2FF"/>
        <rFont val="微软雅黑"/>
        <family val="2"/>
        <charset val="134"/>
      </rPr>
      <t>源石结晶</t>
    </r>
    <r>
      <rPr>
        <i/>
        <sz val="10"/>
        <color rgb="FF404040"/>
        <rFont val="微软雅黑"/>
        <family val="2"/>
        <charset val="134"/>
      </rPr>
      <t>被</t>
    </r>
    <r>
      <rPr>
        <i/>
        <u/>
        <sz val="10"/>
        <color rgb="FF404040"/>
        <rFont val="微软雅黑"/>
        <family val="2"/>
        <charset val="134"/>
      </rPr>
      <t>消耗</t>
    </r>
    <r>
      <rPr>
        <i/>
        <sz val="10"/>
        <color rgb="FF404040"/>
        <rFont val="微软雅黑"/>
        <family val="2"/>
        <charset val="134"/>
      </rPr>
      <t>时可以发动。在敌人脚下开洞垂钓，造成</t>
    </r>
    <r>
      <rPr>
        <b/>
        <i/>
        <sz val="10"/>
        <color rgb="FFE3C19A"/>
        <rFont val="微软雅黑"/>
        <family val="2"/>
        <charset val="134"/>
      </rPr>
      <t>物理伤害</t>
    </r>
    <r>
      <rPr>
        <i/>
        <sz val="10"/>
        <color rgb="FF404040"/>
        <rFont val="微软雅黑"/>
        <family val="2"/>
        <charset val="134"/>
      </rPr>
      <t>，并恢复一定技力，有一定概率能钓出</t>
    </r>
    <r>
      <rPr>
        <b/>
        <i/>
        <sz val="10"/>
        <color rgb="FF33C2FF"/>
        <rFont val="微软雅黑"/>
        <family val="2"/>
        <charset val="134"/>
      </rPr>
      <t>珍鳞</t>
    </r>
    <r>
      <rPr>
        <i/>
        <sz val="10"/>
        <color rgb="FF404040"/>
        <rFont val="微软雅黑"/>
        <family val="2"/>
        <charset val="134"/>
      </rPr>
      <t>，大幅增加伤害并额外恢复技力。</t>
    </r>
  </si>
  <si>
    <t>钓起珍鳞概率</t>
  </si>
  <si>
    <t>强化伤害倍率</t>
  </si>
  <si>
    <t>363%</t>
  </si>
  <si>
    <t>411%</t>
  </si>
  <si>
    <t>443%</t>
  </si>
  <si>
    <t>技力恢复</t>
  </si>
  <si>
    <t>13</t>
  </si>
  <si>
    <t>额外技力恢复</t>
  </si>
  <si>
    <t>⚔ 艾尔黛拉 - 技能数据面板</t>
  </si>
  <si>
    <t xml:space="preserve"> ✦ 【普通攻击】岩石的轻语 (chr_0025_ardelia_NormalAttack)</t>
  </si>
  <si>
    <r>
      <rPr>
        <i/>
        <sz val="10"/>
        <color rgb="FF404040"/>
        <rFont val="微软雅黑"/>
        <family val="2"/>
        <charset val="134"/>
      </rPr>
      <t>普通攻击：对敌人进行至多4段攻击，造成</t>
    </r>
    <r>
      <rPr>
        <b/>
        <i/>
        <sz val="10"/>
        <color rgb="FFB4D945"/>
        <rFont val="微软雅黑"/>
        <family val="2"/>
        <charset val="134"/>
      </rPr>
      <t>自然伤害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18</t>
    </r>
    <r>
      <rPr>
        <i/>
        <sz val="10"/>
        <color rgb="FF404040"/>
        <rFont val="微软雅黑"/>
        <family val="2"/>
        <charset val="134"/>
      </rPr>
      <t>点失衡。下落攻击：处于空中时使用普通攻击，会下落并攻击附近敌人，造成</t>
    </r>
    <r>
      <rPr>
        <b/>
        <i/>
        <sz val="10"/>
        <color rgb="FFB4D945"/>
        <rFont val="微软雅黑"/>
        <family val="2"/>
        <charset val="134"/>
      </rPr>
      <t>自然伤害</t>
    </r>
    <r>
      <rPr>
        <i/>
        <sz val="10"/>
        <color rgb="FF404040"/>
        <rFont val="微软雅黑"/>
        <family val="2"/>
        <charset val="134"/>
      </rPr>
      <t>。处决攻击：附近有敌人处于失衡状态时使用普通攻击，将处决该敌人，造成大量</t>
    </r>
    <r>
      <rPr>
        <b/>
        <i/>
        <sz val="10"/>
        <color rgb="FFB4D945"/>
        <rFont val="微软雅黑"/>
        <family val="2"/>
        <charset val="134"/>
      </rPr>
      <t>自然伤害</t>
    </r>
    <r>
      <rPr>
        <i/>
        <sz val="10"/>
        <color rgb="FF404040"/>
        <rFont val="微软雅黑"/>
        <family val="2"/>
        <charset val="134"/>
      </rPr>
      <t>并恢复一定技力。</t>
    </r>
  </si>
  <si>
    <t>118%</t>
  </si>
  <si>
    <t xml:space="preserve"> ✦ 【战技】奔腾的多利 (chr_0025_ardelia_NormalSkill)</t>
  </si>
  <si>
    <r>
      <rPr>
        <i/>
        <sz val="10"/>
        <color rgb="FF404040"/>
        <rFont val="微软雅黑"/>
        <family val="2"/>
        <charset val="134"/>
      </rPr>
      <t>骑上多利先生冲撞目标，对目标造成</t>
    </r>
    <r>
      <rPr>
        <b/>
        <i/>
        <sz val="10"/>
        <color rgb="FFB4D945"/>
        <rFont val="微软雅黑"/>
        <family val="2"/>
        <charset val="134"/>
      </rPr>
      <t>自然伤害</t>
    </r>
    <r>
      <rPr>
        <i/>
        <sz val="10"/>
        <color rgb="FF404040"/>
        <rFont val="微软雅黑"/>
        <family val="2"/>
        <charset val="134"/>
      </rPr>
      <t>，若目标处于</t>
    </r>
    <r>
      <rPr>
        <b/>
        <i/>
        <u/>
        <sz val="10"/>
        <color rgb="FFB4D945"/>
        <rFont val="微软雅黑"/>
        <family val="2"/>
        <charset val="134"/>
      </rPr>
      <t>腐蚀</t>
    </r>
    <r>
      <rPr>
        <i/>
        <sz val="10"/>
        <color rgb="FF404040"/>
        <rFont val="微软雅黑"/>
        <family val="2"/>
        <charset val="134"/>
      </rPr>
      <t>状态，</t>
    </r>
    <r>
      <rPr>
        <i/>
        <u/>
        <sz val="10"/>
        <color rgb="FF404040"/>
        <rFont val="微软雅黑"/>
        <family val="2"/>
        <charset val="134"/>
      </rPr>
      <t>消耗</t>
    </r>
    <r>
      <rPr>
        <i/>
        <sz val="10"/>
        <color rgb="FF404040"/>
        <rFont val="微软雅黑"/>
        <family val="2"/>
        <charset val="134"/>
      </rPr>
      <t>其</t>
    </r>
    <r>
      <rPr>
        <b/>
        <i/>
        <u/>
        <sz val="10"/>
        <color rgb="FFB4D945"/>
        <rFont val="微软雅黑"/>
        <family val="2"/>
        <charset val="134"/>
      </rPr>
      <t>腐蚀</t>
    </r>
    <r>
      <rPr>
        <i/>
        <sz val="10"/>
        <color rgb="FF404040"/>
        <rFont val="微软雅黑"/>
        <family val="2"/>
        <charset val="134"/>
      </rPr>
      <t>状态，并对其施加</t>
    </r>
    <r>
      <rPr>
        <b/>
        <i/>
        <u/>
        <sz val="10"/>
        <color rgb="FFE3C19A"/>
        <rFont val="微软雅黑"/>
        <family val="2"/>
        <charset val="134"/>
      </rPr>
      <t>物理脆弱</t>
    </r>
    <r>
      <rPr>
        <i/>
        <sz val="10"/>
        <color rgb="FF404040"/>
        <rFont val="微软雅黑"/>
        <family val="2"/>
        <charset val="134"/>
      </rPr>
      <t>与</t>
    </r>
    <r>
      <rPr>
        <b/>
        <i/>
        <u/>
        <sz val="10"/>
        <color rgb="FF33C2FF"/>
        <rFont val="微软雅黑"/>
        <family val="2"/>
        <charset val="134"/>
      </rPr>
      <t>法术脆弱</t>
    </r>
    <r>
      <rPr>
        <i/>
        <sz val="10"/>
        <color rgb="FF404040"/>
        <rFont val="微软雅黑"/>
        <family val="2"/>
        <charset val="134"/>
      </rPr>
      <t>。</t>
    </r>
  </si>
  <si>
    <t>脆弱效果</t>
  </si>
  <si>
    <t>脆弱持续时间（秒）</t>
  </si>
  <si>
    <t xml:space="preserve"> ✦ 【终结技】毛茸茸派对 (chr_0025_ardelia_UltimateSkill)</t>
  </si>
  <si>
    <r>
      <rPr>
        <i/>
        <sz val="10"/>
        <color rgb="FF404040"/>
        <rFont val="微软雅黑"/>
        <family val="2"/>
        <charset val="134"/>
      </rPr>
      <t>艾尔黛拉进入可移动的持续施法状态，召唤多利先生的帮助，随机向四周散射多利先生的分身。每个分身命中敌人时对其造成</t>
    </r>
    <r>
      <rPr>
        <b/>
        <i/>
        <sz val="10"/>
        <color rgb="FFB4D945"/>
        <rFont val="微软雅黑"/>
        <family val="2"/>
        <charset val="134"/>
      </rPr>
      <t>自然伤害</t>
    </r>
    <r>
      <rPr>
        <i/>
        <sz val="10"/>
        <color rgb="FF404040"/>
        <rFont val="微软雅黑"/>
        <family val="2"/>
        <charset val="134"/>
      </rPr>
      <t>，每个敌人每0.3秒最多受到一次伤害。</t>
    </r>
  </si>
  <si>
    <t>141%</t>
  </si>
  <si>
    <t xml:space="preserve"> ✦ 【连携技】火山蘑菇云 (chr_0025_ardelia_ComboSkill)</t>
  </si>
  <si>
    <r>
      <rPr>
        <i/>
        <sz val="10"/>
        <color rgb="FF404040"/>
        <rFont val="微软雅黑"/>
        <family val="2"/>
        <charset val="134"/>
      </rPr>
      <t>当主控干员对</t>
    </r>
    <r>
      <rPr>
        <b/>
        <i/>
        <sz val="10"/>
        <color rgb="FF33C2FF"/>
        <rFont val="微软雅黑"/>
        <family val="2"/>
        <charset val="134"/>
      </rPr>
      <t>不处于</t>
    </r>
    <r>
      <rPr>
        <b/>
        <i/>
        <u/>
        <sz val="10"/>
        <color rgb="FFE3C19A"/>
        <rFont val="微软雅黑"/>
        <family val="2"/>
        <charset val="134"/>
      </rPr>
      <t>破防</t>
    </r>
    <r>
      <rPr>
        <i/>
        <sz val="10"/>
        <color rgb="FF404040"/>
        <rFont val="微软雅黑"/>
        <family val="2"/>
        <charset val="134"/>
      </rPr>
      <t>或</t>
    </r>
    <r>
      <rPr>
        <b/>
        <i/>
        <u/>
        <sz val="10"/>
        <color rgb="FF33C2FF"/>
        <rFont val="微软雅黑"/>
        <family val="2"/>
        <charset val="134"/>
      </rPr>
      <t>法术附着</t>
    </r>
    <r>
      <rPr>
        <i/>
        <sz val="10"/>
        <color rgb="FF404040"/>
        <rFont val="微软雅黑"/>
        <family val="2"/>
        <charset val="134"/>
      </rPr>
      <t>状态的敌人造成</t>
    </r>
    <r>
      <rPr>
        <i/>
        <u/>
        <sz val="10"/>
        <color rgb="FF404040"/>
        <rFont val="微软雅黑"/>
        <family val="2"/>
        <charset val="134"/>
      </rPr>
      <t>重击</t>
    </r>
    <r>
      <rPr>
        <i/>
        <sz val="10"/>
        <color rgb="FF404040"/>
        <rFont val="微软雅黑"/>
        <family val="2"/>
        <charset val="134"/>
      </rPr>
      <t>后可以发动。发射一团火山云抛向目标敌人，到达目标身边后对目标造成</t>
    </r>
    <r>
      <rPr>
        <b/>
        <i/>
        <sz val="10"/>
        <color rgb="FFB4D945"/>
        <rFont val="微软雅黑"/>
        <family val="2"/>
        <charset val="134"/>
      </rPr>
      <t>自然伤害</t>
    </r>
    <r>
      <rPr>
        <i/>
        <sz val="10"/>
        <color rgb="FF404040"/>
        <rFont val="微软雅黑"/>
        <family val="2"/>
        <charset val="134"/>
      </rPr>
      <t>。火山云会跟踪目标，短暂延迟后爆炸，对周围其他敌人造成一半的</t>
    </r>
    <r>
      <rPr>
        <b/>
        <i/>
        <sz val="10"/>
        <color rgb="FFB4D945"/>
        <rFont val="微软雅黑"/>
        <family val="2"/>
        <charset val="134"/>
      </rPr>
      <t>自然伤害</t>
    </r>
    <r>
      <rPr>
        <i/>
        <sz val="10"/>
        <color rgb="FF404040"/>
        <rFont val="微软雅黑"/>
        <family val="2"/>
        <charset val="134"/>
      </rPr>
      <t>，并强制施加短暂的</t>
    </r>
    <r>
      <rPr>
        <b/>
        <i/>
        <u/>
        <sz val="10"/>
        <color rgb="FFB4D945"/>
        <rFont val="微软雅黑"/>
        <family val="2"/>
        <charset val="134"/>
      </rPr>
      <t>腐蚀</t>
    </r>
    <r>
      <rPr>
        <i/>
        <sz val="10"/>
        <color rgb="FF404040"/>
        <rFont val="微软雅黑"/>
        <family val="2"/>
        <charset val="134"/>
      </rPr>
      <t>。</t>
    </r>
  </si>
  <si>
    <t>腐蚀持续时间（秒）</t>
  </si>
  <si>
    <t>⚔ 别礼 - 技能数据面板</t>
  </si>
  <si>
    <t xml:space="preserve"> ✦ 【普通攻击】严霜之舞 (chr_0026_lastrite_NormalAttack)</t>
  </si>
  <si>
    <r>
      <rPr>
        <i/>
        <sz val="10"/>
        <color rgb="FF404040"/>
        <rFont val="微软雅黑"/>
        <family val="2"/>
        <charset val="134"/>
      </rPr>
      <t>普通攻击：对敌人进行至多4段攻击，造成</t>
    </r>
    <r>
      <rPr>
        <b/>
        <i/>
        <sz val="10"/>
        <color rgb="FF30D6E0"/>
        <rFont val="微软雅黑"/>
        <family val="2"/>
        <charset val="134"/>
      </rPr>
      <t>寒冷伤害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25</t>
    </r>
    <r>
      <rPr>
        <i/>
        <sz val="10"/>
        <color rgb="FF404040"/>
        <rFont val="微软雅黑"/>
        <family val="2"/>
        <charset val="134"/>
      </rPr>
      <t>点失衡。下落攻击：处于空中时使用普通攻击，会下落并攻击附近敌人，造成</t>
    </r>
    <r>
      <rPr>
        <b/>
        <i/>
        <sz val="10"/>
        <color rgb="FF30D6E0"/>
        <rFont val="微软雅黑"/>
        <family val="2"/>
        <charset val="134"/>
      </rPr>
      <t>寒冷伤害</t>
    </r>
    <r>
      <rPr>
        <i/>
        <sz val="10"/>
        <color rgb="FF404040"/>
        <rFont val="微软雅黑"/>
        <family val="2"/>
        <charset val="134"/>
      </rPr>
      <t>。处决攻击：附近有敌人处于失衡状态时使用普通攻击，将处决该敌人，造成大量</t>
    </r>
    <r>
      <rPr>
        <b/>
        <i/>
        <sz val="10"/>
        <color rgb="FF30D6E0"/>
        <rFont val="微软雅黑"/>
        <family val="2"/>
        <charset val="134"/>
      </rPr>
      <t>寒冷伤害</t>
    </r>
    <r>
      <rPr>
        <i/>
        <sz val="10"/>
        <color rgb="FF404040"/>
        <rFont val="微软雅黑"/>
        <family val="2"/>
        <charset val="134"/>
      </rPr>
      <t>并恢复一定技力。</t>
    </r>
  </si>
  <si>
    <t xml:space="preserve"> ✦ 【战技】塞什卡的秘传 (chr_0026_lastrite_NormalSkill)</t>
  </si>
  <si>
    <r>
      <rPr>
        <i/>
        <sz val="10"/>
        <color rgb="FF404040"/>
        <rFont val="微软雅黑"/>
        <family val="2"/>
        <charset val="134"/>
      </rPr>
      <t>对主控干员的武器进行</t>
    </r>
    <r>
      <rPr>
        <b/>
        <i/>
        <sz val="10"/>
        <color rgb="FF33C2FF"/>
        <rFont val="微软雅黑"/>
        <family val="2"/>
        <charset val="134"/>
      </rPr>
      <t>低温灌注</t>
    </r>
    <r>
      <rPr>
        <i/>
        <sz val="10"/>
        <color rgb="FF404040"/>
        <rFont val="微软雅黑"/>
        <family val="2"/>
        <charset val="134"/>
      </rPr>
      <t>，并</t>
    </r>
    <r>
      <rPr>
        <i/>
        <u/>
        <sz val="10"/>
        <color rgb="FF404040"/>
        <rFont val="微软雅黑"/>
        <family val="2"/>
        <charset val="134"/>
      </rPr>
      <t>返还</t>
    </r>
    <r>
      <rPr>
        <i/>
        <sz val="10"/>
        <color rgb="FF404040"/>
        <rFont val="微软雅黑"/>
        <family val="2"/>
        <charset val="134"/>
      </rPr>
      <t>一定技力。一段时间内，当前主控干员接下来的1次</t>
    </r>
    <r>
      <rPr>
        <i/>
        <u/>
        <sz val="10"/>
        <color rgb="FF404040"/>
        <rFont val="微软雅黑"/>
        <family val="2"/>
        <charset val="134"/>
      </rPr>
      <t>重击</t>
    </r>
    <r>
      <rPr>
        <i/>
        <sz val="10"/>
        <color rgb="FF404040"/>
        <rFont val="微软雅黑"/>
        <family val="2"/>
        <charset val="134"/>
      </rPr>
      <t>会生成别礼的幻影，对目标进行追击，造成</t>
    </r>
    <r>
      <rPr>
        <b/>
        <i/>
        <sz val="10"/>
        <color rgb="FF30D6E0"/>
        <rFont val="微软雅黑"/>
        <family val="2"/>
        <charset val="134"/>
      </rPr>
      <t>寒冷伤害</t>
    </r>
    <r>
      <rPr>
        <i/>
        <sz val="10"/>
        <color rgb="FF404040"/>
        <rFont val="微软雅黑"/>
        <family val="2"/>
        <charset val="134"/>
      </rPr>
      <t>，施加</t>
    </r>
    <r>
      <rPr>
        <b/>
        <i/>
        <u/>
        <sz val="10"/>
        <color rgb="FF30D6E0"/>
        <rFont val="微软雅黑"/>
        <family val="2"/>
        <charset val="134"/>
      </rPr>
      <t>寒冷附着</t>
    </r>
    <r>
      <rPr>
        <i/>
        <sz val="10"/>
        <color rgb="FF404040"/>
        <rFont val="微软雅黑"/>
        <family val="2"/>
        <charset val="134"/>
      </rPr>
      <t>。主控干员为别礼时，施放该战技不会中断普通攻击。</t>
    </r>
  </si>
  <si>
    <t>幻影追击伤害倍率</t>
  </si>
  <si>
    <t>获得终结技能量</t>
  </si>
  <si>
    <t>16</t>
  </si>
  <si>
    <t xml:space="preserve"> ✦ 【终结技】临终别礼 (chr_0026_lastrite_UltimateSkill)</t>
  </si>
  <si>
    <r>
      <rPr>
        <i/>
        <sz val="10"/>
        <color rgb="FF404040"/>
        <rFont val="微软雅黑"/>
        <family val="2"/>
        <charset val="134"/>
      </rPr>
      <t>披着霜铠，凝结冰镰，对前方进行三次斩击，该状态下免疫所有伤害。每次斩击造成大量</t>
    </r>
    <r>
      <rPr>
        <b/>
        <i/>
        <sz val="10"/>
        <color rgb="FF30D6E0"/>
        <rFont val="微软雅黑"/>
        <family val="2"/>
        <charset val="134"/>
      </rPr>
      <t>寒冷伤害</t>
    </r>
    <r>
      <rPr>
        <i/>
        <sz val="10"/>
        <color rgb="FF404040"/>
        <rFont val="微软雅黑"/>
        <family val="2"/>
        <charset val="134"/>
      </rPr>
      <t>。</t>
    </r>
    <r>
      <rPr>
        <b/>
        <i/>
        <sz val="10"/>
        <color rgb="FF999999"/>
        <rFont val="微软雅黑"/>
        <family val="2"/>
        <charset val="134"/>
      </rPr>
      <t>别礼只能从自身的战技、连携技中获得终结技能量。</t>
    </r>
  </si>
  <si>
    <t>240</t>
  </si>
  <si>
    <t xml:space="preserve"> ✦ 【连携技】噬冬 (chr_0026_lastrite_ComboSkill)</t>
  </si>
  <si>
    <r>
      <rPr>
        <i/>
        <sz val="10"/>
        <color rgb="FF404040"/>
        <rFont val="微软雅黑"/>
        <family val="2"/>
        <charset val="134"/>
      </rPr>
      <t>当有敌人进入3层及以上</t>
    </r>
    <r>
      <rPr>
        <b/>
        <i/>
        <u/>
        <sz val="10"/>
        <color rgb="FF30D6E0"/>
        <rFont val="微软雅黑"/>
        <family val="2"/>
        <charset val="134"/>
      </rPr>
      <t>寒冷附着</t>
    </r>
    <r>
      <rPr>
        <i/>
        <sz val="10"/>
        <color rgb="FF404040"/>
        <rFont val="微软雅黑"/>
        <family val="2"/>
        <charset val="134"/>
      </rPr>
      <t>状态时可以发动。在目标敌人身上凝结冰锥，随后将其斩碎，</t>
    </r>
    <r>
      <rPr>
        <i/>
        <u/>
        <sz val="10"/>
        <color rgb="FF404040"/>
        <rFont val="微软雅黑"/>
        <family val="2"/>
        <charset val="134"/>
      </rPr>
      <t>消耗</t>
    </r>
    <r>
      <rPr>
        <i/>
        <sz val="10"/>
        <color rgb="FF404040"/>
        <rFont val="微软雅黑"/>
        <family val="2"/>
        <charset val="134"/>
      </rPr>
      <t>敌人身上的所有</t>
    </r>
    <r>
      <rPr>
        <b/>
        <i/>
        <u/>
        <sz val="10"/>
        <color rgb="FF30D6E0"/>
        <rFont val="微软雅黑"/>
        <family val="2"/>
        <charset val="134"/>
      </rPr>
      <t>寒冷附着</t>
    </r>
    <r>
      <rPr>
        <i/>
        <sz val="10"/>
        <color rgb="FF404040"/>
        <rFont val="微软雅黑"/>
        <family val="2"/>
        <charset val="134"/>
      </rPr>
      <t>，对其造成基于其</t>
    </r>
    <r>
      <rPr>
        <b/>
        <i/>
        <u/>
        <sz val="10"/>
        <color rgb="FF30D6E0"/>
        <rFont val="微软雅黑"/>
        <family val="2"/>
        <charset val="134"/>
      </rPr>
      <t>寒冷附着</t>
    </r>
    <r>
      <rPr>
        <i/>
        <sz val="10"/>
        <color rgb="FF404040"/>
        <rFont val="微软雅黑"/>
        <family val="2"/>
        <charset val="134"/>
      </rPr>
      <t>层数的</t>
    </r>
    <r>
      <rPr>
        <b/>
        <i/>
        <sz val="10"/>
        <color rgb="FF30D6E0"/>
        <rFont val="微软雅黑"/>
        <family val="2"/>
        <charset val="134"/>
      </rPr>
      <t>寒冷伤害</t>
    </r>
    <r>
      <rPr>
        <i/>
        <sz val="10"/>
        <color rgb="FF404040"/>
        <rFont val="微软雅黑"/>
        <family val="2"/>
        <charset val="134"/>
      </rPr>
      <t>，并且根据</t>
    </r>
    <r>
      <rPr>
        <i/>
        <u/>
        <sz val="10"/>
        <color rgb="FF404040"/>
        <rFont val="微软雅黑"/>
        <family val="2"/>
        <charset val="134"/>
      </rPr>
      <t>消耗</t>
    </r>
    <r>
      <rPr>
        <i/>
        <sz val="10"/>
        <color rgb="FF404040"/>
        <rFont val="微软雅黑"/>
        <family val="2"/>
        <charset val="134"/>
      </rPr>
      <t>的层数获得终结技能量。</t>
    </r>
  </si>
  <si>
    <t>冰刺伤害倍率</t>
  </si>
  <si>
    <t>斩击基础伤害倍率</t>
  </si>
  <si>
    <t>斩击失衡值</t>
  </si>
  <si>
    <t>221%</t>
  </si>
  <si>
    <t>基础获得终结技能量</t>
  </si>
  <si>
    <t>⚔ 骏卫 - 技能数据面板</t>
  </si>
  <si>
    <t xml:space="preserve"> ✦ 【普通攻击】全面攻势 (chr_0029_pograni_NormalAttack)</t>
  </si>
  <si>
    <t xml:space="preserve"> ✦ 【战技】粉碎阵线 (chr_0029_pograni_NormalSkill)</t>
  </si>
  <si>
    <r>
      <rPr>
        <i/>
        <sz val="10"/>
        <color rgb="FF404040"/>
        <rFont val="微软雅黑"/>
        <family val="2"/>
        <charset val="134"/>
      </rPr>
      <t>对前方范围的敌人进行两段斩击，造成</t>
    </r>
    <r>
      <rPr>
        <b/>
        <i/>
        <sz val="10"/>
        <color rgb="FFE3C19A"/>
        <rFont val="微软雅黑"/>
        <family val="2"/>
        <charset val="134"/>
      </rPr>
      <t>物理伤害</t>
    </r>
    <r>
      <rPr>
        <i/>
        <sz val="10"/>
        <color rgb="FF404040"/>
        <rFont val="微软雅黑"/>
        <family val="2"/>
        <charset val="134"/>
      </rPr>
      <t>并施加</t>
    </r>
    <r>
      <rPr>
        <b/>
        <i/>
        <u/>
        <sz val="10"/>
        <color rgb="FFE3C19A"/>
        <rFont val="微软雅黑"/>
        <family val="2"/>
        <charset val="134"/>
      </rPr>
      <t>碎甲</t>
    </r>
    <r>
      <rPr>
        <i/>
        <sz val="10"/>
        <color rgb="FF404040"/>
        <rFont val="微软雅黑"/>
        <family val="2"/>
        <charset val="134"/>
      </rPr>
      <t>，同时基于</t>
    </r>
    <r>
      <rPr>
        <i/>
        <u/>
        <sz val="10"/>
        <color rgb="FF404040"/>
        <rFont val="微软雅黑"/>
        <family val="2"/>
        <charset val="134"/>
      </rPr>
      <t>消耗</t>
    </r>
    <r>
      <rPr>
        <i/>
        <sz val="10"/>
        <color rgb="FF404040"/>
        <rFont val="微软雅黑"/>
        <family val="2"/>
        <charset val="134"/>
      </rPr>
      <t>的破防层数恢复技力，命中多名目标时仅恢复1次。</t>
    </r>
  </si>
  <si>
    <t>145%</t>
  </si>
  <si>
    <t>177%</t>
  </si>
  <si>
    <t>148%</t>
  </si>
  <si>
    <t>158%</t>
  </si>
  <si>
    <t>消耗一层破防时技力恢复</t>
  </si>
  <si>
    <t>消耗二层破防时技力恢复</t>
  </si>
  <si>
    <t>消耗三层破防时技力恢复</t>
  </si>
  <si>
    <t>消耗四层破防时技力恢复</t>
  </si>
  <si>
    <t xml:space="preserve"> ✦ 【终结技】盾卫旗队，上前 (chr_0029_pograni_UltimateSkill)</t>
  </si>
  <si>
    <r>
      <rPr>
        <i/>
        <sz val="10"/>
        <color rgb="FF404040"/>
        <rFont val="微软雅黑"/>
        <family val="2"/>
        <charset val="134"/>
      </rPr>
      <t>以目标为中心，召唤四名盾卫向目标进军，并将进军途中的敌人往目标方向推动，造成</t>
    </r>
    <r>
      <rPr>
        <b/>
        <i/>
        <sz val="10"/>
        <color rgb="FFE3C19A"/>
        <rFont val="微软雅黑"/>
        <family val="2"/>
        <charset val="134"/>
      </rPr>
      <t>物理伤害</t>
    </r>
    <r>
      <rPr>
        <i/>
        <sz val="10"/>
        <color rgb="FF404040"/>
        <rFont val="微软雅黑"/>
        <family val="2"/>
        <charset val="134"/>
      </rPr>
      <t>的同时生成5点</t>
    </r>
    <r>
      <rPr>
        <b/>
        <i/>
        <sz val="10"/>
        <color rgb="FF33C2FF"/>
        <rFont val="微软雅黑"/>
        <family val="2"/>
        <charset val="134"/>
      </rPr>
      <t>铁誓</t>
    </r>
    <r>
      <rPr>
        <i/>
        <sz val="10"/>
        <color rgb="FF404040"/>
        <rFont val="微软雅黑"/>
        <family val="2"/>
        <charset val="134"/>
      </rPr>
      <t>。当有敌人受到</t>
    </r>
    <r>
      <rPr>
        <b/>
        <i/>
        <u/>
        <sz val="10"/>
        <color rgb="FFE3C19A"/>
        <rFont val="微软雅黑"/>
        <family val="2"/>
        <charset val="134"/>
      </rPr>
      <t>物理异常</t>
    </r>
    <r>
      <rPr>
        <i/>
        <sz val="10"/>
        <color rgb="FF404040"/>
        <rFont val="微软雅黑"/>
        <family val="2"/>
        <charset val="134"/>
      </rPr>
      <t>效果或骏卫的连携技伤害后，消耗1点</t>
    </r>
    <r>
      <rPr>
        <b/>
        <i/>
        <sz val="10"/>
        <color rgb="FF33C2FF"/>
        <rFont val="微软雅黑"/>
        <family val="2"/>
        <charset val="134"/>
      </rPr>
      <t>铁誓</t>
    </r>
    <r>
      <rPr>
        <i/>
        <sz val="10"/>
        <color rgb="FF404040"/>
        <rFont val="微软雅黑"/>
        <family val="2"/>
        <charset val="134"/>
      </rPr>
      <t>召唤一名盾卫对其发动袭扰，造成</t>
    </r>
    <r>
      <rPr>
        <b/>
        <i/>
        <sz val="10"/>
        <color rgb="FFE3C19A"/>
        <rFont val="微软雅黑"/>
        <family val="2"/>
        <charset val="134"/>
      </rPr>
      <t>物理伤害</t>
    </r>
    <r>
      <rPr>
        <i/>
        <sz val="10"/>
        <color rgb="FF404040"/>
        <rFont val="微软雅黑"/>
        <family val="2"/>
        <charset val="134"/>
      </rPr>
      <t>并恢复一定技力。当消耗的</t>
    </r>
    <r>
      <rPr>
        <b/>
        <i/>
        <sz val="10"/>
        <color rgb="FF33C2FF"/>
        <rFont val="微软雅黑"/>
        <family val="2"/>
        <charset val="134"/>
      </rPr>
      <t>铁誓</t>
    </r>
    <r>
      <rPr>
        <i/>
        <sz val="10"/>
        <color rgb="FF404040"/>
        <rFont val="微软雅黑"/>
        <family val="2"/>
        <charset val="134"/>
      </rPr>
      <t>是最后一点时，四名盾卫发动决胜，对其造成大量</t>
    </r>
    <r>
      <rPr>
        <b/>
        <i/>
        <sz val="10"/>
        <color rgb="FFE3C19A"/>
        <rFont val="微软雅黑"/>
        <family val="2"/>
        <charset val="134"/>
      </rPr>
      <t>物理伤害</t>
    </r>
    <r>
      <rPr>
        <i/>
        <sz val="10"/>
        <color rgb="FF404040"/>
        <rFont val="微软雅黑"/>
        <family val="2"/>
        <charset val="134"/>
      </rPr>
      <t>并恢复大量技力。</t>
    </r>
  </si>
  <si>
    <t>铁誓持续时间</t>
  </si>
  <si>
    <t>进军伤害倍率</t>
  </si>
  <si>
    <t>进军失衡值</t>
  </si>
  <si>
    <t>袭扰伤害倍率</t>
  </si>
  <si>
    <t>袭扰恢复技力</t>
  </si>
  <si>
    <t>决胜伤害倍率</t>
  </si>
  <si>
    <t>决胜失衡值</t>
  </si>
  <si>
    <t>决胜恢复技力</t>
  </si>
  <si>
    <t xml:space="preserve"> ✦ 【连携技】盈月邀击 (chr_0029_pograni_ComboSkill)</t>
  </si>
  <si>
    <r>
      <rPr>
        <i/>
        <sz val="10"/>
        <color rgb="FF404040"/>
        <rFont val="微软雅黑"/>
        <family val="2"/>
        <charset val="134"/>
      </rPr>
      <t>当有敌人被</t>
    </r>
    <r>
      <rPr>
        <b/>
        <i/>
        <u/>
        <sz val="10"/>
        <color rgb="FFE3C19A"/>
        <rFont val="微软雅黑"/>
        <family val="2"/>
        <charset val="134"/>
      </rPr>
      <t>猛击</t>
    </r>
    <r>
      <rPr>
        <i/>
        <sz val="10"/>
        <color rgb="FF404040"/>
        <rFont val="微软雅黑"/>
        <family val="2"/>
        <charset val="134"/>
      </rPr>
      <t>或者</t>
    </r>
    <r>
      <rPr>
        <b/>
        <i/>
        <u/>
        <sz val="10"/>
        <color rgb="FFE3C19A"/>
        <rFont val="微软雅黑"/>
        <family val="2"/>
        <charset val="134"/>
      </rPr>
      <t>碎甲</t>
    </r>
    <r>
      <rPr>
        <i/>
        <u/>
        <sz val="10"/>
        <color rgb="FF404040"/>
        <rFont val="微软雅黑"/>
        <family val="2"/>
        <charset val="134"/>
      </rPr>
      <t>消耗</t>
    </r>
    <r>
      <rPr>
        <b/>
        <i/>
        <u/>
        <sz val="10"/>
        <color rgb="FFE3C19A"/>
        <rFont val="微软雅黑"/>
        <family val="2"/>
        <charset val="134"/>
      </rPr>
      <t>破防</t>
    </r>
    <r>
      <rPr>
        <i/>
        <sz val="10"/>
        <color rgb="FF404040"/>
        <rFont val="微软雅黑"/>
        <family val="2"/>
        <charset val="134"/>
      </rPr>
      <t>层数后可以发动。根据</t>
    </r>
    <r>
      <rPr>
        <i/>
        <u/>
        <sz val="10"/>
        <color rgb="FF404040"/>
        <rFont val="微软雅黑"/>
        <family val="2"/>
        <charset val="134"/>
      </rPr>
      <t>消耗</t>
    </r>
    <r>
      <rPr>
        <i/>
        <sz val="10"/>
        <color rgb="FF404040"/>
        <rFont val="微软雅黑"/>
        <family val="2"/>
        <charset val="134"/>
      </rPr>
      <t>的最高</t>
    </r>
    <r>
      <rPr>
        <b/>
        <i/>
        <u/>
        <sz val="10"/>
        <color rgb="FFE3C19A"/>
        <rFont val="微软雅黑"/>
        <family val="2"/>
        <charset val="134"/>
      </rPr>
      <t>破防</t>
    </r>
    <r>
      <rPr>
        <i/>
        <sz val="10"/>
        <color rgb="FF404040"/>
        <rFont val="微软雅黑"/>
        <family val="2"/>
        <charset val="134"/>
      </rPr>
      <t>层数，对敌人进行相同段数的斩击（最多3段），造成</t>
    </r>
    <r>
      <rPr>
        <b/>
        <i/>
        <sz val="10"/>
        <color rgb="FFE3C19A"/>
        <rFont val="微软雅黑"/>
        <family val="2"/>
        <charset val="134"/>
      </rPr>
      <t>物理伤害</t>
    </r>
    <r>
      <rPr>
        <i/>
        <sz val="10"/>
        <color rgb="FF404040"/>
        <rFont val="微软雅黑"/>
        <family val="2"/>
        <charset val="134"/>
      </rPr>
      <t>并恢复一定技力，每一击的伤害和技力恢复效果都更强。</t>
    </r>
    <r>
      <rPr>
        <b/>
        <i/>
        <sz val="10"/>
        <color rgb="FF999999"/>
        <rFont val="微软雅黑"/>
        <family val="2"/>
        <charset val="134"/>
      </rPr>
      <t>若消耗4层破防，第3段斩击将获得强化。</t>
    </r>
  </si>
  <si>
    <t>第一段技力恢复</t>
  </si>
  <si>
    <t>第二段技力恢复</t>
  </si>
  <si>
    <t>第三段技力恢复</t>
  </si>
  <si>
    <t>强化第三段伤害倍率</t>
  </si>
  <si>
    <t>297%</t>
  </si>
  <si>
    <t>强化第三段失衡值</t>
  </si>
  <si>
    <t>强化第三段技力恢复</t>
  </si>
  <si>
    <t>23</t>
  </si>
  <si>
    <t>⚔ 汤汤 - 技能数据面板</t>
  </si>
  <si>
    <t xml:space="preserve"> ✦ 【普通攻击】崩你脑壳！ (chr_0027_tangtang_NormalAttack)</t>
  </si>
  <si>
    <r>
      <rPr>
        <i/>
        <sz val="10"/>
        <color rgb="FF404040"/>
        <rFont val="微软雅黑"/>
        <family val="2"/>
        <charset val="134"/>
      </rPr>
      <t>普通攻击：对敌人进行至多5段攻击，造成</t>
    </r>
    <r>
      <rPr>
        <b/>
        <i/>
        <sz val="10"/>
        <color rgb="FF30D6E0"/>
        <rFont val="微软雅黑"/>
        <family val="2"/>
        <charset val="134"/>
      </rPr>
      <t>寒冷伤害</t>
    </r>
    <r>
      <rPr>
        <i/>
        <sz val="10"/>
        <color rgb="FF404040"/>
        <rFont val="微软雅黑"/>
        <family val="2"/>
        <charset val="134"/>
      </rPr>
      <t>。作为主控干员时，</t>
    </r>
    <r>
      <rPr>
        <i/>
        <u/>
        <sz val="10"/>
        <color rgb="FF404040"/>
        <rFont val="微软雅黑"/>
        <family val="2"/>
        <charset val="134"/>
      </rPr>
      <t>重击</t>
    </r>
    <r>
      <rPr>
        <i/>
        <sz val="10"/>
        <color rgb="FF404040"/>
        <rFont val="微软雅黑"/>
        <family val="2"/>
        <charset val="134"/>
      </rPr>
      <t>会造成</t>
    </r>
    <r>
      <rPr>
        <b/>
        <i/>
        <sz val="10"/>
        <color rgb="FFFFAE6B"/>
        <rFont val="微软雅黑"/>
        <family val="2"/>
        <charset val="134"/>
      </rPr>
      <t>18</t>
    </r>
    <r>
      <rPr>
        <i/>
        <sz val="10"/>
        <color rgb="FF404040"/>
        <rFont val="微软雅黑"/>
        <family val="2"/>
        <charset val="134"/>
      </rPr>
      <t>点失衡。 下落攻击：处于空中时使用普通攻击，会下落并攻击附近敌人，造成</t>
    </r>
    <r>
      <rPr>
        <b/>
        <i/>
        <sz val="10"/>
        <color rgb="FF30D6E0"/>
        <rFont val="微软雅黑"/>
        <family val="2"/>
        <charset val="134"/>
      </rPr>
      <t>寒冷伤害</t>
    </r>
    <r>
      <rPr>
        <i/>
        <sz val="10"/>
        <color rgb="FF404040"/>
        <rFont val="微软雅黑"/>
        <family val="2"/>
        <charset val="134"/>
      </rPr>
      <t>。 处决攻击：附近有敌人处于失衡状态时使用普通攻击，将处决该敌人，造成大量</t>
    </r>
    <r>
      <rPr>
        <b/>
        <i/>
        <sz val="10"/>
        <color rgb="FF30D6E0"/>
        <rFont val="微软雅黑"/>
        <family val="2"/>
        <charset val="134"/>
      </rPr>
      <t>寒冷伤害</t>
    </r>
    <r>
      <rPr>
        <i/>
        <sz val="10"/>
        <color rgb="FF404040"/>
        <rFont val="微软雅黑"/>
        <family val="2"/>
        <charset val="134"/>
      </rPr>
      <t>并恢复一定技力。</t>
    </r>
  </si>
  <si>
    <t xml:space="preserve"> ✦ 【战技】踏潮卷浪！ (chr_0027_tangtang_NormalSkill)</t>
  </si>
  <si>
    <r>
      <rPr>
        <i/>
        <sz val="10"/>
        <color rgb="FF404040"/>
        <rFont val="微软雅黑"/>
        <family val="2"/>
        <charset val="134"/>
      </rPr>
      <t>从水中跃出，对敌人抵近射击，造成</t>
    </r>
    <r>
      <rPr>
        <b/>
        <i/>
        <sz val="10"/>
        <color rgb="FF30D6E0"/>
        <rFont val="微软雅黑"/>
        <family val="2"/>
        <charset val="134"/>
      </rPr>
      <t>寒冷伤害</t>
    </r>
    <r>
      <rPr>
        <i/>
        <sz val="10"/>
        <color rgb="FF404040"/>
        <rFont val="微软雅黑"/>
        <family val="2"/>
        <charset val="134"/>
      </rPr>
      <t>，并掀起一个</t>
    </r>
    <r>
      <rPr>
        <b/>
        <i/>
        <sz val="10"/>
        <color rgb="FF33C2FF"/>
        <rFont val="微软雅黑"/>
        <family val="2"/>
        <charset val="134"/>
      </rPr>
      <t>水龙卷</t>
    </r>
    <r>
      <rPr>
        <i/>
        <sz val="10"/>
        <color rgb="FF404040"/>
        <rFont val="微软雅黑"/>
        <family val="2"/>
        <charset val="134"/>
      </rPr>
      <t>。同时消耗附近所有</t>
    </r>
    <r>
      <rPr>
        <b/>
        <i/>
        <sz val="10"/>
        <color rgb="FF33C2FF"/>
        <rFont val="微软雅黑"/>
        <family val="2"/>
        <charset val="134"/>
      </rPr>
      <t>涡流</t>
    </r>
    <r>
      <rPr>
        <i/>
        <sz val="10"/>
        <color rgb="FF404040"/>
        <rFont val="微软雅黑"/>
        <family val="2"/>
        <charset val="134"/>
      </rPr>
      <t>使其形成额外的</t>
    </r>
    <r>
      <rPr>
        <b/>
        <i/>
        <sz val="10"/>
        <color rgb="FF33C2FF"/>
        <rFont val="微软雅黑"/>
        <family val="2"/>
        <charset val="134"/>
      </rPr>
      <t>水龙卷</t>
    </r>
    <r>
      <rPr>
        <i/>
        <sz val="10"/>
        <color rgb="FF404040"/>
        <rFont val="微软雅黑"/>
        <family val="2"/>
        <charset val="134"/>
      </rPr>
      <t>，并根据形成数量</t>
    </r>
    <r>
      <rPr>
        <i/>
        <u/>
        <sz val="10"/>
        <color rgb="FF404040"/>
        <rFont val="微软雅黑"/>
        <family val="2"/>
        <charset val="134"/>
      </rPr>
      <t>返还</t>
    </r>
    <r>
      <rPr>
        <i/>
        <sz val="10"/>
        <color rgb="FF404040"/>
        <rFont val="微软雅黑"/>
        <family val="2"/>
        <charset val="134"/>
      </rPr>
      <t>一定技力。</t>
    </r>
    <r>
      <rPr>
        <b/>
        <i/>
        <sz val="10"/>
        <color rgb="FF33C2FF"/>
        <rFont val="微软雅黑"/>
        <family val="2"/>
        <charset val="134"/>
      </rPr>
      <t>水龙卷</t>
    </r>
    <r>
      <rPr>
        <i/>
        <sz val="10"/>
        <color rgb="FF404040"/>
        <rFont val="微软雅黑"/>
        <family val="2"/>
        <charset val="134"/>
      </rPr>
      <t>：对范围内敌人施加1层</t>
    </r>
    <r>
      <rPr>
        <b/>
        <i/>
        <u/>
        <sz val="10"/>
        <color rgb="FF30D6E0"/>
        <rFont val="微软雅黑"/>
        <family val="2"/>
        <charset val="134"/>
      </rPr>
      <t>寒冷附着</t>
    </r>
    <r>
      <rPr>
        <i/>
        <sz val="10"/>
        <color rgb="FF404040"/>
        <rFont val="微软雅黑"/>
        <family val="2"/>
        <charset val="134"/>
      </rPr>
      <t>，并持续造成</t>
    </r>
    <r>
      <rPr>
        <b/>
        <i/>
        <sz val="10"/>
        <color rgb="FF30D6E0"/>
        <rFont val="微软雅黑"/>
        <family val="2"/>
        <charset val="134"/>
      </rPr>
      <t>寒冷伤害</t>
    </r>
    <r>
      <rPr>
        <i/>
        <sz val="10"/>
        <color rgb="FF404040"/>
        <rFont val="微软雅黑"/>
        <family val="2"/>
        <charset val="134"/>
      </rPr>
      <t>。若本次形成多个</t>
    </r>
    <r>
      <rPr>
        <b/>
        <i/>
        <sz val="10"/>
        <color rgb="FF33C2FF"/>
        <rFont val="微软雅黑"/>
        <family val="2"/>
        <charset val="134"/>
      </rPr>
      <t>水龙卷</t>
    </r>
    <r>
      <rPr>
        <i/>
        <sz val="10"/>
        <color rgb="FF404040"/>
        <rFont val="微软雅黑"/>
        <family val="2"/>
        <charset val="134"/>
      </rPr>
      <t>，将对敌人额外施加</t>
    </r>
    <r>
      <rPr>
        <b/>
        <i/>
        <u/>
        <sz val="10"/>
        <color rgb="FF33C2FF"/>
        <rFont val="微软雅黑"/>
        <family val="2"/>
        <charset val="134"/>
      </rPr>
      <t>法术脆弱</t>
    </r>
    <r>
      <rPr>
        <i/>
        <sz val="10"/>
        <color rgb="FF404040"/>
        <rFont val="微软雅黑"/>
        <family val="2"/>
        <charset val="134"/>
      </rPr>
      <t>，但无法重复施加</t>
    </r>
    <r>
      <rPr>
        <b/>
        <i/>
        <u/>
        <sz val="10"/>
        <color rgb="FF30D6E0"/>
        <rFont val="微软雅黑"/>
        <family val="2"/>
        <charset val="134"/>
      </rPr>
      <t>寒冷附着</t>
    </r>
    <r>
      <rPr>
        <i/>
        <sz val="10"/>
        <color rgb="FF404040"/>
        <rFont val="微软雅黑"/>
        <family val="2"/>
        <charset val="134"/>
      </rPr>
      <t>。</t>
    </r>
    <r>
      <rPr>
        <b/>
        <i/>
        <sz val="10"/>
        <color rgb="FF999999"/>
        <rFont val="微软雅黑"/>
        <family val="2"/>
        <charset val="134"/>
      </rPr>
      <t>水龙卷伤害视为战技伤害。</t>
    </r>
  </si>
  <si>
    <t>射击伤害倍率</t>
  </si>
  <si>
    <t>射击失衡值</t>
  </si>
  <si>
    <t>单个水龙卷伤害倍率</t>
  </si>
  <si>
    <t>水龙卷持续时间（秒）</t>
  </si>
  <si>
    <t>每处涡流技力返还</t>
  </si>
  <si>
    <t>两个水龙卷法术脆弱</t>
  </si>
  <si>
    <t>3.5%</t>
  </si>
  <si>
    <t>4%</t>
  </si>
  <si>
    <t>4.5%</t>
  </si>
  <si>
    <t>三个水龙卷法术脆弱</t>
  </si>
  <si>
    <t>法术脆弱持续时间（秒）</t>
  </si>
  <si>
    <t xml:space="preserve"> ✦ 【终结技】大当家盯着呢！ (chr_0027_tangtang_UltimateSkill)</t>
  </si>
  <si>
    <r>
      <rPr>
        <i/>
        <sz val="10"/>
        <color rgb="FF404040"/>
        <rFont val="微软雅黑"/>
        <family val="2"/>
        <charset val="134"/>
      </rPr>
      <t>汤汤揭开眼罩，释放眼中的</t>
    </r>
    <r>
      <rPr>
        <b/>
        <i/>
        <sz val="10"/>
        <color rgb="FF33C2FF"/>
        <rFont val="微软雅黑"/>
        <family val="2"/>
        <charset val="134"/>
      </rPr>
      <t>古老图形</t>
    </r>
    <r>
      <rPr>
        <i/>
        <sz val="10"/>
        <color rgb="FF404040"/>
        <rFont val="微软雅黑"/>
        <family val="2"/>
        <charset val="134"/>
      </rPr>
      <t>封锁范围内的敌人，使其暂停行动一段时间，并造成持续的</t>
    </r>
    <r>
      <rPr>
        <b/>
        <i/>
        <sz val="10"/>
        <color rgb="FF30D6E0"/>
        <rFont val="微软雅黑"/>
        <family val="2"/>
        <charset val="134"/>
      </rPr>
      <t>寒冷伤害</t>
    </r>
    <r>
      <rPr>
        <i/>
        <sz val="10"/>
        <color rgb="FF404040"/>
        <rFont val="微软雅黑"/>
        <family val="2"/>
        <charset val="134"/>
      </rPr>
      <t>。</t>
    </r>
    <r>
      <rPr>
        <b/>
        <i/>
        <sz val="10"/>
        <color rgb="FF33C2FF"/>
        <rFont val="微软雅黑"/>
        <family val="2"/>
        <charset val="134"/>
      </rPr>
      <t>古老图形</t>
    </r>
    <r>
      <rPr>
        <i/>
        <sz val="10"/>
        <color rgb="FF404040"/>
        <rFont val="微软雅黑"/>
        <family val="2"/>
        <charset val="134"/>
      </rPr>
      <t>演化结束时降下巨浪，对范围内敌人造成大量</t>
    </r>
    <r>
      <rPr>
        <b/>
        <i/>
        <sz val="10"/>
        <color rgb="FF30D6E0"/>
        <rFont val="微软雅黑"/>
        <family val="2"/>
        <charset val="134"/>
      </rPr>
      <t>寒冷伤害</t>
    </r>
    <r>
      <rPr>
        <i/>
        <sz val="10"/>
        <color rgb="FF404040"/>
        <rFont val="微软雅黑"/>
        <family val="2"/>
        <charset val="134"/>
      </rPr>
      <t>。若主控干员在</t>
    </r>
    <r>
      <rPr>
        <b/>
        <i/>
        <sz val="10"/>
        <color rgb="FF33C2FF"/>
        <rFont val="微软雅黑"/>
        <family val="2"/>
        <charset val="134"/>
      </rPr>
      <t>古老图形</t>
    </r>
    <r>
      <rPr>
        <i/>
        <sz val="10"/>
        <color rgb="FF404040"/>
        <rFont val="微软雅黑"/>
        <family val="2"/>
        <charset val="134"/>
      </rPr>
      <t>中下落攻击，会提前结束演化降下巨浪，巨浪造成的</t>
    </r>
    <r>
      <rPr>
        <b/>
        <i/>
        <sz val="10"/>
        <color rgb="FF30D6E0"/>
        <rFont val="微软雅黑"/>
        <family val="2"/>
        <charset val="134"/>
      </rPr>
      <t>寒冷伤害</t>
    </r>
    <r>
      <rPr>
        <i/>
        <sz val="10"/>
        <color rgb="FF404040"/>
        <rFont val="微软雅黑"/>
        <family val="2"/>
        <charset val="134"/>
      </rPr>
      <t>提升。</t>
    </r>
  </si>
  <si>
    <t>持续伤害总倍率</t>
  </si>
  <si>
    <t>古老图形持续时间（秒）</t>
  </si>
  <si>
    <t>巨浪伤害倍率</t>
  </si>
  <si>
    <t>提前降下巨浪伤害倍率</t>
  </si>
  <si>
    <t>311%</t>
  </si>
  <si>
    <t>373%</t>
  </si>
  <si>
    <t>646%</t>
  </si>
  <si>
    <t>700%</t>
  </si>
  <si>
    <t>巨浪失衡值</t>
  </si>
  <si>
    <t>提前降下巨浪失衡值</t>
  </si>
  <si>
    <t xml:space="preserve"> ✦ 【连携技】河水，助我！ (chr_0027_tangtang_ComboSkill)</t>
  </si>
  <si>
    <r>
      <rPr>
        <i/>
        <sz val="10"/>
        <color rgb="FF404040"/>
        <rFont val="微软雅黑"/>
        <family val="2"/>
        <charset val="134"/>
      </rPr>
      <t>当有敌人被施加</t>
    </r>
    <r>
      <rPr>
        <b/>
        <i/>
        <u/>
        <sz val="10"/>
        <color rgb="FF30D6E0"/>
        <rFont val="微软雅黑"/>
        <family val="2"/>
        <charset val="134"/>
      </rPr>
      <t>寒冷附着</t>
    </r>
    <r>
      <rPr>
        <i/>
        <sz val="10"/>
        <color rgb="FF404040"/>
        <rFont val="微软雅黑"/>
        <family val="2"/>
        <charset val="134"/>
      </rPr>
      <t>或受到</t>
    </r>
    <r>
      <rPr>
        <b/>
        <i/>
        <u/>
        <sz val="10"/>
        <color rgb="FF33C2FF"/>
        <rFont val="微软雅黑"/>
        <family val="2"/>
        <charset val="134"/>
      </rPr>
      <t>法术爆发</t>
    </r>
    <r>
      <rPr>
        <i/>
        <sz val="10"/>
        <color rgb="FF404040"/>
        <rFont val="微软雅黑"/>
        <family val="2"/>
        <charset val="134"/>
      </rPr>
      <t>伤害时可以发动。释放一道强力的水流，贯穿前方敌人造成</t>
    </r>
    <r>
      <rPr>
        <b/>
        <i/>
        <sz val="10"/>
        <color rgb="FF30D6E0"/>
        <rFont val="微软雅黑"/>
        <family val="2"/>
        <charset val="134"/>
      </rPr>
      <t>寒冷伤害</t>
    </r>
    <r>
      <rPr>
        <i/>
        <sz val="10"/>
        <color rgb="FF404040"/>
        <rFont val="微软雅黑"/>
        <family val="2"/>
        <charset val="134"/>
      </rPr>
      <t>，并迸射出一处</t>
    </r>
    <r>
      <rPr>
        <b/>
        <i/>
        <sz val="10"/>
        <color rgb="FF33C2FF"/>
        <rFont val="微软雅黑"/>
        <family val="2"/>
        <charset val="134"/>
      </rPr>
      <t>涡流</t>
    </r>
    <r>
      <rPr>
        <i/>
        <sz val="10"/>
        <color rgb="FF404040"/>
        <rFont val="微软雅黑"/>
        <family val="2"/>
        <charset val="134"/>
      </rPr>
      <t>。</t>
    </r>
    <r>
      <rPr>
        <b/>
        <i/>
        <sz val="10"/>
        <color rgb="FF999999"/>
        <rFont val="微软雅黑"/>
        <family val="2"/>
        <charset val="134"/>
      </rPr>
      <t>场上最多存在2处涡流。</t>
    </r>
  </si>
  <si>
    <t>14.0s</t>
  </si>
  <si>
    <t>涡流持续时间（秒）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</si>
</sst>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宋体"/>
      <family val="2"/>
      <scheme val="minor"/>
    </font>
    <font>
      <b/>
      <sz val="11"/>
      <color rgb="FFFFFFFF"/>
      <name val="微软雅黑"/>
      <family val="2"/>
      <charset val="134"/>
    </font>
    <font>
      <sz val="10"/>
      <name val="微软雅黑"/>
      <family val="2"/>
      <charset val="134"/>
    </font>
    <font>
      <b/>
      <sz val="20"/>
      <color rgb="FF1F4E79"/>
      <name val="微软雅黑"/>
      <family val="2"/>
      <charset val="134"/>
    </font>
    <font>
      <b/>
      <sz val="16"/>
      <color rgb="FFFFFFFF"/>
      <name val="微软雅黑"/>
      <family val="2"/>
      <charset val="134"/>
    </font>
    <font>
      <b/>
      <sz val="11"/>
      <color rgb="FF1F4E79"/>
      <name val="微软雅黑"/>
      <family val="2"/>
      <charset val="134"/>
    </font>
    <font>
      <b/>
      <sz val="11"/>
      <color rgb="FF33C2FF"/>
      <name val="宋体"/>
      <charset val="134"/>
    </font>
    <font>
      <u/>
      <sz val="11"/>
      <name val="宋体"/>
      <charset val="134"/>
    </font>
    <font>
      <b/>
      <u/>
      <sz val="11"/>
      <color rgb="FF33C2FF"/>
      <name val="宋体"/>
      <charset val="134"/>
    </font>
    <font>
      <b/>
      <sz val="11"/>
      <color rgb="FF9EB7FF"/>
      <name val="宋体"/>
      <charset val="134"/>
    </font>
    <font>
      <b/>
      <sz val="11"/>
      <color rgb="FFE3C19A"/>
      <name val="宋体"/>
      <charset val="134"/>
    </font>
    <font>
      <b/>
      <u/>
      <sz val="11"/>
      <color rgb="FFFFCC00"/>
      <name val="宋体"/>
      <charset val="134"/>
    </font>
    <font>
      <b/>
      <u/>
      <sz val="11"/>
      <color rgb="FFE3C19A"/>
      <name val="宋体"/>
      <charset val="134"/>
    </font>
    <font>
      <b/>
      <sz val="11"/>
      <color rgb="FFFFAE6B"/>
      <name val="宋体"/>
      <charset val="134"/>
    </font>
    <font>
      <b/>
      <u/>
      <sz val="11"/>
      <color rgb="FFFF8E59"/>
      <name val="宋体"/>
      <charset val="134"/>
    </font>
    <font>
      <b/>
      <sz val="11"/>
      <color rgb="FFFF8E59"/>
      <name val="宋体"/>
      <charset val="134"/>
    </font>
    <font>
      <b/>
      <sz val="11"/>
      <color rgb="FFFFCC00"/>
      <name val="宋体"/>
      <charset val="134"/>
    </font>
    <font>
      <b/>
      <u/>
      <sz val="11"/>
      <color rgb="FF30D6E0"/>
      <name val="宋体"/>
      <charset val="134"/>
    </font>
    <font>
      <b/>
      <sz val="11"/>
      <color rgb="FF30D6E0"/>
      <name val="宋体"/>
      <charset val="134"/>
    </font>
    <font>
      <b/>
      <sz val="11"/>
      <color rgb="FFB4D945"/>
      <name val="宋体"/>
      <charset val="134"/>
    </font>
    <font>
      <b/>
      <sz val="11"/>
      <color rgb="FF999999"/>
      <name val="宋体"/>
      <charset val="134"/>
    </font>
    <font>
      <b/>
      <u/>
      <sz val="11"/>
      <color rgb="FFB4D945"/>
      <name val="宋体"/>
      <charset val="134"/>
    </font>
    <font>
      <i/>
      <sz val="10"/>
      <color rgb="FF404040"/>
      <name val="微软雅黑"/>
      <family val="2"/>
      <charset val="134"/>
    </font>
    <font>
      <b/>
      <i/>
      <sz val="10"/>
      <color rgb="FFE3C19A"/>
      <name val="微软雅黑"/>
      <family val="2"/>
      <charset val="134"/>
    </font>
    <font>
      <i/>
      <u/>
      <sz val="10"/>
      <color rgb="FF404040"/>
      <name val="微软雅黑"/>
      <family val="2"/>
      <charset val="134"/>
    </font>
    <font>
      <b/>
      <i/>
      <sz val="10"/>
      <color rgb="FFFFAE6B"/>
      <name val="微软雅黑"/>
      <family val="2"/>
      <charset val="134"/>
    </font>
    <font>
      <b/>
      <i/>
      <u/>
      <sz val="10"/>
      <color rgb="FFE3C19A"/>
      <name val="微软雅黑"/>
      <family val="2"/>
      <charset val="134"/>
    </font>
    <font>
      <b/>
      <i/>
      <u/>
      <sz val="10"/>
      <color rgb="FF33C2FF"/>
      <name val="微软雅黑"/>
      <family val="2"/>
      <charset val="134"/>
    </font>
    <font>
      <b/>
      <i/>
      <sz val="10"/>
      <color rgb="FF33C2FF"/>
      <name val="微软雅黑"/>
      <family val="2"/>
      <charset val="134"/>
    </font>
    <font>
      <b/>
      <i/>
      <sz val="10"/>
      <color rgb="FFFFCC00"/>
      <name val="微软雅黑"/>
      <family val="2"/>
      <charset val="134"/>
    </font>
    <font>
      <b/>
      <i/>
      <u/>
      <sz val="10"/>
      <color rgb="FFFFCC00"/>
      <name val="微软雅黑"/>
      <family val="2"/>
      <charset val="134"/>
    </font>
    <font>
      <b/>
      <i/>
      <sz val="10"/>
      <color rgb="FFFF8E59"/>
      <name val="微软雅黑"/>
      <family val="2"/>
      <charset val="134"/>
    </font>
    <font>
      <b/>
      <i/>
      <u/>
      <sz val="10"/>
      <color rgb="FFFF8E59"/>
      <name val="微软雅黑"/>
      <family val="2"/>
      <charset val="134"/>
    </font>
    <font>
      <b/>
      <i/>
      <sz val="10"/>
      <color rgb="FF30D6E0"/>
      <name val="微软雅黑"/>
      <family val="2"/>
      <charset val="134"/>
    </font>
    <font>
      <b/>
      <i/>
      <u/>
      <sz val="10"/>
      <color rgb="FF30D6E0"/>
      <name val="微软雅黑"/>
      <family val="2"/>
      <charset val="134"/>
    </font>
    <font>
      <b/>
      <i/>
      <u/>
      <sz val="10"/>
      <color rgb="FFB4D945"/>
      <name val="微软雅黑"/>
      <family val="2"/>
      <charset val="134"/>
    </font>
    <font>
      <b/>
      <i/>
      <sz val="10"/>
      <color rgb="FFB4D945"/>
      <name val="微软雅黑"/>
      <family val="2"/>
      <charset val="134"/>
    </font>
    <font>
      <b/>
      <i/>
      <sz val="10"/>
      <color rgb="FF999999"/>
      <name val="微软雅黑"/>
      <family val="2"/>
      <charset val="134"/>
    </font>
    <font>
      <b/>
      <i/>
      <u/>
      <sz val="10"/>
      <color rgb="FFFFAE6B"/>
      <name val="微软雅黑"/>
      <family val="2"/>
      <charset val="134"/>
    </font>
    <font>
      <sz val="9"/>
      <name val="宋体"/>
      <family val="3"/>
      <charset val="134"/>
      <scheme val="minor"/>
    </font>
  </fonts>
  <fills count="9">
    <fill>
      <patternFill patternType="none"/>
    </fill>
    <fill>
      <patternFill patternType="gray125"/>
    </fill>
    <fill>
      <patternFill patternType="solid">
        <fgColor rgb="FF2E75B6"/>
        <bgColor rgb="FF2E75B6"/>
      </patternFill>
    </fill>
    <fill>
      <patternFill patternType="solid">
        <fgColor rgb="FFF0F7FC"/>
        <bgColor rgb="FFF0F7FC"/>
      </patternFill>
    </fill>
    <fill>
      <patternFill patternType="solid">
        <fgColor rgb="FFFFFFFF"/>
        <bgColor rgb="FFFFFFFF"/>
      </patternFill>
    </fill>
    <fill>
      <patternFill patternType="solid">
        <fgColor rgb="FF2F5496"/>
      </patternFill>
    </fill>
    <fill>
      <patternFill patternType="solid">
        <fgColor rgb="FFD6DCE5"/>
      </patternFill>
    </fill>
    <fill>
      <patternFill patternType="solid">
        <fgColor rgb="FFE9EDF4"/>
      </patternFill>
    </fill>
    <fill>
      <patternFill patternType="solid">
        <fgColor rgb="FFF8F9FA"/>
      </patternFill>
    </fill>
  </fills>
  <borders count="7">
    <border>
      <left/>
      <right/>
      <top/>
      <bottom/>
      <diagonal/>
    </border>
    <border>
      <left style="medium">
        <color rgb="FF1F4E79"/>
      </left>
      <right style="medium">
        <color rgb="FF1F4E79"/>
      </right>
      <top style="medium">
        <color rgb="FF1F4E79"/>
      </top>
      <bottom style="medium">
        <color rgb="FF1F4E79"/>
      </bottom>
      <diagonal/>
    </border>
    <border>
      <left style="thin">
        <color rgb="FFB4C6E7"/>
      </left>
      <right style="thin">
        <color rgb="FFB4C6E7"/>
      </right>
      <top style="thin">
        <color rgb="FFB4C6E7"/>
      </top>
      <bottom style="thin">
        <color rgb="FFB4C6E7"/>
      </bottom>
      <diagonal/>
    </border>
    <border>
      <left style="medium">
        <color rgb="FFB4C6E7"/>
      </left>
      <right style="medium">
        <color rgb="FFB4C6E7"/>
      </right>
      <top style="medium">
        <color rgb="FFB4C6E7"/>
      </top>
      <bottom style="medium">
        <color rgb="FFB4C6E7"/>
      </bottom>
      <diagonal/>
    </border>
    <border>
      <left style="medium">
        <color rgb="FFB4C6E7"/>
      </left>
      <right style="medium">
        <color rgb="FFB4C6E7"/>
      </right>
      <top/>
      <bottom/>
      <diagonal/>
    </border>
    <border>
      <left style="thin">
        <color rgb="FFE0E0E0"/>
      </left>
      <right style="thin">
        <color rgb="FFE0E0E0"/>
      </right>
      <top style="thin">
        <color rgb="FFE0E0E0"/>
      </top>
      <bottom style="thin">
        <color rgb="FFE0E0E0"/>
      </bottom>
      <diagonal/>
    </border>
    <border>
      <left style="medium">
        <color rgb="FFB4C6E7"/>
      </left>
      <right style="medium">
        <color rgb="FFB4C6E7"/>
      </right>
      <top/>
      <bottom style="medium">
        <color rgb="FFB4C6E7"/>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1" fontId="2" fillId="3" borderId="2" xfId="0" applyNumberFormat="1" applyFont="1" applyFill="1" applyBorder="1" applyAlignment="1" applyProtection="1">
      <alignment horizontal="center" vertical="center"/>
      <protection locked="0"/>
    </xf>
    <xf numFmtId="0" fontId="2" fillId="4" borderId="2" xfId="0" applyFont="1" applyFill="1" applyBorder="1" applyAlignment="1">
      <alignment horizontal="center" vertical="center"/>
    </xf>
    <xf numFmtId="1" fontId="2" fillId="4" borderId="2" xfId="0" applyNumberFormat="1" applyFont="1" applyFill="1" applyBorder="1" applyAlignment="1" applyProtection="1">
      <alignment horizontal="center" vertical="center"/>
      <protection locked="0"/>
    </xf>
    <xf numFmtId="0" fontId="5" fillId="7" borderId="5" xfId="0" applyFont="1" applyFill="1" applyBorder="1" applyAlignment="1">
      <alignment horizontal="center" vertical="center"/>
    </xf>
    <xf numFmtId="0" fontId="0" fillId="8" borderId="5" xfId="0" applyFill="1" applyBorder="1" applyAlignment="1">
      <alignment horizontal="center" vertical="center"/>
    </xf>
    <xf numFmtId="0" fontId="0" fillId="0" borderId="5" xfId="0" applyBorder="1" applyAlignment="1">
      <alignment horizontal="center" vertical="center"/>
    </xf>
    <xf numFmtId="0" fontId="0" fillId="0" borderId="6" xfId="0" applyBorder="1"/>
    <xf numFmtId="0" fontId="0" fillId="0" borderId="0" xfId="0"/>
    <xf numFmtId="0" fontId="3" fillId="0" borderId="0" xfId="0" applyFont="1" applyAlignment="1">
      <alignment horizontal="left" vertical="center"/>
    </xf>
    <xf numFmtId="0" fontId="0" fillId="6" borderId="4" xfId="0" applyFill="1" applyBorder="1" applyAlignment="1">
      <alignment horizontal="left" vertical="center" wrapText="1"/>
    </xf>
    <xf numFmtId="0" fontId="4" fillId="5" borderId="3"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679"/>
  <sheetViews>
    <sheetView workbookViewId="0"/>
  </sheetViews>
  <sheetFormatPr defaultRowHeight="13.5" x14ac:dyDescent="0.15"/>
  <sheetData>
    <row r="1" spans="1:48"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V1">
        <v>1</v>
      </c>
    </row>
    <row r="2" spans="1:48" x14ac:dyDescent="0.15">
      <c r="A2" t="s">
        <v>46</v>
      </c>
      <c r="B2" t="s">
        <v>47</v>
      </c>
      <c r="C2" t="s">
        <v>48</v>
      </c>
      <c r="D2">
        <v>1</v>
      </c>
      <c r="E2" t="s">
        <v>49</v>
      </c>
      <c r="F2" t="s">
        <v>50</v>
      </c>
      <c r="G2" t="s">
        <v>51</v>
      </c>
      <c r="H2" t="s">
        <v>52</v>
      </c>
      <c r="I2" t="s">
        <v>53</v>
      </c>
      <c r="J2" t="s">
        <v>54</v>
      </c>
      <c r="K2" t="s">
        <v>55</v>
      </c>
      <c r="L2" t="s">
        <v>17</v>
      </c>
      <c r="M2" t="s">
        <v>16</v>
      </c>
      <c r="N2">
        <v>500</v>
      </c>
      <c r="O2">
        <v>30</v>
      </c>
      <c r="P2">
        <v>0</v>
      </c>
      <c r="Q2" t="s">
        <v>56</v>
      </c>
      <c r="R2" t="s">
        <v>57</v>
      </c>
      <c r="S2" t="s">
        <v>58</v>
      </c>
      <c r="T2" t="s">
        <v>59</v>
      </c>
      <c r="U2" t="s">
        <v>60</v>
      </c>
      <c r="V2" t="s">
        <v>61</v>
      </c>
      <c r="W2">
        <v>3</v>
      </c>
      <c r="X2">
        <v>0.14000000000000001</v>
      </c>
      <c r="Y2" t="s">
        <v>62</v>
      </c>
      <c r="Z2" t="s">
        <v>62</v>
      </c>
      <c r="AA2">
        <v>0</v>
      </c>
      <c r="AB2" t="s">
        <v>63</v>
      </c>
      <c r="AC2" t="s">
        <v>64</v>
      </c>
      <c r="AD2" t="s">
        <v>65</v>
      </c>
      <c r="AE2" t="s">
        <v>65</v>
      </c>
      <c r="AF2" t="s">
        <v>65</v>
      </c>
      <c r="AG2" t="s">
        <v>66</v>
      </c>
      <c r="AH2" t="s">
        <v>66</v>
      </c>
      <c r="AI2" t="s">
        <v>66</v>
      </c>
      <c r="AJ2" t="s">
        <v>66</v>
      </c>
      <c r="AK2">
        <v>1</v>
      </c>
      <c r="AL2" t="s">
        <v>66</v>
      </c>
      <c r="AM2" t="s">
        <v>66</v>
      </c>
      <c r="AN2" t="s">
        <v>66</v>
      </c>
      <c r="AO2" t="s">
        <v>66</v>
      </c>
      <c r="AP2">
        <v>1</v>
      </c>
      <c r="AQ2" t="s">
        <v>66</v>
      </c>
      <c r="AR2" t="s">
        <v>66</v>
      </c>
      <c r="AS2" t="s">
        <v>66</v>
      </c>
      <c r="AT2" t="s">
        <v>66</v>
      </c>
      <c r="AV2">
        <v>2</v>
      </c>
    </row>
    <row r="3" spans="1:48" x14ac:dyDescent="0.15">
      <c r="A3" t="s">
        <v>67</v>
      </c>
      <c r="B3" t="s">
        <v>47</v>
      </c>
      <c r="C3" t="s">
        <v>48</v>
      </c>
      <c r="D3">
        <v>2</v>
      </c>
      <c r="E3" t="s">
        <v>49</v>
      </c>
      <c r="F3" t="s">
        <v>50</v>
      </c>
      <c r="G3" t="s">
        <v>51</v>
      </c>
      <c r="H3" t="s">
        <v>52</v>
      </c>
      <c r="I3" t="s">
        <v>53</v>
      </c>
      <c r="J3" t="s">
        <v>54</v>
      </c>
      <c r="K3" t="s">
        <v>55</v>
      </c>
      <c r="L3" t="s">
        <v>17</v>
      </c>
      <c r="M3" t="s">
        <v>16</v>
      </c>
      <c r="N3">
        <v>556</v>
      </c>
      <c r="O3">
        <v>33</v>
      </c>
      <c r="P3">
        <v>0</v>
      </c>
      <c r="Q3" t="s">
        <v>68</v>
      </c>
      <c r="R3" t="s">
        <v>69</v>
      </c>
      <c r="S3" t="s">
        <v>70</v>
      </c>
      <c r="T3" t="s">
        <v>71</v>
      </c>
      <c r="U3" t="s">
        <v>60</v>
      </c>
      <c r="V3" t="s">
        <v>61</v>
      </c>
      <c r="W3">
        <v>3</v>
      </c>
      <c r="X3">
        <v>0.14000000000000001</v>
      </c>
      <c r="Y3" t="s">
        <v>72</v>
      </c>
      <c r="Z3" t="s">
        <v>73</v>
      </c>
      <c r="AA3">
        <v>0</v>
      </c>
      <c r="AB3" t="s">
        <v>63</v>
      </c>
      <c r="AC3" t="s">
        <v>64</v>
      </c>
      <c r="AD3" t="s">
        <v>65</v>
      </c>
      <c r="AE3" t="s">
        <v>65</v>
      </c>
      <c r="AF3" t="s">
        <v>65</v>
      </c>
      <c r="AG3" t="s">
        <v>66</v>
      </c>
      <c r="AH3" t="s">
        <v>66</v>
      </c>
      <c r="AI3" t="s">
        <v>66</v>
      </c>
      <c r="AJ3" t="s">
        <v>66</v>
      </c>
      <c r="AK3">
        <v>1</v>
      </c>
      <c r="AL3" t="s">
        <v>66</v>
      </c>
      <c r="AM3" t="s">
        <v>66</v>
      </c>
      <c r="AN3" t="s">
        <v>66</v>
      </c>
      <c r="AO3" t="s">
        <v>66</v>
      </c>
      <c r="AP3">
        <v>1</v>
      </c>
      <c r="AQ3" t="s">
        <v>66</v>
      </c>
      <c r="AR3" t="s">
        <v>66</v>
      </c>
      <c r="AS3" t="s">
        <v>66</v>
      </c>
      <c r="AT3" t="s">
        <v>66</v>
      </c>
      <c r="AV3">
        <v>3</v>
      </c>
    </row>
    <row r="4" spans="1:48" x14ac:dyDescent="0.15">
      <c r="A4" t="s">
        <v>74</v>
      </c>
      <c r="B4" t="s">
        <v>47</v>
      </c>
      <c r="C4" t="s">
        <v>48</v>
      </c>
      <c r="D4">
        <v>3</v>
      </c>
      <c r="E4" t="s">
        <v>49</v>
      </c>
      <c r="F4" t="s">
        <v>50</v>
      </c>
      <c r="G4" t="s">
        <v>51</v>
      </c>
      <c r="H4" t="s">
        <v>52</v>
      </c>
      <c r="I4" t="s">
        <v>53</v>
      </c>
      <c r="J4" t="s">
        <v>54</v>
      </c>
      <c r="K4" t="s">
        <v>55</v>
      </c>
      <c r="L4" t="s">
        <v>17</v>
      </c>
      <c r="M4" t="s">
        <v>16</v>
      </c>
      <c r="N4">
        <v>612</v>
      </c>
      <c r="O4">
        <v>36</v>
      </c>
      <c r="P4">
        <v>0</v>
      </c>
      <c r="Q4" t="s">
        <v>75</v>
      </c>
      <c r="R4" t="s">
        <v>76</v>
      </c>
      <c r="S4" t="s">
        <v>77</v>
      </c>
      <c r="T4" t="s">
        <v>78</v>
      </c>
      <c r="U4" t="s">
        <v>60</v>
      </c>
      <c r="V4" t="s">
        <v>61</v>
      </c>
      <c r="W4">
        <v>3</v>
      </c>
      <c r="X4">
        <v>0.14000000000000001</v>
      </c>
      <c r="Y4" t="s">
        <v>73</v>
      </c>
      <c r="Z4" t="s">
        <v>79</v>
      </c>
      <c r="AA4">
        <v>0</v>
      </c>
      <c r="AB4" t="s">
        <v>63</v>
      </c>
      <c r="AC4" t="s">
        <v>64</v>
      </c>
      <c r="AD4" t="s">
        <v>65</v>
      </c>
      <c r="AE4" t="s">
        <v>65</v>
      </c>
      <c r="AF4" t="s">
        <v>65</v>
      </c>
      <c r="AG4" t="s">
        <v>66</v>
      </c>
      <c r="AH4" t="s">
        <v>66</v>
      </c>
      <c r="AI4" t="s">
        <v>66</v>
      </c>
      <c r="AJ4" t="s">
        <v>66</v>
      </c>
      <c r="AK4">
        <v>1</v>
      </c>
      <c r="AL4" t="s">
        <v>66</v>
      </c>
      <c r="AM4" t="s">
        <v>66</v>
      </c>
      <c r="AN4" t="s">
        <v>66</v>
      </c>
      <c r="AO4" t="s">
        <v>66</v>
      </c>
      <c r="AP4">
        <v>1</v>
      </c>
      <c r="AQ4" t="s">
        <v>66</v>
      </c>
      <c r="AR4" t="s">
        <v>66</v>
      </c>
      <c r="AS4" t="s">
        <v>66</v>
      </c>
      <c r="AT4" t="s">
        <v>66</v>
      </c>
      <c r="AV4">
        <v>4</v>
      </c>
    </row>
    <row r="5" spans="1:48" x14ac:dyDescent="0.15">
      <c r="A5" t="s">
        <v>80</v>
      </c>
      <c r="B5" t="s">
        <v>47</v>
      </c>
      <c r="C5" t="s">
        <v>48</v>
      </c>
      <c r="D5">
        <v>4</v>
      </c>
      <c r="E5" t="s">
        <v>49</v>
      </c>
      <c r="F5" t="s">
        <v>50</v>
      </c>
      <c r="G5" t="s">
        <v>51</v>
      </c>
      <c r="H5" t="s">
        <v>52</v>
      </c>
      <c r="I5" t="s">
        <v>53</v>
      </c>
      <c r="J5" t="s">
        <v>54</v>
      </c>
      <c r="K5" t="s">
        <v>55</v>
      </c>
      <c r="L5" t="s">
        <v>17</v>
      </c>
      <c r="M5" t="s">
        <v>16</v>
      </c>
      <c r="N5">
        <v>668</v>
      </c>
      <c r="O5">
        <v>40</v>
      </c>
      <c r="P5">
        <v>0</v>
      </c>
      <c r="Q5" t="s">
        <v>81</v>
      </c>
      <c r="R5" t="s">
        <v>82</v>
      </c>
      <c r="S5" t="s">
        <v>83</v>
      </c>
      <c r="T5" t="s">
        <v>84</v>
      </c>
      <c r="U5" t="s">
        <v>60</v>
      </c>
      <c r="V5" t="s">
        <v>61</v>
      </c>
      <c r="W5">
        <v>3</v>
      </c>
      <c r="X5">
        <v>0.14000000000000001</v>
      </c>
      <c r="Y5" t="s">
        <v>85</v>
      </c>
      <c r="Z5" t="s">
        <v>86</v>
      </c>
      <c r="AA5">
        <v>0</v>
      </c>
      <c r="AB5" t="s">
        <v>63</v>
      </c>
      <c r="AC5" t="s">
        <v>64</v>
      </c>
      <c r="AD5" t="s">
        <v>65</v>
      </c>
      <c r="AE5" t="s">
        <v>65</v>
      </c>
      <c r="AF5" t="s">
        <v>65</v>
      </c>
      <c r="AG5" t="s">
        <v>66</v>
      </c>
      <c r="AH5" t="s">
        <v>66</v>
      </c>
      <c r="AI5" t="s">
        <v>66</v>
      </c>
      <c r="AJ5" t="s">
        <v>66</v>
      </c>
      <c r="AK5">
        <v>1</v>
      </c>
      <c r="AL5" t="s">
        <v>66</v>
      </c>
      <c r="AM5" t="s">
        <v>66</v>
      </c>
      <c r="AN5" t="s">
        <v>66</v>
      </c>
      <c r="AO5" t="s">
        <v>66</v>
      </c>
      <c r="AP5">
        <v>1</v>
      </c>
      <c r="AQ5" t="s">
        <v>66</v>
      </c>
      <c r="AR5" t="s">
        <v>66</v>
      </c>
      <c r="AS5" t="s">
        <v>66</v>
      </c>
      <c r="AT5" t="s">
        <v>66</v>
      </c>
      <c r="AV5">
        <v>5</v>
      </c>
    </row>
    <row r="6" spans="1:48" x14ac:dyDescent="0.15">
      <c r="A6" t="s">
        <v>87</v>
      </c>
      <c r="B6" t="s">
        <v>47</v>
      </c>
      <c r="C6" t="s">
        <v>48</v>
      </c>
      <c r="D6">
        <v>5</v>
      </c>
      <c r="E6" t="s">
        <v>49</v>
      </c>
      <c r="F6" t="s">
        <v>50</v>
      </c>
      <c r="G6" t="s">
        <v>51</v>
      </c>
      <c r="H6" t="s">
        <v>52</v>
      </c>
      <c r="I6" t="s">
        <v>53</v>
      </c>
      <c r="J6" t="s">
        <v>54</v>
      </c>
      <c r="K6" t="s">
        <v>55</v>
      </c>
      <c r="L6" t="s">
        <v>17</v>
      </c>
      <c r="M6" t="s">
        <v>16</v>
      </c>
      <c r="N6">
        <v>724</v>
      </c>
      <c r="O6">
        <v>43</v>
      </c>
      <c r="P6">
        <v>0</v>
      </c>
      <c r="Q6" t="s">
        <v>88</v>
      </c>
      <c r="R6" t="s">
        <v>89</v>
      </c>
      <c r="S6" t="s">
        <v>90</v>
      </c>
      <c r="T6" t="s">
        <v>91</v>
      </c>
      <c r="U6" t="s">
        <v>60</v>
      </c>
      <c r="V6" t="s">
        <v>61</v>
      </c>
      <c r="W6">
        <v>3</v>
      </c>
      <c r="X6">
        <v>0.14000000000000001</v>
      </c>
      <c r="Y6" t="s">
        <v>79</v>
      </c>
      <c r="Z6" t="s">
        <v>92</v>
      </c>
      <c r="AA6">
        <v>0</v>
      </c>
      <c r="AB6" t="s">
        <v>63</v>
      </c>
      <c r="AC6" t="s">
        <v>64</v>
      </c>
      <c r="AD6" t="s">
        <v>65</v>
      </c>
      <c r="AE6" t="s">
        <v>65</v>
      </c>
      <c r="AF6" t="s">
        <v>65</v>
      </c>
      <c r="AG6" t="s">
        <v>66</v>
      </c>
      <c r="AH6" t="s">
        <v>66</v>
      </c>
      <c r="AI6" t="s">
        <v>66</v>
      </c>
      <c r="AJ6" t="s">
        <v>66</v>
      </c>
      <c r="AK6">
        <v>1</v>
      </c>
      <c r="AL6" t="s">
        <v>66</v>
      </c>
      <c r="AM6" t="s">
        <v>66</v>
      </c>
      <c r="AN6" t="s">
        <v>66</v>
      </c>
      <c r="AO6" t="s">
        <v>66</v>
      </c>
      <c r="AP6">
        <v>1</v>
      </c>
      <c r="AQ6" t="s">
        <v>66</v>
      </c>
      <c r="AR6" t="s">
        <v>66</v>
      </c>
      <c r="AS6" t="s">
        <v>66</v>
      </c>
      <c r="AT6" t="s">
        <v>66</v>
      </c>
      <c r="AV6">
        <v>6</v>
      </c>
    </row>
    <row r="7" spans="1:48" x14ac:dyDescent="0.15">
      <c r="A7" t="s">
        <v>93</v>
      </c>
      <c r="B7" t="s">
        <v>47</v>
      </c>
      <c r="C7" t="s">
        <v>48</v>
      </c>
      <c r="D7">
        <v>6</v>
      </c>
      <c r="E7" t="s">
        <v>49</v>
      </c>
      <c r="F7" t="s">
        <v>50</v>
      </c>
      <c r="G7" t="s">
        <v>51</v>
      </c>
      <c r="H7" t="s">
        <v>52</v>
      </c>
      <c r="I7" t="s">
        <v>53</v>
      </c>
      <c r="J7" t="s">
        <v>54</v>
      </c>
      <c r="K7" t="s">
        <v>55</v>
      </c>
      <c r="L7" t="s">
        <v>17</v>
      </c>
      <c r="M7" t="s">
        <v>16</v>
      </c>
      <c r="N7">
        <v>781</v>
      </c>
      <c r="O7">
        <v>46</v>
      </c>
      <c r="P7">
        <v>0</v>
      </c>
      <c r="Q7" t="s">
        <v>94</v>
      </c>
      <c r="R7" t="s">
        <v>95</v>
      </c>
      <c r="S7" t="s">
        <v>96</v>
      </c>
      <c r="T7" t="s">
        <v>97</v>
      </c>
      <c r="U7" t="s">
        <v>60</v>
      </c>
      <c r="V7" t="s">
        <v>61</v>
      </c>
      <c r="W7">
        <v>3</v>
      </c>
      <c r="X7">
        <v>0.14000000000000001</v>
      </c>
      <c r="Y7" t="s">
        <v>98</v>
      </c>
      <c r="Z7" t="s">
        <v>99</v>
      </c>
      <c r="AA7">
        <v>0</v>
      </c>
      <c r="AB7" t="s">
        <v>63</v>
      </c>
      <c r="AC7" t="s">
        <v>64</v>
      </c>
      <c r="AD7" t="s">
        <v>65</v>
      </c>
      <c r="AE7" t="s">
        <v>65</v>
      </c>
      <c r="AF7" t="s">
        <v>65</v>
      </c>
      <c r="AG7" t="s">
        <v>66</v>
      </c>
      <c r="AH7" t="s">
        <v>66</v>
      </c>
      <c r="AI7" t="s">
        <v>66</v>
      </c>
      <c r="AJ7" t="s">
        <v>66</v>
      </c>
      <c r="AK7">
        <v>1</v>
      </c>
      <c r="AL7" t="s">
        <v>66</v>
      </c>
      <c r="AM7" t="s">
        <v>66</v>
      </c>
      <c r="AN7" t="s">
        <v>66</v>
      </c>
      <c r="AO7" t="s">
        <v>66</v>
      </c>
      <c r="AP7">
        <v>1</v>
      </c>
      <c r="AQ7" t="s">
        <v>66</v>
      </c>
      <c r="AR7" t="s">
        <v>66</v>
      </c>
      <c r="AS7" t="s">
        <v>66</v>
      </c>
      <c r="AT7" t="s">
        <v>66</v>
      </c>
      <c r="AV7">
        <v>7</v>
      </c>
    </row>
    <row r="8" spans="1:48" x14ac:dyDescent="0.15">
      <c r="A8" t="s">
        <v>100</v>
      </c>
      <c r="B8" t="s">
        <v>47</v>
      </c>
      <c r="C8" t="s">
        <v>48</v>
      </c>
      <c r="D8">
        <v>7</v>
      </c>
      <c r="E8" t="s">
        <v>49</v>
      </c>
      <c r="F8" t="s">
        <v>50</v>
      </c>
      <c r="G8" t="s">
        <v>51</v>
      </c>
      <c r="H8" t="s">
        <v>52</v>
      </c>
      <c r="I8" t="s">
        <v>53</v>
      </c>
      <c r="J8" t="s">
        <v>54</v>
      </c>
      <c r="K8" t="s">
        <v>55</v>
      </c>
      <c r="L8" t="s">
        <v>17</v>
      </c>
      <c r="M8" t="s">
        <v>16</v>
      </c>
      <c r="N8">
        <v>837</v>
      </c>
      <c r="O8">
        <v>49</v>
      </c>
      <c r="P8">
        <v>0</v>
      </c>
      <c r="Q8" t="s">
        <v>101</v>
      </c>
      <c r="R8" t="s">
        <v>102</v>
      </c>
      <c r="S8" t="s">
        <v>103</v>
      </c>
      <c r="T8" t="s">
        <v>104</v>
      </c>
      <c r="U8" t="s">
        <v>60</v>
      </c>
      <c r="V8" t="s">
        <v>61</v>
      </c>
      <c r="W8">
        <v>3</v>
      </c>
      <c r="X8">
        <v>0.14000000000000001</v>
      </c>
      <c r="Y8" t="s">
        <v>86</v>
      </c>
      <c r="Z8" t="s">
        <v>105</v>
      </c>
      <c r="AA8">
        <v>0</v>
      </c>
      <c r="AB8" t="s">
        <v>63</v>
      </c>
      <c r="AC8" t="s">
        <v>64</v>
      </c>
      <c r="AD8" t="s">
        <v>65</v>
      </c>
      <c r="AE8" t="s">
        <v>65</v>
      </c>
      <c r="AF8" t="s">
        <v>65</v>
      </c>
      <c r="AG8" t="s">
        <v>66</v>
      </c>
      <c r="AH8" t="s">
        <v>66</v>
      </c>
      <c r="AI8" t="s">
        <v>66</v>
      </c>
      <c r="AJ8" t="s">
        <v>66</v>
      </c>
      <c r="AK8">
        <v>1</v>
      </c>
      <c r="AL8" t="s">
        <v>66</v>
      </c>
      <c r="AM8" t="s">
        <v>66</v>
      </c>
      <c r="AN8" t="s">
        <v>66</v>
      </c>
      <c r="AO8" t="s">
        <v>66</v>
      </c>
      <c r="AP8">
        <v>1</v>
      </c>
      <c r="AQ8" t="s">
        <v>66</v>
      </c>
      <c r="AR8" t="s">
        <v>66</v>
      </c>
      <c r="AS8" t="s">
        <v>66</v>
      </c>
      <c r="AT8" t="s">
        <v>66</v>
      </c>
      <c r="AV8">
        <v>8</v>
      </c>
    </row>
    <row r="9" spans="1:48" x14ac:dyDescent="0.15">
      <c r="A9" t="s">
        <v>106</v>
      </c>
      <c r="B9" t="s">
        <v>47</v>
      </c>
      <c r="C9" t="s">
        <v>48</v>
      </c>
      <c r="D9">
        <v>8</v>
      </c>
      <c r="E9" t="s">
        <v>49</v>
      </c>
      <c r="F9" t="s">
        <v>50</v>
      </c>
      <c r="G9" t="s">
        <v>51</v>
      </c>
      <c r="H9" t="s">
        <v>52</v>
      </c>
      <c r="I9" t="s">
        <v>53</v>
      </c>
      <c r="J9" t="s">
        <v>54</v>
      </c>
      <c r="K9" t="s">
        <v>55</v>
      </c>
      <c r="L9" t="s">
        <v>17</v>
      </c>
      <c r="M9" t="s">
        <v>16</v>
      </c>
      <c r="N9">
        <v>893</v>
      </c>
      <c r="O9">
        <v>53</v>
      </c>
      <c r="P9">
        <v>0</v>
      </c>
      <c r="Q9" t="s">
        <v>107</v>
      </c>
      <c r="R9" t="s">
        <v>108</v>
      </c>
      <c r="S9" t="s">
        <v>109</v>
      </c>
      <c r="T9" t="s">
        <v>110</v>
      </c>
      <c r="U9" t="s">
        <v>60</v>
      </c>
      <c r="V9" t="s">
        <v>61</v>
      </c>
      <c r="W9">
        <v>3</v>
      </c>
      <c r="X9">
        <v>0.14000000000000001</v>
      </c>
      <c r="Y9" t="s">
        <v>111</v>
      </c>
      <c r="Z9" t="s">
        <v>112</v>
      </c>
      <c r="AA9">
        <v>0</v>
      </c>
      <c r="AB9" t="s">
        <v>63</v>
      </c>
      <c r="AC9" t="s">
        <v>64</v>
      </c>
      <c r="AD9" t="s">
        <v>65</v>
      </c>
      <c r="AE9" t="s">
        <v>65</v>
      </c>
      <c r="AF9" t="s">
        <v>65</v>
      </c>
      <c r="AG9" t="s">
        <v>66</v>
      </c>
      <c r="AH9" t="s">
        <v>66</v>
      </c>
      <c r="AI9" t="s">
        <v>66</v>
      </c>
      <c r="AJ9" t="s">
        <v>66</v>
      </c>
      <c r="AK9">
        <v>1</v>
      </c>
      <c r="AL9" t="s">
        <v>66</v>
      </c>
      <c r="AM9" t="s">
        <v>66</v>
      </c>
      <c r="AN9" t="s">
        <v>66</v>
      </c>
      <c r="AO9" t="s">
        <v>66</v>
      </c>
      <c r="AP9">
        <v>1</v>
      </c>
      <c r="AQ9" t="s">
        <v>66</v>
      </c>
      <c r="AR9" t="s">
        <v>66</v>
      </c>
      <c r="AS9" t="s">
        <v>66</v>
      </c>
      <c r="AT9" t="s">
        <v>66</v>
      </c>
      <c r="AV9">
        <v>9</v>
      </c>
    </row>
    <row r="10" spans="1:48" x14ac:dyDescent="0.15">
      <c r="A10" t="s">
        <v>113</v>
      </c>
      <c r="B10" t="s">
        <v>47</v>
      </c>
      <c r="C10" t="s">
        <v>48</v>
      </c>
      <c r="D10">
        <v>9</v>
      </c>
      <c r="E10" t="s">
        <v>49</v>
      </c>
      <c r="F10" t="s">
        <v>50</v>
      </c>
      <c r="G10" t="s">
        <v>51</v>
      </c>
      <c r="H10" t="s">
        <v>52</v>
      </c>
      <c r="I10" t="s">
        <v>53</v>
      </c>
      <c r="J10" t="s">
        <v>54</v>
      </c>
      <c r="K10" t="s">
        <v>55</v>
      </c>
      <c r="L10" t="s">
        <v>17</v>
      </c>
      <c r="M10" t="s">
        <v>16</v>
      </c>
      <c r="N10">
        <v>949</v>
      </c>
      <c r="O10">
        <v>56</v>
      </c>
      <c r="P10">
        <v>0</v>
      </c>
      <c r="Q10" t="s">
        <v>114</v>
      </c>
      <c r="R10" t="s">
        <v>115</v>
      </c>
      <c r="S10" t="s">
        <v>116</v>
      </c>
      <c r="T10" t="s">
        <v>117</v>
      </c>
      <c r="U10" t="s">
        <v>60</v>
      </c>
      <c r="V10" t="s">
        <v>61</v>
      </c>
      <c r="W10">
        <v>3</v>
      </c>
      <c r="X10">
        <v>0.14000000000000001</v>
      </c>
      <c r="Y10" t="s">
        <v>92</v>
      </c>
      <c r="Z10" t="s">
        <v>118</v>
      </c>
      <c r="AA10">
        <v>0</v>
      </c>
      <c r="AB10" t="s">
        <v>63</v>
      </c>
      <c r="AC10" t="s">
        <v>64</v>
      </c>
      <c r="AD10" t="s">
        <v>65</v>
      </c>
      <c r="AE10" t="s">
        <v>65</v>
      </c>
      <c r="AF10" t="s">
        <v>65</v>
      </c>
      <c r="AG10" t="s">
        <v>66</v>
      </c>
      <c r="AH10" t="s">
        <v>66</v>
      </c>
      <c r="AI10" t="s">
        <v>66</v>
      </c>
      <c r="AJ10" t="s">
        <v>66</v>
      </c>
      <c r="AK10">
        <v>1</v>
      </c>
      <c r="AL10" t="s">
        <v>66</v>
      </c>
      <c r="AM10" t="s">
        <v>66</v>
      </c>
      <c r="AN10" t="s">
        <v>66</v>
      </c>
      <c r="AO10" t="s">
        <v>66</v>
      </c>
      <c r="AP10">
        <v>1</v>
      </c>
      <c r="AQ10" t="s">
        <v>66</v>
      </c>
      <c r="AR10" t="s">
        <v>66</v>
      </c>
      <c r="AS10" t="s">
        <v>66</v>
      </c>
      <c r="AT10" t="s">
        <v>66</v>
      </c>
      <c r="AV10">
        <v>10</v>
      </c>
    </row>
    <row r="11" spans="1:48" x14ac:dyDescent="0.15">
      <c r="A11" t="s">
        <v>119</v>
      </c>
      <c r="B11" t="s">
        <v>47</v>
      </c>
      <c r="C11" t="s">
        <v>48</v>
      </c>
      <c r="D11">
        <v>10</v>
      </c>
      <c r="E11" t="s">
        <v>49</v>
      </c>
      <c r="F11" t="s">
        <v>50</v>
      </c>
      <c r="G11" t="s">
        <v>51</v>
      </c>
      <c r="H11" t="s">
        <v>52</v>
      </c>
      <c r="I11" t="s">
        <v>53</v>
      </c>
      <c r="J11" t="s">
        <v>54</v>
      </c>
      <c r="K11" t="s">
        <v>55</v>
      </c>
      <c r="L11" t="s">
        <v>17</v>
      </c>
      <c r="M11" t="s">
        <v>16</v>
      </c>
      <c r="N11">
        <v>1005</v>
      </c>
      <c r="O11">
        <v>59</v>
      </c>
      <c r="P11">
        <v>0</v>
      </c>
      <c r="Q11" t="s">
        <v>120</v>
      </c>
      <c r="R11" t="s">
        <v>121</v>
      </c>
      <c r="S11" t="s">
        <v>122</v>
      </c>
      <c r="T11" t="s">
        <v>123</v>
      </c>
      <c r="U11" t="s">
        <v>60</v>
      </c>
      <c r="V11" t="s">
        <v>61</v>
      </c>
      <c r="W11">
        <v>3</v>
      </c>
      <c r="X11">
        <v>0.14000000000000001</v>
      </c>
      <c r="Y11" t="s">
        <v>124</v>
      </c>
      <c r="Z11" t="s">
        <v>125</v>
      </c>
      <c r="AA11">
        <v>0</v>
      </c>
      <c r="AB11" t="s">
        <v>63</v>
      </c>
      <c r="AC11" t="s">
        <v>64</v>
      </c>
      <c r="AD11" t="s">
        <v>65</v>
      </c>
      <c r="AE11" t="s">
        <v>65</v>
      </c>
      <c r="AF11" t="s">
        <v>65</v>
      </c>
      <c r="AG11" t="s">
        <v>66</v>
      </c>
      <c r="AH11" t="s">
        <v>66</v>
      </c>
      <c r="AI11" t="s">
        <v>66</v>
      </c>
      <c r="AJ11" t="s">
        <v>66</v>
      </c>
      <c r="AK11">
        <v>1</v>
      </c>
      <c r="AL11" t="s">
        <v>66</v>
      </c>
      <c r="AM11" t="s">
        <v>66</v>
      </c>
      <c r="AN11" t="s">
        <v>66</v>
      </c>
      <c r="AO11" t="s">
        <v>66</v>
      </c>
      <c r="AP11">
        <v>1</v>
      </c>
      <c r="AQ11" t="s">
        <v>66</v>
      </c>
      <c r="AR11" t="s">
        <v>66</v>
      </c>
      <c r="AS11" t="s">
        <v>66</v>
      </c>
      <c r="AT11" t="s">
        <v>66</v>
      </c>
      <c r="AV11">
        <v>11</v>
      </c>
    </row>
    <row r="12" spans="1:48" x14ac:dyDescent="0.15">
      <c r="A12" t="s">
        <v>126</v>
      </c>
      <c r="B12" t="s">
        <v>47</v>
      </c>
      <c r="C12" t="s">
        <v>48</v>
      </c>
      <c r="D12">
        <v>11</v>
      </c>
      <c r="E12" t="s">
        <v>49</v>
      </c>
      <c r="F12" t="s">
        <v>50</v>
      </c>
      <c r="G12" t="s">
        <v>51</v>
      </c>
      <c r="H12" t="s">
        <v>52</v>
      </c>
      <c r="I12" t="s">
        <v>53</v>
      </c>
      <c r="J12" t="s">
        <v>54</v>
      </c>
      <c r="K12" t="s">
        <v>55</v>
      </c>
      <c r="L12" t="s">
        <v>17</v>
      </c>
      <c r="M12" t="s">
        <v>16</v>
      </c>
      <c r="N12">
        <v>1061</v>
      </c>
      <c r="O12">
        <v>62</v>
      </c>
      <c r="P12">
        <v>0</v>
      </c>
      <c r="Q12" t="s">
        <v>127</v>
      </c>
      <c r="R12" t="s">
        <v>128</v>
      </c>
      <c r="S12" t="s">
        <v>129</v>
      </c>
      <c r="T12" t="s">
        <v>130</v>
      </c>
      <c r="U12" t="s">
        <v>60</v>
      </c>
      <c r="V12" t="s">
        <v>61</v>
      </c>
      <c r="W12">
        <v>3</v>
      </c>
      <c r="X12">
        <v>0.14000000000000001</v>
      </c>
      <c r="Y12" t="s">
        <v>99</v>
      </c>
      <c r="Z12" t="s">
        <v>131</v>
      </c>
      <c r="AA12">
        <v>0</v>
      </c>
      <c r="AB12" t="s">
        <v>63</v>
      </c>
      <c r="AC12" t="s">
        <v>64</v>
      </c>
      <c r="AD12" t="s">
        <v>65</v>
      </c>
      <c r="AE12" t="s">
        <v>65</v>
      </c>
      <c r="AF12" t="s">
        <v>65</v>
      </c>
      <c r="AG12" t="s">
        <v>66</v>
      </c>
      <c r="AH12" t="s">
        <v>66</v>
      </c>
      <c r="AI12" t="s">
        <v>66</v>
      </c>
      <c r="AJ12" t="s">
        <v>66</v>
      </c>
      <c r="AK12">
        <v>1</v>
      </c>
      <c r="AL12" t="s">
        <v>66</v>
      </c>
      <c r="AM12" t="s">
        <v>66</v>
      </c>
      <c r="AN12" t="s">
        <v>66</v>
      </c>
      <c r="AO12" t="s">
        <v>66</v>
      </c>
      <c r="AP12">
        <v>1</v>
      </c>
      <c r="AQ12" t="s">
        <v>66</v>
      </c>
      <c r="AR12" t="s">
        <v>66</v>
      </c>
      <c r="AS12" t="s">
        <v>66</v>
      </c>
      <c r="AT12" t="s">
        <v>66</v>
      </c>
      <c r="AV12">
        <v>12</v>
      </c>
    </row>
    <row r="13" spans="1:48" x14ac:dyDescent="0.15">
      <c r="A13" t="s">
        <v>132</v>
      </c>
      <c r="B13" t="s">
        <v>47</v>
      </c>
      <c r="C13" t="s">
        <v>48</v>
      </c>
      <c r="D13">
        <v>12</v>
      </c>
      <c r="E13" t="s">
        <v>49</v>
      </c>
      <c r="F13" t="s">
        <v>50</v>
      </c>
      <c r="G13" t="s">
        <v>51</v>
      </c>
      <c r="H13" t="s">
        <v>52</v>
      </c>
      <c r="I13" t="s">
        <v>53</v>
      </c>
      <c r="J13" t="s">
        <v>54</v>
      </c>
      <c r="K13" t="s">
        <v>55</v>
      </c>
      <c r="L13" t="s">
        <v>17</v>
      </c>
      <c r="M13" t="s">
        <v>16</v>
      </c>
      <c r="N13">
        <v>1117</v>
      </c>
      <c r="O13">
        <v>66</v>
      </c>
      <c r="P13">
        <v>0</v>
      </c>
      <c r="Q13" t="s">
        <v>133</v>
      </c>
      <c r="R13" t="s">
        <v>134</v>
      </c>
      <c r="S13" t="s">
        <v>135</v>
      </c>
      <c r="T13" t="s">
        <v>136</v>
      </c>
      <c r="U13" t="s">
        <v>60</v>
      </c>
      <c r="V13" t="s">
        <v>61</v>
      </c>
      <c r="W13">
        <v>3</v>
      </c>
      <c r="X13">
        <v>0.14000000000000001</v>
      </c>
      <c r="Y13" t="s">
        <v>137</v>
      </c>
      <c r="Z13" t="s">
        <v>138</v>
      </c>
      <c r="AA13">
        <v>0</v>
      </c>
      <c r="AB13" t="s">
        <v>63</v>
      </c>
      <c r="AC13" t="s">
        <v>64</v>
      </c>
      <c r="AD13" t="s">
        <v>65</v>
      </c>
      <c r="AE13" t="s">
        <v>65</v>
      </c>
      <c r="AF13" t="s">
        <v>65</v>
      </c>
      <c r="AG13" t="s">
        <v>66</v>
      </c>
      <c r="AH13" t="s">
        <v>66</v>
      </c>
      <c r="AI13" t="s">
        <v>66</v>
      </c>
      <c r="AJ13" t="s">
        <v>66</v>
      </c>
      <c r="AK13">
        <v>1</v>
      </c>
      <c r="AL13" t="s">
        <v>66</v>
      </c>
      <c r="AM13" t="s">
        <v>66</v>
      </c>
      <c r="AN13" t="s">
        <v>66</v>
      </c>
      <c r="AO13" t="s">
        <v>66</v>
      </c>
      <c r="AP13">
        <v>1</v>
      </c>
      <c r="AQ13" t="s">
        <v>66</v>
      </c>
      <c r="AR13" t="s">
        <v>66</v>
      </c>
      <c r="AS13" t="s">
        <v>66</v>
      </c>
      <c r="AT13" t="s">
        <v>66</v>
      </c>
      <c r="AV13">
        <v>13</v>
      </c>
    </row>
    <row r="14" spans="1:48" x14ac:dyDescent="0.15">
      <c r="A14" t="s">
        <v>139</v>
      </c>
      <c r="B14" t="s">
        <v>47</v>
      </c>
      <c r="C14" t="s">
        <v>48</v>
      </c>
      <c r="D14">
        <v>13</v>
      </c>
      <c r="E14" t="s">
        <v>49</v>
      </c>
      <c r="F14" t="s">
        <v>50</v>
      </c>
      <c r="G14" t="s">
        <v>51</v>
      </c>
      <c r="H14" t="s">
        <v>52</v>
      </c>
      <c r="I14" t="s">
        <v>53</v>
      </c>
      <c r="J14" t="s">
        <v>54</v>
      </c>
      <c r="K14" t="s">
        <v>55</v>
      </c>
      <c r="L14" t="s">
        <v>17</v>
      </c>
      <c r="M14" t="s">
        <v>16</v>
      </c>
      <c r="N14">
        <v>1173</v>
      </c>
      <c r="O14">
        <v>69</v>
      </c>
      <c r="P14">
        <v>0</v>
      </c>
      <c r="Q14" t="s">
        <v>140</v>
      </c>
      <c r="R14" t="s">
        <v>141</v>
      </c>
      <c r="S14" t="s">
        <v>142</v>
      </c>
      <c r="T14" t="s">
        <v>143</v>
      </c>
      <c r="U14" t="s">
        <v>60</v>
      </c>
      <c r="V14" t="s">
        <v>61</v>
      </c>
      <c r="W14">
        <v>3</v>
      </c>
      <c r="X14">
        <v>0.14000000000000001</v>
      </c>
      <c r="Y14" t="s">
        <v>105</v>
      </c>
      <c r="Z14" t="s">
        <v>144</v>
      </c>
      <c r="AA14">
        <v>0</v>
      </c>
      <c r="AB14" t="s">
        <v>63</v>
      </c>
      <c r="AC14" t="s">
        <v>64</v>
      </c>
      <c r="AD14" t="s">
        <v>65</v>
      </c>
      <c r="AE14" t="s">
        <v>65</v>
      </c>
      <c r="AF14" t="s">
        <v>65</v>
      </c>
      <c r="AG14" t="s">
        <v>66</v>
      </c>
      <c r="AH14" t="s">
        <v>66</v>
      </c>
      <c r="AI14" t="s">
        <v>66</v>
      </c>
      <c r="AJ14" t="s">
        <v>66</v>
      </c>
      <c r="AK14">
        <v>1</v>
      </c>
      <c r="AL14" t="s">
        <v>66</v>
      </c>
      <c r="AM14" t="s">
        <v>66</v>
      </c>
      <c r="AN14" t="s">
        <v>66</v>
      </c>
      <c r="AO14" t="s">
        <v>66</v>
      </c>
      <c r="AP14">
        <v>1</v>
      </c>
      <c r="AQ14" t="s">
        <v>66</v>
      </c>
      <c r="AR14" t="s">
        <v>66</v>
      </c>
      <c r="AS14" t="s">
        <v>66</v>
      </c>
      <c r="AT14" t="s">
        <v>66</v>
      </c>
      <c r="AV14">
        <v>14</v>
      </c>
    </row>
    <row r="15" spans="1:48" x14ac:dyDescent="0.15">
      <c r="A15" t="s">
        <v>145</v>
      </c>
      <c r="B15" t="s">
        <v>47</v>
      </c>
      <c r="C15" t="s">
        <v>48</v>
      </c>
      <c r="D15">
        <v>14</v>
      </c>
      <c r="E15" t="s">
        <v>49</v>
      </c>
      <c r="F15" t="s">
        <v>50</v>
      </c>
      <c r="G15" t="s">
        <v>51</v>
      </c>
      <c r="H15" t="s">
        <v>52</v>
      </c>
      <c r="I15" t="s">
        <v>53</v>
      </c>
      <c r="J15" t="s">
        <v>54</v>
      </c>
      <c r="K15" t="s">
        <v>55</v>
      </c>
      <c r="L15" t="s">
        <v>17</v>
      </c>
      <c r="M15" t="s">
        <v>16</v>
      </c>
      <c r="N15">
        <v>1230</v>
      </c>
      <c r="O15">
        <v>72</v>
      </c>
      <c r="P15">
        <v>0</v>
      </c>
      <c r="Q15" t="s">
        <v>146</v>
      </c>
      <c r="R15" t="s">
        <v>147</v>
      </c>
      <c r="S15" t="s">
        <v>148</v>
      </c>
      <c r="T15" t="s">
        <v>149</v>
      </c>
      <c r="U15" t="s">
        <v>60</v>
      </c>
      <c r="V15" t="s">
        <v>61</v>
      </c>
      <c r="W15">
        <v>3</v>
      </c>
      <c r="X15">
        <v>0.14000000000000001</v>
      </c>
      <c r="Y15" t="s">
        <v>150</v>
      </c>
      <c r="Z15" t="s">
        <v>151</v>
      </c>
      <c r="AA15">
        <v>0</v>
      </c>
      <c r="AB15" t="s">
        <v>63</v>
      </c>
      <c r="AC15" t="s">
        <v>64</v>
      </c>
      <c r="AD15" t="s">
        <v>65</v>
      </c>
      <c r="AE15" t="s">
        <v>65</v>
      </c>
      <c r="AF15" t="s">
        <v>65</v>
      </c>
      <c r="AG15" t="s">
        <v>66</v>
      </c>
      <c r="AH15" t="s">
        <v>66</v>
      </c>
      <c r="AI15" t="s">
        <v>66</v>
      </c>
      <c r="AJ15" t="s">
        <v>66</v>
      </c>
      <c r="AK15">
        <v>1</v>
      </c>
      <c r="AL15" t="s">
        <v>66</v>
      </c>
      <c r="AM15" t="s">
        <v>66</v>
      </c>
      <c r="AN15" t="s">
        <v>66</v>
      </c>
      <c r="AO15" t="s">
        <v>66</v>
      </c>
      <c r="AP15">
        <v>1</v>
      </c>
      <c r="AQ15" t="s">
        <v>66</v>
      </c>
      <c r="AR15" t="s">
        <v>66</v>
      </c>
      <c r="AS15" t="s">
        <v>66</v>
      </c>
      <c r="AT15" t="s">
        <v>66</v>
      </c>
      <c r="AV15">
        <v>15</v>
      </c>
    </row>
    <row r="16" spans="1:48" x14ac:dyDescent="0.15">
      <c r="A16" t="s">
        <v>152</v>
      </c>
      <c r="B16" t="s">
        <v>47</v>
      </c>
      <c r="C16" t="s">
        <v>48</v>
      </c>
      <c r="D16">
        <v>15</v>
      </c>
      <c r="E16" t="s">
        <v>49</v>
      </c>
      <c r="F16" t="s">
        <v>50</v>
      </c>
      <c r="G16" t="s">
        <v>51</v>
      </c>
      <c r="H16" t="s">
        <v>52</v>
      </c>
      <c r="I16" t="s">
        <v>53</v>
      </c>
      <c r="J16" t="s">
        <v>54</v>
      </c>
      <c r="K16" t="s">
        <v>55</v>
      </c>
      <c r="L16" t="s">
        <v>17</v>
      </c>
      <c r="M16" t="s">
        <v>16</v>
      </c>
      <c r="N16">
        <v>1286</v>
      </c>
      <c r="O16">
        <v>75</v>
      </c>
      <c r="P16">
        <v>0</v>
      </c>
      <c r="Q16" t="s">
        <v>153</v>
      </c>
      <c r="R16" t="s">
        <v>154</v>
      </c>
      <c r="S16" t="s">
        <v>155</v>
      </c>
      <c r="T16" t="s">
        <v>156</v>
      </c>
      <c r="U16" t="s">
        <v>60</v>
      </c>
      <c r="V16" t="s">
        <v>61</v>
      </c>
      <c r="W16">
        <v>3</v>
      </c>
      <c r="X16">
        <v>0.14000000000000001</v>
      </c>
      <c r="Y16" t="s">
        <v>112</v>
      </c>
      <c r="Z16" t="s">
        <v>157</v>
      </c>
      <c r="AA16">
        <v>0</v>
      </c>
      <c r="AB16" t="s">
        <v>63</v>
      </c>
      <c r="AC16" t="s">
        <v>64</v>
      </c>
      <c r="AD16" t="s">
        <v>65</v>
      </c>
      <c r="AE16" t="s">
        <v>65</v>
      </c>
      <c r="AF16" t="s">
        <v>65</v>
      </c>
      <c r="AG16" t="s">
        <v>66</v>
      </c>
      <c r="AH16" t="s">
        <v>66</v>
      </c>
      <c r="AI16" t="s">
        <v>66</v>
      </c>
      <c r="AJ16" t="s">
        <v>66</v>
      </c>
      <c r="AK16">
        <v>1</v>
      </c>
      <c r="AL16" t="s">
        <v>66</v>
      </c>
      <c r="AM16" t="s">
        <v>66</v>
      </c>
      <c r="AN16" t="s">
        <v>66</v>
      </c>
      <c r="AO16" t="s">
        <v>66</v>
      </c>
      <c r="AP16">
        <v>1</v>
      </c>
      <c r="AQ16" t="s">
        <v>66</v>
      </c>
      <c r="AR16" t="s">
        <v>66</v>
      </c>
      <c r="AS16" t="s">
        <v>66</v>
      </c>
      <c r="AT16" t="s">
        <v>66</v>
      </c>
      <c r="AV16">
        <v>16</v>
      </c>
    </row>
    <row r="17" spans="1:48" x14ac:dyDescent="0.15">
      <c r="A17" t="s">
        <v>158</v>
      </c>
      <c r="B17" t="s">
        <v>47</v>
      </c>
      <c r="C17" t="s">
        <v>48</v>
      </c>
      <c r="D17">
        <v>16</v>
      </c>
      <c r="E17" t="s">
        <v>49</v>
      </c>
      <c r="F17" t="s">
        <v>50</v>
      </c>
      <c r="G17" t="s">
        <v>51</v>
      </c>
      <c r="H17" t="s">
        <v>52</v>
      </c>
      <c r="I17" t="s">
        <v>53</v>
      </c>
      <c r="J17" t="s">
        <v>54</v>
      </c>
      <c r="K17" t="s">
        <v>55</v>
      </c>
      <c r="L17" t="s">
        <v>17</v>
      </c>
      <c r="M17" t="s">
        <v>16</v>
      </c>
      <c r="N17">
        <v>1342</v>
      </c>
      <c r="O17">
        <v>79</v>
      </c>
      <c r="P17">
        <v>0</v>
      </c>
      <c r="Q17" t="s">
        <v>159</v>
      </c>
      <c r="R17" t="s">
        <v>160</v>
      </c>
      <c r="S17" t="s">
        <v>161</v>
      </c>
      <c r="T17" t="s">
        <v>162</v>
      </c>
      <c r="U17" t="s">
        <v>60</v>
      </c>
      <c r="V17" t="s">
        <v>61</v>
      </c>
      <c r="W17">
        <v>3</v>
      </c>
      <c r="X17">
        <v>0.14000000000000001</v>
      </c>
      <c r="Y17" t="s">
        <v>163</v>
      </c>
      <c r="Z17" t="s">
        <v>164</v>
      </c>
      <c r="AA17">
        <v>0</v>
      </c>
      <c r="AB17" t="s">
        <v>63</v>
      </c>
      <c r="AC17" t="s">
        <v>64</v>
      </c>
      <c r="AD17" t="s">
        <v>65</v>
      </c>
      <c r="AE17" t="s">
        <v>65</v>
      </c>
      <c r="AF17" t="s">
        <v>65</v>
      </c>
      <c r="AG17" t="s">
        <v>66</v>
      </c>
      <c r="AH17" t="s">
        <v>66</v>
      </c>
      <c r="AI17" t="s">
        <v>66</v>
      </c>
      <c r="AJ17" t="s">
        <v>66</v>
      </c>
      <c r="AK17">
        <v>1</v>
      </c>
      <c r="AL17" t="s">
        <v>66</v>
      </c>
      <c r="AM17" t="s">
        <v>66</v>
      </c>
      <c r="AN17" t="s">
        <v>66</v>
      </c>
      <c r="AO17" t="s">
        <v>66</v>
      </c>
      <c r="AP17">
        <v>1</v>
      </c>
      <c r="AQ17" t="s">
        <v>66</v>
      </c>
      <c r="AR17" t="s">
        <v>66</v>
      </c>
      <c r="AS17" t="s">
        <v>66</v>
      </c>
      <c r="AT17" t="s">
        <v>66</v>
      </c>
      <c r="AV17">
        <v>17</v>
      </c>
    </row>
    <row r="18" spans="1:48" x14ac:dyDescent="0.15">
      <c r="A18" t="s">
        <v>165</v>
      </c>
      <c r="B18" t="s">
        <v>47</v>
      </c>
      <c r="C18" t="s">
        <v>48</v>
      </c>
      <c r="D18">
        <v>17</v>
      </c>
      <c r="E18" t="s">
        <v>49</v>
      </c>
      <c r="F18" t="s">
        <v>50</v>
      </c>
      <c r="G18" t="s">
        <v>51</v>
      </c>
      <c r="H18" t="s">
        <v>52</v>
      </c>
      <c r="I18" t="s">
        <v>53</v>
      </c>
      <c r="J18" t="s">
        <v>54</v>
      </c>
      <c r="K18" t="s">
        <v>55</v>
      </c>
      <c r="L18" t="s">
        <v>17</v>
      </c>
      <c r="M18" t="s">
        <v>16</v>
      </c>
      <c r="N18">
        <v>1398</v>
      </c>
      <c r="O18">
        <v>82</v>
      </c>
      <c r="P18">
        <v>0</v>
      </c>
      <c r="Q18" t="s">
        <v>166</v>
      </c>
      <c r="R18" t="s">
        <v>167</v>
      </c>
      <c r="S18" t="s">
        <v>168</v>
      </c>
      <c r="T18" t="s">
        <v>169</v>
      </c>
      <c r="U18" t="s">
        <v>60</v>
      </c>
      <c r="V18" t="s">
        <v>61</v>
      </c>
      <c r="W18">
        <v>3</v>
      </c>
      <c r="X18">
        <v>0.14000000000000001</v>
      </c>
      <c r="Y18" t="s">
        <v>118</v>
      </c>
      <c r="Z18" t="s">
        <v>170</v>
      </c>
      <c r="AA18">
        <v>0</v>
      </c>
      <c r="AB18" t="s">
        <v>63</v>
      </c>
      <c r="AC18" t="s">
        <v>64</v>
      </c>
      <c r="AD18" t="s">
        <v>65</v>
      </c>
      <c r="AE18" t="s">
        <v>65</v>
      </c>
      <c r="AF18" t="s">
        <v>65</v>
      </c>
      <c r="AG18" t="s">
        <v>66</v>
      </c>
      <c r="AH18" t="s">
        <v>66</v>
      </c>
      <c r="AI18" t="s">
        <v>66</v>
      </c>
      <c r="AJ18" t="s">
        <v>66</v>
      </c>
      <c r="AK18">
        <v>1</v>
      </c>
      <c r="AL18" t="s">
        <v>66</v>
      </c>
      <c r="AM18" t="s">
        <v>66</v>
      </c>
      <c r="AN18" t="s">
        <v>66</v>
      </c>
      <c r="AO18" t="s">
        <v>66</v>
      </c>
      <c r="AP18">
        <v>1</v>
      </c>
      <c r="AQ18" t="s">
        <v>66</v>
      </c>
      <c r="AR18" t="s">
        <v>66</v>
      </c>
      <c r="AS18" t="s">
        <v>66</v>
      </c>
      <c r="AT18" t="s">
        <v>66</v>
      </c>
      <c r="AV18">
        <v>18</v>
      </c>
    </row>
    <row r="19" spans="1:48" x14ac:dyDescent="0.15">
      <c r="A19" t="s">
        <v>171</v>
      </c>
      <c r="B19" t="s">
        <v>47</v>
      </c>
      <c r="C19" t="s">
        <v>48</v>
      </c>
      <c r="D19">
        <v>18</v>
      </c>
      <c r="E19" t="s">
        <v>49</v>
      </c>
      <c r="F19" t="s">
        <v>50</v>
      </c>
      <c r="G19" t="s">
        <v>51</v>
      </c>
      <c r="H19" t="s">
        <v>52</v>
      </c>
      <c r="I19" t="s">
        <v>53</v>
      </c>
      <c r="J19" t="s">
        <v>54</v>
      </c>
      <c r="K19" t="s">
        <v>55</v>
      </c>
      <c r="L19" t="s">
        <v>17</v>
      </c>
      <c r="M19" t="s">
        <v>16</v>
      </c>
      <c r="N19">
        <v>1454</v>
      </c>
      <c r="O19">
        <v>85</v>
      </c>
      <c r="P19">
        <v>0</v>
      </c>
      <c r="Q19" t="s">
        <v>172</v>
      </c>
      <c r="R19" t="s">
        <v>173</v>
      </c>
      <c r="S19" t="s">
        <v>174</v>
      </c>
      <c r="T19" t="s">
        <v>175</v>
      </c>
      <c r="U19" t="s">
        <v>60</v>
      </c>
      <c r="V19" t="s">
        <v>61</v>
      </c>
      <c r="W19">
        <v>3</v>
      </c>
      <c r="X19">
        <v>0.14000000000000001</v>
      </c>
      <c r="Y19" t="s">
        <v>176</v>
      </c>
      <c r="Z19" t="s">
        <v>177</v>
      </c>
      <c r="AA19">
        <v>0</v>
      </c>
      <c r="AB19" t="s">
        <v>63</v>
      </c>
      <c r="AC19" t="s">
        <v>64</v>
      </c>
      <c r="AD19" t="s">
        <v>65</v>
      </c>
      <c r="AE19" t="s">
        <v>65</v>
      </c>
      <c r="AF19" t="s">
        <v>65</v>
      </c>
      <c r="AG19" t="s">
        <v>66</v>
      </c>
      <c r="AH19" t="s">
        <v>66</v>
      </c>
      <c r="AI19" t="s">
        <v>66</v>
      </c>
      <c r="AJ19" t="s">
        <v>66</v>
      </c>
      <c r="AK19">
        <v>1</v>
      </c>
      <c r="AL19" t="s">
        <v>66</v>
      </c>
      <c r="AM19" t="s">
        <v>66</v>
      </c>
      <c r="AN19" t="s">
        <v>66</v>
      </c>
      <c r="AO19" t="s">
        <v>66</v>
      </c>
      <c r="AP19">
        <v>1</v>
      </c>
      <c r="AQ19" t="s">
        <v>66</v>
      </c>
      <c r="AR19" t="s">
        <v>66</v>
      </c>
      <c r="AS19" t="s">
        <v>66</v>
      </c>
      <c r="AT19" t="s">
        <v>66</v>
      </c>
      <c r="AV19">
        <v>19</v>
      </c>
    </row>
    <row r="20" spans="1:48" x14ac:dyDescent="0.15">
      <c r="A20" t="s">
        <v>178</v>
      </c>
      <c r="B20" t="s">
        <v>47</v>
      </c>
      <c r="C20" t="s">
        <v>48</v>
      </c>
      <c r="D20">
        <v>19</v>
      </c>
      <c r="E20" t="s">
        <v>49</v>
      </c>
      <c r="F20" t="s">
        <v>50</v>
      </c>
      <c r="G20" t="s">
        <v>51</v>
      </c>
      <c r="H20" t="s">
        <v>52</v>
      </c>
      <c r="I20" t="s">
        <v>53</v>
      </c>
      <c r="J20" t="s">
        <v>54</v>
      </c>
      <c r="K20" t="s">
        <v>55</v>
      </c>
      <c r="L20" t="s">
        <v>17</v>
      </c>
      <c r="M20" t="s">
        <v>16</v>
      </c>
      <c r="N20">
        <v>1510</v>
      </c>
      <c r="O20">
        <v>88</v>
      </c>
      <c r="P20">
        <v>0</v>
      </c>
      <c r="Q20" t="s">
        <v>179</v>
      </c>
      <c r="R20" t="s">
        <v>180</v>
      </c>
      <c r="S20" t="s">
        <v>181</v>
      </c>
      <c r="T20" t="s">
        <v>182</v>
      </c>
      <c r="U20" t="s">
        <v>60</v>
      </c>
      <c r="V20" t="s">
        <v>61</v>
      </c>
      <c r="W20">
        <v>3</v>
      </c>
      <c r="X20">
        <v>0.14000000000000001</v>
      </c>
      <c r="Y20" t="s">
        <v>125</v>
      </c>
      <c r="Z20" t="s">
        <v>183</v>
      </c>
      <c r="AA20">
        <v>0</v>
      </c>
      <c r="AB20" t="s">
        <v>63</v>
      </c>
      <c r="AC20" t="s">
        <v>64</v>
      </c>
      <c r="AD20" t="s">
        <v>65</v>
      </c>
      <c r="AE20" t="s">
        <v>65</v>
      </c>
      <c r="AF20" t="s">
        <v>65</v>
      </c>
      <c r="AG20" t="s">
        <v>66</v>
      </c>
      <c r="AH20" t="s">
        <v>66</v>
      </c>
      <c r="AI20" t="s">
        <v>66</v>
      </c>
      <c r="AJ20" t="s">
        <v>66</v>
      </c>
      <c r="AK20">
        <v>1</v>
      </c>
      <c r="AL20" t="s">
        <v>66</v>
      </c>
      <c r="AM20" t="s">
        <v>66</v>
      </c>
      <c r="AN20" t="s">
        <v>66</v>
      </c>
      <c r="AO20" t="s">
        <v>66</v>
      </c>
      <c r="AP20">
        <v>1</v>
      </c>
      <c r="AQ20" t="s">
        <v>66</v>
      </c>
      <c r="AR20" t="s">
        <v>66</v>
      </c>
      <c r="AS20" t="s">
        <v>66</v>
      </c>
      <c r="AT20" t="s">
        <v>66</v>
      </c>
      <c r="AV20">
        <v>20</v>
      </c>
    </row>
    <row r="21" spans="1:48" x14ac:dyDescent="0.15">
      <c r="A21" t="s">
        <v>184</v>
      </c>
      <c r="B21" t="s">
        <v>47</v>
      </c>
      <c r="C21" t="s">
        <v>48</v>
      </c>
      <c r="D21">
        <v>20</v>
      </c>
      <c r="E21" t="s">
        <v>49</v>
      </c>
      <c r="F21" t="s">
        <v>50</v>
      </c>
      <c r="G21" t="s">
        <v>51</v>
      </c>
      <c r="H21" t="s">
        <v>52</v>
      </c>
      <c r="I21" t="s">
        <v>53</v>
      </c>
      <c r="J21" t="s">
        <v>54</v>
      </c>
      <c r="K21" t="s">
        <v>55</v>
      </c>
      <c r="L21" t="s">
        <v>17</v>
      </c>
      <c r="M21" t="s">
        <v>16</v>
      </c>
      <c r="N21">
        <v>1566</v>
      </c>
      <c r="O21">
        <v>92</v>
      </c>
      <c r="P21">
        <v>0</v>
      </c>
      <c r="Q21" t="s">
        <v>185</v>
      </c>
      <c r="R21" t="s">
        <v>186</v>
      </c>
      <c r="S21" t="s">
        <v>187</v>
      </c>
      <c r="T21" t="s">
        <v>188</v>
      </c>
      <c r="U21" t="s">
        <v>60</v>
      </c>
      <c r="V21" t="s">
        <v>61</v>
      </c>
      <c r="W21">
        <v>3</v>
      </c>
      <c r="X21">
        <v>0.14000000000000001</v>
      </c>
      <c r="Y21" t="s">
        <v>189</v>
      </c>
      <c r="Z21" t="s">
        <v>190</v>
      </c>
      <c r="AA21">
        <v>0</v>
      </c>
      <c r="AB21" t="s">
        <v>63</v>
      </c>
      <c r="AC21" t="s">
        <v>64</v>
      </c>
      <c r="AD21" t="s">
        <v>65</v>
      </c>
      <c r="AE21" t="s">
        <v>65</v>
      </c>
      <c r="AF21" t="s">
        <v>65</v>
      </c>
      <c r="AG21" t="s">
        <v>66</v>
      </c>
      <c r="AH21" t="s">
        <v>66</v>
      </c>
      <c r="AI21" t="s">
        <v>66</v>
      </c>
      <c r="AJ21" t="s">
        <v>66</v>
      </c>
      <c r="AK21">
        <v>1</v>
      </c>
      <c r="AL21" t="s">
        <v>66</v>
      </c>
      <c r="AM21" t="s">
        <v>66</v>
      </c>
      <c r="AN21" t="s">
        <v>66</v>
      </c>
      <c r="AO21" t="s">
        <v>66</v>
      </c>
      <c r="AP21">
        <v>1</v>
      </c>
      <c r="AQ21" t="s">
        <v>66</v>
      </c>
      <c r="AR21" t="s">
        <v>66</v>
      </c>
      <c r="AS21" t="s">
        <v>66</v>
      </c>
      <c r="AT21" t="s">
        <v>66</v>
      </c>
      <c r="AV21">
        <v>21</v>
      </c>
    </row>
    <row r="22" spans="1:48" x14ac:dyDescent="0.15">
      <c r="A22" t="s">
        <v>184</v>
      </c>
      <c r="B22" t="s">
        <v>47</v>
      </c>
      <c r="C22" t="s">
        <v>48</v>
      </c>
      <c r="D22">
        <v>20</v>
      </c>
      <c r="E22" t="s">
        <v>49</v>
      </c>
      <c r="F22" t="s">
        <v>50</v>
      </c>
      <c r="G22" t="s">
        <v>51</v>
      </c>
      <c r="H22" t="s">
        <v>52</v>
      </c>
      <c r="I22" t="s">
        <v>53</v>
      </c>
      <c r="J22" t="s">
        <v>54</v>
      </c>
      <c r="K22" t="s">
        <v>55</v>
      </c>
      <c r="L22" t="s">
        <v>17</v>
      </c>
      <c r="M22" t="s">
        <v>16</v>
      </c>
      <c r="N22">
        <v>1566</v>
      </c>
      <c r="O22">
        <v>92</v>
      </c>
      <c r="P22">
        <v>0</v>
      </c>
      <c r="Q22" t="s">
        <v>185</v>
      </c>
      <c r="R22" t="s">
        <v>186</v>
      </c>
      <c r="S22" t="s">
        <v>187</v>
      </c>
      <c r="T22" t="s">
        <v>188</v>
      </c>
      <c r="U22" t="s">
        <v>60</v>
      </c>
      <c r="V22" t="s">
        <v>61</v>
      </c>
      <c r="W22">
        <v>3</v>
      </c>
      <c r="X22">
        <v>0.14000000000000001</v>
      </c>
      <c r="Y22" t="s">
        <v>189</v>
      </c>
      <c r="Z22" t="s">
        <v>190</v>
      </c>
      <c r="AA22">
        <v>1</v>
      </c>
      <c r="AB22" t="s">
        <v>63</v>
      </c>
      <c r="AC22" t="s">
        <v>64</v>
      </c>
      <c r="AD22" t="s">
        <v>65</v>
      </c>
      <c r="AE22" t="s">
        <v>65</v>
      </c>
      <c r="AF22" t="s">
        <v>65</v>
      </c>
      <c r="AG22" t="s">
        <v>191</v>
      </c>
      <c r="AH22" t="s">
        <v>66</v>
      </c>
      <c r="AI22" t="s">
        <v>66</v>
      </c>
      <c r="AJ22" t="s">
        <v>66</v>
      </c>
      <c r="AK22">
        <v>1</v>
      </c>
      <c r="AL22" t="s">
        <v>66</v>
      </c>
      <c r="AM22" t="s">
        <v>66</v>
      </c>
      <c r="AN22" t="s">
        <v>66</v>
      </c>
      <c r="AO22" t="s">
        <v>66</v>
      </c>
      <c r="AP22">
        <v>1</v>
      </c>
      <c r="AQ22" t="s">
        <v>66</v>
      </c>
      <c r="AR22" t="s">
        <v>66</v>
      </c>
      <c r="AS22" t="s">
        <v>66</v>
      </c>
      <c r="AT22" t="s">
        <v>66</v>
      </c>
      <c r="AV22">
        <v>22</v>
      </c>
    </row>
    <row r="23" spans="1:48" x14ac:dyDescent="0.15">
      <c r="A23" t="s">
        <v>192</v>
      </c>
      <c r="B23" t="s">
        <v>47</v>
      </c>
      <c r="C23" t="s">
        <v>48</v>
      </c>
      <c r="D23">
        <v>21</v>
      </c>
      <c r="E23" t="s">
        <v>49</v>
      </c>
      <c r="F23" t="s">
        <v>50</v>
      </c>
      <c r="G23" t="s">
        <v>51</v>
      </c>
      <c r="H23" t="s">
        <v>52</v>
      </c>
      <c r="I23" t="s">
        <v>53</v>
      </c>
      <c r="J23" t="s">
        <v>54</v>
      </c>
      <c r="K23" t="s">
        <v>55</v>
      </c>
      <c r="L23" t="s">
        <v>17</v>
      </c>
      <c r="M23" t="s">
        <v>16</v>
      </c>
      <c r="N23">
        <v>1622</v>
      </c>
      <c r="O23">
        <v>95</v>
      </c>
      <c r="P23">
        <v>0</v>
      </c>
      <c r="Q23" t="s">
        <v>193</v>
      </c>
      <c r="R23" t="s">
        <v>194</v>
      </c>
      <c r="S23" t="s">
        <v>195</v>
      </c>
      <c r="T23" t="s">
        <v>196</v>
      </c>
      <c r="U23" t="s">
        <v>60</v>
      </c>
      <c r="V23" t="s">
        <v>61</v>
      </c>
      <c r="W23">
        <v>3</v>
      </c>
      <c r="X23">
        <v>0.14000000000000001</v>
      </c>
      <c r="Y23" t="s">
        <v>131</v>
      </c>
      <c r="Z23" t="s">
        <v>197</v>
      </c>
      <c r="AA23">
        <v>1</v>
      </c>
      <c r="AB23" t="s">
        <v>63</v>
      </c>
      <c r="AC23" t="s">
        <v>64</v>
      </c>
      <c r="AD23" t="s">
        <v>65</v>
      </c>
      <c r="AE23" t="s">
        <v>65</v>
      </c>
      <c r="AF23" t="s">
        <v>65</v>
      </c>
      <c r="AG23" t="s">
        <v>191</v>
      </c>
      <c r="AH23" t="s">
        <v>66</v>
      </c>
      <c r="AI23" t="s">
        <v>66</v>
      </c>
      <c r="AJ23" t="s">
        <v>66</v>
      </c>
      <c r="AK23">
        <v>1</v>
      </c>
      <c r="AL23" t="s">
        <v>66</v>
      </c>
      <c r="AM23" t="s">
        <v>66</v>
      </c>
      <c r="AN23" t="s">
        <v>66</v>
      </c>
      <c r="AO23" t="s">
        <v>66</v>
      </c>
      <c r="AP23">
        <v>1</v>
      </c>
      <c r="AQ23" t="s">
        <v>66</v>
      </c>
      <c r="AR23" t="s">
        <v>66</v>
      </c>
      <c r="AS23" t="s">
        <v>66</v>
      </c>
      <c r="AT23" t="s">
        <v>66</v>
      </c>
      <c r="AV23">
        <v>23</v>
      </c>
    </row>
    <row r="24" spans="1:48" x14ac:dyDescent="0.15">
      <c r="A24" t="s">
        <v>198</v>
      </c>
      <c r="B24" t="s">
        <v>47</v>
      </c>
      <c r="C24" t="s">
        <v>48</v>
      </c>
      <c r="D24">
        <v>22</v>
      </c>
      <c r="E24" t="s">
        <v>49</v>
      </c>
      <c r="F24" t="s">
        <v>50</v>
      </c>
      <c r="G24" t="s">
        <v>51</v>
      </c>
      <c r="H24" t="s">
        <v>52</v>
      </c>
      <c r="I24" t="s">
        <v>53</v>
      </c>
      <c r="J24" t="s">
        <v>54</v>
      </c>
      <c r="K24" t="s">
        <v>55</v>
      </c>
      <c r="L24" t="s">
        <v>17</v>
      </c>
      <c r="M24" t="s">
        <v>16</v>
      </c>
      <c r="N24">
        <v>1679</v>
      </c>
      <c r="O24">
        <v>98</v>
      </c>
      <c r="P24">
        <v>0</v>
      </c>
      <c r="Q24" t="s">
        <v>199</v>
      </c>
      <c r="R24" t="s">
        <v>200</v>
      </c>
      <c r="S24" t="s">
        <v>201</v>
      </c>
      <c r="T24" t="s">
        <v>202</v>
      </c>
      <c r="U24" t="s">
        <v>60</v>
      </c>
      <c r="V24" t="s">
        <v>61</v>
      </c>
      <c r="W24">
        <v>3</v>
      </c>
      <c r="X24">
        <v>0.14000000000000001</v>
      </c>
      <c r="Y24" t="s">
        <v>203</v>
      </c>
      <c r="Z24" t="s">
        <v>204</v>
      </c>
      <c r="AA24">
        <v>1</v>
      </c>
      <c r="AB24" t="s">
        <v>63</v>
      </c>
      <c r="AC24" t="s">
        <v>64</v>
      </c>
      <c r="AD24" t="s">
        <v>65</v>
      </c>
      <c r="AE24" t="s">
        <v>65</v>
      </c>
      <c r="AF24" t="s">
        <v>65</v>
      </c>
      <c r="AG24" t="s">
        <v>191</v>
      </c>
      <c r="AH24" t="s">
        <v>66</v>
      </c>
      <c r="AI24" t="s">
        <v>66</v>
      </c>
      <c r="AJ24" t="s">
        <v>66</v>
      </c>
      <c r="AK24">
        <v>1</v>
      </c>
      <c r="AL24" t="s">
        <v>66</v>
      </c>
      <c r="AM24" t="s">
        <v>66</v>
      </c>
      <c r="AN24" t="s">
        <v>66</v>
      </c>
      <c r="AO24" t="s">
        <v>66</v>
      </c>
      <c r="AP24">
        <v>1</v>
      </c>
      <c r="AQ24" t="s">
        <v>66</v>
      </c>
      <c r="AR24" t="s">
        <v>66</v>
      </c>
      <c r="AS24" t="s">
        <v>66</v>
      </c>
      <c r="AT24" t="s">
        <v>66</v>
      </c>
      <c r="AV24">
        <v>24</v>
      </c>
    </row>
    <row r="25" spans="1:48" x14ac:dyDescent="0.15">
      <c r="A25" t="s">
        <v>205</v>
      </c>
      <c r="B25" t="s">
        <v>47</v>
      </c>
      <c r="C25" t="s">
        <v>48</v>
      </c>
      <c r="D25">
        <v>23</v>
      </c>
      <c r="E25" t="s">
        <v>49</v>
      </c>
      <c r="F25" t="s">
        <v>50</v>
      </c>
      <c r="G25" t="s">
        <v>51</v>
      </c>
      <c r="H25" t="s">
        <v>52</v>
      </c>
      <c r="I25" t="s">
        <v>53</v>
      </c>
      <c r="J25" t="s">
        <v>54</v>
      </c>
      <c r="K25" t="s">
        <v>55</v>
      </c>
      <c r="L25" t="s">
        <v>17</v>
      </c>
      <c r="M25" t="s">
        <v>16</v>
      </c>
      <c r="N25">
        <v>1735</v>
      </c>
      <c r="O25">
        <v>101</v>
      </c>
      <c r="P25">
        <v>0</v>
      </c>
      <c r="Q25" t="s">
        <v>206</v>
      </c>
      <c r="R25" t="s">
        <v>207</v>
      </c>
      <c r="S25" t="s">
        <v>208</v>
      </c>
      <c r="T25" t="s">
        <v>209</v>
      </c>
      <c r="U25" t="s">
        <v>60</v>
      </c>
      <c r="V25" t="s">
        <v>61</v>
      </c>
      <c r="W25">
        <v>3</v>
      </c>
      <c r="X25">
        <v>0.14000000000000001</v>
      </c>
      <c r="Y25" t="s">
        <v>138</v>
      </c>
      <c r="Z25" t="s">
        <v>210</v>
      </c>
      <c r="AA25">
        <v>1</v>
      </c>
      <c r="AB25" t="s">
        <v>63</v>
      </c>
      <c r="AC25" t="s">
        <v>64</v>
      </c>
      <c r="AD25" t="s">
        <v>65</v>
      </c>
      <c r="AE25" t="s">
        <v>65</v>
      </c>
      <c r="AF25" t="s">
        <v>65</v>
      </c>
      <c r="AG25" t="s">
        <v>191</v>
      </c>
      <c r="AH25" t="s">
        <v>66</v>
      </c>
      <c r="AI25" t="s">
        <v>66</v>
      </c>
      <c r="AJ25" t="s">
        <v>66</v>
      </c>
      <c r="AK25">
        <v>1</v>
      </c>
      <c r="AL25" t="s">
        <v>66</v>
      </c>
      <c r="AM25" t="s">
        <v>66</v>
      </c>
      <c r="AN25" t="s">
        <v>66</v>
      </c>
      <c r="AO25" t="s">
        <v>66</v>
      </c>
      <c r="AP25">
        <v>1</v>
      </c>
      <c r="AQ25" t="s">
        <v>66</v>
      </c>
      <c r="AR25" t="s">
        <v>66</v>
      </c>
      <c r="AS25" t="s">
        <v>66</v>
      </c>
      <c r="AT25" t="s">
        <v>66</v>
      </c>
      <c r="AV25">
        <v>25</v>
      </c>
    </row>
    <row r="26" spans="1:48" x14ac:dyDescent="0.15">
      <c r="A26" t="s">
        <v>211</v>
      </c>
      <c r="B26" t="s">
        <v>47</v>
      </c>
      <c r="C26" t="s">
        <v>48</v>
      </c>
      <c r="D26">
        <v>24</v>
      </c>
      <c r="E26" t="s">
        <v>49</v>
      </c>
      <c r="F26" t="s">
        <v>50</v>
      </c>
      <c r="G26" t="s">
        <v>51</v>
      </c>
      <c r="H26" t="s">
        <v>52</v>
      </c>
      <c r="I26" t="s">
        <v>53</v>
      </c>
      <c r="J26" t="s">
        <v>54</v>
      </c>
      <c r="K26" t="s">
        <v>55</v>
      </c>
      <c r="L26" t="s">
        <v>17</v>
      </c>
      <c r="M26" t="s">
        <v>16</v>
      </c>
      <c r="N26">
        <v>1791</v>
      </c>
      <c r="O26">
        <v>105</v>
      </c>
      <c r="P26">
        <v>0</v>
      </c>
      <c r="Q26" t="s">
        <v>212</v>
      </c>
      <c r="R26" t="s">
        <v>213</v>
      </c>
      <c r="S26" t="s">
        <v>214</v>
      </c>
      <c r="T26" t="s">
        <v>215</v>
      </c>
      <c r="U26" t="s">
        <v>60</v>
      </c>
      <c r="V26" t="s">
        <v>61</v>
      </c>
      <c r="W26">
        <v>3</v>
      </c>
      <c r="X26">
        <v>0.14000000000000001</v>
      </c>
      <c r="Y26" t="s">
        <v>216</v>
      </c>
      <c r="Z26" t="s">
        <v>217</v>
      </c>
      <c r="AA26">
        <v>1</v>
      </c>
      <c r="AB26" t="s">
        <v>63</v>
      </c>
      <c r="AC26" t="s">
        <v>64</v>
      </c>
      <c r="AD26" t="s">
        <v>65</v>
      </c>
      <c r="AE26" t="s">
        <v>65</v>
      </c>
      <c r="AF26" t="s">
        <v>65</v>
      </c>
      <c r="AG26" t="s">
        <v>191</v>
      </c>
      <c r="AH26" t="s">
        <v>66</v>
      </c>
      <c r="AI26" t="s">
        <v>66</v>
      </c>
      <c r="AJ26" t="s">
        <v>66</v>
      </c>
      <c r="AK26">
        <v>1</v>
      </c>
      <c r="AL26" t="s">
        <v>66</v>
      </c>
      <c r="AM26" t="s">
        <v>66</v>
      </c>
      <c r="AN26" t="s">
        <v>66</v>
      </c>
      <c r="AO26" t="s">
        <v>66</v>
      </c>
      <c r="AP26">
        <v>1</v>
      </c>
      <c r="AQ26" t="s">
        <v>66</v>
      </c>
      <c r="AR26" t="s">
        <v>66</v>
      </c>
      <c r="AS26" t="s">
        <v>66</v>
      </c>
      <c r="AT26" t="s">
        <v>66</v>
      </c>
      <c r="AV26">
        <v>26</v>
      </c>
    </row>
    <row r="27" spans="1:48" x14ac:dyDescent="0.15">
      <c r="A27" t="s">
        <v>218</v>
      </c>
      <c r="B27" t="s">
        <v>47</v>
      </c>
      <c r="C27" t="s">
        <v>48</v>
      </c>
      <c r="D27">
        <v>25</v>
      </c>
      <c r="E27" t="s">
        <v>49</v>
      </c>
      <c r="F27" t="s">
        <v>50</v>
      </c>
      <c r="G27" t="s">
        <v>51</v>
      </c>
      <c r="H27" t="s">
        <v>52</v>
      </c>
      <c r="I27" t="s">
        <v>53</v>
      </c>
      <c r="J27" t="s">
        <v>54</v>
      </c>
      <c r="K27" t="s">
        <v>55</v>
      </c>
      <c r="L27" t="s">
        <v>17</v>
      </c>
      <c r="M27" t="s">
        <v>16</v>
      </c>
      <c r="N27">
        <v>1847</v>
      </c>
      <c r="O27">
        <v>108</v>
      </c>
      <c r="P27">
        <v>0</v>
      </c>
      <c r="Q27" t="s">
        <v>219</v>
      </c>
      <c r="R27" t="s">
        <v>220</v>
      </c>
      <c r="S27" t="s">
        <v>221</v>
      </c>
      <c r="T27" t="s">
        <v>222</v>
      </c>
      <c r="U27" t="s">
        <v>60</v>
      </c>
      <c r="V27" t="s">
        <v>61</v>
      </c>
      <c r="W27">
        <v>3</v>
      </c>
      <c r="X27">
        <v>0.14000000000000001</v>
      </c>
      <c r="Y27" t="s">
        <v>144</v>
      </c>
      <c r="Z27" t="s">
        <v>223</v>
      </c>
      <c r="AA27">
        <v>1</v>
      </c>
      <c r="AB27" t="s">
        <v>63</v>
      </c>
      <c r="AC27" t="s">
        <v>64</v>
      </c>
      <c r="AD27" t="s">
        <v>65</v>
      </c>
      <c r="AE27" t="s">
        <v>65</v>
      </c>
      <c r="AF27" t="s">
        <v>65</v>
      </c>
      <c r="AG27" t="s">
        <v>191</v>
      </c>
      <c r="AH27" t="s">
        <v>66</v>
      </c>
      <c r="AI27" t="s">
        <v>66</v>
      </c>
      <c r="AJ27" t="s">
        <v>66</v>
      </c>
      <c r="AK27">
        <v>1</v>
      </c>
      <c r="AL27" t="s">
        <v>66</v>
      </c>
      <c r="AM27" t="s">
        <v>66</v>
      </c>
      <c r="AN27" t="s">
        <v>66</v>
      </c>
      <c r="AO27" t="s">
        <v>66</v>
      </c>
      <c r="AP27">
        <v>1</v>
      </c>
      <c r="AQ27" t="s">
        <v>66</v>
      </c>
      <c r="AR27" t="s">
        <v>66</v>
      </c>
      <c r="AS27" t="s">
        <v>66</v>
      </c>
      <c r="AT27" t="s">
        <v>66</v>
      </c>
      <c r="AV27">
        <v>27</v>
      </c>
    </row>
    <row r="28" spans="1:48" x14ac:dyDescent="0.15">
      <c r="A28" t="s">
        <v>224</v>
      </c>
      <c r="B28" t="s">
        <v>47</v>
      </c>
      <c r="C28" t="s">
        <v>48</v>
      </c>
      <c r="D28">
        <v>26</v>
      </c>
      <c r="E28" t="s">
        <v>49</v>
      </c>
      <c r="F28" t="s">
        <v>50</v>
      </c>
      <c r="G28" t="s">
        <v>51</v>
      </c>
      <c r="H28" t="s">
        <v>52</v>
      </c>
      <c r="I28" t="s">
        <v>53</v>
      </c>
      <c r="J28" t="s">
        <v>54</v>
      </c>
      <c r="K28" t="s">
        <v>55</v>
      </c>
      <c r="L28" t="s">
        <v>17</v>
      </c>
      <c r="M28" t="s">
        <v>16</v>
      </c>
      <c r="N28">
        <v>1903</v>
      </c>
      <c r="O28">
        <v>111</v>
      </c>
      <c r="P28">
        <v>0</v>
      </c>
      <c r="Q28" t="s">
        <v>225</v>
      </c>
      <c r="R28" t="s">
        <v>226</v>
      </c>
      <c r="S28" t="s">
        <v>227</v>
      </c>
      <c r="T28" t="s">
        <v>228</v>
      </c>
      <c r="U28" t="s">
        <v>60</v>
      </c>
      <c r="V28" t="s">
        <v>61</v>
      </c>
      <c r="W28">
        <v>3</v>
      </c>
      <c r="X28">
        <v>0.14000000000000001</v>
      </c>
      <c r="Y28" t="s">
        <v>229</v>
      </c>
      <c r="Z28" t="s">
        <v>230</v>
      </c>
      <c r="AA28">
        <v>1</v>
      </c>
      <c r="AB28" t="s">
        <v>63</v>
      </c>
      <c r="AC28" t="s">
        <v>64</v>
      </c>
      <c r="AD28" t="s">
        <v>65</v>
      </c>
      <c r="AE28" t="s">
        <v>65</v>
      </c>
      <c r="AF28" t="s">
        <v>65</v>
      </c>
      <c r="AG28" t="s">
        <v>191</v>
      </c>
      <c r="AH28" t="s">
        <v>66</v>
      </c>
      <c r="AI28" t="s">
        <v>66</v>
      </c>
      <c r="AJ28" t="s">
        <v>66</v>
      </c>
      <c r="AK28">
        <v>1</v>
      </c>
      <c r="AL28" t="s">
        <v>66</v>
      </c>
      <c r="AM28" t="s">
        <v>66</v>
      </c>
      <c r="AN28" t="s">
        <v>66</v>
      </c>
      <c r="AO28" t="s">
        <v>66</v>
      </c>
      <c r="AP28">
        <v>1</v>
      </c>
      <c r="AQ28" t="s">
        <v>66</v>
      </c>
      <c r="AR28" t="s">
        <v>66</v>
      </c>
      <c r="AS28" t="s">
        <v>66</v>
      </c>
      <c r="AT28" t="s">
        <v>66</v>
      </c>
      <c r="AV28">
        <v>28</v>
      </c>
    </row>
    <row r="29" spans="1:48" x14ac:dyDescent="0.15">
      <c r="A29" t="s">
        <v>231</v>
      </c>
      <c r="B29" t="s">
        <v>47</v>
      </c>
      <c r="C29" t="s">
        <v>48</v>
      </c>
      <c r="D29">
        <v>27</v>
      </c>
      <c r="E29" t="s">
        <v>49</v>
      </c>
      <c r="F29" t="s">
        <v>50</v>
      </c>
      <c r="G29" t="s">
        <v>51</v>
      </c>
      <c r="H29" t="s">
        <v>52</v>
      </c>
      <c r="I29" t="s">
        <v>53</v>
      </c>
      <c r="J29" t="s">
        <v>54</v>
      </c>
      <c r="K29" t="s">
        <v>55</v>
      </c>
      <c r="L29" t="s">
        <v>17</v>
      </c>
      <c r="M29" t="s">
        <v>16</v>
      </c>
      <c r="N29">
        <v>1959</v>
      </c>
      <c r="O29">
        <v>114</v>
      </c>
      <c r="P29">
        <v>0</v>
      </c>
      <c r="Q29" t="s">
        <v>232</v>
      </c>
      <c r="R29" t="s">
        <v>233</v>
      </c>
      <c r="S29" t="s">
        <v>234</v>
      </c>
      <c r="T29" t="s">
        <v>235</v>
      </c>
      <c r="U29" t="s">
        <v>60</v>
      </c>
      <c r="V29" t="s">
        <v>61</v>
      </c>
      <c r="W29">
        <v>3</v>
      </c>
      <c r="X29">
        <v>0.14000000000000001</v>
      </c>
      <c r="Y29" t="s">
        <v>151</v>
      </c>
      <c r="Z29" t="s">
        <v>236</v>
      </c>
      <c r="AA29">
        <v>1</v>
      </c>
      <c r="AB29" t="s">
        <v>63</v>
      </c>
      <c r="AC29" t="s">
        <v>64</v>
      </c>
      <c r="AD29" t="s">
        <v>65</v>
      </c>
      <c r="AE29" t="s">
        <v>65</v>
      </c>
      <c r="AF29" t="s">
        <v>65</v>
      </c>
      <c r="AG29" t="s">
        <v>191</v>
      </c>
      <c r="AH29" t="s">
        <v>66</v>
      </c>
      <c r="AI29" t="s">
        <v>66</v>
      </c>
      <c r="AJ29" t="s">
        <v>66</v>
      </c>
      <c r="AK29">
        <v>1</v>
      </c>
      <c r="AL29" t="s">
        <v>66</v>
      </c>
      <c r="AM29" t="s">
        <v>66</v>
      </c>
      <c r="AN29" t="s">
        <v>66</v>
      </c>
      <c r="AO29" t="s">
        <v>66</v>
      </c>
      <c r="AP29">
        <v>1</v>
      </c>
      <c r="AQ29" t="s">
        <v>66</v>
      </c>
      <c r="AR29" t="s">
        <v>66</v>
      </c>
      <c r="AS29" t="s">
        <v>66</v>
      </c>
      <c r="AT29" t="s">
        <v>66</v>
      </c>
      <c r="AV29">
        <v>29</v>
      </c>
    </row>
    <row r="30" spans="1:48" x14ac:dyDescent="0.15">
      <c r="A30" t="s">
        <v>237</v>
      </c>
      <c r="B30" t="s">
        <v>47</v>
      </c>
      <c r="C30" t="s">
        <v>48</v>
      </c>
      <c r="D30">
        <v>28</v>
      </c>
      <c r="E30" t="s">
        <v>49</v>
      </c>
      <c r="F30" t="s">
        <v>50</v>
      </c>
      <c r="G30" t="s">
        <v>51</v>
      </c>
      <c r="H30" t="s">
        <v>52</v>
      </c>
      <c r="I30" t="s">
        <v>53</v>
      </c>
      <c r="J30" t="s">
        <v>54</v>
      </c>
      <c r="K30" t="s">
        <v>55</v>
      </c>
      <c r="L30" t="s">
        <v>17</v>
      </c>
      <c r="M30" t="s">
        <v>16</v>
      </c>
      <c r="N30">
        <v>2015</v>
      </c>
      <c r="O30">
        <v>118</v>
      </c>
      <c r="P30">
        <v>0</v>
      </c>
      <c r="Q30" t="s">
        <v>238</v>
      </c>
      <c r="R30" t="s">
        <v>239</v>
      </c>
      <c r="S30" t="s">
        <v>240</v>
      </c>
      <c r="T30" t="s">
        <v>241</v>
      </c>
      <c r="U30" t="s">
        <v>60</v>
      </c>
      <c r="V30" t="s">
        <v>61</v>
      </c>
      <c r="W30">
        <v>3</v>
      </c>
      <c r="X30">
        <v>0.14000000000000001</v>
      </c>
      <c r="Y30" t="s">
        <v>242</v>
      </c>
      <c r="Z30" t="s">
        <v>243</v>
      </c>
      <c r="AA30">
        <v>1</v>
      </c>
      <c r="AB30" t="s">
        <v>63</v>
      </c>
      <c r="AC30" t="s">
        <v>64</v>
      </c>
      <c r="AD30" t="s">
        <v>65</v>
      </c>
      <c r="AE30" t="s">
        <v>65</v>
      </c>
      <c r="AF30" t="s">
        <v>65</v>
      </c>
      <c r="AG30" t="s">
        <v>191</v>
      </c>
      <c r="AH30" t="s">
        <v>66</v>
      </c>
      <c r="AI30" t="s">
        <v>66</v>
      </c>
      <c r="AJ30" t="s">
        <v>66</v>
      </c>
      <c r="AK30">
        <v>1</v>
      </c>
      <c r="AL30" t="s">
        <v>66</v>
      </c>
      <c r="AM30" t="s">
        <v>66</v>
      </c>
      <c r="AN30" t="s">
        <v>66</v>
      </c>
      <c r="AO30" t="s">
        <v>66</v>
      </c>
      <c r="AP30">
        <v>1</v>
      </c>
      <c r="AQ30" t="s">
        <v>66</v>
      </c>
      <c r="AR30" t="s">
        <v>66</v>
      </c>
      <c r="AS30" t="s">
        <v>66</v>
      </c>
      <c r="AT30" t="s">
        <v>66</v>
      </c>
      <c r="AV30">
        <v>30</v>
      </c>
    </row>
    <row r="31" spans="1:48" x14ac:dyDescent="0.15">
      <c r="A31" t="s">
        <v>244</v>
      </c>
      <c r="B31" t="s">
        <v>47</v>
      </c>
      <c r="C31" t="s">
        <v>48</v>
      </c>
      <c r="D31">
        <v>29</v>
      </c>
      <c r="E31" t="s">
        <v>49</v>
      </c>
      <c r="F31" t="s">
        <v>50</v>
      </c>
      <c r="G31" t="s">
        <v>51</v>
      </c>
      <c r="H31" t="s">
        <v>52</v>
      </c>
      <c r="I31" t="s">
        <v>53</v>
      </c>
      <c r="J31" t="s">
        <v>54</v>
      </c>
      <c r="K31" t="s">
        <v>55</v>
      </c>
      <c r="L31" t="s">
        <v>17</v>
      </c>
      <c r="M31" t="s">
        <v>16</v>
      </c>
      <c r="N31">
        <v>2071</v>
      </c>
      <c r="O31">
        <v>121</v>
      </c>
      <c r="P31">
        <v>0</v>
      </c>
      <c r="Q31" t="s">
        <v>245</v>
      </c>
      <c r="R31" t="s">
        <v>246</v>
      </c>
      <c r="S31" t="s">
        <v>247</v>
      </c>
      <c r="T31" t="s">
        <v>248</v>
      </c>
      <c r="U31" t="s">
        <v>60</v>
      </c>
      <c r="V31" t="s">
        <v>61</v>
      </c>
      <c r="W31">
        <v>3</v>
      </c>
      <c r="X31">
        <v>0.14000000000000001</v>
      </c>
      <c r="Y31" t="s">
        <v>157</v>
      </c>
      <c r="Z31" t="s">
        <v>249</v>
      </c>
      <c r="AA31">
        <v>1</v>
      </c>
      <c r="AB31" t="s">
        <v>63</v>
      </c>
      <c r="AC31" t="s">
        <v>64</v>
      </c>
      <c r="AD31" t="s">
        <v>65</v>
      </c>
      <c r="AE31" t="s">
        <v>65</v>
      </c>
      <c r="AF31" t="s">
        <v>65</v>
      </c>
      <c r="AG31" t="s">
        <v>191</v>
      </c>
      <c r="AH31" t="s">
        <v>66</v>
      </c>
      <c r="AI31" t="s">
        <v>66</v>
      </c>
      <c r="AJ31" t="s">
        <v>66</v>
      </c>
      <c r="AK31">
        <v>1</v>
      </c>
      <c r="AL31" t="s">
        <v>66</v>
      </c>
      <c r="AM31" t="s">
        <v>66</v>
      </c>
      <c r="AN31" t="s">
        <v>66</v>
      </c>
      <c r="AO31" t="s">
        <v>66</v>
      </c>
      <c r="AP31">
        <v>1</v>
      </c>
      <c r="AQ31" t="s">
        <v>66</v>
      </c>
      <c r="AR31" t="s">
        <v>66</v>
      </c>
      <c r="AS31" t="s">
        <v>66</v>
      </c>
      <c r="AT31" t="s">
        <v>66</v>
      </c>
      <c r="AV31">
        <v>31</v>
      </c>
    </row>
    <row r="32" spans="1:48" x14ac:dyDescent="0.15">
      <c r="A32" t="s">
        <v>250</v>
      </c>
      <c r="B32" t="s">
        <v>47</v>
      </c>
      <c r="C32" t="s">
        <v>48</v>
      </c>
      <c r="D32">
        <v>30</v>
      </c>
      <c r="E32" t="s">
        <v>49</v>
      </c>
      <c r="F32" t="s">
        <v>50</v>
      </c>
      <c r="G32" t="s">
        <v>51</v>
      </c>
      <c r="H32" t="s">
        <v>52</v>
      </c>
      <c r="I32" t="s">
        <v>53</v>
      </c>
      <c r="J32" t="s">
        <v>54</v>
      </c>
      <c r="K32" t="s">
        <v>55</v>
      </c>
      <c r="L32" t="s">
        <v>17</v>
      </c>
      <c r="M32" t="s">
        <v>16</v>
      </c>
      <c r="N32">
        <v>2128</v>
      </c>
      <c r="O32">
        <v>124</v>
      </c>
      <c r="P32">
        <v>0</v>
      </c>
      <c r="Q32" t="s">
        <v>251</v>
      </c>
      <c r="R32" t="s">
        <v>252</v>
      </c>
      <c r="S32" t="s">
        <v>253</v>
      </c>
      <c r="T32" t="s">
        <v>254</v>
      </c>
      <c r="U32" t="s">
        <v>60</v>
      </c>
      <c r="V32" t="s">
        <v>61</v>
      </c>
      <c r="W32">
        <v>3</v>
      </c>
      <c r="X32">
        <v>0.14000000000000001</v>
      </c>
      <c r="Y32" t="s">
        <v>255</v>
      </c>
      <c r="Z32" t="s">
        <v>256</v>
      </c>
      <c r="AA32">
        <v>1</v>
      </c>
      <c r="AB32" t="s">
        <v>63</v>
      </c>
      <c r="AC32" t="s">
        <v>64</v>
      </c>
      <c r="AD32" t="s">
        <v>65</v>
      </c>
      <c r="AE32" t="s">
        <v>65</v>
      </c>
      <c r="AF32" t="s">
        <v>65</v>
      </c>
      <c r="AG32" t="s">
        <v>191</v>
      </c>
      <c r="AH32" t="s">
        <v>66</v>
      </c>
      <c r="AI32" t="s">
        <v>66</v>
      </c>
      <c r="AJ32" t="s">
        <v>66</v>
      </c>
      <c r="AK32">
        <v>1</v>
      </c>
      <c r="AL32" t="s">
        <v>66</v>
      </c>
      <c r="AM32" t="s">
        <v>66</v>
      </c>
      <c r="AN32" t="s">
        <v>66</v>
      </c>
      <c r="AO32" t="s">
        <v>66</v>
      </c>
      <c r="AP32">
        <v>1</v>
      </c>
      <c r="AQ32" t="s">
        <v>66</v>
      </c>
      <c r="AR32" t="s">
        <v>66</v>
      </c>
      <c r="AS32" t="s">
        <v>66</v>
      </c>
      <c r="AT32" t="s">
        <v>66</v>
      </c>
      <c r="AV32">
        <v>32</v>
      </c>
    </row>
    <row r="33" spans="1:48" x14ac:dyDescent="0.15">
      <c r="A33" t="s">
        <v>257</v>
      </c>
      <c r="B33" t="s">
        <v>47</v>
      </c>
      <c r="C33" t="s">
        <v>48</v>
      </c>
      <c r="D33">
        <v>31</v>
      </c>
      <c r="E33" t="s">
        <v>49</v>
      </c>
      <c r="F33" t="s">
        <v>50</v>
      </c>
      <c r="G33" t="s">
        <v>51</v>
      </c>
      <c r="H33" t="s">
        <v>52</v>
      </c>
      <c r="I33" t="s">
        <v>53</v>
      </c>
      <c r="J33" t="s">
        <v>54</v>
      </c>
      <c r="K33" t="s">
        <v>55</v>
      </c>
      <c r="L33" t="s">
        <v>17</v>
      </c>
      <c r="M33" t="s">
        <v>16</v>
      </c>
      <c r="N33">
        <v>2184</v>
      </c>
      <c r="O33">
        <v>127</v>
      </c>
      <c r="P33">
        <v>0</v>
      </c>
      <c r="Q33" t="s">
        <v>258</v>
      </c>
      <c r="R33" t="s">
        <v>259</v>
      </c>
      <c r="S33" t="s">
        <v>260</v>
      </c>
      <c r="T33" t="s">
        <v>261</v>
      </c>
      <c r="U33" t="s">
        <v>60</v>
      </c>
      <c r="V33" t="s">
        <v>61</v>
      </c>
      <c r="W33">
        <v>3</v>
      </c>
      <c r="X33">
        <v>0.14000000000000001</v>
      </c>
      <c r="Y33" t="s">
        <v>164</v>
      </c>
      <c r="Z33" t="s">
        <v>262</v>
      </c>
      <c r="AA33">
        <v>1</v>
      </c>
      <c r="AB33" t="s">
        <v>63</v>
      </c>
      <c r="AC33" t="s">
        <v>64</v>
      </c>
      <c r="AD33" t="s">
        <v>65</v>
      </c>
      <c r="AE33" t="s">
        <v>65</v>
      </c>
      <c r="AF33" t="s">
        <v>65</v>
      </c>
      <c r="AG33" t="s">
        <v>191</v>
      </c>
      <c r="AH33" t="s">
        <v>66</v>
      </c>
      <c r="AI33" t="s">
        <v>66</v>
      </c>
      <c r="AJ33" t="s">
        <v>66</v>
      </c>
      <c r="AK33">
        <v>1</v>
      </c>
      <c r="AL33" t="s">
        <v>66</v>
      </c>
      <c r="AM33" t="s">
        <v>66</v>
      </c>
      <c r="AN33" t="s">
        <v>66</v>
      </c>
      <c r="AO33" t="s">
        <v>66</v>
      </c>
      <c r="AP33">
        <v>1</v>
      </c>
      <c r="AQ33" t="s">
        <v>66</v>
      </c>
      <c r="AR33" t="s">
        <v>66</v>
      </c>
      <c r="AS33" t="s">
        <v>66</v>
      </c>
      <c r="AT33" t="s">
        <v>66</v>
      </c>
      <c r="AV33">
        <v>33</v>
      </c>
    </row>
    <row r="34" spans="1:48" x14ac:dyDescent="0.15">
      <c r="A34" t="s">
        <v>263</v>
      </c>
      <c r="B34" t="s">
        <v>47</v>
      </c>
      <c r="C34" t="s">
        <v>48</v>
      </c>
      <c r="D34">
        <v>32</v>
      </c>
      <c r="E34" t="s">
        <v>49</v>
      </c>
      <c r="F34" t="s">
        <v>50</v>
      </c>
      <c r="G34" t="s">
        <v>51</v>
      </c>
      <c r="H34" t="s">
        <v>52</v>
      </c>
      <c r="I34" t="s">
        <v>53</v>
      </c>
      <c r="J34" t="s">
        <v>54</v>
      </c>
      <c r="K34" t="s">
        <v>55</v>
      </c>
      <c r="L34" t="s">
        <v>17</v>
      </c>
      <c r="M34" t="s">
        <v>16</v>
      </c>
      <c r="N34">
        <v>2240</v>
      </c>
      <c r="O34">
        <v>131</v>
      </c>
      <c r="P34">
        <v>0</v>
      </c>
      <c r="Q34" t="s">
        <v>264</v>
      </c>
      <c r="R34" t="s">
        <v>265</v>
      </c>
      <c r="S34" t="s">
        <v>266</v>
      </c>
      <c r="T34" t="s">
        <v>267</v>
      </c>
      <c r="U34" t="s">
        <v>60</v>
      </c>
      <c r="V34" t="s">
        <v>61</v>
      </c>
      <c r="W34">
        <v>3</v>
      </c>
      <c r="X34">
        <v>0.14000000000000001</v>
      </c>
      <c r="Y34" t="s">
        <v>268</v>
      </c>
      <c r="Z34" t="s">
        <v>269</v>
      </c>
      <c r="AA34">
        <v>1</v>
      </c>
      <c r="AB34" t="s">
        <v>63</v>
      </c>
      <c r="AC34" t="s">
        <v>64</v>
      </c>
      <c r="AD34" t="s">
        <v>65</v>
      </c>
      <c r="AE34" t="s">
        <v>65</v>
      </c>
      <c r="AF34" t="s">
        <v>65</v>
      </c>
      <c r="AG34" t="s">
        <v>191</v>
      </c>
      <c r="AH34" t="s">
        <v>66</v>
      </c>
      <c r="AI34" t="s">
        <v>66</v>
      </c>
      <c r="AJ34" t="s">
        <v>66</v>
      </c>
      <c r="AK34">
        <v>1</v>
      </c>
      <c r="AL34" t="s">
        <v>66</v>
      </c>
      <c r="AM34" t="s">
        <v>66</v>
      </c>
      <c r="AN34" t="s">
        <v>66</v>
      </c>
      <c r="AO34" t="s">
        <v>66</v>
      </c>
      <c r="AP34">
        <v>1</v>
      </c>
      <c r="AQ34" t="s">
        <v>66</v>
      </c>
      <c r="AR34" t="s">
        <v>66</v>
      </c>
      <c r="AS34" t="s">
        <v>66</v>
      </c>
      <c r="AT34" t="s">
        <v>66</v>
      </c>
      <c r="AV34">
        <v>34</v>
      </c>
    </row>
    <row r="35" spans="1:48" x14ac:dyDescent="0.15">
      <c r="A35" t="s">
        <v>270</v>
      </c>
      <c r="B35" t="s">
        <v>47</v>
      </c>
      <c r="C35" t="s">
        <v>48</v>
      </c>
      <c r="D35">
        <v>33</v>
      </c>
      <c r="E35" t="s">
        <v>49</v>
      </c>
      <c r="F35" t="s">
        <v>50</v>
      </c>
      <c r="G35" t="s">
        <v>51</v>
      </c>
      <c r="H35" t="s">
        <v>52</v>
      </c>
      <c r="I35" t="s">
        <v>53</v>
      </c>
      <c r="J35" t="s">
        <v>54</v>
      </c>
      <c r="K35" t="s">
        <v>55</v>
      </c>
      <c r="L35" t="s">
        <v>17</v>
      </c>
      <c r="M35" t="s">
        <v>16</v>
      </c>
      <c r="N35">
        <v>2296</v>
      </c>
      <c r="O35">
        <v>134</v>
      </c>
      <c r="P35">
        <v>0</v>
      </c>
      <c r="Q35" t="s">
        <v>271</v>
      </c>
      <c r="R35" t="s">
        <v>272</v>
      </c>
      <c r="S35" t="s">
        <v>273</v>
      </c>
      <c r="T35" t="s">
        <v>274</v>
      </c>
      <c r="U35" t="s">
        <v>60</v>
      </c>
      <c r="V35" t="s">
        <v>61</v>
      </c>
      <c r="W35">
        <v>3</v>
      </c>
      <c r="X35">
        <v>0.14000000000000001</v>
      </c>
      <c r="Y35" t="s">
        <v>170</v>
      </c>
      <c r="Z35" t="s">
        <v>275</v>
      </c>
      <c r="AA35">
        <v>1</v>
      </c>
      <c r="AB35" t="s">
        <v>63</v>
      </c>
      <c r="AC35" t="s">
        <v>64</v>
      </c>
      <c r="AD35" t="s">
        <v>65</v>
      </c>
      <c r="AE35" t="s">
        <v>65</v>
      </c>
      <c r="AF35" t="s">
        <v>65</v>
      </c>
      <c r="AG35" t="s">
        <v>191</v>
      </c>
      <c r="AH35" t="s">
        <v>66</v>
      </c>
      <c r="AI35" t="s">
        <v>66</v>
      </c>
      <c r="AJ35" t="s">
        <v>66</v>
      </c>
      <c r="AK35">
        <v>1</v>
      </c>
      <c r="AL35" t="s">
        <v>66</v>
      </c>
      <c r="AM35" t="s">
        <v>66</v>
      </c>
      <c r="AN35" t="s">
        <v>66</v>
      </c>
      <c r="AO35" t="s">
        <v>66</v>
      </c>
      <c r="AP35">
        <v>1</v>
      </c>
      <c r="AQ35" t="s">
        <v>66</v>
      </c>
      <c r="AR35" t="s">
        <v>66</v>
      </c>
      <c r="AS35" t="s">
        <v>66</v>
      </c>
      <c r="AT35" t="s">
        <v>66</v>
      </c>
      <c r="AV35">
        <v>35</v>
      </c>
    </row>
    <row r="36" spans="1:48" x14ac:dyDescent="0.15">
      <c r="A36" t="s">
        <v>276</v>
      </c>
      <c r="B36" t="s">
        <v>47</v>
      </c>
      <c r="C36" t="s">
        <v>48</v>
      </c>
      <c r="D36">
        <v>34</v>
      </c>
      <c r="E36" t="s">
        <v>49</v>
      </c>
      <c r="F36" t="s">
        <v>50</v>
      </c>
      <c r="G36" t="s">
        <v>51</v>
      </c>
      <c r="H36" t="s">
        <v>52</v>
      </c>
      <c r="I36" t="s">
        <v>53</v>
      </c>
      <c r="J36" t="s">
        <v>54</v>
      </c>
      <c r="K36" t="s">
        <v>55</v>
      </c>
      <c r="L36" t="s">
        <v>17</v>
      </c>
      <c r="M36" t="s">
        <v>16</v>
      </c>
      <c r="N36">
        <v>2352</v>
      </c>
      <c r="O36">
        <v>137</v>
      </c>
      <c r="P36">
        <v>0</v>
      </c>
      <c r="Q36" t="s">
        <v>277</v>
      </c>
      <c r="R36" t="s">
        <v>278</v>
      </c>
      <c r="S36" t="s">
        <v>279</v>
      </c>
      <c r="T36" t="s">
        <v>280</v>
      </c>
      <c r="U36" t="s">
        <v>60</v>
      </c>
      <c r="V36" t="s">
        <v>61</v>
      </c>
      <c r="W36">
        <v>3</v>
      </c>
      <c r="X36">
        <v>0.14000000000000001</v>
      </c>
      <c r="Y36" t="s">
        <v>281</v>
      </c>
      <c r="Z36" t="s">
        <v>282</v>
      </c>
      <c r="AA36">
        <v>1</v>
      </c>
      <c r="AB36" t="s">
        <v>63</v>
      </c>
      <c r="AC36" t="s">
        <v>64</v>
      </c>
      <c r="AD36" t="s">
        <v>65</v>
      </c>
      <c r="AE36" t="s">
        <v>65</v>
      </c>
      <c r="AF36" t="s">
        <v>65</v>
      </c>
      <c r="AG36" t="s">
        <v>191</v>
      </c>
      <c r="AH36" t="s">
        <v>66</v>
      </c>
      <c r="AI36" t="s">
        <v>66</v>
      </c>
      <c r="AJ36" t="s">
        <v>66</v>
      </c>
      <c r="AK36">
        <v>1</v>
      </c>
      <c r="AL36" t="s">
        <v>66</v>
      </c>
      <c r="AM36" t="s">
        <v>66</v>
      </c>
      <c r="AN36" t="s">
        <v>66</v>
      </c>
      <c r="AO36" t="s">
        <v>66</v>
      </c>
      <c r="AP36">
        <v>1</v>
      </c>
      <c r="AQ36" t="s">
        <v>66</v>
      </c>
      <c r="AR36" t="s">
        <v>66</v>
      </c>
      <c r="AS36" t="s">
        <v>66</v>
      </c>
      <c r="AT36" t="s">
        <v>66</v>
      </c>
      <c r="AV36">
        <v>36</v>
      </c>
    </row>
    <row r="37" spans="1:48" x14ac:dyDescent="0.15">
      <c r="A37" t="s">
        <v>283</v>
      </c>
      <c r="B37" t="s">
        <v>47</v>
      </c>
      <c r="C37" t="s">
        <v>48</v>
      </c>
      <c r="D37">
        <v>35</v>
      </c>
      <c r="E37" t="s">
        <v>49</v>
      </c>
      <c r="F37" t="s">
        <v>50</v>
      </c>
      <c r="G37" t="s">
        <v>51</v>
      </c>
      <c r="H37" t="s">
        <v>52</v>
      </c>
      <c r="I37" t="s">
        <v>53</v>
      </c>
      <c r="J37" t="s">
        <v>54</v>
      </c>
      <c r="K37" t="s">
        <v>55</v>
      </c>
      <c r="L37" t="s">
        <v>17</v>
      </c>
      <c r="M37" t="s">
        <v>16</v>
      </c>
      <c r="N37">
        <v>2408</v>
      </c>
      <c r="O37">
        <v>140</v>
      </c>
      <c r="P37">
        <v>0</v>
      </c>
      <c r="Q37" t="s">
        <v>284</v>
      </c>
      <c r="R37" t="s">
        <v>285</v>
      </c>
      <c r="S37" t="s">
        <v>286</v>
      </c>
      <c r="T37" t="s">
        <v>287</v>
      </c>
      <c r="U37" t="s">
        <v>60</v>
      </c>
      <c r="V37" t="s">
        <v>61</v>
      </c>
      <c r="W37">
        <v>3</v>
      </c>
      <c r="X37">
        <v>0.14000000000000001</v>
      </c>
      <c r="Y37" t="s">
        <v>177</v>
      </c>
      <c r="Z37" t="s">
        <v>288</v>
      </c>
      <c r="AA37">
        <v>1</v>
      </c>
      <c r="AB37" t="s">
        <v>63</v>
      </c>
      <c r="AC37" t="s">
        <v>64</v>
      </c>
      <c r="AD37" t="s">
        <v>65</v>
      </c>
      <c r="AE37" t="s">
        <v>65</v>
      </c>
      <c r="AF37" t="s">
        <v>65</v>
      </c>
      <c r="AG37" t="s">
        <v>191</v>
      </c>
      <c r="AH37" t="s">
        <v>66</v>
      </c>
      <c r="AI37" t="s">
        <v>66</v>
      </c>
      <c r="AJ37" t="s">
        <v>66</v>
      </c>
      <c r="AK37">
        <v>1</v>
      </c>
      <c r="AL37" t="s">
        <v>66</v>
      </c>
      <c r="AM37" t="s">
        <v>66</v>
      </c>
      <c r="AN37" t="s">
        <v>66</v>
      </c>
      <c r="AO37" t="s">
        <v>66</v>
      </c>
      <c r="AP37">
        <v>1</v>
      </c>
      <c r="AQ37" t="s">
        <v>66</v>
      </c>
      <c r="AR37" t="s">
        <v>66</v>
      </c>
      <c r="AS37" t="s">
        <v>66</v>
      </c>
      <c r="AT37" t="s">
        <v>66</v>
      </c>
      <c r="AV37">
        <v>37</v>
      </c>
    </row>
    <row r="38" spans="1:48" x14ac:dyDescent="0.15">
      <c r="A38" t="s">
        <v>289</v>
      </c>
      <c r="B38" t="s">
        <v>47</v>
      </c>
      <c r="C38" t="s">
        <v>48</v>
      </c>
      <c r="D38">
        <v>36</v>
      </c>
      <c r="E38" t="s">
        <v>49</v>
      </c>
      <c r="F38" t="s">
        <v>50</v>
      </c>
      <c r="G38" t="s">
        <v>51</v>
      </c>
      <c r="H38" t="s">
        <v>52</v>
      </c>
      <c r="I38" t="s">
        <v>53</v>
      </c>
      <c r="J38" t="s">
        <v>54</v>
      </c>
      <c r="K38" t="s">
        <v>55</v>
      </c>
      <c r="L38" t="s">
        <v>17</v>
      </c>
      <c r="M38" t="s">
        <v>16</v>
      </c>
      <c r="N38">
        <v>2464</v>
      </c>
      <c r="O38">
        <v>144</v>
      </c>
      <c r="P38">
        <v>0</v>
      </c>
      <c r="Q38" t="s">
        <v>290</v>
      </c>
      <c r="R38" t="s">
        <v>291</v>
      </c>
      <c r="S38" t="s">
        <v>292</v>
      </c>
      <c r="T38" t="s">
        <v>293</v>
      </c>
      <c r="U38" t="s">
        <v>60</v>
      </c>
      <c r="V38" t="s">
        <v>61</v>
      </c>
      <c r="W38">
        <v>3</v>
      </c>
      <c r="X38">
        <v>0.14000000000000001</v>
      </c>
      <c r="Y38" t="s">
        <v>294</v>
      </c>
      <c r="Z38" t="s">
        <v>295</v>
      </c>
      <c r="AA38">
        <v>1</v>
      </c>
      <c r="AB38" t="s">
        <v>63</v>
      </c>
      <c r="AC38" t="s">
        <v>64</v>
      </c>
      <c r="AD38" t="s">
        <v>65</v>
      </c>
      <c r="AE38" t="s">
        <v>65</v>
      </c>
      <c r="AF38" t="s">
        <v>65</v>
      </c>
      <c r="AG38" t="s">
        <v>191</v>
      </c>
      <c r="AH38" t="s">
        <v>66</v>
      </c>
      <c r="AI38" t="s">
        <v>66</v>
      </c>
      <c r="AJ38" t="s">
        <v>66</v>
      </c>
      <c r="AK38">
        <v>1</v>
      </c>
      <c r="AL38" t="s">
        <v>66</v>
      </c>
      <c r="AM38" t="s">
        <v>66</v>
      </c>
      <c r="AN38" t="s">
        <v>66</v>
      </c>
      <c r="AO38" t="s">
        <v>66</v>
      </c>
      <c r="AP38">
        <v>1</v>
      </c>
      <c r="AQ38" t="s">
        <v>66</v>
      </c>
      <c r="AR38" t="s">
        <v>66</v>
      </c>
      <c r="AS38" t="s">
        <v>66</v>
      </c>
      <c r="AT38" t="s">
        <v>66</v>
      </c>
      <c r="AV38">
        <v>38</v>
      </c>
    </row>
    <row r="39" spans="1:48" x14ac:dyDescent="0.15">
      <c r="A39" t="s">
        <v>296</v>
      </c>
      <c r="B39" t="s">
        <v>47</v>
      </c>
      <c r="C39" t="s">
        <v>48</v>
      </c>
      <c r="D39">
        <v>37</v>
      </c>
      <c r="E39" t="s">
        <v>49</v>
      </c>
      <c r="F39" t="s">
        <v>50</v>
      </c>
      <c r="G39" t="s">
        <v>51</v>
      </c>
      <c r="H39" t="s">
        <v>52</v>
      </c>
      <c r="I39" t="s">
        <v>53</v>
      </c>
      <c r="J39" t="s">
        <v>54</v>
      </c>
      <c r="K39" t="s">
        <v>55</v>
      </c>
      <c r="L39" t="s">
        <v>17</v>
      </c>
      <c r="M39" t="s">
        <v>16</v>
      </c>
      <c r="N39">
        <v>2520</v>
      </c>
      <c r="O39">
        <v>147</v>
      </c>
      <c r="P39">
        <v>0</v>
      </c>
      <c r="Q39" t="s">
        <v>297</v>
      </c>
      <c r="R39" t="s">
        <v>298</v>
      </c>
      <c r="S39" t="s">
        <v>299</v>
      </c>
      <c r="T39" t="s">
        <v>300</v>
      </c>
      <c r="U39" t="s">
        <v>60</v>
      </c>
      <c r="V39" t="s">
        <v>61</v>
      </c>
      <c r="W39">
        <v>3</v>
      </c>
      <c r="X39">
        <v>0.14000000000000001</v>
      </c>
      <c r="Y39" t="s">
        <v>183</v>
      </c>
      <c r="Z39" t="s">
        <v>301</v>
      </c>
      <c r="AA39">
        <v>1</v>
      </c>
      <c r="AB39" t="s">
        <v>63</v>
      </c>
      <c r="AC39" t="s">
        <v>64</v>
      </c>
      <c r="AD39" t="s">
        <v>65</v>
      </c>
      <c r="AE39" t="s">
        <v>65</v>
      </c>
      <c r="AF39" t="s">
        <v>65</v>
      </c>
      <c r="AG39" t="s">
        <v>191</v>
      </c>
      <c r="AH39" t="s">
        <v>66</v>
      </c>
      <c r="AI39" t="s">
        <v>66</v>
      </c>
      <c r="AJ39" t="s">
        <v>66</v>
      </c>
      <c r="AK39">
        <v>1</v>
      </c>
      <c r="AL39" t="s">
        <v>66</v>
      </c>
      <c r="AM39" t="s">
        <v>66</v>
      </c>
      <c r="AN39" t="s">
        <v>66</v>
      </c>
      <c r="AO39" t="s">
        <v>66</v>
      </c>
      <c r="AP39">
        <v>1</v>
      </c>
      <c r="AQ39" t="s">
        <v>66</v>
      </c>
      <c r="AR39" t="s">
        <v>66</v>
      </c>
      <c r="AS39" t="s">
        <v>66</v>
      </c>
      <c r="AT39" t="s">
        <v>66</v>
      </c>
      <c r="AV39">
        <v>39</v>
      </c>
    </row>
    <row r="40" spans="1:48" x14ac:dyDescent="0.15">
      <c r="A40" t="s">
        <v>302</v>
      </c>
      <c r="B40" t="s">
        <v>47</v>
      </c>
      <c r="C40" t="s">
        <v>48</v>
      </c>
      <c r="D40">
        <v>38</v>
      </c>
      <c r="E40" t="s">
        <v>49</v>
      </c>
      <c r="F40" t="s">
        <v>50</v>
      </c>
      <c r="G40" t="s">
        <v>51</v>
      </c>
      <c r="H40" t="s">
        <v>52</v>
      </c>
      <c r="I40" t="s">
        <v>53</v>
      </c>
      <c r="J40" t="s">
        <v>54</v>
      </c>
      <c r="K40" t="s">
        <v>55</v>
      </c>
      <c r="L40" t="s">
        <v>17</v>
      </c>
      <c r="M40" t="s">
        <v>16</v>
      </c>
      <c r="N40">
        <v>2577</v>
      </c>
      <c r="O40">
        <v>150</v>
      </c>
      <c r="P40">
        <v>0</v>
      </c>
      <c r="Q40" t="s">
        <v>303</v>
      </c>
      <c r="R40" t="s">
        <v>304</v>
      </c>
      <c r="S40" t="s">
        <v>305</v>
      </c>
      <c r="T40" t="s">
        <v>306</v>
      </c>
      <c r="U40" t="s">
        <v>60</v>
      </c>
      <c r="V40" t="s">
        <v>61</v>
      </c>
      <c r="W40">
        <v>3</v>
      </c>
      <c r="X40">
        <v>0.14000000000000001</v>
      </c>
      <c r="Y40" t="s">
        <v>307</v>
      </c>
      <c r="Z40" t="s">
        <v>308</v>
      </c>
      <c r="AA40">
        <v>1</v>
      </c>
      <c r="AB40" t="s">
        <v>63</v>
      </c>
      <c r="AC40" t="s">
        <v>64</v>
      </c>
      <c r="AD40" t="s">
        <v>65</v>
      </c>
      <c r="AE40" t="s">
        <v>65</v>
      </c>
      <c r="AF40" t="s">
        <v>65</v>
      </c>
      <c r="AG40" t="s">
        <v>191</v>
      </c>
      <c r="AH40" t="s">
        <v>66</v>
      </c>
      <c r="AI40" t="s">
        <v>66</v>
      </c>
      <c r="AJ40" t="s">
        <v>66</v>
      </c>
      <c r="AK40">
        <v>1</v>
      </c>
      <c r="AL40" t="s">
        <v>66</v>
      </c>
      <c r="AM40" t="s">
        <v>66</v>
      </c>
      <c r="AN40" t="s">
        <v>66</v>
      </c>
      <c r="AO40" t="s">
        <v>66</v>
      </c>
      <c r="AP40">
        <v>1</v>
      </c>
      <c r="AQ40" t="s">
        <v>66</v>
      </c>
      <c r="AR40" t="s">
        <v>66</v>
      </c>
      <c r="AS40" t="s">
        <v>66</v>
      </c>
      <c r="AT40" t="s">
        <v>66</v>
      </c>
      <c r="AV40">
        <v>40</v>
      </c>
    </row>
    <row r="41" spans="1:48" x14ac:dyDescent="0.15">
      <c r="A41" t="s">
        <v>309</v>
      </c>
      <c r="B41" t="s">
        <v>47</v>
      </c>
      <c r="C41" t="s">
        <v>48</v>
      </c>
      <c r="D41">
        <v>39</v>
      </c>
      <c r="E41" t="s">
        <v>49</v>
      </c>
      <c r="F41" t="s">
        <v>50</v>
      </c>
      <c r="G41" t="s">
        <v>51</v>
      </c>
      <c r="H41" t="s">
        <v>52</v>
      </c>
      <c r="I41" t="s">
        <v>53</v>
      </c>
      <c r="J41" t="s">
        <v>54</v>
      </c>
      <c r="K41" t="s">
        <v>55</v>
      </c>
      <c r="L41" t="s">
        <v>17</v>
      </c>
      <c r="M41" t="s">
        <v>16</v>
      </c>
      <c r="N41">
        <v>2633</v>
      </c>
      <c r="O41">
        <v>153</v>
      </c>
      <c r="P41">
        <v>0</v>
      </c>
      <c r="Q41" t="s">
        <v>310</v>
      </c>
      <c r="R41" t="s">
        <v>311</v>
      </c>
      <c r="S41" t="s">
        <v>312</v>
      </c>
      <c r="T41" t="s">
        <v>313</v>
      </c>
      <c r="U41" t="s">
        <v>60</v>
      </c>
      <c r="V41" t="s">
        <v>61</v>
      </c>
      <c r="W41">
        <v>3</v>
      </c>
      <c r="X41">
        <v>0.14000000000000001</v>
      </c>
      <c r="Y41" t="s">
        <v>190</v>
      </c>
      <c r="Z41" t="s">
        <v>314</v>
      </c>
      <c r="AA41">
        <v>1</v>
      </c>
      <c r="AB41" t="s">
        <v>63</v>
      </c>
      <c r="AC41" t="s">
        <v>64</v>
      </c>
      <c r="AD41" t="s">
        <v>65</v>
      </c>
      <c r="AE41" t="s">
        <v>65</v>
      </c>
      <c r="AF41" t="s">
        <v>65</v>
      </c>
      <c r="AG41" t="s">
        <v>191</v>
      </c>
      <c r="AH41" t="s">
        <v>66</v>
      </c>
      <c r="AI41" t="s">
        <v>66</v>
      </c>
      <c r="AJ41" t="s">
        <v>66</v>
      </c>
      <c r="AK41">
        <v>1</v>
      </c>
      <c r="AL41" t="s">
        <v>66</v>
      </c>
      <c r="AM41" t="s">
        <v>66</v>
      </c>
      <c r="AN41" t="s">
        <v>66</v>
      </c>
      <c r="AO41" t="s">
        <v>66</v>
      </c>
      <c r="AP41">
        <v>1</v>
      </c>
      <c r="AQ41" t="s">
        <v>66</v>
      </c>
      <c r="AR41" t="s">
        <v>66</v>
      </c>
      <c r="AS41" t="s">
        <v>66</v>
      </c>
      <c r="AT41" t="s">
        <v>66</v>
      </c>
      <c r="AV41">
        <v>41</v>
      </c>
    </row>
    <row r="42" spans="1:48" x14ac:dyDescent="0.15">
      <c r="A42" t="s">
        <v>315</v>
      </c>
      <c r="B42" t="s">
        <v>47</v>
      </c>
      <c r="C42" t="s">
        <v>48</v>
      </c>
      <c r="D42">
        <v>40</v>
      </c>
      <c r="E42" t="s">
        <v>49</v>
      </c>
      <c r="F42" t="s">
        <v>50</v>
      </c>
      <c r="G42" t="s">
        <v>51</v>
      </c>
      <c r="H42" t="s">
        <v>52</v>
      </c>
      <c r="I42" t="s">
        <v>53</v>
      </c>
      <c r="J42" t="s">
        <v>54</v>
      </c>
      <c r="K42" t="s">
        <v>55</v>
      </c>
      <c r="L42" t="s">
        <v>17</v>
      </c>
      <c r="M42" t="s">
        <v>16</v>
      </c>
      <c r="N42">
        <v>2689</v>
      </c>
      <c r="O42">
        <v>157</v>
      </c>
      <c r="P42">
        <v>0</v>
      </c>
      <c r="Q42" t="s">
        <v>316</v>
      </c>
      <c r="R42" t="s">
        <v>317</v>
      </c>
      <c r="S42" t="s">
        <v>318</v>
      </c>
      <c r="T42" t="s">
        <v>319</v>
      </c>
      <c r="U42" t="s">
        <v>60</v>
      </c>
      <c r="V42" t="s">
        <v>61</v>
      </c>
      <c r="W42">
        <v>3</v>
      </c>
      <c r="X42">
        <v>0.14000000000000001</v>
      </c>
      <c r="Y42" t="s">
        <v>320</v>
      </c>
      <c r="Z42" t="s">
        <v>321</v>
      </c>
      <c r="AA42">
        <v>1</v>
      </c>
      <c r="AB42" t="s">
        <v>63</v>
      </c>
      <c r="AC42" t="s">
        <v>64</v>
      </c>
      <c r="AD42" t="s">
        <v>65</v>
      </c>
      <c r="AE42" t="s">
        <v>65</v>
      </c>
      <c r="AF42" t="s">
        <v>65</v>
      </c>
      <c r="AG42" t="s">
        <v>191</v>
      </c>
      <c r="AH42" t="s">
        <v>66</v>
      </c>
      <c r="AI42" t="s">
        <v>66</v>
      </c>
      <c r="AJ42" t="s">
        <v>66</v>
      </c>
      <c r="AK42">
        <v>1</v>
      </c>
      <c r="AL42" t="s">
        <v>66</v>
      </c>
      <c r="AM42" t="s">
        <v>66</v>
      </c>
      <c r="AN42" t="s">
        <v>66</v>
      </c>
      <c r="AO42" t="s">
        <v>66</v>
      </c>
      <c r="AP42">
        <v>1</v>
      </c>
      <c r="AQ42" t="s">
        <v>66</v>
      </c>
      <c r="AR42" t="s">
        <v>66</v>
      </c>
      <c r="AS42" t="s">
        <v>66</v>
      </c>
      <c r="AT42" t="s">
        <v>66</v>
      </c>
      <c r="AV42">
        <v>42</v>
      </c>
    </row>
    <row r="43" spans="1:48" x14ac:dyDescent="0.15">
      <c r="A43" t="s">
        <v>315</v>
      </c>
      <c r="B43" t="s">
        <v>47</v>
      </c>
      <c r="C43" t="s">
        <v>48</v>
      </c>
      <c r="D43">
        <v>40</v>
      </c>
      <c r="E43" t="s">
        <v>49</v>
      </c>
      <c r="F43" t="s">
        <v>50</v>
      </c>
      <c r="G43" t="s">
        <v>51</v>
      </c>
      <c r="H43" t="s">
        <v>52</v>
      </c>
      <c r="I43" t="s">
        <v>53</v>
      </c>
      <c r="J43" t="s">
        <v>54</v>
      </c>
      <c r="K43" t="s">
        <v>55</v>
      </c>
      <c r="L43" t="s">
        <v>17</v>
      </c>
      <c r="M43" t="s">
        <v>16</v>
      </c>
      <c r="N43">
        <v>2689</v>
      </c>
      <c r="O43">
        <v>157</v>
      </c>
      <c r="P43">
        <v>0</v>
      </c>
      <c r="Q43" t="s">
        <v>316</v>
      </c>
      <c r="R43" t="s">
        <v>317</v>
      </c>
      <c r="S43" t="s">
        <v>318</v>
      </c>
      <c r="T43" t="s">
        <v>319</v>
      </c>
      <c r="U43" t="s">
        <v>60</v>
      </c>
      <c r="V43" t="s">
        <v>61</v>
      </c>
      <c r="W43">
        <v>3</v>
      </c>
      <c r="X43">
        <v>0.14000000000000001</v>
      </c>
      <c r="Y43" t="s">
        <v>320</v>
      </c>
      <c r="Z43" t="s">
        <v>321</v>
      </c>
      <c r="AA43">
        <v>2</v>
      </c>
      <c r="AB43" t="s">
        <v>63</v>
      </c>
      <c r="AC43" t="s">
        <v>64</v>
      </c>
      <c r="AD43" t="s">
        <v>65</v>
      </c>
      <c r="AE43" t="s">
        <v>65</v>
      </c>
      <c r="AF43" t="s">
        <v>65</v>
      </c>
      <c r="AG43" t="s">
        <v>191</v>
      </c>
      <c r="AH43" t="s">
        <v>322</v>
      </c>
      <c r="AI43" t="s">
        <v>66</v>
      </c>
      <c r="AJ43" t="s">
        <v>66</v>
      </c>
      <c r="AK43">
        <v>1</v>
      </c>
      <c r="AL43" t="s">
        <v>323</v>
      </c>
      <c r="AM43" t="s">
        <v>66</v>
      </c>
      <c r="AN43" t="s">
        <v>324</v>
      </c>
      <c r="AO43" t="s">
        <v>66</v>
      </c>
      <c r="AP43">
        <v>1</v>
      </c>
      <c r="AQ43" t="s">
        <v>66</v>
      </c>
      <c r="AR43" t="s">
        <v>66</v>
      </c>
      <c r="AS43" t="s">
        <v>66</v>
      </c>
      <c r="AT43" t="s">
        <v>66</v>
      </c>
      <c r="AV43">
        <v>43</v>
      </c>
    </row>
    <row r="44" spans="1:48" x14ac:dyDescent="0.15">
      <c r="A44" t="s">
        <v>325</v>
      </c>
      <c r="B44" t="s">
        <v>47</v>
      </c>
      <c r="C44" t="s">
        <v>48</v>
      </c>
      <c r="D44">
        <v>41</v>
      </c>
      <c r="E44" t="s">
        <v>49</v>
      </c>
      <c r="F44" t="s">
        <v>50</v>
      </c>
      <c r="G44" t="s">
        <v>51</v>
      </c>
      <c r="H44" t="s">
        <v>52</v>
      </c>
      <c r="I44" t="s">
        <v>53</v>
      </c>
      <c r="J44" t="s">
        <v>54</v>
      </c>
      <c r="K44" t="s">
        <v>55</v>
      </c>
      <c r="L44" t="s">
        <v>17</v>
      </c>
      <c r="M44" t="s">
        <v>16</v>
      </c>
      <c r="N44">
        <v>2745</v>
      </c>
      <c r="O44">
        <v>160</v>
      </c>
      <c r="P44">
        <v>0</v>
      </c>
      <c r="Q44" t="s">
        <v>326</v>
      </c>
      <c r="R44" t="s">
        <v>327</v>
      </c>
      <c r="S44" t="s">
        <v>328</v>
      </c>
      <c r="T44" t="s">
        <v>329</v>
      </c>
      <c r="U44" t="s">
        <v>60</v>
      </c>
      <c r="V44" t="s">
        <v>61</v>
      </c>
      <c r="W44">
        <v>3</v>
      </c>
      <c r="X44">
        <v>0.14000000000000001</v>
      </c>
      <c r="Y44" t="s">
        <v>197</v>
      </c>
      <c r="Z44" t="s">
        <v>330</v>
      </c>
      <c r="AA44">
        <v>2</v>
      </c>
      <c r="AB44" t="s">
        <v>63</v>
      </c>
      <c r="AC44" t="s">
        <v>64</v>
      </c>
      <c r="AD44" t="s">
        <v>65</v>
      </c>
      <c r="AE44" t="s">
        <v>65</v>
      </c>
      <c r="AF44" t="s">
        <v>65</v>
      </c>
      <c r="AG44" t="s">
        <v>191</v>
      </c>
      <c r="AH44" t="s">
        <v>322</v>
      </c>
      <c r="AI44" t="s">
        <v>66</v>
      </c>
      <c r="AJ44" t="s">
        <v>66</v>
      </c>
      <c r="AK44">
        <v>1</v>
      </c>
      <c r="AL44" t="s">
        <v>323</v>
      </c>
      <c r="AM44" t="s">
        <v>66</v>
      </c>
      <c r="AN44" t="s">
        <v>324</v>
      </c>
      <c r="AO44" t="s">
        <v>66</v>
      </c>
      <c r="AP44">
        <v>1</v>
      </c>
      <c r="AQ44" t="s">
        <v>66</v>
      </c>
      <c r="AR44" t="s">
        <v>66</v>
      </c>
      <c r="AS44" t="s">
        <v>66</v>
      </c>
      <c r="AT44" t="s">
        <v>66</v>
      </c>
      <c r="AV44">
        <v>44</v>
      </c>
    </row>
    <row r="45" spans="1:48" x14ac:dyDescent="0.15">
      <c r="A45" t="s">
        <v>331</v>
      </c>
      <c r="B45" t="s">
        <v>47</v>
      </c>
      <c r="C45" t="s">
        <v>48</v>
      </c>
      <c r="D45">
        <v>42</v>
      </c>
      <c r="E45" t="s">
        <v>49</v>
      </c>
      <c r="F45" t="s">
        <v>50</v>
      </c>
      <c r="G45" t="s">
        <v>51</v>
      </c>
      <c r="H45" t="s">
        <v>52</v>
      </c>
      <c r="I45" t="s">
        <v>53</v>
      </c>
      <c r="J45" t="s">
        <v>54</v>
      </c>
      <c r="K45" t="s">
        <v>55</v>
      </c>
      <c r="L45" t="s">
        <v>17</v>
      </c>
      <c r="M45" t="s">
        <v>16</v>
      </c>
      <c r="N45">
        <v>2801</v>
      </c>
      <c r="O45">
        <v>163</v>
      </c>
      <c r="P45">
        <v>0</v>
      </c>
      <c r="Q45" t="s">
        <v>332</v>
      </c>
      <c r="R45" t="s">
        <v>333</v>
      </c>
      <c r="S45" t="s">
        <v>334</v>
      </c>
      <c r="T45" t="s">
        <v>335</v>
      </c>
      <c r="U45" t="s">
        <v>60</v>
      </c>
      <c r="V45" t="s">
        <v>61</v>
      </c>
      <c r="W45">
        <v>3</v>
      </c>
      <c r="X45">
        <v>0.14000000000000001</v>
      </c>
      <c r="Y45" t="s">
        <v>336</v>
      </c>
      <c r="Z45" t="s">
        <v>337</v>
      </c>
      <c r="AA45">
        <v>2</v>
      </c>
      <c r="AB45" t="s">
        <v>63</v>
      </c>
      <c r="AC45" t="s">
        <v>64</v>
      </c>
      <c r="AD45" t="s">
        <v>65</v>
      </c>
      <c r="AE45" t="s">
        <v>65</v>
      </c>
      <c r="AF45" t="s">
        <v>65</v>
      </c>
      <c r="AG45" t="s">
        <v>191</v>
      </c>
      <c r="AH45" t="s">
        <v>322</v>
      </c>
      <c r="AI45" t="s">
        <v>66</v>
      </c>
      <c r="AJ45" t="s">
        <v>66</v>
      </c>
      <c r="AK45">
        <v>1</v>
      </c>
      <c r="AL45" t="s">
        <v>323</v>
      </c>
      <c r="AM45" t="s">
        <v>66</v>
      </c>
      <c r="AN45" t="s">
        <v>324</v>
      </c>
      <c r="AO45" t="s">
        <v>66</v>
      </c>
      <c r="AP45">
        <v>1</v>
      </c>
      <c r="AQ45" t="s">
        <v>66</v>
      </c>
      <c r="AR45" t="s">
        <v>66</v>
      </c>
      <c r="AS45" t="s">
        <v>66</v>
      </c>
      <c r="AT45" t="s">
        <v>66</v>
      </c>
      <c r="AV45">
        <v>45</v>
      </c>
    </row>
    <row r="46" spans="1:48" x14ac:dyDescent="0.15">
      <c r="A46" t="s">
        <v>338</v>
      </c>
      <c r="B46" t="s">
        <v>47</v>
      </c>
      <c r="C46" t="s">
        <v>48</v>
      </c>
      <c r="D46">
        <v>43</v>
      </c>
      <c r="E46" t="s">
        <v>49</v>
      </c>
      <c r="F46" t="s">
        <v>50</v>
      </c>
      <c r="G46" t="s">
        <v>51</v>
      </c>
      <c r="H46" t="s">
        <v>52</v>
      </c>
      <c r="I46" t="s">
        <v>53</v>
      </c>
      <c r="J46" t="s">
        <v>54</v>
      </c>
      <c r="K46" t="s">
        <v>55</v>
      </c>
      <c r="L46" t="s">
        <v>17</v>
      </c>
      <c r="M46" t="s">
        <v>16</v>
      </c>
      <c r="N46">
        <v>2857</v>
      </c>
      <c r="O46">
        <v>166</v>
      </c>
      <c r="P46">
        <v>0</v>
      </c>
      <c r="Q46" t="s">
        <v>339</v>
      </c>
      <c r="R46" t="s">
        <v>340</v>
      </c>
      <c r="S46" t="s">
        <v>341</v>
      </c>
      <c r="T46" t="s">
        <v>342</v>
      </c>
      <c r="U46" t="s">
        <v>60</v>
      </c>
      <c r="V46" t="s">
        <v>61</v>
      </c>
      <c r="W46">
        <v>3</v>
      </c>
      <c r="X46">
        <v>0.14000000000000001</v>
      </c>
      <c r="Y46" t="s">
        <v>204</v>
      </c>
      <c r="Z46" t="s">
        <v>343</v>
      </c>
      <c r="AA46">
        <v>2</v>
      </c>
      <c r="AB46" t="s">
        <v>63</v>
      </c>
      <c r="AC46" t="s">
        <v>64</v>
      </c>
      <c r="AD46" t="s">
        <v>65</v>
      </c>
      <c r="AE46" t="s">
        <v>65</v>
      </c>
      <c r="AF46" t="s">
        <v>65</v>
      </c>
      <c r="AG46" t="s">
        <v>191</v>
      </c>
      <c r="AH46" t="s">
        <v>322</v>
      </c>
      <c r="AI46" t="s">
        <v>66</v>
      </c>
      <c r="AJ46" t="s">
        <v>66</v>
      </c>
      <c r="AK46">
        <v>1</v>
      </c>
      <c r="AL46" t="s">
        <v>323</v>
      </c>
      <c r="AM46" t="s">
        <v>66</v>
      </c>
      <c r="AN46" t="s">
        <v>324</v>
      </c>
      <c r="AO46" t="s">
        <v>66</v>
      </c>
      <c r="AP46">
        <v>1</v>
      </c>
      <c r="AQ46" t="s">
        <v>66</v>
      </c>
      <c r="AR46" t="s">
        <v>66</v>
      </c>
      <c r="AS46" t="s">
        <v>66</v>
      </c>
      <c r="AT46" t="s">
        <v>66</v>
      </c>
      <c r="AV46">
        <v>46</v>
      </c>
    </row>
    <row r="47" spans="1:48" x14ac:dyDescent="0.15">
      <c r="A47" t="s">
        <v>344</v>
      </c>
      <c r="B47" t="s">
        <v>47</v>
      </c>
      <c r="C47" t="s">
        <v>48</v>
      </c>
      <c r="D47">
        <v>44</v>
      </c>
      <c r="E47" t="s">
        <v>49</v>
      </c>
      <c r="F47" t="s">
        <v>50</v>
      </c>
      <c r="G47" t="s">
        <v>51</v>
      </c>
      <c r="H47" t="s">
        <v>52</v>
      </c>
      <c r="I47" t="s">
        <v>53</v>
      </c>
      <c r="J47" t="s">
        <v>54</v>
      </c>
      <c r="K47" t="s">
        <v>55</v>
      </c>
      <c r="L47" t="s">
        <v>17</v>
      </c>
      <c r="M47" t="s">
        <v>16</v>
      </c>
      <c r="N47">
        <v>2913</v>
      </c>
      <c r="O47">
        <v>170</v>
      </c>
      <c r="P47">
        <v>0</v>
      </c>
      <c r="Q47" t="s">
        <v>345</v>
      </c>
      <c r="R47" t="s">
        <v>346</v>
      </c>
      <c r="S47" t="s">
        <v>347</v>
      </c>
      <c r="T47" t="s">
        <v>348</v>
      </c>
      <c r="U47" t="s">
        <v>60</v>
      </c>
      <c r="V47" t="s">
        <v>61</v>
      </c>
      <c r="W47">
        <v>3</v>
      </c>
      <c r="X47">
        <v>0.14000000000000001</v>
      </c>
      <c r="Y47" t="s">
        <v>349</v>
      </c>
      <c r="Z47" t="s">
        <v>350</v>
      </c>
      <c r="AA47">
        <v>2</v>
      </c>
      <c r="AB47" t="s">
        <v>63</v>
      </c>
      <c r="AC47" t="s">
        <v>64</v>
      </c>
      <c r="AD47" t="s">
        <v>65</v>
      </c>
      <c r="AE47" t="s">
        <v>65</v>
      </c>
      <c r="AF47" t="s">
        <v>65</v>
      </c>
      <c r="AG47" t="s">
        <v>191</v>
      </c>
      <c r="AH47" t="s">
        <v>322</v>
      </c>
      <c r="AI47" t="s">
        <v>66</v>
      </c>
      <c r="AJ47" t="s">
        <v>66</v>
      </c>
      <c r="AK47">
        <v>1</v>
      </c>
      <c r="AL47" t="s">
        <v>323</v>
      </c>
      <c r="AM47" t="s">
        <v>66</v>
      </c>
      <c r="AN47" t="s">
        <v>324</v>
      </c>
      <c r="AO47" t="s">
        <v>66</v>
      </c>
      <c r="AP47">
        <v>1</v>
      </c>
      <c r="AQ47" t="s">
        <v>66</v>
      </c>
      <c r="AR47" t="s">
        <v>66</v>
      </c>
      <c r="AS47" t="s">
        <v>66</v>
      </c>
      <c r="AT47" t="s">
        <v>66</v>
      </c>
      <c r="AV47">
        <v>47</v>
      </c>
    </row>
    <row r="48" spans="1:48" x14ac:dyDescent="0.15">
      <c r="A48" t="s">
        <v>351</v>
      </c>
      <c r="B48" t="s">
        <v>47</v>
      </c>
      <c r="C48" t="s">
        <v>48</v>
      </c>
      <c r="D48">
        <v>45</v>
      </c>
      <c r="E48" t="s">
        <v>49</v>
      </c>
      <c r="F48" t="s">
        <v>50</v>
      </c>
      <c r="G48" t="s">
        <v>51</v>
      </c>
      <c r="H48" t="s">
        <v>52</v>
      </c>
      <c r="I48" t="s">
        <v>53</v>
      </c>
      <c r="J48" t="s">
        <v>54</v>
      </c>
      <c r="K48" t="s">
        <v>55</v>
      </c>
      <c r="L48" t="s">
        <v>17</v>
      </c>
      <c r="M48" t="s">
        <v>16</v>
      </c>
      <c r="N48">
        <v>2969</v>
      </c>
      <c r="O48">
        <v>173</v>
      </c>
      <c r="P48">
        <v>0</v>
      </c>
      <c r="Q48" t="s">
        <v>352</v>
      </c>
      <c r="R48" t="s">
        <v>353</v>
      </c>
      <c r="S48" t="s">
        <v>354</v>
      </c>
      <c r="T48" t="s">
        <v>355</v>
      </c>
      <c r="U48" t="s">
        <v>60</v>
      </c>
      <c r="V48" t="s">
        <v>61</v>
      </c>
      <c r="W48">
        <v>3</v>
      </c>
      <c r="X48">
        <v>0.14000000000000001</v>
      </c>
      <c r="Y48" t="s">
        <v>210</v>
      </c>
      <c r="Z48" t="s">
        <v>356</v>
      </c>
      <c r="AA48">
        <v>2</v>
      </c>
      <c r="AB48" t="s">
        <v>63</v>
      </c>
      <c r="AC48" t="s">
        <v>64</v>
      </c>
      <c r="AD48" t="s">
        <v>65</v>
      </c>
      <c r="AE48" t="s">
        <v>65</v>
      </c>
      <c r="AF48" t="s">
        <v>65</v>
      </c>
      <c r="AG48" t="s">
        <v>191</v>
      </c>
      <c r="AH48" t="s">
        <v>322</v>
      </c>
      <c r="AI48" t="s">
        <v>66</v>
      </c>
      <c r="AJ48" t="s">
        <v>66</v>
      </c>
      <c r="AK48">
        <v>1</v>
      </c>
      <c r="AL48" t="s">
        <v>323</v>
      </c>
      <c r="AM48" t="s">
        <v>66</v>
      </c>
      <c r="AN48" t="s">
        <v>324</v>
      </c>
      <c r="AO48" t="s">
        <v>66</v>
      </c>
      <c r="AP48">
        <v>1</v>
      </c>
      <c r="AQ48" t="s">
        <v>66</v>
      </c>
      <c r="AR48" t="s">
        <v>66</v>
      </c>
      <c r="AS48" t="s">
        <v>66</v>
      </c>
      <c r="AT48" t="s">
        <v>66</v>
      </c>
      <c r="AV48">
        <v>48</v>
      </c>
    </row>
    <row r="49" spans="1:48" x14ac:dyDescent="0.15">
      <c r="A49" t="s">
        <v>357</v>
      </c>
      <c r="B49" t="s">
        <v>47</v>
      </c>
      <c r="C49" t="s">
        <v>48</v>
      </c>
      <c r="D49">
        <v>46</v>
      </c>
      <c r="E49" t="s">
        <v>49</v>
      </c>
      <c r="F49" t="s">
        <v>50</v>
      </c>
      <c r="G49" t="s">
        <v>51</v>
      </c>
      <c r="H49" t="s">
        <v>52</v>
      </c>
      <c r="I49" t="s">
        <v>53</v>
      </c>
      <c r="J49" t="s">
        <v>54</v>
      </c>
      <c r="K49" t="s">
        <v>55</v>
      </c>
      <c r="L49" t="s">
        <v>17</v>
      </c>
      <c r="M49" t="s">
        <v>16</v>
      </c>
      <c r="N49">
        <v>3026</v>
      </c>
      <c r="O49">
        <v>176</v>
      </c>
      <c r="P49">
        <v>0</v>
      </c>
      <c r="Q49" t="s">
        <v>358</v>
      </c>
      <c r="R49" t="s">
        <v>359</v>
      </c>
      <c r="S49" t="s">
        <v>360</v>
      </c>
      <c r="T49" t="s">
        <v>361</v>
      </c>
      <c r="U49" t="s">
        <v>60</v>
      </c>
      <c r="V49" t="s">
        <v>61</v>
      </c>
      <c r="W49">
        <v>3</v>
      </c>
      <c r="X49">
        <v>0.14000000000000001</v>
      </c>
      <c r="Y49" t="s">
        <v>362</v>
      </c>
      <c r="Z49" t="s">
        <v>363</v>
      </c>
      <c r="AA49">
        <v>2</v>
      </c>
      <c r="AB49" t="s">
        <v>63</v>
      </c>
      <c r="AC49" t="s">
        <v>64</v>
      </c>
      <c r="AD49" t="s">
        <v>65</v>
      </c>
      <c r="AE49" t="s">
        <v>65</v>
      </c>
      <c r="AF49" t="s">
        <v>65</v>
      </c>
      <c r="AG49" t="s">
        <v>191</v>
      </c>
      <c r="AH49" t="s">
        <v>322</v>
      </c>
      <c r="AI49" t="s">
        <v>66</v>
      </c>
      <c r="AJ49" t="s">
        <v>66</v>
      </c>
      <c r="AK49">
        <v>1</v>
      </c>
      <c r="AL49" t="s">
        <v>323</v>
      </c>
      <c r="AM49" t="s">
        <v>66</v>
      </c>
      <c r="AN49" t="s">
        <v>324</v>
      </c>
      <c r="AO49" t="s">
        <v>66</v>
      </c>
      <c r="AP49">
        <v>1</v>
      </c>
      <c r="AQ49" t="s">
        <v>66</v>
      </c>
      <c r="AR49" t="s">
        <v>66</v>
      </c>
      <c r="AS49" t="s">
        <v>66</v>
      </c>
      <c r="AT49" t="s">
        <v>66</v>
      </c>
      <c r="AV49">
        <v>49</v>
      </c>
    </row>
    <row r="50" spans="1:48" x14ac:dyDescent="0.15">
      <c r="A50" t="s">
        <v>364</v>
      </c>
      <c r="B50" t="s">
        <v>47</v>
      </c>
      <c r="C50" t="s">
        <v>48</v>
      </c>
      <c r="D50">
        <v>47</v>
      </c>
      <c r="E50" t="s">
        <v>49</v>
      </c>
      <c r="F50" t="s">
        <v>50</v>
      </c>
      <c r="G50" t="s">
        <v>51</v>
      </c>
      <c r="H50" t="s">
        <v>52</v>
      </c>
      <c r="I50" t="s">
        <v>53</v>
      </c>
      <c r="J50" t="s">
        <v>54</v>
      </c>
      <c r="K50" t="s">
        <v>55</v>
      </c>
      <c r="L50" t="s">
        <v>17</v>
      </c>
      <c r="M50" t="s">
        <v>16</v>
      </c>
      <c r="N50">
        <v>3082</v>
      </c>
      <c r="O50">
        <v>179</v>
      </c>
      <c r="P50">
        <v>0</v>
      </c>
      <c r="Q50" t="s">
        <v>365</v>
      </c>
      <c r="R50" t="s">
        <v>366</v>
      </c>
      <c r="S50" t="s">
        <v>367</v>
      </c>
      <c r="T50" t="s">
        <v>368</v>
      </c>
      <c r="U50" t="s">
        <v>60</v>
      </c>
      <c r="V50" t="s">
        <v>61</v>
      </c>
      <c r="W50">
        <v>3</v>
      </c>
      <c r="X50">
        <v>0.14000000000000001</v>
      </c>
      <c r="Y50" t="s">
        <v>217</v>
      </c>
      <c r="Z50" t="s">
        <v>369</v>
      </c>
      <c r="AA50">
        <v>2</v>
      </c>
      <c r="AB50" t="s">
        <v>63</v>
      </c>
      <c r="AC50" t="s">
        <v>64</v>
      </c>
      <c r="AD50" t="s">
        <v>65</v>
      </c>
      <c r="AE50" t="s">
        <v>65</v>
      </c>
      <c r="AF50" t="s">
        <v>65</v>
      </c>
      <c r="AG50" t="s">
        <v>191</v>
      </c>
      <c r="AH50" t="s">
        <v>322</v>
      </c>
      <c r="AI50" t="s">
        <v>66</v>
      </c>
      <c r="AJ50" t="s">
        <v>66</v>
      </c>
      <c r="AK50">
        <v>1</v>
      </c>
      <c r="AL50" t="s">
        <v>323</v>
      </c>
      <c r="AM50" t="s">
        <v>66</v>
      </c>
      <c r="AN50" t="s">
        <v>324</v>
      </c>
      <c r="AO50" t="s">
        <v>66</v>
      </c>
      <c r="AP50">
        <v>1</v>
      </c>
      <c r="AQ50" t="s">
        <v>66</v>
      </c>
      <c r="AR50" t="s">
        <v>66</v>
      </c>
      <c r="AS50" t="s">
        <v>66</v>
      </c>
      <c r="AT50" t="s">
        <v>66</v>
      </c>
      <c r="AV50">
        <v>50</v>
      </c>
    </row>
    <row r="51" spans="1:48" x14ac:dyDescent="0.15">
      <c r="A51" t="s">
        <v>370</v>
      </c>
      <c r="B51" t="s">
        <v>47</v>
      </c>
      <c r="C51" t="s">
        <v>48</v>
      </c>
      <c r="D51">
        <v>48</v>
      </c>
      <c r="E51" t="s">
        <v>49</v>
      </c>
      <c r="F51" t="s">
        <v>50</v>
      </c>
      <c r="G51" t="s">
        <v>51</v>
      </c>
      <c r="H51" t="s">
        <v>52</v>
      </c>
      <c r="I51" t="s">
        <v>53</v>
      </c>
      <c r="J51" t="s">
        <v>54</v>
      </c>
      <c r="K51" t="s">
        <v>55</v>
      </c>
      <c r="L51" t="s">
        <v>17</v>
      </c>
      <c r="M51" t="s">
        <v>16</v>
      </c>
      <c r="N51">
        <v>3138</v>
      </c>
      <c r="O51">
        <v>183</v>
      </c>
      <c r="P51">
        <v>0</v>
      </c>
      <c r="Q51" t="s">
        <v>371</v>
      </c>
      <c r="R51" t="s">
        <v>372</v>
      </c>
      <c r="S51" t="s">
        <v>373</v>
      </c>
      <c r="T51" t="s">
        <v>374</v>
      </c>
      <c r="U51" t="s">
        <v>60</v>
      </c>
      <c r="V51" t="s">
        <v>61</v>
      </c>
      <c r="W51">
        <v>3</v>
      </c>
      <c r="X51">
        <v>0.14000000000000001</v>
      </c>
      <c r="Y51" t="s">
        <v>375</v>
      </c>
      <c r="Z51" t="s">
        <v>376</v>
      </c>
      <c r="AA51">
        <v>2</v>
      </c>
      <c r="AB51" t="s">
        <v>63</v>
      </c>
      <c r="AC51" t="s">
        <v>64</v>
      </c>
      <c r="AD51" t="s">
        <v>65</v>
      </c>
      <c r="AE51" t="s">
        <v>65</v>
      </c>
      <c r="AF51" t="s">
        <v>65</v>
      </c>
      <c r="AG51" t="s">
        <v>191</v>
      </c>
      <c r="AH51" t="s">
        <v>322</v>
      </c>
      <c r="AI51" t="s">
        <v>66</v>
      </c>
      <c r="AJ51" t="s">
        <v>66</v>
      </c>
      <c r="AK51">
        <v>1</v>
      </c>
      <c r="AL51" t="s">
        <v>323</v>
      </c>
      <c r="AM51" t="s">
        <v>66</v>
      </c>
      <c r="AN51" t="s">
        <v>324</v>
      </c>
      <c r="AO51" t="s">
        <v>66</v>
      </c>
      <c r="AP51">
        <v>1</v>
      </c>
      <c r="AQ51" t="s">
        <v>66</v>
      </c>
      <c r="AR51" t="s">
        <v>66</v>
      </c>
      <c r="AS51" t="s">
        <v>66</v>
      </c>
      <c r="AT51" t="s">
        <v>66</v>
      </c>
      <c r="AV51">
        <v>51</v>
      </c>
    </row>
    <row r="52" spans="1:48" x14ac:dyDescent="0.15">
      <c r="A52" t="s">
        <v>377</v>
      </c>
      <c r="B52" t="s">
        <v>47</v>
      </c>
      <c r="C52" t="s">
        <v>48</v>
      </c>
      <c r="D52">
        <v>49</v>
      </c>
      <c r="E52" t="s">
        <v>49</v>
      </c>
      <c r="F52" t="s">
        <v>50</v>
      </c>
      <c r="G52" t="s">
        <v>51</v>
      </c>
      <c r="H52" t="s">
        <v>52</v>
      </c>
      <c r="I52" t="s">
        <v>53</v>
      </c>
      <c r="J52" t="s">
        <v>54</v>
      </c>
      <c r="K52" t="s">
        <v>55</v>
      </c>
      <c r="L52" t="s">
        <v>17</v>
      </c>
      <c r="M52" t="s">
        <v>16</v>
      </c>
      <c r="N52">
        <v>3194</v>
      </c>
      <c r="O52">
        <v>186</v>
      </c>
      <c r="P52">
        <v>0</v>
      </c>
      <c r="Q52" t="s">
        <v>378</v>
      </c>
      <c r="R52" t="s">
        <v>379</v>
      </c>
      <c r="S52" t="s">
        <v>380</v>
      </c>
      <c r="T52" t="s">
        <v>381</v>
      </c>
      <c r="U52" t="s">
        <v>60</v>
      </c>
      <c r="V52" t="s">
        <v>61</v>
      </c>
      <c r="W52">
        <v>3</v>
      </c>
      <c r="X52">
        <v>0.14000000000000001</v>
      </c>
      <c r="Y52" t="s">
        <v>223</v>
      </c>
      <c r="Z52" t="s">
        <v>382</v>
      </c>
      <c r="AA52">
        <v>2</v>
      </c>
      <c r="AB52" t="s">
        <v>63</v>
      </c>
      <c r="AC52" t="s">
        <v>64</v>
      </c>
      <c r="AD52" t="s">
        <v>65</v>
      </c>
      <c r="AE52" t="s">
        <v>65</v>
      </c>
      <c r="AF52" t="s">
        <v>65</v>
      </c>
      <c r="AG52" t="s">
        <v>191</v>
      </c>
      <c r="AH52" t="s">
        <v>322</v>
      </c>
      <c r="AI52" t="s">
        <v>66</v>
      </c>
      <c r="AJ52" t="s">
        <v>66</v>
      </c>
      <c r="AK52">
        <v>1</v>
      </c>
      <c r="AL52" t="s">
        <v>323</v>
      </c>
      <c r="AM52" t="s">
        <v>66</v>
      </c>
      <c r="AN52" t="s">
        <v>324</v>
      </c>
      <c r="AO52" t="s">
        <v>66</v>
      </c>
      <c r="AP52">
        <v>1</v>
      </c>
      <c r="AQ52" t="s">
        <v>66</v>
      </c>
      <c r="AR52" t="s">
        <v>66</v>
      </c>
      <c r="AS52" t="s">
        <v>66</v>
      </c>
      <c r="AT52" t="s">
        <v>66</v>
      </c>
      <c r="AV52">
        <v>52</v>
      </c>
    </row>
    <row r="53" spans="1:48" x14ac:dyDescent="0.15">
      <c r="A53" t="s">
        <v>383</v>
      </c>
      <c r="B53" t="s">
        <v>47</v>
      </c>
      <c r="C53" t="s">
        <v>48</v>
      </c>
      <c r="D53">
        <v>50</v>
      </c>
      <c r="E53" t="s">
        <v>49</v>
      </c>
      <c r="F53" t="s">
        <v>50</v>
      </c>
      <c r="G53" t="s">
        <v>51</v>
      </c>
      <c r="H53" t="s">
        <v>52</v>
      </c>
      <c r="I53" t="s">
        <v>53</v>
      </c>
      <c r="J53" t="s">
        <v>54</v>
      </c>
      <c r="K53" t="s">
        <v>55</v>
      </c>
      <c r="L53" t="s">
        <v>17</v>
      </c>
      <c r="M53" t="s">
        <v>16</v>
      </c>
      <c r="N53">
        <v>3250</v>
      </c>
      <c r="O53">
        <v>189</v>
      </c>
      <c r="P53">
        <v>0</v>
      </c>
      <c r="Q53" t="s">
        <v>384</v>
      </c>
      <c r="R53" t="s">
        <v>385</v>
      </c>
      <c r="S53" t="s">
        <v>386</v>
      </c>
      <c r="T53" t="s">
        <v>387</v>
      </c>
      <c r="U53" t="s">
        <v>60</v>
      </c>
      <c r="V53" t="s">
        <v>61</v>
      </c>
      <c r="W53">
        <v>3</v>
      </c>
      <c r="X53">
        <v>0.14000000000000001</v>
      </c>
      <c r="Y53" t="s">
        <v>388</v>
      </c>
      <c r="Z53" t="s">
        <v>389</v>
      </c>
      <c r="AA53">
        <v>2</v>
      </c>
      <c r="AB53" t="s">
        <v>63</v>
      </c>
      <c r="AC53" t="s">
        <v>64</v>
      </c>
      <c r="AD53" t="s">
        <v>65</v>
      </c>
      <c r="AE53" t="s">
        <v>65</v>
      </c>
      <c r="AF53" t="s">
        <v>65</v>
      </c>
      <c r="AG53" t="s">
        <v>191</v>
      </c>
      <c r="AH53" t="s">
        <v>322</v>
      </c>
      <c r="AI53" t="s">
        <v>66</v>
      </c>
      <c r="AJ53" t="s">
        <v>66</v>
      </c>
      <c r="AK53">
        <v>1</v>
      </c>
      <c r="AL53" t="s">
        <v>323</v>
      </c>
      <c r="AM53" t="s">
        <v>66</v>
      </c>
      <c r="AN53" t="s">
        <v>324</v>
      </c>
      <c r="AO53" t="s">
        <v>66</v>
      </c>
      <c r="AP53">
        <v>1</v>
      </c>
      <c r="AQ53" t="s">
        <v>66</v>
      </c>
      <c r="AR53" t="s">
        <v>66</v>
      </c>
      <c r="AS53" t="s">
        <v>66</v>
      </c>
      <c r="AT53" t="s">
        <v>66</v>
      </c>
      <c r="AV53">
        <v>53</v>
      </c>
    </row>
    <row r="54" spans="1:48" x14ac:dyDescent="0.15">
      <c r="A54" t="s">
        <v>390</v>
      </c>
      <c r="B54" t="s">
        <v>47</v>
      </c>
      <c r="C54" t="s">
        <v>48</v>
      </c>
      <c r="D54">
        <v>51</v>
      </c>
      <c r="E54" t="s">
        <v>49</v>
      </c>
      <c r="F54" t="s">
        <v>50</v>
      </c>
      <c r="G54" t="s">
        <v>51</v>
      </c>
      <c r="H54" t="s">
        <v>52</v>
      </c>
      <c r="I54" t="s">
        <v>53</v>
      </c>
      <c r="J54" t="s">
        <v>54</v>
      </c>
      <c r="K54" t="s">
        <v>55</v>
      </c>
      <c r="L54" t="s">
        <v>17</v>
      </c>
      <c r="M54" t="s">
        <v>16</v>
      </c>
      <c r="N54">
        <v>3306</v>
      </c>
      <c r="O54">
        <v>192</v>
      </c>
      <c r="P54">
        <v>0</v>
      </c>
      <c r="Q54" t="s">
        <v>391</v>
      </c>
      <c r="R54" t="s">
        <v>392</v>
      </c>
      <c r="S54" t="s">
        <v>393</v>
      </c>
      <c r="T54" t="s">
        <v>394</v>
      </c>
      <c r="U54" t="s">
        <v>60</v>
      </c>
      <c r="V54" t="s">
        <v>61</v>
      </c>
      <c r="W54">
        <v>3</v>
      </c>
      <c r="X54">
        <v>0.14000000000000001</v>
      </c>
      <c r="Y54" t="s">
        <v>230</v>
      </c>
      <c r="Z54" t="s">
        <v>395</v>
      </c>
      <c r="AA54">
        <v>2</v>
      </c>
      <c r="AB54" t="s">
        <v>63</v>
      </c>
      <c r="AC54" t="s">
        <v>64</v>
      </c>
      <c r="AD54" t="s">
        <v>65</v>
      </c>
      <c r="AE54" t="s">
        <v>65</v>
      </c>
      <c r="AF54" t="s">
        <v>65</v>
      </c>
      <c r="AG54" t="s">
        <v>191</v>
      </c>
      <c r="AH54" t="s">
        <v>322</v>
      </c>
      <c r="AI54" t="s">
        <v>66</v>
      </c>
      <c r="AJ54" t="s">
        <v>66</v>
      </c>
      <c r="AK54">
        <v>1</v>
      </c>
      <c r="AL54" t="s">
        <v>323</v>
      </c>
      <c r="AM54" t="s">
        <v>66</v>
      </c>
      <c r="AN54" t="s">
        <v>324</v>
      </c>
      <c r="AO54" t="s">
        <v>66</v>
      </c>
      <c r="AP54">
        <v>1</v>
      </c>
      <c r="AQ54" t="s">
        <v>66</v>
      </c>
      <c r="AR54" t="s">
        <v>66</v>
      </c>
      <c r="AS54" t="s">
        <v>66</v>
      </c>
      <c r="AT54" t="s">
        <v>66</v>
      </c>
      <c r="AV54">
        <v>54</v>
      </c>
    </row>
    <row r="55" spans="1:48" x14ac:dyDescent="0.15">
      <c r="A55" t="s">
        <v>396</v>
      </c>
      <c r="B55" t="s">
        <v>47</v>
      </c>
      <c r="C55" t="s">
        <v>48</v>
      </c>
      <c r="D55">
        <v>52</v>
      </c>
      <c r="E55" t="s">
        <v>49</v>
      </c>
      <c r="F55" t="s">
        <v>50</v>
      </c>
      <c r="G55" t="s">
        <v>51</v>
      </c>
      <c r="H55" t="s">
        <v>52</v>
      </c>
      <c r="I55" t="s">
        <v>53</v>
      </c>
      <c r="J55" t="s">
        <v>54</v>
      </c>
      <c r="K55" t="s">
        <v>55</v>
      </c>
      <c r="L55" t="s">
        <v>17</v>
      </c>
      <c r="M55" t="s">
        <v>16</v>
      </c>
      <c r="N55">
        <v>3362</v>
      </c>
      <c r="O55">
        <v>196</v>
      </c>
      <c r="P55">
        <v>0</v>
      </c>
      <c r="Q55" t="s">
        <v>397</v>
      </c>
      <c r="R55" t="s">
        <v>398</v>
      </c>
      <c r="S55" t="s">
        <v>399</v>
      </c>
      <c r="T55" t="s">
        <v>400</v>
      </c>
      <c r="U55" t="s">
        <v>60</v>
      </c>
      <c r="V55" t="s">
        <v>61</v>
      </c>
      <c r="W55">
        <v>3</v>
      </c>
      <c r="X55">
        <v>0.14000000000000001</v>
      </c>
      <c r="Y55" t="s">
        <v>401</v>
      </c>
      <c r="Z55" t="s">
        <v>402</v>
      </c>
      <c r="AA55">
        <v>2</v>
      </c>
      <c r="AB55" t="s">
        <v>63</v>
      </c>
      <c r="AC55" t="s">
        <v>64</v>
      </c>
      <c r="AD55" t="s">
        <v>65</v>
      </c>
      <c r="AE55" t="s">
        <v>65</v>
      </c>
      <c r="AF55" t="s">
        <v>65</v>
      </c>
      <c r="AG55" t="s">
        <v>191</v>
      </c>
      <c r="AH55" t="s">
        <v>322</v>
      </c>
      <c r="AI55" t="s">
        <v>66</v>
      </c>
      <c r="AJ55" t="s">
        <v>66</v>
      </c>
      <c r="AK55">
        <v>1</v>
      </c>
      <c r="AL55" t="s">
        <v>323</v>
      </c>
      <c r="AM55" t="s">
        <v>66</v>
      </c>
      <c r="AN55" t="s">
        <v>324</v>
      </c>
      <c r="AO55" t="s">
        <v>66</v>
      </c>
      <c r="AP55">
        <v>1</v>
      </c>
      <c r="AQ55" t="s">
        <v>66</v>
      </c>
      <c r="AR55" t="s">
        <v>66</v>
      </c>
      <c r="AS55" t="s">
        <v>66</v>
      </c>
      <c r="AT55" t="s">
        <v>66</v>
      </c>
      <c r="AV55">
        <v>55</v>
      </c>
    </row>
    <row r="56" spans="1:48" x14ac:dyDescent="0.15">
      <c r="A56" t="s">
        <v>403</v>
      </c>
      <c r="B56" t="s">
        <v>47</v>
      </c>
      <c r="C56" t="s">
        <v>48</v>
      </c>
      <c r="D56">
        <v>53</v>
      </c>
      <c r="E56" t="s">
        <v>49</v>
      </c>
      <c r="F56" t="s">
        <v>50</v>
      </c>
      <c r="G56" t="s">
        <v>51</v>
      </c>
      <c r="H56" t="s">
        <v>52</v>
      </c>
      <c r="I56" t="s">
        <v>53</v>
      </c>
      <c r="J56" t="s">
        <v>54</v>
      </c>
      <c r="K56" t="s">
        <v>55</v>
      </c>
      <c r="L56" t="s">
        <v>17</v>
      </c>
      <c r="M56" t="s">
        <v>16</v>
      </c>
      <c r="N56">
        <v>3418</v>
      </c>
      <c r="O56">
        <v>199</v>
      </c>
      <c r="P56">
        <v>0</v>
      </c>
      <c r="Q56" t="s">
        <v>404</v>
      </c>
      <c r="R56" t="s">
        <v>405</v>
      </c>
      <c r="S56" t="s">
        <v>406</v>
      </c>
      <c r="T56" t="s">
        <v>407</v>
      </c>
      <c r="U56" t="s">
        <v>60</v>
      </c>
      <c r="V56" t="s">
        <v>61</v>
      </c>
      <c r="W56">
        <v>3</v>
      </c>
      <c r="X56">
        <v>0.14000000000000001</v>
      </c>
      <c r="Y56" t="s">
        <v>236</v>
      </c>
      <c r="Z56" t="s">
        <v>408</v>
      </c>
      <c r="AA56">
        <v>2</v>
      </c>
      <c r="AB56" t="s">
        <v>63</v>
      </c>
      <c r="AC56" t="s">
        <v>64</v>
      </c>
      <c r="AD56" t="s">
        <v>65</v>
      </c>
      <c r="AE56" t="s">
        <v>65</v>
      </c>
      <c r="AF56" t="s">
        <v>65</v>
      </c>
      <c r="AG56" t="s">
        <v>191</v>
      </c>
      <c r="AH56" t="s">
        <v>322</v>
      </c>
      <c r="AI56" t="s">
        <v>66</v>
      </c>
      <c r="AJ56" t="s">
        <v>66</v>
      </c>
      <c r="AK56">
        <v>1</v>
      </c>
      <c r="AL56" t="s">
        <v>323</v>
      </c>
      <c r="AM56" t="s">
        <v>66</v>
      </c>
      <c r="AN56" t="s">
        <v>324</v>
      </c>
      <c r="AO56" t="s">
        <v>66</v>
      </c>
      <c r="AP56">
        <v>1</v>
      </c>
      <c r="AQ56" t="s">
        <v>66</v>
      </c>
      <c r="AR56" t="s">
        <v>66</v>
      </c>
      <c r="AS56" t="s">
        <v>66</v>
      </c>
      <c r="AT56" t="s">
        <v>66</v>
      </c>
      <c r="AV56">
        <v>56</v>
      </c>
    </row>
    <row r="57" spans="1:48" x14ac:dyDescent="0.15">
      <c r="A57" t="s">
        <v>409</v>
      </c>
      <c r="B57" t="s">
        <v>47</v>
      </c>
      <c r="C57" t="s">
        <v>48</v>
      </c>
      <c r="D57">
        <v>54</v>
      </c>
      <c r="E57" t="s">
        <v>49</v>
      </c>
      <c r="F57" t="s">
        <v>50</v>
      </c>
      <c r="G57" t="s">
        <v>51</v>
      </c>
      <c r="H57" t="s">
        <v>52</v>
      </c>
      <c r="I57" t="s">
        <v>53</v>
      </c>
      <c r="J57" t="s">
        <v>54</v>
      </c>
      <c r="K57" t="s">
        <v>55</v>
      </c>
      <c r="L57" t="s">
        <v>17</v>
      </c>
      <c r="M57" t="s">
        <v>16</v>
      </c>
      <c r="N57">
        <v>3474</v>
      </c>
      <c r="O57">
        <v>202</v>
      </c>
      <c r="P57">
        <v>0</v>
      </c>
      <c r="Q57" t="s">
        <v>410</v>
      </c>
      <c r="R57" t="s">
        <v>411</v>
      </c>
      <c r="S57" t="s">
        <v>412</v>
      </c>
      <c r="T57" t="s">
        <v>413</v>
      </c>
      <c r="U57" t="s">
        <v>60</v>
      </c>
      <c r="V57" t="s">
        <v>61</v>
      </c>
      <c r="W57">
        <v>3</v>
      </c>
      <c r="X57">
        <v>0.14000000000000001</v>
      </c>
      <c r="Y57" t="s">
        <v>414</v>
      </c>
      <c r="Z57" t="s">
        <v>415</v>
      </c>
      <c r="AA57">
        <v>2</v>
      </c>
      <c r="AB57" t="s">
        <v>63</v>
      </c>
      <c r="AC57" t="s">
        <v>64</v>
      </c>
      <c r="AD57" t="s">
        <v>65</v>
      </c>
      <c r="AE57" t="s">
        <v>65</v>
      </c>
      <c r="AF57" t="s">
        <v>65</v>
      </c>
      <c r="AG57" t="s">
        <v>191</v>
      </c>
      <c r="AH57" t="s">
        <v>322</v>
      </c>
      <c r="AI57" t="s">
        <v>66</v>
      </c>
      <c r="AJ57" t="s">
        <v>66</v>
      </c>
      <c r="AK57">
        <v>1</v>
      </c>
      <c r="AL57" t="s">
        <v>323</v>
      </c>
      <c r="AM57" t="s">
        <v>66</v>
      </c>
      <c r="AN57" t="s">
        <v>324</v>
      </c>
      <c r="AO57" t="s">
        <v>66</v>
      </c>
      <c r="AP57">
        <v>1</v>
      </c>
      <c r="AQ57" t="s">
        <v>66</v>
      </c>
      <c r="AR57" t="s">
        <v>66</v>
      </c>
      <c r="AS57" t="s">
        <v>66</v>
      </c>
      <c r="AT57" t="s">
        <v>66</v>
      </c>
      <c r="AV57">
        <v>57</v>
      </c>
    </row>
    <row r="58" spans="1:48" x14ac:dyDescent="0.15">
      <c r="A58" t="s">
        <v>416</v>
      </c>
      <c r="B58" t="s">
        <v>47</v>
      </c>
      <c r="C58" t="s">
        <v>48</v>
      </c>
      <c r="D58">
        <v>55</v>
      </c>
      <c r="E58" t="s">
        <v>49</v>
      </c>
      <c r="F58" t="s">
        <v>50</v>
      </c>
      <c r="G58" t="s">
        <v>51</v>
      </c>
      <c r="H58" t="s">
        <v>52</v>
      </c>
      <c r="I58" t="s">
        <v>53</v>
      </c>
      <c r="J58" t="s">
        <v>54</v>
      </c>
      <c r="K58" t="s">
        <v>55</v>
      </c>
      <c r="L58" t="s">
        <v>17</v>
      </c>
      <c r="M58" t="s">
        <v>16</v>
      </c>
      <c r="N58">
        <v>3531</v>
      </c>
      <c r="O58">
        <v>205</v>
      </c>
      <c r="P58">
        <v>0</v>
      </c>
      <c r="Q58" t="s">
        <v>417</v>
      </c>
      <c r="R58" t="s">
        <v>418</v>
      </c>
      <c r="S58" t="s">
        <v>419</v>
      </c>
      <c r="T58" t="s">
        <v>420</v>
      </c>
      <c r="U58" t="s">
        <v>60</v>
      </c>
      <c r="V58" t="s">
        <v>61</v>
      </c>
      <c r="W58">
        <v>3</v>
      </c>
      <c r="X58">
        <v>0.14000000000000001</v>
      </c>
      <c r="Y58" t="s">
        <v>243</v>
      </c>
      <c r="Z58" t="s">
        <v>421</v>
      </c>
      <c r="AA58">
        <v>2</v>
      </c>
      <c r="AB58" t="s">
        <v>63</v>
      </c>
      <c r="AC58" t="s">
        <v>64</v>
      </c>
      <c r="AD58" t="s">
        <v>65</v>
      </c>
      <c r="AE58" t="s">
        <v>65</v>
      </c>
      <c r="AF58" t="s">
        <v>65</v>
      </c>
      <c r="AG58" t="s">
        <v>191</v>
      </c>
      <c r="AH58" t="s">
        <v>322</v>
      </c>
      <c r="AI58" t="s">
        <v>66</v>
      </c>
      <c r="AJ58" t="s">
        <v>66</v>
      </c>
      <c r="AK58">
        <v>1</v>
      </c>
      <c r="AL58" t="s">
        <v>323</v>
      </c>
      <c r="AM58" t="s">
        <v>66</v>
      </c>
      <c r="AN58" t="s">
        <v>324</v>
      </c>
      <c r="AO58" t="s">
        <v>66</v>
      </c>
      <c r="AP58">
        <v>1</v>
      </c>
      <c r="AQ58" t="s">
        <v>66</v>
      </c>
      <c r="AR58" t="s">
        <v>66</v>
      </c>
      <c r="AS58" t="s">
        <v>66</v>
      </c>
      <c r="AT58" t="s">
        <v>66</v>
      </c>
      <c r="AV58">
        <v>58</v>
      </c>
    </row>
    <row r="59" spans="1:48" x14ac:dyDescent="0.15">
      <c r="A59" t="s">
        <v>422</v>
      </c>
      <c r="B59" t="s">
        <v>47</v>
      </c>
      <c r="C59" t="s">
        <v>48</v>
      </c>
      <c r="D59">
        <v>56</v>
      </c>
      <c r="E59" t="s">
        <v>49</v>
      </c>
      <c r="F59" t="s">
        <v>50</v>
      </c>
      <c r="G59" t="s">
        <v>51</v>
      </c>
      <c r="H59" t="s">
        <v>52</v>
      </c>
      <c r="I59" t="s">
        <v>53</v>
      </c>
      <c r="J59" t="s">
        <v>54</v>
      </c>
      <c r="K59" t="s">
        <v>55</v>
      </c>
      <c r="L59" t="s">
        <v>17</v>
      </c>
      <c r="M59" t="s">
        <v>16</v>
      </c>
      <c r="N59">
        <v>3587</v>
      </c>
      <c r="O59">
        <v>209</v>
      </c>
      <c r="P59">
        <v>0</v>
      </c>
      <c r="Q59" t="s">
        <v>423</v>
      </c>
      <c r="R59" t="s">
        <v>424</v>
      </c>
      <c r="S59" t="s">
        <v>425</v>
      </c>
      <c r="T59" t="s">
        <v>426</v>
      </c>
      <c r="U59" t="s">
        <v>60</v>
      </c>
      <c r="V59" t="s">
        <v>61</v>
      </c>
      <c r="W59">
        <v>3</v>
      </c>
      <c r="X59">
        <v>0.14000000000000001</v>
      </c>
      <c r="Y59" t="s">
        <v>427</v>
      </c>
      <c r="Z59" t="s">
        <v>428</v>
      </c>
      <c r="AA59">
        <v>2</v>
      </c>
      <c r="AB59" t="s">
        <v>63</v>
      </c>
      <c r="AC59" t="s">
        <v>64</v>
      </c>
      <c r="AD59" t="s">
        <v>65</v>
      </c>
      <c r="AE59" t="s">
        <v>65</v>
      </c>
      <c r="AF59" t="s">
        <v>65</v>
      </c>
      <c r="AG59" t="s">
        <v>191</v>
      </c>
      <c r="AH59" t="s">
        <v>322</v>
      </c>
      <c r="AI59" t="s">
        <v>66</v>
      </c>
      <c r="AJ59" t="s">
        <v>66</v>
      </c>
      <c r="AK59">
        <v>1</v>
      </c>
      <c r="AL59" t="s">
        <v>323</v>
      </c>
      <c r="AM59" t="s">
        <v>66</v>
      </c>
      <c r="AN59" t="s">
        <v>324</v>
      </c>
      <c r="AO59" t="s">
        <v>66</v>
      </c>
      <c r="AP59">
        <v>1</v>
      </c>
      <c r="AQ59" t="s">
        <v>66</v>
      </c>
      <c r="AR59" t="s">
        <v>66</v>
      </c>
      <c r="AS59" t="s">
        <v>66</v>
      </c>
      <c r="AT59" t="s">
        <v>66</v>
      </c>
      <c r="AV59">
        <v>59</v>
      </c>
    </row>
    <row r="60" spans="1:48" x14ac:dyDescent="0.15">
      <c r="A60" t="s">
        <v>429</v>
      </c>
      <c r="B60" t="s">
        <v>47</v>
      </c>
      <c r="C60" t="s">
        <v>48</v>
      </c>
      <c r="D60">
        <v>57</v>
      </c>
      <c r="E60" t="s">
        <v>49</v>
      </c>
      <c r="F60" t="s">
        <v>50</v>
      </c>
      <c r="G60" t="s">
        <v>51</v>
      </c>
      <c r="H60" t="s">
        <v>52</v>
      </c>
      <c r="I60" t="s">
        <v>53</v>
      </c>
      <c r="J60" t="s">
        <v>54</v>
      </c>
      <c r="K60" t="s">
        <v>55</v>
      </c>
      <c r="L60" t="s">
        <v>17</v>
      </c>
      <c r="M60" t="s">
        <v>16</v>
      </c>
      <c r="N60">
        <v>3643</v>
      </c>
      <c r="O60">
        <v>212</v>
      </c>
      <c r="P60">
        <v>0</v>
      </c>
      <c r="Q60" t="s">
        <v>430</v>
      </c>
      <c r="R60" t="s">
        <v>431</v>
      </c>
      <c r="S60" t="s">
        <v>432</v>
      </c>
      <c r="T60" t="s">
        <v>433</v>
      </c>
      <c r="U60" t="s">
        <v>60</v>
      </c>
      <c r="V60" t="s">
        <v>61</v>
      </c>
      <c r="W60">
        <v>3</v>
      </c>
      <c r="X60">
        <v>0.14000000000000001</v>
      </c>
      <c r="Y60" t="s">
        <v>249</v>
      </c>
      <c r="Z60" t="s">
        <v>434</v>
      </c>
      <c r="AA60">
        <v>2</v>
      </c>
      <c r="AB60" t="s">
        <v>63</v>
      </c>
      <c r="AC60" t="s">
        <v>64</v>
      </c>
      <c r="AD60" t="s">
        <v>65</v>
      </c>
      <c r="AE60" t="s">
        <v>65</v>
      </c>
      <c r="AF60" t="s">
        <v>65</v>
      </c>
      <c r="AG60" t="s">
        <v>191</v>
      </c>
      <c r="AH60" t="s">
        <v>322</v>
      </c>
      <c r="AI60" t="s">
        <v>66</v>
      </c>
      <c r="AJ60" t="s">
        <v>66</v>
      </c>
      <c r="AK60">
        <v>1</v>
      </c>
      <c r="AL60" t="s">
        <v>323</v>
      </c>
      <c r="AM60" t="s">
        <v>66</v>
      </c>
      <c r="AN60" t="s">
        <v>324</v>
      </c>
      <c r="AO60" t="s">
        <v>66</v>
      </c>
      <c r="AP60">
        <v>1</v>
      </c>
      <c r="AQ60" t="s">
        <v>66</v>
      </c>
      <c r="AR60" t="s">
        <v>66</v>
      </c>
      <c r="AS60" t="s">
        <v>66</v>
      </c>
      <c r="AT60" t="s">
        <v>66</v>
      </c>
      <c r="AV60">
        <v>60</v>
      </c>
    </row>
    <row r="61" spans="1:48" x14ac:dyDescent="0.15">
      <c r="A61" t="s">
        <v>435</v>
      </c>
      <c r="B61" t="s">
        <v>47</v>
      </c>
      <c r="C61" t="s">
        <v>48</v>
      </c>
      <c r="D61">
        <v>58</v>
      </c>
      <c r="E61" t="s">
        <v>49</v>
      </c>
      <c r="F61" t="s">
        <v>50</v>
      </c>
      <c r="G61" t="s">
        <v>51</v>
      </c>
      <c r="H61" t="s">
        <v>52</v>
      </c>
      <c r="I61" t="s">
        <v>53</v>
      </c>
      <c r="J61" t="s">
        <v>54</v>
      </c>
      <c r="K61" t="s">
        <v>55</v>
      </c>
      <c r="L61" t="s">
        <v>17</v>
      </c>
      <c r="M61" t="s">
        <v>16</v>
      </c>
      <c r="N61">
        <v>3699</v>
      </c>
      <c r="O61">
        <v>215</v>
      </c>
      <c r="P61">
        <v>0</v>
      </c>
      <c r="Q61" t="s">
        <v>436</v>
      </c>
      <c r="R61" t="s">
        <v>437</v>
      </c>
      <c r="S61" t="s">
        <v>438</v>
      </c>
      <c r="T61" t="s">
        <v>439</v>
      </c>
      <c r="U61" t="s">
        <v>60</v>
      </c>
      <c r="V61" t="s">
        <v>61</v>
      </c>
      <c r="W61">
        <v>3</v>
      </c>
      <c r="X61">
        <v>0.14000000000000001</v>
      </c>
      <c r="Y61" t="s">
        <v>440</v>
      </c>
      <c r="Z61" t="s">
        <v>441</v>
      </c>
      <c r="AA61">
        <v>2</v>
      </c>
      <c r="AB61" t="s">
        <v>63</v>
      </c>
      <c r="AC61" t="s">
        <v>64</v>
      </c>
      <c r="AD61" t="s">
        <v>65</v>
      </c>
      <c r="AE61" t="s">
        <v>65</v>
      </c>
      <c r="AF61" t="s">
        <v>65</v>
      </c>
      <c r="AG61" t="s">
        <v>191</v>
      </c>
      <c r="AH61" t="s">
        <v>322</v>
      </c>
      <c r="AI61" t="s">
        <v>66</v>
      </c>
      <c r="AJ61" t="s">
        <v>66</v>
      </c>
      <c r="AK61">
        <v>1</v>
      </c>
      <c r="AL61" t="s">
        <v>323</v>
      </c>
      <c r="AM61" t="s">
        <v>66</v>
      </c>
      <c r="AN61" t="s">
        <v>324</v>
      </c>
      <c r="AO61" t="s">
        <v>66</v>
      </c>
      <c r="AP61">
        <v>1</v>
      </c>
      <c r="AQ61" t="s">
        <v>66</v>
      </c>
      <c r="AR61" t="s">
        <v>66</v>
      </c>
      <c r="AS61" t="s">
        <v>66</v>
      </c>
      <c r="AT61" t="s">
        <v>66</v>
      </c>
      <c r="AV61">
        <v>61</v>
      </c>
    </row>
    <row r="62" spans="1:48" x14ac:dyDescent="0.15">
      <c r="A62" t="s">
        <v>442</v>
      </c>
      <c r="B62" t="s">
        <v>47</v>
      </c>
      <c r="C62" t="s">
        <v>48</v>
      </c>
      <c r="D62">
        <v>59</v>
      </c>
      <c r="E62" t="s">
        <v>49</v>
      </c>
      <c r="F62" t="s">
        <v>50</v>
      </c>
      <c r="G62" t="s">
        <v>51</v>
      </c>
      <c r="H62" t="s">
        <v>52</v>
      </c>
      <c r="I62" t="s">
        <v>53</v>
      </c>
      <c r="J62" t="s">
        <v>54</v>
      </c>
      <c r="K62" t="s">
        <v>55</v>
      </c>
      <c r="L62" t="s">
        <v>17</v>
      </c>
      <c r="M62" t="s">
        <v>16</v>
      </c>
      <c r="N62">
        <v>3755</v>
      </c>
      <c r="O62">
        <v>218</v>
      </c>
      <c r="P62">
        <v>0</v>
      </c>
      <c r="Q62" t="s">
        <v>443</v>
      </c>
      <c r="R62" t="s">
        <v>444</v>
      </c>
      <c r="S62" t="s">
        <v>445</v>
      </c>
      <c r="T62" t="s">
        <v>446</v>
      </c>
      <c r="U62" t="s">
        <v>60</v>
      </c>
      <c r="V62" t="s">
        <v>61</v>
      </c>
      <c r="W62">
        <v>3</v>
      </c>
      <c r="X62">
        <v>0.14000000000000001</v>
      </c>
      <c r="Y62" t="s">
        <v>256</v>
      </c>
      <c r="Z62" t="s">
        <v>447</v>
      </c>
      <c r="AA62">
        <v>2</v>
      </c>
      <c r="AB62" t="s">
        <v>63</v>
      </c>
      <c r="AC62" t="s">
        <v>64</v>
      </c>
      <c r="AD62" t="s">
        <v>65</v>
      </c>
      <c r="AE62" t="s">
        <v>65</v>
      </c>
      <c r="AF62" t="s">
        <v>65</v>
      </c>
      <c r="AG62" t="s">
        <v>191</v>
      </c>
      <c r="AH62" t="s">
        <v>322</v>
      </c>
      <c r="AI62" t="s">
        <v>66</v>
      </c>
      <c r="AJ62" t="s">
        <v>66</v>
      </c>
      <c r="AK62">
        <v>1</v>
      </c>
      <c r="AL62" t="s">
        <v>323</v>
      </c>
      <c r="AM62" t="s">
        <v>66</v>
      </c>
      <c r="AN62" t="s">
        <v>324</v>
      </c>
      <c r="AO62" t="s">
        <v>66</v>
      </c>
      <c r="AP62">
        <v>1</v>
      </c>
      <c r="AQ62" t="s">
        <v>66</v>
      </c>
      <c r="AR62" t="s">
        <v>66</v>
      </c>
      <c r="AS62" t="s">
        <v>66</v>
      </c>
      <c r="AT62" t="s">
        <v>66</v>
      </c>
      <c r="AV62">
        <v>62</v>
      </c>
    </row>
    <row r="63" spans="1:48" x14ac:dyDescent="0.15">
      <c r="A63" t="s">
        <v>448</v>
      </c>
      <c r="B63" t="s">
        <v>47</v>
      </c>
      <c r="C63" t="s">
        <v>48</v>
      </c>
      <c r="D63">
        <v>60</v>
      </c>
      <c r="E63" t="s">
        <v>49</v>
      </c>
      <c r="F63" t="s">
        <v>50</v>
      </c>
      <c r="G63" t="s">
        <v>51</v>
      </c>
      <c r="H63" t="s">
        <v>52</v>
      </c>
      <c r="I63" t="s">
        <v>53</v>
      </c>
      <c r="J63" t="s">
        <v>54</v>
      </c>
      <c r="K63" t="s">
        <v>55</v>
      </c>
      <c r="L63" t="s">
        <v>17</v>
      </c>
      <c r="M63" t="s">
        <v>16</v>
      </c>
      <c r="N63">
        <v>3811</v>
      </c>
      <c r="O63">
        <v>222</v>
      </c>
      <c r="P63">
        <v>0</v>
      </c>
      <c r="Q63" t="s">
        <v>449</v>
      </c>
      <c r="R63" t="s">
        <v>450</v>
      </c>
      <c r="S63" t="s">
        <v>451</v>
      </c>
      <c r="T63" t="s">
        <v>452</v>
      </c>
      <c r="U63" t="s">
        <v>60</v>
      </c>
      <c r="V63" t="s">
        <v>61</v>
      </c>
      <c r="W63">
        <v>3</v>
      </c>
      <c r="X63">
        <v>0.14000000000000001</v>
      </c>
      <c r="Y63" t="s">
        <v>453</v>
      </c>
      <c r="Z63" t="s">
        <v>454</v>
      </c>
      <c r="AA63">
        <v>2</v>
      </c>
      <c r="AB63" t="s">
        <v>63</v>
      </c>
      <c r="AC63" t="s">
        <v>64</v>
      </c>
      <c r="AD63" t="s">
        <v>65</v>
      </c>
      <c r="AE63" t="s">
        <v>65</v>
      </c>
      <c r="AF63" t="s">
        <v>65</v>
      </c>
      <c r="AG63" t="s">
        <v>191</v>
      </c>
      <c r="AH63" t="s">
        <v>322</v>
      </c>
      <c r="AI63" t="s">
        <v>66</v>
      </c>
      <c r="AJ63" t="s">
        <v>66</v>
      </c>
      <c r="AK63">
        <v>1</v>
      </c>
      <c r="AL63" t="s">
        <v>323</v>
      </c>
      <c r="AM63" t="s">
        <v>66</v>
      </c>
      <c r="AN63" t="s">
        <v>324</v>
      </c>
      <c r="AO63" t="s">
        <v>66</v>
      </c>
      <c r="AP63">
        <v>1</v>
      </c>
      <c r="AQ63" t="s">
        <v>66</v>
      </c>
      <c r="AR63" t="s">
        <v>66</v>
      </c>
      <c r="AS63" t="s">
        <v>66</v>
      </c>
      <c r="AT63" t="s">
        <v>66</v>
      </c>
      <c r="AV63">
        <v>63</v>
      </c>
    </row>
    <row r="64" spans="1:48" x14ac:dyDescent="0.15">
      <c r="A64" t="s">
        <v>448</v>
      </c>
      <c r="B64" t="s">
        <v>47</v>
      </c>
      <c r="C64" t="s">
        <v>48</v>
      </c>
      <c r="D64">
        <v>60</v>
      </c>
      <c r="E64" t="s">
        <v>49</v>
      </c>
      <c r="F64" t="s">
        <v>50</v>
      </c>
      <c r="G64" t="s">
        <v>51</v>
      </c>
      <c r="H64" t="s">
        <v>52</v>
      </c>
      <c r="I64" t="s">
        <v>53</v>
      </c>
      <c r="J64" t="s">
        <v>54</v>
      </c>
      <c r="K64" t="s">
        <v>55</v>
      </c>
      <c r="L64" t="s">
        <v>17</v>
      </c>
      <c r="M64" t="s">
        <v>16</v>
      </c>
      <c r="N64">
        <v>3811</v>
      </c>
      <c r="O64">
        <v>222</v>
      </c>
      <c r="P64">
        <v>0</v>
      </c>
      <c r="Q64" t="s">
        <v>449</v>
      </c>
      <c r="R64" t="s">
        <v>450</v>
      </c>
      <c r="S64" t="s">
        <v>451</v>
      </c>
      <c r="T64" t="s">
        <v>452</v>
      </c>
      <c r="U64" t="s">
        <v>60</v>
      </c>
      <c r="V64" t="s">
        <v>61</v>
      </c>
      <c r="W64">
        <v>3</v>
      </c>
      <c r="X64">
        <v>0.14000000000000001</v>
      </c>
      <c r="Y64" t="s">
        <v>453</v>
      </c>
      <c r="Z64" t="s">
        <v>454</v>
      </c>
      <c r="AA64">
        <v>3</v>
      </c>
      <c r="AB64" t="s">
        <v>63</v>
      </c>
      <c r="AC64" t="s">
        <v>64</v>
      </c>
      <c r="AD64" t="s">
        <v>65</v>
      </c>
      <c r="AE64" t="s">
        <v>65</v>
      </c>
      <c r="AF64" t="s">
        <v>65</v>
      </c>
      <c r="AG64" t="s">
        <v>191</v>
      </c>
      <c r="AH64" t="s">
        <v>322</v>
      </c>
      <c r="AI64" t="s">
        <v>322</v>
      </c>
      <c r="AJ64" t="s">
        <v>66</v>
      </c>
      <c r="AK64">
        <v>1</v>
      </c>
      <c r="AL64" t="s">
        <v>455</v>
      </c>
      <c r="AM64" t="s">
        <v>456</v>
      </c>
      <c r="AN64" t="s">
        <v>324</v>
      </c>
      <c r="AO64" t="s">
        <v>66</v>
      </c>
      <c r="AP64">
        <v>1</v>
      </c>
      <c r="AQ64" t="s">
        <v>457</v>
      </c>
      <c r="AR64" t="s">
        <v>458</v>
      </c>
      <c r="AS64" t="s">
        <v>459</v>
      </c>
      <c r="AT64" t="s">
        <v>66</v>
      </c>
      <c r="AV64">
        <v>64</v>
      </c>
    </row>
    <row r="65" spans="1:48" x14ac:dyDescent="0.15">
      <c r="A65" t="s">
        <v>460</v>
      </c>
      <c r="B65" t="s">
        <v>47</v>
      </c>
      <c r="C65" t="s">
        <v>48</v>
      </c>
      <c r="D65">
        <v>61</v>
      </c>
      <c r="E65" t="s">
        <v>49</v>
      </c>
      <c r="F65" t="s">
        <v>50</v>
      </c>
      <c r="G65" t="s">
        <v>51</v>
      </c>
      <c r="H65" t="s">
        <v>52</v>
      </c>
      <c r="I65" t="s">
        <v>53</v>
      </c>
      <c r="J65" t="s">
        <v>54</v>
      </c>
      <c r="K65" t="s">
        <v>55</v>
      </c>
      <c r="L65" t="s">
        <v>17</v>
      </c>
      <c r="M65" t="s">
        <v>16</v>
      </c>
      <c r="N65">
        <v>3867</v>
      </c>
      <c r="O65">
        <v>225</v>
      </c>
      <c r="P65">
        <v>0</v>
      </c>
      <c r="Q65" t="s">
        <v>461</v>
      </c>
      <c r="R65" t="s">
        <v>462</v>
      </c>
      <c r="S65" t="s">
        <v>463</v>
      </c>
      <c r="T65" t="s">
        <v>464</v>
      </c>
      <c r="U65" t="s">
        <v>60</v>
      </c>
      <c r="V65" t="s">
        <v>61</v>
      </c>
      <c r="W65">
        <v>3</v>
      </c>
      <c r="X65">
        <v>0.14000000000000001</v>
      </c>
      <c r="Y65" t="s">
        <v>262</v>
      </c>
      <c r="Z65" t="s">
        <v>465</v>
      </c>
      <c r="AA65">
        <v>3</v>
      </c>
      <c r="AB65" t="s">
        <v>63</v>
      </c>
      <c r="AC65" t="s">
        <v>64</v>
      </c>
      <c r="AD65" t="s">
        <v>65</v>
      </c>
      <c r="AE65" t="s">
        <v>65</v>
      </c>
      <c r="AF65" t="s">
        <v>65</v>
      </c>
      <c r="AG65" t="s">
        <v>191</v>
      </c>
      <c r="AH65" t="s">
        <v>322</v>
      </c>
      <c r="AI65" t="s">
        <v>322</v>
      </c>
      <c r="AJ65" t="s">
        <v>66</v>
      </c>
      <c r="AK65">
        <v>1</v>
      </c>
      <c r="AL65" t="s">
        <v>455</v>
      </c>
      <c r="AM65" t="s">
        <v>456</v>
      </c>
      <c r="AN65" t="s">
        <v>324</v>
      </c>
      <c r="AO65" t="s">
        <v>66</v>
      </c>
      <c r="AP65">
        <v>1</v>
      </c>
      <c r="AQ65" t="s">
        <v>457</v>
      </c>
      <c r="AR65" t="s">
        <v>458</v>
      </c>
      <c r="AS65" t="s">
        <v>459</v>
      </c>
      <c r="AT65" t="s">
        <v>66</v>
      </c>
      <c r="AV65">
        <v>65</v>
      </c>
    </row>
    <row r="66" spans="1:48" x14ac:dyDescent="0.15">
      <c r="A66" t="s">
        <v>466</v>
      </c>
      <c r="B66" t="s">
        <v>47</v>
      </c>
      <c r="C66" t="s">
        <v>48</v>
      </c>
      <c r="D66">
        <v>62</v>
      </c>
      <c r="E66" t="s">
        <v>49</v>
      </c>
      <c r="F66" t="s">
        <v>50</v>
      </c>
      <c r="G66" t="s">
        <v>51</v>
      </c>
      <c r="H66" t="s">
        <v>52</v>
      </c>
      <c r="I66" t="s">
        <v>53</v>
      </c>
      <c r="J66" t="s">
        <v>54</v>
      </c>
      <c r="K66" t="s">
        <v>55</v>
      </c>
      <c r="L66" t="s">
        <v>17</v>
      </c>
      <c r="M66" t="s">
        <v>16</v>
      </c>
      <c r="N66">
        <v>3923</v>
      </c>
      <c r="O66">
        <v>228</v>
      </c>
      <c r="P66">
        <v>0</v>
      </c>
      <c r="Q66" t="s">
        <v>467</v>
      </c>
      <c r="R66" t="s">
        <v>468</v>
      </c>
      <c r="S66" t="s">
        <v>469</v>
      </c>
      <c r="T66" t="s">
        <v>470</v>
      </c>
      <c r="U66" t="s">
        <v>60</v>
      </c>
      <c r="V66" t="s">
        <v>61</v>
      </c>
      <c r="W66">
        <v>3</v>
      </c>
      <c r="X66">
        <v>0.14000000000000001</v>
      </c>
      <c r="Y66" t="s">
        <v>471</v>
      </c>
      <c r="Z66" t="s">
        <v>472</v>
      </c>
      <c r="AA66">
        <v>3</v>
      </c>
      <c r="AB66" t="s">
        <v>63</v>
      </c>
      <c r="AC66" t="s">
        <v>64</v>
      </c>
      <c r="AD66" t="s">
        <v>65</v>
      </c>
      <c r="AE66" t="s">
        <v>65</v>
      </c>
      <c r="AF66" t="s">
        <v>65</v>
      </c>
      <c r="AG66" t="s">
        <v>191</v>
      </c>
      <c r="AH66" t="s">
        <v>322</v>
      </c>
      <c r="AI66" t="s">
        <v>322</v>
      </c>
      <c r="AJ66" t="s">
        <v>66</v>
      </c>
      <c r="AK66">
        <v>1</v>
      </c>
      <c r="AL66" t="s">
        <v>455</v>
      </c>
      <c r="AM66" t="s">
        <v>456</v>
      </c>
      <c r="AN66" t="s">
        <v>324</v>
      </c>
      <c r="AO66" t="s">
        <v>66</v>
      </c>
      <c r="AP66">
        <v>1</v>
      </c>
      <c r="AQ66" t="s">
        <v>457</v>
      </c>
      <c r="AR66" t="s">
        <v>458</v>
      </c>
      <c r="AS66" t="s">
        <v>459</v>
      </c>
      <c r="AT66" t="s">
        <v>66</v>
      </c>
      <c r="AV66">
        <v>66</v>
      </c>
    </row>
    <row r="67" spans="1:48" x14ac:dyDescent="0.15">
      <c r="A67" t="s">
        <v>473</v>
      </c>
      <c r="B67" t="s">
        <v>47</v>
      </c>
      <c r="C67" t="s">
        <v>48</v>
      </c>
      <c r="D67">
        <v>63</v>
      </c>
      <c r="E67" t="s">
        <v>49</v>
      </c>
      <c r="F67" t="s">
        <v>50</v>
      </c>
      <c r="G67" t="s">
        <v>51</v>
      </c>
      <c r="H67" t="s">
        <v>52</v>
      </c>
      <c r="I67" t="s">
        <v>53</v>
      </c>
      <c r="J67" t="s">
        <v>54</v>
      </c>
      <c r="K67" t="s">
        <v>55</v>
      </c>
      <c r="L67" t="s">
        <v>17</v>
      </c>
      <c r="M67" t="s">
        <v>16</v>
      </c>
      <c r="N67">
        <v>3980</v>
      </c>
      <c r="O67">
        <v>231</v>
      </c>
      <c r="P67">
        <v>0</v>
      </c>
      <c r="Q67" t="s">
        <v>474</v>
      </c>
      <c r="R67" t="s">
        <v>475</v>
      </c>
      <c r="S67" t="s">
        <v>476</v>
      </c>
      <c r="T67" t="s">
        <v>477</v>
      </c>
      <c r="U67" t="s">
        <v>60</v>
      </c>
      <c r="V67" t="s">
        <v>61</v>
      </c>
      <c r="W67">
        <v>3</v>
      </c>
      <c r="X67">
        <v>0.14000000000000001</v>
      </c>
      <c r="Y67" t="s">
        <v>269</v>
      </c>
      <c r="Z67" t="s">
        <v>478</v>
      </c>
      <c r="AA67">
        <v>3</v>
      </c>
      <c r="AB67" t="s">
        <v>63</v>
      </c>
      <c r="AC67" t="s">
        <v>64</v>
      </c>
      <c r="AD67" t="s">
        <v>65</v>
      </c>
      <c r="AE67" t="s">
        <v>65</v>
      </c>
      <c r="AF67" t="s">
        <v>65</v>
      </c>
      <c r="AG67" t="s">
        <v>191</v>
      </c>
      <c r="AH67" t="s">
        <v>322</v>
      </c>
      <c r="AI67" t="s">
        <v>322</v>
      </c>
      <c r="AJ67" t="s">
        <v>66</v>
      </c>
      <c r="AK67">
        <v>1</v>
      </c>
      <c r="AL67" t="s">
        <v>455</v>
      </c>
      <c r="AM67" t="s">
        <v>456</v>
      </c>
      <c r="AN67" t="s">
        <v>324</v>
      </c>
      <c r="AO67" t="s">
        <v>66</v>
      </c>
      <c r="AP67">
        <v>1</v>
      </c>
      <c r="AQ67" t="s">
        <v>457</v>
      </c>
      <c r="AR67" t="s">
        <v>458</v>
      </c>
      <c r="AS67" t="s">
        <v>459</v>
      </c>
      <c r="AT67" t="s">
        <v>66</v>
      </c>
      <c r="AV67">
        <v>67</v>
      </c>
    </row>
    <row r="68" spans="1:48" x14ac:dyDescent="0.15">
      <c r="A68" t="s">
        <v>479</v>
      </c>
      <c r="B68" t="s">
        <v>47</v>
      </c>
      <c r="C68" t="s">
        <v>48</v>
      </c>
      <c r="D68">
        <v>64</v>
      </c>
      <c r="E68" t="s">
        <v>49</v>
      </c>
      <c r="F68" t="s">
        <v>50</v>
      </c>
      <c r="G68" t="s">
        <v>51</v>
      </c>
      <c r="H68" t="s">
        <v>52</v>
      </c>
      <c r="I68" t="s">
        <v>53</v>
      </c>
      <c r="J68" t="s">
        <v>54</v>
      </c>
      <c r="K68" t="s">
        <v>55</v>
      </c>
      <c r="L68" t="s">
        <v>17</v>
      </c>
      <c r="M68" t="s">
        <v>16</v>
      </c>
      <c r="N68">
        <v>4036</v>
      </c>
      <c r="O68">
        <v>235</v>
      </c>
      <c r="P68">
        <v>0</v>
      </c>
      <c r="Q68" t="s">
        <v>480</v>
      </c>
      <c r="R68" t="s">
        <v>481</v>
      </c>
      <c r="S68" t="s">
        <v>482</v>
      </c>
      <c r="T68" t="s">
        <v>483</v>
      </c>
      <c r="U68" t="s">
        <v>60</v>
      </c>
      <c r="V68" t="s">
        <v>61</v>
      </c>
      <c r="W68">
        <v>3</v>
      </c>
      <c r="X68">
        <v>0.14000000000000001</v>
      </c>
      <c r="Y68" t="s">
        <v>484</v>
      </c>
      <c r="Z68" t="s">
        <v>485</v>
      </c>
      <c r="AA68">
        <v>3</v>
      </c>
      <c r="AB68" t="s">
        <v>63</v>
      </c>
      <c r="AC68" t="s">
        <v>64</v>
      </c>
      <c r="AD68" t="s">
        <v>65</v>
      </c>
      <c r="AE68" t="s">
        <v>65</v>
      </c>
      <c r="AF68" t="s">
        <v>65</v>
      </c>
      <c r="AG68" t="s">
        <v>191</v>
      </c>
      <c r="AH68" t="s">
        <v>322</v>
      </c>
      <c r="AI68" t="s">
        <v>322</v>
      </c>
      <c r="AJ68" t="s">
        <v>66</v>
      </c>
      <c r="AK68">
        <v>1</v>
      </c>
      <c r="AL68" t="s">
        <v>455</v>
      </c>
      <c r="AM68" t="s">
        <v>456</v>
      </c>
      <c r="AN68" t="s">
        <v>324</v>
      </c>
      <c r="AO68" t="s">
        <v>66</v>
      </c>
      <c r="AP68">
        <v>1</v>
      </c>
      <c r="AQ68" t="s">
        <v>457</v>
      </c>
      <c r="AR68" t="s">
        <v>458</v>
      </c>
      <c r="AS68" t="s">
        <v>459</v>
      </c>
      <c r="AT68" t="s">
        <v>66</v>
      </c>
      <c r="AV68">
        <v>68</v>
      </c>
    </row>
    <row r="69" spans="1:48" x14ac:dyDescent="0.15">
      <c r="A69" t="s">
        <v>486</v>
      </c>
      <c r="B69" t="s">
        <v>47</v>
      </c>
      <c r="C69" t="s">
        <v>48</v>
      </c>
      <c r="D69">
        <v>65</v>
      </c>
      <c r="E69" t="s">
        <v>49</v>
      </c>
      <c r="F69" t="s">
        <v>50</v>
      </c>
      <c r="G69" t="s">
        <v>51</v>
      </c>
      <c r="H69" t="s">
        <v>52</v>
      </c>
      <c r="I69" t="s">
        <v>53</v>
      </c>
      <c r="J69" t="s">
        <v>54</v>
      </c>
      <c r="K69" t="s">
        <v>55</v>
      </c>
      <c r="L69" t="s">
        <v>17</v>
      </c>
      <c r="M69" t="s">
        <v>16</v>
      </c>
      <c r="N69">
        <v>4092</v>
      </c>
      <c r="O69">
        <v>238</v>
      </c>
      <c r="P69">
        <v>0</v>
      </c>
      <c r="Q69" t="s">
        <v>487</v>
      </c>
      <c r="R69" t="s">
        <v>488</v>
      </c>
      <c r="S69" t="s">
        <v>489</v>
      </c>
      <c r="T69" t="s">
        <v>490</v>
      </c>
      <c r="U69" t="s">
        <v>60</v>
      </c>
      <c r="V69" t="s">
        <v>61</v>
      </c>
      <c r="W69">
        <v>3</v>
      </c>
      <c r="X69">
        <v>0.14000000000000001</v>
      </c>
      <c r="Y69" t="s">
        <v>275</v>
      </c>
      <c r="Z69" t="s">
        <v>491</v>
      </c>
      <c r="AA69">
        <v>3</v>
      </c>
      <c r="AB69" t="s">
        <v>63</v>
      </c>
      <c r="AC69" t="s">
        <v>64</v>
      </c>
      <c r="AD69" t="s">
        <v>65</v>
      </c>
      <c r="AE69" t="s">
        <v>65</v>
      </c>
      <c r="AF69" t="s">
        <v>65</v>
      </c>
      <c r="AG69" t="s">
        <v>191</v>
      </c>
      <c r="AH69" t="s">
        <v>322</v>
      </c>
      <c r="AI69" t="s">
        <v>322</v>
      </c>
      <c r="AJ69" t="s">
        <v>66</v>
      </c>
      <c r="AK69">
        <v>1</v>
      </c>
      <c r="AL69" t="s">
        <v>455</v>
      </c>
      <c r="AM69" t="s">
        <v>456</v>
      </c>
      <c r="AN69" t="s">
        <v>324</v>
      </c>
      <c r="AO69" t="s">
        <v>66</v>
      </c>
      <c r="AP69">
        <v>1</v>
      </c>
      <c r="AQ69" t="s">
        <v>457</v>
      </c>
      <c r="AR69" t="s">
        <v>458</v>
      </c>
      <c r="AS69" t="s">
        <v>459</v>
      </c>
      <c r="AT69" t="s">
        <v>66</v>
      </c>
      <c r="AV69">
        <v>69</v>
      </c>
    </row>
    <row r="70" spans="1:48" x14ac:dyDescent="0.15">
      <c r="A70" t="s">
        <v>492</v>
      </c>
      <c r="B70" t="s">
        <v>47</v>
      </c>
      <c r="C70" t="s">
        <v>48</v>
      </c>
      <c r="D70">
        <v>66</v>
      </c>
      <c r="E70" t="s">
        <v>49</v>
      </c>
      <c r="F70" t="s">
        <v>50</v>
      </c>
      <c r="G70" t="s">
        <v>51</v>
      </c>
      <c r="H70" t="s">
        <v>52</v>
      </c>
      <c r="I70" t="s">
        <v>53</v>
      </c>
      <c r="J70" t="s">
        <v>54</v>
      </c>
      <c r="K70" t="s">
        <v>55</v>
      </c>
      <c r="L70" t="s">
        <v>17</v>
      </c>
      <c r="M70" t="s">
        <v>16</v>
      </c>
      <c r="N70">
        <v>4148</v>
      </c>
      <c r="O70">
        <v>241</v>
      </c>
      <c r="P70">
        <v>0</v>
      </c>
      <c r="Q70" t="s">
        <v>493</v>
      </c>
      <c r="R70" t="s">
        <v>494</v>
      </c>
      <c r="S70" t="s">
        <v>495</v>
      </c>
      <c r="T70" t="s">
        <v>496</v>
      </c>
      <c r="U70" t="s">
        <v>60</v>
      </c>
      <c r="V70" t="s">
        <v>61</v>
      </c>
      <c r="W70">
        <v>3</v>
      </c>
      <c r="X70">
        <v>0.14000000000000001</v>
      </c>
      <c r="Y70" t="s">
        <v>497</v>
      </c>
      <c r="Z70" t="s">
        <v>498</v>
      </c>
      <c r="AA70">
        <v>3</v>
      </c>
      <c r="AB70" t="s">
        <v>63</v>
      </c>
      <c r="AC70" t="s">
        <v>64</v>
      </c>
      <c r="AD70" t="s">
        <v>65</v>
      </c>
      <c r="AE70" t="s">
        <v>65</v>
      </c>
      <c r="AF70" t="s">
        <v>65</v>
      </c>
      <c r="AG70" t="s">
        <v>191</v>
      </c>
      <c r="AH70" t="s">
        <v>322</v>
      </c>
      <c r="AI70" t="s">
        <v>322</v>
      </c>
      <c r="AJ70" t="s">
        <v>66</v>
      </c>
      <c r="AK70">
        <v>1</v>
      </c>
      <c r="AL70" t="s">
        <v>455</v>
      </c>
      <c r="AM70" t="s">
        <v>456</v>
      </c>
      <c r="AN70" t="s">
        <v>324</v>
      </c>
      <c r="AO70" t="s">
        <v>66</v>
      </c>
      <c r="AP70">
        <v>1</v>
      </c>
      <c r="AQ70" t="s">
        <v>457</v>
      </c>
      <c r="AR70" t="s">
        <v>458</v>
      </c>
      <c r="AS70" t="s">
        <v>459</v>
      </c>
      <c r="AT70" t="s">
        <v>66</v>
      </c>
      <c r="AV70">
        <v>70</v>
      </c>
    </row>
    <row r="71" spans="1:48" x14ac:dyDescent="0.15">
      <c r="A71" t="s">
        <v>499</v>
      </c>
      <c r="B71" t="s">
        <v>47</v>
      </c>
      <c r="C71" t="s">
        <v>48</v>
      </c>
      <c r="D71">
        <v>67</v>
      </c>
      <c r="E71" t="s">
        <v>49</v>
      </c>
      <c r="F71" t="s">
        <v>50</v>
      </c>
      <c r="G71" t="s">
        <v>51</v>
      </c>
      <c r="H71" t="s">
        <v>52</v>
      </c>
      <c r="I71" t="s">
        <v>53</v>
      </c>
      <c r="J71" t="s">
        <v>54</v>
      </c>
      <c r="K71" t="s">
        <v>55</v>
      </c>
      <c r="L71" t="s">
        <v>17</v>
      </c>
      <c r="M71" t="s">
        <v>16</v>
      </c>
      <c r="N71">
        <v>4204</v>
      </c>
      <c r="O71">
        <v>244</v>
      </c>
      <c r="P71">
        <v>0</v>
      </c>
      <c r="Q71" t="s">
        <v>500</v>
      </c>
      <c r="R71" t="s">
        <v>501</v>
      </c>
      <c r="S71" t="s">
        <v>502</v>
      </c>
      <c r="T71" t="s">
        <v>503</v>
      </c>
      <c r="U71" t="s">
        <v>60</v>
      </c>
      <c r="V71" t="s">
        <v>61</v>
      </c>
      <c r="W71">
        <v>3</v>
      </c>
      <c r="X71">
        <v>0.14000000000000001</v>
      </c>
      <c r="Y71" t="s">
        <v>282</v>
      </c>
      <c r="Z71" t="s">
        <v>504</v>
      </c>
      <c r="AA71">
        <v>3</v>
      </c>
      <c r="AB71" t="s">
        <v>63</v>
      </c>
      <c r="AC71" t="s">
        <v>64</v>
      </c>
      <c r="AD71" t="s">
        <v>65</v>
      </c>
      <c r="AE71" t="s">
        <v>65</v>
      </c>
      <c r="AF71" t="s">
        <v>65</v>
      </c>
      <c r="AG71" t="s">
        <v>191</v>
      </c>
      <c r="AH71" t="s">
        <v>322</v>
      </c>
      <c r="AI71" t="s">
        <v>322</v>
      </c>
      <c r="AJ71" t="s">
        <v>66</v>
      </c>
      <c r="AK71">
        <v>1</v>
      </c>
      <c r="AL71" t="s">
        <v>455</v>
      </c>
      <c r="AM71" t="s">
        <v>456</v>
      </c>
      <c r="AN71" t="s">
        <v>324</v>
      </c>
      <c r="AO71" t="s">
        <v>66</v>
      </c>
      <c r="AP71">
        <v>1</v>
      </c>
      <c r="AQ71" t="s">
        <v>457</v>
      </c>
      <c r="AR71" t="s">
        <v>458</v>
      </c>
      <c r="AS71" t="s">
        <v>459</v>
      </c>
      <c r="AT71" t="s">
        <v>66</v>
      </c>
      <c r="AV71">
        <v>71</v>
      </c>
    </row>
    <row r="72" spans="1:48" x14ac:dyDescent="0.15">
      <c r="A72" t="s">
        <v>505</v>
      </c>
      <c r="B72" t="s">
        <v>47</v>
      </c>
      <c r="C72" t="s">
        <v>48</v>
      </c>
      <c r="D72">
        <v>68</v>
      </c>
      <c r="E72" t="s">
        <v>49</v>
      </c>
      <c r="F72" t="s">
        <v>50</v>
      </c>
      <c r="G72" t="s">
        <v>51</v>
      </c>
      <c r="H72" t="s">
        <v>52</v>
      </c>
      <c r="I72" t="s">
        <v>53</v>
      </c>
      <c r="J72" t="s">
        <v>54</v>
      </c>
      <c r="K72" t="s">
        <v>55</v>
      </c>
      <c r="L72" t="s">
        <v>17</v>
      </c>
      <c r="M72" t="s">
        <v>16</v>
      </c>
      <c r="N72">
        <v>4260</v>
      </c>
      <c r="O72">
        <v>248</v>
      </c>
      <c r="P72">
        <v>0</v>
      </c>
      <c r="Q72" t="s">
        <v>506</v>
      </c>
      <c r="R72" t="s">
        <v>507</v>
      </c>
      <c r="S72" t="s">
        <v>508</v>
      </c>
      <c r="T72" t="s">
        <v>509</v>
      </c>
      <c r="U72" t="s">
        <v>60</v>
      </c>
      <c r="V72" t="s">
        <v>61</v>
      </c>
      <c r="W72">
        <v>3</v>
      </c>
      <c r="X72">
        <v>0.14000000000000001</v>
      </c>
      <c r="Y72" t="s">
        <v>510</v>
      </c>
      <c r="Z72" t="s">
        <v>511</v>
      </c>
      <c r="AA72">
        <v>3</v>
      </c>
      <c r="AB72" t="s">
        <v>63</v>
      </c>
      <c r="AC72" t="s">
        <v>64</v>
      </c>
      <c r="AD72" t="s">
        <v>65</v>
      </c>
      <c r="AE72" t="s">
        <v>65</v>
      </c>
      <c r="AF72" t="s">
        <v>65</v>
      </c>
      <c r="AG72" t="s">
        <v>191</v>
      </c>
      <c r="AH72" t="s">
        <v>322</v>
      </c>
      <c r="AI72" t="s">
        <v>322</v>
      </c>
      <c r="AJ72" t="s">
        <v>66</v>
      </c>
      <c r="AK72">
        <v>1</v>
      </c>
      <c r="AL72" t="s">
        <v>455</v>
      </c>
      <c r="AM72" t="s">
        <v>456</v>
      </c>
      <c r="AN72" t="s">
        <v>324</v>
      </c>
      <c r="AO72" t="s">
        <v>66</v>
      </c>
      <c r="AP72">
        <v>1</v>
      </c>
      <c r="AQ72" t="s">
        <v>457</v>
      </c>
      <c r="AR72" t="s">
        <v>458</v>
      </c>
      <c r="AS72" t="s">
        <v>459</v>
      </c>
      <c r="AT72" t="s">
        <v>66</v>
      </c>
      <c r="AV72">
        <v>72</v>
      </c>
    </row>
    <row r="73" spans="1:48" x14ac:dyDescent="0.15">
      <c r="A73" t="s">
        <v>512</v>
      </c>
      <c r="B73" t="s">
        <v>47</v>
      </c>
      <c r="C73" t="s">
        <v>48</v>
      </c>
      <c r="D73">
        <v>69</v>
      </c>
      <c r="E73" t="s">
        <v>49</v>
      </c>
      <c r="F73" t="s">
        <v>50</v>
      </c>
      <c r="G73" t="s">
        <v>51</v>
      </c>
      <c r="H73" t="s">
        <v>52</v>
      </c>
      <c r="I73" t="s">
        <v>53</v>
      </c>
      <c r="J73" t="s">
        <v>54</v>
      </c>
      <c r="K73" t="s">
        <v>55</v>
      </c>
      <c r="L73" t="s">
        <v>17</v>
      </c>
      <c r="M73" t="s">
        <v>16</v>
      </c>
      <c r="N73">
        <v>4316</v>
      </c>
      <c r="O73">
        <v>251</v>
      </c>
      <c r="P73">
        <v>0</v>
      </c>
      <c r="Q73" t="s">
        <v>513</v>
      </c>
      <c r="R73" t="s">
        <v>514</v>
      </c>
      <c r="S73" t="s">
        <v>515</v>
      </c>
      <c r="T73" t="s">
        <v>516</v>
      </c>
      <c r="U73" t="s">
        <v>60</v>
      </c>
      <c r="V73" t="s">
        <v>61</v>
      </c>
      <c r="W73">
        <v>3</v>
      </c>
      <c r="X73">
        <v>0.14000000000000001</v>
      </c>
      <c r="Y73" t="s">
        <v>288</v>
      </c>
      <c r="Z73" t="s">
        <v>517</v>
      </c>
      <c r="AA73">
        <v>3</v>
      </c>
      <c r="AB73" t="s">
        <v>63</v>
      </c>
      <c r="AC73" t="s">
        <v>64</v>
      </c>
      <c r="AD73" t="s">
        <v>65</v>
      </c>
      <c r="AE73" t="s">
        <v>65</v>
      </c>
      <c r="AF73" t="s">
        <v>65</v>
      </c>
      <c r="AG73" t="s">
        <v>191</v>
      </c>
      <c r="AH73" t="s">
        <v>322</v>
      </c>
      <c r="AI73" t="s">
        <v>322</v>
      </c>
      <c r="AJ73" t="s">
        <v>66</v>
      </c>
      <c r="AK73">
        <v>1</v>
      </c>
      <c r="AL73" t="s">
        <v>455</v>
      </c>
      <c r="AM73" t="s">
        <v>456</v>
      </c>
      <c r="AN73" t="s">
        <v>324</v>
      </c>
      <c r="AO73" t="s">
        <v>66</v>
      </c>
      <c r="AP73">
        <v>1</v>
      </c>
      <c r="AQ73" t="s">
        <v>457</v>
      </c>
      <c r="AR73" t="s">
        <v>458</v>
      </c>
      <c r="AS73" t="s">
        <v>459</v>
      </c>
      <c r="AT73" t="s">
        <v>66</v>
      </c>
      <c r="AV73">
        <v>73</v>
      </c>
    </row>
    <row r="74" spans="1:48" x14ac:dyDescent="0.15">
      <c r="A74" t="s">
        <v>518</v>
      </c>
      <c r="B74" t="s">
        <v>47</v>
      </c>
      <c r="C74" t="s">
        <v>48</v>
      </c>
      <c r="D74">
        <v>70</v>
      </c>
      <c r="E74" t="s">
        <v>49</v>
      </c>
      <c r="F74" t="s">
        <v>50</v>
      </c>
      <c r="G74" t="s">
        <v>51</v>
      </c>
      <c r="H74" t="s">
        <v>52</v>
      </c>
      <c r="I74" t="s">
        <v>53</v>
      </c>
      <c r="J74" t="s">
        <v>54</v>
      </c>
      <c r="K74" t="s">
        <v>55</v>
      </c>
      <c r="L74" t="s">
        <v>17</v>
      </c>
      <c r="M74" t="s">
        <v>16</v>
      </c>
      <c r="N74">
        <v>4372</v>
      </c>
      <c r="O74">
        <v>254</v>
      </c>
      <c r="P74">
        <v>0</v>
      </c>
      <c r="Q74" t="s">
        <v>519</v>
      </c>
      <c r="R74" t="s">
        <v>520</v>
      </c>
      <c r="S74" t="s">
        <v>521</v>
      </c>
      <c r="T74" t="s">
        <v>522</v>
      </c>
      <c r="U74" t="s">
        <v>60</v>
      </c>
      <c r="V74" t="s">
        <v>61</v>
      </c>
      <c r="W74">
        <v>3</v>
      </c>
      <c r="X74">
        <v>0.14000000000000001</v>
      </c>
      <c r="Y74" t="s">
        <v>523</v>
      </c>
      <c r="Z74" t="s">
        <v>524</v>
      </c>
      <c r="AA74">
        <v>3</v>
      </c>
      <c r="AB74" t="s">
        <v>63</v>
      </c>
      <c r="AC74" t="s">
        <v>64</v>
      </c>
      <c r="AD74" t="s">
        <v>65</v>
      </c>
      <c r="AE74" t="s">
        <v>65</v>
      </c>
      <c r="AF74" t="s">
        <v>65</v>
      </c>
      <c r="AG74" t="s">
        <v>191</v>
      </c>
      <c r="AH74" t="s">
        <v>322</v>
      </c>
      <c r="AI74" t="s">
        <v>322</v>
      </c>
      <c r="AJ74" t="s">
        <v>66</v>
      </c>
      <c r="AK74">
        <v>1</v>
      </c>
      <c r="AL74" t="s">
        <v>455</v>
      </c>
      <c r="AM74" t="s">
        <v>456</v>
      </c>
      <c r="AN74" t="s">
        <v>324</v>
      </c>
      <c r="AO74" t="s">
        <v>66</v>
      </c>
      <c r="AP74">
        <v>1</v>
      </c>
      <c r="AQ74" t="s">
        <v>457</v>
      </c>
      <c r="AR74" t="s">
        <v>458</v>
      </c>
      <c r="AS74" t="s">
        <v>459</v>
      </c>
      <c r="AT74" t="s">
        <v>66</v>
      </c>
      <c r="AV74">
        <v>74</v>
      </c>
    </row>
    <row r="75" spans="1:48" x14ac:dyDescent="0.15">
      <c r="A75" t="s">
        <v>525</v>
      </c>
      <c r="B75" t="s">
        <v>47</v>
      </c>
      <c r="C75" t="s">
        <v>48</v>
      </c>
      <c r="D75">
        <v>71</v>
      </c>
      <c r="E75" t="s">
        <v>49</v>
      </c>
      <c r="F75" t="s">
        <v>50</v>
      </c>
      <c r="G75" t="s">
        <v>51</v>
      </c>
      <c r="H75" t="s">
        <v>52</v>
      </c>
      <c r="I75" t="s">
        <v>53</v>
      </c>
      <c r="J75" t="s">
        <v>54</v>
      </c>
      <c r="K75" t="s">
        <v>55</v>
      </c>
      <c r="L75" t="s">
        <v>17</v>
      </c>
      <c r="M75" t="s">
        <v>16</v>
      </c>
      <c r="N75">
        <v>4429</v>
      </c>
      <c r="O75">
        <v>257</v>
      </c>
      <c r="P75">
        <v>0</v>
      </c>
      <c r="Q75" t="s">
        <v>526</v>
      </c>
      <c r="R75" t="s">
        <v>527</v>
      </c>
      <c r="S75" t="s">
        <v>528</v>
      </c>
      <c r="T75" t="s">
        <v>529</v>
      </c>
      <c r="U75" t="s">
        <v>60</v>
      </c>
      <c r="V75" t="s">
        <v>61</v>
      </c>
      <c r="W75">
        <v>3</v>
      </c>
      <c r="X75">
        <v>0.14000000000000001</v>
      </c>
      <c r="Y75" t="s">
        <v>295</v>
      </c>
      <c r="Z75" t="s">
        <v>530</v>
      </c>
      <c r="AA75">
        <v>3</v>
      </c>
      <c r="AB75" t="s">
        <v>63</v>
      </c>
      <c r="AC75" t="s">
        <v>64</v>
      </c>
      <c r="AD75" t="s">
        <v>65</v>
      </c>
      <c r="AE75" t="s">
        <v>65</v>
      </c>
      <c r="AF75" t="s">
        <v>65</v>
      </c>
      <c r="AG75" t="s">
        <v>191</v>
      </c>
      <c r="AH75" t="s">
        <v>322</v>
      </c>
      <c r="AI75" t="s">
        <v>322</v>
      </c>
      <c r="AJ75" t="s">
        <v>66</v>
      </c>
      <c r="AK75">
        <v>1</v>
      </c>
      <c r="AL75" t="s">
        <v>455</v>
      </c>
      <c r="AM75" t="s">
        <v>456</v>
      </c>
      <c r="AN75" t="s">
        <v>324</v>
      </c>
      <c r="AO75" t="s">
        <v>66</v>
      </c>
      <c r="AP75">
        <v>1</v>
      </c>
      <c r="AQ75" t="s">
        <v>457</v>
      </c>
      <c r="AR75" t="s">
        <v>458</v>
      </c>
      <c r="AS75" t="s">
        <v>459</v>
      </c>
      <c r="AT75" t="s">
        <v>66</v>
      </c>
      <c r="AV75">
        <v>75</v>
      </c>
    </row>
    <row r="76" spans="1:48" x14ac:dyDescent="0.15">
      <c r="A76" t="s">
        <v>531</v>
      </c>
      <c r="B76" t="s">
        <v>47</v>
      </c>
      <c r="C76" t="s">
        <v>48</v>
      </c>
      <c r="D76">
        <v>72</v>
      </c>
      <c r="E76" t="s">
        <v>49</v>
      </c>
      <c r="F76" t="s">
        <v>50</v>
      </c>
      <c r="G76" t="s">
        <v>51</v>
      </c>
      <c r="H76" t="s">
        <v>52</v>
      </c>
      <c r="I76" t="s">
        <v>53</v>
      </c>
      <c r="J76" t="s">
        <v>54</v>
      </c>
      <c r="K76" t="s">
        <v>55</v>
      </c>
      <c r="L76" t="s">
        <v>17</v>
      </c>
      <c r="M76" t="s">
        <v>16</v>
      </c>
      <c r="N76">
        <v>4485</v>
      </c>
      <c r="O76">
        <v>261</v>
      </c>
      <c r="P76">
        <v>0</v>
      </c>
      <c r="Q76" t="s">
        <v>532</v>
      </c>
      <c r="R76" t="s">
        <v>533</v>
      </c>
      <c r="S76" t="s">
        <v>534</v>
      </c>
      <c r="T76" t="s">
        <v>535</v>
      </c>
      <c r="U76" t="s">
        <v>60</v>
      </c>
      <c r="V76" t="s">
        <v>61</v>
      </c>
      <c r="W76">
        <v>3</v>
      </c>
      <c r="X76">
        <v>0.14000000000000001</v>
      </c>
      <c r="Y76" t="s">
        <v>536</v>
      </c>
      <c r="Z76" t="s">
        <v>537</v>
      </c>
      <c r="AA76">
        <v>3</v>
      </c>
      <c r="AB76" t="s">
        <v>63</v>
      </c>
      <c r="AC76" t="s">
        <v>64</v>
      </c>
      <c r="AD76" t="s">
        <v>65</v>
      </c>
      <c r="AE76" t="s">
        <v>65</v>
      </c>
      <c r="AF76" t="s">
        <v>65</v>
      </c>
      <c r="AG76" t="s">
        <v>191</v>
      </c>
      <c r="AH76" t="s">
        <v>322</v>
      </c>
      <c r="AI76" t="s">
        <v>322</v>
      </c>
      <c r="AJ76" t="s">
        <v>66</v>
      </c>
      <c r="AK76">
        <v>1</v>
      </c>
      <c r="AL76" t="s">
        <v>455</v>
      </c>
      <c r="AM76" t="s">
        <v>456</v>
      </c>
      <c r="AN76" t="s">
        <v>324</v>
      </c>
      <c r="AO76" t="s">
        <v>66</v>
      </c>
      <c r="AP76">
        <v>1</v>
      </c>
      <c r="AQ76" t="s">
        <v>457</v>
      </c>
      <c r="AR76" t="s">
        <v>458</v>
      </c>
      <c r="AS76" t="s">
        <v>459</v>
      </c>
      <c r="AT76" t="s">
        <v>66</v>
      </c>
      <c r="AV76">
        <v>76</v>
      </c>
    </row>
    <row r="77" spans="1:48" x14ac:dyDescent="0.15">
      <c r="A77" t="s">
        <v>538</v>
      </c>
      <c r="B77" t="s">
        <v>47</v>
      </c>
      <c r="C77" t="s">
        <v>48</v>
      </c>
      <c r="D77">
        <v>73</v>
      </c>
      <c r="E77" t="s">
        <v>49</v>
      </c>
      <c r="F77" t="s">
        <v>50</v>
      </c>
      <c r="G77" t="s">
        <v>51</v>
      </c>
      <c r="H77" t="s">
        <v>52</v>
      </c>
      <c r="I77" t="s">
        <v>53</v>
      </c>
      <c r="J77" t="s">
        <v>54</v>
      </c>
      <c r="K77" t="s">
        <v>55</v>
      </c>
      <c r="L77" t="s">
        <v>17</v>
      </c>
      <c r="M77" t="s">
        <v>16</v>
      </c>
      <c r="N77">
        <v>4541</v>
      </c>
      <c r="O77">
        <v>264</v>
      </c>
      <c r="P77">
        <v>0</v>
      </c>
      <c r="Q77" t="s">
        <v>539</v>
      </c>
      <c r="R77" t="s">
        <v>540</v>
      </c>
      <c r="S77" t="s">
        <v>541</v>
      </c>
      <c r="T77" t="s">
        <v>542</v>
      </c>
      <c r="U77" t="s">
        <v>60</v>
      </c>
      <c r="V77" t="s">
        <v>61</v>
      </c>
      <c r="W77">
        <v>3</v>
      </c>
      <c r="X77">
        <v>0.14000000000000001</v>
      </c>
      <c r="Y77" t="s">
        <v>301</v>
      </c>
      <c r="Z77" t="s">
        <v>543</v>
      </c>
      <c r="AA77">
        <v>3</v>
      </c>
      <c r="AB77" t="s">
        <v>63</v>
      </c>
      <c r="AC77" t="s">
        <v>64</v>
      </c>
      <c r="AD77" t="s">
        <v>65</v>
      </c>
      <c r="AE77" t="s">
        <v>65</v>
      </c>
      <c r="AF77" t="s">
        <v>65</v>
      </c>
      <c r="AG77" t="s">
        <v>191</v>
      </c>
      <c r="AH77" t="s">
        <v>322</v>
      </c>
      <c r="AI77" t="s">
        <v>322</v>
      </c>
      <c r="AJ77" t="s">
        <v>66</v>
      </c>
      <c r="AK77">
        <v>1</v>
      </c>
      <c r="AL77" t="s">
        <v>455</v>
      </c>
      <c r="AM77" t="s">
        <v>456</v>
      </c>
      <c r="AN77" t="s">
        <v>324</v>
      </c>
      <c r="AO77" t="s">
        <v>66</v>
      </c>
      <c r="AP77">
        <v>1</v>
      </c>
      <c r="AQ77" t="s">
        <v>457</v>
      </c>
      <c r="AR77" t="s">
        <v>458</v>
      </c>
      <c r="AS77" t="s">
        <v>459</v>
      </c>
      <c r="AT77" t="s">
        <v>66</v>
      </c>
      <c r="AV77">
        <v>77</v>
      </c>
    </row>
    <row r="78" spans="1:48" x14ac:dyDescent="0.15">
      <c r="A78" t="s">
        <v>544</v>
      </c>
      <c r="B78" t="s">
        <v>47</v>
      </c>
      <c r="C78" t="s">
        <v>48</v>
      </c>
      <c r="D78">
        <v>74</v>
      </c>
      <c r="E78" t="s">
        <v>49</v>
      </c>
      <c r="F78" t="s">
        <v>50</v>
      </c>
      <c r="G78" t="s">
        <v>51</v>
      </c>
      <c r="H78" t="s">
        <v>52</v>
      </c>
      <c r="I78" t="s">
        <v>53</v>
      </c>
      <c r="J78" t="s">
        <v>54</v>
      </c>
      <c r="K78" t="s">
        <v>55</v>
      </c>
      <c r="L78" t="s">
        <v>17</v>
      </c>
      <c r="M78" t="s">
        <v>16</v>
      </c>
      <c r="N78">
        <v>4597</v>
      </c>
      <c r="O78">
        <v>267</v>
      </c>
      <c r="P78">
        <v>0</v>
      </c>
      <c r="Q78" t="s">
        <v>545</v>
      </c>
      <c r="R78" t="s">
        <v>546</v>
      </c>
      <c r="S78" t="s">
        <v>547</v>
      </c>
      <c r="T78" t="s">
        <v>548</v>
      </c>
      <c r="U78" t="s">
        <v>60</v>
      </c>
      <c r="V78" t="s">
        <v>61</v>
      </c>
      <c r="W78">
        <v>3</v>
      </c>
      <c r="X78">
        <v>0.14000000000000001</v>
      </c>
      <c r="Y78" t="s">
        <v>549</v>
      </c>
      <c r="Z78" t="s">
        <v>550</v>
      </c>
      <c r="AA78">
        <v>3</v>
      </c>
      <c r="AB78" t="s">
        <v>63</v>
      </c>
      <c r="AC78" t="s">
        <v>64</v>
      </c>
      <c r="AD78" t="s">
        <v>65</v>
      </c>
      <c r="AE78" t="s">
        <v>65</v>
      </c>
      <c r="AF78" t="s">
        <v>65</v>
      </c>
      <c r="AG78" t="s">
        <v>191</v>
      </c>
      <c r="AH78" t="s">
        <v>322</v>
      </c>
      <c r="AI78" t="s">
        <v>322</v>
      </c>
      <c r="AJ78" t="s">
        <v>66</v>
      </c>
      <c r="AK78">
        <v>1</v>
      </c>
      <c r="AL78" t="s">
        <v>455</v>
      </c>
      <c r="AM78" t="s">
        <v>456</v>
      </c>
      <c r="AN78" t="s">
        <v>324</v>
      </c>
      <c r="AO78" t="s">
        <v>66</v>
      </c>
      <c r="AP78">
        <v>1</v>
      </c>
      <c r="AQ78" t="s">
        <v>457</v>
      </c>
      <c r="AR78" t="s">
        <v>458</v>
      </c>
      <c r="AS78" t="s">
        <v>459</v>
      </c>
      <c r="AT78" t="s">
        <v>66</v>
      </c>
      <c r="AV78">
        <v>78</v>
      </c>
    </row>
    <row r="79" spans="1:48" x14ac:dyDescent="0.15">
      <c r="A79" t="s">
        <v>551</v>
      </c>
      <c r="B79" t="s">
        <v>47</v>
      </c>
      <c r="C79" t="s">
        <v>48</v>
      </c>
      <c r="D79">
        <v>75</v>
      </c>
      <c r="E79" t="s">
        <v>49</v>
      </c>
      <c r="F79" t="s">
        <v>50</v>
      </c>
      <c r="G79" t="s">
        <v>51</v>
      </c>
      <c r="H79" t="s">
        <v>52</v>
      </c>
      <c r="I79" t="s">
        <v>53</v>
      </c>
      <c r="J79" t="s">
        <v>54</v>
      </c>
      <c r="K79" t="s">
        <v>55</v>
      </c>
      <c r="L79" t="s">
        <v>17</v>
      </c>
      <c r="M79" t="s">
        <v>16</v>
      </c>
      <c r="N79">
        <v>4653</v>
      </c>
      <c r="O79">
        <v>270</v>
      </c>
      <c r="P79">
        <v>0</v>
      </c>
      <c r="Q79" t="s">
        <v>552</v>
      </c>
      <c r="R79" t="s">
        <v>553</v>
      </c>
      <c r="S79" t="s">
        <v>554</v>
      </c>
      <c r="T79" t="s">
        <v>555</v>
      </c>
      <c r="U79" t="s">
        <v>60</v>
      </c>
      <c r="V79" t="s">
        <v>61</v>
      </c>
      <c r="W79">
        <v>3</v>
      </c>
      <c r="X79">
        <v>0.14000000000000001</v>
      </c>
      <c r="Y79" t="s">
        <v>308</v>
      </c>
      <c r="Z79" t="s">
        <v>556</v>
      </c>
      <c r="AA79">
        <v>3</v>
      </c>
      <c r="AB79" t="s">
        <v>63</v>
      </c>
      <c r="AC79" t="s">
        <v>64</v>
      </c>
      <c r="AD79" t="s">
        <v>65</v>
      </c>
      <c r="AE79" t="s">
        <v>65</v>
      </c>
      <c r="AF79" t="s">
        <v>65</v>
      </c>
      <c r="AG79" t="s">
        <v>191</v>
      </c>
      <c r="AH79" t="s">
        <v>322</v>
      </c>
      <c r="AI79" t="s">
        <v>322</v>
      </c>
      <c r="AJ79" t="s">
        <v>66</v>
      </c>
      <c r="AK79">
        <v>1</v>
      </c>
      <c r="AL79" t="s">
        <v>455</v>
      </c>
      <c r="AM79" t="s">
        <v>456</v>
      </c>
      <c r="AN79" t="s">
        <v>324</v>
      </c>
      <c r="AO79" t="s">
        <v>66</v>
      </c>
      <c r="AP79">
        <v>1</v>
      </c>
      <c r="AQ79" t="s">
        <v>457</v>
      </c>
      <c r="AR79" t="s">
        <v>458</v>
      </c>
      <c r="AS79" t="s">
        <v>459</v>
      </c>
      <c r="AT79" t="s">
        <v>66</v>
      </c>
      <c r="AV79">
        <v>79</v>
      </c>
    </row>
    <row r="80" spans="1:48" x14ac:dyDescent="0.15">
      <c r="A80" t="s">
        <v>557</v>
      </c>
      <c r="B80" t="s">
        <v>47</v>
      </c>
      <c r="C80" t="s">
        <v>48</v>
      </c>
      <c r="D80">
        <v>76</v>
      </c>
      <c r="E80" t="s">
        <v>49</v>
      </c>
      <c r="F80" t="s">
        <v>50</v>
      </c>
      <c r="G80" t="s">
        <v>51</v>
      </c>
      <c r="H80" t="s">
        <v>52</v>
      </c>
      <c r="I80" t="s">
        <v>53</v>
      </c>
      <c r="J80" t="s">
        <v>54</v>
      </c>
      <c r="K80" t="s">
        <v>55</v>
      </c>
      <c r="L80" t="s">
        <v>17</v>
      </c>
      <c r="M80" t="s">
        <v>16</v>
      </c>
      <c r="N80">
        <v>4709</v>
      </c>
      <c r="O80">
        <v>274</v>
      </c>
      <c r="P80">
        <v>0</v>
      </c>
      <c r="Q80" t="s">
        <v>558</v>
      </c>
      <c r="R80" t="s">
        <v>559</v>
      </c>
      <c r="S80" t="s">
        <v>560</v>
      </c>
      <c r="T80" t="s">
        <v>561</v>
      </c>
      <c r="U80" t="s">
        <v>60</v>
      </c>
      <c r="V80" t="s">
        <v>61</v>
      </c>
      <c r="W80">
        <v>3</v>
      </c>
      <c r="X80">
        <v>0.14000000000000001</v>
      </c>
      <c r="Y80" t="s">
        <v>562</v>
      </c>
      <c r="Z80" t="s">
        <v>563</v>
      </c>
      <c r="AA80">
        <v>3</v>
      </c>
      <c r="AB80" t="s">
        <v>63</v>
      </c>
      <c r="AC80" t="s">
        <v>64</v>
      </c>
      <c r="AD80" t="s">
        <v>65</v>
      </c>
      <c r="AE80" t="s">
        <v>65</v>
      </c>
      <c r="AF80" t="s">
        <v>65</v>
      </c>
      <c r="AG80" t="s">
        <v>191</v>
      </c>
      <c r="AH80" t="s">
        <v>322</v>
      </c>
      <c r="AI80" t="s">
        <v>322</v>
      </c>
      <c r="AJ80" t="s">
        <v>66</v>
      </c>
      <c r="AK80">
        <v>1</v>
      </c>
      <c r="AL80" t="s">
        <v>455</v>
      </c>
      <c r="AM80" t="s">
        <v>456</v>
      </c>
      <c r="AN80" t="s">
        <v>324</v>
      </c>
      <c r="AO80" t="s">
        <v>66</v>
      </c>
      <c r="AP80">
        <v>1</v>
      </c>
      <c r="AQ80" t="s">
        <v>457</v>
      </c>
      <c r="AR80" t="s">
        <v>458</v>
      </c>
      <c r="AS80" t="s">
        <v>459</v>
      </c>
      <c r="AT80" t="s">
        <v>66</v>
      </c>
      <c r="AV80">
        <v>80</v>
      </c>
    </row>
    <row r="81" spans="1:48" x14ac:dyDescent="0.15">
      <c r="A81" t="s">
        <v>564</v>
      </c>
      <c r="B81" t="s">
        <v>47</v>
      </c>
      <c r="C81" t="s">
        <v>48</v>
      </c>
      <c r="D81">
        <v>77</v>
      </c>
      <c r="E81" t="s">
        <v>49</v>
      </c>
      <c r="F81" t="s">
        <v>50</v>
      </c>
      <c r="G81" t="s">
        <v>51</v>
      </c>
      <c r="H81" t="s">
        <v>52</v>
      </c>
      <c r="I81" t="s">
        <v>53</v>
      </c>
      <c r="J81" t="s">
        <v>54</v>
      </c>
      <c r="K81" t="s">
        <v>55</v>
      </c>
      <c r="L81" t="s">
        <v>17</v>
      </c>
      <c r="M81" t="s">
        <v>16</v>
      </c>
      <c r="N81">
        <v>4765</v>
      </c>
      <c r="O81">
        <v>277</v>
      </c>
      <c r="P81">
        <v>0</v>
      </c>
      <c r="Q81" t="s">
        <v>565</v>
      </c>
      <c r="R81" t="s">
        <v>566</v>
      </c>
      <c r="S81" t="s">
        <v>567</v>
      </c>
      <c r="T81" t="s">
        <v>568</v>
      </c>
      <c r="U81" t="s">
        <v>60</v>
      </c>
      <c r="V81" t="s">
        <v>61</v>
      </c>
      <c r="W81">
        <v>3</v>
      </c>
      <c r="X81">
        <v>0.14000000000000001</v>
      </c>
      <c r="Y81" t="s">
        <v>314</v>
      </c>
      <c r="Z81" t="s">
        <v>569</v>
      </c>
      <c r="AA81">
        <v>3</v>
      </c>
      <c r="AB81" t="s">
        <v>63</v>
      </c>
      <c r="AC81" t="s">
        <v>64</v>
      </c>
      <c r="AD81" t="s">
        <v>65</v>
      </c>
      <c r="AE81" t="s">
        <v>65</v>
      </c>
      <c r="AF81" t="s">
        <v>65</v>
      </c>
      <c r="AG81" t="s">
        <v>191</v>
      </c>
      <c r="AH81" t="s">
        <v>322</v>
      </c>
      <c r="AI81" t="s">
        <v>322</v>
      </c>
      <c r="AJ81" t="s">
        <v>66</v>
      </c>
      <c r="AK81">
        <v>1</v>
      </c>
      <c r="AL81" t="s">
        <v>455</v>
      </c>
      <c r="AM81" t="s">
        <v>456</v>
      </c>
      <c r="AN81" t="s">
        <v>324</v>
      </c>
      <c r="AO81" t="s">
        <v>66</v>
      </c>
      <c r="AP81">
        <v>1</v>
      </c>
      <c r="AQ81" t="s">
        <v>457</v>
      </c>
      <c r="AR81" t="s">
        <v>458</v>
      </c>
      <c r="AS81" t="s">
        <v>459</v>
      </c>
      <c r="AT81" t="s">
        <v>66</v>
      </c>
      <c r="AV81">
        <v>81</v>
      </c>
    </row>
    <row r="82" spans="1:48" x14ac:dyDescent="0.15">
      <c r="A82" t="s">
        <v>570</v>
      </c>
      <c r="B82" t="s">
        <v>47</v>
      </c>
      <c r="C82" t="s">
        <v>48</v>
      </c>
      <c r="D82">
        <v>78</v>
      </c>
      <c r="E82" t="s">
        <v>49</v>
      </c>
      <c r="F82" t="s">
        <v>50</v>
      </c>
      <c r="G82" t="s">
        <v>51</v>
      </c>
      <c r="H82" t="s">
        <v>52</v>
      </c>
      <c r="I82" t="s">
        <v>53</v>
      </c>
      <c r="J82" t="s">
        <v>54</v>
      </c>
      <c r="K82" t="s">
        <v>55</v>
      </c>
      <c r="L82" t="s">
        <v>17</v>
      </c>
      <c r="M82" t="s">
        <v>16</v>
      </c>
      <c r="N82">
        <v>4821</v>
      </c>
      <c r="O82">
        <v>280</v>
      </c>
      <c r="P82">
        <v>0</v>
      </c>
      <c r="Q82" t="s">
        <v>571</v>
      </c>
      <c r="R82" t="s">
        <v>572</v>
      </c>
      <c r="S82" t="s">
        <v>573</v>
      </c>
      <c r="T82" t="s">
        <v>574</v>
      </c>
      <c r="U82" t="s">
        <v>60</v>
      </c>
      <c r="V82" t="s">
        <v>61</v>
      </c>
      <c r="W82">
        <v>3</v>
      </c>
      <c r="X82">
        <v>0.14000000000000001</v>
      </c>
      <c r="Y82" t="s">
        <v>575</v>
      </c>
      <c r="Z82" t="s">
        <v>576</v>
      </c>
      <c r="AA82">
        <v>3</v>
      </c>
      <c r="AB82" t="s">
        <v>63</v>
      </c>
      <c r="AC82" t="s">
        <v>64</v>
      </c>
      <c r="AD82" t="s">
        <v>65</v>
      </c>
      <c r="AE82" t="s">
        <v>65</v>
      </c>
      <c r="AF82" t="s">
        <v>65</v>
      </c>
      <c r="AG82" t="s">
        <v>191</v>
      </c>
      <c r="AH82" t="s">
        <v>322</v>
      </c>
      <c r="AI82" t="s">
        <v>322</v>
      </c>
      <c r="AJ82" t="s">
        <v>66</v>
      </c>
      <c r="AK82">
        <v>1</v>
      </c>
      <c r="AL82" t="s">
        <v>455</v>
      </c>
      <c r="AM82" t="s">
        <v>456</v>
      </c>
      <c r="AN82" t="s">
        <v>324</v>
      </c>
      <c r="AO82" t="s">
        <v>66</v>
      </c>
      <c r="AP82">
        <v>1</v>
      </c>
      <c r="AQ82" t="s">
        <v>457</v>
      </c>
      <c r="AR82" t="s">
        <v>458</v>
      </c>
      <c r="AS82" t="s">
        <v>459</v>
      </c>
      <c r="AT82" t="s">
        <v>66</v>
      </c>
      <c r="AV82">
        <v>82</v>
      </c>
    </row>
    <row r="83" spans="1:48" x14ac:dyDescent="0.15">
      <c r="A83" t="s">
        <v>577</v>
      </c>
      <c r="B83" t="s">
        <v>47</v>
      </c>
      <c r="C83" t="s">
        <v>48</v>
      </c>
      <c r="D83">
        <v>79</v>
      </c>
      <c r="E83" t="s">
        <v>49</v>
      </c>
      <c r="F83" t="s">
        <v>50</v>
      </c>
      <c r="G83" t="s">
        <v>51</v>
      </c>
      <c r="H83" t="s">
        <v>52</v>
      </c>
      <c r="I83" t="s">
        <v>53</v>
      </c>
      <c r="J83" t="s">
        <v>54</v>
      </c>
      <c r="K83" t="s">
        <v>55</v>
      </c>
      <c r="L83" t="s">
        <v>17</v>
      </c>
      <c r="M83" t="s">
        <v>16</v>
      </c>
      <c r="N83">
        <v>4878</v>
      </c>
      <c r="O83">
        <v>283</v>
      </c>
      <c r="P83">
        <v>0</v>
      </c>
      <c r="Q83" t="s">
        <v>578</v>
      </c>
      <c r="R83" t="s">
        <v>579</v>
      </c>
      <c r="S83" t="s">
        <v>580</v>
      </c>
      <c r="T83" t="s">
        <v>581</v>
      </c>
      <c r="U83" t="s">
        <v>60</v>
      </c>
      <c r="V83" t="s">
        <v>61</v>
      </c>
      <c r="W83">
        <v>3</v>
      </c>
      <c r="X83">
        <v>0.14000000000000001</v>
      </c>
      <c r="Y83" t="s">
        <v>321</v>
      </c>
      <c r="Z83" t="s">
        <v>582</v>
      </c>
      <c r="AA83">
        <v>3</v>
      </c>
      <c r="AB83" t="s">
        <v>63</v>
      </c>
      <c r="AC83" t="s">
        <v>64</v>
      </c>
      <c r="AD83" t="s">
        <v>65</v>
      </c>
      <c r="AE83" t="s">
        <v>65</v>
      </c>
      <c r="AF83" t="s">
        <v>65</v>
      </c>
      <c r="AG83" t="s">
        <v>191</v>
      </c>
      <c r="AH83" t="s">
        <v>322</v>
      </c>
      <c r="AI83" t="s">
        <v>322</v>
      </c>
      <c r="AJ83" t="s">
        <v>66</v>
      </c>
      <c r="AK83">
        <v>1</v>
      </c>
      <c r="AL83" t="s">
        <v>455</v>
      </c>
      <c r="AM83" t="s">
        <v>456</v>
      </c>
      <c r="AN83" t="s">
        <v>324</v>
      </c>
      <c r="AO83" t="s">
        <v>66</v>
      </c>
      <c r="AP83">
        <v>1</v>
      </c>
      <c r="AQ83" t="s">
        <v>457</v>
      </c>
      <c r="AR83" t="s">
        <v>458</v>
      </c>
      <c r="AS83" t="s">
        <v>459</v>
      </c>
      <c r="AT83" t="s">
        <v>66</v>
      </c>
      <c r="AV83">
        <v>83</v>
      </c>
    </row>
    <row r="84" spans="1:48" x14ac:dyDescent="0.15">
      <c r="A84" t="s">
        <v>583</v>
      </c>
      <c r="B84" t="s">
        <v>47</v>
      </c>
      <c r="C84" t="s">
        <v>48</v>
      </c>
      <c r="D84">
        <v>80</v>
      </c>
      <c r="E84" t="s">
        <v>49</v>
      </c>
      <c r="F84" t="s">
        <v>50</v>
      </c>
      <c r="G84" t="s">
        <v>51</v>
      </c>
      <c r="H84" t="s">
        <v>52</v>
      </c>
      <c r="I84" t="s">
        <v>53</v>
      </c>
      <c r="J84" t="s">
        <v>54</v>
      </c>
      <c r="K84" t="s">
        <v>55</v>
      </c>
      <c r="L84" t="s">
        <v>17</v>
      </c>
      <c r="M84" t="s">
        <v>16</v>
      </c>
      <c r="N84">
        <v>4934</v>
      </c>
      <c r="O84">
        <v>287</v>
      </c>
      <c r="P84">
        <v>0</v>
      </c>
      <c r="Q84" t="s">
        <v>584</v>
      </c>
      <c r="R84" t="s">
        <v>585</v>
      </c>
      <c r="S84" t="s">
        <v>586</v>
      </c>
      <c r="T84" t="s">
        <v>587</v>
      </c>
      <c r="U84" t="s">
        <v>60</v>
      </c>
      <c r="V84" t="s">
        <v>61</v>
      </c>
      <c r="W84">
        <v>3</v>
      </c>
      <c r="X84">
        <v>0.14000000000000001</v>
      </c>
      <c r="Y84" t="s">
        <v>588</v>
      </c>
      <c r="Z84" t="s">
        <v>589</v>
      </c>
      <c r="AA84">
        <v>3</v>
      </c>
      <c r="AB84" t="s">
        <v>63</v>
      </c>
      <c r="AC84" t="s">
        <v>64</v>
      </c>
      <c r="AD84" t="s">
        <v>65</v>
      </c>
      <c r="AE84" t="s">
        <v>65</v>
      </c>
      <c r="AF84" t="s">
        <v>65</v>
      </c>
      <c r="AG84" t="s">
        <v>191</v>
      </c>
      <c r="AH84" t="s">
        <v>322</v>
      </c>
      <c r="AI84" t="s">
        <v>322</v>
      </c>
      <c r="AJ84" t="s">
        <v>66</v>
      </c>
      <c r="AK84">
        <v>1</v>
      </c>
      <c r="AL84" t="s">
        <v>455</v>
      </c>
      <c r="AM84" t="s">
        <v>456</v>
      </c>
      <c r="AN84" t="s">
        <v>324</v>
      </c>
      <c r="AO84" t="s">
        <v>66</v>
      </c>
      <c r="AP84">
        <v>1</v>
      </c>
      <c r="AQ84" t="s">
        <v>457</v>
      </c>
      <c r="AR84" t="s">
        <v>458</v>
      </c>
      <c r="AS84" t="s">
        <v>459</v>
      </c>
      <c r="AT84" t="s">
        <v>66</v>
      </c>
      <c r="AV84">
        <v>84</v>
      </c>
    </row>
    <row r="85" spans="1:48" x14ac:dyDescent="0.15">
      <c r="A85" t="s">
        <v>583</v>
      </c>
      <c r="B85" t="s">
        <v>47</v>
      </c>
      <c r="C85" t="s">
        <v>48</v>
      </c>
      <c r="D85">
        <v>80</v>
      </c>
      <c r="E85" t="s">
        <v>49</v>
      </c>
      <c r="F85" t="s">
        <v>50</v>
      </c>
      <c r="G85" t="s">
        <v>51</v>
      </c>
      <c r="H85" t="s">
        <v>52</v>
      </c>
      <c r="I85" t="s">
        <v>53</v>
      </c>
      <c r="J85" t="s">
        <v>54</v>
      </c>
      <c r="K85" t="s">
        <v>55</v>
      </c>
      <c r="L85" t="s">
        <v>17</v>
      </c>
      <c r="M85" t="s">
        <v>16</v>
      </c>
      <c r="N85">
        <v>4934</v>
      </c>
      <c r="O85">
        <v>287</v>
      </c>
      <c r="P85">
        <v>0</v>
      </c>
      <c r="Q85" t="s">
        <v>584</v>
      </c>
      <c r="R85" t="s">
        <v>585</v>
      </c>
      <c r="S85" t="s">
        <v>586</v>
      </c>
      <c r="T85" t="s">
        <v>587</v>
      </c>
      <c r="U85" t="s">
        <v>60</v>
      </c>
      <c r="V85" t="s">
        <v>61</v>
      </c>
      <c r="W85">
        <v>3</v>
      </c>
      <c r="X85">
        <v>0.14000000000000001</v>
      </c>
      <c r="Y85" t="s">
        <v>588</v>
      </c>
      <c r="Z85" t="s">
        <v>589</v>
      </c>
      <c r="AA85">
        <v>4</v>
      </c>
      <c r="AB85" t="s">
        <v>63</v>
      </c>
      <c r="AC85" t="s">
        <v>64</v>
      </c>
      <c r="AD85" t="s">
        <v>65</v>
      </c>
      <c r="AE85" t="s">
        <v>65</v>
      </c>
      <c r="AF85" t="s">
        <v>65</v>
      </c>
      <c r="AG85" t="s">
        <v>191</v>
      </c>
      <c r="AH85" t="s">
        <v>322</v>
      </c>
      <c r="AI85" t="s">
        <v>322</v>
      </c>
      <c r="AJ85" t="s">
        <v>590</v>
      </c>
      <c r="AK85">
        <v>1</v>
      </c>
      <c r="AL85" t="s">
        <v>455</v>
      </c>
      <c r="AM85" t="s">
        <v>456</v>
      </c>
      <c r="AN85" t="s">
        <v>324</v>
      </c>
      <c r="AO85" t="s">
        <v>66</v>
      </c>
      <c r="AP85">
        <v>1</v>
      </c>
      <c r="AQ85" t="s">
        <v>457</v>
      </c>
      <c r="AR85" t="s">
        <v>458</v>
      </c>
      <c r="AS85" t="s">
        <v>459</v>
      </c>
      <c r="AT85" t="s">
        <v>66</v>
      </c>
      <c r="AV85">
        <v>85</v>
      </c>
    </row>
    <row r="86" spans="1:48" x14ac:dyDescent="0.15">
      <c r="A86" t="s">
        <v>591</v>
      </c>
      <c r="B86" t="s">
        <v>47</v>
      </c>
      <c r="C86" t="s">
        <v>48</v>
      </c>
      <c r="D86">
        <v>81</v>
      </c>
      <c r="E86" t="s">
        <v>49</v>
      </c>
      <c r="F86" t="s">
        <v>50</v>
      </c>
      <c r="G86" t="s">
        <v>51</v>
      </c>
      <c r="H86" t="s">
        <v>52</v>
      </c>
      <c r="I86" t="s">
        <v>53</v>
      </c>
      <c r="J86" t="s">
        <v>54</v>
      </c>
      <c r="K86" t="s">
        <v>55</v>
      </c>
      <c r="L86" t="s">
        <v>17</v>
      </c>
      <c r="M86" t="s">
        <v>16</v>
      </c>
      <c r="N86">
        <v>4990</v>
      </c>
      <c r="O86">
        <v>290</v>
      </c>
      <c r="P86">
        <v>0</v>
      </c>
      <c r="Q86" t="s">
        <v>592</v>
      </c>
      <c r="R86" t="s">
        <v>593</v>
      </c>
      <c r="S86" t="s">
        <v>594</v>
      </c>
      <c r="T86" t="s">
        <v>595</v>
      </c>
      <c r="U86" t="s">
        <v>60</v>
      </c>
      <c r="V86" t="s">
        <v>61</v>
      </c>
      <c r="W86">
        <v>3</v>
      </c>
      <c r="X86">
        <v>0.14000000000000001</v>
      </c>
      <c r="Y86" t="s">
        <v>330</v>
      </c>
      <c r="Z86" t="s">
        <v>596</v>
      </c>
      <c r="AA86">
        <v>4</v>
      </c>
      <c r="AB86" t="s">
        <v>63</v>
      </c>
      <c r="AC86" t="s">
        <v>64</v>
      </c>
      <c r="AD86" t="s">
        <v>65</v>
      </c>
      <c r="AE86" t="s">
        <v>65</v>
      </c>
      <c r="AF86" t="s">
        <v>65</v>
      </c>
      <c r="AG86" t="s">
        <v>191</v>
      </c>
      <c r="AH86" t="s">
        <v>322</v>
      </c>
      <c r="AI86" t="s">
        <v>322</v>
      </c>
      <c r="AJ86" t="s">
        <v>590</v>
      </c>
      <c r="AK86">
        <v>1</v>
      </c>
      <c r="AL86" t="s">
        <v>455</v>
      </c>
      <c r="AM86" t="s">
        <v>456</v>
      </c>
      <c r="AN86" t="s">
        <v>324</v>
      </c>
      <c r="AO86" t="s">
        <v>66</v>
      </c>
      <c r="AP86">
        <v>1</v>
      </c>
      <c r="AQ86" t="s">
        <v>457</v>
      </c>
      <c r="AR86" t="s">
        <v>458</v>
      </c>
      <c r="AS86" t="s">
        <v>459</v>
      </c>
      <c r="AT86" t="s">
        <v>66</v>
      </c>
      <c r="AV86">
        <v>86</v>
      </c>
    </row>
    <row r="87" spans="1:48" x14ac:dyDescent="0.15">
      <c r="A87" t="s">
        <v>597</v>
      </c>
      <c r="B87" t="s">
        <v>47</v>
      </c>
      <c r="C87" t="s">
        <v>48</v>
      </c>
      <c r="D87">
        <v>82</v>
      </c>
      <c r="E87" t="s">
        <v>49</v>
      </c>
      <c r="F87" t="s">
        <v>50</v>
      </c>
      <c r="G87" t="s">
        <v>51</v>
      </c>
      <c r="H87" t="s">
        <v>52</v>
      </c>
      <c r="I87" t="s">
        <v>53</v>
      </c>
      <c r="J87" t="s">
        <v>54</v>
      </c>
      <c r="K87" t="s">
        <v>55</v>
      </c>
      <c r="L87" t="s">
        <v>17</v>
      </c>
      <c r="M87" t="s">
        <v>16</v>
      </c>
      <c r="N87">
        <v>5046</v>
      </c>
      <c r="O87">
        <v>293</v>
      </c>
      <c r="P87">
        <v>0</v>
      </c>
      <c r="Q87" t="s">
        <v>598</v>
      </c>
      <c r="R87" t="s">
        <v>599</v>
      </c>
      <c r="S87" t="s">
        <v>600</v>
      </c>
      <c r="T87" t="s">
        <v>601</v>
      </c>
      <c r="U87" t="s">
        <v>60</v>
      </c>
      <c r="V87" t="s">
        <v>61</v>
      </c>
      <c r="W87">
        <v>3</v>
      </c>
      <c r="X87">
        <v>0.14000000000000001</v>
      </c>
      <c r="Y87" t="s">
        <v>602</v>
      </c>
      <c r="Z87" t="s">
        <v>603</v>
      </c>
      <c r="AA87">
        <v>4</v>
      </c>
      <c r="AB87" t="s">
        <v>63</v>
      </c>
      <c r="AC87" t="s">
        <v>64</v>
      </c>
      <c r="AD87" t="s">
        <v>65</v>
      </c>
      <c r="AE87" t="s">
        <v>65</v>
      </c>
      <c r="AF87" t="s">
        <v>65</v>
      </c>
      <c r="AG87" t="s">
        <v>191</v>
      </c>
      <c r="AH87" t="s">
        <v>322</v>
      </c>
      <c r="AI87" t="s">
        <v>322</v>
      </c>
      <c r="AJ87" t="s">
        <v>590</v>
      </c>
      <c r="AK87">
        <v>1</v>
      </c>
      <c r="AL87" t="s">
        <v>455</v>
      </c>
      <c r="AM87" t="s">
        <v>456</v>
      </c>
      <c r="AN87" t="s">
        <v>324</v>
      </c>
      <c r="AO87" t="s">
        <v>66</v>
      </c>
      <c r="AP87">
        <v>1</v>
      </c>
      <c r="AQ87" t="s">
        <v>457</v>
      </c>
      <c r="AR87" t="s">
        <v>458</v>
      </c>
      <c r="AS87" t="s">
        <v>459</v>
      </c>
      <c r="AT87" t="s">
        <v>66</v>
      </c>
      <c r="AV87">
        <v>87</v>
      </c>
    </row>
    <row r="88" spans="1:48" x14ac:dyDescent="0.15">
      <c r="A88" t="s">
        <v>604</v>
      </c>
      <c r="B88" t="s">
        <v>47</v>
      </c>
      <c r="C88" t="s">
        <v>48</v>
      </c>
      <c r="D88">
        <v>83</v>
      </c>
      <c r="E88" t="s">
        <v>49</v>
      </c>
      <c r="F88" t="s">
        <v>50</v>
      </c>
      <c r="G88" t="s">
        <v>51</v>
      </c>
      <c r="H88" t="s">
        <v>52</v>
      </c>
      <c r="I88" t="s">
        <v>53</v>
      </c>
      <c r="J88" t="s">
        <v>54</v>
      </c>
      <c r="K88" t="s">
        <v>55</v>
      </c>
      <c r="L88" t="s">
        <v>17</v>
      </c>
      <c r="M88" t="s">
        <v>16</v>
      </c>
      <c r="N88">
        <v>5102</v>
      </c>
      <c r="O88">
        <v>296</v>
      </c>
      <c r="P88">
        <v>0</v>
      </c>
      <c r="Q88" t="s">
        <v>605</v>
      </c>
      <c r="R88" t="s">
        <v>606</v>
      </c>
      <c r="S88" t="s">
        <v>607</v>
      </c>
      <c r="T88" t="s">
        <v>608</v>
      </c>
      <c r="U88" t="s">
        <v>60</v>
      </c>
      <c r="V88" t="s">
        <v>61</v>
      </c>
      <c r="W88">
        <v>3</v>
      </c>
      <c r="X88">
        <v>0.14000000000000001</v>
      </c>
      <c r="Y88" t="s">
        <v>337</v>
      </c>
      <c r="Z88" t="s">
        <v>609</v>
      </c>
      <c r="AA88">
        <v>4</v>
      </c>
      <c r="AB88" t="s">
        <v>63</v>
      </c>
      <c r="AC88" t="s">
        <v>64</v>
      </c>
      <c r="AD88" t="s">
        <v>65</v>
      </c>
      <c r="AE88" t="s">
        <v>65</v>
      </c>
      <c r="AF88" t="s">
        <v>65</v>
      </c>
      <c r="AG88" t="s">
        <v>191</v>
      </c>
      <c r="AH88" t="s">
        <v>322</v>
      </c>
      <c r="AI88" t="s">
        <v>322</v>
      </c>
      <c r="AJ88" t="s">
        <v>590</v>
      </c>
      <c r="AK88">
        <v>1</v>
      </c>
      <c r="AL88" t="s">
        <v>455</v>
      </c>
      <c r="AM88" t="s">
        <v>456</v>
      </c>
      <c r="AN88" t="s">
        <v>324</v>
      </c>
      <c r="AO88" t="s">
        <v>66</v>
      </c>
      <c r="AP88">
        <v>1</v>
      </c>
      <c r="AQ88" t="s">
        <v>457</v>
      </c>
      <c r="AR88" t="s">
        <v>458</v>
      </c>
      <c r="AS88" t="s">
        <v>459</v>
      </c>
      <c r="AT88" t="s">
        <v>66</v>
      </c>
      <c r="AV88">
        <v>88</v>
      </c>
    </row>
    <row r="89" spans="1:48" x14ac:dyDescent="0.15">
      <c r="A89" t="s">
        <v>610</v>
      </c>
      <c r="B89" t="s">
        <v>47</v>
      </c>
      <c r="C89" t="s">
        <v>48</v>
      </c>
      <c r="D89">
        <v>84</v>
      </c>
      <c r="E89" t="s">
        <v>49</v>
      </c>
      <c r="F89" t="s">
        <v>50</v>
      </c>
      <c r="G89" t="s">
        <v>51</v>
      </c>
      <c r="H89" t="s">
        <v>52</v>
      </c>
      <c r="I89" t="s">
        <v>53</v>
      </c>
      <c r="J89" t="s">
        <v>54</v>
      </c>
      <c r="K89" t="s">
        <v>55</v>
      </c>
      <c r="L89" t="s">
        <v>17</v>
      </c>
      <c r="M89" t="s">
        <v>16</v>
      </c>
      <c r="N89">
        <v>5158</v>
      </c>
      <c r="O89">
        <v>300</v>
      </c>
      <c r="P89">
        <v>0</v>
      </c>
      <c r="Q89" t="s">
        <v>611</v>
      </c>
      <c r="R89" t="s">
        <v>612</v>
      </c>
      <c r="S89" t="s">
        <v>613</v>
      </c>
      <c r="T89" t="s">
        <v>614</v>
      </c>
      <c r="U89" t="s">
        <v>60</v>
      </c>
      <c r="V89" t="s">
        <v>61</v>
      </c>
      <c r="W89">
        <v>3</v>
      </c>
      <c r="X89">
        <v>0.14000000000000001</v>
      </c>
      <c r="Y89" t="s">
        <v>615</v>
      </c>
      <c r="Z89" t="s">
        <v>616</v>
      </c>
      <c r="AA89">
        <v>4</v>
      </c>
      <c r="AB89" t="s">
        <v>63</v>
      </c>
      <c r="AC89" t="s">
        <v>64</v>
      </c>
      <c r="AD89" t="s">
        <v>65</v>
      </c>
      <c r="AE89" t="s">
        <v>65</v>
      </c>
      <c r="AF89" t="s">
        <v>65</v>
      </c>
      <c r="AG89" t="s">
        <v>191</v>
      </c>
      <c r="AH89" t="s">
        <v>322</v>
      </c>
      <c r="AI89" t="s">
        <v>322</v>
      </c>
      <c r="AJ89" t="s">
        <v>590</v>
      </c>
      <c r="AK89">
        <v>1</v>
      </c>
      <c r="AL89" t="s">
        <v>455</v>
      </c>
      <c r="AM89" t="s">
        <v>456</v>
      </c>
      <c r="AN89" t="s">
        <v>324</v>
      </c>
      <c r="AO89" t="s">
        <v>66</v>
      </c>
      <c r="AP89">
        <v>1</v>
      </c>
      <c r="AQ89" t="s">
        <v>457</v>
      </c>
      <c r="AR89" t="s">
        <v>458</v>
      </c>
      <c r="AS89" t="s">
        <v>459</v>
      </c>
      <c r="AT89" t="s">
        <v>66</v>
      </c>
      <c r="AV89">
        <v>89</v>
      </c>
    </row>
    <row r="90" spans="1:48" x14ac:dyDescent="0.15">
      <c r="A90" t="s">
        <v>617</v>
      </c>
      <c r="B90" t="s">
        <v>47</v>
      </c>
      <c r="C90" t="s">
        <v>48</v>
      </c>
      <c r="D90">
        <v>85</v>
      </c>
      <c r="E90" t="s">
        <v>49</v>
      </c>
      <c r="F90" t="s">
        <v>50</v>
      </c>
      <c r="G90" t="s">
        <v>51</v>
      </c>
      <c r="H90" t="s">
        <v>52</v>
      </c>
      <c r="I90" t="s">
        <v>53</v>
      </c>
      <c r="J90" t="s">
        <v>54</v>
      </c>
      <c r="K90" t="s">
        <v>55</v>
      </c>
      <c r="L90" t="s">
        <v>17</v>
      </c>
      <c r="M90" t="s">
        <v>16</v>
      </c>
      <c r="N90">
        <v>5214</v>
      </c>
      <c r="O90">
        <v>303</v>
      </c>
      <c r="P90">
        <v>0</v>
      </c>
      <c r="Q90" t="s">
        <v>618</v>
      </c>
      <c r="R90" t="s">
        <v>619</v>
      </c>
      <c r="S90" t="s">
        <v>620</v>
      </c>
      <c r="T90" t="s">
        <v>621</v>
      </c>
      <c r="U90" t="s">
        <v>60</v>
      </c>
      <c r="V90" t="s">
        <v>61</v>
      </c>
      <c r="W90">
        <v>3</v>
      </c>
      <c r="X90">
        <v>0.14000000000000001</v>
      </c>
      <c r="Y90" t="s">
        <v>343</v>
      </c>
      <c r="Z90" t="s">
        <v>622</v>
      </c>
      <c r="AA90">
        <v>4</v>
      </c>
      <c r="AB90" t="s">
        <v>63</v>
      </c>
      <c r="AC90" t="s">
        <v>64</v>
      </c>
      <c r="AD90" t="s">
        <v>65</v>
      </c>
      <c r="AE90" t="s">
        <v>65</v>
      </c>
      <c r="AF90" t="s">
        <v>65</v>
      </c>
      <c r="AG90" t="s">
        <v>191</v>
      </c>
      <c r="AH90" t="s">
        <v>322</v>
      </c>
      <c r="AI90" t="s">
        <v>322</v>
      </c>
      <c r="AJ90" t="s">
        <v>590</v>
      </c>
      <c r="AK90">
        <v>1</v>
      </c>
      <c r="AL90" t="s">
        <v>455</v>
      </c>
      <c r="AM90" t="s">
        <v>456</v>
      </c>
      <c r="AN90" t="s">
        <v>324</v>
      </c>
      <c r="AO90" t="s">
        <v>66</v>
      </c>
      <c r="AP90">
        <v>1</v>
      </c>
      <c r="AQ90" t="s">
        <v>457</v>
      </c>
      <c r="AR90" t="s">
        <v>458</v>
      </c>
      <c r="AS90" t="s">
        <v>459</v>
      </c>
      <c r="AT90" t="s">
        <v>66</v>
      </c>
      <c r="AV90">
        <v>90</v>
      </c>
    </row>
    <row r="91" spans="1:48" x14ac:dyDescent="0.15">
      <c r="A91" t="s">
        <v>623</v>
      </c>
      <c r="B91" t="s">
        <v>47</v>
      </c>
      <c r="C91" t="s">
        <v>48</v>
      </c>
      <c r="D91">
        <v>86</v>
      </c>
      <c r="E91" t="s">
        <v>49</v>
      </c>
      <c r="F91" t="s">
        <v>50</v>
      </c>
      <c r="G91" t="s">
        <v>51</v>
      </c>
      <c r="H91" t="s">
        <v>52</v>
      </c>
      <c r="I91" t="s">
        <v>53</v>
      </c>
      <c r="J91" t="s">
        <v>54</v>
      </c>
      <c r="K91" t="s">
        <v>55</v>
      </c>
      <c r="L91" t="s">
        <v>17</v>
      </c>
      <c r="M91" t="s">
        <v>16</v>
      </c>
      <c r="N91">
        <v>5270</v>
      </c>
      <c r="O91">
        <v>306</v>
      </c>
      <c r="P91">
        <v>0</v>
      </c>
      <c r="Q91" t="s">
        <v>624</v>
      </c>
      <c r="R91" t="s">
        <v>625</v>
      </c>
      <c r="S91" t="s">
        <v>626</v>
      </c>
      <c r="T91" t="s">
        <v>627</v>
      </c>
      <c r="U91" t="s">
        <v>60</v>
      </c>
      <c r="V91" t="s">
        <v>61</v>
      </c>
      <c r="W91">
        <v>3</v>
      </c>
      <c r="X91">
        <v>0.14000000000000001</v>
      </c>
      <c r="Y91" t="s">
        <v>628</v>
      </c>
      <c r="Z91" t="s">
        <v>629</v>
      </c>
      <c r="AA91">
        <v>4</v>
      </c>
      <c r="AB91" t="s">
        <v>63</v>
      </c>
      <c r="AC91" t="s">
        <v>64</v>
      </c>
      <c r="AD91" t="s">
        <v>65</v>
      </c>
      <c r="AE91" t="s">
        <v>65</v>
      </c>
      <c r="AF91" t="s">
        <v>65</v>
      </c>
      <c r="AG91" t="s">
        <v>191</v>
      </c>
      <c r="AH91" t="s">
        <v>322</v>
      </c>
      <c r="AI91" t="s">
        <v>322</v>
      </c>
      <c r="AJ91" t="s">
        <v>590</v>
      </c>
      <c r="AK91">
        <v>1</v>
      </c>
      <c r="AL91" t="s">
        <v>455</v>
      </c>
      <c r="AM91" t="s">
        <v>456</v>
      </c>
      <c r="AN91" t="s">
        <v>324</v>
      </c>
      <c r="AO91" t="s">
        <v>66</v>
      </c>
      <c r="AP91">
        <v>1</v>
      </c>
      <c r="AQ91" t="s">
        <v>457</v>
      </c>
      <c r="AR91" t="s">
        <v>458</v>
      </c>
      <c r="AS91" t="s">
        <v>459</v>
      </c>
      <c r="AT91" t="s">
        <v>66</v>
      </c>
      <c r="AV91">
        <v>91</v>
      </c>
    </row>
    <row r="92" spans="1:48" x14ac:dyDescent="0.15">
      <c r="A92" t="s">
        <v>630</v>
      </c>
      <c r="B92" t="s">
        <v>47</v>
      </c>
      <c r="C92" t="s">
        <v>48</v>
      </c>
      <c r="D92">
        <v>87</v>
      </c>
      <c r="E92" t="s">
        <v>49</v>
      </c>
      <c r="F92" t="s">
        <v>50</v>
      </c>
      <c r="G92" t="s">
        <v>51</v>
      </c>
      <c r="H92" t="s">
        <v>52</v>
      </c>
      <c r="I92" t="s">
        <v>53</v>
      </c>
      <c r="J92" t="s">
        <v>54</v>
      </c>
      <c r="K92" t="s">
        <v>55</v>
      </c>
      <c r="L92" t="s">
        <v>17</v>
      </c>
      <c r="M92" t="s">
        <v>16</v>
      </c>
      <c r="N92">
        <v>5327</v>
      </c>
      <c r="O92">
        <v>309</v>
      </c>
      <c r="P92">
        <v>0</v>
      </c>
      <c r="Q92" t="s">
        <v>631</v>
      </c>
      <c r="R92" t="s">
        <v>632</v>
      </c>
      <c r="S92" t="s">
        <v>633</v>
      </c>
      <c r="T92" t="s">
        <v>634</v>
      </c>
      <c r="U92" t="s">
        <v>60</v>
      </c>
      <c r="V92" t="s">
        <v>61</v>
      </c>
      <c r="W92">
        <v>3</v>
      </c>
      <c r="X92">
        <v>0.14000000000000001</v>
      </c>
      <c r="Y92" t="s">
        <v>350</v>
      </c>
      <c r="Z92" t="s">
        <v>635</v>
      </c>
      <c r="AA92">
        <v>4</v>
      </c>
      <c r="AB92" t="s">
        <v>63</v>
      </c>
      <c r="AC92" t="s">
        <v>64</v>
      </c>
      <c r="AD92" t="s">
        <v>65</v>
      </c>
      <c r="AE92" t="s">
        <v>65</v>
      </c>
      <c r="AF92" t="s">
        <v>65</v>
      </c>
      <c r="AG92" t="s">
        <v>191</v>
      </c>
      <c r="AH92" t="s">
        <v>322</v>
      </c>
      <c r="AI92" t="s">
        <v>322</v>
      </c>
      <c r="AJ92" t="s">
        <v>590</v>
      </c>
      <c r="AK92">
        <v>1</v>
      </c>
      <c r="AL92" t="s">
        <v>455</v>
      </c>
      <c r="AM92" t="s">
        <v>456</v>
      </c>
      <c r="AN92" t="s">
        <v>324</v>
      </c>
      <c r="AO92" t="s">
        <v>66</v>
      </c>
      <c r="AP92">
        <v>1</v>
      </c>
      <c r="AQ92" t="s">
        <v>457</v>
      </c>
      <c r="AR92" t="s">
        <v>458</v>
      </c>
      <c r="AS92" t="s">
        <v>459</v>
      </c>
      <c r="AT92" t="s">
        <v>66</v>
      </c>
      <c r="AV92">
        <v>92</v>
      </c>
    </row>
    <row r="93" spans="1:48" x14ac:dyDescent="0.15">
      <c r="A93" t="s">
        <v>636</v>
      </c>
      <c r="B93" t="s">
        <v>47</v>
      </c>
      <c r="C93" t="s">
        <v>48</v>
      </c>
      <c r="D93">
        <v>88</v>
      </c>
      <c r="E93" t="s">
        <v>49</v>
      </c>
      <c r="F93" t="s">
        <v>50</v>
      </c>
      <c r="G93" t="s">
        <v>51</v>
      </c>
      <c r="H93" t="s">
        <v>52</v>
      </c>
      <c r="I93" t="s">
        <v>53</v>
      </c>
      <c r="J93" t="s">
        <v>54</v>
      </c>
      <c r="K93" t="s">
        <v>55</v>
      </c>
      <c r="L93" t="s">
        <v>17</v>
      </c>
      <c r="M93" t="s">
        <v>16</v>
      </c>
      <c r="N93">
        <v>5383</v>
      </c>
      <c r="O93">
        <v>313</v>
      </c>
      <c r="P93">
        <v>0</v>
      </c>
      <c r="Q93" t="s">
        <v>637</v>
      </c>
      <c r="R93" t="s">
        <v>638</v>
      </c>
      <c r="S93" t="s">
        <v>639</v>
      </c>
      <c r="T93" t="s">
        <v>640</v>
      </c>
      <c r="U93" t="s">
        <v>60</v>
      </c>
      <c r="V93" t="s">
        <v>61</v>
      </c>
      <c r="W93">
        <v>3</v>
      </c>
      <c r="X93">
        <v>0.14000000000000001</v>
      </c>
      <c r="Y93" t="s">
        <v>641</v>
      </c>
      <c r="Z93" t="s">
        <v>642</v>
      </c>
      <c r="AA93">
        <v>4</v>
      </c>
      <c r="AB93" t="s">
        <v>63</v>
      </c>
      <c r="AC93" t="s">
        <v>64</v>
      </c>
      <c r="AD93" t="s">
        <v>65</v>
      </c>
      <c r="AE93" t="s">
        <v>65</v>
      </c>
      <c r="AF93" t="s">
        <v>65</v>
      </c>
      <c r="AG93" t="s">
        <v>191</v>
      </c>
      <c r="AH93" t="s">
        <v>322</v>
      </c>
      <c r="AI93" t="s">
        <v>322</v>
      </c>
      <c r="AJ93" t="s">
        <v>590</v>
      </c>
      <c r="AK93">
        <v>1</v>
      </c>
      <c r="AL93" t="s">
        <v>455</v>
      </c>
      <c r="AM93" t="s">
        <v>456</v>
      </c>
      <c r="AN93" t="s">
        <v>324</v>
      </c>
      <c r="AO93" t="s">
        <v>66</v>
      </c>
      <c r="AP93">
        <v>1</v>
      </c>
      <c r="AQ93" t="s">
        <v>457</v>
      </c>
      <c r="AR93" t="s">
        <v>458</v>
      </c>
      <c r="AS93" t="s">
        <v>459</v>
      </c>
      <c r="AT93" t="s">
        <v>66</v>
      </c>
      <c r="AV93">
        <v>93</v>
      </c>
    </row>
    <row r="94" spans="1:48" x14ac:dyDescent="0.15">
      <c r="A94" t="s">
        <v>643</v>
      </c>
      <c r="B94" t="s">
        <v>47</v>
      </c>
      <c r="C94" t="s">
        <v>48</v>
      </c>
      <c r="D94">
        <v>89</v>
      </c>
      <c r="E94" t="s">
        <v>49</v>
      </c>
      <c r="F94" t="s">
        <v>50</v>
      </c>
      <c r="G94" t="s">
        <v>51</v>
      </c>
      <c r="H94" t="s">
        <v>52</v>
      </c>
      <c r="I94" t="s">
        <v>53</v>
      </c>
      <c r="J94" t="s">
        <v>54</v>
      </c>
      <c r="K94" t="s">
        <v>55</v>
      </c>
      <c r="L94" t="s">
        <v>17</v>
      </c>
      <c r="M94" t="s">
        <v>16</v>
      </c>
      <c r="N94">
        <v>5439</v>
      </c>
      <c r="O94">
        <v>316</v>
      </c>
      <c r="P94">
        <v>0</v>
      </c>
      <c r="Q94" t="s">
        <v>644</v>
      </c>
      <c r="R94" t="s">
        <v>645</v>
      </c>
      <c r="S94" t="s">
        <v>646</v>
      </c>
      <c r="T94" t="s">
        <v>647</v>
      </c>
      <c r="U94" t="s">
        <v>60</v>
      </c>
      <c r="V94" t="s">
        <v>61</v>
      </c>
      <c r="W94">
        <v>3</v>
      </c>
      <c r="X94">
        <v>0.14000000000000001</v>
      </c>
      <c r="Y94" t="s">
        <v>356</v>
      </c>
      <c r="Z94" t="s">
        <v>648</v>
      </c>
      <c r="AA94">
        <v>4</v>
      </c>
      <c r="AB94" t="s">
        <v>63</v>
      </c>
      <c r="AC94" t="s">
        <v>64</v>
      </c>
      <c r="AD94" t="s">
        <v>65</v>
      </c>
      <c r="AE94" t="s">
        <v>65</v>
      </c>
      <c r="AF94" t="s">
        <v>65</v>
      </c>
      <c r="AG94" t="s">
        <v>191</v>
      </c>
      <c r="AH94" t="s">
        <v>322</v>
      </c>
      <c r="AI94" t="s">
        <v>322</v>
      </c>
      <c r="AJ94" t="s">
        <v>590</v>
      </c>
      <c r="AK94">
        <v>1</v>
      </c>
      <c r="AL94" t="s">
        <v>455</v>
      </c>
      <c r="AM94" t="s">
        <v>456</v>
      </c>
      <c r="AN94" t="s">
        <v>324</v>
      </c>
      <c r="AO94" t="s">
        <v>66</v>
      </c>
      <c r="AP94">
        <v>1</v>
      </c>
      <c r="AQ94" t="s">
        <v>457</v>
      </c>
      <c r="AR94" t="s">
        <v>458</v>
      </c>
      <c r="AS94" t="s">
        <v>459</v>
      </c>
      <c r="AT94" t="s">
        <v>66</v>
      </c>
      <c r="AV94">
        <v>94</v>
      </c>
    </row>
    <row r="95" spans="1:48" x14ac:dyDescent="0.15">
      <c r="A95" t="s">
        <v>649</v>
      </c>
      <c r="B95" t="s">
        <v>47</v>
      </c>
      <c r="C95" t="s">
        <v>48</v>
      </c>
      <c r="D95">
        <v>90</v>
      </c>
      <c r="E95" t="s">
        <v>49</v>
      </c>
      <c r="F95" t="s">
        <v>50</v>
      </c>
      <c r="G95" t="s">
        <v>51</v>
      </c>
      <c r="H95" t="s">
        <v>52</v>
      </c>
      <c r="I95" t="s">
        <v>53</v>
      </c>
      <c r="J95" t="s">
        <v>54</v>
      </c>
      <c r="K95" t="s">
        <v>55</v>
      </c>
      <c r="L95" t="s">
        <v>17</v>
      </c>
      <c r="M95" t="s">
        <v>16</v>
      </c>
      <c r="N95">
        <v>5495</v>
      </c>
      <c r="O95">
        <v>319</v>
      </c>
      <c r="P95">
        <v>0</v>
      </c>
      <c r="Q95" t="s">
        <v>650</v>
      </c>
      <c r="R95" t="s">
        <v>651</v>
      </c>
      <c r="S95" t="s">
        <v>652</v>
      </c>
      <c r="T95" t="s">
        <v>653</v>
      </c>
      <c r="U95" t="s">
        <v>60</v>
      </c>
      <c r="V95" t="s">
        <v>61</v>
      </c>
      <c r="W95">
        <v>3</v>
      </c>
      <c r="X95">
        <v>0.14000000000000001</v>
      </c>
      <c r="Y95" t="s">
        <v>654</v>
      </c>
      <c r="Z95" t="s">
        <v>655</v>
      </c>
      <c r="AA95">
        <v>4</v>
      </c>
      <c r="AB95" t="s">
        <v>63</v>
      </c>
      <c r="AC95" t="s">
        <v>64</v>
      </c>
      <c r="AD95" t="s">
        <v>65</v>
      </c>
      <c r="AE95" t="s">
        <v>65</v>
      </c>
      <c r="AF95" t="s">
        <v>65</v>
      </c>
      <c r="AG95" t="s">
        <v>191</v>
      </c>
      <c r="AH95" t="s">
        <v>322</v>
      </c>
      <c r="AI95" t="s">
        <v>322</v>
      </c>
      <c r="AJ95" t="s">
        <v>590</v>
      </c>
      <c r="AK95">
        <v>1</v>
      </c>
      <c r="AL95" t="s">
        <v>455</v>
      </c>
      <c r="AM95" t="s">
        <v>456</v>
      </c>
      <c r="AN95" t="s">
        <v>324</v>
      </c>
      <c r="AO95" t="s">
        <v>66</v>
      </c>
      <c r="AP95">
        <v>1</v>
      </c>
      <c r="AQ95" t="s">
        <v>457</v>
      </c>
      <c r="AR95" t="s">
        <v>458</v>
      </c>
      <c r="AS95" t="s">
        <v>459</v>
      </c>
      <c r="AT95" t="s">
        <v>66</v>
      </c>
      <c r="AV95">
        <v>95</v>
      </c>
    </row>
    <row r="96" spans="1:48" x14ac:dyDescent="0.15">
      <c r="A96" t="s">
        <v>656</v>
      </c>
      <c r="B96" t="s">
        <v>47</v>
      </c>
      <c r="C96" t="s">
        <v>48</v>
      </c>
      <c r="D96">
        <v>91</v>
      </c>
      <c r="E96" t="s">
        <v>49</v>
      </c>
      <c r="F96" t="s">
        <v>50</v>
      </c>
      <c r="G96" t="s">
        <v>51</v>
      </c>
      <c r="H96" t="s">
        <v>52</v>
      </c>
      <c r="I96" t="s">
        <v>53</v>
      </c>
      <c r="J96" t="s">
        <v>54</v>
      </c>
      <c r="K96" t="s">
        <v>55</v>
      </c>
      <c r="L96" t="s">
        <v>17</v>
      </c>
      <c r="M96" t="s">
        <v>16</v>
      </c>
      <c r="N96">
        <v>5551</v>
      </c>
      <c r="O96">
        <v>322</v>
      </c>
      <c r="P96">
        <v>0</v>
      </c>
      <c r="Q96" t="s">
        <v>657</v>
      </c>
      <c r="R96" t="s">
        <v>658</v>
      </c>
      <c r="S96" t="s">
        <v>659</v>
      </c>
      <c r="T96" t="s">
        <v>660</v>
      </c>
      <c r="U96" t="s">
        <v>60</v>
      </c>
      <c r="V96" t="s">
        <v>61</v>
      </c>
      <c r="W96">
        <v>3</v>
      </c>
      <c r="X96">
        <v>0.14000000000000001</v>
      </c>
      <c r="Y96" t="s">
        <v>363</v>
      </c>
      <c r="Z96" t="s">
        <v>661</v>
      </c>
      <c r="AA96">
        <v>4</v>
      </c>
      <c r="AB96" t="s">
        <v>63</v>
      </c>
      <c r="AC96" t="s">
        <v>64</v>
      </c>
      <c r="AD96" t="s">
        <v>65</v>
      </c>
      <c r="AE96" t="s">
        <v>65</v>
      </c>
      <c r="AF96" t="s">
        <v>65</v>
      </c>
      <c r="AG96" t="s">
        <v>191</v>
      </c>
      <c r="AH96" t="s">
        <v>322</v>
      </c>
      <c r="AI96" t="s">
        <v>322</v>
      </c>
      <c r="AJ96" t="s">
        <v>590</v>
      </c>
      <c r="AK96">
        <v>1</v>
      </c>
      <c r="AL96" t="s">
        <v>455</v>
      </c>
      <c r="AM96" t="s">
        <v>456</v>
      </c>
      <c r="AN96" t="s">
        <v>324</v>
      </c>
      <c r="AO96" t="s">
        <v>66</v>
      </c>
      <c r="AP96">
        <v>1</v>
      </c>
      <c r="AQ96" t="s">
        <v>457</v>
      </c>
      <c r="AR96" t="s">
        <v>458</v>
      </c>
      <c r="AS96" t="s">
        <v>459</v>
      </c>
      <c r="AT96" t="s">
        <v>66</v>
      </c>
      <c r="AV96">
        <v>96</v>
      </c>
    </row>
    <row r="97" spans="1:48" x14ac:dyDescent="0.15">
      <c r="A97" t="s">
        <v>662</v>
      </c>
      <c r="B97" t="s">
        <v>47</v>
      </c>
      <c r="C97" t="s">
        <v>48</v>
      </c>
      <c r="D97">
        <v>92</v>
      </c>
      <c r="E97" t="s">
        <v>49</v>
      </c>
      <c r="F97" t="s">
        <v>50</v>
      </c>
      <c r="G97" t="s">
        <v>51</v>
      </c>
      <c r="H97" t="s">
        <v>52</v>
      </c>
      <c r="I97" t="s">
        <v>53</v>
      </c>
      <c r="J97" t="s">
        <v>54</v>
      </c>
      <c r="K97" t="s">
        <v>55</v>
      </c>
      <c r="L97" t="s">
        <v>17</v>
      </c>
      <c r="M97" t="s">
        <v>16</v>
      </c>
      <c r="N97">
        <v>5607</v>
      </c>
      <c r="O97">
        <v>326</v>
      </c>
      <c r="P97">
        <v>0</v>
      </c>
      <c r="Q97" t="s">
        <v>663</v>
      </c>
      <c r="R97" t="s">
        <v>664</v>
      </c>
      <c r="S97" t="s">
        <v>665</v>
      </c>
      <c r="T97" t="s">
        <v>666</v>
      </c>
      <c r="U97" t="s">
        <v>60</v>
      </c>
      <c r="V97" t="s">
        <v>61</v>
      </c>
      <c r="W97">
        <v>3</v>
      </c>
      <c r="X97">
        <v>0.14000000000000001</v>
      </c>
      <c r="Y97" t="s">
        <v>667</v>
      </c>
      <c r="Z97" t="s">
        <v>668</v>
      </c>
      <c r="AA97">
        <v>4</v>
      </c>
      <c r="AB97" t="s">
        <v>63</v>
      </c>
      <c r="AC97" t="s">
        <v>64</v>
      </c>
      <c r="AD97" t="s">
        <v>65</v>
      </c>
      <c r="AE97" t="s">
        <v>65</v>
      </c>
      <c r="AF97" t="s">
        <v>65</v>
      </c>
      <c r="AG97" t="s">
        <v>191</v>
      </c>
      <c r="AH97" t="s">
        <v>322</v>
      </c>
      <c r="AI97" t="s">
        <v>322</v>
      </c>
      <c r="AJ97" t="s">
        <v>590</v>
      </c>
      <c r="AK97">
        <v>1</v>
      </c>
      <c r="AL97" t="s">
        <v>455</v>
      </c>
      <c r="AM97" t="s">
        <v>456</v>
      </c>
      <c r="AN97" t="s">
        <v>324</v>
      </c>
      <c r="AO97" t="s">
        <v>66</v>
      </c>
      <c r="AP97">
        <v>1</v>
      </c>
      <c r="AQ97" t="s">
        <v>457</v>
      </c>
      <c r="AR97" t="s">
        <v>458</v>
      </c>
      <c r="AS97" t="s">
        <v>459</v>
      </c>
      <c r="AT97" t="s">
        <v>66</v>
      </c>
      <c r="AV97">
        <v>97</v>
      </c>
    </row>
    <row r="98" spans="1:48" x14ac:dyDescent="0.15">
      <c r="A98" t="s">
        <v>669</v>
      </c>
      <c r="B98" t="s">
        <v>47</v>
      </c>
      <c r="C98" t="s">
        <v>48</v>
      </c>
      <c r="D98">
        <v>93</v>
      </c>
      <c r="E98" t="s">
        <v>49</v>
      </c>
      <c r="F98" t="s">
        <v>50</v>
      </c>
      <c r="G98" t="s">
        <v>51</v>
      </c>
      <c r="H98" t="s">
        <v>52</v>
      </c>
      <c r="I98" t="s">
        <v>53</v>
      </c>
      <c r="J98" t="s">
        <v>54</v>
      </c>
      <c r="K98" t="s">
        <v>55</v>
      </c>
      <c r="L98" t="s">
        <v>17</v>
      </c>
      <c r="M98" t="s">
        <v>16</v>
      </c>
      <c r="N98">
        <v>5663</v>
      </c>
      <c r="O98">
        <v>329</v>
      </c>
      <c r="P98">
        <v>0</v>
      </c>
      <c r="Q98" t="s">
        <v>670</v>
      </c>
      <c r="R98" t="s">
        <v>671</v>
      </c>
      <c r="S98" t="s">
        <v>672</v>
      </c>
      <c r="T98" t="s">
        <v>673</v>
      </c>
      <c r="U98" t="s">
        <v>60</v>
      </c>
      <c r="V98" t="s">
        <v>61</v>
      </c>
      <c r="W98">
        <v>3</v>
      </c>
      <c r="X98">
        <v>0.14000000000000001</v>
      </c>
      <c r="Y98" t="s">
        <v>369</v>
      </c>
      <c r="Z98" t="s">
        <v>674</v>
      </c>
      <c r="AA98">
        <v>4</v>
      </c>
      <c r="AB98" t="s">
        <v>63</v>
      </c>
      <c r="AC98" t="s">
        <v>64</v>
      </c>
      <c r="AD98" t="s">
        <v>65</v>
      </c>
      <c r="AE98" t="s">
        <v>65</v>
      </c>
      <c r="AF98" t="s">
        <v>65</v>
      </c>
      <c r="AG98" t="s">
        <v>191</v>
      </c>
      <c r="AH98" t="s">
        <v>322</v>
      </c>
      <c r="AI98" t="s">
        <v>322</v>
      </c>
      <c r="AJ98" t="s">
        <v>590</v>
      </c>
      <c r="AK98">
        <v>1</v>
      </c>
      <c r="AL98" t="s">
        <v>455</v>
      </c>
      <c r="AM98" t="s">
        <v>456</v>
      </c>
      <c r="AN98" t="s">
        <v>324</v>
      </c>
      <c r="AO98" t="s">
        <v>66</v>
      </c>
      <c r="AP98">
        <v>1</v>
      </c>
      <c r="AQ98" t="s">
        <v>457</v>
      </c>
      <c r="AR98" t="s">
        <v>458</v>
      </c>
      <c r="AS98" t="s">
        <v>459</v>
      </c>
      <c r="AT98" t="s">
        <v>66</v>
      </c>
      <c r="AV98">
        <v>98</v>
      </c>
    </row>
    <row r="99" spans="1:48" x14ac:dyDescent="0.15">
      <c r="A99" t="s">
        <v>675</v>
      </c>
      <c r="B99" t="s">
        <v>47</v>
      </c>
      <c r="C99" t="s">
        <v>48</v>
      </c>
      <c r="D99">
        <v>94</v>
      </c>
      <c r="E99" t="s">
        <v>49</v>
      </c>
      <c r="F99" t="s">
        <v>50</v>
      </c>
      <c r="G99" t="s">
        <v>51</v>
      </c>
      <c r="H99" t="s">
        <v>52</v>
      </c>
      <c r="I99" t="s">
        <v>53</v>
      </c>
      <c r="J99" t="s">
        <v>54</v>
      </c>
      <c r="K99" t="s">
        <v>55</v>
      </c>
      <c r="L99" t="s">
        <v>17</v>
      </c>
      <c r="M99" t="s">
        <v>16</v>
      </c>
      <c r="N99">
        <v>5719</v>
      </c>
      <c r="O99">
        <v>332</v>
      </c>
      <c r="P99">
        <v>0</v>
      </c>
      <c r="Q99" t="s">
        <v>676</v>
      </c>
      <c r="R99" t="s">
        <v>677</v>
      </c>
      <c r="S99" t="s">
        <v>678</v>
      </c>
      <c r="T99" t="s">
        <v>679</v>
      </c>
      <c r="U99" t="s">
        <v>60</v>
      </c>
      <c r="V99" t="s">
        <v>61</v>
      </c>
      <c r="W99">
        <v>3</v>
      </c>
      <c r="X99">
        <v>0.14000000000000001</v>
      </c>
      <c r="Y99" t="s">
        <v>680</v>
      </c>
      <c r="Z99" t="s">
        <v>681</v>
      </c>
      <c r="AA99">
        <v>4</v>
      </c>
      <c r="AB99" t="s">
        <v>63</v>
      </c>
      <c r="AC99" t="s">
        <v>64</v>
      </c>
      <c r="AD99" t="s">
        <v>65</v>
      </c>
      <c r="AE99" t="s">
        <v>65</v>
      </c>
      <c r="AF99" t="s">
        <v>65</v>
      </c>
      <c r="AG99" t="s">
        <v>191</v>
      </c>
      <c r="AH99" t="s">
        <v>322</v>
      </c>
      <c r="AI99" t="s">
        <v>322</v>
      </c>
      <c r="AJ99" t="s">
        <v>590</v>
      </c>
      <c r="AK99">
        <v>1</v>
      </c>
      <c r="AL99" t="s">
        <v>455</v>
      </c>
      <c r="AM99" t="s">
        <v>456</v>
      </c>
      <c r="AN99" t="s">
        <v>324</v>
      </c>
      <c r="AO99" t="s">
        <v>66</v>
      </c>
      <c r="AP99">
        <v>1</v>
      </c>
      <c r="AQ99" t="s">
        <v>457</v>
      </c>
      <c r="AR99" t="s">
        <v>458</v>
      </c>
      <c r="AS99" t="s">
        <v>459</v>
      </c>
      <c r="AT99" t="s">
        <v>66</v>
      </c>
      <c r="AV99">
        <v>99</v>
      </c>
    </row>
    <row r="100" spans="1:48" x14ac:dyDescent="0.15">
      <c r="A100" t="s">
        <v>682</v>
      </c>
      <c r="B100" t="s">
        <v>47</v>
      </c>
      <c r="C100" t="s">
        <v>48</v>
      </c>
      <c r="D100">
        <v>95</v>
      </c>
      <c r="E100" t="s">
        <v>49</v>
      </c>
      <c r="F100" t="s">
        <v>50</v>
      </c>
      <c r="G100" t="s">
        <v>51</v>
      </c>
      <c r="H100" t="s">
        <v>52</v>
      </c>
      <c r="I100" t="s">
        <v>53</v>
      </c>
      <c r="J100" t="s">
        <v>54</v>
      </c>
      <c r="K100" t="s">
        <v>55</v>
      </c>
      <c r="L100" t="s">
        <v>17</v>
      </c>
      <c r="M100" t="s">
        <v>16</v>
      </c>
      <c r="N100">
        <v>5776</v>
      </c>
      <c r="O100">
        <v>335</v>
      </c>
      <c r="P100">
        <v>0</v>
      </c>
      <c r="Q100" t="s">
        <v>683</v>
      </c>
      <c r="R100" t="s">
        <v>684</v>
      </c>
      <c r="S100" t="s">
        <v>685</v>
      </c>
      <c r="T100" t="s">
        <v>686</v>
      </c>
      <c r="U100" t="s">
        <v>60</v>
      </c>
      <c r="V100" t="s">
        <v>61</v>
      </c>
      <c r="W100">
        <v>3</v>
      </c>
      <c r="X100">
        <v>0.14000000000000001</v>
      </c>
      <c r="Y100" t="s">
        <v>376</v>
      </c>
      <c r="Z100" t="s">
        <v>687</v>
      </c>
      <c r="AA100">
        <v>4</v>
      </c>
      <c r="AB100" t="s">
        <v>63</v>
      </c>
      <c r="AC100" t="s">
        <v>64</v>
      </c>
      <c r="AD100" t="s">
        <v>65</v>
      </c>
      <c r="AE100" t="s">
        <v>65</v>
      </c>
      <c r="AF100" t="s">
        <v>65</v>
      </c>
      <c r="AG100" t="s">
        <v>191</v>
      </c>
      <c r="AH100" t="s">
        <v>322</v>
      </c>
      <c r="AI100" t="s">
        <v>322</v>
      </c>
      <c r="AJ100" t="s">
        <v>590</v>
      </c>
      <c r="AK100">
        <v>1</v>
      </c>
      <c r="AL100" t="s">
        <v>455</v>
      </c>
      <c r="AM100" t="s">
        <v>456</v>
      </c>
      <c r="AN100" t="s">
        <v>324</v>
      </c>
      <c r="AO100" t="s">
        <v>66</v>
      </c>
      <c r="AP100">
        <v>1</v>
      </c>
      <c r="AQ100" t="s">
        <v>457</v>
      </c>
      <c r="AR100" t="s">
        <v>458</v>
      </c>
      <c r="AS100" t="s">
        <v>459</v>
      </c>
      <c r="AT100" t="s">
        <v>66</v>
      </c>
    </row>
    <row r="101" spans="1:48" x14ac:dyDescent="0.15">
      <c r="A101" t="s">
        <v>688</v>
      </c>
      <c r="B101" t="s">
        <v>47</v>
      </c>
      <c r="C101" t="s">
        <v>48</v>
      </c>
      <c r="D101">
        <v>96</v>
      </c>
      <c r="E101" t="s">
        <v>49</v>
      </c>
      <c r="F101" t="s">
        <v>50</v>
      </c>
      <c r="G101" t="s">
        <v>51</v>
      </c>
      <c r="H101" t="s">
        <v>52</v>
      </c>
      <c r="I101" t="s">
        <v>53</v>
      </c>
      <c r="J101" t="s">
        <v>54</v>
      </c>
      <c r="K101" t="s">
        <v>55</v>
      </c>
      <c r="L101" t="s">
        <v>17</v>
      </c>
      <c r="M101" t="s">
        <v>16</v>
      </c>
      <c r="N101">
        <v>5832</v>
      </c>
      <c r="O101">
        <v>339</v>
      </c>
      <c r="P101">
        <v>0</v>
      </c>
      <c r="Q101" t="s">
        <v>689</v>
      </c>
      <c r="R101" t="s">
        <v>690</v>
      </c>
      <c r="S101" t="s">
        <v>691</v>
      </c>
      <c r="T101" t="s">
        <v>692</v>
      </c>
      <c r="U101" t="s">
        <v>60</v>
      </c>
      <c r="V101" t="s">
        <v>61</v>
      </c>
      <c r="W101">
        <v>3</v>
      </c>
      <c r="X101">
        <v>0.14000000000000001</v>
      </c>
      <c r="Y101" t="s">
        <v>693</v>
      </c>
      <c r="Z101" t="s">
        <v>694</v>
      </c>
      <c r="AA101">
        <v>4</v>
      </c>
      <c r="AB101" t="s">
        <v>63</v>
      </c>
      <c r="AC101" t="s">
        <v>64</v>
      </c>
      <c r="AD101" t="s">
        <v>65</v>
      </c>
      <c r="AE101" t="s">
        <v>65</v>
      </c>
      <c r="AF101" t="s">
        <v>65</v>
      </c>
      <c r="AG101" t="s">
        <v>191</v>
      </c>
      <c r="AH101" t="s">
        <v>322</v>
      </c>
      <c r="AI101" t="s">
        <v>322</v>
      </c>
      <c r="AJ101" t="s">
        <v>590</v>
      </c>
      <c r="AK101">
        <v>1</v>
      </c>
      <c r="AL101" t="s">
        <v>455</v>
      </c>
      <c r="AM101" t="s">
        <v>456</v>
      </c>
      <c r="AN101" t="s">
        <v>324</v>
      </c>
      <c r="AO101" t="s">
        <v>66</v>
      </c>
      <c r="AP101">
        <v>1</v>
      </c>
      <c r="AQ101" t="s">
        <v>457</v>
      </c>
      <c r="AR101" t="s">
        <v>458</v>
      </c>
      <c r="AS101" t="s">
        <v>459</v>
      </c>
      <c r="AT101" t="s">
        <v>66</v>
      </c>
    </row>
    <row r="102" spans="1:48" x14ac:dyDescent="0.15">
      <c r="A102" t="s">
        <v>695</v>
      </c>
      <c r="B102" t="s">
        <v>47</v>
      </c>
      <c r="C102" t="s">
        <v>48</v>
      </c>
      <c r="D102">
        <v>97</v>
      </c>
      <c r="E102" t="s">
        <v>49</v>
      </c>
      <c r="F102" t="s">
        <v>50</v>
      </c>
      <c r="G102" t="s">
        <v>51</v>
      </c>
      <c r="H102" t="s">
        <v>52</v>
      </c>
      <c r="I102" t="s">
        <v>53</v>
      </c>
      <c r="J102" t="s">
        <v>54</v>
      </c>
      <c r="K102" t="s">
        <v>55</v>
      </c>
      <c r="L102" t="s">
        <v>17</v>
      </c>
      <c r="M102" t="s">
        <v>16</v>
      </c>
      <c r="N102">
        <v>5888</v>
      </c>
      <c r="O102">
        <v>342</v>
      </c>
      <c r="P102">
        <v>0</v>
      </c>
      <c r="Q102" t="s">
        <v>696</v>
      </c>
      <c r="R102" t="s">
        <v>697</v>
      </c>
      <c r="S102" t="s">
        <v>698</v>
      </c>
      <c r="T102" t="s">
        <v>699</v>
      </c>
      <c r="U102" t="s">
        <v>60</v>
      </c>
      <c r="V102" t="s">
        <v>61</v>
      </c>
      <c r="W102">
        <v>3</v>
      </c>
      <c r="X102">
        <v>0.14000000000000001</v>
      </c>
      <c r="Y102" t="s">
        <v>382</v>
      </c>
      <c r="Z102" t="s">
        <v>700</v>
      </c>
      <c r="AA102">
        <v>4</v>
      </c>
      <c r="AB102" t="s">
        <v>63</v>
      </c>
      <c r="AC102" t="s">
        <v>64</v>
      </c>
      <c r="AD102" t="s">
        <v>65</v>
      </c>
      <c r="AE102" t="s">
        <v>65</v>
      </c>
      <c r="AF102" t="s">
        <v>65</v>
      </c>
      <c r="AG102" t="s">
        <v>191</v>
      </c>
      <c r="AH102" t="s">
        <v>322</v>
      </c>
      <c r="AI102" t="s">
        <v>322</v>
      </c>
      <c r="AJ102" t="s">
        <v>590</v>
      </c>
      <c r="AK102">
        <v>1</v>
      </c>
      <c r="AL102" t="s">
        <v>455</v>
      </c>
      <c r="AM102" t="s">
        <v>456</v>
      </c>
      <c r="AN102" t="s">
        <v>324</v>
      </c>
      <c r="AO102" t="s">
        <v>66</v>
      </c>
      <c r="AP102">
        <v>1</v>
      </c>
      <c r="AQ102" t="s">
        <v>457</v>
      </c>
      <c r="AR102" t="s">
        <v>458</v>
      </c>
      <c r="AS102" t="s">
        <v>459</v>
      </c>
      <c r="AT102" t="s">
        <v>66</v>
      </c>
    </row>
    <row r="103" spans="1:48" x14ac:dyDescent="0.15">
      <c r="A103" t="s">
        <v>701</v>
      </c>
      <c r="B103" t="s">
        <v>47</v>
      </c>
      <c r="C103" t="s">
        <v>48</v>
      </c>
      <c r="D103">
        <v>98</v>
      </c>
      <c r="E103" t="s">
        <v>49</v>
      </c>
      <c r="F103" t="s">
        <v>50</v>
      </c>
      <c r="G103" t="s">
        <v>51</v>
      </c>
      <c r="H103" t="s">
        <v>52</v>
      </c>
      <c r="I103" t="s">
        <v>53</v>
      </c>
      <c r="J103" t="s">
        <v>54</v>
      </c>
      <c r="K103" t="s">
        <v>55</v>
      </c>
      <c r="L103" t="s">
        <v>17</v>
      </c>
      <c r="M103" t="s">
        <v>16</v>
      </c>
      <c r="N103">
        <v>5944</v>
      </c>
      <c r="O103">
        <v>345</v>
      </c>
      <c r="P103">
        <v>0</v>
      </c>
      <c r="Q103" t="s">
        <v>702</v>
      </c>
      <c r="R103" t="s">
        <v>703</v>
      </c>
      <c r="S103" t="s">
        <v>704</v>
      </c>
      <c r="T103" t="s">
        <v>705</v>
      </c>
      <c r="U103" t="s">
        <v>60</v>
      </c>
      <c r="V103" t="s">
        <v>61</v>
      </c>
      <c r="W103">
        <v>3</v>
      </c>
      <c r="X103">
        <v>0.14000000000000001</v>
      </c>
      <c r="Y103" t="s">
        <v>706</v>
      </c>
      <c r="Z103" t="s">
        <v>707</v>
      </c>
      <c r="AA103">
        <v>4</v>
      </c>
      <c r="AB103" t="s">
        <v>63</v>
      </c>
      <c r="AC103" t="s">
        <v>64</v>
      </c>
      <c r="AD103" t="s">
        <v>65</v>
      </c>
      <c r="AE103" t="s">
        <v>65</v>
      </c>
      <c r="AF103" t="s">
        <v>65</v>
      </c>
      <c r="AG103" t="s">
        <v>191</v>
      </c>
      <c r="AH103" t="s">
        <v>322</v>
      </c>
      <c r="AI103" t="s">
        <v>322</v>
      </c>
      <c r="AJ103" t="s">
        <v>590</v>
      </c>
      <c r="AK103">
        <v>1</v>
      </c>
      <c r="AL103" t="s">
        <v>455</v>
      </c>
      <c r="AM103" t="s">
        <v>456</v>
      </c>
      <c r="AN103" t="s">
        <v>324</v>
      </c>
      <c r="AO103" t="s">
        <v>66</v>
      </c>
      <c r="AP103">
        <v>1</v>
      </c>
      <c r="AQ103" t="s">
        <v>457</v>
      </c>
      <c r="AR103" t="s">
        <v>458</v>
      </c>
      <c r="AS103" t="s">
        <v>459</v>
      </c>
      <c r="AT103" t="s">
        <v>66</v>
      </c>
    </row>
    <row r="104" spans="1:48" x14ac:dyDescent="0.15">
      <c r="A104" t="s">
        <v>708</v>
      </c>
      <c r="B104" t="s">
        <v>47</v>
      </c>
      <c r="C104" t="s">
        <v>48</v>
      </c>
      <c r="D104">
        <v>99</v>
      </c>
      <c r="E104" t="s">
        <v>49</v>
      </c>
      <c r="F104" t="s">
        <v>50</v>
      </c>
      <c r="G104" t="s">
        <v>51</v>
      </c>
      <c r="H104" t="s">
        <v>52</v>
      </c>
      <c r="I104" t="s">
        <v>53</v>
      </c>
      <c r="J104" t="s">
        <v>54</v>
      </c>
      <c r="K104" t="s">
        <v>55</v>
      </c>
      <c r="L104" t="s">
        <v>17</v>
      </c>
      <c r="M104" t="s">
        <v>16</v>
      </c>
      <c r="N104">
        <v>6000</v>
      </c>
      <c r="O104">
        <v>348</v>
      </c>
      <c r="P104">
        <v>0</v>
      </c>
      <c r="Q104" t="s">
        <v>709</v>
      </c>
      <c r="R104" t="s">
        <v>710</v>
      </c>
      <c r="S104" t="s">
        <v>711</v>
      </c>
      <c r="T104" t="s">
        <v>712</v>
      </c>
      <c r="U104" t="s">
        <v>60</v>
      </c>
      <c r="V104" t="s">
        <v>61</v>
      </c>
      <c r="W104">
        <v>3</v>
      </c>
      <c r="X104">
        <v>0.14000000000000001</v>
      </c>
      <c r="Y104" t="s">
        <v>389</v>
      </c>
      <c r="Z104" t="s">
        <v>713</v>
      </c>
      <c r="AA104">
        <v>4</v>
      </c>
      <c r="AB104" t="s">
        <v>63</v>
      </c>
      <c r="AC104" t="s">
        <v>64</v>
      </c>
      <c r="AD104" t="s">
        <v>65</v>
      </c>
      <c r="AE104" t="s">
        <v>65</v>
      </c>
      <c r="AF104" t="s">
        <v>65</v>
      </c>
      <c r="AG104" t="s">
        <v>191</v>
      </c>
      <c r="AH104" t="s">
        <v>322</v>
      </c>
      <c r="AI104" t="s">
        <v>322</v>
      </c>
      <c r="AJ104" t="s">
        <v>590</v>
      </c>
      <c r="AK104">
        <v>1</v>
      </c>
      <c r="AL104" t="s">
        <v>455</v>
      </c>
      <c r="AM104" t="s">
        <v>456</v>
      </c>
      <c r="AN104" t="s">
        <v>324</v>
      </c>
      <c r="AO104" t="s">
        <v>66</v>
      </c>
      <c r="AP104">
        <v>1</v>
      </c>
      <c r="AQ104" t="s">
        <v>457</v>
      </c>
      <c r="AR104" t="s">
        <v>458</v>
      </c>
      <c r="AS104" t="s">
        <v>459</v>
      </c>
      <c r="AT104" t="s">
        <v>66</v>
      </c>
    </row>
    <row r="105" spans="1:48" x14ac:dyDescent="0.15">
      <c r="A105" t="s">
        <v>714</v>
      </c>
      <c r="B105" t="s">
        <v>715</v>
      </c>
      <c r="C105" t="s">
        <v>716</v>
      </c>
      <c r="D105">
        <v>1</v>
      </c>
      <c r="E105" t="s">
        <v>717</v>
      </c>
      <c r="F105" t="s">
        <v>718</v>
      </c>
      <c r="G105" t="s">
        <v>51</v>
      </c>
      <c r="H105" t="s">
        <v>719</v>
      </c>
      <c r="I105" t="s">
        <v>720</v>
      </c>
      <c r="J105" t="s">
        <v>721</v>
      </c>
      <c r="K105" t="s">
        <v>55</v>
      </c>
      <c r="L105" t="s">
        <v>16</v>
      </c>
      <c r="M105" t="s">
        <v>19</v>
      </c>
      <c r="N105">
        <v>500</v>
      </c>
      <c r="O105">
        <v>30</v>
      </c>
      <c r="P105">
        <v>0</v>
      </c>
      <c r="Q105" t="s">
        <v>722</v>
      </c>
      <c r="R105" t="s">
        <v>58</v>
      </c>
      <c r="S105" t="s">
        <v>723</v>
      </c>
      <c r="T105" t="s">
        <v>724</v>
      </c>
      <c r="U105" t="s">
        <v>60</v>
      </c>
      <c r="V105" t="s">
        <v>61</v>
      </c>
      <c r="W105">
        <v>3</v>
      </c>
      <c r="X105">
        <v>9.5812499999999995E-2</v>
      </c>
      <c r="Y105" t="s">
        <v>62</v>
      </c>
      <c r="Z105" t="s">
        <v>62</v>
      </c>
      <c r="AA105">
        <v>0</v>
      </c>
      <c r="AB105" t="s">
        <v>725</v>
      </c>
      <c r="AC105" t="s">
        <v>726</v>
      </c>
      <c r="AD105" t="s">
        <v>727</v>
      </c>
      <c r="AE105" t="s">
        <v>728</v>
      </c>
      <c r="AF105" t="s">
        <v>729</v>
      </c>
      <c r="AG105" t="s">
        <v>66</v>
      </c>
      <c r="AH105" t="s">
        <v>66</v>
      </c>
      <c r="AI105" t="s">
        <v>66</v>
      </c>
      <c r="AJ105" t="s">
        <v>66</v>
      </c>
      <c r="AK105">
        <v>1</v>
      </c>
      <c r="AL105" t="s">
        <v>66</v>
      </c>
      <c r="AM105" t="s">
        <v>66</v>
      </c>
      <c r="AN105" t="s">
        <v>66</v>
      </c>
      <c r="AO105" t="s">
        <v>66</v>
      </c>
      <c r="AP105">
        <v>1</v>
      </c>
      <c r="AQ105" t="s">
        <v>66</v>
      </c>
      <c r="AR105" t="s">
        <v>66</v>
      </c>
      <c r="AS105" t="s">
        <v>66</v>
      </c>
      <c r="AT105" t="s">
        <v>66</v>
      </c>
    </row>
    <row r="106" spans="1:48" x14ac:dyDescent="0.15">
      <c r="A106" t="s">
        <v>730</v>
      </c>
      <c r="B106" t="s">
        <v>715</v>
      </c>
      <c r="C106" t="s">
        <v>716</v>
      </c>
      <c r="D106">
        <v>2</v>
      </c>
      <c r="E106" t="s">
        <v>717</v>
      </c>
      <c r="F106" t="s">
        <v>718</v>
      </c>
      <c r="G106" t="s">
        <v>51</v>
      </c>
      <c r="H106" t="s">
        <v>719</v>
      </c>
      <c r="I106" t="s">
        <v>720</v>
      </c>
      <c r="J106" t="s">
        <v>721</v>
      </c>
      <c r="K106" t="s">
        <v>55</v>
      </c>
      <c r="L106" t="s">
        <v>16</v>
      </c>
      <c r="M106" t="s">
        <v>19</v>
      </c>
      <c r="N106">
        <v>556</v>
      </c>
      <c r="O106">
        <v>33</v>
      </c>
      <c r="P106">
        <v>0</v>
      </c>
      <c r="Q106" t="s">
        <v>731</v>
      </c>
      <c r="R106" t="s">
        <v>70</v>
      </c>
      <c r="S106" t="s">
        <v>732</v>
      </c>
      <c r="T106" t="s">
        <v>733</v>
      </c>
      <c r="U106" t="s">
        <v>60</v>
      </c>
      <c r="V106" t="s">
        <v>61</v>
      </c>
      <c r="W106">
        <v>3</v>
      </c>
      <c r="X106">
        <v>9.5812499999999995E-2</v>
      </c>
      <c r="Y106" t="s">
        <v>72</v>
      </c>
      <c r="Z106" t="s">
        <v>73</v>
      </c>
      <c r="AA106">
        <v>0</v>
      </c>
      <c r="AB106" t="s">
        <v>725</v>
      </c>
      <c r="AC106" t="s">
        <v>726</v>
      </c>
      <c r="AD106" t="s">
        <v>727</v>
      </c>
      <c r="AE106" t="s">
        <v>728</v>
      </c>
      <c r="AF106" t="s">
        <v>729</v>
      </c>
      <c r="AG106" t="s">
        <v>66</v>
      </c>
      <c r="AH106" t="s">
        <v>66</v>
      </c>
      <c r="AI106" t="s">
        <v>66</v>
      </c>
      <c r="AJ106" t="s">
        <v>66</v>
      </c>
      <c r="AK106">
        <v>1</v>
      </c>
      <c r="AL106" t="s">
        <v>66</v>
      </c>
      <c r="AM106" t="s">
        <v>66</v>
      </c>
      <c r="AN106" t="s">
        <v>66</v>
      </c>
      <c r="AO106" t="s">
        <v>66</v>
      </c>
      <c r="AP106">
        <v>1</v>
      </c>
      <c r="AQ106" t="s">
        <v>66</v>
      </c>
      <c r="AR106" t="s">
        <v>66</v>
      </c>
      <c r="AS106" t="s">
        <v>66</v>
      </c>
      <c r="AT106" t="s">
        <v>66</v>
      </c>
    </row>
    <row r="107" spans="1:48" x14ac:dyDescent="0.15">
      <c r="A107" t="s">
        <v>734</v>
      </c>
      <c r="B107" t="s">
        <v>715</v>
      </c>
      <c r="C107" t="s">
        <v>716</v>
      </c>
      <c r="D107">
        <v>3</v>
      </c>
      <c r="E107" t="s">
        <v>717</v>
      </c>
      <c r="F107" t="s">
        <v>718</v>
      </c>
      <c r="G107" t="s">
        <v>51</v>
      </c>
      <c r="H107" t="s">
        <v>719</v>
      </c>
      <c r="I107" t="s">
        <v>720</v>
      </c>
      <c r="J107" t="s">
        <v>721</v>
      </c>
      <c r="K107" t="s">
        <v>55</v>
      </c>
      <c r="L107" t="s">
        <v>16</v>
      </c>
      <c r="M107" t="s">
        <v>19</v>
      </c>
      <c r="N107">
        <v>612</v>
      </c>
      <c r="O107">
        <v>36</v>
      </c>
      <c r="P107">
        <v>0</v>
      </c>
      <c r="Q107" t="s">
        <v>735</v>
      </c>
      <c r="R107" t="s">
        <v>77</v>
      </c>
      <c r="S107" t="s">
        <v>736</v>
      </c>
      <c r="T107" t="s">
        <v>737</v>
      </c>
      <c r="U107" t="s">
        <v>60</v>
      </c>
      <c r="V107" t="s">
        <v>61</v>
      </c>
      <c r="W107">
        <v>3</v>
      </c>
      <c r="X107">
        <v>9.5812499999999995E-2</v>
      </c>
      <c r="Y107" t="s">
        <v>73</v>
      </c>
      <c r="Z107" t="s">
        <v>79</v>
      </c>
      <c r="AA107">
        <v>0</v>
      </c>
      <c r="AB107" t="s">
        <v>725</v>
      </c>
      <c r="AC107" t="s">
        <v>726</v>
      </c>
      <c r="AD107" t="s">
        <v>727</v>
      </c>
      <c r="AE107" t="s">
        <v>728</v>
      </c>
      <c r="AF107" t="s">
        <v>729</v>
      </c>
      <c r="AG107" t="s">
        <v>66</v>
      </c>
      <c r="AH107" t="s">
        <v>66</v>
      </c>
      <c r="AI107" t="s">
        <v>66</v>
      </c>
      <c r="AJ107" t="s">
        <v>66</v>
      </c>
      <c r="AK107">
        <v>1</v>
      </c>
      <c r="AL107" t="s">
        <v>66</v>
      </c>
      <c r="AM107" t="s">
        <v>66</v>
      </c>
      <c r="AN107" t="s">
        <v>66</v>
      </c>
      <c r="AO107" t="s">
        <v>66</v>
      </c>
      <c r="AP107">
        <v>1</v>
      </c>
      <c r="AQ107" t="s">
        <v>66</v>
      </c>
      <c r="AR107" t="s">
        <v>66</v>
      </c>
      <c r="AS107" t="s">
        <v>66</v>
      </c>
      <c r="AT107" t="s">
        <v>66</v>
      </c>
    </row>
    <row r="108" spans="1:48" x14ac:dyDescent="0.15">
      <c r="A108" t="s">
        <v>738</v>
      </c>
      <c r="B108" t="s">
        <v>715</v>
      </c>
      <c r="C108" t="s">
        <v>716</v>
      </c>
      <c r="D108">
        <v>4</v>
      </c>
      <c r="E108" t="s">
        <v>717</v>
      </c>
      <c r="F108" t="s">
        <v>718</v>
      </c>
      <c r="G108" t="s">
        <v>51</v>
      </c>
      <c r="H108" t="s">
        <v>719</v>
      </c>
      <c r="I108" t="s">
        <v>720</v>
      </c>
      <c r="J108" t="s">
        <v>721</v>
      </c>
      <c r="K108" t="s">
        <v>55</v>
      </c>
      <c r="L108" t="s">
        <v>16</v>
      </c>
      <c r="M108" t="s">
        <v>19</v>
      </c>
      <c r="N108">
        <v>668</v>
      </c>
      <c r="O108">
        <v>39</v>
      </c>
      <c r="P108">
        <v>0</v>
      </c>
      <c r="Q108" t="s">
        <v>739</v>
      </c>
      <c r="R108" t="s">
        <v>83</v>
      </c>
      <c r="S108" t="s">
        <v>740</v>
      </c>
      <c r="T108" t="s">
        <v>741</v>
      </c>
      <c r="U108" t="s">
        <v>60</v>
      </c>
      <c r="V108" t="s">
        <v>61</v>
      </c>
      <c r="W108">
        <v>3</v>
      </c>
      <c r="X108">
        <v>9.5812499999999995E-2</v>
      </c>
      <c r="Y108" t="s">
        <v>85</v>
      </c>
      <c r="Z108" t="s">
        <v>86</v>
      </c>
      <c r="AA108">
        <v>0</v>
      </c>
      <c r="AB108" t="s">
        <v>725</v>
      </c>
      <c r="AC108" t="s">
        <v>726</v>
      </c>
      <c r="AD108" t="s">
        <v>727</v>
      </c>
      <c r="AE108" t="s">
        <v>728</v>
      </c>
      <c r="AF108" t="s">
        <v>729</v>
      </c>
      <c r="AG108" t="s">
        <v>66</v>
      </c>
      <c r="AH108" t="s">
        <v>66</v>
      </c>
      <c r="AI108" t="s">
        <v>66</v>
      </c>
      <c r="AJ108" t="s">
        <v>66</v>
      </c>
      <c r="AK108">
        <v>1</v>
      </c>
      <c r="AL108" t="s">
        <v>66</v>
      </c>
      <c r="AM108" t="s">
        <v>66</v>
      </c>
      <c r="AN108" t="s">
        <v>66</v>
      </c>
      <c r="AO108" t="s">
        <v>66</v>
      </c>
      <c r="AP108">
        <v>1</v>
      </c>
      <c r="AQ108" t="s">
        <v>66</v>
      </c>
      <c r="AR108" t="s">
        <v>66</v>
      </c>
      <c r="AS108" t="s">
        <v>66</v>
      </c>
      <c r="AT108" t="s">
        <v>66</v>
      </c>
    </row>
    <row r="109" spans="1:48" x14ac:dyDescent="0.15">
      <c r="A109" t="s">
        <v>742</v>
      </c>
      <c r="B109" t="s">
        <v>715</v>
      </c>
      <c r="C109" t="s">
        <v>716</v>
      </c>
      <c r="D109">
        <v>5</v>
      </c>
      <c r="E109" t="s">
        <v>717</v>
      </c>
      <c r="F109" t="s">
        <v>718</v>
      </c>
      <c r="G109" t="s">
        <v>51</v>
      </c>
      <c r="H109" t="s">
        <v>719</v>
      </c>
      <c r="I109" t="s">
        <v>720</v>
      </c>
      <c r="J109" t="s">
        <v>721</v>
      </c>
      <c r="K109" t="s">
        <v>55</v>
      </c>
      <c r="L109" t="s">
        <v>16</v>
      </c>
      <c r="M109" t="s">
        <v>19</v>
      </c>
      <c r="N109">
        <v>724</v>
      </c>
      <c r="O109">
        <v>42</v>
      </c>
      <c r="P109">
        <v>0</v>
      </c>
      <c r="Q109" t="s">
        <v>743</v>
      </c>
      <c r="R109" t="s">
        <v>90</v>
      </c>
      <c r="S109" t="s">
        <v>744</v>
      </c>
      <c r="T109" t="s">
        <v>745</v>
      </c>
      <c r="U109" t="s">
        <v>60</v>
      </c>
      <c r="V109" t="s">
        <v>61</v>
      </c>
      <c r="W109">
        <v>3</v>
      </c>
      <c r="X109">
        <v>9.5812499999999995E-2</v>
      </c>
      <c r="Y109" t="s">
        <v>79</v>
      </c>
      <c r="Z109" t="s">
        <v>92</v>
      </c>
      <c r="AA109">
        <v>0</v>
      </c>
      <c r="AB109" t="s">
        <v>725</v>
      </c>
      <c r="AC109" t="s">
        <v>726</v>
      </c>
      <c r="AD109" t="s">
        <v>727</v>
      </c>
      <c r="AE109" t="s">
        <v>728</v>
      </c>
      <c r="AF109" t="s">
        <v>729</v>
      </c>
      <c r="AG109" t="s">
        <v>66</v>
      </c>
      <c r="AH109" t="s">
        <v>66</v>
      </c>
      <c r="AI109" t="s">
        <v>66</v>
      </c>
      <c r="AJ109" t="s">
        <v>66</v>
      </c>
      <c r="AK109">
        <v>1</v>
      </c>
      <c r="AL109" t="s">
        <v>66</v>
      </c>
      <c r="AM109" t="s">
        <v>66</v>
      </c>
      <c r="AN109" t="s">
        <v>66</v>
      </c>
      <c r="AO109" t="s">
        <v>66</v>
      </c>
      <c r="AP109">
        <v>1</v>
      </c>
      <c r="AQ109" t="s">
        <v>66</v>
      </c>
      <c r="AR109" t="s">
        <v>66</v>
      </c>
      <c r="AS109" t="s">
        <v>66</v>
      </c>
      <c r="AT109" t="s">
        <v>66</v>
      </c>
    </row>
    <row r="110" spans="1:48" x14ac:dyDescent="0.15">
      <c r="A110" t="s">
        <v>746</v>
      </c>
      <c r="B110" t="s">
        <v>715</v>
      </c>
      <c r="C110" t="s">
        <v>716</v>
      </c>
      <c r="D110">
        <v>6</v>
      </c>
      <c r="E110" t="s">
        <v>717</v>
      </c>
      <c r="F110" t="s">
        <v>718</v>
      </c>
      <c r="G110" t="s">
        <v>51</v>
      </c>
      <c r="H110" t="s">
        <v>719</v>
      </c>
      <c r="I110" t="s">
        <v>720</v>
      </c>
      <c r="J110" t="s">
        <v>721</v>
      </c>
      <c r="K110" t="s">
        <v>55</v>
      </c>
      <c r="L110" t="s">
        <v>16</v>
      </c>
      <c r="M110" t="s">
        <v>19</v>
      </c>
      <c r="N110">
        <v>781</v>
      </c>
      <c r="O110">
        <v>45</v>
      </c>
      <c r="P110">
        <v>0</v>
      </c>
      <c r="Q110" t="s">
        <v>747</v>
      </c>
      <c r="R110" t="s">
        <v>96</v>
      </c>
      <c r="S110" t="s">
        <v>748</v>
      </c>
      <c r="T110" t="s">
        <v>749</v>
      </c>
      <c r="U110" t="s">
        <v>60</v>
      </c>
      <c r="V110" t="s">
        <v>61</v>
      </c>
      <c r="W110">
        <v>3</v>
      </c>
      <c r="X110">
        <v>9.5812499999999995E-2</v>
      </c>
      <c r="Y110" t="s">
        <v>98</v>
      </c>
      <c r="Z110" t="s">
        <v>99</v>
      </c>
      <c r="AA110">
        <v>0</v>
      </c>
      <c r="AB110" t="s">
        <v>725</v>
      </c>
      <c r="AC110" t="s">
        <v>726</v>
      </c>
      <c r="AD110" t="s">
        <v>727</v>
      </c>
      <c r="AE110" t="s">
        <v>728</v>
      </c>
      <c r="AF110" t="s">
        <v>729</v>
      </c>
      <c r="AG110" t="s">
        <v>66</v>
      </c>
      <c r="AH110" t="s">
        <v>66</v>
      </c>
      <c r="AI110" t="s">
        <v>66</v>
      </c>
      <c r="AJ110" t="s">
        <v>66</v>
      </c>
      <c r="AK110">
        <v>1</v>
      </c>
      <c r="AL110" t="s">
        <v>66</v>
      </c>
      <c r="AM110" t="s">
        <v>66</v>
      </c>
      <c r="AN110" t="s">
        <v>66</v>
      </c>
      <c r="AO110" t="s">
        <v>66</v>
      </c>
      <c r="AP110">
        <v>1</v>
      </c>
      <c r="AQ110" t="s">
        <v>66</v>
      </c>
      <c r="AR110" t="s">
        <v>66</v>
      </c>
      <c r="AS110" t="s">
        <v>66</v>
      </c>
      <c r="AT110" t="s">
        <v>66</v>
      </c>
    </row>
    <row r="111" spans="1:48" x14ac:dyDescent="0.15">
      <c r="A111" t="s">
        <v>750</v>
      </c>
      <c r="B111" t="s">
        <v>715</v>
      </c>
      <c r="C111" t="s">
        <v>716</v>
      </c>
      <c r="D111">
        <v>7</v>
      </c>
      <c r="E111" t="s">
        <v>717</v>
      </c>
      <c r="F111" t="s">
        <v>718</v>
      </c>
      <c r="G111" t="s">
        <v>51</v>
      </c>
      <c r="H111" t="s">
        <v>719</v>
      </c>
      <c r="I111" t="s">
        <v>720</v>
      </c>
      <c r="J111" t="s">
        <v>721</v>
      </c>
      <c r="K111" t="s">
        <v>55</v>
      </c>
      <c r="L111" t="s">
        <v>16</v>
      </c>
      <c r="M111" t="s">
        <v>19</v>
      </c>
      <c r="N111">
        <v>837</v>
      </c>
      <c r="O111">
        <v>48</v>
      </c>
      <c r="P111">
        <v>0</v>
      </c>
      <c r="Q111" t="s">
        <v>751</v>
      </c>
      <c r="R111" t="s">
        <v>103</v>
      </c>
      <c r="S111" t="s">
        <v>752</v>
      </c>
      <c r="T111" t="s">
        <v>753</v>
      </c>
      <c r="U111" t="s">
        <v>60</v>
      </c>
      <c r="V111" t="s">
        <v>61</v>
      </c>
      <c r="W111">
        <v>3</v>
      </c>
      <c r="X111">
        <v>9.5812499999999995E-2</v>
      </c>
      <c r="Y111" t="s">
        <v>86</v>
      </c>
      <c r="Z111" t="s">
        <v>105</v>
      </c>
      <c r="AA111">
        <v>0</v>
      </c>
      <c r="AB111" t="s">
        <v>725</v>
      </c>
      <c r="AC111" t="s">
        <v>726</v>
      </c>
      <c r="AD111" t="s">
        <v>727</v>
      </c>
      <c r="AE111" t="s">
        <v>728</v>
      </c>
      <c r="AF111" t="s">
        <v>729</v>
      </c>
      <c r="AG111" t="s">
        <v>66</v>
      </c>
      <c r="AH111" t="s">
        <v>66</v>
      </c>
      <c r="AI111" t="s">
        <v>66</v>
      </c>
      <c r="AJ111" t="s">
        <v>66</v>
      </c>
      <c r="AK111">
        <v>1</v>
      </c>
      <c r="AL111" t="s">
        <v>66</v>
      </c>
      <c r="AM111" t="s">
        <v>66</v>
      </c>
      <c r="AN111" t="s">
        <v>66</v>
      </c>
      <c r="AO111" t="s">
        <v>66</v>
      </c>
      <c r="AP111">
        <v>1</v>
      </c>
      <c r="AQ111" t="s">
        <v>66</v>
      </c>
      <c r="AR111" t="s">
        <v>66</v>
      </c>
      <c r="AS111" t="s">
        <v>66</v>
      </c>
      <c r="AT111" t="s">
        <v>66</v>
      </c>
    </row>
    <row r="112" spans="1:48" x14ac:dyDescent="0.15">
      <c r="A112" t="s">
        <v>754</v>
      </c>
      <c r="B112" t="s">
        <v>715</v>
      </c>
      <c r="C112" t="s">
        <v>716</v>
      </c>
      <c r="D112">
        <v>8</v>
      </c>
      <c r="E112" t="s">
        <v>717</v>
      </c>
      <c r="F112" t="s">
        <v>718</v>
      </c>
      <c r="G112" t="s">
        <v>51</v>
      </c>
      <c r="H112" t="s">
        <v>719</v>
      </c>
      <c r="I112" t="s">
        <v>720</v>
      </c>
      <c r="J112" t="s">
        <v>721</v>
      </c>
      <c r="K112" t="s">
        <v>55</v>
      </c>
      <c r="L112" t="s">
        <v>16</v>
      </c>
      <c r="M112" t="s">
        <v>19</v>
      </c>
      <c r="N112">
        <v>893</v>
      </c>
      <c r="O112">
        <v>51</v>
      </c>
      <c r="P112">
        <v>0</v>
      </c>
      <c r="Q112" t="s">
        <v>755</v>
      </c>
      <c r="R112" t="s">
        <v>109</v>
      </c>
      <c r="S112" t="s">
        <v>756</v>
      </c>
      <c r="T112" t="s">
        <v>757</v>
      </c>
      <c r="U112" t="s">
        <v>60</v>
      </c>
      <c r="V112" t="s">
        <v>61</v>
      </c>
      <c r="W112">
        <v>3</v>
      </c>
      <c r="X112">
        <v>9.5812499999999995E-2</v>
      </c>
      <c r="Y112" t="s">
        <v>111</v>
      </c>
      <c r="Z112" t="s">
        <v>112</v>
      </c>
      <c r="AA112">
        <v>0</v>
      </c>
      <c r="AB112" t="s">
        <v>725</v>
      </c>
      <c r="AC112" t="s">
        <v>726</v>
      </c>
      <c r="AD112" t="s">
        <v>727</v>
      </c>
      <c r="AE112" t="s">
        <v>728</v>
      </c>
      <c r="AF112" t="s">
        <v>729</v>
      </c>
      <c r="AG112" t="s">
        <v>66</v>
      </c>
      <c r="AH112" t="s">
        <v>66</v>
      </c>
      <c r="AI112" t="s">
        <v>66</v>
      </c>
      <c r="AJ112" t="s">
        <v>66</v>
      </c>
      <c r="AK112">
        <v>1</v>
      </c>
      <c r="AL112" t="s">
        <v>66</v>
      </c>
      <c r="AM112" t="s">
        <v>66</v>
      </c>
      <c r="AN112" t="s">
        <v>66</v>
      </c>
      <c r="AO112" t="s">
        <v>66</v>
      </c>
      <c r="AP112">
        <v>1</v>
      </c>
      <c r="AQ112" t="s">
        <v>66</v>
      </c>
      <c r="AR112" t="s">
        <v>66</v>
      </c>
      <c r="AS112" t="s">
        <v>66</v>
      </c>
      <c r="AT112" t="s">
        <v>66</v>
      </c>
    </row>
    <row r="113" spans="1:46" x14ac:dyDescent="0.15">
      <c r="A113" t="s">
        <v>758</v>
      </c>
      <c r="B113" t="s">
        <v>715</v>
      </c>
      <c r="C113" t="s">
        <v>716</v>
      </c>
      <c r="D113">
        <v>9</v>
      </c>
      <c r="E113" t="s">
        <v>717</v>
      </c>
      <c r="F113" t="s">
        <v>718</v>
      </c>
      <c r="G113" t="s">
        <v>51</v>
      </c>
      <c r="H113" t="s">
        <v>719</v>
      </c>
      <c r="I113" t="s">
        <v>720</v>
      </c>
      <c r="J113" t="s">
        <v>721</v>
      </c>
      <c r="K113" t="s">
        <v>55</v>
      </c>
      <c r="L113" t="s">
        <v>16</v>
      </c>
      <c r="M113" t="s">
        <v>19</v>
      </c>
      <c r="N113">
        <v>949</v>
      </c>
      <c r="O113">
        <v>54</v>
      </c>
      <c r="P113">
        <v>0</v>
      </c>
      <c r="Q113" t="s">
        <v>759</v>
      </c>
      <c r="R113" t="s">
        <v>116</v>
      </c>
      <c r="S113" t="s">
        <v>760</v>
      </c>
      <c r="T113" t="s">
        <v>761</v>
      </c>
      <c r="U113" t="s">
        <v>60</v>
      </c>
      <c r="V113" t="s">
        <v>61</v>
      </c>
      <c r="W113">
        <v>3</v>
      </c>
      <c r="X113">
        <v>9.5812499999999995E-2</v>
      </c>
      <c r="Y113" t="s">
        <v>92</v>
      </c>
      <c r="Z113" t="s">
        <v>118</v>
      </c>
      <c r="AA113">
        <v>0</v>
      </c>
      <c r="AB113" t="s">
        <v>725</v>
      </c>
      <c r="AC113" t="s">
        <v>726</v>
      </c>
      <c r="AD113" t="s">
        <v>727</v>
      </c>
      <c r="AE113" t="s">
        <v>728</v>
      </c>
      <c r="AF113" t="s">
        <v>729</v>
      </c>
      <c r="AG113" t="s">
        <v>66</v>
      </c>
      <c r="AH113" t="s">
        <v>66</v>
      </c>
      <c r="AI113" t="s">
        <v>66</v>
      </c>
      <c r="AJ113" t="s">
        <v>66</v>
      </c>
      <c r="AK113">
        <v>1</v>
      </c>
      <c r="AL113" t="s">
        <v>66</v>
      </c>
      <c r="AM113" t="s">
        <v>66</v>
      </c>
      <c r="AN113" t="s">
        <v>66</v>
      </c>
      <c r="AO113" t="s">
        <v>66</v>
      </c>
      <c r="AP113">
        <v>1</v>
      </c>
      <c r="AQ113" t="s">
        <v>66</v>
      </c>
      <c r="AR113" t="s">
        <v>66</v>
      </c>
      <c r="AS113" t="s">
        <v>66</v>
      </c>
      <c r="AT113" t="s">
        <v>66</v>
      </c>
    </row>
    <row r="114" spans="1:46" x14ac:dyDescent="0.15">
      <c r="A114" t="s">
        <v>762</v>
      </c>
      <c r="B114" t="s">
        <v>715</v>
      </c>
      <c r="C114" t="s">
        <v>716</v>
      </c>
      <c r="D114">
        <v>10</v>
      </c>
      <c r="E114" t="s">
        <v>717</v>
      </c>
      <c r="F114" t="s">
        <v>718</v>
      </c>
      <c r="G114" t="s">
        <v>51</v>
      </c>
      <c r="H114" t="s">
        <v>719</v>
      </c>
      <c r="I114" t="s">
        <v>720</v>
      </c>
      <c r="J114" t="s">
        <v>721</v>
      </c>
      <c r="K114" t="s">
        <v>55</v>
      </c>
      <c r="L114" t="s">
        <v>16</v>
      </c>
      <c r="M114" t="s">
        <v>19</v>
      </c>
      <c r="N114">
        <v>1005</v>
      </c>
      <c r="O114">
        <v>57</v>
      </c>
      <c r="P114">
        <v>0</v>
      </c>
      <c r="Q114" t="s">
        <v>763</v>
      </c>
      <c r="R114" t="s">
        <v>122</v>
      </c>
      <c r="S114" t="s">
        <v>764</v>
      </c>
      <c r="T114" t="s">
        <v>765</v>
      </c>
      <c r="U114" t="s">
        <v>60</v>
      </c>
      <c r="V114" t="s">
        <v>61</v>
      </c>
      <c r="W114">
        <v>3</v>
      </c>
      <c r="X114">
        <v>9.5812499999999995E-2</v>
      </c>
      <c r="Y114" t="s">
        <v>124</v>
      </c>
      <c r="Z114" t="s">
        <v>125</v>
      </c>
      <c r="AA114">
        <v>0</v>
      </c>
      <c r="AB114" t="s">
        <v>725</v>
      </c>
      <c r="AC114" t="s">
        <v>726</v>
      </c>
      <c r="AD114" t="s">
        <v>727</v>
      </c>
      <c r="AE114" t="s">
        <v>728</v>
      </c>
      <c r="AF114" t="s">
        <v>729</v>
      </c>
      <c r="AG114" t="s">
        <v>66</v>
      </c>
      <c r="AH114" t="s">
        <v>66</v>
      </c>
      <c r="AI114" t="s">
        <v>66</v>
      </c>
      <c r="AJ114" t="s">
        <v>66</v>
      </c>
      <c r="AK114">
        <v>1</v>
      </c>
      <c r="AL114" t="s">
        <v>66</v>
      </c>
      <c r="AM114" t="s">
        <v>66</v>
      </c>
      <c r="AN114" t="s">
        <v>66</v>
      </c>
      <c r="AO114" t="s">
        <v>66</v>
      </c>
      <c r="AP114">
        <v>1</v>
      </c>
      <c r="AQ114" t="s">
        <v>66</v>
      </c>
      <c r="AR114" t="s">
        <v>66</v>
      </c>
      <c r="AS114" t="s">
        <v>66</v>
      </c>
      <c r="AT114" t="s">
        <v>66</v>
      </c>
    </row>
    <row r="115" spans="1:46" x14ac:dyDescent="0.15">
      <c r="A115" t="s">
        <v>766</v>
      </c>
      <c r="B115" t="s">
        <v>715</v>
      </c>
      <c r="C115" t="s">
        <v>716</v>
      </c>
      <c r="D115">
        <v>11</v>
      </c>
      <c r="E115" t="s">
        <v>717</v>
      </c>
      <c r="F115" t="s">
        <v>718</v>
      </c>
      <c r="G115" t="s">
        <v>51</v>
      </c>
      <c r="H115" t="s">
        <v>719</v>
      </c>
      <c r="I115" t="s">
        <v>720</v>
      </c>
      <c r="J115" t="s">
        <v>721</v>
      </c>
      <c r="K115" t="s">
        <v>55</v>
      </c>
      <c r="L115" t="s">
        <v>16</v>
      </c>
      <c r="M115" t="s">
        <v>19</v>
      </c>
      <c r="N115">
        <v>1061</v>
      </c>
      <c r="O115">
        <v>60</v>
      </c>
      <c r="P115">
        <v>0</v>
      </c>
      <c r="Q115" t="s">
        <v>767</v>
      </c>
      <c r="R115" t="s">
        <v>129</v>
      </c>
      <c r="S115" t="s">
        <v>768</v>
      </c>
      <c r="T115" t="s">
        <v>769</v>
      </c>
      <c r="U115" t="s">
        <v>60</v>
      </c>
      <c r="V115" t="s">
        <v>61</v>
      </c>
      <c r="W115">
        <v>3</v>
      </c>
      <c r="X115">
        <v>9.5812499999999995E-2</v>
      </c>
      <c r="Y115" t="s">
        <v>99</v>
      </c>
      <c r="Z115" t="s">
        <v>131</v>
      </c>
      <c r="AA115">
        <v>0</v>
      </c>
      <c r="AB115" t="s">
        <v>725</v>
      </c>
      <c r="AC115" t="s">
        <v>726</v>
      </c>
      <c r="AD115" t="s">
        <v>727</v>
      </c>
      <c r="AE115" t="s">
        <v>728</v>
      </c>
      <c r="AF115" t="s">
        <v>729</v>
      </c>
      <c r="AG115" t="s">
        <v>66</v>
      </c>
      <c r="AH115" t="s">
        <v>66</v>
      </c>
      <c r="AI115" t="s">
        <v>66</v>
      </c>
      <c r="AJ115" t="s">
        <v>66</v>
      </c>
      <c r="AK115">
        <v>1</v>
      </c>
      <c r="AL115" t="s">
        <v>66</v>
      </c>
      <c r="AM115" t="s">
        <v>66</v>
      </c>
      <c r="AN115" t="s">
        <v>66</v>
      </c>
      <c r="AO115" t="s">
        <v>66</v>
      </c>
      <c r="AP115">
        <v>1</v>
      </c>
      <c r="AQ115" t="s">
        <v>66</v>
      </c>
      <c r="AR115" t="s">
        <v>66</v>
      </c>
      <c r="AS115" t="s">
        <v>66</v>
      </c>
      <c r="AT115" t="s">
        <v>66</v>
      </c>
    </row>
    <row r="116" spans="1:46" x14ac:dyDescent="0.15">
      <c r="A116" t="s">
        <v>770</v>
      </c>
      <c r="B116" t="s">
        <v>715</v>
      </c>
      <c r="C116" t="s">
        <v>716</v>
      </c>
      <c r="D116">
        <v>12</v>
      </c>
      <c r="E116" t="s">
        <v>717</v>
      </c>
      <c r="F116" t="s">
        <v>718</v>
      </c>
      <c r="G116" t="s">
        <v>51</v>
      </c>
      <c r="H116" t="s">
        <v>719</v>
      </c>
      <c r="I116" t="s">
        <v>720</v>
      </c>
      <c r="J116" t="s">
        <v>721</v>
      </c>
      <c r="K116" t="s">
        <v>55</v>
      </c>
      <c r="L116" t="s">
        <v>16</v>
      </c>
      <c r="M116" t="s">
        <v>19</v>
      </c>
      <c r="N116">
        <v>1117</v>
      </c>
      <c r="O116">
        <v>63</v>
      </c>
      <c r="P116">
        <v>0</v>
      </c>
      <c r="Q116" t="s">
        <v>771</v>
      </c>
      <c r="R116" t="s">
        <v>135</v>
      </c>
      <c r="S116" t="s">
        <v>772</v>
      </c>
      <c r="T116" t="s">
        <v>773</v>
      </c>
      <c r="U116" t="s">
        <v>60</v>
      </c>
      <c r="V116" t="s">
        <v>61</v>
      </c>
      <c r="W116">
        <v>3</v>
      </c>
      <c r="X116">
        <v>9.5812499999999995E-2</v>
      </c>
      <c r="Y116" t="s">
        <v>137</v>
      </c>
      <c r="Z116" t="s">
        <v>138</v>
      </c>
      <c r="AA116">
        <v>0</v>
      </c>
      <c r="AB116" t="s">
        <v>725</v>
      </c>
      <c r="AC116" t="s">
        <v>726</v>
      </c>
      <c r="AD116" t="s">
        <v>727</v>
      </c>
      <c r="AE116" t="s">
        <v>728</v>
      </c>
      <c r="AF116" t="s">
        <v>729</v>
      </c>
      <c r="AG116" t="s">
        <v>66</v>
      </c>
      <c r="AH116" t="s">
        <v>66</v>
      </c>
      <c r="AI116" t="s">
        <v>66</v>
      </c>
      <c r="AJ116" t="s">
        <v>66</v>
      </c>
      <c r="AK116">
        <v>1</v>
      </c>
      <c r="AL116" t="s">
        <v>66</v>
      </c>
      <c r="AM116" t="s">
        <v>66</v>
      </c>
      <c r="AN116" t="s">
        <v>66</v>
      </c>
      <c r="AO116" t="s">
        <v>66</v>
      </c>
      <c r="AP116">
        <v>1</v>
      </c>
      <c r="AQ116" t="s">
        <v>66</v>
      </c>
      <c r="AR116" t="s">
        <v>66</v>
      </c>
      <c r="AS116" t="s">
        <v>66</v>
      </c>
      <c r="AT116" t="s">
        <v>66</v>
      </c>
    </row>
    <row r="117" spans="1:46" x14ac:dyDescent="0.15">
      <c r="A117" t="s">
        <v>774</v>
      </c>
      <c r="B117" t="s">
        <v>715</v>
      </c>
      <c r="C117" t="s">
        <v>716</v>
      </c>
      <c r="D117">
        <v>13</v>
      </c>
      <c r="E117" t="s">
        <v>717</v>
      </c>
      <c r="F117" t="s">
        <v>718</v>
      </c>
      <c r="G117" t="s">
        <v>51</v>
      </c>
      <c r="H117" t="s">
        <v>719</v>
      </c>
      <c r="I117" t="s">
        <v>720</v>
      </c>
      <c r="J117" t="s">
        <v>721</v>
      </c>
      <c r="K117" t="s">
        <v>55</v>
      </c>
      <c r="L117" t="s">
        <v>16</v>
      </c>
      <c r="M117" t="s">
        <v>19</v>
      </c>
      <c r="N117">
        <v>1173</v>
      </c>
      <c r="O117">
        <v>66</v>
      </c>
      <c r="P117">
        <v>0</v>
      </c>
      <c r="Q117" t="s">
        <v>775</v>
      </c>
      <c r="R117" t="s">
        <v>142</v>
      </c>
      <c r="S117" t="s">
        <v>776</v>
      </c>
      <c r="T117" t="s">
        <v>777</v>
      </c>
      <c r="U117" t="s">
        <v>60</v>
      </c>
      <c r="V117" t="s">
        <v>61</v>
      </c>
      <c r="W117">
        <v>3</v>
      </c>
      <c r="X117">
        <v>9.5812499999999995E-2</v>
      </c>
      <c r="Y117" t="s">
        <v>105</v>
      </c>
      <c r="Z117" t="s">
        <v>144</v>
      </c>
      <c r="AA117">
        <v>0</v>
      </c>
      <c r="AB117" t="s">
        <v>725</v>
      </c>
      <c r="AC117" t="s">
        <v>726</v>
      </c>
      <c r="AD117" t="s">
        <v>727</v>
      </c>
      <c r="AE117" t="s">
        <v>728</v>
      </c>
      <c r="AF117" t="s">
        <v>729</v>
      </c>
      <c r="AG117" t="s">
        <v>66</v>
      </c>
      <c r="AH117" t="s">
        <v>66</v>
      </c>
      <c r="AI117" t="s">
        <v>66</v>
      </c>
      <c r="AJ117" t="s">
        <v>66</v>
      </c>
      <c r="AK117">
        <v>1</v>
      </c>
      <c r="AL117" t="s">
        <v>66</v>
      </c>
      <c r="AM117" t="s">
        <v>66</v>
      </c>
      <c r="AN117" t="s">
        <v>66</v>
      </c>
      <c r="AO117" t="s">
        <v>66</v>
      </c>
      <c r="AP117">
        <v>1</v>
      </c>
      <c r="AQ117" t="s">
        <v>66</v>
      </c>
      <c r="AR117" t="s">
        <v>66</v>
      </c>
      <c r="AS117" t="s">
        <v>66</v>
      </c>
      <c r="AT117" t="s">
        <v>66</v>
      </c>
    </row>
    <row r="118" spans="1:46" x14ac:dyDescent="0.15">
      <c r="A118" t="s">
        <v>778</v>
      </c>
      <c r="B118" t="s">
        <v>715</v>
      </c>
      <c r="C118" t="s">
        <v>716</v>
      </c>
      <c r="D118">
        <v>14</v>
      </c>
      <c r="E118" t="s">
        <v>717</v>
      </c>
      <c r="F118" t="s">
        <v>718</v>
      </c>
      <c r="G118" t="s">
        <v>51</v>
      </c>
      <c r="H118" t="s">
        <v>719</v>
      </c>
      <c r="I118" t="s">
        <v>720</v>
      </c>
      <c r="J118" t="s">
        <v>721</v>
      </c>
      <c r="K118" t="s">
        <v>55</v>
      </c>
      <c r="L118" t="s">
        <v>16</v>
      </c>
      <c r="M118" t="s">
        <v>19</v>
      </c>
      <c r="N118">
        <v>1230</v>
      </c>
      <c r="O118">
        <v>69</v>
      </c>
      <c r="P118">
        <v>0</v>
      </c>
      <c r="Q118" t="s">
        <v>779</v>
      </c>
      <c r="R118" t="s">
        <v>148</v>
      </c>
      <c r="S118" t="s">
        <v>780</v>
      </c>
      <c r="T118" t="s">
        <v>781</v>
      </c>
      <c r="U118" t="s">
        <v>60</v>
      </c>
      <c r="V118" t="s">
        <v>61</v>
      </c>
      <c r="W118">
        <v>3</v>
      </c>
      <c r="X118">
        <v>9.5812499999999995E-2</v>
      </c>
      <c r="Y118" t="s">
        <v>150</v>
      </c>
      <c r="Z118" t="s">
        <v>151</v>
      </c>
      <c r="AA118">
        <v>0</v>
      </c>
      <c r="AB118" t="s">
        <v>725</v>
      </c>
      <c r="AC118" t="s">
        <v>726</v>
      </c>
      <c r="AD118" t="s">
        <v>727</v>
      </c>
      <c r="AE118" t="s">
        <v>728</v>
      </c>
      <c r="AF118" t="s">
        <v>729</v>
      </c>
      <c r="AG118" t="s">
        <v>66</v>
      </c>
      <c r="AH118" t="s">
        <v>66</v>
      </c>
      <c r="AI118" t="s">
        <v>66</v>
      </c>
      <c r="AJ118" t="s">
        <v>66</v>
      </c>
      <c r="AK118">
        <v>1</v>
      </c>
      <c r="AL118" t="s">
        <v>66</v>
      </c>
      <c r="AM118" t="s">
        <v>66</v>
      </c>
      <c r="AN118" t="s">
        <v>66</v>
      </c>
      <c r="AO118" t="s">
        <v>66</v>
      </c>
      <c r="AP118">
        <v>1</v>
      </c>
      <c r="AQ118" t="s">
        <v>66</v>
      </c>
      <c r="AR118" t="s">
        <v>66</v>
      </c>
      <c r="AS118" t="s">
        <v>66</v>
      </c>
      <c r="AT118" t="s">
        <v>66</v>
      </c>
    </row>
    <row r="119" spans="1:46" x14ac:dyDescent="0.15">
      <c r="A119" t="s">
        <v>782</v>
      </c>
      <c r="B119" t="s">
        <v>715</v>
      </c>
      <c r="C119" t="s">
        <v>716</v>
      </c>
      <c r="D119">
        <v>15</v>
      </c>
      <c r="E119" t="s">
        <v>717</v>
      </c>
      <c r="F119" t="s">
        <v>718</v>
      </c>
      <c r="G119" t="s">
        <v>51</v>
      </c>
      <c r="H119" t="s">
        <v>719</v>
      </c>
      <c r="I119" t="s">
        <v>720</v>
      </c>
      <c r="J119" t="s">
        <v>721</v>
      </c>
      <c r="K119" t="s">
        <v>55</v>
      </c>
      <c r="L119" t="s">
        <v>16</v>
      </c>
      <c r="M119" t="s">
        <v>19</v>
      </c>
      <c r="N119">
        <v>1286</v>
      </c>
      <c r="O119">
        <v>72</v>
      </c>
      <c r="P119">
        <v>0</v>
      </c>
      <c r="Q119" t="s">
        <v>783</v>
      </c>
      <c r="R119" t="s">
        <v>155</v>
      </c>
      <c r="S119" t="s">
        <v>784</v>
      </c>
      <c r="T119" t="s">
        <v>785</v>
      </c>
      <c r="U119" t="s">
        <v>60</v>
      </c>
      <c r="V119" t="s">
        <v>61</v>
      </c>
      <c r="W119">
        <v>3</v>
      </c>
      <c r="X119">
        <v>9.5812499999999995E-2</v>
      </c>
      <c r="Y119" t="s">
        <v>112</v>
      </c>
      <c r="Z119" t="s">
        <v>157</v>
      </c>
      <c r="AA119">
        <v>0</v>
      </c>
      <c r="AB119" t="s">
        <v>725</v>
      </c>
      <c r="AC119" t="s">
        <v>726</v>
      </c>
      <c r="AD119" t="s">
        <v>727</v>
      </c>
      <c r="AE119" t="s">
        <v>728</v>
      </c>
      <c r="AF119" t="s">
        <v>729</v>
      </c>
      <c r="AG119" t="s">
        <v>66</v>
      </c>
      <c r="AH119" t="s">
        <v>66</v>
      </c>
      <c r="AI119" t="s">
        <v>66</v>
      </c>
      <c r="AJ119" t="s">
        <v>66</v>
      </c>
      <c r="AK119">
        <v>1</v>
      </c>
      <c r="AL119" t="s">
        <v>66</v>
      </c>
      <c r="AM119" t="s">
        <v>66</v>
      </c>
      <c r="AN119" t="s">
        <v>66</v>
      </c>
      <c r="AO119" t="s">
        <v>66</v>
      </c>
      <c r="AP119">
        <v>1</v>
      </c>
      <c r="AQ119" t="s">
        <v>66</v>
      </c>
      <c r="AR119" t="s">
        <v>66</v>
      </c>
      <c r="AS119" t="s">
        <v>66</v>
      </c>
      <c r="AT119" t="s">
        <v>66</v>
      </c>
    </row>
    <row r="120" spans="1:46" x14ac:dyDescent="0.15">
      <c r="A120" t="s">
        <v>786</v>
      </c>
      <c r="B120" t="s">
        <v>715</v>
      </c>
      <c r="C120" t="s">
        <v>716</v>
      </c>
      <c r="D120">
        <v>16</v>
      </c>
      <c r="E120" t="s">
        <v>717</v>
      </c>
      <c r="F120" t="s">
        <v>718</v>
      </c>
      <c r="G120" t="s">
        <v>51</v>
      </c>
      <c r="H120" t="s">
        <v>719</v>
      </c>
      <c r="I120" t="s">
        <v>720</v>
      </c>
      <c r="J120" t="s">
        <v>721</v>
      </c>
      <c r="K120" t="s">
        <v>55</v>
      </c>
      <c r="L120" t="s">
        <v>16</v>
      </c>
      <c r="M120" t="s">
        <v>19</v>
      </c>
      <c r="N120">
        <v>1342</v>
      </c>
      <c r="O120">
        <v>75</v>
      </c>
      <c r="P120">
        <v>0</v>
      </c>
      <c r="Q120" t="s">
        <v>787</v>
      </c>
      <c r="R120" t="s">
        <v>161</v>
      </c>
      <c r="S120" t="s">
        <v>788</v>
      </c>
      <c r="T120" t="s">
        <v>789</v>
      </c>
      <c r="U120" t="s">
        <v>60</v>
      </c>
      <c r="V120" t="s">
        <v>61</v>
      </c>
      <c r="W120">
        <v>3</v>
      </c>
      <c r="X120">
        <v>9.5812499999999995E-2</v>
      </c>
      <c r="Y120" t="s">
        <v>163</v>
      </c>
      <c r="Z120" t="s">
        <v>164</v>
      </c>
      <c r="AA120">
        <v>0</v>
      </c>
      <c r="AB120" t="s">
        <v>725</v>
      </c>
      <c r="AC120" t="s">
        <v>726</v>
      </c>
      <c r="AD120" t="s">
        <v>727</v>
      </c>
      <c r="AE120" t="s">
        <v>728</v>
      </c>
      <c r="AF120" t="s">
        <v>729</v>
      </c>
      <c r="AG120" t="s">
        <v>66</v>
      </c>
      <c r="AH120" t="s">
        <v>66</v>
      </c>
      <c r="AI120" t="s">
        <v>66</v>
      </c>
      <c r="AJ120" t="s">
        <v>66</v>
      </c>
      <c r="AK120">
        <v>1</v>
      </c>
      <c r="AL120" t="s">
        <v>66</v>
      </c>
      <c r="AM120" t="s">
        <v>66</v>
      </c>
      <c r="AN120" t="s">
        <v>66</v>
      </c>
      <c r="AO120" t="s">
        <v>66</v>
      </c>
      <c r="AP120">
        <v>1</v>
      </c>
      <c r="AQ120" t="s">
        <v>66</v>
      </c>
      <c r="AR120" t="s">
        <v>66</v>
      </c>
      <c r="AS120" t="s">
        <v>66</v>
      </c>
      <c r="AT120" t="s">
        <v>66</v>
      </c>
    </row>
    <row r="121" spans="1:46" x14ac:dyDescent="0.15">
      <c r="A121" t="s">
        <v>790</v>
      </c>
      <c r="B121" t="s">
        <v>715</v>
      </c>
      <c r="C121" t="s">
        <v>716</v>
      </c>
      <c r="D121">
        <v>17</v>
      </c>
      <c r="E121" t="s">
        <v>717</v>
      </c>
      <c r="F121" t="s">
        <v>718</v>
      </c>
      <c r="G121" t="s">
        <v>51</v>
      </c>
      <c r="H121" t="s">
        <v>719</v>
      </c>
      <c r="I121" t="s">
        <v>720</v>
      </c>
      <c r="J121" t="s">
        <v>721</v>
      </c>
      <c r="K121" t="s">
        <v>55</v>
      </c>
      <c r="L121" t="s">
        <v>16</v>
      </c>
      <c r="M121" t="s">
        <v>19</v>
      </c>
      <c r="N121">
        <v>1398</v>
      </c>
      <c r="O121">
        <v>79</v>
      </c>
      <c r="P121">
        <v>0</v>
      </c>
      <c r="Q121" t="s">
        <v>791</v>
      </c>
      <c r="R121" t="s">
        <v>168</v>
      </c>
      <c r="S121" t="s">
        <v>792</v>
      </c>
      <c r="T121" t="s">
        <v>793</v>
      </c>
      <c r="U121" t="s">
        <v>60</v>
      </c>
      <c r="V121" t="s">
        <v>61</v>
      </c>
      <c r="W121">
        <v>3</v>
      </c>
      <c r="X121">
        <v>9.5812499999999995E-2</v>
      </c>
      <c r="Y121" t="s">
        <v>118</v>
      </c>
      <c r="Z121" t="s">
        <v>170</v>
      </c>
      <c r="AA121">
        <v>0</v>
      </c>
      <c r="AB121" t="s">
        <v>725</v>
      </c>
      <c r="AC121" t="s">
        <v>726</v>
      </c>
      <c r="AD121" t="s">
        <v>727</v>
      </c>
      <c r="AE121" t="s">
        <v>728</v>
      </c>
      <c r="AF121" t="s">
        <v>729</v>
      </c>
      <c r="AG121" t="s">
        <v>66</v>
      </c>
      <c r="AH121" t="s">
        <v>66</v>
      </c>
      <c r="AI121" t="s">
        <v>66</v>
      </c>
      <c r="AJ121" t="s">
        <v>66</v>
      </c>
      <c r="AK121">
        <v>1</v>
      </c>
      <c r="AL121" t="s">
        <v>66</v>
      </c>
      <c r="AM121" t="s">
        <v>66</v>
      </c>
      <c r="AN121" t="s">
        <v>66</v>
      </c>
      <c r="AO121" t="s">
        <v>66</v>
      </c>
      <c r="AP121">
        <v>1</v>
      </c>
      <c r="AQ121" t="s">
        <v>66</v>
      </c>
      <c r="AR121" t="s">
        <v>66</v>
      </c>
      <c r="AS121" t="s">
        <v>66</v>
      </c>
      <c r="AT121" t="s">
        <v>66</v>
      </c>
    </row>
    <row r="122" spans="1:46" x14ac:dyDescent="0.15">
      <c r="A122" t="s">
        <v>794</v>
      </c>
      <c r="B122" t="s">
        <v>715</v>
      </c>
      <c r="C122" t="s">
        <v>716</v>
      </c>
      <c r="D122">
        <v>18</v>
      </c>
      <c r="E122" t="s">
        <v>717</v>
      </c>
      <c r="F122" t="s">
        <v>718</v>
      </c>
      <c r="G122" t="s">
        <v>51</v>
      </c>
      <c r="H122" t="s">
        <v>719</v>
      </c>
      <c r="I122" t="s">
        <v>720</v>
      </c>
      <c r="J122" t="s">
        <v>721</v>
      </c>
      <c r="K122" t="s">
        <v>55</v>
      </c>
      <c r="L122" t="s">
        <v>16</v>
      </c>
      <c r="M122" t="s">
        <v>19</v>
      </c>
      <c r="N122">
        <v>1454</v>
      </c>
      <c r="O122">
        <v>82</v>
      </c>
      <c r="P122">
        <v>0</v>
      </c>
      <c r="Q122" t="s">
        <v>795</v>
      </c>
      <c r="R122" t="s">
        <v>174</v>
      </c>
      <c r="S122" t="s">
        <v>796</v>
      </c>
      <c r="T122" t="s">
        <v>797</v>
      </c>
      <c r="U122" t="s">
        <v>60</v>
      </c>
      <c r="V122" t="s">
        <v>61</v>
      </c>
      <c r="W122">
        <v>3</v>
      </c>
      <c r="X122">
        <v>9.5812499999999995E-2</v>
      </c>
      <c r="Y122" t="s">
        <v>176</v>
      </c>
      <c r="Z122" t="s">
        <v>177</v>
      </c>
      <c r="AA122">
        <v>0</v>
      </c>
      <c r="AB122" t="s">
        <v>725</v>
      </c>
      <c r="AC122" t="s">
        <v>726</v>
      </c>
      <c r="AD122" t="s">
        <v>727</v>
      </c>
      <c r="AE122" t="s">
        <v>728</v>
      </c>
      <c r="AF122" t="s">
        <v>729</v>
      </c>
      <c r="AG122" t="s">
        <v>66</v>
      </c>
      <c r="AH122" t="s">
        <v>66</v>
      </c>
      <c r="AI122" t="s">
        <v>66</v>
      </c>
      <c r="AJ122" t="s">
        <v>66</v>
      </c>
      <c r="AK122">
        <v>1</v>
      </c>
      <c r="AL122" t="s">
        <v>66</v>
      </c>
      <c r="AM122" t="s">
        <v>66</v>
      </c>
      <c r="AN122" t="s">
        <v>66</v>
      </c>
      <c r="AO122" t="s">
        <v>66</v>
      </c>
      <c r="AP122">
        <v>1</v>
      </c>
      <c r="AQ122" t="s">
        <v>66</v>
      </c>
      <c r="AR122" t="s">
        <v>66</v>
      </c>
      <c r="AS122" t="s">
        <v>66</v>
      </c>
      <c r="AT122" t="s">
        <v>66</v>
      </c>
    </row>
    <row r="123" spans="1:46" x14ac:dyDescent="0.15">
      <c r="A123" t="s">
        <v>798</v>
      </c>
      <c r="B123" t="s">
        <v>715</v>
      </c>
      <c r="C123" t="s">
        <v>716</v>
      </c>
      <c r="D123">
        <v>19</v>
      </c>
      <c r="E123" t="s">
        <v>717</v>
      </c>
      <c r="F123" t="s">
        <v>718</v>
      </c>
      <c r="G123" t="s">
        <v>51</v>
      </c>
      <c r="H123" t="s">
        <v>719</v>
      </c>
      <c r="I123" t="s">
        <v>720</v>
      </c>
      <c r="J123" t="s">
        <v>721</v>
      </c>
      <c r="K123" t="s">
        <v>55</v>
      </c>
      <c r="L123" t="s">
        <v>16</v>
      </c>
      <c r="M123" t="s">
        <v>19</v>
      </c>
      <c r="N123">
        <v>1510</v>
      </c>
      <c r="O123">
        <v>85</v>
      </c>
      <c r="P123">
        <v>0</v>
      </c>
      <c r="Q123" t="s">
        <v>799</v>
      </c>
      <c r="R123" t="s">
        <v>181</v>
      </c>
      <c r="S123" t="s">
        <v>800</v>
      </c>
      <c r="T123" t="s">
        <v>801</v>
      </c>
      <c r="U123" t="s">
        <v>60</v>
      </c>
      <c r="V123" t="s">
        <v>61</v>
      </c>
      <c r="W123">
        <v>3</v>
      </c>
      <c r="X123">
        <v>9.5812499999999995E-2</v>
      </c>
      <c r="Y123" t="s">
        <v>125</v>
      </c>
      <c r="Z123" t="s">
        <v>183</v>
      </c>
      <c r="AA123">
        <v>0</v>
      </c>
      <c r="AB123" t="s">
        <v>725</v>
      </c>
      <c r="AC123" t="s">
        <v>726</v>
      </c>
      <c r="AD123" t="s">
        <v>727</v>
      </c>
      <c r="AE123" t="s">
        <v>728</v>
      </c>
      <c r="AF123" t="s">
        <v>729</v>
      </c>
      <c r="AG123" t="s">
        <v>66</v>
      </c>
      <c r="AH123" t="s">
        <v>66</v>
      </c>
      <c r="AI123" t="s">
        <v>66</v>
      </c>
      <c r="AJ123" t="s">
        <v>66</v>
      </c>
      <c r="AK123">
        <v>1</v>
      </c>
      <c r="AL123" t="s">
        <v>66</v>
      </c>
      <c r="AM123" t="s">
        <v>66</v>
      </c>
      <c r="AN123" t="s">
        <v>66</v>
      </c>
      <c r="AO123" t="s">
        <v>66</v>
      </c>
      <c r="AP123">
        <v>1</v>
      </c>
      <c r="AQ123" t="s">
        <v>66</v>
      </c>
      <c r="AR123" t="s">
        <v>66</v>
      </c>
      <c r="AS123" t="s">
        <v>66</v>
      </c>
      <c r="AT123" t="s">
        <v>66</v>
      </c>
    </row>
    <row r="124" spans="1:46" x14ac:dyDescent="0.15">
      <c r="A124" t="s">
        <v>802</v>
      </c>
      <c r="B124" t="s">
        <v>715</v>
      </c>
      <c r="C124" t="s">
        <v>716</v>
      </c>
      <c r="D124">
        <v>20</v>
      </c>
      <c r="E124" t="s">
        <v>717</v>
      </c>
      <c r="F124" t="s">
        <v>718</v>
      </c>
      <c r="G124" t="s">
        <v>51</v>
      </c>
      <c r="H124" t="s">
        <v>719</v>
      </c>
      <c r="I124" t="s">
        <v>720</v>
      </c>
      <c r="J124" t="s">
        <v>721</v>
      </c>
      <c r="K124" t="s">
        <v>55</v>
      </c>
      <c r="L124" t="s">
        <v>16</v>
      </c>
      <c r="M124" t="s">
        <v>19</v>
      </c>
      <c r="N124">
        <v>1566</v>
      </c>
      <c r="O124">
        <v>88</v>
      </c>
      <c r="P124">
        <v>0</v>
      </c>
      <c r="Q124" t="s">
        <v>803</v>
      </c>
      <c r="R124" t="s">
        <v>187</v>
      </c>
      <c r="S124" t="s">
        <v>804</v>
      </c>
      <c r="T124" t="s">
        <v>805</v>
      </c>
      <c r="U124" t="s">
        <v>60</v>
      </c>
      <c r="V124" t="s">
        <v>61</v>
      </c>
      <c r="W124">
        <v>3</v>
      </c>
      <c r="X124">
        <v>9.5812499999999995E-2</v>
      </c>
      <c r="Y124" t="s">
        <v>189</v>
      </c>
      <c r="Z124" t="s">
        <v>190</v>
      </c>
      <c r="AA124">
        <v>0</v>
      </c>
      <c r="AB124" t="s">
        <v>725</v>
      </c>
      <c r="AC124" t="s">
        <v>726</v>
      </c>
      <c r="AD124" t="s">
        <v>727</v>
      </c>
      <c r="AE124" t="s">
        <v>728</v>
      </c>
      <c r="AF124" t="s">
        <v>729</v>
      </c>
      <c r="AG124" t="s">
        <v>66</v>
      </c>
      <c r="AH124" t="s">
        <v>66</v>
      </c>
      <c r="AI124" t="s">
        <v>66</v>
      </c>
      <c r="AJ124" t="s">
        <v>66</v>
      </c>
      <c r="AK124">
        <v>1</v>
      </c>
      <c r="AL124" t="s">
        <v>66</v>
      </c>
      <c r="AM124" t="s">
        <v>66</v>
      </c>
      <c r="AN124" t="s">
        <v>66</v>
      </c>
      <c r="AO124" t="s">
        <v>66</v>
      </c>
      <c r="AP124">
        <v>1</v>
      </c>
      <c r="AQ124" t="s">
        <v>66</v>
      </c>
      <c r="AR124" t="s">
        <v>66</v>
      </c>
      <c r="AS124" t="s">
        <v>66</v>
      </c>
      <c r="AT124" t="s">
        <v>66</v>
      </c>
    </row>
    <row r="125" spans="1:46" x14ac:dyDescent="0.15">
      <c r="A125" t="s">
        <v>802</v>
      </c>
      <c r="B125" t="s">
        <v>715</v>
      </c>
      <c r="C125" t="s">
        <v>716</v>
      </c>
      <c r="D125">
        <v>20</v>
      </c>
      <c r="E125" t="s">
        <v>717</v>
      </c>
      <c r="F125" t="s">
        <v>718</v>
      </c>
      <c r="G125" t="s">
        <v>51</v>
      </c>
      <c r="H125" t="s">
        <v>719</v>
      </c>
      <c r="I125" t="s">
        <v>720</v>
      </c>
      <c r="J125" t="s">
        <v>721</v>
      </c>
      <c r="K125" t="s">
        <v>55</v>
      </c>
      <c r="L125" t="s">
        <v>16</v>
      </c>
      <c r="M125" t="s">
        <v>19</v>
      </c>
      <c r="N125">
        <v>1566</v>
      </c>
      <c r="O125">
        <v>88</v>
      </c>
      <c r="P125">
        <v>0</v>
      </c>
      <c r="Q125" t="s">
        <v>803</v>
      </c>
      <c r="R125" t="s">
        <v>187</v>
      </c>
      <c r="S125" t="s">
        <v>804</v>
      </c>
      <c r="T125" t="s">
        <v>805</v>
      </c>
      <c r="U125" t="s">
        <v>60</v>
      </c>
      <c r="V125" t="s">
        <v>61</v>
      </c>
      <c r="W125">
        <v>3</v>
      </c>
      <c r="X125">
        <v>9.5812499999999995E-2</v>
      </c>
      <c r="Y125" t="s">
        <v>189</v>
      </c>
      <c r="Z125" t="s">
        <v>190</v>
      </c>
      <c r="AA125">
        <v>1</v>
      </c>
      <c r="AB125" t="s">
        <v>725</v>
      </c>
      <c r="AC125" t="s">
        <v>726</v>
      </c>
      <c r="AD125" t="s">
        <v>727</v>
      </c>
      <c r="AE125" t="s">
        <v>728</v>
      </c>
      <c r="AF125" t="s">
        <v>729</v>
      </c>
      <c r="AG125" t="s">
        <v>806</v>
      </c>
      <c r="AH125" t="s">
        <v>66</v>
      </c>
      <c r="AI125" t="s">
        <v>66</v>
      </c>
      <c r="AJ125" t="s">
        <v>66</v>
      </c>
      <c r="AK125">
        <v>1</v>
      </c>
      <c r="AL125" t="s">
        <v>807</v>
      </c>
      <c r="AM125" t="s">
        <v>808</v>
      </c>
      <c r="AN125" t="s">
        <v>66</v>
      </c>
      <c r="AO125" t="s">
        <v>66</v>
      </c>
      <c r="AP125">
        <v>1</v>
      </c>
      <c r="AQ125" t="s">
        <v>66</v>
      </c>
      <c r="AR125" t="s">
        <v>66</v>
      </c>
      <c r="AS125" t="s">
        <v>66</v>
      </c>
      <c r="AT125" t="s">
        <v>66</v>
      </c>
    </row>
    <row r="126" spans="1:46" x14ac:dyDescent="0.15">
      <c r="A126" t="s">
        <v>809</v>
      </c>
      <c r="B126" t="s">
        <v>715</v>
      </c>
      <c r="C126" t="s">
        <v>716</v>
      </c>
      <c r="D126">
        <v>21</v>
      </c>
      <c r="E126" t="s">
        <v>717</v>
      </c>
      <c r="F126" t="s">
        <v>718</v>
      </c>
      <c r="G126" t="s">
        <v>51</v>
      </c>
      <c r="H126" t="s">
        <v>719</v>
      </c>
      <c r="I126" t="s">
        <v>720</v>
      </c>
      <c r="J126" t="s">
        <v>721</v>
      </c>
      <c r="K126" t="s">
        <v>55</v>
      </c>
      <c r="L126" t="s">
        <v>16</v>
      </c>
      <c r="M126" t="s">
        <v>19</v>
      </c>
      <c r="N126">
        <v>1622</v>
      </c>
      <c r="O126">
        <v>91</v>
      </c>
      <c r="P126">
        <v>0</v>
      </c>
      <c r="Q126" t="s">
        <v>810</v>
      </c>
      <c r="R126" t="s">
        <v>195</v>
      </c>
      <c r="S126" t="s">
        <v>811</v>
      </c>
      <c r="T126" t="s">
        <v>812</v>
      </c>
      <c r="U126" t="s">
        <v>60</v>
      </c>
      <c r="V126" t="s">
        <v>61</v>
      </c>
      <c r="W126">
        <v>3</v>
      </c>
      <c r="X126">
        <v>9.5812499999999995E-2</v>
      </c>
      <c r="Y126" t="s">
        <v>131</v>
      </c>
      <c r="Z126" t="s">
        <v>197</v>
      </c>
      <c r="AA126">
        <v>1</v>
      </c>
      <c r="AB126" t="s">
        <v>725</v>
      </c>
      <c r="AC126" t="s">
        <v>726</v>
      </c>
      <c r="AD126" t="s">
        <v>727</v>
      </c>
      <c r="AE126" t="s">
        <v>728</v>
      </c>
      <c r="AF126" t="s">
        <v>729</v>
      </c>
      <c r="AG126" t="s">
        <v>806</v>
      </c>
      <c r="AH126" t="s">
        <v>66</v>
      </c>
      <c r="AI126" t="s">
        <v>66</v>
      </c>
      <c r="AJ126" t="s">
        <v>66</v>
      </c>
      <c r="AK126">
        <v>1</v>
      </c>
      <c r="AL126" t="s">
        <v>807</v>
      </c>
      <c r="AM126" t="s">
        <v>808</v>
      </c>
      <c r="AN126" t="s">
        <v>66</v>
      </c>
      <c r="AO126" t="s">
        <v>66</v>
      </c>
      <c r="AP126">
        <v>1</v>
      </c>
      <c r="AQ126" t="s">
        <v>66</v>
      </c>
      <c r="AR126" t="s">
        <v>66</v>
      </c>
      <c r="AS126" t="s">
        <v>66</v>
      </c>
      <c r="AT126" t="s">
        <v>66</v>
      </c>
    </row>
    <row r="127" spans="1:46" x14ac:dyDescent="0.15">
      <c r="A127" t="s">
        <v>813</v>
      </c>
      <c r="B127" t="s">
        <v>715</v>
      </c>
      <c r="C127" t="s">
        <v>716</v>
      </c>
      <c r="D127">
        <v>22</v>
      </c>
      <c r="E127" t="s">
        <v>717</v>
      </c>
      <c r="F127" t="s">
        <v>718</v>
      </c>
      <c r="G127" t="s">
        <v>51</v>
      </c>
      <c r="H127" t="s">
        <v>719</v>
      </c>
      <c r="I127" t="s">
        <v>720</v>
      </c>
      <c r="J127" t="s">
        <v>721</v>
      </c>
      <c r="K127" t="s">
        <v>55</v>
      </c>
      <c r="L127" t="s">
        <v>16</v>
      </c>
      <c r="M127" t="s">
        <v>19</v>
      </c>
      <c r="N127">
        <v>1679</v>
      </c>
      <c r="O127">
        <v>94</v>
      </c>
      <c r="P127">
        <v>0</v>
      </c>
      <c r="Q127" t="s">
        <v>814</v>
      </c>
      <c r="R127" t="s">
        <v>201</v>
      </c>
      <c r="S127" t="s">
        <v>815</v>
      </c>
      <c r="T127" t="s">
        <v>816</v>
      </c>
      <c r="U127" t="s">
        <v>60</v>
      </c>
      <c r="V127" t="s">
        <v>61</v>
      </c>
      <c r="W127">
        <v>3</v>
      </c>
      <c r="X127">
        <v>9.5812499999999995E-2</v>
      </c>
      <c r="Y127" t="s">
        <v>203</v>
      </c>
      <c r="Z127" t="s">
        <v>204</v>
      </c>
      <c r="AA127">
        <v>1</v>
      </c>
      <c r="AB127" t="s">
        <v>725</v>
      </c>
      <c r="AC127" t="s">
        <v>726</v>
      </c>
      <c r="AD127" t="s">
        <v>727</v>
      </c>
      <c r="AE127" t="s">
        <v>728</v>
      </c>
      <c r="AF127" t="s">
        <v>729</v>
      </c>
      <c r="AG127" t="s">
        <v>806</v>
      </c>
      <c r="AH127" t="s">
        <v>66</v>
      </c>
      <c r="AI127" t="s">
        <v>66</v>
      </c>
      <c r="AJ127" t="s">
        <v>66</v>
      </c>
      <c r="AK127">
        <v>1</v>
      </c>
      <c r="AL127" t="s">
        <v>807</v>
      </c>
      <c r="AM127" t="s">
        <v>808</v>
      </c>
      <c r="AN127" t="s">
        <v>66</v>
      </c>
      <c r="AO127" t="s">
        <v>66</v>
      </c>
      <c r="AP127">
        <v>1</v>
      </c>
      <c r="AQ127" t="s">
        <v>66</v>
      </c>
      <c r="AR127" t="s">
        <v>66</v>
      </c>
      <c r="AS127" t="s">
        <v>66</v>
      </c>
      <c r="AT127" t="s">
        <v>66</v>
      </c>
    </row>
    <row r="128" spans="1:46" x14ac:dyDescent="0.15">
      <c r="A128" t="s">
        <v>817</v>
      </c>
      <c r="B128" t="s">
        <v>715</v>
      </c>
      <c r="C128" t="s">
        <v>716</v>
      </c>
      <c r="D128">
        <v>23</v>
      </c>
      <c r="E128" t="s">
        <v>717</v>
      </c>
      <c r="F128" t="s">
        <v>718</v>
      </c>
      <c r="G128" t="s">
        <v>51</v>
      </c>
      <c r="H128" t="s">
        <v>719</v>
      </c>
      <c r="I128" t="s">
        <v>720</v>
      </c>
      <c r="J128" t="s">
        <v>721</v>
      </c>
      <c r="K128" t="s">
        <v>55</v>
      </c>
      <c r="L128" t="s">
        <v>16</v>
      </c>
      <c r="M128" t="s">
        <v>19</v>
      </c>
      <c r="N128">
        <v>1735</v>
      </c>
      <c r="O128">
        <v>97</v>
      </c>
      <c r="P128">
        <v>0</v>
      </c>
      <c r="Q128" t="s">
        <v>818</v>
      </c>
      <c r="R128" t="s">
        <v>208</v>
      </c>
      <c r="S128" t="s">
        <v>819</v>
      </c>
      <c r="T128" t="s">
        <v>820</v>
      </c>
      <c r="U128" t="s">
        <v>60</v>
      </c>
      <c r="V128" t="s">
        <v>61</v>
      </c>
      <c r="W128">
        <v>3</v>
      </c>
      <c r="X128">
        <v>9.5812499999999995E-2</v>
      </c>
      <c r="Y128" t="s">
        <v>138</v>
      </c>
      <c r="Z128" t="s">
        <v>210</v>
      </c>
      <c r="AA128">
        <v>1</v>
      </c>
      <c r="AB128" t="s">
        <v>725</v>
      </c>
      <c r="AC128" t="s">
        <v>726</v>
      </c>
      <c r="AD128" t="s">
        <v>727</v>
      </c>
      <c r="AE128" t="s">
        <v>728</v>
      </c>
      <c r="AF128" t="s">
        <v>729</v>
      </c>
      <c r="AG128" t="s">
        <v>806</v>
      </c>
      <c r="AH128" t="s">
        <v>66</v>
      </c>
      <c r="AI128" t="s">
        <v>66</v>
      </c>
      <c r="AJ128" t="s">
        <v>66</v>
      </c>
      <c r="AK128">
        <v>1</v>
      </c>
      <c r="AL128" t="s">
        <v>807</v>
      </c>
      <c r="AM128" t="s">
        <v>808</v>
      </c>
      <c r="AN128" t="s">
        <v>66</v>
      </c>
      <c r="AO128" t="s">
        <v>66</v>
      </c>
      <c r="AP128">
        <v>1</v>
      </c>
      <c r="AQ128" t="s">
        <v>66</v>
      </c>
      <c r="AR128" t="s">
        <v>66</v>
      </c>
      <c r="AS128" t="s">
        <v>66</v>
      </c>
      <c r="AT128" t="s">
        <v>66</v>
      </c>
    </row>
    <row r="129" spans="1:46" x14ac:dyDescent="0.15">
      <c r="A129" t="s">
        <v>821</v>
      </c>
      <c r="B129" t="s">
        <v>715</v>
      </c>
      <c r="C129" t="s">
        <v>716</v>
      </c>
      <c r="D129">
        <v>24</v>
      </c>
      <c r="E129" t="s">
        <v>717</v>
      </c>
      <c r="F129" t="s">
        <v>718</v>
      </c>
      <c r="G129" t="s">
        <v>51</v>
      </c>
      <c r="H129" t="s">
        <v>719</v>
      </c>
      <c r="I129" t="s">
        <v>720</v>
      </c>
      <c r="J129" t="s">
        <v>721</v>
      </c>
      <c r="K129" t="s">
        <v>55</v>
      </c>
      <c r="L129" t="s">
        <v>16</v>
      </c>
      <c r="M129" t="s">
        <v>19</v>
      </c>
      <c r="N129">
        <v>1791</v>
      </c>
      <c r="O129">
        <v>100</v>
      </c>
      <c r="P129">
        <v>0</v>
      </c>
      <c r="Q129" t="s">
        <v>822</v>
      </c>
      <c r="R129" t="s">
        <v>214</v>
      </c>
      <c r="S129" t="s">
        <v>823</v>
      </c>
      <c r="T129" t="s">
        <v>824</v>
      </c>
      <c r="U129" t="s">
        <v>60</v>
      </c>
      <c r="V129" t="s">
        <v>61</v>
      </c>
      <c r="W129">
        <v>3</v>
      </c>
      <c r="X129">
        <v>9.5812499999999995E-2</v>
      </c>
      <c r="Y129" t="s">
        <v>216</v>
      </c>
      <c r="Z129" t="s">
        <v>217</v>
      </c>
      <c r="AA129">
        <v>1</v>
      </c>
      <c r="AB129" t="s">
        <v>725</v>
      </c>
      <c r="AC129" t="s">
        <v>726</v>
      </c>
      <c r="AD129" t="s">
        <v>727</v>
      </c>
      <c r="AE129" t="s">
        <v>728</v>
      </c>
      <c r="AF129" t="s">
        <v>729</v>
      </c>
      <c r="AG129" t="s">
        <v>806</v>
      </c>
      <c r="AH129" t="s">
        <v>66</v>
      </c>
      <c r="AI129" t="s">
        <v>66</v>
      </c>
      <c r="AJ129" t="s">
        <v>66</v>
      </c>
      <c r="AK129">
        <v>1</v>
      </c>
      <c r="AL129" t="s">
        <v>807</v>
      </c>
      <c r="AM129" t="s">
        <v>808</v>
      </c>
      <c r="AN129" t="s">
        <v>66</v>
      </c>
      <c r="AO129" t="s">
        <v>66</v>
      </c>
      <c r="AP129">
        <v>1</v>
      </c>
      <c r="AQ129" t="s">
        <v>66</v>
      </c>
      <c r="AR129" t="s">
        <v>66</v>
      </c>
      <c r="AS129" t="s">
        <v>66</v>
      </c>
      <c r="AT129" t="s">
        <v>66</v>
      </c>
    </row>
    <row r="130" spans="1:46" x14ac:dyDescent="0.15">
      <c r="A130" t="s">
        <v>825</v>
      </c>
      <c r="B130" t="s">
        <v>715</v>
      </c>
      <c r="C130" t="s">
        <v>716</v>
      </c>
      <c r="D130">
        <v>25</v>
      </c>
      <c r="E130" t="s">
        <v>717</v>
      </c>
      <c r="F130" t="s">
        <v>718</v>
      </c>
      <c r="G130" t="s">
        <v>51</v>
      </c>
      <c r="H130" t="s">
        <v>719</v>
      </c>
      <c r="I130" t="s">
        <v>720</v>
      </c>
      <c r="J130" t="s">
        <v>721</v>
      </c>
      <c r="K130" t="s">
        <v>55</v>
      </c>
      <c r="L130" t="s">
        <v>16</v>
      </c>
      <c r="M130" t="s">
        <v>19</v>
      </c>
      <c r="N130">
        <v>1847</v>
      </c>
      <c r="O130">
        <v>103</v>
      </c>
      <c r="P130">
        <v>0</v>
      </c>
      <c r="Q130" t="s">
        <v>826</v>
      </c>
      <c r="R130" t="s">
        <v>221</v>
      </c>
      <c r="S130" t="s">
        <v>827</v>
      </c>
      <c r="T130" t="s">
        <v>828</v>
      </c>
      <c r="U130" t="s">
        <v>60</v>
      </c>
      <c r="V130" t="s">
        <v>61</v>
      </c>
      <c r="W130">
        <v>3</v>
      </c>
      <c r="X130">
        <v>9.5812499999999995E-2</v>
      </c>
      <c r="Y130" t="s">
        <v>144</v>
      </c>
      <c r="Z130" t="s">
        <v>223</v>
      </c>
      <c r="AA130">
        <v>1</v>
      </c>
      <c r="AB130" t="s">
        <v>725</v>
      </c>
      <c r="AC130" t="s">
        <v>726</v>
      </c>
      <c r="AD130" t="s">
        <v>727</v>
      </c>
      <c r="AE130" t="s">
        <v>728</v>
      </c>
      <c r="AF130" t="s">
        <v>729</v>
      </c>
      <c r="AG130" t="s">
        <v>806</v>
      </c>
      <c r="AH130" t="s">
        <v>66</v>
      </c>
      <c r="AI130" t="s">
        <v>66</v>
      </c>
      <c r="AJ130" t="s">
        <v>66</v>
      </c>
      <c r="AK130">
        <v>1</v>
      </c>
      <c r="AL130" t="s">
        <v>807</v>
      </c>
      <c r="AM130" t="s">
        <v>808</v>
      </c>
      <c r="AN130" t="s">
        <v>66</v>
      </c>
      <c r="AO130" t="s">
        <v>66</v>
      </c>
      <c r="AP130">
        <v>1</v>
      </c>
      <c r="AQ130" t="s">
        <v>66</v>
      </c>
      <c r="AR130" t="s">
        <v>66</v>
      </c>
      <c r="AS130" t="s">
        <v>66</v>
      </c>
      <c r="AT130" t="s">
        <v>66</v>
      </c>
    </row>
    <row r="131" spans="1:46" x14ac:dyDescent="0.15">
      <c r="A131" t="s">
        <v>829</v>
      </c>
      <c r="B131" t="s">
        <v>715</v>
      </c>
      <c r="C131" t="s">
        <v>716</v>
      </c>
      <c r="D131">
        <v>26</v>
      </c>
      <c r="E131" t="s">
        <v>717</v>
      </c>
      <c r="F131" t="s">
        <v>718</v>
      </c>
      <c r="G131" t="s">
        <v>51</v>
      </c>
      <c r="H131" t="s">
        <v>719</v>
      </c>
      <c r="I131" t="s">
        <v>720</v>
      </c>
      <c r="J131" t="s">
        <v>721</v>
      </c>
      <c r="K131" t="s">
        <v>55</v>
      </c>
      <c r="L131" t="s">
        <v>16</v>
      </c>
      <c r="M131" t="s">
        <v>19</v>
      </c>
      <c r="N131">
        <v>1903</v>
      </c>
      <c r="O131">
        <v>106</v>
      </c>
      <c r="P131">
        <v>0</v>
      </c>
      <c r="Q131" t="s">
        <v>830</v>
      </c>
      <c r="R131" t="s">
        <v>227</v>
      </c>
      <c r="S131" t="s">
        <v>831</v>
      </c>
      <c r="T131" t="s">
        <v>832</v>
      </c>
      <c r="U131" t="s">
        <v>60</v>
      </c>
      <c r="V131" t="s">
        <v>61</v>
      </c>
      <c r="W131">
        <v>3</v>
      </c>
      <c r="X131">
        <v>9.5812499999999995E-2</v>
      </c>
      <c r="Y131" t="s">
        <v>229</v>
      </c>
      <c r="Z131" t="s">
        <v>230</v>
      </c>
      <c r="AA131">
        <v>1</v>
      </c>
      <c r="AB131" t="s">
        <v>725</v>
      </c>
      <c r="AC131" t="s">
        <v>726</v>
      </c>
      <c r="AD131" t="s">
        <v>727</v>
      </c>
      <c r="AE131" t="s">
        <v>728</v>
      </c>
      <c r="AF131" t="s">
        <v>729</v>
      </c>
      <c r="AG131" t="s">
        <v>806</v>
      </c>
      <c r="AH131" t="s">
        <v>66</v>
      </c>
      <c r="AI131" t="s">
        <v>66</v>
      </c>
      <c r="AJ131" t="s">
        <v>66</v>
      </c>
      <c r="AK131">
        <v>1</v>
      </c>
      <c r="AL131" t="s">
        <v>807</v>
      </c>
      <c r="AM131" t="s">
        <v>808</v>
      </c>
      <c r="AN131" t="s">
        <v>66</v>
      </c>
      <c r="AO131" t="s">
        <v>66</v>
      </c>
      <c r="AP131">
        <v>1</v>
      </c>
      <c r="AQ131" t="s">
        <v>66</v>
      </c>
      <c r="AR131" t="s">
        <v>66</v>
      </c>
      <c r="AS131" t="s">
        <v>66</v>
      </c>
      <c r="AT131" t="s">
        <v>66</v>
      </c>
    </row>
    <row r="132" spans="1:46" x14ac:dyDescent="0.15">
      <c r="A132" t="s">
        <v>833</v>
      </c>
      <c r="B132" t="s">
        <v>715</v>
      </c>
      <c r="C132" t="s">
        <v>716</v>
      </c>
      <c r="D132">
        <v>27</v>
      </c>
      <c r="E132" t="s">
        <v>717</v>
      </c>
      <c r="F132" t="s">
        <v>718</v>
      </c>
      <c r="G132" t="s">
        <v>51</v>
      </c>
      <c r="H132" t="s">
        <v>719</v>
      </c>
      <c r="I132" t="s">
        <v>720</v>
      </c>
      <c r="J132" t="s">
        <v>721</v>
      </c>
      <c r="K132" t="s">
        <v>55</v>
      </c>
      <c r="L132" t="s">
        <v>16</v>
      </c>
      <c r="M132" t="s">
        <v>19</v>
      </c>
      <c r="N132">
        <v>1959</v>
      </c>
      <c r="O132">
        <v>109</v>
      </c>
      <c r="P132">
        <v>0</v>
      </c>
      <c r="Q132" t="s">
        <v>834</v>
      </c>
      <c r="R132" t="s">
        <v>234</v>
      </c>
      <c r="S132" t="s">
        <v>835</v>
      </c>
      <c r="T132" t="s">
        <v>836</v>
      </c>
      <c r="U132" t="s">
        <v>60</v>
      </c>
      <c r="V132" t="s">
        <v>61</v>
      </c>
      <c r="W132">
        <v>3</v>
      </c>
      <c r="X132">
        <v>9.5812499999999995E-2</v>
      </c>
      <c r="Y132" t="s">
        <v>151</v>
      </c>
      <c r="Z132" t="s">
        <v>236</v>
      </c>
      <c r="AA132">
        <v>1</v>
      </c>
      <c r="AB132" t="s">
        <v>725</v>
      </c>
      <c r="AC132" t="s">
        <v>726</v>
      </c>
      <c r="AD132" t="s">
        <v>727</v>
      </c>
      <c r="AE132" t="s">
        <v>728</v>
      </c>
      <c r="AF132" t="s">
        <v>729</v>
      </c>
      <c r="AG132" t="s">
        <v>806</v>
      </c>
      <c r="AH132" t="s">
        <v>66</v>
      </c>
      <c r="AI132" t="s">
        <v>66</v>
      </c>
      <c r="AJ132" t="s">
        <v>66</v>
      </c>
      <c r="AK132">
        <v>1</v>
      </c>
      <c r="AL132" t="s">
        <v>807</v>
      </c>
      <c r="AM132" t="s">
        <v>808</v>
      </c>
      <c r="AN132" t="s">
        <v>66</v>
      </c>
      <c r="AO132" t="s">
        <v>66</v>
      </c>
      <c r="AP132">
        <v>1</v>
      </c>
      <c r="AQ132" t="s">
        <v>66</v>
      </c>
      <c r="AR132" t="s">
        <v>66</v>
      </c>
      <c r="AS132" t="s">
        <v>66</v>
      </c>
      <c r="AT132" t="s">
        <v>66</v>
      </c>
    </row>
    <row r="133" spans="1:46" x14ac:dyDescent="0.15">
      <c r="A133" t="s">
        <v>837</v>
      </c>
      <c r="B133" t="s">
        <v>715</v>
      </c>
      <c r="C133" t="s">
        <v>716</v>
      </c>
      <c r="D133">
        <v>28</v>
      </c>
      <c r="E133" t="s">
        <v>717</v>
      </c>
      <c r="F133" t="s">
        <v>718</v>
      </c>
      <c r="G133" t="s">
        <v>51</v>
      </c>
      <c r="H133" t="s">
        <v>719</v>
      </c>
      <c r="I133" t="s">
        <v>720</v>
      </c>
      <c r="J133" t="s">
        <v>721</v>
      </c>
      <c r="K133" t="s">
        <v>55</v>
      </c>
      <c r="L133" t="s">
        <v>16</v>
      </c>
      <c r="M133" t="s">
        <v>19</v>
      </c>
      <c r="N133">
        <v>2015</v>
      </c>
      <c r="O133">
        <v>112</v>
      </c>
      <c r="P133">
        <v>0</v>
      </c>
      <c r="Q133" t="s">
        <v>838</v>
      </c>
      <c r="R133" t="s">
        <v>240</v>
      </c>
      <c r="S133" t="s">
        <v>839</v>
      </c>
      <c r="T133" t="s">
        <v>840</v>
      </c>
      <c r="U133" t="s">
        <v>60</v>
      </c>
      <c r="V133" t="s">
        <v>61</v>
      </c>
      <c r="W133">
        <v>3</v>
      </c>
      <c r="X133">
        <v>9.5812499999999995E-2</v>
      </c>
      <c r="Y133" t="s">
        <v>242</v>
      </c>
      <c r="Z133" t="s">
        <v>243</v>
      </c>
      <c r="AA133">
        <v>1</v>
      </c>
      <c r="AB133" t="s">
        <v>725</v>
      </c>
      <c r="AC133" t="s">
        <v>726</v>
      </c>
      <c r="AD133" t="s">
        <v>727</v>
      </c>
      <c r="AE133" t="s">
        <v>728</v>
      </c>
      <c r="AF133" t="s">
        <v>729</v>
      </c>
      <c r="AG133" t="s">
        <v>806</v>
      </c>
      <c r="AH133" t="s">
        <v>66</v>
      </c>
      <c r="AI133" t="s">
        <v>66</v>
      </c>
      <c r="AJ133" t="s">
        <v>66</v>
      </c>
      <c r="AK133">
        <v>1</v>
      </c>
      <c r="AL133" t="s">
        <v>807</v>
      </c>
      <c r="AM133" t="s">
        <v>808</v>
      </c>
      <c r="AN133" t="s">
        <v>66</v>
      </c>
      <c r="AO133" t="s">
        <v>66</v>
      </c>
      <c r="AP133">
        <v>1</v>
      </c>
      <c r="AQ133" t="s">
        <v>66</v>
      </c>
      <c r="AR133" t="s">
        <v>66</v>
      </c>
      <c r="AS133" t="s">
        <v>66</v>
      </c>
      <c r="AT133" t="s">
        <v>66</v>
      </c>
    </row>
    <row r="134" spans="1:46" x14ac:dyDescent="0.15">
      <c r="A134" t="s">
        <v>841</v>
      </c>
      <c r="B134" t="s">
        <v>715</v>
      </c>
      <c r="C134" t="s">
        <v>716</v>
      </c>
      <c r="D134">
        <v>29</v>
      </c>
      <c r="E134" t="s">
        <v>717</v>
      </c>
      <c r="F134" t="s">
        <v>718</v>
      </c>
      <c r="G134" t="s">
        <v>51</v>
      </c>
      <c r="H134" t="s">
        <v>719</v>
      </c>
      <c r="I134" t="s">
        <v>720</v>
      </c>
      <c r="J134" t="s">
        <v>721</v>
      </c>
      <c r="K134" t="s">
        <v>55</v>
      </c>
      <c r="L134" t="s">
        <v>16</v>
      </c>
      <c r="M134" t="s">
        <v>19</v>
      </c>
      <c r="N134">
        <v>2071</v>
      </c>
      <c r="O134">
        <v>115</v>
      </c>
      <c r="P134">
        <v>0</v>
      </c>
      <c r="Q134" t="s">
        <v>842</v>
      </c>
      <c r="R134" t="s">
        <v>247</v>
      </c>
      <c r="S134" t="s">
        <v>843</v>
      </c>
      <c r="T134" t="s">
        <v>844</v>
      </c>
      <c r="U134" t="s">
        <v>60</v>
      </c>
      <c r="V134" t="s">
        <v>61</v>
      </c>
      <c r="W134">
        <v>3</v>
      </c>
      <c r="X134">
        <v>9.5812499999999995E-2</v>
      </c>
      <c r="Y134" t="s">
        <v>157</v>
      </c>
      <c r="Z134" t="s">
        <v>249</v>
      </c>
      <c r="AA134">
        <v>1</v>
      </c>
      <c r="AB134" t="s">
        <v>725</v>
      </c>
      <c r="AC134" t="s">
        <v>726</v>
      </c>
      <c r="AD134" t="s">
        <v>727</v>
      </c>
      <c r="AE134" t="s">
        <v>728</v>
      </c>
      <c r="AF134" t="s">
        <v>729</v>
      </c>
      <c r="AG134" t="s">
        <v>806</v>
      </c>
      <c r="AH134" t="s">
        <v>66</v>
      </c>
      <c r="AI134" t="s">
        <v>66</v>
      </c>
      <c r="AJ134" t="s">
        <v>66</v>
      </c>
      <c r="AK134">
        <v>1</v>
      </c>
      <c r="AL134" t="s">
        <v>807</v>
      </c>
      <c r="AM134" t="s">
        <v>808</v>
      </c>
      <c r="AN134" t="s">
        <v>66</v>
      </c>
      <c r="AO134" t="s">
        <v>66</v>
      </c>
      <c r="AP134">
        <v>1</v>
      </c>
      <c r="AQ134" t="s">
        <v>66</v>
      </c>
      <c r="AR134" t="s">
        <v>66</v>
      </c>
      <c r="AS134" t="s">
        <v>66</v>
      </c>
      <c r="AT134" t="s">
        <v>66</v>
      </c>
    </row>
    <row r="135" spans="1:46" x14ac:dyDescent="0.15">
      <c r="A135" t="s">
        <v>845</v>
      </c>
      <c r="B135" t="s">
        <v>715</v>
      </c>
      <c r="C135" t="s">
        <v>716</v>
      </c>
      <c r="D135">
        <v>30</v>
      </c>
      <c r="E135" t="s">
        <v>717</v>
      </c>
      <c r="F135" t="s">
        <v>718</v>
      </c>
      <c r="G135" t="s">
        <v>51</v>
      </c>
      <c r="H135" t="s">
        <v>719</v>
      </c>
      <c r="I135" t="s">
        <v>720</v>
      </c>
      <c r="J135" t="s">
        <v>721</v>
      </c>
      <c r="K135" t="s">
        <v>55</v>
      </c>
      <c r="L135" t="s">
        <v>16</v>
      </c>
      <c r="M135" t="s">
        <v>19</v>
      </c>
      <c r="N135">
        <v>2128</v>
      </c>
      <c r="O135">
        <v>118</v>
      </c>
      <c r="P135">
        <v>0</v>
      </c>
      <c r="Q135" t="s">
        <v>846</v>
      </c>
      <c r="R135" t="s">
        <v>253</v>
      </c>
      <c r="S135" t="s">
        <v>847</v>
      </c>
      <c r="T135" t="s">
        <v>848</v>
      </c>
      <c r="U135" t="s">
        <v>60</v>
      </c>
      <c r="V135" t="s">
        <v>61</v>
      </c>
      <c r="W135">
        <v>3</v>
      </c>
      <c r="X135">
        <v>9.5812499999999995E-2</v>
      </c>
      <c r="Y135" t="s">
        <v>255</v>
      </c>
      <c r="Z135" t="s">
        <v>256</v>
      </c>
      <c r="AA135">
        <v>1</v>
      </c>
      <c r="AB135" t="s">
        <v>725</v>
      </c>
      <c r="AC135" t="s">
        <v>726</v>
      </c>
      <c r="AD135" t="s">
        <v>727</v>
      </c>
      <c r="AE135" t="s">
        <v>728</v>
      </c>
      <c r="AF135" t="s">
        <v>729</v>
      </c>
      <c r="AG135" t="s">
        <v>806</v>
      </c>
      <c r="AH135" t="s">
        <v>66</v>
      </c>
      <c r="AI135" t="s">
        <v>66</v>
      </c>
      <c r="AJ135" t="s">
        <v>66</v>
      </c>
      <c r="AK135">
        <v>1</v>
      </c>
      <c r="AL135" t="s">
        <v>807</v>
      </c>
      <c r="AM135" t="s">
        <v>808</v>
      </c>
      <c r="AN135" t="s">
        <v>66</v>
      </c>
      <c r="AO135" t="s">
        <v>66</v>
      </c>
      <c r="AP135">
        <v>1</v>
      </c>
      <c r="AQ135" t="s">
        <v>66</v>
      </c>
      <c r="AR135" t="s">
        <v>66</v>
      </c>
      <c r="AS135" t="s">
        <v>66</v>
      </c>
      <c r="AT135" t="s">
        <v>66</v>
      </c>
    </row>
    <row r="136" spans="1:46" x14ac:dyDescent="0.15">
      <c r="A136" t="s">
        <v>849</v>
      </c>
      <c r="B136" t="s">
        <v>715</v>
      </c>
      <c r="C136" t="s">
        <v>716</v>
      </c>
      <c r="D136">
        <v>31</v>
      </c>
      <c r="E136" t="s">
        <v>717</v>
      </c>
      <c r="F136" t="s">
        <v>718</v>
      </c>
      <c r="G136" t="s">
        <v>51</v>
      </c>
      <c r="H136" t="s">
        <v>719</v>
      </c>
      <c r="I136" t="s">
        <v>720</v>
      </c>
      <c r="J136" t="s">
        <v>721</v>
      </c>
      <c r="K136" t="s">
        <v>55</v>
      </c>
      <c r="L136" t="s">
        <v>16</v>
      </c>
      <c r="M136" t="s">
        <v>19</v>
      </c>
      <c r="N136">
        <v>2184</v>
      </c>
      <c r="O136">
        <v>121</v>
      </c>
      <c r="P136">
        <v>0</v>
      </c>
      <c r="Q136" t="s">
        <v>850</v>
      </c>
      <c r="R136" t="s">
        <v>260</v>
      </c>
      <c r="S136" t="s">
        <v>851</v>
      </c>
      <c r="T136" t="s">
        <v>852</v>
      </c>
      <c r="U136" t="s">
        <v>60</v>
      </c>
      <c r="V136" t="s">
        <v>61</v>
      </c>
      <c r="W136">
        <v>3</v>
      </c>
      <c r="X136">
        <v>9.5812499999999995E-2</v>
      </c>
      <c r="Y136" t="s">
        <v>164</v>
      </c>
      <c r="Z136" t="s">
        <v>262</v>
      </c>
      <c r="AA136">
        <v>1</v>
      </c>
      <c r="AB136" t="s">
        <v>725</v>
      </c>
      <c r="AC136" t="s">
        <v>726</v>
      </c>
      <c r="AD136" t="s">
        <v>727</v>
      </c>
      <c r="AE136" t="s">
        <v>728</v>
      </c>
      <c r="AF136" t="s">
        <v>729</v>
      </c>
      <c r="AG136" t="s">
        <v>806</v>
      </c>
      <c r="AH136" t="s">
        <v>66</v>
      </c>
      <c r="AI136" t="s">
        <v>66</v>
      </c>
      <c r="AJ136" t="s">
        <v>66</v>
      </c>
      <c r="AK136">
        <v>1</v>
      </c>
      <c r="AL136" t="s">
        <v>807</v>
      </c>
      <c r="AM136" t="s">
        <v>808</v>
      </c>
      <c r="AN136" t="s">
        <v>66</v>
      </c>
      <c r="AO136" t="s">
        <v>66</v>
      </c>
      <c r="AP136">
        <v>1</v>
      </c>
      <c r="AQ136" t="s">
        <v>66</v>
      </c>
      <c r="AR136" t="s">
        <v>66</v>
      </c>
      <c r="AS136" t="s">
        <v>66</v>
      </c>
      <c r="AT136" t="s">
        <v>66</v>
      </c>
    </row>
    <row r="137" spans="1:46" x14ac:dyDescent="0.15">
      <c r="A137" t="s">
        <v>853</v>
      </c>
      <c r="B137" t="s">
        <v>715</v>
      </c>
      <c r="C137" t="s">
        <v>716</v>
      </c>
      <c r="D137">
        <v>32</v>
      </c>
      <c r="E137" t="s">
        <v>717</v>
      </c>
      <c r="F137" t="s">
        <v>718</v>
      </c>
      <c r="G137" t="s">
        <v>51</v>
      </c>
      <c r="H137" t="s">
        <v>719</v>
      </c>
      <c r="I137" t="s">
        <v>720</v>
      </c>
      <c r="J137" t="s">
        <v>721</v>
      </c>
      <c r="K137" t="s">
        <v>55</v>
      </c>
      <c r="L137" t="s">
        <v>16</v>
      </c>
      <c r="M137" t="s">
        <v>19</v>
      </c>
      <c r="N137">
        <v>2240</v>
      </c>
      <c r="O137">
        <v>124</v>
      </c>
      <c r="P137">
        <v>0</v>
      </c>
      <c r="Q137" t="s">
        <v>854</v>
      </c>
      <c r="R137" t="s">
        <v>266</v>
      </c>
      <c r="S137" t="s">
        <v>855</v>
      </c>
      <c r="T137" t="s">
        <v>856</v>
      </c>
      <c r="U137" t="s">
        <v>60</v>
      </c>
      <c r="V137" t="s">
        <v>61</v>
      </c>
      <c r="W137">
        <v>3</v>
      </c>
      <c r="X137">
        <v>9.5812499999999995E-2</v>
      </c>
      <c r="Y137" t="s">
        <v>268</v>
      </c>
      <c r="Z137" t="s">
        <v>269</v>
      </c>
      <c r="AA137">
        <v>1</v>
      </c>
      <c r="AB137" t="s">
        <v>725</v>
      </c>
      <c r="AC137" t="s">
        <v>726</v>
      </c>
      <c r="AD137" t="s">
        <v>727</v>
      </c>
      <c r="AE137" t="s">
        <v>728</v>
      </c>
      <c r="AF137" t="s">
        <v>729</v>
      </c>
      <c r="AG137" t="s">
        <v>806</v>
      </c>
      <c r="AH137" t="s">
        <v>66</v>
      </c>
      <c r="AI137" t="s">
        <v>66</v>
      </c>
      <c r="AJ137" t="s">
        <v>66</v>
      </c>
      <c r="AK137">
        <v>1</v>
      </c>
      <c r="AL137" t="s">
        <v>807</v>
      </c>
      <c r="AM137" t="s">
        <v>808</v>
      </c>
      <c r="AN137" t="s">
        <v>66</v>
      </c>
      <c r="AO137" t="s">
        <v>66</v>
      </c>
      <c r="AP137">
        <v>1</v>
      </c>
      <c r="AQ137" t="s">
        <v>66</v>
      </c>
      <c r="AR137" t="s">
        <v>66</v>
      </c>
      <c r="AS137" t="s">
        <v>66</v>
      </c>
      <c r="AT137" t="s">
        <v>66</v>
      </c>
    </row>
    <row r="138" spans="1:46" x14ac:dyDescent="0.15">
      <c r="A138" t="s">
        <v>857</v>
      </c>
      <c r="B138" t="s">
        <v>715</v>
      </c>
      <c r="C138" t="s">
        <v>716</v>
      </c>
      <c r="D138">
        <v>33</v>
      </c>
      <c r="E138" t="s">
        <v>717</v>
      </c>
      <c r="F138" t="s">
        <v>718</v>
      </c>
      <c r="G138" t="s">
        <v>51</v>
      </c>
      <c r="H138" t="s">
        <v>719</v>
      </c>
      <c r="I138" t="s">
        <v>720</v>
      </c>
      <c r="J138" t="s">
        <v>721</v>
      </c>
      <c r="K138" t="s">
        <v>55</v>
      </c>
      <c r="L138" t="s">
        <v>16</v>
      </c>
      <c r="M138" t="s">
        <v>19</v>
      </c>
      <c r="N138">
        <v>2296</v>
      </c>
      <c r="O138">
        <v>127</v>
      </c>
      <c r="P138">
        <v>0</v>
      </c>
      <c r="Q138" t="s">
        <v>858</v>
      </c>
      <c r="R138" t="s">
        <v>273</v>
      </c>
      <c r="S138" t="s">
        <v>859</v>
      </c>
      <c r="T138" t="s">
        <v>860</v>
      </c>
      <c r="U138" t="s">
        <v>60</v>
      </c>
      <c r="V138" t="s">
        <v>61</v>
      </c>
      <c r="W138">
        <v>3</v>
      </c>
      <c r="X138">
        <v>9.5812499999999995E-2</v>
      </c>
      <c r="Y138" t="s">
        <v>170</v>
      </c>
      <c r="Z138" t="s">
        <v>275</v>
      </c>
      <c r="AA138">
        <v>1</v>
      </c>
      <c r="AB138" t="s">
        <v>725</v>
      </c>
      <c r="AC138" t="s">
        <v>726</v>
      </c>
      <c r="AD138" t="s">
        <v>727</v>
      </c>
      <c r="AE138" t="s">
        <v>728</v>
      </c>
      <c r="AF138" t="s">
        <v>729</v>
      </c>
      <c r="AG138" t="s">
        <v>806</v>
      </c>
      <c r="AH138" t="s">
        <v>66</v>
      </c>
      <c r="AI138" t="s">
        <v>66</v>
      </c>
      <c r="AJ138" t="s">
        <v>66</v>
      </c>
      <c r="AK138">
        <v>1</v>
      </c>
      <c r="AL138" t="s">
        <v>807</v>
      </c>
      <c r="AM138" t="s">
        <v>808</v>
      </c>
      <c r="AN138" t="s">
        <v>66</v>
      </c>
      <c r="AO138" t="s">
        <v>66</v>
      </c>
      <c r="AP138">
        <v>1</v>
      </c>
      <c r="AQ138" t="s">
        <v>66</v>
      </c>
      <c r="AR138" t="s">
        <v>66</v>
      </c>
      <c r="AS138" t="s">
        <v>66</v>
      </c>
      <c r="AT138" t="s">
        <v>66</v>
      </c>
    </row>
    <row r="139" spans="1:46" x14ac:dyDescent="0.15">
      <c r="A139" t="s">
        <v>861</v>
      </c>
      <c r="B139" t="s">
        <v>715</v>
      </c>
      <c r="C139" t="s">
        <v>716</v>
      </c>
      <c r="D139">
        <v>34</v>
      </c>
      <c r="E139" t="s">
        <v>717</v>
      </c>
      <c r="F139" t="s">
        <v>718</v>
      </c>
      <c r="G139" t="s">
        <v>51</v>
      </c>
      <c r="H139" t="s">
        <v>719</v>
      </c>
      <c r="I139" t="s">
        <v>720</v>
      </c>
      <c r="J139" t="s">
        <v>721</v>
      </c>
      <c r="K139" t="s">
        <v>55</v>
      </c>
      <c r="L139" t="s">
        <v>16</v>
      </c>
      <c r="M139" t="s">
        <v>19</v>
      </c>
      <c r="N139">
        <v>2352</v>
      </c>
      <c r="O139">
        <v>130</v>
      </c>
      <c r="P139">
        <v>0</v>
      </c>
      <c r="Q139" t="s">
        <v>862</v>
      </c>
      <c r="R139" t="s">
        <v>279</v>
      </c>
      <c r="S139" t="s">
        <v>863</v>
      </c>
      <c r="T139" t="s">
        <v>864</v>
      </c>
      <c r="U139" t="s">
        <v>60</v>
      </c>
      <c r="V139" t="s">
        <v>61</v>
      </c>
      <c r="W139">
        <v>3</v>
      </c>
      <c r="X139">
        <v>9.5812499999999995E-2</v>
      </c>
      <c r="Y139" t="s">
        <v>281</v>
      </c>
      <c r="Z139" t="s">
        <v>282</v>
      </c>
      <c r="AA139">
        <v>1</v>
      </c>
      <c r="AB139" t="s">
        <v>725</v>
      </c>
      <c r="AC139" t="s">
        <v>726</v>
      </c>
      <c r="AD139" t="s">
        <v>727</v>
      </c>
      <c r="AE139" t="s">
        <v>728</v>
      </c>
      <c r="AF139" t="s">
        <v>729</v>
      </c>
      <c r="AG139" t="s">
        <v>806</v>
      </c>
      <c r="AH139" t="s">
        <v>66</v>
      </c>
      <c r="AI139" t="s">
        <v>66</v>
      </c>
      <c r="AJ139" t="s">
        <v>66</v>
      </c>
      <c r="AK139">
        <v>1</v>
      </c>
      <c r="AL139" t="s">
        <v>807</v>
      </c>
      <c r="AM139" t="s">
        <v>808</v>
      </c>
      <c r="AN139" t="s">
        <v>66</v>
      </c>
      <c r="AO139" t="s">
        <v>66</v>
      </c>
      <c r="AP139">
        <v>1</v>
      </c>
      <c r="AQ139" t="s">
        <v>66</v>
      </c>
      <c r="AR139" t="s">
        <v>66</v>
      </c>
      <c r="AS139" t="s">
        <v>66</v>
      </c>
      <c r="AT139" t="s">
        <v>66</v>
      </c>
    </row>
    <row r="140" spans="1:46" x14ac:dyDescent="0.15">
      <c r="A140" t="s">
        <v>865</v>
      </c>
      <c r="B140" t="s">
        <v>715</v>
      </c>
      <c r="C140" t="s">
        <v>716</v>
      </c>
      <c r="D140">
        <v>35</v>
      </c>
      <c r="E140" t="s">
        <v>717</v>
      </c>
      <c r="F140" t="s">
        <v>718</v>
      </c>
      <c r="G140" t="s">
        <v>51</v>
      </c>
      <c r="H140" t="s">
        <v>719</v>
      </c>
      <c r="I140" t="s">
        <v>720</v>
      </c>
      <c r="J140" t="s">
        <v>721</v>
      </c>
      <c r="K140" t="s">
        <v>55</v>
      </c>
      <c r="L140" t="s">
        <v>16</v>
      </c>
      <c r="M140" t="s">
        <v>19</v>
      </c>
      <c r="N140">
        <v>2408</v>
      </c>
      <c r="O140">
        <v>133</v>
      </c>
      <c r="P140">
        <v>0</v>
      </c>
      <c r="Q140" t="s">
        <v>866</v>
      </c>
      <c r="R140" t="s">
        <v>286</v>
      </c>
      <c r="S140" t="s">
        <v>867</v>
      </c>
      <c r="T140" t="s">
        <v>868</v>
      </c>
      <c r="U140" t="s">
        <v>60</v>
      </c>
      <c r="V140" t="s">
        <v>61</v>
      </c>
      <c r="W140">
        <v>3</v>
      </c>
      <c r="X140">
        <v>9.5812499999999995E-2</v>
      </c>
      <c r="Y140" t="s">
        <v>177</v>
      </c>
      <c r="Z140" t="s">
        <v>288</v>
      </c>
      <c r="AA140">
        <v>1</v>
      </c>
      <c r="AB140" t="s">
        <v>725</v>
      </c>
      <c r="AC140" t="s">
        <v>726</v>
      </c>
      <c r="AD140" t="s">
        <v>727</v>
      </c>
      <c r="AE140" t="s">
        <v>728</v>
      </c>
      <c r="AF140" t="s">
        <v>729</v>
      </c>
      <c r="AG140" t="s">
        <v>806</v>
      </c>
      <c r="AH140" t="s">
        <v>66</v>
      </c>
      <c r="AI140" t="s">
        <v>66</v>
      </c>
      <c r="AJ140" t="s">
        <v>66</v>
      </c>
      <c r="AK140">
        <v>1</v>
      </c>
      <c r="AL140" t="s">
        <v>807</v>
      </c>
      <c r="AM140" t="s">
        <v>808</v>
      </c>
      <c r="AN140" t="s">
        <v>66</v>
      </c>
      <c r="AO140" t="s">
        <v>66</v>
      </c>
      <c r="AP140">
        <v>1</v>
      </c>
      <c r="AQ140" t="s">
        <v>66</v>
      </c>
      <c r="AR140" t="s">
        <v>66</v>
      </c>
      <c r="AS140" t="s">
        <v>66</v>
      </c>
      <c r="AT140" t="s">
        <v>66</v>
      </c>
    </row>
    <row r="141" spans="1:46" x14ac:dyDescent="0.15">
      <c r="A141" t="s">
        <v>869</v>
      </c>
      <c r="B141" t="s">
        <v>715</v>
      </c>
      <c r="C141" t="s">
        <v>716</v>
      </c>
      <c r="D141">
        <v>36</v>
      </c>
      <c r="E141" t="s">
        <v>717</v>
      </c>
      <c r="F141" t="s">
        <v>718</v>
      </c>
      <c r="G141" t="s">
        <v>51</v>
      </c>
      <c r="H141" t="s">
        <v>719</v>
      </c>
      <c r="I141" t="s">
        <v>720</v>
      </c>
      <c r="J141" t="s">
        <v>721</v>
      </c>
      <c r="K141" t="s">
        <v>55</v>
      </c>
      <c r="L141" t="s">
        <v>16</v>
      </c>
      <c r="M141" t="s">
        <v>19</v>
      </c>
      <c r="N141">
        <v>2464</v>
      </c>
      <c r="O141">
        <v>136</v>
      </c>
      <c r="P141">
        <v>0</v>
      </c>
      <c r="Q141" t="s">
        <v>870</v>
      </c>
      <c r="R141" t="s">
        <v>292</v>
      </c>
      <c r="S141" t="s">
        <v>871</v>
      </c>
      <c r="T141" t="s">
        <v>872</v>
      </c>
      <c r="U141" t="s">
        <v>60</v>
      </c>
      <c r="V141" t="s">
        <v>61</v>
      </c>
      <c r="W141">
        <v>3</v>
      </c>
      <c r="X141">
        <v>9.5812499999999995E-2</v>
      </c>
      <c r="Y141" t="s">
        <v>294</v>
      </c>
      <c r="Z141" t="s">
        <v>295</v>
      </c>
      <c r="AA141">
        <v>1</v>
      </c>
      <c r="AB141" t="s">
        <v>725</v>
      </c>
      <c r="AC141" t="s">
        <v>726</v>
      </c>
      <c r="AD141" t="s">
        <v>727</v>
      </c>
      <c r="AE141" t="s">
        <v>728</v>
      </c>
      <c r="AF141" t="s">
        <v>729</v>
      </c>
      <c r="AG141" t="s">
        <v>806</v>
      </c>
      <c r="AH141" t="s">
        <v>66</v>
      </c>
      <c r="AI141" t="s">
        <v>66</v>
      </c>
      <c r="AJ141" t="s">
        <v>66</v>
      </c>
      <c r="AK141">
        <v>1</v>
      </c>
      <c r="AL141" t="s">
        <v>807</v>
      </c>
      <c r="AM141" t="s">
        <v>808</v>
      </c>
      <c r="AN141" t="s">
        <v>66</v>
      </c>
      <c r="AO141" t="s">
        <v>66</v>
      </c>
      <c r="AP141">
        <v>1</v>
      </c>
      <c r="AQ141" t="s">
        <v>66</v>
      </c>
      <c r="AR141" t="s">
        <v>66</v>
      </c>
      <c r="AS141" t="s">
        <v>66</v>
      </c>
      <c r="AT141" t="s">
        <v>66</v>
      </c>
    </row>
    <row r="142" spans="1:46" x14ac:dyDescent="0.15">
      <c r="A142" t="s">
        <v>873</v>
      </c>
      <c r="B142" t="s">
        <v>715</v>
      </c>
      <c r="C142" t="s">
        <v>716</v>
      </c>
      <c r="D142">
        <v>37</v>
      </c>
      <c r="E142" t="s">
        <v>717</v>
      </c>
      <c r="F142" t="s">
        <v>718</v>
      </c>
      <c r="G142" t="s">
        <v>51</v>
      </c>
      <c r="H142" t="s">
        <v>719</v>
      </c>
      <c r="I142" t="s">
        <v>720</v>
      </c>
      <c r="J142" t="s">
        <v>721</v>
      </c>
      <c r="K142" t="s">
        <v>55</v>
      </c>
      <c r="L142" t="s">
        <v>16</v>
      </c>
      <c r="M142" t="s">
        <v>19</v>
      </c>
      <c r="N142">
        <v>2520</v>
      </c>
      <c r="O142">
        <v>139</v>
      </c>
      <c r="P142">
        <v>0</v>
      </c>
      <c r="Q142" t="s">
        <v>874</v>
      </c>
      <c r="R142" t="s">
        <v>299</v>
      </c>
      <c r="S142" t="s">
        <v>875</v>
      </c>
      <c r="T142" t="s">
        <v>876</v>
      </c>
      <c r="U142" t="s">
        <v>60</v>
      </c>
      <c r="V142" t="s">
        <v>61</v>
      </c>
      <c r="W142">
        <v>3</v>
      </c>
      <c r="X142">
        <v>9.5812499999999995E-2</v>
      </c>
      <c r="Y142" t="s">
        <v>183</v>
      </c>
      <c r="Z142" t="s">
        <v>301</v>
      </c>
      <c r="AA142">
        <v>1</v>
      </c>
      <c r="AB142" t="s">
        <v>725</v>
      </c>
      <c r="AC142" t="s">
        <v>726</v>
      </c>
      <c r="AD142" t="s">
        <v>727</v>
      </c>
      <c r="AE142" t="s">
        <v>728</v>
      </c>
      <c r="AF142" t="s">
        <v>729</v>
      </c>
      <c r="AG142" t="s">
        <v>806</v>
      </c>
      <c r="AH142" t="s">
        <v>66</v>
      </c>
      <c r="AI142" t="s">
        <v>66</v>
      </c>
      <c r="AJ142" t="s">
        <v>66</v>
      </c>
      <c r="AK142">
        <v>1</v>
      </c>
      <c r="AL142" t="s">
        <v>807</v>
      </c>
      <c r="AM142" t="s">
        <v>808</v>
      </c>
      <c r="AN142" t="s">
        <v>66</v>
      </c>
      <c r="AO142" t="s">
        <v>66</v>
      </c>
      <c r="AP142">
        <v>1</v>
      </c>
      <c r="AQ142" t="s">
        <v>66</v>
      </c>
      <c r="AR142" t="s">
        <v>66</v>
      </c>
      <c r="AS142" t="s">
        <v>66</v>
      </c>
      <c r="AT142" t="s">
        <v>66</v>
      </c>
    </row>
    <row r="143" spans="1:46" x14ac:dyDescent="0.15">
      <c r="A143" t="s">
        <v>877</v>
      </c>
      <c r="B143" t="s">
        <v>715</v>
      </c>
      <c r="C143" t="s">
        <v>716</v>
      </c>
      <c r="D143">
        <v>38</v>
      </c>
      <c r="E143" t="s">
        <v>717</v>
      </c>
      <c r="F143" t="s">
        <v>718</v>
      </c>
      <c r="G143" t="s">
        <v>51</v>
      </c>
      <c r="H143" t="s">
        <v>719</v>
      </c>
      <c r="I143" t="s">
        <v>720</v>
      </c>
      <c r="J143" t="s">
        <v>721</v>
      </c>
      <c r="K143" t="s">
        <v>55</v>
      </c>
      <c r="L143" t="s">
        <v>16</v>
      </c>
      <c r="M143" t="s">
        <v>19</v>
      </c>
      <c r="N143">
        <v>2577</v>
      </c>
      <c r="O143">
        <v>142</v>
      </c>
      <c r="P143">
        <v>0</v>
      </c>
      <c r="Q143" t="s">
        <v>878</v>
      </c>
      <c r="R143" t="s">
        <v>305</v>
      </c>
      <c r="S143" t="s">
        <v>879</v>
      </c>
      <c r="T143" t="s">
        <v>880</v>
      </c>
      <c r="U143" t="s">
        <v>60</v>
      </c>
      <c r="V143" t="s">
        <v>61</v>
      </c>
      <c r="W143">
        <v>3</v>
      </c>
      <c r="X143">
        <v>9.5812499999999995E-2</v>
      </c>
      <c r="Y143" t="s">
        <v>307</v>
      </c>
      <c r="Z143" t="s">
        <v>308</v>
      </c>
      <c r="AA143">
        <v>1</v>
      </c>
      <c r="AB143" t="s">
        <v>725</v>
      </c>
      <c r="AC143" t="s">
        <v>726</v>
      </c>
      <c r="AD143" t="s">
        <v>727</v>
      </c>
      <c r="AE143" t="s">
        <v>728</v>
      </c>
      <c r="AF143" t="s">
        <v>729</v>
      </c>
      <c r="AG143" t="s">
        <v>806</v>
      </c>
      <c r="AH143" t="s">
        <v>66</v>
      </c>
      <c r="AI143" t="s">
        <v>66</v>
      </c>
      <c r="AJ143" t="s">
        <v>66</v>
      </c>
      <c r="AK143">
        <v>1</v>
      </c>
      <c r="AL143" t="s">
        <v>807</v>
      </c>
      <c r="AM143" t="s">
        <v>808</v>
      </c>
      <c r="AN143" t="s">
        <v>66</v>
      </c>
      <c r="AO143" t="s">
        <v>66</v>
      </c>
      <c r="AP143">
        <v>1</v>
      </c>
      <c r="AQ143" t="s">
        <v>66</v>
      </c>
      <c r="AR143" t="s">
        <v>66</v>
      </c>
      <c r="AS143" t="s">
        <v>66</v>
      </c>
      <c r="AT143" t="s">
        <v>66</v>
      </c>
    </row>
    <row r="144" spans="1:46" x14ac:dyDescent="0.15">
      <c r="A144" t="s">
        <v>881</v>
      </c>
      <c r="B144" t="s">
        <v>715</v>
      </c>
      <c r="C144" t="s">
        <v>716</v>
      </c>
      <c r="D144">
        <v>39</v>
      </c>
      <c r="E144" t="s">
        <v>717</v>
      </c>
      <c r="F144" t="s">
        <v>718</v>
      </c>
      <c r="G144" t="s">
        <v>51</v>
      </c>
      <c r="H144" t="s">
        <v>719</v>
      </c>
      <c r="I144" t="s">
        <v>720</v>
      </c>
      <c r="J144" t="s">
        <v>721</v>
      </c>
      <c r="K144" t="s">
        <v>55</v>
      </c>
      <c r="L144" t="s">
        <v>16</v>
      </c>
      <c r="M144" t="s">
        <v>19</v>
      </c>
      <c r="N144">
        <v>2633</v>
      </c>
      <c r="O144">
        <v>145</v>
      </c>
      <c r="P144">
        <v>0</v>
      </c>
      <c r="Q144" t="s">
        <v>882</v>
      </c>
      <c r="R144" t="s">
        <v>312</v>
      </c>
      <c r="S144" t="s">
        <v>883</v>
      </c>
      <c r="T144" t="s">
        <v>884</v>
      </c>
      <c r="U144" t="s">
        <v>60</v>
      </c>
      <c r="V144" t="s">
        <v>61</v>
      </c>
      <c r="W144">
        <v>3</v>
      </c>
      <c r="X144">
        <v>9.5812499999999995E-2</v>
      </c>
      <c r="Y144" t="s">
        <v>190</v>
      </c>
      <c r="Z144" t="s">
        <v>314</v>
      </c>
      <c r="AA144">
        <v>1</v>
      </c>
      <c r="AB144" t="s">
        <v>725</v>
      </c>
      <c r="AC144" t="s">
        <v>726</v>
      </c>
      <c r="AD144" t="s">
        <v>727</v>
      </c>
      <c r="AE144" t="s">
        <v>728</v>
      </c>
      <c r="AF144" t="s">
        <v>729</v>
      </c>
      <c r="AG144" t="s">
        <v>806</v>
      </c>
      <c r="AH144" t="s">
        <v>66</v>
      </c>
      <c r="AI144" t="s">
        <v>66</v>
      </c>
      <c r="AJ144" t="s">
        <v>66</v>
      </c>
      <c r="AK144">
        <v>1</v>
      </c>
      <c r="AL144" t="s">
        <v>807</v>
      </c>
      <c r="AM144" t="s">
        <v>808</v>
      </c>
      <c r="AN144" t="s">
        <v>66</v>
      </c>
      <c r="AO144" t="s">
        <v>66</v>
      </c>
      <c r="AP144">
        <v>1</v>
      </c>
      <c r="AQ144" t="s">
        <v>66</v>
      </c>
      <c r="AR144" t="s">
        <v>66</v>
      </c>
      <c r="AS144" t="s">
        <v>66</v>
      </c>
      <c r="AT144" t="s">
        <v>66</v>
      </c>
    </row>
    <row r="145" spans="1:46" x14ac:dyDescent="0.15">
      <c r="A145" t="s">
        <v>885</v>
      </c>
      <c r="B145" t="s">
        <v>715</v>
      </c>
      <c r="C145" t="s">
        <v>716</v>
      </c>
      <c r="D145">
        <v>40</v>
      </c>
      <c r="E145" t="s">
        <v>717</v>
      </c>
      <c r="F145" t="s">
        <v>718</v>
      </c>
      <c r="G145" t="s">
        <v>51</v>
      </c>
      <c r="H145" t="s">
        <v>719</v>
      </c>
      <c r="I145" t="s">
        <v>720</v>
      </c>
      <c r="J145" t="s">
        <v>721</v>
      </c>
      <c r="K145" t="s">
        <v>55</v>
      </c>
      <c r="L145" t="s">
        <v>16</v>
      </c>
      <c r="M145" t="s">
        <v>19</v>
      </c>
      <c r="N145">
        <v>2689</v>
      </c>
      <c r="O145">
        <v>148</v>
      </c>
      <c r="P145">
        <v>0</v>
      </c>
      <c r="Q145" t="s">
        <v>886</v>
      </c>
      <c r="R145" t="s">
        <v>318</v>
      </c>
      <c r="S145" t="s">
        <v>887</v>
      </c>
      <c r="T145" t="s">
        <v>888</v>
      </c>
      <c r="U145" t="s">
        <v>60</v>
      </c>
      <c r="V145" t="s">
        <v>61</v>
      </c>
      <c r="W145">
        <v>3</v>
      </c>
      <c r="X145">
        <v>9.5812499999999995E-2</v>
      </c>
      <c r="Y145" t="s">
        <v>320</v>
      </c>
      <c r="Z145" t="s">
        <v>321</v>
      </c>
      <c r="AA145">
        <v>1</v>
      </c>
      <c r="AB145" t="s">
        <v>725</v>
      </c>
      <c r="AC145" t="s">
        <v>726</v>
      </c>
      <c r="AD145" t="s">
        <v>727</v>
      </c>
      <c r="AE145" t="s">
        <v>728</v>
      </c>
      <c r="AF145" t="s">
        <v>729</v>
      </c>
      <c r="AG145" t="s">
        <v>806</v>
      </c>
      <c r="AH145" t="s">
        <v>66</v>
      </c>
      <c r="AI145" t="s">
        <v>66</v>
      </c>
      <c r="AJ145" t="s">
        <v>66</v>
      </c>
      <c r="AK145">
        <v>1</v>
      </c>
      <c r="AL145" t="s">
        <v>807</v>
      </c>
      <c r="AM145" t="s">
        <v>808</v>
      </c>
      <c r="AN145" t="s">
        <v>66</v>
      </c>
      <c r="AO145" t="s">
        <v>66</v>
      </c>
      <c r="AP145">
        <v>1</v>
      </c>
      <c r="AQ145" t="s">
        <v>66</v>
      </c>
      <c r="AR145" t="s">
        <v>66</v>
      </c>
      <c r="AS145" t="s">
        <v>66</v>
      </c>
      <c r="AT145" t="s">
        <v>66</v>
      </c>
    </row>
    <row r="146" spans="1:46" x14ac:dyDescent="0.15">
      <c r="A146" t="s">
        <v>885</v>
      </c>
      <c r="B146" t="s">
        <v>715</v>
      </c>
      <c r="C146" t="s">
        <v>716</v>
      </c>
      <c r="D146">
        <v>40</v>
      </c>
      <c r="E146" t="s">
        <v>717</v>
      </c>
      <c r="F146" t="s">
        <v>718</v>
      </c>
      <c r="G146" t="s">
        <v>51</v>
      </c>
      <c r="H146" t="s">
        <v>719</v>
      </c>
      <c r="I146" t="s">
        <v>720</v>
      </c>
      <c r="J146" t="s">
        <v>721</v>
      </c>
      <c r="K146" t="s">
        <v>55</v>
      </c>
      <c r="L146" t="s">
        <v>16</v>
      </c>
      <c r="M146" t="s">
        <v>19</v>
      </c>
      <c r="N146">
        <v>2689</v>
      </c>
      <c r="O146">
        <v>148</v>
      </c>
      <c r="P146">
        <v>0</v>
      </c>
      <c r="Q146" t="s">
        <v>886</v>
      </c>
      <c r="R146" t="s">
        <v>318</v>
      </c>
      <c r="S146" t="s">
        <v>887</v>
      </c>
      <c r="T146" t="s">
        <v>888</v>
      </c>
      <c r="U146" t="s">
        <v>60</v>
      </c>
      <c r="V146" t="s">
        <v>61</v>
      </c>
      <c r="W146">
        <v>3</v>
      </c>
      <c r="X146">
        <v>9.5812499999999995E-2</v>
      </c>
      <c r="Y146" t="s">
        <v>320</v>
      </c>
      <c r="Z146" t="s">
        <v>321</v>
      </c>
      <c r="AA146">
        <v>2</v>
      </c>
      <c r="AB146" t="s">
        <v>725</v>
      </c>
      <c r="AC146" t="s">
        <v>726</v>
      </c>
      <c r="AD146" t="s">
        <v>727</v>
      </c>
      <c r="AE146" t="s">
        <v>728</v>
      </c>
      <c r="AF146" t="s">
        <v>729</v>
      </c>
      <c r="AG146" t="s">
        <v>806</v>
      </c>
      <c r="AH146" t="s">
        <v>889</v>
      </c>
      <c r="AI146" t="s">
        <v>66</v>
      </c>
      <c r="AJ146" t="s">
        <v>66</v>
      </c>
      <c r="AK146">
        <v>1</v>
      </c>
      <c r="AL146" t="s">
        <v>807</v>
      </c>
      <c r="AM146" t="s">
        <v>808</v>
      </c>
      <c r="AN146" t="s">
        <v>890</v>
      </c>
      <c r="AO146" t="s">
        <v>66</v>
      </c>
      <c r="AP146">
        <v>1</v>
      </c>
      <c r="AQ146" t="s">
        <v>891</v>
      </c>
      <c r="AR146" t="s">
        <v>892</v>
      </c>
      <c r="AS146" t="s">
        <v>66</v>
      </c>
      <c r="AT146" t="s">
        <v>66</v>
      </c>
    </row>
    <row r="147" spans="1:46" x14ac:dyDescent="0.15">
      <c r="A147" t="s">
        <v>893</v>
      </c>
      <c r="B147" t="s">
        <v>715</v>
      </c>
      <c r="C147" t="s">
        <v>716</v>
      </c>
      <c r="D147">
        <v>41</v>
      </c>
      <c r="E147" t="s">
        <v>717</v>
      </c>
      <c r="F147" t="s">
        <v>718</v>
      </c>
      <c r="G147" t="s">
        <v>51</v>
      </c>
      <c r="H147" t="s">
        <v>719</v>
      </c>
      <c r="I147" t="s">
        <v>720</v>
      </c>
      <c r="J147" t="s">
        <v>721</v>
      </c>
      <c r="K147" t="s">
        <v>55</v>
      </c>
      <c r="L147" t="s">
        <v>16</v>
      </c>
      <c r="M147" t="s">
        <v>19</v>
      </c>
      <c r="N147">
        <v>2745</v>
      </c>
      <c r="O147">
        <v>151</v>
      </c>
      <c r="P147">
        <v>0</v>
      </c>
      <c r="Q147" t="s">
        <v>894</v>
      </c>
      <c r="R147" t="s">
        <v>328</v>
      </c>
      <c r="S147" t="s">
        <v>895</v>
      </c>
      <c r="T147" t="s">
        <v>896</v>
      </c>
      <c r="U147" t="s">
        <v>60</v>
      </c>
      <c r="V147" t="s">
        <v>61</v>
      </c>
      <c r="W147">
        <v>3</v>
      </c>
      <c r="X147">
        <v>9.5812499999999995E-2</v>
      </c>
      <c r="Y147" t="s">
        <v>197</v>
      </c>
      <c r="Z147" t="s">
        <v>330</v>
      </c>
      <c r="AA147">
        <v>2</v>
      </c>
      <c r="AB147" t="s">
        <v>725</v>
      </c>
      <c r="AC147" t="s">
        <v>726</v>
      </c>
      <c r="AD147" t="s">
        <v>727</v>
      </c>
      <c r="AE147" t="s">
        <v>728</v>
      </c>
      <c r="AF147" t="s">
        <v>729</v>
      </c>
      <c r="AG147" t="s">
        <v>806</v>
      </c>
      <c r="AH147" t="s">
        <v>889</v>
      </c>
      <c r="AI147" t="s">
        <v>66</v>
      </c>
      <c r="AJ147" t="s">
        <v>66</v>
      </c>
      <c r="AK147">
        <v>1</v>
      </c>
      <c r="AL147" t="s">
        <v>807</v>
      </c>
      <c r="AM147" t="s">
        <v>808</v>
      </c>
      <c r="AN147" t="s">
        <v>890</v>
      </c>
      <c r="AO147" t="s">
        <v>66</v>
      </c>
      <c r="AP147">
        <v>1</v>
      </c>
      <c r="AQ147" t="s">
        <v>891</v>
      </c>
      <c r="AR147" t="s">
        <v>892</v>
      </c>
      <c r="AS147" t="s">
        <v>66</v>
      </c>
      <c r="AT147" t="s">
        <v>66</v>
      </c>
    </row>
    <row r="148" spans="1:46" x14ac:dyDescent="0.15">
      <c r="A148" t="s">
        <v>897</v>
      </c>
      <c r="B148" t="s">
        <v>715</v>
      </c>
      <c r="C148" t="s">
        <v>716</v>
      </c>
      <c r="D148">
        <v>42</v>
      </c>
      <c r="E148" t="s">
        <v>717</v>
      </c>
      <c r="F148" t="s">
        <v>718</v>
      </c>
      <c r="G148" t="s">
        <v>51</v>
      </c>
      <c r="H148" t="s">
        <v>719</v>
      </c>
      <c r="I148" t="s">
        <v>720</v>
      </c>
      <c r="J148" t="s">
        <v>721</v>
      </c>
      <c r="K148" t="s">
        <v>55</v>
      </c>
      <c r="L148" t="s">
        <v>16</v>
      </c>
      <c r="M148" t="s">
        <v>19</v>
      </c>
      <c r="N148">
        <v>2801</v>
      </c>
      <c r="O148">
        <v>154</v>
      </c>
      <c r="P148">
        <v>0</v>
      </c>
      <c r="Q148" t="s">
        <v>898</v>
      </c>
      <c r="R148" t="s">
        <v>334</v>
      </c>
      <c r="S148" t="s">
        <v>899</v>
      </c>
      <c r="T148" t="s">
        <v>900</v>
      </c>
      <c r="U148" t="s">
        <v>60</v>
      </c>
      <c r="V148" t="s">
        <v>61</v>
      </c>
      <c r="W148">
        <v>3</v>
      </c>
      <c r="X148">
        <v>9.5812499999999995E-2</v>
      </c>
      <c r="Y148" t="s">
        <v>336</v>
      </c>
      <c r="Z148" t="s">
        <v>337</v>
      </c>
      <c r="AA148">
        <v>2</v>
      </c>
      <c r="AB148" t="s">
        <v>725</v>
      </c>
      <c r="AC148" t="s">
        <v>726</v>
      </c>
      <c r="AD148" t="s">
        <v>727</v>
      </c>
      <c r="AE148" t="s">
        <v>728</v>
      </c>
      <c r="AF148" t="s">
        <v>729</v>
      </c>
      <c r="AG148" t="s">
        <v>806</v>
      </c>
      <c r="AH148" t="s">
        <v>889</v>
      </c>
      <c r="AI148" t="s">
        <v>66</v>
      </c>
      <c r="AJ148" t="s">
        <v>66</v>
      </c>
      <c r="AK148">
        <v>1</v>
      </c>
      <c r="AL148" t="s">
        <v>807</v>
      </c>
      <c r="AM148" t="s">
        <v>808</v>
      </c>
      <c r="AN148" t="s">
        <v>890</v>
      </c>
      <c r="AO148" t="s">
        <v>66</v>
      </c>
      <c r="AP148">
        <v>1</v>
      </c>
      <c r="AQ148" t="s">
        <v>891</v>
      </c>
      <c r="AR148" t="s">
        <v>892</v>
      </c>
      <c r="AS148" t="s">
        <v>66</v>
      </c>
      <c r="AT148" t="s">
        <v>66</v>
      </c>
    </row>
    <row r="149" spans="1:46" x14ac:dyDescent="0.15">
      <c r="A149" t="s">
        <v>901</v>
      </c>
      <c r="B149" t="s">
        <v>715</v>
      </c>
      <c r="C149" t="s">
        <v>716</v>
      </c>
      <c r="D149">
        <v>43</v>
      </c>
      <c r="E149" t="s">
        <v>717</v>
      </c>
      <c r="F149" t="s">
        <v>718</v>
      </c>
      <c r="G149" t="s">
        <v>51</v>
      </c>
      <c r="H149" t="s">
        <v>719</v>
      </c>
      <c r="I149" t="s">
        <v>720</v>
      </c>
      <c r="J149" t="s">
        <v>721</v>
      </c>
      <c r="K149" t="s">
        <v>55</v>
      </c>
      <c r="L149" t="s">
        <v>16</v>
      </c>
      <c r="M149" t="s">
        <v>19</v>
      </c>
      <c r="N149">
        <v>2857</v>
      </c>
      <c r="O149">
        <v>157</v>
      </c>
      <c r="P149">
        <v>0</v>
      </c>
      <c r="Q149" t="s">
        <v>902</v>
      </c>
      <c r="R149" t="s">
        <v>341</v>
      </c>
      <c r="S149" t="s">
        <v>903</v>
      </c>
      <c r="T149" t="s">
        <v>904</v>
      </c>
      <c r="U149" t="s">
        <v>60</v>
      </c>
      <c r="V149" t="s">
        <v>61</v>
      </c>
      <c r="W149">
        <v>3</v>
      </c>
      <c r="X149">
        <v>9.5812499999999995E-2</v>
      </c>
      <c r="Y149" t="s">
        <v>204</v>
      </c>
      <c r="Z149" t="s">
        <v>343</v>
      </c>
      <c r="AA149">
        <v>2</v>
      </c>
      <c r="AB149" t="s">
        <v>725</v>
      </c>
      <c r="AC149" t="s">
        <v>726</v>
      </c>
      <c r="AD149" t="s">
        <v>727</v>
      </c>
      <c r="AE149" t="s">
        <v>728</v>
      </c>
      <c r="AF149" t="s">
        <v>729</v>
      </c>
      <c r="AG149" t="s">
        <v>806</v>
      </c>
      <c r="AH149" t="s">
        <v>889</v>
      </c>
      <c r="AI149" t="s">
        <v>66</v>
      </c>
      <c r="AJ149" t="s">
        <v>66</v>
      </c>
      <c r="AK149">
        <v>1</v>
      </c>
      <c r="AL149" t="s">
        <v>807</v>
      </c>
      <c r="AM149" t="s">
        <v>808</v>
      </c>
      <c r="AN149" t="s">
        <v>890</v>
      </c>
      <c r="AO149" t="s">
        <v>66</v>
      </c>
      <c r="AP149">
        <v>1</v>
      </c>
      <c r="AQ149" t="s">
        <v>891</v>
      </c>
      <c r="AR149" t="s">
        <v>892</v>
      </c>
      <c r="AS149" t="s">
        <v>66</v>
      </c>
      <c r="AT149" t="s">
        <v>66</v>
      </c>
    </row>
    <row r="150" spans="1:46" x14ac:dyDescent="0.15">
      <c r="A150" t="s">
        <v>905</v>
      </c>
      <c r="B150" t="s">
        <v>715</v>
      </c>
      <c r="C150" t="s">
        <v>716</v>
      </c>
      <c r="D150">
        <v>44</v>
      </c>
      <c r="E150" t="s">
        <v>717</v>
      </c>
      <c r="F150" t="s">
        <v>718</v>
      </c>
      <c r="G150" t="s">
        <v>51</v>
      </c>
      <c r="H150" t="s">
        <v>719</v>
      </c>
      <c r="I150" t="s">
        <v>720</v>
      </c>
      <c r="J150" t="s">
        <v>721</v>
      </c>
      <c r="K150" t="s">
        <v>55</v>
      </c>
      <c r="L150" t="s">
        <v>16</v>
      </c>
      <c r="M150" t="s">
        <v>19</v>
      </c>
      <c r="N150">
        <v>2913</v>
      </c>
      <c r="O150">
        <v>160</v>
      </c>
      <c r="P150">
        <v>0</v>
      </c>
      <c r="Q150" t="s">
        <v>906</v>
      </c>
      <c r="R150" t="s">
        <v>347</v>
      </c>
      <c r="S150" t="s">
        <v>907</v>
      </c>
      <c r="T150" t="s">
        <v>908</v>
      </c>
      <c r="U150" t="s">
        <v>60</v>
      </c>
      <c r="V150" t="s">
        <v>61</v>
      </c>
      <c r="W150">
        <v>3</v>
      </c>
      <c r="X150">
        <v>9.5812499999999995E-2</v>
      </c>
      <c r="Y150" t="s">
        <v>349</v>
      </c>
      <c r="Z150" t="s">
        <v>350</v>
      </c>
      <c r="AA150">
        <v>2</v>
      </c>
      <c r="AB150" t="s">
        <v>725</v>
      </c>
      <c r="AC150" t="s">
        <v>726</v>
      </c>
      <c r="AD150" t="s">
        <v>727</v>
      </c>
      <c r="AE150" t="s">
        <v>728</v>
      </c>
      <c r="AF150" t="s">
        <v>729</v>
      </c>
      <c r="AG150" t="s">
        <v>806</v>
      </c>
      <c r="AH150" t="s">
        <v>889</v>
      </c>
      <c r="AI150" t="s">
        <v>66</v>
      </c>
      <c r="AJ150" t="s">
        <v>66</v>
      </c>
      <c r="AK150">
        <v>1</v>
      </c>
      <c r="AL150" t="s">
        <v>807</v>
      </c>
      <c r="AM150" t="s">
        <v>808</v>
      </c>
      <c r="AN150" t="s">
        <v>890</v>
      </c>
      <c r="AO150" t="s">
        <v>66</v>
      </c>
      <c r="AP150">
        <v>1</v>
      </c>
      <c r="AQ150" t="s">
        <v>891</v>
      </c>
      <c r="AR150" t="s">
        <v>892</v>
      </c>
      <c r="AS150" t="s">
        <v>66</v>
      </c>
      <c r="AT150" t="s">
        <v>66</v>
      </c>
    </row>
    <row r="151" spans="1:46" x14ac:dyDescent="0.15">
      <c r="A151" t="s">
        <v>909</v>
      </c>
      <c r="B151" t="s">
        <v>715</v>
      </c>
      <c r="C151" t="s">
        <v>716</v>
      </c>
      <c r="D151">
        <v>45</v>
      </c>
      <c r="E151" t="s">
        <v>717</v>
      </c>
      <c r="F151" t="s">
        <v>718</v>
      </c>
      <c r="G151" t="s">
        <v>51</v>
      </c>
      <c r="H151" t="s">
        <v>719</v>
      </c>
      <c r="I151" t="s">
        <v>720</v>
      </c>
      <c r="J151" t="s">
        <v>721</v>
      </c>
      <c r="K151" t="s">
        <v>55</v>
      </c>
      <c r="L151" t="s">
        <v>16</v>
      </c>
      <c r="M151" t="s">
        <v>19</v>
      </c>
      <c r="N151">
        <v>2969</v>
      </c>
      <c r="O151">
        <v>163</v>
      </c>
      <c r="P151">
        <v>0</v>
      </c>
      <c r="Q151" t="s">
        <v>910</v>
      </c>
      <c r="R151" t="s">
        <v>354</v>
      </c>
      <c r="S151" t="s">
        <v>911</v>
      </c>
      <c r="T151" t="s">
        <v>912</v>
      </c>
      <c r="U151" t="s">
        <v>60</v>
      </c>
      <c r="V151" t="s">
        <v>61</v>
      </c>
      <c r="W151">
        <v>3</v>
      </c>
      <c r="X151">
        <v>9.5812499999999995E-2</v>
      </c>
      <c r="Y151" t="s">
        <v>210</v>
      </c>
      <c r="Z151" t="s">
        <v>356</v>
      </c>
      <c r="AA151">
        <v>2</v>
      </c>
      <c r="AB151" t="s">
        <v>725</v>
      </c>
      <c r="AC151" t="s">
        <v>726</v>
      </c>
      <c r="AD151" t="s">
        <v>727</v>
      </c>
      <c r="AE151" t="s">
        <v>728</v>
      </c>
      <c r="AF151" t="s">
        <v>729</v>
      </c>
      <c r="AG151" t="s">
        <v>806</v>
      </c>
      <c r="AH151" t="s">
        <v>889</v>
      </c>
      <c r="AI151" t="s">
        <v>66</v>
      </c>
      <c r="AJ151" t="s">
        <v>66</v>
      </c>
      <c r="AK151">
        <v>1</v>
      </c>
      <c r="AL151" t="s">
        <v>807</v>
      </c>
      <c r="AM151" t="s">
        <v>808</v>
      </c>
      <c r="AN151" t="s">
        <v>890</v>
      </c>
      <c r="AO151" t="s">
        <v>66</v>
      </c>
      <c r="AP151">
        <v>1</v>
      </c>
      <c r="AQ151" t="s">
        <v>891</v>
      </c>
      <c r="AR151" t="s">
        <v>892</v>
      </c>
      <c r="AS151" t="s">
        <v>66</v>
      </c>
      <c r="AT151" t="s">
        <v>66</v>
      </c>
    </row>
    <row r="152" spans="1:46" x14ac:dyDescent="0.15">
      <c r="A152" t="s">
        <v>913</v>
      </c>
      <c r="B152" t="s">
        <v>715</v>
      </c>
      <c r="C152" t="s">
        <v>716</v>
      </c>
      <c r="D152">
        <v>46</v>
      </c>
      <c r="E152" t="s">
        <v>717</v>
      </c>
      <c r="F152" t="s">
        <v>718</v>
      </c>
      <c r="G152" t="s">
        <v>51</v>
      </c>
      <c r="H152" t="s">
        <v>719</v>
      </c>
      <c r="I152" t="s">
        <v>720</v>
      </c>
      <c r="J152" t="s">
        <v>721</v>
      </c>
      <c r="K152" t="s">
        <v>55</v>
      </c>
      <c r="L152" t="s">
        <v>16</v>
      </c>
      <c r="M152" t="s">
        <v>19</v>
      </c>
      <c r="N152">
        <v>3026</v>
      </c>
      <c r="O152">
        <v>166</v>
      </c>
      <c r="P152">
        <v>0</v>
      </c>
      <c r="Q152" t="s">
        <v>914</v>
      </c>
      <c r="R152" t="s">
        <v>360</v>
      </c>
      <c r="S152" t="s">
        <v>915</v>
      </c>
      <c r="T152" t="s">
        <v>916</v>
      </c>
      <c r="U152" t="s">
        <v>60</v>
      </c>
      <c r="V152" t="s">
        <v>61</v>
      </c>
      <c r="W152">
        <v>3</v>
      </c>
      <c r="X152">
        <v>9.5812499999999995E-2</v>
      </c>
      <c r="Y152" t="s">
        <v>362</v>
      </c>
      <c r="Z152" t="s">
        <v>363</v>
      </c>
      <c r="AA152">
        <v>2</v>
      </c>
      <c r="AB152" t="s">
        <v>725</v>
      </c>
      <c r="AC152" t="s">
        <v>726</v>
      </c>
      <c r="AD152" t="s">
        <v>727</v>
      </c>
      <c r="AE152" t="s">
        <v>728</v>
      </c>
      <c r="AF152" t="s">
        <v>729</v>
      </c>
      <c r="AG152" t="s">
        <v>806</v>
      </c>
      <c r="AH152" t="s">
        <v>889</v>
      </c>
      <c r="AI152" t="s">
        <v>66</v>
      </c>
      <c r="AJ152" t="s">
        <v>66</v>
      </c>
      <c r="AK152">
        <v>1</v>
      </c>
      <c r="AL152" t="s">
        <v>807</v>
      </c>
      <c r="AM152" t="s">
        <v>808</v>
      </c>
      <c r="AN152" t="s">
        <v>890</v>
      </c>
      <c r="AO152" t="s">
        <v>66</v>
      </c>
      <c r="AP152">
        <v>1</v>
      </c>
      <c r="AQ152" t="s">
        <v>891</v>
      </c>
      <c r="AR152" t="s">
        <v>892</v>
      </c>
      <c r="AS152" t="s">
        <v>66</v>
      </c>
      <c r="AT152" t="s">
        <v>66</v>
      </c>
    </row>
    <row r="153" spans="1:46" x14ac:dyDescent="0.15">
      <c r="A153" t="s">
        <v>917</v>
      </c>
      <c r="B153" t="s">
        <v>715</v>
      </c>
      <c r="C153" t="s">
        <v>716</v>
      </c>
      <c r="D153">
        <v>47</v>
      </c>
      <c r="E153" t="s">
        <v>717</v>
      </c>
      <c r="F153" t="s">
        <v>718</v>
      </c>
      <c r="G153" t="s">
        <v>51</v>
      </c>
      <c r="H153" t="s">
        <v>719</v>
      </c>
      <c r="I153" t="s">
        <v>720</v>
      </c>
      <c r="J153" t="s">
        <v>721</v>
      </c>
      <c r="K153" t="s">
        <v>55</v>
      </c>
      <c r="L153" t="s">
        <v>16</v>
      </c>
      <c r="M153" t="s">
        <v>19</v>
      </c>
      <c r="N153">
        <v>3082</v>
      </c>
      <c r="O153">
        <v>170</v>
      </c>
      <c r="P153">
        <v>0</v>
      </c>
      <c r="Q153" t="s">
        <v>918</v>
      </c>
      <c r="R153" t="s">
        <v>367</v>
      </c>
      <c r="S153" t="s">
        <v>919</v>
      </c>
      <c r="T153" t="s">
        <v>920</v>
      </c>
      <c r="U153" t="s">
        <v>60</v>
      </c>
      <c r="V153" t="s">
        <v>61</v>
      </c>
      <c r="W153">
        <v>3</v>
      </c>
      <c r="X153">
        <v>9.5812499999999995E-2</v>
      </c>
      <c r="Y153" t="s">
        <v>217</v>
      </c>
      <c r="Z153" t="s">
        <v>369</v>
      </c>
      <c r="AA153">
        <v>2</v>
      </c>
      <c r="AB153" t="s">
        <v>725</v>
      </c>
      <c r="AC153" t="s">
        <v>726</v>
      </c>
      <c r="AD153" t="s">
        <v>727</v>
      </c>
      <c r="AE153" t="s">
        <v>728</v>
      </c>
      <c r="AF153" t="s">
        <v>729</v>
      </c>
      <c r="AG153" t="s">
        <v>806</v>
      </c>
      <c r="AH153" t="s">
        <v>889</v>
      </c>
      <c r="AI153" t="s">
        <v>66</v>
      </c>
      <c r="AJ153" t="s">
        <v>66</v>
      </c>
      <c r="AK153">
        <v>1</v>
      </c>
      <c r="AL153" t="s">
        <v>807</v>
      </c>
      <c r="AM153" t="s">
        <v>808</v>
      </c>
      <c r="AN153" t="s">
        <v>890</v>
      </c>
      <c r="AO153" t="s">
        <v>66</v>
      </c>
      <c r="AP153">
        <v>1</v>
      </c>
      <c r="AQ153" t="s">
        <v>891</v>
      </c>
      <c r="AR153" t="s">
        <v>892</v>
      </c>
      <c r="AS153" t="s">
        <v>66</v>
      </c>
      <c r="AT153" t="s">
        <v>66</v>
      </c>
    </row>
    <row r="154" spans="1:46" x14ac:dyDescent="0.15">
      <c r="A154" t="s">
        <v>921</v>
      </c>
      <c r="B154" t="s">
        <v>715</v>
      </c>
      <c r="C154" t="s">
        <v>716</v>
      </c>
      <c r="D154">
        <v>48</v>
      </c>
      <c r="E154" t="s">
        <v>717</v>
      </c>
      <c r="F154" t="s">
        <v>718</v>
      </c>
      <c r="G154" t="s">
        <v>51</v>
      </c>
      <c r="H154" t="s">
        <v>719</v>
      </c>
      <c r="I154" t="s">
        <v>720</v>
      </c>
      <c r="J154" t="s">
        <v>721</v>
      </c>
      <c r="K154" t="s">
        <v>55</v>
      </c>
      <c r="L154" t="s">
        <v>16</v>
      </c>
      <c r="M154" t="s">
        <v>19</v>
      </c>
      <c r="N154">
        <v>3138</v>
      </c>
      <c r="O154">
        <v>173</v>
      </c>
      <c r="P154">
        <v>0</v>
      </c>
      <c r="Q154" t="s">
        <v>922</v>
      </c>
      <c r="R154" t="s">
        <v>373</v>
      </c>
      <c r="S154" t="s">
        <v>923</v>
      </c>
      <c r="T154" t="s">
        <v>924</v>
      </c>
      <c r="U154" t="s">
        <v>60</v>
      </c>
      <c r="V154" t="s">
        <v>61</v>
      </c>
      <c r="W154">
        <v>3</v>
      </c>
      <c r="X154">
        <v>9.5812499999999995E-2</v>
      </c>
      <c r="Y154" t="s">
        <v>375</v>
      </c>
      <c r="Z154" t="s">
        <v>376</v>
      </c>
      <c r="AA154">
        <v>2</v>
      </c>
      <c r="AB154" t="s">
        <v>725</v>
      </c>
      <c r="AC154" t="s">
        <v>726</v>
      </c>
      <c r="AD154" t="s">
        <v>727</v>
      </c>
      <c r="AE154" t="s">
        <v>728</v>
      </c>
      <c r="AF154" t="s">
        <v>729</v>
      </c>
      <c r="AG154" t="s">
        <v>806</v>
      </c>
      <c r="AH154" t="s">
        <v>889</v>
      </c>
      <c r="AI154" t="s">
        <v>66</v>
      </c>
      <c r="AJ154" t="s">
        <v>66</v>
      </c>
      <c r="AK154">
        <v>1</v>
      </c>
      <c r="AL154" t="s">
        <v>807</v>
      </c>
      <c r="AM154" t="s">
        <v>808</v>
      </c>
      <c r="AN154" t="s">
        <v>890</v>
      </c>
      <c r="AO154" t="s">
        <v>66</v>
      </c>
      <c r="AP154">
        <v>1</v>
      </c>
      <c r="AQ154" t="s">
        <v>891</v>
      </c>
      <c r="AR154" t="s">
        <v>892</v>
      </c>
      <c r="AS154" t="s">
        <v>66</v>
      </c>
      <c r="AT154" t="s">
        <v>66</v>
      </c>
    </row>
    <row r="155" spans="1:46" x14ac:dyDescent="0.15">
      <c r="A155" t="s">
        <v>925</v>
      </c>
      <c r="B155" t="s">
        <v>715</v>
      </c>
      <c r="C155" t="s">
        <v>716</v>
      </c>
      <c r="D155">
        <v>49</v>
      </c>
      <c r="E155" t="s">
        <v>717</v>
      </c>
      <c r="F155" t="s">
        <v>718</v>
      </c>
      <c r="G155" t="s">
        <v>51</v>
      </c>
      <c r="H155" t="s">
        <v>719</v>
      </c>
      <c r="I155" t="s">
        <v>720</v>
      </c>
      <c r="J155" t="s">
        <v>721</v>
      </c>
      <c r="K155" t="s">
        <v>55</v>
      </c>
      <c r="L155" t="s">
        <v>16</v>
      </c>
      <c r="M155" t="s">
        <v>19</v>
      </c>
      <c r="N155">
        <v>3194</v>
      </c>
      <c r="O155">
        <v>176</v>
      </c>
      <c r="P155">
        <v>0</v>
      </c>
      <c r="Q155" t="s">
        <v>926</v>
      </c>
      <c r="R155" t="s">
        <v>380</v>
      </c>
      <c r="S155" t="s">
        <v>927</v>
      </c>
      <c r="T155" t="s">
        <v>928</v>
      </c>
      <c r="U155" t="s">
        <v>60</v>
      </c>
      <c r="V155" t="s">
        <v>61</v>
      </c>
      <c r="W155">
        <v>3</v>
      </c>
      <c r="X155">
        <v>9.5812499999999995E-2</v>
      </c>
      <c r="Y155" t="s">
        <v>223</v>
      </c>
      <c r="Z155" t="s">
        <v>382</v>
      </c>
      <c r="AA155">
        <v>2</v>
      </c>
      <c r="AB155" t="s">
        <v>725</v>
      </c>
      <c r="AC155" t="s">
        <v>726</v>
      </c>
      <c r="AD155" t="s">
        <v>727</v>
      </c>
      <c r="AE155" t="s">
        <v>728</v>
      </c>
      <c r="AF155" t="s">
        <v>729</v>
      </c>
      <c r="AG155" t="s">
        <v>806</v>
      </c>
      <c r="AH155" t="s">
        <v>889</v>
      </c>
      <c r="AI155" t="s">
        <v>66</v>
      </c>
      <c r="AJ155" t="s">
        <v>66</v>
      </c>
      <c r="AK155">
        <v>1</v>
      </c>
      <c r="AL155" t="s">
        <v>807</v>
      </c>
      <c r="AM155" t="s">
        <v>808</v>
      </c>
      <c r="AN155" t="s">
        <v>890</v>
      </c>
      <c r="AO155" t="s">
        <v>66</v>
      </c>
      <c r="AP155">
        <v>1</v>
      </c>
      <c r="AQ155" t="s">
        <v>891</v>
      </c>
      <c r="AR155" t="s">
        <v>892</v>
      </c>
      <c r="AS155" t="s">
        <v>66</v>
      </c>
      <c r="AT155" t="s">
        <v>66</v>
      </c>
    </row>
    <row r="156" spans="1:46" x14ac:dyDescent="0.15">
      <c r="A156" t="s">
        <v>929</v>
      </c>
      <c r="B156" t="s">
        <v>715</v>
      </c>
      <c r="C156" t="s">
        <v>716</v>
      </c>
      <c r="D156">
        <v>50</v>
      </c>
      <c r="E156" t="s">
        <v>717</v>
      </c>
      <c r="F156" t="s">
        <v>718</v>
      </c>
      <c r="G156" t="s">
        <v>51</v>
      </c>
      <c r="H156" t="s">
        <v>719</v>
      </c>
      <c r="I156" t="s">
        <v>720</v>
      </c>
      <c r="J156" t="s">
        <v>721</v>
      </c>
      <c r="K156" t="s">
        <v>55</v>
      </c>
      <c r="L156" t="s">
        <v>16</v>
      </c>
      <c r="M156" t="s">
        <v>19</v>
      </c>
      <c r="N156">
        <v>3250</v>
      </c>
      <c r="O156">
        <v>179</v>
      </c>
      <c r="P156">
        <v>0</v>
      </c>
      <c r="Q156" t="s">
        <v>930</v>
      </c>
      <c r="R156" t="s">
        <v>386</v>
      </c>
      <c r="S156" t="s">
        <v>931</v>
      </c>
      <c r="T156" t="s">
        <v>932</v>
      </c>
      <c r="U156" t="s">
        <v>60</v>
      </c>
      <c r="V156" t="s">
        <v>61</v>
      </c>
      <c r="W156">
        <v>3</v>
      </c>
      <c r="X156">
        <v>9.5812499999999995E-2</v>
      </c>
      <c r="Y156" t="s">
        <v>388</v>
      </c>
      <c r="Z156" t="s">
        <v>389</v>
      </c>
      <c r="AA156">
        <v>2</v>
      </c>
      <c r="AB156" t="s">
        <v>725</v>
      </c>
      <c r="AC156" t="s">
        <v>726</v>
      </c>
      <c r="AD156" t="s">
        <v>727</v>
      </c>
      <c r="AE156" t="s">
        <v>728</v>
      </c>
      <c r="AF156" t="s">
        <v>729</v>
      </c>
      <c r="AG156" t="s">
        <v>806</v>
      </c>
      <c r="AH156" t="s">
        <v>889</v>
      </c>
      <c r="AI156" t="s">
        <v>66</v>
      </c>
      <c r="AJ156" t="s">
        <v>66</v>
      </c>
      <c r="AK156">
        <v>1</v>
      </c>
      <c r="AL156" t="s">
        <v>807</v>
      </c>
      <c r="AM156" t="s">
        <v>808</v>
      </c>
      <c r="AN156" t="s">
        <v>890</v>
      </c>
      <c r="AO156" t="s">
        <v>66</v>
      </c>
      <c r="AP156">
        <v>1</v>
      </c>
      <c r="AQ156" t="s">
        <v>891</v>
      </c>
      <c r="AR156" t="s">
        <v>892</v>
      </c>
      <c r="AS156" t="s">
        <v>66</v>
      </c>
      <c r="AT156" t="s">
        <v>66</v>
      </c>
    </row>
    <row r="157" spans="1:46" x14ac:dyDescent="0.15">
      <c r="A157" t="s">
        <v>933</v>
      </c>
      <c r="B157" t="s">
        <v>715</v>
      </c>
      <c r="C157" t="s">
        <v>716</v>
      </c>
      <c r="D157">
        <v>51</v>
      </c>
      <c r="E157" t="s">
        <v>717</v>
      </c>
      <c r="F157" t="s">
        <v>718</v>
      </c>
      <c r="G157" t="s">
        <v>51</v>
      </c>
      <c r="H157" t="s">
        <v>719</v>
      </c>
      <c r="I157" t="s">
        <v>720</v>
      </c>
      <c r="J157" t="s">
        <v>721</v>
      </c>
      <c r="K157" t="s">
        <v>55</v>
      </c>
      <c r="L157" t="s">
        <v>16</v>
      </c>
      <c r="M157" t="s">
        <v>19</v>
      </c>
      <c r="N157">
        <v>3306</v>
      </c>
      <c r="O157">
        <v>182</v>
      </c>
      <c r="P157">
        <v>0</v>
      </c>
      <c r="Q157" t="s">
        <v>934</v>
      </c>
      <c r="R157" t="s">
        <v>393</v>
      </c>
      <c r="S157" t="s">
        <v>935</v>
      </c>
      <c r="T157" t="s">
        <v>936</v>
      </c>
      <c r="U157" t="s">
        <v>60</v>
      </c>
      <c r="V157" t="s">
        <v>61</v>
      </c>
      <c r="W157">
        <v>3</v>
      </c>
      <c r="X157">
        <v>9.5812499999999995E-2</v>
      </c>
      <c r="Y157" t="s">
        <v>230</v>
      </c>
      <c r="Z157" t="s">
        <v>395</v>
      </c>
      <c r="AA157">
        <v>2</v>
      </c>
      <c r="AB157" t="s">
        <v>725</v>
      </c>
      <c r="AC157" t="s">
        <v>726</v>
      </c>
      <c r="AD157" t="s">
        <v>727</v>
      </c>
      <c r="AE157" t="s">
        <v>728</v>
      </c>
      <c r="AF157" t="s">
        <v>729</v>
      </c>
      <c r="AG157" t="s">
        <v>806</v>
      </c>
      <c r="AH157" t="s">
        <v>889</v>
      </c>
      <c r="AI157" t="s">
        <v>66</v>
      </c>
      <c r="AJ157" t="s">
        <v>66</v>
      </c>
      <c r="AK157">
        <v>1</v>
      </c>
      <c r="AL157" t="s">
        <v>807</v>
      </c>
      <c r="AM157" t="s">
        <v>808</v>
      </c>
      <c r="AN157" t="s">
        <v>890</v>
      </c>
      <c r="AO157" t="s">
        <v>66</v>
      </c>
      <c r="AP157">
        <v>1</v>
      </c>
      <c r="AQ157" t="s">
        <v>891</v>
      </c>
      <c r="AR157" t="s">
        <v>892</v>
      </c>
      <c r="AS157" t="s">
        <v>66</v>
      </c>
      <c r="AT157" t="s">
        <v>66</v>
      </c>
    </row>
    <row r="158" spans="1:46" x14ac:dyDescent="0.15">
      <c r="A158" t="s">
        <v>937</v>
      </c>
      <c r="B158" t="s">
        <v>715</v>
      </c>
      <c r="C158" t="s">
        <v>716</v>
      </c>
      <c r="D158">
        <v>52</v>
      </c>
      <c r="E158" t="s">
        <v>717</v>
      </c>
      <c r="F158" t="s">
        <v>718</v>
      </c>
      <c r="G158" t="s">
        <v>51</v>
      </c>
      <c r="H158" t="s">
        <v>719</v>
      </c>
      <c r="I158" t="s">
        <v>720</v>
      </c>
      <c r="J158" t="s">
        <v>721</v>
      </c>
      <c r="K158" t="s">
        <v>55</v>
      </c>
      <c r="L158" t="s">
        <v>16</v>
      </c>
      <c r="M158" t="s">
        <v>19</v>
      </c>
      <c r="N158">
        <v>3362</v>
      </c>
      <c r="O158">
        <v>185</v>
      </c>
      <c r="P158">
        <v>0</v>
      </c>
      <c r="Q158" t="s">
        <v>938</v>
      </c>
      <c r="R158" t="s">
        <v>399</v>
      </c>
      <c r="S158" t="s">
        <v>939</v>
      </c>
      <c r="T158" t="s">
        <v>940</v>
      </c>
      <c r="U158" t="s">
        <v>60</v>
      </c>
      <c r="V158" t="s">
        <v>61</v>
      </c>
      <c r="W158">
        <v>3</v>
      </c>
      <c r="X158">
        <v>9.5812499999999995E-2</v>
      </c>
      <c r="Y158" t="s">
        <v>401</v>
      </c>
      <c r="Z158" t="s">
        <v>402</v>
      </c>
      <c r="AA158">
        <v>2</v>
      </c>
      <c r="AB158" t="s">
        <v>725</v>
      </c>
      <c r="AC158" t="s">
        <v>726</v>
      </c>
      <c r="AD158" t="s">
        <v>727</v>
      </c>
      <c r="AE158" t="s">
        <v>728</v>
      </c>
      <c r="AF158" t="s">
        <v>729</v>
      </c>
      <c r="AG158" t="s">
        <v>806</v>
      </c>
      <c r="AH158" t="s">
        <v>889</v>
      </c>
      <c r="AI158" t="s">
        <v>66</v>
      </c>
      <c r="AJ158" t="s">
        <v>66</v>
      </c>
      <c r="AK158">
        <v>1</v>
      </c>
      <c r="AL158" t="s">
        <v>807</v>
      </c>
      <c r="AM158" t="s">
        <v>808</v>
      </c>
      <c r="AN158" t="s">
        <v>890</v>
      </c>
      <c r="AO158" t="s">
        <v>66</v>
      </c>
      <c r="AP158">
        <v>1</v>
      </c>
      <c r="AQ158" t="s">
        <v>891</v>
      </c>
      <c r="AR158" t="s">
        <v>892</v>
      </c>
      <c r="AS158" t="s">
        <v>66</v>
      </c>
      <c r="AT158" t="s">
        <v>66</v>
      </c>
    </row>
    <row r="159" spans="1:46" x14ac:dyDescent="0.15">
      <c r="A159" t="s">
        <v>941</v>
      </c>
      <c r="B159" t="s">
        <v>715</v>
      </c>
      <c r="C159" t="s">
        <v>716</v>
      </c>
      <c r="D159">
        <v>53</v>
      </c>
      <c r="E159" t="s">
        <v>717</v>
      </c>
      <c r="F159" t="s">
        <v>718</v>
      </c>
      <c r="G159" t="s">
        <v>51</v>
      </c>
      <c r="H159" t="s">
        <v>719</v>
      </c>
      <c r="I159" t="s">
        <v>720</v>
      </c>
      <c r="J159" t="s">
        <v>721</v>
      </c>
      <c r="K159" t="s">
        <v>55</v>
      </c>
      <c r="L159" t="s">
        <v>16</v>
      </c>
      <c r="M159" t="s">
        <v>19</v>
      </c>
      <c r="N159">
        <v>3418</v>
      </c>
      <c r="O159">
        <v>188</v>
      </c>
      <c r="P159">
        <v>0</v>
      </c>
      <c r="Q159" t="s">
        <v>942</v>
      </c>
      <c r="R159" t="s">
        <v>406</v>
      </c>
      <c r="S159" t="s">
        <v>943</v>
      </c>
      <c r="T159" t="s">
        <v>944</v>
      </c>
      <c r="U159" t="s">
        <v>60</v>
      </c>
      <c r="V159" t="s">
        <v>61</v>
      </c>
      <c r="W159">
        <v>3</v>
      </c>
      <c r="X159">
        <v>9.5812499999999995E-2</v>
      </c>
      <c r="Y159" t="s">
        <v>236</v>
      </c>
      <c r="Z159" t="s">
        <v>408</v>
      </c>
      <c r="AA159">
        <v>2</v>
      </c>
      <c r="AB159" t="s">
        <v>725</v>
      </c>
      <c r="AC159" t="s">
        <v>726</v>
      </c>
      <c r="AD159" t="s">
        <v>727</v>
      </c>
      <c r="AE159" t="s">
        <v>728</v>
      </c>
      <c r="AF159" t="s">
        <v>729</v>
      </c>
      <c r="AG159" t="s">
        <v>806</v>
      </c>
      <c r="AH159" t="s">
        <v>889</v>
      </c>
      <c r="AI159" t="s">
        <v>66</v>
      </c>
      <c r="AJ159" t="s">
        <v>66</v>
      </c>
      <c r="AK159">
        <v>1</v>
      </c>
      <c r="AL159" t="s">
        <v>807</v>
      </c>
      <c r="AM159" t="s">
        <v>808</v>
      </c>
      <c r="AN159" t="s">
        <v>890</v>
      </c>
      <c r="AO159" t="s">
        <v>66</v>
      </c>
      <c r="AP159">
        <v>1</v>
      </c>
      <c r="AQ159" t="s">
        <v>891</v>
      </c>
      <c r="AR159" t="s">
        <v>892</v>
      </c>
      <c r="AS159" t="s">
        <v>66</v>
      </c>
      <c r="AT159" t="s">
        <v>66</v>
      </c>
    </row>
    <row r="160" spans="1:46" x14ac:dyDescent="0.15">
      <c r="A160" t="s">
        <v>945</v>
      </c>
      <c r="B160" t="s">
        <v>715</v>
      </c>
      <c r="C160" t="s">
        <v>716</v>
      </c>
      <c r="D160">
        <v>54</v>
      </c>
      <c r="E160" t="s">
        <v>717</v>
      </c>
      <c r="F160" t="s">
        <v>718</v>
      </c>
      <c r="G160" t="s">
        <v>51</v>
      </c>
      <c r="H160" t="s">
        <v>719</v>
      </c>
      <c r="I160" t="s">
        <v>720</v>
      </c>
      <c r="J160" t="s">
        <v>721</v>
      </c>
      <c r="K160" t="s">
        <v>55</v>
      </c>
      <c r="L160" t="s">
        <v>16</v>
      </c>
      <c r="M160" t="s">
        <v>19</v>
      </c>
      <c r="N160">
        <v>3474</v>
      </c>
      <c r="O160">
        <v>191</v>
      </c>
      <c r="P160">
        <v>0</v>
      </c>
      <c r="Q160" t="s">
        <v>946</v>
      </c>
      <c r="R160" t="s">
        <v>412</v>
      </c>
      <c r="S160" t="s">
        <v>947</v>
      </c>
      <c r="T160" t="s">
        <v>948</v>
      </c>
      <c r="U160" t="s">
        <v>60</v>
      </c>
      <c r="V160" t="s">
        <v>61</v>
      </c>
      <c r="W160">
        <v>3</v>
      </c>
      <c r="X160">
        <v>9.5812499999999995E-2</v>
      </c>
      <c r="Y160" t="s">
        <v>414</v>
      </c>
      <c r="Z160" t="s">
        <v>415</v>
      </c>
      <c r="AA160">
        <v>2</v>
      </c>
      <c r="AB160" t="s">
        <v>725</v>
      </c>
      <c r="AC160" t="s">
        <v>726</v>
      </c>
      <c r="AD160" t="s">
        <v>727</v>
      </c>
      <c r="AE160" t="s">
        <v>728</v>
      </c>
      <c r="AF160" t="s">
        <v>729</v>
      </c>
      <c r="AG160" t="s">
        <v>806</v>
      </c>
      <c r="AH160" t="s">
        <v>889</v>
      </c>
      <c r="AI160" t="s">
        <v>66</v>
      </c>
      <c r="AJ160" t="s">
        <v>66</v>
      </c>
      <c r="AK160">
        <v>1</v>
      </c>
      <c r="AL160" t="s">
        <v>807</v>
      </c>
      <c r="AM160" t="s">
        <v>808</v>
      </c>
      <c r="AN160" t="s">
        <v>890</v>
      </c>
      <c r="AO160" t="s">
        <v>66</v>
      </c>
      <c r="AP160">
        <v>1</v>
      </c>
      <c r="AQ160" t="s">
        <v>891</v>
      </c>
      <c r="AR160" t="s">
        <v>892</v>
      </c>
      <c r="AS160" t="s">
        <v>66</v>
      </c>
      <c r="AT160" t="s">
        <v>66</v>
      </c>
    </row>
    <row r="161" spans="1:46" x14ac:dyDescent="0.15">
      <c r="A161" t="s">
        <v>949</v>
      </c>
      <c r="B161" t="s">
        <v>715</v>
      </c>
      <c r="C161" t="s">
        <v>716</v>
      </c>
      <c r="D161">
        <v>55</v>
      </c>
      <c r="E161" t="s">
        <v>717</v>
      </c>
      <c r="F161" t="s">
        <v>718</v>
      </c>
      <c r="G161" t="s">
        <v>51</v>
      </c>
      <c r="H161" t="s">
        <v>719</v>
      </c>
      <c r="I161" t="s">
        <v>720</v>
      </c>
      <c r="J161" t="s">
        <v>721</v>
      </c>
      <c r="K161" t="s">
        <v>55</v>
      </c>
      <c r="L161" t="s">
        <v>16</v>
      </c>
      <c r="M161" t="s">
        <v>19</v>
      </c>
      <c r="N161">
        <v>3531</v>
      </c>
      <c r="O161">
        <v>194</v>
      </c>
      <c r="P161">
        <v>0</v>
      </c>
      <c r="Q161" t="s">
        <v>950</v>
      </c>
      <c r="R161" t="s">
        <v>419</v>
      </c>
      <c r="S161" t="s">
        <v>951</v>
      </c>
      <c r="T161" t="s">
        <v>952</v>
      </c>
      <c r="U161" t="s">
        <v>60</v>
      </c>
      <c r="V161" t="s">
        <v>61</v>
      </c>
      <c r="W161">
        <v>3</v>
      </c>
      <c r="X161">
        <v>9.5812499999999995E-2</v>
      </c>
      <c r="Y161" t="s">
        <v>243</v>
      </c>
      <c r="Z161" t="s">
        <v>421</v>
      </c>
      <c r="AA161">
        <v>2</v>
      </c>
      <c r="AB161" t="s">
        <v>725</v>
      </c>
      <c r="AC161" t="s">
        <v>726</v>
      </c>
      <c r="AD161" t="s">
        <v>727</v>
      </c>
      <c r="AE161" t="s">
        <v>728</v>
      </c>
      <c r="AF161" t="s">
        <v>729</v>
      </c>
      <c r="AG161" t="s">
        <v>806</v>
      </c>
      <c r="AH161" t="s">
        <v>889</v>
      </c>
      <c r="AI161" t="s">
        <v>66</v>
      </c>
      <c r="AJ161" t="s">
        <v>66</v>
      </c>
      <c r="AK161">
        <v>1</v>
      </c>
      <c r="AL161" t="s">
        <v>807</v>
      </c>
      <c r="AM161" t="s">
        <v>808</v>
      </c>
      <c r="AN161" t="s">
        <v>890</v>
      </c>
      <c r="AO161" t="s">
        <v>66</v>
      </c>
      <c r="AP161">
        <v>1</v>
      </c>
      <c r="AQ161" t="s">
        <v>891</v>
      </c>
      <c r="AR161" t="s">
        <v>892</v>
      </c>
      <c r="AS161" t="s">
        <v>66</v>
      </c>
      <c r="AT161" t="s">
        <v>66</v>
      </c>
    </row>
    <row r="162" spans="1:46" x14ac:dyDescent="0.15">
      <c r="A162" t="s">
        <v>953</v>
      </c>
      <c r="B162" t="s">
        <v>715</v>
      </c>
      <c r="C162" t="s">
        <v>716</v>
      </c>
      <c r="D162">
        <v>56</v>
      </c>
      <c r="E162" t="s">
        <v>717</v>
      </c>
      <c r="F162" t="s">
        <v>718</v>
      </c>
      <c r="G162" t="s">
        <v>51</v>
      </c>
      <c r="H162" t="s">
        <v>719</v>
      </c>
      <c r="I162" t="s">
        <v>720</v>
      </c>
      <c r="J162" t="s">
        <v>721</v>
      </c>
      <c r="K162" t="s">
        <v>55</v>
      </c>
      <c r="L162" t="s">
        <v>16</v>
      </c>
      <c r="M162" t="s">
        <v>19</v>
      </c>
      <c r="N162">
        <v>3587</v>
      </c>
      <c r="O162">
        <v>197</v>
      </c>
      <c r="P162">
        <v>0</v>
      </c>
      <c r="Q162" t="s">
        <v>954</v>
      </c>
      <c r="R162" t="s">
        <v>425</v>
      </c>
      <c r="S162" t="s">
        <v>955</v>
      </c>
      <c r="T162" t="s">
        <v>956</v>
      </c>
      <c r="U162" t="s">
        <v>60</v>
      </c>
      <c r="V162" t="s">
        <v>61</v>
      </c>
      <c r="W162">
        <v>3</v>
      </c>
      <c r="X162">
        <v>9.5812499999999995E-2</v>
      </c>
      <c r="Y162" t="s">
        <v>427</v>
      </c>
      <c r="Z162" t="s">
        <v>428</v>
      </c>
      <c r="AA162">
        <v>2</v>
      </c>
      <c r="AB162" t="s">
        <v>725</v>
      </c>
      <c r="AC162" t="s">
        <v>726</v>
      </c>
      <c r="AD162" t="s">
        <v>727</v>
      </c>
      <c r="AE162" t="s">
        <v>728</v>
      </c>
      <c r="AF162" t="s">
        <v>729</v>
      </c>
      <c r="AG162" t="s">
        <v>806</v>
      </c>
      <c r="AH162" t="s">
        <v>889</v>
      </c>
      <c r="AI162" t="s">
        <v>66</v>
      </c>
      <c r="AJ162" t="s">
        <v>66</v>
      </c>
      <c r="AK162">
        <v>1</v>
      </c>
      <c r="AL162" t="s">
        <v>807</v>
      </c>
      <c r="AM162" t="s">
        <v>808</v>
      </c>
      <c r="AN162" t="s">
        <v>890</v>
      </c>
      <c r="AO162" t="s">
        <v>66</v>
      </c>
      <c r="AP162">
        <v>1</v>
      </c>
      <c r="AQ162" t="s">
        <v>891</v>
      </c>
      <c r="AR162" t="s">
        <v>892</v>
      </c>
      <c r="AS162" t="s">
        <v>66</v>
      </c>
      <c r="AT162" t="s">
        <v>66</v>
      </c>
    </row>
    <row r="163" spans="1:46" x14ac:dyDescent="0.15">
      <c r="A163" t="s">
        <v>957</v>
      </c>
      <c r="B163" t="s">
        <v>715</v>
      </c>
      <c r="C163" t="s">
        <v>716</v>
      </c>
      <c r="D163">
        <v>57</v>
      </c>
      <c r="E163" t="s">
        <v>717</v>
      </c>
      <c r="F163" t="s">
        <v>718</v>
      </c>
      <c r="G163" t="s">
        <v>51</v>
      </c>
      <c r="H163" t="s">
        <v>719</v>
      </c>
      <c r="I163" t="s">
        <v>720</v>
      </c>
      <c r="J163" t="s">
        <v>721</v>
      </c>
      <c r="K163" t="s">
        <v>55</v>
      </c>
      <c r="L163" t="s">
        <v>16</v>
      </c>
      <c r="M163" t="s">
        <v>19</v>
      </c>
      <c r="N163">
        <v>3643</v>
      </c>
      <c r="O163">
        <v>200</v>
      </c>
      <c r="P163">
        <v>0</v>
      </c>
      <c r="Q163" t="s">
        <v>958</v>
      </c>
      <c r="R163" t="s">
        <v>432</v>
      </c>
      <c r="S163" t="s">
        <v>959</v>
      </c>
      <c r="T163" t="s">
        <v>960</v>
      </c>
      <c r="U163" t="s">
        <v>60</v>
      </c>
      <c r="V163" t="s">
        <v>61</v>
      </c>
      <c r="W163">
        <v>3</v>
      </c>
      <c r="X163">
        <v>9.5812499999999995E-2</v>
      </c>
      <c r="Y163" t="s">
        <v>249</v>
      </c>
      <c r="Z163" t="s">
        <v>434</v>
      </c>
      <c r="AA163">
        <v>2</v>
      </c>
      <c r="AB163" t="s">
        <v>725</v>
      </c>
      <c r="AC163" t="s">
        <v>726</v>
      </c>
      <c r="AD163" t="s">
        <v>727</v>
      </c>
      <c r="AE163" t="s">
        <v>728</v>
      </c>
      <c r="AF163" t="s">
        <v>729</v>
      </c>
      <c r="AG163" t="s">
        <v>806</v>
      </c>
      <c r="AH163" t="s">
        <v>889</v>
      </c>
      <c r="AI163" t="s">
        <v>66</v>
      </c>
      <c r="AJ163" t="s">
        <v>66</v>
      </c>
      <c r="AK163">
        <v>1</v>
      </c>
      <c r="AL163" t="s">
        <v>807</v>
      </c>
      <c r="AM163" t="s">
        <v>808</v>
      </c>
      <c r="AN163" t="s">
        <v>890</v>
      </c>
      <c r="AO163" t="s">
        <v>66</v>
      </c>
      <c r="AP163">
        <v>1</v>
      </c>
      <c r="AQ163" t="s">
        <v>891</v>
      </c>
      <c r="AR163" t="s">
        <v>892</v>
      </c>
      <c r="AS163" t="s">
        <v>66</v>
      </c>
      <c r="AT163" t="s">
        <v>66</v>
      </c>
    </row>
    <row r="164" spans="1:46" x14ac:dyDescent="0.15">
      <c r="A164" t="s">
        <v>961</v>
      </c>
      <c r="B164" t="s">
        <v>715</v>
      </c>
      <c r="C164" t="s">
        <v>716</v>
      </c>
      <c r="D164">
        <v>58</v>
      </c>
      <c r="E164" t="s">
        <v>717</v>
      </c>
      <c r="F164" t="s">
        <v>718</v>
      </c>
      <c r="G164" t="s">
        <v>51</v>
      </c>
      <c r="H164" t="s">
        <v>719</v>
      </c>
      <c r="I164" t="s">
        <v>720</v>
      </c>
      <c r="J164" t="s">
        <v>721</v>
      </c>
      <c r="K164" t="s">
        <v>55</v>
      </c>
      <c r="L164" t="s">
        <v>16</v>
      </c>
      <c r="M164" t="s">
        <v>19</v>
      </c>
      <c r="N164">
        <v>3699</v>
      </c>
      <c r="O164">
        <v>203</v>
      </c>
      <c r="P164">
        <v>0</v>
      </c>
      <c r="Q164" t="s">
        <v>962</v>
      </c>
      <c r="R164" t="s">
        <v>438</v>
      </c>
      <c r="S164" t="s">
        <v>963</v>
      </c>
      <c r="T164" t="s">
        <v>964</v>
      </c>
      <c r="U164" t="s">
        <v>60</v>
      </c>
      <c r="V164" t="s">
        <v>61</v>
      </c>
      <c r="W164">
        <v>3</v>
      </c>
      <c r="X164">
        <v>9.5812499999999995E-2</v>
      </c>
      <c r="Y164" t="s">
        <v>440</v>
      </c>
      <c r="Z164" t="s">
        <v>441</v>
      </c>
      <c r="AA164">
        <v>2</v>
      </c>
      <c r="AB164" t="s">
        <v>725</v>
      </c>
      <c r="AC164" t="s">
        <v>726</v>
      </c>
      <c r="AD164" t="s">
        <v>727</v>
      </c>
      <c r="AE164" t="s">
        <v>728</v>
      </c>
      <c r="AF164" t="s">
        <v>729</v>
      </c>
      <c r="AG164" t="s">
        <v>806</v>
      </c>
      <c r="AH164" t="s">
        <v>889</v>
      </c>
      <c r="AI164" t="s">
        <v>66</v>
      </c>
      <c r="AJ164" t="s">
        <v>66</v>
      </c>
      <c r="AK164">
        <v>1</v>
      </c>
      <c r="AL164" t="s">
        <v>807</v>
      </c>
      <c r="AM164" t="s">
        <v>808</v>
      </c>
      <c r="AN164" t="s">
        <v>890</v>
      </c>
      <c r="AO164" t="s">
        <v>66</v>
      </c>
      <c r="AP164">
        <v>1</v>
      </c>
      <c r="AQ164" t="s">
        <v>891</v>
      </c>
      <c r="AR164" t="s">
        <v>892</v>
      </c>
      <c r="AS164" t="s">
        <v>66</v>
      </c>
      <c r="AT164" t="s">
        <v>66</v>
      </c>
    </row>
    <row r="165" spans="1:46" x14ac:dyDescent="0.15">
      <c r="A165" t="s">
        <v>965</v>
      </c>
      <c r="B165" t="s">
        <v>715</v>
      </c>
      <c r="C165" t="s">
        <v>716</v>
      </c>
      <c r="D165">
        <v>59</v>
      </c>
      <c r="E165" t="s">
        <v>717</v>
      </c>
      <c r="F165" t="s">
        <v>718</v>
      </c>
      <c r="G165" t="s">
        <v>51</v>
      </c>
      <c r="H165" t="s">
        <v>719</v>
      </c>
      <c r="I165" t="s">
        <v>720</v>
      </c>
      <c r="J165" t="s">
        <v>721</v>
      </c>
      <c r="K165" t="s">
        <v>55</v>
      </c>
      <c r="L165" t="s">
        <v>16</v>
      </c>
      <c r="M165" t="s">
        <v>19</v>
      </c>
      <c r="N165">
        <v>3755</v>
      </c>
      <c r="O165">
        <v>206</v>
      </c>
      <c r="P165">
        <v>0</v>
      </c>
      <c r="Q165" t="s">
        <v>966</v>
      </c>
      <c r="R165" t="s">
        <v>445</v>
      </c>
      <c r="S165" t="s">
        <v>967</v>
      </c>
      <c r="T165" t="s">
        <v>968</v>
      </c>
      <c r="U165" t="s">
        <v>60</v>
      </c>
      <c r="V165" t="s">
        <v>61</v>
      </c>
      <c r="W165">
        <v>3</v>
      </c>
      <c r="X165">
        <v>9.5812499999999995E-2</v>
      </c>
      <c r="Y165" t="s">
        <v>256</v>
      </c>
      <c r="Z165" t="s">
        <v>447</v>
      </c>
      <c r="AA165">
        <v>2</v>
      </c>
      <c r="AB165" t="s">
        <v>725</v>
      </c>
      <c r="AC165" t="s">
        <v>726</v>
      </c>
      <c r="AD165" t="s">
        <v>727</v>
      </c>
      <c r="AE165" t="s">
        <v>728</v>
      </c>
      <c r="AF165" t="s">
        <v>729</v>
      </c>
      <c r="AG165" t="s">
        <v>806</v>
      </c>
      <c r="AH165" t="s">
        <v>889</v>
      </c>
      <c r="AI165" t="s">
        <v>66</v>
      </c>
      <c r="AJ165" t="s">
        <v>66</v>
      </c>
      <c r="AK165">
        <v>1</v>
      </c>
      <c r="AL165" t="s">
        <v>807</v>
      </c>
      <c r="AM165" t="s">
        <v>808</v>
      </c>
      <c r="AN165" t="s">
        <v>890</v>
      </c>
      <c r="AO165" t="s">
        <v>66</v>
      </c>
      <c r="AP165">
        <v>1</v>
      </c>
      <c r="AQ165" t="s">
        <v>891</v>
      </c>
      <c r="AR165" t="s">
        <v>892</v>
      </c>
      <c r="AS165" t="s">
        <v>66</v>
      </c>
      <c r="AT165" t="s">
        <v>66</v>
      </c>
    </row>
    <row r="166" spans="1:46" x14ac:dyDescent="0.15">
      <c r="A166" t="s">
        <v>969</v>
      </c>
      <c r="B166" t="s">
        <v>715</v>
      </c>
      <c r="C166" t="s">
        <v>716</v>
      </c>
      <c r="D166">
        <v>60</v>
      </c>
      <c r="E166" t="s">
        <v>717</v>
      </c>
      <c r="F166" t="s">
        <v>718</v>
      </c>
      <c r="G166" t="s">
        <v>51</v>
      </c>
      <c r="H166" t="s">
        <v>719</v>
      </c>
      <c r="I166" t="s">
        <v>720</v>
      </c>
      <c r="J166" t="s">
        <v>721</v>
      </c>
      <c r="K166" t="s">
        <v>55</v>
      </c>
      <c r="L166" t="s">
        <v>16</v>
      </c>
      <c r="M166" t="s">
        <v>19</v>
      </c>
      <c r="N166">
        <v>3811</v>
      </c>
      <c r="O166">
        <v>209</v>
      </c>
      <c r="P166">
        <v>0</v>
      </c>
      <c r="Q166" t="s">
        <v>970</v>
      </c>
      <c r="R166" t="s">
        <v>451</v>
      </c>
      <c r="S166" t="s">
        <v>971</v>
      </c>
      <c r="T166" t="s">
        <v>972</v>
      </c>
      <c r="U166" t="s">
        <v>60</v>
      </c>
      <c r="V166" t="s">
        <v>61</v>
      </c>
      <c r="W166">
        <v>3</v>
      </c>
      <c r="X166">
        <v>9.5812499999999995E-2</v>
      </c>
      <c r="Y166" t="s">
        <v>453</v>
      </c>
      <c r="Z166" t="s">
        <v>454</v>
      </c>
      <c r="AA166">
        <v>2</v>
      </c>
      <c r="AB166" t="s">
        <v>725</v>
      </c>
      <c r="AC166" t="s">
        <v>726</v>
      </c>
      <c r="AD166" t="s">
        <v>727</v>
      </c>
      <c r="AE166" t="s">
        <v>728</v>
      </c>
      <c r="AF166" t="s">
        <v>729</v>
      </c>
      <c r="AG166" t="s">
        <v>806</v>
      </c>
      <c r="AH166" t="s">
        <v>889</v>
      </c>
      <c r="AI166" t="s">
        <v>66</v>
      </c>
      <c r="AJ166" t="s">
        <v>66</v>
      </c>
      <c r="AK166">
        <v>1</v>
      </c>
      <c r="AL166" t="s">
        <v>807</v>
      </c>
      <c r="AM166" t="s">
        <v>808</v>
      </c>
      <c r="AN166" t="s">
        <v>890</v>
      </c>
      <c r="AO166" t="s">
        <v>66</v>
      </c>
      <c r="AP166">
        <v>1</v>
      </c>
      <c r="AQ166" t="s">
        <v>891</v>
      </c>
      <c r="AR166" t="s">
        <v>892</v>
      </c>
      <c r="AS166" t="s">
        <v>66</v>
      </c>
      <c r="AT166" t="s">
        <v>66</v>
      </c>
    </row>
    <row r="167" spans="1:46" x14ac:dyDescent="0.15">
      <c r="A167" t="s">
        <v>969</v>
      </c>
      <c r="B167" t="s">
        <v>715</v>
      </c>
      <c r="C167" t="s">
        <v>716</v>
      </c>
      <c r="D167">
        <v>60</v>
      </c>
      <c r="E167" t="s">
        <v>717</v>
      </c>
      <c r="F167" t="s">
        <v>718</v>
      </c>
      <c r="G167" t="s">
        <v>51</v>
      </c>
      <c r="H167" t="s">
        <v>719</v>
      </c>
      <c r="I167" t="s">
        <v>720</v>
      </c>
      <c r="J167" t="s">
        <v>721</v>
      </c>
      <c r="K167" t="s">
        <v>55</v>
      </c>
      <c r="L167" t="s">
        <v>16</v>
      </c>
      <c r="M167" t="s">
        <v>19</v>
      </c>
      <c r="N167">
        <v>3811</v>
      </c>
      <c r="O167">
        <v>209</v>
      </c>
      <c r="P167">
        <v>0</v>
      </c>
      <c r="Q167" t="s">
        <v>970</v>
      </c>
      <c r="R167" t="s">
        <v>451</v>
      </c>
      <c r="S167" t="s">
        <v>971</v>
      </c>
      <c r="T167" t="s">
        <v>972</v>
      </c>
      <c r="U167" t="s">
        <v>60</v>
      </c>
      <c r="V167" t="s">
        <v>61</v>
      </c>
      <c r="W167">
        <v>3</v>
      </c>
      <c r="X167">
        <v>9.5812499999999995E-2</v>
      </c>
      <c r="Y167" t="s">
        <v>453</v>
      </c>
      <c r="Z167" t="s">
        <v>454</v>
      </c>
      <c r="AA167">
        <v>3</v>
      </c>
      <c r="AB167" t="s">
        <v>725</v>
      </c>
      <c r="AC167" t="s">
        <v>726</v>
      </c>
      <c r="AD167" t="s">
        <v>727</v>
      </c>
      <c r="AE167" t="s">
        <v>728</v>
      </c>
      <c r="AF167" t="s">
        <v>729</v>
      </c>
      <c r="AG167" t="s">
        <v>806</v>
      </c>
      <c r="AH167" t="s">
        <v>889</v>
      </c>
      <c r="AI167" t="s">
        <v>66</v>
      </c>
      <c r="AJ167" t="s">
        <v>66</v>
      </c>
      <c r="AK167">
        <v>1</v>
      </c>
      <c r="AL167" t="s">
        <v>807</v>
      </c>
      <c r="AM167" t="s">
        <v>808</v>
      </c>
      <c r="AN167" t="s">
        <v>890</v>
      </c>
      <c r="AO167" t="s">
        <v>66</v>
      </c>
      <c r="AP167">
        <v>1</v>
      </c>
      <c r="AQ167" t="s">
        <v>891</v>
      </c>
      <c r="AR167" t="s">
        <v>892</v>
      </c>
      <c r="AS167" t="s">
        <v>973</v>
      </c>
      <c r="AT167" t="s">
        <v>66</v>
      </c>
    </row>
    <row r="168" spans="1:46" x14ac:dyDescent="0.15">
      <c r="A168" t="s">
        <v>974</v>
      </c>
      <c r="B168" t="s">
        <v>715</v>
      </c>
      <c r="C168" t="s">
        <v>716</v>
      </c>
      <c r="D168">
        <v>61</v>
      </c>
      <c r="E168" t="s">
        <v>717</v>
      </c>
      <c r="F168" t="s">
        <v>718</v>
      </c>
      <c r="G168" t="s">
        <v>51</v>
      </c>
      <c r="H168" t="s">
        <v>719</v>
      </c>
      <c r="I168" t="s">
        <v>720</v>
      </c>
      <c r="J168" t="s">
        <v>721</v>
      </c>
      <c r="K168" t="s">
        <v>55</v>
      </c>
      <c r="L168" t="s">
        <v>16</v>
      </c>
      <c r="M168" t="s">
        <v>19</v>
      </c>
      <c r="N168">
        <v>3867</v>
      </c>
      <c r="O168">
        <v>212</v>
      </c>
      <c r="P168">
        <v>0</v>
      </c>
      <c r="Q168" t="s">
        <v>975</v>
      </c>
      <c r="R168" t="s">
        <v>463</v>
      </c>
      <c r="S168" t="s">
        <v>976</v>
      </c>
      <c r="T168" t="s">
        <v>977</v>
      </c>
      <c r="U168" t="s">
        <v>60</v>
      </c>
      <c r="V168" t="s">
        <v>61</v>
      </c>
      <c r="W168">
        <v>3</v>
      </c>
      <c r="X168">
        <v>9.5812499999999995E-2</v>
      </c>
      <c r="Y168" t="s">
        <v>262</v>
      </c>
      <c r="Z168" t="s">
        <v>465</v>
      </c>
      <c r="AA168">
        <v>3</v>
      </c>
      <c r="AB168" t="s">
        <v>725</v>
      </c>
      <c r="AC168" t="s">
        <v>726</v>
      </c>
      <c r="AD168" t="s">
        <v>727</v>
      </c>
      <c r="AE168" t="s">
        <v>728</v>
      </c>
      <c r="AF168" t="s">
        <v>729</v>
      </c>
      <c r="AG168" t="s">
        <v>806</v>
      </c>
      <c r="AH168" t="s">
        <v>889</v>
      </c>
      <c r="AI168" t="s">
        <v>66</v>
      </c>
      <c r="AJ168" t="s">
        <v>66</v>
      </c>
      <c r="AK168">
        <v>1</v>
      </c>
      <c r="AL168" t="s">
        <v>807</v>
      </c>
      <c r="AM168" t="s">
        <v>808</v>
      </c>
      <c r="AN168" t="s">
        <v>890</v>
      </c>
      <c r="AO168" t="s">
        <v>66</v>
      </c>
      <c r="AP168">
        <v>1</v>
      </c>
      <c r="AQ168" t="s">
        <v>891</v>
      </c>
      <c r="AR168" t="s">
        <v>892</v>
      </c>
      <c r="AS168" t="s">
        <v>973</v>
      </c>
      <c r="AT168" t="s">
        <v>66</v>
      </c>
    </row>
    <row r="169" spans="1:46" x14ac:dyDescent="0.15">
      <c r="A169" t="s">
        <v>978</v>
      </c>
      <c r="B169" t="s">
        <v>715</v>
      </c>
      <c r="C169" t="s">
        <v>716</v>
      </c>
      <c r="D169">
        <v>62</v>
      </c>
      <c r="E169" t="s">
        <v>717</v>
      </c>
      <c r="F169" t="s">
        <v>718</v>
      </c>
      <c r="G169" t="s">
        <v>51</v>
      </c>
      <c r="H169" t="s">
        <v>719</v>
      </c>
      <c r="I169" t="s">
        <v>720</v>
      </c>
      <c r="J169" t="s">
        <v>721</v>
      </c>
      <c r="K169" t="s">
        <v>55</v>
      </c>
      <c r="L169" t="s">
        <v>16</v>
      </c>
      <c r="M169" t="s">
        <v>19</v>
      </c>
      <c r="N169">
        <v>3923</v>
      </c>
      <c r="O169">
        <v>215</v>
      </c>
      <c r="P169">
        <v>0</v>
      </c>
      <c r="Q169" t="s">
        <v>979</v>
      </c>
      <c r="R169" t="s">
        <v>469</v>
      </c>
      <c r="S169" t="s">
        <v>980</v>
      </c>
      <c r="T169" t="s">
        <v>981</v>
      </c>
      <c r="U169" t="s">
        <v>60</v>
      </c>
      <c r="V169" t="s">
        <v>61</v>
      </c>
      <c r="W169">
        <v>3</v>
      </c>
      <c r="X169">
        <v>9.5812499999999995E-2</v>
      </c>
      <c r="Y169" t="s">
        <v>471</v>
      </c>
      <c r="Z169" t="s">
        <v>472</v>
      </c>
      <c r="AA169">
        <v>3</v>
      </c>
      <c r="AB169" t="s">
        <v>725</v>
      </c>
      <c r="AC169" t="s">
        <v>726</v>
      </c>
      <c r="AD169" t="s">
        <v>727</v>
      </c>
      <c r="AE169" t="s">
        <v>728</v>
      </c>
      <c r="AF169" t="s">
        <v>729</v>
      </c>
      <c r="AG169" t="s">
        <v>806</v>
      </c>
      <c r="AH169" t="s">
        <v>889</v>
      </c>
      <c r="AI169" t="s">
        <v>66</v>
      </c>
      <c r="AJ169" t="s">
        <v>66</v>
      </c>
      <c r="AK169">
        <v>1</v>
      </c>
      <c r="AL169" t="s">
        <v>807</v>
      </c>
      <c r="AM169" t="s">
        <v>808</v>
      </c>
      <c r="AN169" t="s">
        <v>890</v>
      </c>
      <c r="AO169" t="s">
        <v>66</v>
      </c>
      <c r="AP169">
        <v>1</v>
      </c>
      <c r="AQ169" t="s">
        <v>891</v>
      </c>
      <c r="AR169" t="s">
        <v>892</v>
      </c>
      <c r="AS169" t="s">
        <v>973</v>
      </c>
      <c r="AT169" t="s">
        <v>66</v>
      </c>
    </row>
    <row r="170" spans="1:46" x14ac:dyDescent="0.15">
      <c r="A170" t="s">
        <v>982</v>
      </c>
      <c r="B170" t="s">
        <v>715</v>
      </c>
      <c r="C170" t="s">
        <v>716</v>
      </c>
      <c r="D170">
        <v>63</v>
      </c>
      <c r="E170" t="s">
        <v>717</v>
      </c>
      <c r="F170" t="s">
        <v>718</v>
      </c>
      <c r="G170" t="s">
        <v>51</v>
      </c>
      <c r="H170" t="s">
        <v>719</v>
      </c>
      <c r="I170" t="s">
        <v>720</v>
      </c>
      <c r="J170" t="s">
        <v>721</v>
      </c>
      <c r="K170" t="s">
        <v>55</v>
      </c>
      <c r="L170" t="s">
        <v>16</v>
      </c>
      <c r="M170" t="s">
        <v>19</v>
      </c>
      <c r="N170">
        <v>3980</v>
      </c>
      <c r="O170">
        <v>218</v>
      </c>
      <c r="P170">
        <v>0</v>
      </c>
      <c r="Q170" t="s">
        <v>983</v>
      </c>
      <c r="R170" t="s">
        <v>476</v>
      </c>
      <c r="S170" t="s">
        <v>984</v>
      </c>
      <c r="T170" t="s">
        <v>985</v>
      </c>
      <c r="U170" t="s">
        <v>60</v>
      </c>
      <c r="V170" t="s">
        <v>61</v>
      </c>
      <c r="W170">
        <v>3</v>
      </c>
      <c r="X170">
        <v>9.5812499999999995E-2</v>
      </c>
      <c r="Y170" t="s">
        <v>269</v>
      </c>
      <c r="Z170" t="s">
        <v>478</v>
      </c>
      <c r="AA170">
        <v>3</v>
      </c>
      <c r="AB170" t="s">
        <v>725</v>
      </c>
      <c r="AC170" t="s">
        <v>726</v>
      </c>
      <c r="AD170" t="s">
        <v>727</v>
      </c>
      <c r="AE170" t="s">
        <v>728</v>
      </c>
      <c r="AF170" t="s">
        <v>729</v>
      </c>
      <c r="AG170" t="s">
        <v>806</v>
      </c>
      <c r="AH170" t="s">
        <v>889</v>
      </c>
      <c r="AI170" t="s">
        <v>66</v>
      </c>
      <c r="AJ170" t="s">
        <v>66</v>
      </c>
      <c r="AK170">
        <v>1</v>
      </c>
      <c r="AL170" t="s">
        <v>807</v>
      </c>
      <c r="AM170" t="s">
        <v>808</v>
      </c>
      <c r="AN170" t="s">
        <v>890</v>
      </c>
      <c r="AO170" t="s">
        <v>66</v>
      </c>
      <c r="AP170">
        <v>1</v>
      </c>
      <c r="AQ170" t="s">
        <v>891</v>
      </c>
      <c r="AR170" t="s">
        <v>892</v>
      </c>
      <c r="AS170" t="s">
        <v>973</v>
      </c>
      <c r="AT170" t="s">
        <v>66</v>
      </c>
    </row>
    <row r="171" spans="1:46" x14ac:dyDescent="0.15">
      <c r="A171" t="s">
        <v>986</v>
      </c>
      <c r="B171" t="s">
        <v>715</v>
      </c>
      <c r="C171" t="s">
        <v>716</v>
      </c>
      <c r="D171">
        <v>64</v>
      </c>
      <c r="E171" t="s">
        <v>717</v>
      </c>
      <c r="F171" t="s">
        <v>718</v>
      </c>
      <c r="G171" t="s">
        <v>51</v>
      </c>
      <c r="H171" t="s">
        <v>719</v>
      </c>
      <c r="I171" t="s">
        <v>720</v>
      </c>
      <c r="J171" t="s">
        <v>721</v>
      </c>
      <c r="K171" t="s">
        <v>55</v>
      </c>
      <c r="L171" t="s">
        <v>16</v>
      </c>
      <c r="M171" t="s">
        <v>19</v>
      </c>
      <c r="N171">
        <v>4036</v>
      </c>
      <c r="O171">
        <v>221</v>
      </c>
      <c r="P171">
        <v>0</v>
      </c>
      <c r="Q171" t="s">
        <v>987</v>
      </c>
      <c r="R171" t="s">
        <v>482</v>
      </c>
      <c r="S171" t="s">
        <v>988</v>
      </c>
      <c r="T171" t="s">
        <v>989</v>
      </c>
      <c r="U171" t="s">
        <v>60</v>
      </c>
      <c r="V171" t="s">
        <v>61</v>
      </c>
      <c r="W171">
        <v>3</v>
      </c>
      <c r="X171">
        <v>9.5812499999999995E-2</v>
      </c>
      <c r="Y171" t="s">
        <v>484</v>
      </c>
      <c r="Z171" t="s">
        <v>485</v>
      </c>
      <c r="AA171">
        <v>3</v>
      </c>
      <c r="AB171" t="s">
        <v>725</v>
      </c>
      <c r="AC171" t="s">
        <v>726</v>
      </c>
      <c r="AD171" t="s">
        <v>727</v>
      </c>
      <c r="AE171" t="s">
        <v>728</v>
      </c>
      <c r="AF171" t="s">
        <v>729</v>
      </c>
      <c r="AG171" t="s">
        <v>806</v>
      </c>
      <c r="AH171" t="s">
        <v>889</v>
      </c>
      <c r="AI171" t="s">
        <v>66</v>
      </c>
      <c r="AJ171" t="s">
        <v>66</v>
      </c>
      <c r="AK171">
        <v>1</v>
      </c>
      <c r="AL171" t="s">
        <v>807</v>
      </c>
      <c r="AM171" t="s">
        <v>808</v>
      </c>
      <c r="AN171" t="s">
        <v>890</v>
      </c>
      <c r="AO171" t="s">
        <v>66</v>
      </c>
      <c r="AP171">
        <v>1</v>
      </c>
      <c r="AQ171" t="s">
        <v>891</v>
      </c>
      <c r="AR171" t="s">
        <v>892</v>
      </c>
      <c r="AS171" t="s">
        <v>973</v>
      </c>
      <c r="AT171" t="s">
        <v>66</v>
      </c>
    </row>
    <row r="172" spans="1:46" x14ac:dyDescent="0.15">
      <c r="A172" t="s">
        <v>990</v>
      </c>
      <c r="B172" t="s">
        <v>715</v>
      </c>
      <c r="C172" t="s">
        <v>716</v>
      </c>
      <c r="D172">
        <v>65</v>
      </c>
      <c r="E172" t="s">
        <v>717</v>
      </c>
      <c r="F172" t="s">
        <v>718</v>
      </c>
      <c r="G172" t="s">
        <v>51</v>
      </c>
      <c r="H172" t="s">
        <v>719</v>
      </c>
      <c r="I172" t="s">
        <v>720</v>
      </c>
      <c r="J172" t="s">
        <v>721</v>
      </c>
      <c r="K172" t="s">
        <v>55</v>
      </c>
      <c r="L172" t="s">
        <v>16</v>
      </c>
      <c r="M172" t="s">
        <v>19</v>
      </c>
      <c r="N172">
        <v>4092</v>
      </c>
      <c r="O172">
        <v>224</v>
      </c>
      <c r="P172">
        <v>0</v>
      </c>
      <c r="Q172" t="s">
        <v>991</v>
      </c>
      <c r="R172" t="s">
        <v>489</v>
      </c>
      <c r="S172" t="s">
        <v>992</v>
      </c>
      <c r="T172" t="s">
        <v>993</v>
      </c>
      <c r="U172" t="s">
        <v>60</v>
      </c>
      <c r="V172" t="s">
        <v>61</v>
      </c>
      <c r="W172">
        <v>3</v>
      </c>
      <c r="X172">
        <v>9.5812499999999995E-2</v>
      </c>
      <c r="Y172" t="s">
        <v>275</v>
      </c>
      <c r="Z172" t="s">
        <v>491</v>
      </c>
      <c r="AA172">
        <v>3</v>
      </c>
      <c r="AB172" t="s">
        <v>725</v>
      </c>
      <c r="AC172" t="s">
        <v>726</v>
      </c>
      <c r="AD172" t="s">
        <v>727</v>
      </c>
      <c r="AE172" t="s">
        <v>728</v>
      </c>
      <c r="AF172" t="s">
        <v>729</v>
      </c>
      <c r="AG172" t="s">
        <v>806</v>
      </c>
      <c r="AH172" t="s">
        <v>889</v>
      </c>
      <c r="AI172" t="s">
        <v>66</v>
      </c>
      <c r="AJ172" t="s">
        <v>66</v>
      </c>
      <c r="AK172">
        <v>1</v>
      </c>
      <c r="AL172" t="s">
        <v>807</v>
      </c>
      <c r="AM172" t="s">
        <v>808</v>
      </c>
      <c r="AN172" t="s">
        <v>890</v>
      </c>
      <c r="AO172" t="s">
        <v>66</v>
      </c>
      <c r="AP172">
        <v>1</v>
      </c>
      <c r="AQ172" t="s">
        <v>891</v>
      </c>
      <c r="AR172" t="s">
        <v>892</v>
      </c>
      <c r="AS172" t="s">
        <v>973</v>
      </c>
      <c r="AT172" t="s">
        <v>66</v>
      </c>
    </row>
    <row r="173" spans="1:46" x14ac:dyDescent="0.15">
      <c r="A173" t="s">
        <v>994</v>
      </c>
      <c r="B173" t="s">
        <v>715</v>
      </c>
      <c r="C173" t="s">
        <v>716</v>
      </c>
      <c r="D173">
        <v>66</v>
      </c>
      <c r="E173" t="s">
        <v>717</v>
      </c>
      <c r="F173" t="s">
        <v>718</v>
      </c>
      <c r="G173" t="s">
        <v>51</v>
      </c>
      <c r="H173" t="s">
        <v>719</v>
      </c>
      <c r="I173" t="s">
        <v>720</v>
      </c>
      <c r="J173" t="s">
        <v>721</v>
      </c>
      <c r="K173" t="s">
        <v>55</v>
      </c>
      <c r="L173" t="s">
        <v>16</v>
      </c>
      <c r="M173" t="s">
        <v>19</v>
      </c>
      <c r="N173">
        <v>4148</v>
      </c>
      <c r="O173">
        <v>227</v>
      </c>
      <c r="P173">
        <v>0</v>
      </c>
      <c r="Q173" t="s">
        <v>995</v>
      </c>
      <c r="R173" t="s">
        <v>495</v>
      </c>
      <c r="S173" t="s">
        <v>996</v>
      </c>
      <c r="T173" t="s">
        <v>997</v>
      </c>
      <c r="U173" t="s">
        <v>60</v>
      </c>
      <c r="V173" t="s">
        <v>61</v>
      </c>
      <c r="W173">
        <v>3</v>
      </c>
      <c r="X173">
        <v>9.5812499999999995E-2</v>
      </c>
      <c r="Y173" t="s">
        <v>497</v>
      </c>
      <c r="Z173" t="s">
        <v>498</v>
      </c>
      <c r="AA173">
        <v>3</v>
      </c>
      <c r="AB173" t="s">
        <v>725</v>
      </c>
      <c r="AC173" t="s">
        <v>726</v>
      </c>
      <c r="AD173" t="s">
        <v>727</v>
      </c>
      <c r="AE173" t="s">
        <v>728</v>
      </c>
      <c r="AF173" t="s">
        <v>729</v>
      </c>
      <c r="AG173" t="s">
        <v>806</v>
      </c>
      <c r="AH173" t="s">
        <v>889</v>
      </c>
      <c r="AI173" t="s">
        <v>66</v>
      </c>
      <c r="AJ173" t="s">
        <v>66</v>
      </c>
      <c r="AK173">
        <v>1</v>
      </c>
      <c r="AL173" t="s">
        <v>807</v>
      </c>
      <c r="AM173" t="s">
        <v>808</v>
      </c>
      <c r="AN173" t="s">
        <v>890</v>
      </c>
      <c r="AO173" t="s">
        <v>66</v>
      </c>
      <c r="AP173">
        <v>1</v>
      </c>
      <c r="AQ173" t="s">
        <v>891</v>
      </c>
      <c r="AR173" t="s">
        <v>892</v>
      </c>
      <c r="AS173" t="s">
        <v>973</v>
      </c>
      <c r="AT173" t="s">
        <v>66</v>
      </c>
    </row>
    <row r="174" spans="1:46" x14ac:dyDescent="0.15">
      <c r="A174" t="s">
        <v>998</v>
      </c>
      <c r="B174" t="s">
        <v>715</v>
      </c>
      <c r="C174" t="s">
        <v>716</v>
      </c>
      <c r="D174">
        <v>67</v>
      </c>
      <c r="E174" t="s">
        <v>717</v>
      </c>
      <c r="F174" t="s">
        <v>718</v>
      </c>
      <c r="G174" t="s">
        <v>51</v>
      </c>
      <c r="H174" t="s">
        <v>719</v>
      </c>
      <c r="I174" t="s">
        <v>720</v>
      </c>
      <c r="J174" t="s">
        <v>721</v>
      </c>
      <c r="K174" t="s">
        <v>55</v>
      </c>
      <c r="L174" t="s">
        <v>16</v>
      </c>
      <c r="M174" t="s">
        <v>19</v>
      </c>
      <c r="N174">
        <v>4204</v>
      </c>
      <c r="O174">
        <v>230</v>
      </c>
      <c r="P174">
        <v>0</v>
      </c>
      <c r="Q174" t="s">
        <v>999</v>
      </c>
      <c r="R174" t="s">
        <v>502</v>
      </c>
      <c r="S174" t="s">
        <v>1000</v>
      </c>
      <c r="T174" t="s">
        <v>1001</v>
      </c>
      <c r="U174" t="s">
        <v>60</v>
      </c>
      <c r="V174" t="s">
        <v>61</v>
      </c>
      <c r="W174">
        <v>3</v>
      </c>
      <c r="X174">
        <v>9.5812499999999995E-2</v>
      </c>
      <c r="Y174" t="s">
        <v>282</v>
      </c>
      <c r="Z174" t="s">
        <v>504</v>
      </c>
      <c r="AA174">
        <v>3</v>
      </c>
      <c r="AB174" t="s">
        <v>725</v>
      </c>
      <c r="AC174" t="s">
        <v>726</v>
      </c>
      <c r="AD174" t="s">
        <v>727</v>
      </c>
      <c r="AE174" t="s">
        <v>728</v>
      </c>
      <c r="AF174" t="s">
        <v>729</v>
      </c>
      <c r="AG174" t="s">
        <v>806</v>
      </c>
      <c r="AH174" t="s">
        <v>889</v>
      </c>
      <c r="AI174" t="s">
        <v>66</v>
      </c>
      <c r="AJ174" t="s">
        <v>66</v>
      </c>
      <c r="AK174">
        <v>1</v>
      </c>
      <c r="AL174" t="s">
        <v>807</v>
      </c>
      <c r="AM174" t="s">
        <v>808</v>
      </c>
      <c r="AN174" t="s">
        <v>890</v>
      </c>
      <c r="AO174" t="s">
        <v>66</v>
      </c>
      <c r="AP174">
        <v>1</v>
      </c>
      <c r="AQ174" t="s">
        <v>891</v>
      </c>
      <c r="AR174" t="s">
        <v>892</v>
      </c>
      <c r="AS174" t="s">
        <v>973</v>
      </c>
      <c r="AT174" t="s">
        <v>66</v>
      </c>
    </row>
    <row r="175" spans="1:46" x14ac:dyDescent="0.15">
      <c r="A175" t="s">
        <v>1002</v>
      </c>
      <c r="B175" t="s">
        <v>715</v>
      </c>
      <c r="C175" t="s">
        <v>716</v>
      </c>
      <c r="D175">
        <v>68</v>
      </c>
      <c r="E175" t="s">
        <v>717</v>
      </c>
      <c r="F175" t="s">
        <v>718</v>
      </c>
      <c r="G175" t="s">
        <v>51</v>
      </c>
      <c r="H175" t="s">
        <v>719</v>
      </c>
      <c r="I175" t="s">
        <v>720</v>
      </c>
      <c r="J175" t="s">
        <v>721</v>
      </c>
      <c r="K175" t="s">
        <v>55</v>
      </c>
      <c r="L175" t="s">
        <v>16</v>
      </c>
      <c r="M175" t="s">
        <v>19</v>
      </c>
      <c r="N175">
        <v>4260</v>
      </c>
      <c r="O175">
        <v>233</v>
      </c>
      <c r="P175">
        <v>0</v>
      </c>
      <c r="Q175" t="s">
        <v>1003</v>
      </c>
      <c r="R175" t="s">
        <v>508</v>
      </c>
      <c r="S175" t="s">
        <v>1004</v>
      </c>
      <c r="T175" t="s">
        <v>1005</v>
      </c>
      <c r="U175" t="s">
        <v>60</v>
      </c>
      <c r="V175" t="s">
        <v>61</v>
      </c>
      <c r="W175">
        <v>3</v>
      </c>
      <c r="X175">
        <v>9.5812499999999995E-2</v>
      </c>
      <c r="Y175" t="s">
        <v>510</v>
      </c>
      <c r="Z175" t="s">
        <v>511</v>
      </c>
      <c r="AA175">
        <v>3</v>
      </c>
      <c r="AB175" t="s">
        <v>725</v>
      </c>
      <c r="AC175" t="s">
        <v>726</v>
      </c>
      <c r="AD175" t="s">
        <v>727</v>
      </c>
      <c r="AE175" t="s">
        <v>728</v>
      </c>
      <c r="AF175" t="s">
        <v>729</v>
      </c>
      <c r="AG175" t="s">
        <v>806</v>
      </c>
      <c r="AH175" t="s">
        <v>889</v>
      </c>
      <c r="AI175" t="s">
        <v>66</v>
      </c>
      <c r="AJ175" t="s">
        <v>66</v>
      </c>
      <c r="AK175">
        <v>1</v>
      </c>
      <c r="AL175" t="s">
        <v>807</v>
      </c>
      <c r="AM175" t="s">
        <v>808</v>
      </c>
      <c r="AN175" t="s">
        <v>890</v>
      </c>
      <c r="AO175" t="s">
        <v>66</v>
      </c>
      <c r="AP175">
        <v>1</v>
      </c>
      <c r="AQ175" t="s">
        <v>891</v>
      </c>
      <c r="AR175" t="s">
        <v>892</v>
      </c>
      <c r="AS175" t="s">
        <v>973</v>
      </c>
      <c r="AT175" t="s">
        <v>66</v>
      </c>
    </row>
    <row r="176" spans="1:46" x14ac:dyDescent="0.15">
      <c r="A176" t="s">
        <v>1006</v>
      </c>
      <c r="B176" t="s">
        <v>715</v>
      </c>
      <c r="C176" t="s">
        <v>716</v>
      </c>
      <c r="D176">
        <v>69</v>
      </c>
      <c r="E176" t="s">
        <v>717</v>
      </c>
      <c r="F176" t="s">
        <v>718</v>
      </c>
      <c r="G176" t="s">
        <v>51</v>
      </c>
      <c r="H176" t="s">
        <v>719</v>
      </c>
      <c r="I176" t="s">
        <v>720</v>
      </c>
      <c r="J176" t="s">
        <v>721</v>
      </c>
      <c r="K176" t="s">
        <v>55</v>
      </c>
      <c r="L176" t="s">
        <v>16</v>
      </c>
      <c r="M176" t="s">
        <v>19</v>
      </c>
      <c r="N176">
        <v>4316</v>
      </c>
      <c r="O176">
        <v>236</v>
      </c>
      <c r="P176">
        <v>0</v>
      </c>
      <c r="Q176" t="s">
        <v>1007</v>
      </c>
      <c r="R176" t="s">
        <v>515</v>
      </c>
      <c r="S176" t="s">
        <v>1008</v>
      </c>
      <c r="T176" t="s">
        <v>1009</v>
      </c>
      <c r="U176" t="s">
        <v>60</v>
      </c>
      <c r="V176" t="s">
        <v>61</v>
      </c>
      <c r="W176">
        <v>3</v>
      </c>
      <c r="X176">
        <v>9.5812499999999995E-2</v>
      </c>
      <c r="Y176" t="s">
        <v>288</v>
      </c>
      <c r="Z176" t="s">
        <v>517</v>
      </c>
      <c r="AA176">
        <v>3</v>
      </c>
      <c r="AB176" t="s">
        <v>725</v>
      </c>
      <c r="AC176" t="s">
        <v>726</v>
      </c>
      <c r="AD176" t="s">
        <v>727</v>
      </c>
      <c r="AE176" t="s">
        <v>728</v>
      </c>
      <c r="AF176" t="s">
        <v>729</v>
      </c>
      <c r="AG176" t="s">
        <v>806</v>
      </c>
      <c r="AH176" t="s">
        <v>889</v>
      </c>
      <c r="AI176" t="s">
        <v>66</v>
      </c>
      <c r="AJ176" t="s">
        <v>66</v>
      </c>
      <c r="AK176">
        <v>1</v>
      </c>
      <c r="AL176" t="s">
        <v>807</v>
      </c>
      <c r="AM176" t="s">
        <v>808</v>
      </c>
      <c r="AN176" t="s">
        <v>890</v>
      </c>
      <c r="AO176" t="s">
        <v>66</v>
      </c>
      <c r="AP176">
        <v>1</v>
      </c>
      <c r="AQ176" t="s">
        <v>891</v>
      </c>
      <c r="AR176" t="s">
        <v>892</v>
      </c>
      <c r="AS176" t="s">
        <v>973</v>
      </c>
      <c r="AT176" t="s">
        <v>66</v>
      </c>
    </row>
    <row r="177" spans="1:46" x14ac:dyDescent="0.15">
      <c r="A177" t="s">
        <v>1010</v>
      </c>
      <c r="B177" t="s">
        <v>715</v>
      </c>
      <c r="C177" t="s">
        <v>716</v>
      </c>
      <c r="D177">
        <v>70</v>
      </c>
      <c r="E177" t="s">
        <v>717</v>
      </c>
      <c r="F177" t="s">
        <v>718</v>
      </c>
      <c r="G177" t="s">
        <v>51</v>
      </c>
      <c r="H177" t="s">
        <v>719</v>
      </c>
      <c r="I177" t="s">
        <v>720</v>
      </c>
      <c r="J177" t="s">
        <v>721</v>
      </c>
      <c r="K177" t="s">
        <v>55</v>
      </c>
      <c r="L177" t="s">
        <v>16</v>
      </c>
      <c r="M177" t="s">
        <v>19</v>
      </c>
      <c r="N177">
        <v>4372</v>
      </c>
      <c r="O177">
        <v>239</v>
      </c>
      <c r="P177">
        <v>0</v>
      </c>
      <c r="Q177" t="s">
        <v>1011</v>
      </c>
      <c r="R177" t="s">
        <v>521</v>
      </c>
      <c r="S177" t="s">
        <v>1012</v>
      </c>
      <c r="T177" t="s">
        <v>1013</v>
      </c>
      <c r="U177" t="s">
        <v>60</v>
      </c>
      <c r="V177" t="s">
        <v>61</v>
      </c>
      <c r="W177">
        <v>3</v>
      </c>
      <c r="X177">
        <v>9.5812499999999995E-2</v>
      </c>
      <c r="Y177" t="s">
        <v>523</v>
      </c>
      <c r="Z177" t="s">
        <v>524</v>
      </c>
      <c r="AA177">
        <v>3</v>
      </c>
      <c r="AB177" t="s">
        <v>725</v>
      </c>
      <c r="AC177" t="s">
        <v>726</v>
      </c>
      <c r="AD177" t="s">
        <v>727</v>
      </c>
      <c r="AE177" t="s">
        <v>728</v>
      </c>
      <c r="AF177" t="s">
        <v>729</v>
      </c>
      <c r="AG177" t="s">
        <v>806</v>
      </c>
      <c r="AH177" t="s">
        <v>889</v>
      </c>
      <c r="AI177" t="s">
        <v>66</v>
      </c>
      <c r="AJ177" t="s">
        <v>66</v>
      </c>
      <c r="AK177">
        <v>1</v>
      </c>
      <c r="AL177" t="s">
        <v>807</v>
      </c>
      <c r="AM177" t="s">
        <v>808</v>
      </c>
      <c r="AN177" t="s">
        <v>890</v>
      </c>
      <c r="AO177" t="s">
        <v>66</v>
      </c>
      <c r="AP177">
        <v>1</v>
      </c>
      <c r="AQ177" t="s">
        <v>891</v>
      </c>
      <c r="AR177" t="s">
        <v>892</v>
      </c>
      <c r="AS177" t="s">
        <v>973</v>
      </c>
      <c r="AT177" t="s">
        <v>66</v>
      </c>
    </row>
    <row r="178" spans="1:46" x14ac:dyDescent="0.15">
      <c r="A178" t="s">
        <v>1014</v>
      </c>
      <c r="B178" t="s">
        <v>715</v>
      </c>
      <c r="C178" t="s">
        <v>716</v>
      </c>
      <c r="D178">
        <v>71</v>
      </c>
      <c r="E178" t="s">
        <v>717</v>
      </c>
      <c r="F178" t="s">
        <v>718</v>
      </c>
      <c r="G178" t="s">
        <v>51</v>
      </c>
      <c r="H178" t="s">
        <v>719</v>
      </c>
      <c r="I178" t="s">
        <v>720</v>
      </c>
      <c r="J178" t="s">
        <v>721</v>
      </c>
      <c r="K178" t="s">
        <v>55</v>
      </c>
      <c r="L178" t="s">
        <v>16</v>
      </c>
      <c r="M178" t="s">
        <v>19</v>
      </c>
      <c r="N178">
        <v>4429</v>
      </c>
      <c r="O178">
        <v>242</v>
      </c>
      <c r="P178">
        <v>0</v>
      </c>
      <c r="Q178" t="s">
        <v>1015</v>
      </c>
      <c r="R178" t="s">
        <v>528</v>
      </c>
      <c r="S178" t="s">
        <v>1016</v>
      </c>
      <c r="T178" t="s">
        <v>1017</v>
      </c>
      <c r="U178" t="s">
        <v>60</v>
      </c>
      <c r="V178" t="s">
        <v>61</v>
      </c>
      <c r="W178">
        <v>3</v>
      </c>
      <c r="X178">
        <v>9.5812499999999995E-2</v>
      </c>
      <c r="Y178" t="s">
        <v>295</v>
      </c>
      <c r="Z178" t="s">
        <v>530</v>
      </c>
      <c r="AA178">
        <v>3</v>
      </c>
      <c r="AB178" t="s">
        <v>725</v>
      </c>
      <c r="AC178" t="s">
        <v>726</v>
      </c>
      <c r="AD178" t="s">
        <v>727</v>
      </c>
      <c r="AE178" t="s">
        <v>728</v>
      </c>
      <c r="AF178" t="s">
        <v>729</v>
      </c>
      <c r="AG178" t="s">
        <v>806</v>
      </c>
      <c r="AH178" t="s">
        <v>889</v>
      </c>
      <c r="AI178" t="s">
        <v>66</v>
      </c>
      <c r="AJ178" t="s">
        <v>66</v>
      </c>
      <c r="AK178">
        <v>1</v>
      </c>
      <c r="AL178" t="s">
        <v>807</v>
      </c>
      <c r="AM178" t="s">
        <v>808</v>
      </c>
      <c r="AN178" t="s">
        <v>890</v>
      </c>
      <c r="AO178" t="s">
        <v>66</v>
      </c>
      <c r="AP178">
        <v>1</v>
      </c>
      <c r="AQ178" t="s">
        <v>891</v>
      </c>
      <c r="AR178" t="s">
        <v>892</v>
      </c>
      <c r="AS178" t="s">
        <v>973</v>
      </c>
      <c r="AT178" t="s">
        <v>66</v>
      </c>
    </row>
    <row r="179" spans="1:46" x14ac:dyDescent="0.15">
      <c r="A179" t="s">
        <v>1018</v>
      </c>
      <c r="B179" t="s">
        <v>715</v>
      </c>
      <c r="C179" t="s">
        <v>716</v>
      </c>
      <c r="D179">
        <v>72</v>
      </c>
      <c r="E179" t="s">
        <v>717</v>
      </c>
      <c r="F179" t="s">
        <v>718</v>
      </c>
      <c r="G179" t="s">
        <v>51</v>
      </c>
      <c r="H179" t="s">
        <v>719</v>
      </c>
      <c r="I179" t="s">
        <v>720</v>
      </c>
      <c r="J179" t="s">
        <v>721</v>
      </c>
      <c r="K179" t="s">
        <v>55</v>
      </c>
      <c r="L179" t="s">
        <v>16</v>
      </c>
      <c r="M179" t="s">
        <v>19</v>
      </c>
      <c r="N179">
        <v>4485</v>
      </c>
      <c r="O179">
        <v>245</v>
      </c>
      <c r="P179">
        <v>0</v>
      </c>
      <c r="Q179" t="s">
        <v>1019</v>
      </c>
      <c r="R179" t="s">
        <v>534</v>
      </c>
      <c r="S179" t="s">
        <v>1020</v>
      </c>
      <c r="T179" t="s">
        <v>1021</v>
      </c>
      <c r="U179" t="s">
        <v>60</v>
      </c>
      <c r="V179" t="s">
        <v>61</v>
      </c>
      <c r="W179">
        <v>3</v>
      </c>
      <c r="X179">
        <v>9.5812499999999995E-2</v>
      </c>
      <c r="Y179" t="s">
        <v>536</v>
      </c>
      <c r="Z179" t="s">
        <v>537</v>
      </c>
      <c r="AA179">
        <v>3</v>
      </c>
      <c r="AB179" t="s">
        <v>725</v>
      </c>
      <c r="AC179" t="s">
        <v>726</v>
      </c>
      <c r="AD179" t="s">
        <v>727</v>
      </c>
      <c r="AE179" t="s">
        <v>728</v>
      </c>
      <c r="AF179" t="s">
        <v>729</v>
      </c>
      <c r="AG179" t="s">
        <v>806</v>
      </c>
      <c r="AH179" t="s">
        <v>889</v>
      </c>
      <c r="AI179" t="s">
        <v>66</v>
      </c>
      <c r="AJ179" t="s">
        <v>66</v>
      </c>
      <c r="AK179">
        <v>1</v>
      </c>
      <c r="AL179" t="s">
        <v>807</v>
      </c>
      <c r="AM179" t="s">
        <v>808</v>
      </c>
      <c r="AN179" t="s">
        <v>890</v>
      </c>
      <c r="AO179" t="s">
        <v>66</v>
      </c>
      <c r="AP179">
        <v>1</v>
      </c>
      <c r="AQ179" t="s">
        <v>891</v>
      </c>
      <c r="AR179" t="s">
        <v>892</v>
      </c>
      <c r="AS179" t="s">
        <v>973</v>
      </c>
      <c r="AT179" t="s">
        <v>66</v>
      </c>
    </row>
    <row r="180" spans="1:46" x14ac:dyDescent="0.15">
      <c r="A180" t="s">
        <v>1022</v>
      </c>
      <c r="B180" t="s">
        <v>715</v>
      </c>
      <c r="C180" t="s">
        <v>716</v>
      </c>
      <c r="D180">
        <v>73</v>
      </c>
      <c r="E180" t="s">
        <v>717</v>
      </c>
      <c r="F180" t="s">
        <v>718</v>
      </c>
      <c r="G180" t="s">
        <v>51</v>
      </c>
      <c r="H180" t="s">
        <v>719</v>
      </c>
      <c r="I180" t="s">
        <v>720</v>
      </c>
      <c r="J180" t="s">
        <v>721</v>
      </c>
      <c r="K180" t="s">
        <v>55</v>
      </c>
      <c r="L180" t="s">
        <v>16</v>
      </c>
      <c r="M180" t="s">
        <v>19</v>
      </c>
      <c r="N180">
        <v>4541</v>
      </c>
      <c r="O180">
        <v>248</v>
      </c>
      <c r="P180">
        <v>0</v>
      </c>
      <c r="Q180" t="s">
        <v>1023</v>
      </c>
      <c r="R180" t="s">
        <v>541</v>
      </c>
      <c r="S180" t="s">
        <v>1024</v>
      </c>
      <c r="T180" t="s">
        <v>1025</v>
      </c>
      <c r="U180" t="s">
        <v>60</v>
      </c>
      <c r="V180" t="s">
        <v>61</v>
      </c>
      <c r="W180">
        <v>3</v>
      </c>
      <c r="X180">
        <v>9.5812499999999995E-2</v>
      </c>
      <c r="Y180" t="s">
        <v>301</v>
      </c>
      <c r="Z180" t="s">
        <v>543</v>
      </c>
      <c r="AA180">
        <v>3</v>
      </c>
      <c r="AB180" t="s">
        <v>725</v>
      </c>
      <c r="AC180" t="s">
        <v>726</v>
      </c>
      <c r="AD180" t="s">
        <v>727</v>
      </c>
      <c r="AE180" t="s">
        <v>728</v>
      </c>
      <c r="AF180" t="s">
        <v>729</v>
      </c>
      <c r="AG180" t="s">
        <v>806</v>
      </c>
      <c r="AH180" t="s">
        <v>889</v>
      </c>
      <c r="AI180" t="s">
        <v>66</v>
      </c>
      <c r="AJ180" t="s">
        <v>66</v>
      </c>
      <c r="AK180">
        <v>1</v>
      </c>
      <c r="AL180" t="s">
        <v>807</v>
      </c>
      <c r="AM180" t="s">
        <v>808</v>
      </c>
      <c r="AN180" t="s">
        <v>890</v>
      </c>
      <c r="AO180" t="s">
        <v>66</v>
      </c>
      <c r="AP180">
        <v>1</v>
      </c>
      <c r="AQ180" t="s">
        <v>891</v>
      </c>
      <c r="AR180" t="s">
        <v>892</v>
      </c>
      <c r="AS180" t="s">
        <v>973</v>
      </c>
      <c r="AT180" t="s">
        <v>66</v>
      </c>
    </row>
    <row r="181" spans="1:46" x14ac:dyDescent="0.15">
      <c r="A181" t="s">
        <v>1026</v>
      </c>
      <c r="B181" t="s">
        <v>715</v>
      </c>
      <c r="C181" t="s">
        <v>716</v>
      </c>
      <c r="D181">
        <v>74</v>
      </c>
      <c r="E181" t="s">
        <v>717</v>
      </c>
      <c r="F181" t="s">
        <v>718</v>
      </c>
      <c r="G181" t="s">
        <v>51</v>
      </c>
      <c r="H181" t="s">
        <v>719</v>
      </c>
      <c r="I181" t="s">
        <v>720</v>
      </c>
      <c r="J181" t="s">
        <v>721</v>
      </c>
      <c r="K181" t="s">
        <v>55</v>
      </c>
      <c r="L181" t="s">
        <v>16</v>
      </c>
      <c r="M181" t="s">
        <v>19</v>
      </c>
      <c r="N181">
        <v>4597</v>
      </c>
      <c r="O181">
        <v>251</v>
      </c>
      <c r="P181">
        <v>0</v>
      </c>
      <c r="Q181" t="s">
        <v>1027</v>
      </c>
      <c r="R181" t="s">
        <v>547</v>
      </c>
      <c r="S181" t="s">
        <v>1028</v>
      </c>
      <c r="T181" t="s">
        <v>1029</v>
      </c>
      <c r="U181" t="s">
        <v>60</v>
      </c>
      <c r="V181" t="s">
        <v>61</v>
      </c>
      <c r="W181">
        <v>3</v>
      </c>
      <c r="X181">
        <v>9.5812499999999995E-2</v>
      </c>
      <c r="Y181" t="s">
        <v>549</v>
      </c>
      <c r="Z181" t="s">
        <v>550</v>
      </c>
      <c r="AA181">
        <v>3</v>
      </c>
      <c r="AB181" t="s">
        <v>725</v>
      </c>
      <c r="AC181" t="s">
        <v>726</v>
      </c>
      <c r="AD181" t="s">
        <v>727</v>
      </c>
      <c r="AE181" t="s">
        <v>728</v>
      </c>
      <c r="AF181" t="s">
        <v>729</v>
      </c>
      <c r="AG181" t="s">
        <v>806</v>
      </c>
      <c r="AH181" t="s">
        <v>889</v>
      </c>
      <c r="AI181" t="s">
        <v>66</v>
      </c>
      <c r="AJ181" t="s">
        <v>66</v>
      </c>
      <c r="AK181">
        <v>1</v>
      </c>
      <c r="AL181" t="s">
        <v>807</v>
      </c>
      <c r="AM181" t="s">
        <v>808</v>
      </c>
      <c r="AN181" t="s">
        <v>890</v>
      </c>
      <c r="AO181" t="s">
        <v>66</v>
      </c>
      <c r="AP181">
        <v>1</v>
      </c>
      <c r="AQ181" t="s">
        <v>891</v>
      </c>
      <c r="AR181" t="s">
        <v>892</v>
      </c>
      <c r="AS181" t="s">
        <v>973</v>
      </c>
      <c r="AT181" t="s">
        <v>66</v>
      </c>
    </row>
    <row r="182" spans="1:46" x14ac:dyDescent="0.15">
      <c r="A182" t="s">
        <v>1030</v>
      </c>
      <c r="B182" t="s">
        <v>715</v>
      </c>
      <c r="C182" t="s">
        <v>716</v>
      </c>
      <c r="D182">
        <v>75</v>
      </c>
      <c r="E182" t="s">
        <v>717</v>
      </c>
      <c r="F182" t="s">
        <v>718</v>
      </c>
      <c r="G182" t="s">
        <v>51</v>
      </c>
      <c r="H182" t="s">
        <v>719</v>
      </c>
      <c r="I182" t="s">
        <v>720</v>
      </c>
      <c r="J182" t="s">
        <v>721</v>
      </c>
      <c r="K182" t="s">
        <v>55</v>
      </c>
      <c r="L182" t="s">
        <v>16</v>
      </c>
      <c r="M182" t="s">
        <v>19</v>
      </c>
      <c r="N182">
        <v>4653</v>
      </c>
      <c r="O182">
        <v>254</v>
      </c>
      <c r="P182">
        <v>0</v>
      </c>
      <c r="Q182" t="s">
        <v>1031</v>
      </c>
      <c r="R182" t="s">
        <v>554</v>
      </c>
      <c r="S182" t="s">
        <v>1032</v>
      </c>
      <c r="T182" t="s">
        <v>1033</v>
      </c>
      <c r="U182" t="s">
        <v>60</v>
      </c>
      <c r="V182" t="s">
        <v>61</v>
      </c>
      <c r="W182">
        <v>3</v>
      </c>
      <c r="X182">
        <v>9.5812499999999995E-2</v>
      </c>
      <c r="Y182" t="s">
        <v>308</v>
      </c>
      <c r="Z182" t="s">
        <v>556</v>
      </c>
      <c r="AA182">
        <v>3</v>
      </c>
      <c r="AB182" t="s">
        <v>725</v>
      </c>
      <c r="AC182" t="s">
        <v>726</v>
      </c>
      <c r="AD182" t="s">
        <v>727</v>
      </c>
      <c r="AE182" t="s">
        <v>728</v>
      </c>
      <c r="AF182" t="s">
        <v>729</v>
      </c>
      <c r="AG182" t="s">
        <v>806</v>
      </c>
      <c r="AH182" t="s">
        <v>889</v>
      </c>
      <c r="AI182" t="s">
        <v>66</v>
      </c>
      <c r="AJ182" t="s">
        <v>66</v>
      </c>
      <c r="AK182">
        <v>1</v>
      </c>
      <c r="AL182" t="s">
        <v>807</v>
      </c>
      <c r="AM182" t="s">
        <v>808</v>
      </c>
      <c r="AN182" t="s">
        <v>890</v>
      </c>
      <c r="AO182" t="s">
        <v>66</v>
      </c>
      <c r="AP182">
        <v>1</v>
      </c>
      <c r="AQ182" t="s">
        <v>891</v>
      </c>
      <c r="AR182" t="s">
        <v>892</v>
      </c>
      <c r="AS182" t="s">
        <v>973</v>
      </c>
      <c r="AT182" t="s">
        <v>66</v>
      </c>
    </row>
    <row r="183" spans="1:46" x14ac:dyDescent="0.15">
      <c r="A183" t="s">
        <v>1034</v>
      </c>
      <c r="B183" t="s">
        <v>715</v>
      </c>
      <c r="C183" t="s">
        <v>716</v>
      </c>
      <c r="D183">
        <v>76</v>
      </c>
      <c r="E183" t="s">
        <v>717</v>
      </c>
      <c r="F183" t="s">
        <v>718</v>
      </c>
      <c r="G183" t="s">
        <v>51</v>
      </c>
      <c r="H183" t="s">
        <v>719</v>
      </c>
      <c r="I183" t="s">
        <v>720</v>
      </c>
      <c r="J183" t="s">
        <v>721</v>
      </c>
      <c r="K183" t="s">
        <v>55</v>
      </c>
      <c r="L183" t="s">
        <v>16</v>
      </c>
      <c r="M183" t="s">
        <v>19</v>
      </c>
      <c r="N183">
        <v>4709</v>
      </c>
      <c r="O183">
        <v>257</v>
      </c>
      <c r="P183">
        <v>0</v>
      </c>
      <c r="Q183" t="s">
        <v>1035</v>
      </c>
      <c r="R183" t="s">
        <v>560</v>
      </c>
      <c r="S183" t="s">
        <v>1036</v>
      </c>
      <c r="T183" t="s">
        <v>1037</v>
      </c>
      <c r="U183" t="s">
        <v>60</v>
      </c>
      <c r="V183" t="s">
        <v>61</v>
      </c>
      <c r="W183">
        <v>3</v>
      </c>
      <c r="X183">
        <v>9.5812499999999995E-2</v>
      </c>
      <c r="Y183" t="s">
        <v>562</v>
      </c>
      <c r="Z183" t="s">
        <v>563</v>
      </c>
      <c r="AA183">
        <v>3</v>
      </c>
      <c r="AB183" t="s">
        <v>725</v>
      </c>
      <c r="AC183" t="s">
        <v>726</v>
      </c>
      <c r="AD183" t="s">
        <v>727</v>
      </c>
      <c r="AE183" t="s">
        <v>728</v>
      </c>
      <c r="AF183" t="s">
        <v>729</v>
      </c>
      <c r="AG183" t="s">
        <v>806</v>
      </c>
      <c r="AH183" t="s">
        <v>889</v>
      </c>
      <c r="AI183" t="s">
        <v>66</v>
      </c>
      <c r="AJ183" t="s">
        <v>66</v>
      </c>
      <c r="AK183">
        <v>1</v>
      </c>
      <c r="AL183" t="s">
        <v>807</v>
      </c>
      <c r="AM183" t="s">
        <v>808</v>
      </c>
      <c r="AN183" t="s">
        <v>890</v>
      </c>
      <c r="AO183" t="s">
        <v>66</v>
      </c>
      <c r="AP183">
        <v>1</v>
      </c>
      <c r="AQ183" t="s">
        <v>891</v>
      </c>
      <c r="AR183" t="s">
        <v>892</v>
      </c>
      <c r="AS183" t="s">
        <v>973</v>
      </c>
      <c r="AT183" t="s">
        <v>66</v>
      </c>
    </row>
    <row r="184" spans="1:46" x14ac:dyDescent="0.15">
      <c r="A184" t="s">
        <v>1038</v>
      </c>
      <c r="B184" t="s">
        <v>715</v>
      </c>
      <c r="C184" t="s">
        <v>716</v>
      </c>
      <c r="D184">
        <v>77</v>
      </c>
      <c r="E184" t="s">
        <v>717</v>
      </c>
      <c r="F184" t="s">
        <v>718</v>
      </c>
      <c r="G184" t="s">
        <v>51</v>
      </c>
      <c r="H184" t="s">
        <v>719</v>
      </c>
      <c r="I184" t="s">
        <v>720</v>
      </c>
      <c r="J184" t="s">
        <v>721</v>
      </c>
      <c r="K184" t="s">
        <v>55</v>
      </c>
      <c r="L184" t="s">
        <v>16</v>
      </c>
      <c r="M184" t="s">
        <v>19</v>
      </c>
      <c r="N184">
        <v>4765</v>
      </c>
      <c r="O184">
        <v>261</v>
      </c>
      <c r="P184">
        <v>0</v>
      </c>
      <c r="Q184" t="s">
        <v>1039</v>
      </c>
      <c r="R184" t="s">
        <v>567</v>
      </c>
      <c r="S184" t="s">
        <v>1040</v>
      </c>
      <c r="T184" t="s">
        <v>1041</v>
      </c>
      <c r="U184" t="s">
        <v>60</v>
      </c>
      <c r="V184" t="s">
        <v>61</v>
      </c>
      <c r="W184">
        <v>3</v>
      </c>
      <c r="X184">
        <v>9.5812499999999995E-2</v>
      </c>
      <c r="Y184" t="s">
        <v>314</v>
      </c>
      <c r="Z184" t="s">
        <v>569</v>
      </c>
      <c r="AA184">
        <v>3</v>
      </c>
      <c r="AB184" t="s">
        <v>725</v>
      </c>
      <c r="AC184" t="s">
        <v>726</v>
      </c>
      <c r="AD184" t="s">
        <v>727</v>
      </c>
      <c r="AE184" t="s">
        <v>728</v>
      </c>
      <c r="AF184" t="s">
        <v>729</v>
      </c>
      <c r="AG184" t="s">
        <v>806</v>
      </c>
      <c r="AH184" t="s">
        <v>889</v>
      </c>
      <c r="AI184" t="s">
        <v>66</v>
      </c>
      <c r="AJ184" t="s">
        <v>66</v>
      </c>
      <c r="AK184">
        <v>1</v>
      </c>
      <c r="AL184" t="s">
        <v>807</v>
      </c>
      <c r="AM184" t="s">
        <v>808</v>
      </c>
      <c r="AN184" t="s">
        <v>890</v>
      </c>
      <c r="AO184" t="s">
        <v>66</v>
      </c>
      <c r="AP184">
        <v>1</v>
      </c>
      <c r="AQ184" t="s">
        <v>891</v>
      </c>
      <c r="AR184" t="s">
        <v>892</v>
      </c>
      <c r="AS184" t="s">
        <v>973</v>
      </c>
      <c r="AT184" t="s">
        <v>66</v>
      </c>
    </row>
    <row r="185" spans="1:46" x14ac:dyDescent="0.15">
      <c r="A185" t="s">
        <v>1042</v>
      </c>
      <c r="B185" t="s">
        <v>715</v>
      </c>
      <c r="C185" t="s">
        <v>716</v>
      </c>
      <c r="D185">
        <v>78</v>
      </c>
      <c r="E185" t="s">
        <v>717</v>
      </c>
      <c r="F185" t="s">
        <v>718</v>
      </c>
      <c r="G185" t="s">
        <v>51</v>
      </c>
      <c r="H185" t="s">
        <v>719</v>
      </c>
      <c r="I185" t="s">
        <v>720</v>
      </c>
      <c r="J185" t="s">
        <v>721</v>
      </c>
      <c r="K185" t="s">
        <v>55</v>
      </c>
      <c r="L185" t="s">
        <v>16</v>
      </c>
      <c r="M185" t="s">
        <v>19</v>
      </c>
      <c r="N185">
        <v>4821</v>
      </c>
      <c r="O185">
        <v>264</v>
      </c>
      <c r="P185">
        <v>0</v>
      </c>
      <c r="Q185" t="s">
        <v>1043</v>
      </c>
      <c r="R185" t="s">
        <v>573</v>
      </c>
      <c r="S185" t="s">
        <v>1044</v>
      </c>
      <c r="T185" t="s">
        <v>1045</v>
      </c>
      <c r="U185" t="s">
        <v>60</v>
      </c>
      <c r="V185" t="s">
        <v>61</v>
      </c>
      <c r="W185">
        <v>3</v>
      </c>
      <c r="X185">
        <v>9.5812499999999995E-2</v>
      </c>
      <c r="Y185" t="s">
        <v>575</v>
      </c>
      <c r="Z185" t="s">
        <v>576</v>
      </c>
      <c r="AA185">
        <v>3</v>
      </c>
      <c r="AB185" t="s">
        <v>725</v>
      </c>
      <c r="AC185" t="s">
        <v>726</v>
      </c>
      <c r="AD185" t="s">
        <v>727</v>
      </c>
      <c r="AE185" t="s">
        <v>728</v>
      </c>
      <c r="AF185" t="s">
        <v>729</v>
      </c>
      <c r="AG185" t="s">
        <v>806</v>
      </c>
      <c r="AH185" t="s">
        <v>889</v>
      </c>
      <c r="AI185" t="s">
        <v>66</v>
      </c>
      <c r="AJ185" t="s">
        <v>66</v>
      </c>
      <c r="AK185">
        <v>1</v>
      </c>
      <c r="AL185" t="s">
        <v>807</v>
      </c>
      <c r="AM185" t="s">
        <v>808</v>
      </c>
      <c r="AN185" t="s">
        <v>890</v>
      </c>
      <c r="AO185" t="s">
        <v>66</v>
      </c>
      <c r="AP185">
        <v>1</v>
      </c>
      <c r="AQ185" t="s">
        <v>891</v>
      </c>
      <c r="AR185" t="s">
        <v>892</v>
      </c>
      <c r="AS185" t="s">
        <v>973</v>
      </c>
      <c r="AT185" t="s">
        <v>66</v>
      </c>
    </row>
    <row r="186" spans="1:46" x14ac:dyDescent="0.15">
      <c r="A186" t="s">
        <v>1046</v>
      </c>
      <c r="B186" t="s">
        <v>715</v>
      </c>
      <c r="C186" t="s">
        <v>716</v>
      </c>
      <c r="D186">
        <v>79</v>
      </c>
      <c r="E186" t="s">
        <v>717</v>
      </c>
      <c r="F186" t="s">
        <v>718</v>
      </c>
      <c r="G186" t="s">
        <v>51</v>
      </c>
      <c r="H186" t="s">
        <v>719</v>
      </c>
      <c r="I186" t="s">
        <v>720</v>
      </c>
      <c r="J186" t="s">
        <v>721</v>
      </c>
      <c r="K186" t="s">
        <v>55</v>
      </c>
      <c r="L186" t="s">
        <v>16</v>
      </c>
      <c r="M186" t="s">
        <v>19</v>
      </c>
      <c r="N186">
        <v>4878</v>
      </c>
      <c r="O186">
        <v>267</v>
      </c>
      <c r="P186">
        <v>0</v>
      </c>
      <c r="Q186" t="s">
        <v>1047</v>
      </c>
      <c r="R186" t="s">
        <v>580</v>
      </c>
      <c r="S186" t="s">
        <v>1048</v>
      </c>
      <c r="T186" t="s">
        <v>1049</v>
      </c>
      <c r="U186" t="s">
        <v>60</v>
      </c>
      <c r="V186" t="s">
        <v>61</v>
      </c>
      <c r="W186">
        <v>3</v>
      </c>
      <c r="X186">
        <v>9.5812499999999995E-2</v>
      </c>
      <c r="Y186" t="s">
        <v>321</v>
      </c>
      <c r="Z186" t="s">
        <v>582</v>
      </c>
      <c r="AA186">
        <v>3</v>
      </c>
      <c r="AB186" t="s">
        <v>725</v>
      </c>
      <c r="AC186" t="s">
        <v>726</v>
      </c>
      <c r="AD186" t="s">
        <v>727</v>
      </c>
      <c r="AE186" t="s">
        <v>728</v>
      </c>
      <c r="AF186" t="s">
        <v>729</v>
      </c>
      <c r="AG186" t="s">
        <v>806</v>
      </c>
      <c r="AH186" t="s">
        <v>889</v>
      </c>
      <c r="AI186" t="s">
        <v>66</v>
      </c>
      <c r="AJ186" t="s">
        <v>66</v>
      </c>
      <c r="AK186">
        <v>1</v>
      </c>
      <c r="AL186" t="s">
        <v>807</v>
      </c>
      <c r="AM186" t="s">
        <v>808</v>
      </c>
      <c r="AN186" t="s">
        <v>890</v>
      </c>
      <c r="AO186" t="s">
        <v>66</v>
      </c>
      <c r="AP186">
        <v>1</v>
      </c>
      <c r="AQ186" t="s">
        <v>891</v>
      </c>
      <c r="AR186" t="s">
        <v>892</v>
      </c>
      <c r="AS186" t="s">
        <v>973</v>
      </c>
      <c r="AT186" t="s">
        <v>66</v>
      </c>
    </row>
    <row r="187" spans="1:46" x14ac:dyDescent="0.15">
      <c r="A187" t="s">
        <v>1050</v>
      </c>
      <c r="B187" t="s">
        <v>715</v>
      </c>
      <c r="C187" t="s">
        <v>716</v>
      </c>
      <c r="D187">
        <v>80</v>
      </c>
      <c r="E187" t="s">
        <v>717</v>
      </c>
      <c r="F187" t="s">
        <v>718</v>
      </c>
      <c r="G187" t="s">
        <v>51</v>
      </c>
      <c r="H187" t="s">
        <v>719</v>
      </c>
      <c r="I187" t="s">
        <v>720</v>
      </c>
      <c r="J187" t="s">
        <v>721</v>
      </c>
      <c r="K187" t="s">
        <v>55</v>
      </c>
      <c r="L187" t="s">
        <v>16</v>
      </c>
      <c r="M187" t="s">
        <v>19</v>
      </c>
      <c r="N187">
        <v>4934</v>
      </c>
      <c r="O187">
        <v>270</v>
      </c>
      <c r="P187">
        <v>0</v>
      </c>
      <c r="Q187" t="s">
        <v>1051</v>
      </c>
      <c r="R187" t="s">
        <v>586</v>
      </c>
      <c r="S187" t="s">
        <v>1052</v>
      </c>
      <c r="T187" t="s">
        <v>1053</v>
      </c>
      <c r="U187" t="s">
        <v>60</v>
      </c>
      <c r="V187" t="s">
        <v>61</v>
      </c>
      <c r="W187">
        <v>3</v>
      </c>
      <c r="X187">
        <v>9.5812499999999995E-2</v>
      </c>
      <c r="Y187" t="s">
        <v>588</v>
      </c>
      <c r="Z187" t="s">
        <v>589</v>
      </c>
      <c r="AA187">
        <v>3</v>
      </c>
      <c r="AB187" t="s">
        <v>725</v>
      </c>
      <c r="AC187" t="s">
        <v>726</v>
      </c>
      <c r="AD187" t="s">
        <v>727</v>
      </c>
      <c r="AE187" t="s">
        <v>728</v>
      </c>
      <c r="AF187" t="s">
        <v>729</v>
      </c>
      <c r="AG187" t="s">
        <v>806</v>
      </c>
      <c r="AH187" t="s">
        <v>889</v>
      </c>
      <c r="AI187" t="s">
        <v>66</v>
      </c>
      <c r="AJ187" t="s">
        <v>66</v>
      </c>
      <c r="AK187">
        <v>1</v>
      </c>
      <c r="AL187" t="s">
        <v>807</v>
      </c>
      <c r="AM187" t="s">
        <v>808</v>
      </c>
      <c r="AN187" t="s">
        <v>890</v>
      </c>
      <c r="AO187" t="s">
        <v>66</v>
      </c>
      <c r="AP187">
        <v>1</v>
      </c>
      <c r="AQ187" t="s">
        <v>891</v>
      </c>
      <c r="AR187" t="s">
        <v>892</v>
      </c>
      <c r="AS187" t="s">
        <v>973</v>
      </c>
      <c r="AT187" t="s">
        <v>66</v>
      </c>
    </row>
    <row r="188" spans="1:46" x14ac:dyDescent="0.15">
      <c r="A188" t="s">
        <v>1050</v>
      </c>
      <c r="B188" t="s">
        <v>715</v>
      </c>
      <c r="C188" t="s">
        <v>716</v>
      </c>
      <c r="D188">
        <v>80</v>
      </c>
      <c r="E188" t="s">
        <v>717</v>
      </c>
      <c r="F188" t="s">
        <v>718</v>
      </c>
      <c r="G188" t="s">
        <v>51</v>
      </c>
      <c r="H188" t="s">
        <v>719</v>
      </c>
      <c r="I188" t="s">
        <v>720</v>
      </c>
      <c r="J188" t="s">
        <v>721</v>
      </c>
      <c r="K188" t="s">
        <v>55</v>
      </c>
      <c r="L188" t="s">
        <v>16</v>
      </c>
      <c r="M188" t="s">
        <v>19</v>
      </c>
      <c r="N188">
        <v>4934</v>
      </c>
      <c r="O188">
        <v>270</v>
      </c>
      <c r="P188">
        <v>0</v>
      </c>
      <c r="Q188" t="s">
        <v>1051</v>
      </c>
      <c r="R188" t="s">
        <v>586</v>
      </c>
      <c r="S188" t="s">
        <v>1052</v>
      </c>
      <c r="T188" t="s">
        <v>1053</v>
      </c>
      <c r="U188" t="s">
        <v>60</v>
      </c>
      <c r="V188" t="s">
        <v>61</v>
      </c>
      <c r="W188">
        <v>3</v>
      </c>
      <c r="X188">
        <v>9.5812499999999995E-2</v>
      </c>
      <c r="Y188" t="s">
        <v>588</v>
      </c>
      <c r="Z188" t="s">
        <v>589</v>
      </c>
      <c r="AA188">
        <v>4</v>
      </c>
      <c r="AB188" t="s">
        <v>725</v>
      </c>
      <c r="AC188" t="s">
        <v>726</v>
      </c>
      <c r="AD188" t="s">
        <v>727</v>
      </c>
      <c r="AE188" t="s">
        <v>728</v>
      </c>
      <c r="AF188" t="s">
        <v>729</v>
      </c>
      <c r="AG188" t="s">
        <v>806</v>
      </c>
      <c r="AH188" t="s">
        <v>889</v>
      </c>
      <c r="AI188" t="s">
        <v>1054</v>
      </c>
      <c r="AJ188" t="s">
        <v>889</v>
      </c>
      <c r="AK188">
        <v>1</v>
      </c>
      <c r="AL188" t="s">
        <v>807</v>
      </c>
      <c r="AM188" t="s">
        <v>808</v>
      </c>
      <c r="AN188" t="s">
        <v>890</v>
      </c>
      <c r="AO188" t="s">
        <v>66</v>
      </c>
      <c r="AP188">
        <v>1</v>
      </c>
      <c r="AQ188" t="s">
        <v>891</v>
      </c>
      <c r="AR188" t="s">
        <v>892</v>
      </c>
      <c r="AS188" t="s">
        <v>973</v>
      </c>
      <c r="AT188" t="s">
        <v>66</v>
      </c>
    </row>
    <row r="189" spans="1:46" x14ac:dyDescent="0.15">
      <c r="A189" t="s">
        <v>1055</v>
      </c>
      <c r="B189" t="s">
        <v>715</v>
      </c>
      <c r="C189" t="s">
        <v>716</v>
      </c>
      <c r="D189">
        <v>81</v>
      </c>
      <c r="E189" t="s">
        <v>717</v>
      </c>
      <c r="F189" t="s">
        <v>718</v>
      </c>
      <c r="G189" t="s">
        <v>51</v>
      </c>
      <c r="H189" t="s">
        <v>719</v>
      </c>
      <c r="I189" t="s">
        <v>720</v>
      </c>
      <c r="J189" t="s">
        <v>721</v>
      </c>
      <c r="K189" t="s">
        <v>55</v>
      </c>
      <c r="L189" t="s">
        <v>16</v>
      </c>
      <c r="M189" t="s">
        <v>19</v>
      </c>
      <c r="N189">
        <v>4990</v>
      </c>
      <c r="O189">
        <v>273</v>
      </c>
      <c r="P189">
        <v>0</v>
      </c>
      <c r="Q189" t="s">
        <v>1056</v>
      </c>
      <c r="R189" t="s">
        <v>594</v>
      </c>
      <c r="S189" t="s">
        <v>1057</v>
      </c>
      <c r="T189" t="s">
        <v>1058</v>
      </c>
      <c r="U189" t="s">
        <v>60</v>
      </c>
      <c r="V189" t="s">
        <v>61</v>
      </c>
      <c r="W189">
        <v>3</v>
      </c>
      <c r="X189">
        <v>9.5812499999999995E-2</v>
      </c>
      <c r="Y189" t="s">
        <v>330</v>
      </c>
      <c r="Z189" t="s">
        <v>596</v>
      </c>
      <c r="AA189">
        <v>4</v>
      </c>
      <c r="AB189" t="s">
        <v>725</v>
      </c>
      <c r="AC189" t="s">
        <v>726</v>
      </c>
      <c r="AD189" t="s">
        <v>727</v>
      </c>
      <c r="AE189" t="s">
        <v>728</v>
      </c>
      <c r="AF189" t="s">
        <v>729</v>
      </c>
      <c r="AG189" t="s">
        <v>806</v>
      </c>
      <c r="AH189" t="s">
        <v>889</v>
      </c>
      <c r="AI189" t="s">
        <v>1054</v>
      </c>
      <c r="AJ189" t="s">
        <v>889</v>
      </c>
      <c r="AK189">
        <v>1</v>
      </c>
      <c r="AL189" t="s">
        <v>807</v>
      </c>
      <c r="AM189" t="s">
        <v>808</v>
      </c>
      <c r="AN189" t="s">
        <v>890</v>
      </c>
      <c r="AO189" t="s">
        <v>66</v>
      </c>
      <c r="AP189">
        <v>1</v>
      </c>
      <c r="AQ189" t="s">
        <v>891</v>
      </c>
      <c r="AR189" t="s">
        <v>892</v>
      </c>
      <c r="AS189" t="s">
        <v>973</v>
      </c>
      <c r="AT189" t="s">
        <v>66</v>
      </c>
    </row>
    <row r="190" spans="1:46" x14ac:dyDescent="0.15">
      <c r="A190" t="s">
        <v>1059</v>
      </c>
      <c r="B190" t="s">
        <v>715</v>
      </c>
      <c r="C190" t="s">
        <v>716</v>
      </c>
      <c r="D190">
        <v>82</v>
      </c>
      <c r="E190" t="s">
        <v>717</v>
      </c>
      <c r="F190" t="s">
        <v>718</v>
      </c>
      <c r="G190" t="s">
        <v>51</v>
      </c>
      <c r="H190" t="s">
        <v>719</v>
      </c>
      <c r="I190" t="s">
        <v>720</v>
      </c>
      <c r="J190" t="s">
        <v>721</v>
      </c>
      <c r="K190" t="s">
        <v>55</v>
      </c>
      <c r="L190" t="s">
        <v>16</v>
      </c>
      <c r="M190" t="s">
        <v>19</v>
      </c>
      <c r="N190">
        <v>5046</v>
      </c>
      <c r="O190">
        <v>276</v>
      </c>
      <c r="P190">
        <v>0</v>
      </c>
      <c r="Q190" t="s">
        <v>1060</v>
      </c>
      <c r="R190" t="s">
        <v>600</v>
      </c>
      <c r="S190" t="s">
        <v>1061</v>
      </c>
      <c r="T190" t="s">
        <v>1062</v>
      </c>
      <c r="U190" t="s">
        <v>60</v>
      </c>
      <c r="V190" t="s">
        <v>61</v>
      </c>
      <c r="W190">
        <v>3</v>
      </c>
      <c r="X190">
        <v>9.5812499999999995E-2</v>
      </c>
      <c r="Y190" t="s">
        <v>602</v>
      </c>
      <c r="Z190" t="s">
        <v>603</v>
      </c>
      <c r="AA190">
        <v>4</v>
      </c>
      <c r="AB190" t="s">
        <v>725</v>
      </c>
      <c r="AC190" t="s">
        <v>726</v>
      </c>
      <c r="AD190" t="s">
        <v>727</v>
      </c>
      <c r="AE190" t="s">
        <v>728</v>
      </c>
      <c r="AF190" t="s">
        <v>729</v>
      </c>
      <c r="AG190" t="s">
        <v>806</v>
      </c>
      <c r="AH190" t="s">
        <v>889</v>
      </c>
      <c r="AI190" t="s">
        <v>1054</v>
      </c>
      <c r="AJ190" t="s">
        <v>889</v>
      </c>
      <c r="AK190">
        <v>1</v>
      </c>
      <c r="AL190" t="s">
        <v>807</v>
      </c>
      <c r="AM190" t="s">
        <v>808</v>
      </c>
      <c r="AN190" t="s">
        <v>890</v>
      </c>
      <c r="AO190" t="s">
        <v>66</v>
      </c>
      <c r="AP190">
        <v>1</v>
      </c>
      <c r="AQ190" t="s">
        <v>891</v>
      </c>
      <c r="AR190" t="s">
        <v>892</v>
      </c>
      <c r="AS190" t="s">
        <v>973</v>
      </c>
      <c r="AT190" t="s">
        <v>66</v>
      </c>
    </row>
    <row r="191" spans="1:46" x14ac:dyDescent="0.15">
      <c r="A191" t="s">
        <v>1063</v>
      </c>
      <c r="B191" t="s">
        <v>715</v>
      </c>
      <c r="C191" t="s">
        <v>716</v>
      </c>
      <c r="D191">
        <v>83</v>
      </c>
      <c r="E191" t="s">
        <v>717</v>
      </c>
      <c r="F191" t="s">
        <v>718</v>
      </c>
      <c r="G191" t="s">
        <v>51</v>
      </c>
      <c r="H191" t="s">
        <v>719</v>
      </c>
      <c r="I191" t="s">
        <v>720</v>
      </c>
      <c r="J191" t="s">
        <v>721</v>
      </c>
      <c r="K191" t="s">
        <v>55</v>
      </c>
      <c r="L191" t="s">
        <v>16</v>
      </c>
      <c r="M191" t="s">
        <v>19</v>
      </c>
      <c r="N191">
        <v>5102</v>
      </c>
      <c r="O191">
        <v>279</v>
      </c>
      <c r="P191">
        <v>0</v>
      </c>
      <c r="Q191" t="s">
        <v>1064</v>
      </c>
      <c r="R191" t="s">
        <v>607</v>
      </c>
      <c r="S191" t="s">
        <v>1065</v>
      </c>
      <c r="T191" t="s">
        <v>1066</v>
      </c>
      <c r="U191" t="s">
        <v>60</v>
      </c>
      <c r="V191" t="s">
        <v>61</v>
      </c>
      <c r="W191">
        <v>3</v>
      </c>
      <c r="X191">
        <v>9.5812499999999995E-2</v>
      </c>
      <c r="Y191" t="s">
        <v>337</v>
      </c>
      <c r="Z191" t="s">
        <v>609</v>
      </c>
      <c r="AA191">
        <v>4</v>
      </c>
      <c r="AB191" t="s">
        <v>725</v>
      </c>
      <c r="AC191" t="s">
        <v>726</v>
      </c>
      <c r="AD191" t="s">
        <v>727</v>
      </c>
      <c r="AE191" t="s">
        <v>728</v>
      </c>
      <c r="AF191" t="s">
        <v>729</v>
      </c>
      <c r="AG191" t="s">
        <v>806</v>
      </c>
      <c r="AH191" t="s">
        <v>889</v>
      </c>
      <c r="AI191" t="s">
        <v>1054</v>
      </c>
      <c r="AJ191" t="s">
        <v>889</v>
      </c>
      <c r="AK191">
        <v>1</v>
      </c>
      <c r="AL191" t="s">
        <v>807</v>
      </c>
      <c r="AM191" t="s">
        <v>808</v>
      </c>
      <c r="AN191" t="s">
        <v>890</v>
      </c>
      <c r="AO191" t="s">
        <v>66</v>
      </c>
      <c r="AP191">
        <v>1</v>
      </c>
      <c r="AQ191" t="s">
        <v>891</v>
      </c>
      <c r="AR191" t="s">
        <v>892</v>
      </c>
      <c r="AS191" t="s">
        <v>973</v>
      </c>
      <c r="AT191" t="s">
        <v>66</v>
      </c>
    </row>
    <row r="192" spans="1:46" x14ac:dyDescent="0.15">
      <c r="A192" t="s">
        <v>1067</v>
      </c>
      <c r="B192" t="s">
        <v>715</v>
      </c>
      <c r="C192" t="s">
        <v>716</v>
      </c>
      <c r="D192">
        <v>84</v>
      </c>
      <c r="E192" t="s">
        <v>717</v>
      </c>
      <c r="F192" t="s">
        <v>718</v>
      </c>
      <c r="G192" t="s">
        <v>51</v>
      </c>
      <c r="H192" t="s">
        <v>719</v>
      </c>
      <c r="I192" t="s">
        <v>720</v>
      </c>
      <c r="J192" t="s">
        <v>721</v>
      </c>
      <c r="K192" t="s">
        <v>55</v>
      </c>
      <c r="L192" t="s">
        <v>16</v>
      </c>
      <c r="M192" t="s">
        <v>19</v>
      </c>
      <c r="N192">
        <v>5158</v>
      </c>
      <c r="O192">
        <v>282</v>
      </c>
      <c r="P192">
        <v>0</v>
      </c>
      <c r="Q192" t="s">
        <v>1068</v>
      </c>
      <c r="R192" t="s">
        <v>613</v>
      </c>
      <c r="S192" t="s">
        <v>1069</v>
      </c>
      <c r="T192" t="s">
        <v>1070</v>
      </c>
      <c r="U192" t="s">
        <v>60</v>
      </c>
      <c r="V192" t="s">
        <v>61</v>
      </c>
      <c r="W192">
        <v>3</v>
      </c>
      <c r="X192">
        <v>9.5812499999999995E-2</v>
      </c>
      <c r="Y192" t="s">
        <v>615</v>
      </c>
      <c r="Z192" t="s">
        <v>616</v>
      </c>
      <c r="AA192">
        <v>4</v>
      </c>
      <c r="AB192" t="s">
        <v>725</v>
      </c>
      <c r="AC192" t="s">
        <v>726</v>
      </c>
      <c r="AD192" t="s">
        <v>727</v>
      </c>
      <c r="AE192" t="s">
        <v>728</v>
      </c>
      <c r="AF192" t="s">
        <v>729</v>
      </c>
      <c r="AG192" t="s">
        <v>806</v>
      </c>
      <c r="AH192" t="s">
        <v>889</v>
      </c>
      <c r="AI192" t="s">
        <v>1054</v>
      </c>
      <c r="AJ192" t="s">
        <v>889</v>
      </c>
      <c r="AK192">
        <v>1</v>
      </c>
      <c r="AL192" t="s">
        <v>807</v>
      </c>
      <c r="AM192" t="s">
        <v>808</v>
      </c>
      <c r="AN192" t="s">
        <v>890</v>
      </c>
      <c r="AO192" t="s">
        <v>66</v>
      </c>
      <c r="AP192">
        <v>1</v>
      </c>
      <c r="AQ192" t="s">
        <v>891</v>
      </c>
      <c r="AR192" t="s">
        <v>892</v>
      </c>
      <c r="AS192" t="s">
        <v>973</v>
      </c>
      <c r="AT192" t="s">
        <v>66</v>
      </c>
    </row>
    <row r="193" spans="1:46" x14ac:dyDescent="0.15">
      <c r="A193" t="s">
        <v>1071</v>
      </c>
      <c r="B193" t="s">
        <v>715</v>
      </c>
      <c r="C193" t="s">
        <v>716</v>
      </c>
      <c r="D193">
        <v>85</v>
      </c>
      <c r="E193" t="s">
        <v>717</v>
      </c>
      <c r="F193" t="s">
        <v>718</v>
      </c>
      <c r="G193" t="s">
        <v>51</v>
      </c>
      <c r="H193" t="s">
        <v>719</v>
      </c>
      <c r="I193" t="s">
        <v>720</v>
      </c>
      <c r="J193" t="s">
        <v>721</v>
      </c>
      <c r="K193" t="s">
        <v>55</v>
      </c>
      <c r="L193" t="s">
        <v>16</v>
      </c>
      <c r="M193" t="s">
        <v>19</v>
      </c>
      <c r="N193">
        <v>5214</v>
      </c>
      <c r="O193">
        <v>285</v>
      </c>
      <c r="P193">
        <v>0</v>
      </c>
      <c r="Q193" t="s">
        <v>1072</v>
      </c>
      <c r="R193" t="s">
        <v>620</v>
      </c>
      <c r="S193" t="s">
        <v>1073</v>
      </c>
      <c r="T193" t="s">
        <v>1074</v>
      </c>
      <c r="U193" t="s">
        <v>60</v>
      </c>
      <c r="V193" t="s">
        <v>61</v>
      </c>
      <c r="W193">
        <v>3</v>
      </c>
      <c r="X193">
        <v>9.5812499999999995E-2</v>
      </c>
      <c r="Y193" t="s">
        <v>343</v>
      </c>
      <c r="Z193" t="s">
        <v>622</v>
      </c>
      <c r="AA193">
        <v>4</v>
      </c>
      <c r="AB193" t="s">
        <v>725</v>
      </c>
      <c r="AC193" t="s">
        <v>726</v>
      </c>
      <c r="AD193" t="s">
        <v>727</v>
      </c>
      <c r="AE193" t="s">
        <v>728</v>
      </c>
      <c r="AF193" t="s">
        <v>729</v>
      </c>
      <c r="AG193" t="s">
        <v>806</v>
      </c>
      <c r="AH193" t="s">
        <v>889</v>
      </c>
      <c r="AI193" t="s">
        <v>1054</v>
      </c>
      <c r="AJ193" t="s">
        <v>889</v>
      </c>
      <c r="AK193">
        <v>1</v>
      </c>
      <c r="AL193" t="s">
        <v>807</v>
      </c>
      <c r="AM193" t="s">
        <v>808</v>
      </c>
      <c r="AN193" t="s">
        <v>890</v>
      </c>
      <c r="AO193" t="s">
        <v>66</v>
      </c>
      <c r="AP193">
        <v>1</v>
      </c>
      <c r="AQ193" t="s">
        <v>891</v>
      </c>
      <c r="AR193" t="s">
        <v>892</v>
      </c>
      <c r="AS193" t="s">
        <v>973</v>
      </c>
      <c r="AT193" t="s">
        <v>66</v>
      </c>
    </row>
    <row r="194" spans="1:46" x14ac:dyDescent="0.15">
      <c r="A194" t="s">
        <v>1075</v>
      </c>
      <c r="B194" t="s">
        <v>715</v>
      </c>
      <c r="C194" t="s">
        <v>716</v>
      </c>
      <c r="D194">
        <v>86</v>
      </c>
      <c r="E194" t="s">
        <v>717</v>
      </c>
      <c r="F194" t="s">
        <v>718</v>
      </c>
      <c r="G194" t="s">
        <v>51</v>
      </c>
      <c r="H194" t="s">
        <v>719</v>
      </c>
      <c r="I194" t="s">
        <v>720</v>
      </c>
      <c r="J194" t="s">
        <v>721</v>
      </c>
      <c r="K194" t="s">
        <v>55</v>
      </c>
      <c r="L194" t="s">
        <v>16</v>
      </c>
      <c r="M194" t="s">
        <v>19</v>
      </c>
      <c r="N194">
        <v>5270</v>
      </c>
      <c r="O194">
        <v>288</v>
      </c>
      <c r="P194">
        <v>0</v>
      </c>
      <c r="Q194" t="s">
        <v>1076</v>
      </c>
      <c r="R194" t="s">
        <v>626</v>
      </c>
      <c r="S194" t="s">
        <v>1077</v>
      </c>
      <c r="T194" t="s">
        <v>1078</v>
      </c>
      <c r="U194" t="s">
        <v>60</v>
      </c>
      <c r="V194" t="s">
        <v>61</v>
      </c>
      <c r="W194">
        <v>3</v>
      </c>
      <c r="X194">
        <v>9.5812499999999995E-2</v>
      </c>
      <c r="Y194" t="s">
        <v>628</v>
      </c>
      <c r="Z194" t="s">
        <v>629</v>
      </c>
      <c r="AA194">
        <v>4</v>
      </c>
      <c r="AB194" t="s">
        <v>725</v>
      </c>
      <c r="AC194" t="s">
        <v>726</v>
      </c>
      <c r="AD194" t="s">
        <v>727</v>
      </c>
      <c r="AE194" t="s">
        <v>728</v>
      </c>
      <c r="AF194" t="s">
        <v>729</v>
      </c>
      <c r="AG194" t="s">
        <v>806</v>
      </c>
      <c r="AH194" t="s">
        <v>889</v>
      </c>
      <c r="AI194" t="s">
        <v>1054</v>
      </c>
      <c r="AJ194" t="s">
        <v>889</v>
      </c>
      <c r="AK194">
        <v>1</v>
      </c>
      <c r="AL194" t="s">
        <v>807</v>
      </c>
      <c r="AM194" t="s">
        <v>808</v>
      </c>
      <c r="AN194" t="s">
        <v>890</v>
      </c>
      <c r="AO194" t="s">
        <v>66</v>
      </c>
      <c r="AP194">
        <v>1</v>
      </c>
      <c r="AQ194" t="s">
        <v>891</v>
      </c>
      <c r="AR194" t="s">
        <v>892</v>
      </c>
      <c r="AS194" t="s">
        <v>973</v>
      </c>
      <c r="AT194" t="s">
        <v>66</v>
      </c>
    </row>
    <row r="195" spans="1:46" x14ac:dyDescent="0.15">
      <c r="A195" t="s">
        <v>1079</v>
      </c>
      <c r="B195" t="s">
        <v>715</v>
      </c>
      <c r="C195" t="s">
        <v>716</v>
      </c>
      <c r="D195">
        <v>87</v>
      </c>
      <c r="E195" t="s">
        <v>717</v>
      </c>
      <c r="F195" t="s">
        <v>718</v>
      </c>
      <c r="G195" t="s">
        <v>51</v>
      </c>
      <c r="H195" t="s">
        <v>719</v>
      </c>
      <c r="I195" t="s">
        <v>720</v>
      </c>
      <c r="J195" t="s">
        <v>721</v>
      </c>
      <c r="K195" t="s">
        <v>55</v>
      </c>
      <c r="L195" t="s">
        <v>16</v>
      </c>
      <c r="M195" t="s">
        <v>19</v>
      </c>
      <c r="N195">
        <v>5327</v>
      </c>
      <c r="O195">
        <v>291</v>
      </c>
      <c r="P195">
        <v>0</v>
      </c>
      <c r="Q195" t="s">
        <v>1080</v>
      </c>
      <c r="R195" t="s">
        <v>633</v>
      </c>
      <c r="S195" t="s">
        <v>1081</v>
      </c>
      <c r="T195" t="s">
        <v>1082</v>
      </c>
      <c r="U195" t="s">
        <v>60</v>
      </c>
      <c r="V195" t="s">
        <v>61</v>
      </c>
      <c r="W195">
        <v>3</v>
      </c>
      <c r="X195">
        <v>9.5812499999999995E-2</v>
      </c>
      <c r="Y195" t="s">
        <v>350</v>
      </c>
      <c r="Z195" t="s">
        <v>635</v>
      </c>
      <c r="AA195">
        <v>4</v>
      </c>
      <c r="AB195" t="s">
        <v>725</v>
      </c>
      <c r="AC195" t="s">
        <v>726</v>
      </c>
      <c r="AD195" t="s">
        <v>727</v>
      </c>
      <c r="AE195" t="s">
        <v>728</v>
      </c>
      <c r="AF195" t="s">
        <v>729</v>
      </c>
      <c r="AG195" t="s">
        <v>806</v>
      </c>
      <c r="AH195" t="s">
        <v>889</v>
      </c>
      <c r="AI195" t="s">
        <v>1054</v>
      </c>
      <c r="AJ195" t="s">
        <v>889</v>
      </c>
      <c r="AK195">
        <v>1</v>
      </c>
      <c r="AL195" t="s">
        <v>807</v>
      </c>
      <c r="AM195" t="s">
        <v>808</v>
      </c>
      <c r="AN195" t="s">
        <v>890</v>
      </c>
      <c r="AO195" t="s">
        <v>66</v>
      </c>
      <c r="AP195">
        <v>1</v>
      </c>
      <c r="AQ195" t="s">
        <v>891</v>
      </c>
      <c r="AR195" t="s">
        <v>892</v>
      </c>
      <c r="AS195" t="s">
        <v>973</v>
      </c>
      <c r="AT195" t="s">
        <v>66</v>
      </c>
    </row>
    <row r="196" spans="1:46" x14ac:dyDescent="0.15">
      <c r="A196" t="s">
        <v>1083</v>
      </c>
      <c r="B196" t="s">
        <v>715</v>
      </c>
      <c r="C196" t="s">
        <v>716</v>
      </c>
      <c r="D196">
        <v>88</v>
      </c>
      <c r="E196" t="s">
        <v>717</v>
      </c>
      <c r="F196" t="s">
        <v>718</v>
      </c>
      <c r="G196" t="s">
        <v>51</v>
      </c>
      <c r="H196" t="s">
        <v>719</v>
      </c>
      <c r="I196" t="s">
        <v>720</v>
      </c>
      <c r="J196" t="s">
        <v>721</v>
      </c>
      <c r="K196" t="s">
        <v>55</v>
      </c>
      <c r="L196" t="s">
        <v>16</v>
      </c>
      <c r="M196" t="s">
        <v>19</v>
      </c>
      <c r="N196">
        <v>5383</v>
      </c>
      <c r="O196">
        <v>294</v>
      </c>
      <c r="P196">
        <v>0</v>
      </c>
      <c r="Q196" t="s">
        <v>1084</v>
      </c>
      <c r="R196" t="s">
        <v>639</v>
      </c>
      <c r="S196" t="s">
        <v>1085</v>
      </c>
      <c r="T196" t="s">
        <v>1086</v>
      </c>
      <c r="U196" t="s">
        <v>60</v>
      </c>
      <c r="V196" t="s">
        <v>61</v>
      </c>
      <c r="W196">
        <v>3</v>
      </c>
      <c r="X196">
        <v>9.5812499999999995E-2</v>
      </c>
      <c r="Y196" t="s">
        <v>641</v>
      </c>
      <c r="Z196" t="s">
        <v>642</v>
      </c>
      <c r="AA196">
        <v>4</v>
      </c>
      <c r="AB196" t="s">
        <v>725</v>
      </c>
      <c r="AC196" t="s">
        <v>726</v>
      </c>
      <c r="AD196" t="s">
        <v>727</v>
      </c>
      <c r="AE196" t="s">
        <v>728</v>
      </c>
      <c r="AF196" t="s">
        <v>729</v>
      </c>
      <c r="AG196" t="s">
        <v>806</v>
      </c>
      <c r="AH196" t="s">
        <v>889</v>
      </c>
      <c r="AI196" t="s">
        <v>1054</v>
      </c>
      <c r="AJ196" t="s">
        <v>889</v>
      </c>
      <c r="AK196">
        <v>1</v>
      </c>
      <c r="AL196" t="s">
        <v>807</v>
      </c>
      <c r="AM196" t="s">
        <v>808</v>
      </c>
      <c r="AN196" t="s">
        <v>890</v>
      </c>
      <c r="AO196" t="s">
        <v>66</v>
      </c>
      <c r="AP196">
        <v>1</v>
      </c>
      <c r="AQ196" t="s">
        <v>891</v>
      </c>
      <c r="AR196" t="s">
        <v>892</v>
      </c>
      <c r="AS196" t="s">
        <v>973</v>
      </c>
      <c r="AT196" t="s">
        <v>66</v>
      </c>
    </row>
    <row r="197" spans="1:46" x14ac:dyDescent="0.15">
      <c r="A197" t="s">
        <v>1087</v>
      </c>
      <c r="B197" t="s">
        <v>715</v>
      </c>
      <c r="C197" t="s">
        <v>716</v>
      </c>
      <c r="D197">
        <v>89</v>
      </c>
      <c r="E197" t="s">
        <v>717</v>
      </c>
      <c r="F197" t="s">
        <v>718</v>
      </c>
      <c r="G197" t="s">
        <v>51</v>
      </c>
      <c r="H197" t="s">
        <v>719</v>
      </c>
      <c r="I197" t="s">
        <v>720</v>
      </c>
      <c r="J197" t="s">
        <v>721</v>
      </c>
      <c r="K197" t="s">
        <v>55</v>
      </c>
      <c r="L197" t="s">
        <v>16</v>
      </c>
      <c r="M197" t="s">
        <v>19</v>
      </c>
      <c r="N197">
        <v>5439</v>
      </c>
      <c r="O197">
        <v>297</v>
      </c>
      <c r="P197">
        <v>0</v>
      </c>
      <c r="Q197" t="s">
        <v>1088</v>
      </c>
      <c r="R197" t="s">
        <v>646</v>
      </c>
      <c r="S197" t="s">
        <v>1089</v>
      </c>
      <c r="T197" t="s">
        <v>1090</v>
      </c>
      <c r="U197" t="s">
        <v>60</v>
      </c>
      <c r="V197" t="s">
        <v>61</v>
      </c>
      <c r="W197">
        <v>3</v>
      </c>
      <c r="X197">
        <v>9.5812499999999995E-2</v>
      </c>
      <c r="Y197" t="s">
        <v>356</v>
      </c>
      <c r="Z197" t="s">
        <v>648</v>
      </c>
      <c r="AA197">
        <v>4</v>
      </c>
      <c r="AB197" t="s">
        <v>725</v>
      </c>
      <c r="AC197" t="s">
        <v>726</v>
      </c>
      <c r="AD197" t="s">
        <v>727</v>
      </c>
      <c r="AE197" t="s">
        <v>728</v>
      </c>
      <c r="AF197" t="s">
        <v>729</v>
      </c>
      <c r="AG197" t="s">
        <v>806</v>
      </c>
      <c r="AH197" t="s">
        <v>889</v>
      </c>
      <c r="AI197" t="s">
        <v>1054</v>
      </c>
      <c r="AJ197" t="s">
        <v>889</v>
      </c>
      <c r="AK197">
        <v>1</v>
      </c>
      <c r="AL197" t="s">
        <v>807</v>
      </c>
      <c r="AM197" t="s">
        <v>808</v>
      </c>
      <c r="AN197" t="s">
        <v>890</v>
      </c>
      <c r="AO197" t="s">
        <v>66</v>
      </c>
      <c r="AP197">
        <v>1</v>
      </c>
      <c r="AQ197" t="s">
        <v>891</v>
      </c>
      <c r="AR197" t="s">
        <v>892</v>
      </c>
      <c r="AS197" t="s">
        <v>973</v>
      </c>
      <c r="AT197" t="s">
        <v>66</v>
      </c>
    </row>
    <row r="198" spans="1:46" x14ac:dyDescent="0.15">
      <c r="A198" t="s">
        <v>1091</v>
      </c>
      <c r="B198" t="s">
        <v>715</v>
      </c>
      <c r="C198" t="s">
        <v>716</v>
      </c>
      <c r="D198">
        <v>90</v>
      </c>
      <c r="E198" t="s">
        <v>717</v>
      </c>
      <c r="F198" t="s">
        <v>718</v>
      </c>
      <c r="G198" t="s">
        <v>51</v>
      </c>
      <c r="H198" t="s">
        <v>719</v>
      </c>
      <c r="I198" t="s">
        <v>720</v>
      </c>
      <c r="J198" t="s">
        <v>721</v>
      </c>
      <c r="K198" t="s">
        <v>55</v>
      </c>
      <c r="L198" t="s">
        <v>16</v>
      </c>
      <c r="M198" t="s">
        <v>19</v>
      </c>
      <c r="N198">
        <v>5495</v>
      </c>
      <c r="O198">
        <v>300</v>
      </c>
      <c r="P198">
        <v>0</v>
      </c>
      <c r="Q198" t="s">
        <v>1092</v>
      </c>
      <c r="R198" t="s">
        <v>652</v>
      </c>
      <c r="S198" t="s">
        <v>1093</v>
      </c>
      <c r="T198" t="s">
        <v>1094</v>
      </c>
      <c r="U198" t="s">
        <v>60</v>
      </c>
      <c r="V198" t="s">
        <v>61</v>
      </c>
      <c r="W198">
        <v>3</v>
      </c>
      <c r="X198">
        <v>9.5812499999999995E-2</v>
      </c>
      <c r="Y198" t="s">
        <v>654</v>
      </c>
      <c r="Z198" t="s">
        <v>655</v>
      </c>
      <c r="AA198">
        <v>4</v>
      </c>
      <c r="AB198" t="s">
        <v>725</v>
      </c>
      <c r="AC198" t="s">
        <v>726</v>
      </c>
      <c r="AD198" t="s">
        <v>727</v>
      </c>
      <c r="AE198" t="s">
        <v>728</v>
      </c>
      <c r="AF198" t="s">
        <v>729</v>
      </c>
      <c r="AG198" t="s">
        <v>806</v>
      </c>
      <c r="AH198" t="s">
        <v>889</v>
      </c>
      <c r="AI198" t="s">
        <v>1054</v>
      </c>
      <c r="AJ198" t="s">
        <v>889</v>
      </c>
      <c r="AK198">
        <v>1</v>
      </c>
      <c r="AL198" t="s">
        <v>807</v>
      </c>
      <c r="AM198" t="s">
        <v>808</v>
      </c>
      <c r="AN198" t="s">
        <v>890</v>
      </c>
      <c r="AO198" t="s">
        <v>66</v>
      </c>
      <c r="AP198">
        <v>1</v>
      </c>
      <c r="AQ198" t="s">
        <v>891</v>
      </c>
      <c r="AR198" t="s">
        <v>892</v>
      </c>
      <c r="AS198" t="s">
        <v>973</v>
      </c>
      <c r="AT198" t="s">
        <v>66</v>
      </c>
    </row>
    <row r="199" spans="1:46" x14ac:dyDescent="0.15">
      <c r="A199" t="s">
        <v>1095</v>
      </c>
      <c r="B199" t="s">
        <v>715</v>
      </c>
      <c r="C199" t="s">
        <v>716</v>
      </c>
      <c r="D199">
        <v>91</v>
      </c>
      <c r="E199" t="s">
        <v>717</v>
      </c>
      <c r="F199" t="s">
        <v>718</v>
      </c>
      <c r="G199" t="s">
        <v>51</v>
      </c>
      <c r="H199" t="s">
        <v>719</v>
      </c>
      <c r="I199" t="s">
        <v>720</v>
      </c>
      <c r="J199" t="s">
        <v>721</v>
      </c>
      <c r="K199" t="s">
        <v>55</v>
      </c>
      <c r="L199" t="s">
        <v>16</v>
      </c>
      <c r="M199" t="s">
        <v>19</v>
      </c>
      <c r="N199">
        <v>5551</v>
      </c>
      <c r="O199">
        <v>303</v>
      </c>
      <c r="P199">
        <v>0</v>
      </c>
      <c r="Q199" t="s">
        <v>1096</v>
      </c>
      <c r="R199" t="s">
        <v>659</v>
      </c>
      <c r="S199" t="s">
        <v>1097</v>
      </c>
      <c r="T199" t="s">
        <v>1098</v>
      </c>
      <c r="U199" t="s">
        <v>60</v>
      </c>
      <c r="V199" t="s">
        <v>61</v>
      </c>
      <c r="W199">
        <v>3</v>
      </c>
      <c r="X199">
        <v>9.5812499999999995E-2</v>
      </c>
      <c r="Y199" t="s">
        <v>363</v>
      </c>
      <c r="Z199" t="s">
        <v>661</v>
      </c>
      <c r="AA199">
        <v>4</v>
      </c>
      <c r="AB199" t="s">
        <v>725</v>
      </c>
      <c r="AC199" t="s">
        <v>726</v>
      </c>
      <c r="AD199" t="s">
        <v>727</v>
      </c>
      <c r="AE199" t="s">
        <v>728</v>
      </c>
      <c r="AF199" t="s">
        <v>729</v>
      </c>
      <c r="AG199" t="s">
        <v>806</v>
      </c>
      <c r="AH199" t="s">
        <v>889</v>
      </c>
      <c r="AI199" t="s">
        <v>1054</v>
      </c>
      <c r="AJ199" t="s">
        <v>889</v>
      </c>
      <c r="AK199">
        <v>1</v>
      </c>
      <c r="AL199" t="s">
        <v>807</v>
      </c>
      <c r="AM199" t="s">
        <v>808</v>
      </c>
      <c r="AN199" t="s">
        <v>890</v>
      </c>
      <c r="AO199" t="s">
        <v>66</v>
      </c>
      <c r="AP199">
        <v>1</v>
      </c>
      <c r="AQ199" t="s">
        <v>891</v>
      </c>
      <c r="AR199" t="s">
        <v>892</v>
      </c>
      <c r="AS199" t="s">
        <v>973</v>
      </c>
      <c r="AT199" t="s">
        <v>66</v>
      </c>
    </row>
    <row r="200" spans="1:46" x14ac:dyDescent="0.15">
      <c r="A200" t="s">
        <v>1099</v>
      </c>
      <c r="B200" t="s">
        <v>715</v>
      </c>
      <c r="C200" t="s">
        <v>716</v>
      </c>
      <c r="D200">
        <v>92</v>
      </c>
      <c r="E200" t="s">
        <v>717</v>
      </c>
      <c r="F200" t="s">
        <v>718</v>
      </c>
      <c r="G200" t="s">
        <v>51</v>
      </c>
      <c r="H200" t="s">
        <v>719</v>
      </c>
      <c r="I200" t="s">
        <v>720</v>
      </c>
      <c r="J200" t="s">
        <v>721</v>
      </c>
      <c r="K200" t="s">
        <v>55</v>
      </c>
      <c r="L200" t="s">
        <v>16</v>
      </c>
      <c r="M200" t="s">
        <v>19</v>
      </c>
      <c r="N200">
        <v>5607</v>
      </c>
      <c r="O200">
        <v>306</v>
      </c>
      <c r="P200">
        <v>0</v>
      </c>
      <c r="Q200" t="s">
        <v>1100</v>
      </c>
      <c r="R200" t="s">
        <v>665</v>
      </c>
      <c r="S200" t="s">
        <v>1101</v>
      </c>
      <c r="T200" t="s">
        <v>1102</v>
      </c>
      <c r="U200" t="s">
        <v>60</v>
      </c>
      <c r="V200" t="s">
        <v>61</v>
      </c>
      <c r="W200">
        <v>3</v>
      </c>
      <c r="X200">
        <v>9.5812499999999995E-2</v>
      </c>
      <c r="Y200" t="s">
        <v>667</v>
      </c>
      <c r="Z200" t="s">
        <v>668</v>
      </c>
      <c r="AA200">
        <v>4</v>
      </c>
      <c r="AB200" t="s">
        <v>725</v>
      </c>
      <c r="AC200" t="s">
        <v>726</v>
      </c>
      <c r="AD200" t="s">
        <v>727</v>
      </c>
      <c r="AE200" t="s">
        <v>728</v>
      </c>
      <c r="AF200" t="s">
        <v>729</v>
      </c>
      <c r="AG200" t="s">
        <v>806</v>
      </c>
      <c r="AH200" t="s">
        <v>889</v>
      </c>
      <c r="AI200" t="s">
        <v>1054</v>
      </c>
      <c r="AJ200" t="s">
        <v>889</v>
      </c>
      <c r="AK200">
        <v>1</v>
      </c>
      <c r="AL200" t="s">
        <v>807</v>
      </c>
      <c r="AM200" t="s">
        <v>808</v>
      </c>
      <c r="AN200" t="s">
        <v>890</v>
      </c>
      <c r="AO200" t="s">
        <v>66</v>
      </c>
      <c r="AP200">
        <v>1</v>
      </c>
      <c r="AQ200" t="s">
        <v>891</v>
      </c>
      <c r="AR200" t="s">
        <v>892</v>
      </c>
      <c r="AS200" t="s">
        <v>973</v>
      </c>
      <c r="AT200" t="s">
        <v>66</v>
      </c>
    </row>
    <row r="201" spans="1:46" x14ac:dyDescent="0.15">
      <c r="A201" t="s">
        <v>1103</v>
      </c>
      <c r="B201" t="s">
        <v>715</v>
      </c>
      <c r="C201" t="s">
        <v>716</v>
      </c>
      <c r="D201">
        <v>93</v>
      </c>
      <c r="E201" t="s">
        <v>717</v>
      </c>
      <c r="F201" t="s">
        <v>718</v>
      </c>
      <c r="G201" t="s">
        <v>51</v>
      </c>
      <c r="H201" t="s">
        <v>719</v>
      </c>
      <c r="I201" t="s">
        <v>720</v>
      </c>
      <c r="J201" t="s">
        <v>721</v>
      </c>
      <c r="K201" t="s">
        <v>55</v>
      </c>
      <c r="L201" t="s">
        <v>16</v>
      </c>
      <c r="M201" t="s">
        <v>19</v>
      </c>
      <c r="N201">
        <v>5663</v>
      </c>
      <c r="O201">
        <v>309</v>
      </c>
      <c r="P201">
        <v>0</v>
      </c>
      <c r="Q201" t="s">
        <v>1104</v>
      </c>
      <c r="R201" t="s">
        <v>672</v>
      </c>
      <c r="S201" t="s">
        <v>1105</v>
      </c>
      <c r="T201" t="s">
        <v>1106</v>
      </c>
      <c r="U201" t="s">
        <v>60</v>
      </c>
      <c r="V201" t="s">
        <v>61</v>
      </c>
      <c r="W201">
        <v>3</v>
      </c>
      <c r="X201">
        <v>9.5812499999999995E-2</v>
      </c>
      <c r="Y201" t="s">
        <v>369</v>
      </c>
      <c r="Z201" t="s">
        <v>674</v>
      </c>
      <c r="AA201">
        <v>4</v>
      </c>
      <c r="AB201" t="s">
        <v>725</v>
      </c>
      <c r="AC201" t="s">
        <v>726</v>
      </c>
      <c r="AD201" t="s">
        <v>727</v>
      </c>
      <c r="AE201" t="s">
        <v>728</v>
      </c>
      <c r="AF201" t="s">
        <v>729</v>
      </c>
      <c r="AG201" t="s">
        <v>806</v>
      </c>
      <c r="AH201" t="s">
        <v>889</v>
      </c>
      <c r="AI201" t="s">
        <v>1054</v>
      </c>
      <c r="AJ201" t="s">
        <v>889</v>
      </c>
      <c r="AK201">
        <v>1</v>
      </c>
      <c r="AL201" t="s">
        <v>807</v>
      </c>
      <c r="AM201" t="s">
        <v>808</v>
      </c>
      <c r="AN201" t="s">
        <v>890</v>
      </c>
      <c r="AO201" t="s">
        <v>66</v>
      </c>
      <c r="AP201">
        <v>1</v>
      </c>
      <c r="AQ201" t="s">
        <v>891</v>
      </c>
      <c r="AR201" t="s">
        <v>892</v>
      </c>
      <c r="AS201" t="s">
        <v>973</v>
      </c>
      <c r="AT201" t="s">
        <v>66</v>
      </c>
    </row>
    <row r="202" spans="1:46" x14ac:dyDescent="0.15">
      <c r="A202" t="s">
        <v>1107</v>
      </c>
      <c r="B202" t="s">
        <v>715</v>
      </c>
      <c r="C202" t="s">
        <v>716</v>
      </c>
      <c r="D202">
        <v>94</v>
      </c>
      <c r="E202" t="s">
        <v>717</v>
      </c>
      <c r="F202" t="s">
        <v>718</v>
      </c>
      <c r="G202" t="s">
        <v>51</v>
      </c>
      <c r="H202" t="s">
        <v>719</v>
      </c>
      <c r="I202" t="s">
        <v>720</v>
      </c>
      <c r="J202" t="s">
        <v>721</v>
      </c>
      <c r="K202" t="s">
        <v>55</v>
      </c>
      <c r="L202" t="s">
        <v>16</v>
      </c>
      <c r="M202" t="s">
        <v>19</v>
      </c>
      <c r="N202">
        <v>5719</v>
      </c>
      <c r="O202">
        <v>312</v>
      </c>
      <c r="P202">
        <v>0</v>
      </c>
      <c r="Q202" t="s">
        <v>1108</v>
      </c>
      <c r="R202" t="s">
        <v>678</v>
      </c>
      <c r="S202" t="s">
        <v>1109</v>
      </c>
      <c r="T202" t="s">
        <v>1110</v>
      </c>
      <c r="U202" t="s">
        <v>60</v>
      </c>
      <c r="V202" t="s">
        <v>61</v>
      </c>
      <c r="W202">
        <v>3</v>
      </c>
      <c r="X202">
        <v>9.5812499999999995E-2</v>
      </c>
      <c r="Y202" t="s">
        <v>680</v>
      </c>
      <c r="Z202" t="s">
        <v>681</v>
      </c>
      <c r="AA202">
        <v>4</v>
      </c>
      <c r="AB202" t="s">
        <v>725</v>
      </c>
      <c r="AC202" t="s">
        <v>726</v>
      </c>
      <c r="AD202" t="s">
        <v>727</v>
      </c>
      <c r="AE202" t="s">
        <v>728</v>
      </c>
      <c r="AF202" t="s">
        <v>729</v>
      </c>
      <c r="AG202" t="s">
        <v>806</v>
      </c>
      <c r="AH202" t="s">
        <v>889</v>
      </c>
      <c r="AI202" t="s">
        <v>1054</v>
      </c>
      <c r="AJ202" t="s">
        <v>889</v>
      </c>
      <c r="AK202">
        <v>1</v>
      </c>
      <c r="AL202" t="s">
        <v>807</v>
      </c>
      <c r="AM202" t="s">
        <v>808</v>
      </c>
      <c r="AN202" t="s">
        <v>890</v>
      </c>
      <c r="AO202" t="s">
        <v>66</v>
      </c>
      <c r="AP202">
        <v>1</v>
      </c>
      <c r="AQ202" t="s">
        <v>891</v>
      </c>
      <c r="AR202" t="s">
        <v>892</v>
      </c>
      <c r="AS202" t="s">
        <v>973</v>
      </c>
      <c r="AT202" t="s">
        <v>66</v>
      </c>
    </row>
    <row r="203" spans="1:46" x14ac:dyDescent="0.15">
      <c r="A203" t="s">
        <v>1111</v>
      </c>
      <c r="B203" t="s">
        <v>715</v>
      </c>
      <c r="C203" t="s">
        <v>716</v>
      </c>
      <c r="D203">
        <v>95</v>
      </c>
      <c r="E203" t="s">
        <v>717</v>
      </c>
      <c r="F203" t="s">
        <v>718</v>
      </c>
      <c r="G203" t="s">
        <v>51</v>
      </c>
      <c r="H203" t="s">
        <v>719</v>
      </c>
      <c r="I203" t="s">
        <v>720</v>
      </c>
      <c r="J203" t="s">
        <v>721</v>
      </c>
      <c r="K203" t="s">
        <v>55</v>
      </c>
      <c r="L203" t="s">
        <v>16</v>
      </c>
      <c r="M203" t="s">
        <v>19</v>
      </c>
      <c r="N203">
        <v>5776</v>
      </c>
      <c r="O203">
        <v>315</v>
      </c>
      <c r="P203">
        <v>0</v>
      </c>
      <c r="Q203" t="s">
        <v>1112</v>
      </c>
      <c r="R203" t="s">
        <v>685</v>
      </c>
      <c r="S203" t="s">
        <v>1113</v>
      </c>
      <c r="T203" t="s">
        <v>1114</v>
      </c>
      <c r="U203" t="s">
        <v>60</v>
      </c>
      <c r="V203" t="s">
        <v>61</v>
      </c>
      <c r="W203">
        <v>3</v>
      </c>
      <c r="X203">
        <v>9.5812499999999995E-2</v>
      </c>
      <c r="Y203" t="s">
        <v>376</v>
      </c>
      <c r="Z203" t="s">
        <v>687</v>
      </c>
      <c r="AA203">
        <v>4</v>
      </c>
      <c r="AB203" t="s">
        <v>725</v>
      </c>
      <c r="AC203" t="s">
        <v>726</v>
      </c>
      <c r="AD203" t="s">
        <v>727</v>
      </c>
      <c r="AE203" t="s">
        <v>728</v>
      </c>
      <c r="AF203" t="s">
        <v>729</v>
      </c>
      <c r="AG203" t="s">
        <v>806</v>
      </c>
      <c r="AH203" t="s">
        <v>889</v>
      </c>
      <c r="AI203" t="s">
        <v>1054</v>
      </c>
      <c r="AJ203" t="s">
        <v>889</v>
      </c>
      <c r="AK203">
        <v>1</v>
      </c>
      <c r="AL203" t="s">
        <v>807</v>
      </c>
      <c r="AM203" t="s">
        <v>808</v>
      </c>
      <c r="AN203" t="s">
        <v>890</v>
      </c>
      <c r="AO203" t="s">
        <v>66</v>
      </c>
      <c r="AP203">
        <v>1</v>
      </c>
      <c r="AQ203" t="s">
        <v>891</v>
      </c>
      <c r="AR203" t="s">
        <v>892</v>
      </c>
      <c r="AS203" t="s">
        <v>973</v>
      </c>
      <c r="AT203" t="s">
        <v>66</v>
      </c>
    </row>
    <row r="204" spans="1:46" x14ac:dyDescent="0.15">
      <c r="A204" t="s">
        <v>1115</v>
      </c>
      <c r="B204" t="s">
        <v>715</v>
      </c>
      <c r="C204" t="s">
        <v>716</v>
      </c>
      <c r="D204">
        <v>96</v>
      </c>
      <c r="E204" t="s">
        <v>717</v>
      </c>
      <c r="F204" t="s">
        <v>718</v>
      </c>
      <c r="G204" t="s">
        <v>51</v>
      </c>
      <c r="H204" t="s">
        <v>719</v>
      </c>
      <c r="I204" t="s">
        <v>720</v>
      </c>
      <c r="J204" t="s">
        <v>721</v>
      </c>
      <c r="K204" t="s">
        <v>55</v>
      </c>
      <c r="L204" t="s">
        <v>16</v>
      </c>
      <c r="M204" t="s">
        <v>19</v>
      </c>
      <c r="N204">
        <v>5832</v>
      </c>
      <c r="O204">
        <v>318</v>
      </c>
      <c r="P204">
        <v>0</v>
      </c>
      <c r="Q204" t="s">
        <v>1116</v>
      </c>
      <c r="R204" t="s">
        <v>691</v>
      </c>
      <c r="S204" t="s">
        <v>1117</v>
      </c>
      <c r="T204" t="s">
        <v>1118</v>
      </c>
      <c r="U204" t="s">
        <v>60</v>
      </c>
      <c r="V204" t="s">
        <v>61</v>
      </c>
      <c r="W204">
        <v>3</v>
      </c>
      <c r="X204">
        <v>9.5812499999999995E-2</v>
      </c>
      <c r="Y204" t="s">
        <v>693</v>
      </c>
      <c r="Z204" t="s">
        <v>694</v>
      </c>
      <c r="AA204">
        <v>4</v>
      </c>
      <c r="AB204" t="s">
        <v>725</v>
      </c>
      <c r="AC204" t="s">
        <v>726</v>
      </c>
      <c r="AD204" t="s">
        <v>727</v>
      </c>
      <c r="AE204" t="s">
        <v>728</v>
      </c>
      <c r="AF204" t="s">
        <v>729</v>
      </c>
      <c r="AG204" t="s">
        <v>806</v>
      </c>
      <c r="AH204" t="s">
        <v>889</v>
      </c>
      <c r="AI204" t="s">
        <v>1054</v>
      </c>
      <c r="AJ204" t="s">
        <v>889</v>
      </c>
      <c r="AK204">
        <v>1</v>
      </c>
      <c r="AL204" t="s">
        <v>807</v>
      </c>
      <c r="AM204" t="s">
        <v>808</v>
      </c>
      <c r="AN204" t="s">
        <v>890</v>
      </c>
      <c r="AO204" t="s">
        <v>66</v>
      </c>
      <c r="AP204">
        <v>1</v>
      </c>
      <c r="AQ204" t="s">
        <v>891</v>
      </c>
      <c r="AR204" t="s">
        <v>892</v>
      </c>
      <c r="AS204" t="s">
        <v>973</v>
      </c>
      <c r="AT204" t="s">
        <v>66</v>
      </c>
    </row>
    <row r="205" spans="1:46" x14ac:dyDescent="0.15">
      <c r="A205" t="s">
        <v>1119</v>
      </c>
      <c r="B205" t="s">
        <v>715</v>
      </c>
      <c r="C205" t="s">
        <v>716</v>
      </c>
      <c r="D205">
        <v>97</v>
      </c>
      <c r="E205" t="s">
        <v>717</v>
      </c>
      <c r="F205" t="s">
        <v>718</v>
      </c>
      <c r="G205" t="s">
        <v>51</v>
      </c>
      <c r="H205" t="s">
        <v>719</v>
      </c>
      <c r="I205" t="s">
        <v>720</v>
      </c>
      <c r="J205" t="s">
        <v>721</v>
      </c>
      <c r="K205" t="s">
        <v>55</v>
      </c>
      <c r="L205" t="s">
        <v>16</v>
      </c>
      <c r="M205" t="s">
        <v>19</v>
      </c>
      <c r="N205">
        <v>5888</v>
      </c>
      <c r="O205">
        <v>321</v>
      </c>
      <c r="P205">
        <v>0</v>
      </c>
      <c r="Q205" t="s">
        <v>1120</v>
      </c>
      <c r="R205" t="s">
        <v>698</v>
      </c>
      <c r="S205" t="s">
        <v>1121</v>
      </c>
      <c r="T205" t="s">
        <v>1122</v>
      </c>
      <c r="U205" t="s">
        <v>60</v>
      </c>
      <c r="V205" t="s">
        <v>61</v>
      </c>
      <c r="W205">
        <v>3</v>
      </c>
      <c r="X205">
        <v>9.5812499999999995E-2</v>
      </c>
      <c r="Y205" t="s">
        <v>382</v>
      </c>
      <c r="Z205" t="s">
        <v>700</v>
      </c>
      <c r="AA205">
        <v>4</v>
      </c>
      <c r="AB205" t="s">
        <v>725</v>
      </c>
      <c r="AC205" t="s">
        <v>726</v>
      </c>
      <c r="AD205" t="s">
        <v>727</v>
      </c>
      <c r="AE205" t="s">
        <v>728</v>
      </c>
      <c r="AF205" t="s">
        <v>729</v>
      </c>
      <c r="AG205" t="s">
        <v>806</v>
      </c>
      <c r="AH205" t="s">
        <v>889</v>
      </c>
      <c r="AI205" t="s">
        <v>1054</v>
      </c>
      <c r="AJ205" t="s">
        <v>889</v>
      </c>
      <c r="AK205">
        <v>1</v>
      </c>
      <c r="AL205" t="s">
        <v>807</v>
      </c>
      <c r="AM205" t="s">
        <v>808</v>
      </c>
      <c r="AN205" t="s">
        <v>890</v>
      </c>
      <c r="AO205" t="s">
        <v>66</v>
      </c>
      <c r="AP205">
        <v>1</v>
      </c>
      <c r="AQ205" t="s">
        <v>891</v>
      </c>
      <c r="AR205" t="s">
        <v>892</v>
      </c>
      <c r="AS205" t="s">
        <v>973</v>
      </c>
      <c r="AT205" t="s">
        <v>66</v>
      </c>
    </row>
    <row r="206" spans="1:46" x14ac:dyDescent="0.15">
      <c r="A206" t="s">
        <v>1123</v>
      </c>
      <c r="B206" t="s">
        <v>715</v>
      </c>
      <c r="C206" t="s">
        <v>716</v>
      </c>
      <c r="D206">
        <v>98</v>
      </c>
      <c r="E206" t="s">
        <v>717</v>
      </c>
      <c r="F206" t="s">
        <v>718</v>
      </c>
      <c r="G206" t="s">
        <v>51</v>
      </c>
      <c r="H206" t="s">
        <v>719</v>
      </c>
      <c r="I206" t="s">
        <v>720</v>
      </c>
      <c r="J206" t="s">
        <v>721</v>
      </c>
      <c r="K206" t="s">
        <v>55</v>
      </c>
      <c r="L206" t="s">
        <v>16</v>
      </c>
      <c r="M206" t="s">
        <v>19</v>
      </c>
      <c r="N206">
        <v>5944</v>
      </c>
      <c r="O206">
        <v>324</v>
      </c>
      <c r="P206">
        <v>0</v>
      </c>
      <c r="Q206" t="s">
        <v>1124</v>
      </c>
      <c r="R206" t="s">
        <v>704</v>
      </c>
      <c r="S206" t="s">
        <v>1125</v>
      </c>
      <c r="T206" t="s">
        <v>1126</v>
      </c>
      <c r="U206" t="s">
        <v>60</v>
      </c>
      <c r="V206" t="s">
        <v>61</v>
      </c>
      <c r="W206">
        <v>3</v>
      </c>
      <c r="X206">
        <v>9.5812499999999995E-2</v>
      </c>
      <c r="Y206" t="s">
        <v>706</v>
      </c>
      <c r="Z206" t="s">
        <v>707</v>
      </c>
      <c r="AA206">
        <v>4</v>
      </c>
      <c r="AB206" t="s">
        <v>725</v>
      </c>
      <c r="AC206" t="s">
        <v>726</v>
      </c>
      <c r="AD206" t="s">
        <v>727</v>
      </c>
      <c r="AE206" t="s">
        <v>728</v>
      </c>
      <c r="AF206" t="s">
        <v>729</v>
      </c>
      <c r="AG206" t="s">
        <v>806</v>
      </c>
      <c r="AH206" t="s">
        <v>889</v>
      </c>
      <c r="AI206" t="s">
        <v>1054</v>
      </c>
      <c r="AJ206" t="s">
        <v>889</v>
      </c>
      <c r="AK206">
        <v>1</v>
      </c>
      <c r="AL206" t="s">
        <v>807</v>
      </c>
      <c r="AM206" t="s">
        <v>808</v>
      </c>
      <c r="AN206" t="s">
        <v>890</v>
      </c>
      <c r="AO206" t="s">
        <v>66</v>
      </c>
      <c r="AP206">
        <v>1</v>
      </c>
      <c r="AQ206" t="s">
        <v>891</v>
      </c>
      <c r="AR206" t="s">
        <v>892</v>
      </c>
      <c r="AS206" t="s">
        <v>973</v>
      </c>
      <c r="AT206" t="s">
        <v>66</v>
      </c>
    </row>
    <row r="207" spans="1:46" x14ac:dyDescent="0.15">
      <c r="A207" t="s">
        <v>1127</v>
      </c>
      <c r="B207" t="s">
        <v>715</v>
      </c>
      <c r="C207" t="s">
        <v>716</v>
      </c>
      <c r="D207">
        <v>99</v>
      </c>
      <c r="E207" t="s">
        <v>717</v>
      </c>
      <c r="F207" t="s">
        <v>718</v>
      </c>
      <c r="G207" t="s">
        <v>51</v>
      </c>
      <c r="H207" t="s">
        <v>719</v>
      </c>
      <c r="I207" t="s">
        <v>720</v>
      </c>
      <c r="J207" t="s">
        <v>721</v>
      </c>
      <c r="K207" t="s">
        <v>55</v>
      </c>
      <c r="L207" t="s">
        <v>16</v>
      </c>
      <c r="M207" t="s">
        <v>19</v>
      </c>
      <c r="N207">
        <v>6000</v>
      </c>
      <c r="O207">
        <v>327</v>
      </c>
      <c r="P207">
        <v>0</v>
      </c>
      <c r="Q207" t="s">
        <v>1128</v>
      </c>
      <c r="R207" t="s">
        <v>711</v>
      </c>
      <c r="S207" t="s">
        <v>1129</v>
      </c>
      <c r="T207" t="s">
        <v>1130</v>
      </c>
      <c r="U207" t="s">
        <v>60</v>
      </c>
      <c r="V207" t="s">
        <v>61</v>
      </c>
      <c r="W207">
        <v>3</v>
      </c>
      <c r="X207">
        <v>9.5812499999999995E-2</v>
      </c>
      <c r="Y207" t="s">
        <v>389</v>
      </c>
      <c r="Z207" t="s">
        <v>713</v>
      </c>
      <c r="AA207">
        <v>4</v>
      </c>
      <c r="AB207" t="s">
        <v>725</v>
      </c>
      <c r="AC207" t="s">
        <v>726</v>
      </c>
      <c r="AD207" t="s">
        <v>727</v>
      </c>
      <c r="AE207" t="s">
        <v>728</v>
      </c>
      <c r="AF207" t="s">
        <v>729</v>
      </c>
      <c r="AG207" t="s">
        <v>806</v>
      </c>
      <c r="AH207" t="s">
        <v>889</v>
      </c>
      <c r="AI207" t="s">
        <v>1054</v>
      </c>
      <c r="AJ207" t="s">
        <v>889</v>
      </c>
      <c r="AK207">
        <v>1</v>
      </c>
      <c r="AL207" t="s">
        <v>807</v>
      </c>
      <c r="AM207" t="s">
        <v>808</v>
      </c>
      <c r="AN207" t="s">
        <v>890</v>
      </c>
      <c r="AO207" t="s">
        <v>66</v>
      </c>
      <c r="AP207">
        <v>1</v>
      </c>
      <c r="AQ207" t="s">
        <v>891</v>
      </c>
      <c r="AR207" t="s">
        <v>892</v>
      </c>
      <c r="AS207" t="s">
        <v>973</v>
      </c>
      <c r="AT207" t="s">
        <v>66</v>
      </c>
    </row>
    <row r="208" spans="1:46" x14ac:dyDescent="0.15">
      <c r="A208" t="s">
        <v>1131</v>
      </c>
      <c r="B208" t="s">
        <v>1132</v>
      </c>
      <c r="C208" t="s">
        <v>1133</v>
      </c>
      <c r="D208">
        <v>1</v>
      </c>
      <c r="E208" t="s">
        <v>49</v>
      </c>
      <c r="F208" t="s">
        <v>50</v>
      </c>
      <c r="G208" t="s">
        <v>51</v>
      </c>
      <c r="H208" t="s">
        <v>52</v>
      </c>
      <c r="I208" t="s">
        <v>53</v>
      </c>
      <c r="J208" t="s">
        <v>54</v>
      </c>
      <c r="K208" t="s">
        <v>55</v>
      </c>
      <c r="L208" t="s">
        <v>17</v>
      </c>
      <c r="M208" t="s">
        <v>16</v>
      </c>
      <c r="N208">
        <v>500</v>
      </c>
      <c r="O208">
        <v>30</v>
      </c>
      <c r="P208">
        <v>0</v>
      </c>
      <c r="Q208" t="s">
        <v>56</v>
      </c>
      <c r="R208" t="s">
        <v>57</v>
      </c>
      <c r="S208" t="s">
        <v>58</v>
      </c>
      <c r="T208" t="s">
        <v>59</v>
      </c>
      <c r="U208" t="s">
        <v>60</v>
      </c>
      <c r="V208" t="s">
        <v>61</v>
      </c>
      <c r="W208">
        <v>3</v>
      </c>
      <c r="X208">
        <v>0.14000000000000001</v>
      </c>
      <c r="Y208" t="s">
        <v>62</v>
      </c>
      <c r="Z208" t="s">
        <v>62</v>
      </c>
      <c r="AA208">
        <v>0</v>
      </c>
      <c r="AB208" t="s">
        <v>63</v>
      </c>
      <c r="AC208" t="s">
        <v>64</v>
      </c>
      <c r="AD208" t="s">
        <v>65</v>
      </c>
      <c r="AE208" t="s">
        <v>65</v>
      </c>
      <c r="AF208" t="s">
        <v>65</v>
      </c>
      <c r="AG208" t="s">
        <v>66</v>
      </c>
      <c r="AH208" t="s">
        <v>66</v>
      </c>
      <c r="AI208" t="s">
        <v>66</v>
      </c>
      <c r="AJ208" t="s">
        <v>66</v>
      </c>
      <c r="AK208">
        <v>1</v>
      </c>
      <c r="AL208" t="s">
        <v>66</v>
      </c>
      <c r="AM208" t="s">
        <v>66</v>
      </c>
      <c r="AN208" t="s">
        <v>66</v>
      </c>
      <c r="AO208" t="s">
        <v>66</v>
      </c>
      <c r="AP208">
        <v>1</v>
      </c>
      <c r="AQ208" t="s">
        <v>66</v>
      </c>
      <c r="AR208" t="s">
        <v>66</v>
      </c>
      <c r="AS208" t="s">
        <v>66</v>
      </c>
      <c r="AT208" t="s">
        <v>66</v>
      </c>
    </row>
    <row r="209" spans="1:46" x14ac:dyDescent="0.15">
      <c r="A209" t="s">
        <v>1134</v>
      </c>
      <c r="B209" t="s">
        <v>1132</v>
      </c>
      <c r="C209" t="s">
        <v>1133</v>
      </c>
      <c r="D209">
        <v>2</v>
      </c>
      <c r="E209" t="s">
        <v>49</v>
      </c>
      <c r="F209" t="s">
        <v>50</v>
      </c>
      <c r="G209" t="s">
        <v>51</v>
      </c>
      <c r="H209" t="s">
        <v>52</v>
      </c>
      <c r="I209" t="s">
        <v>53</v>
      </c>
      <c r="J209" t="s">
        <v>54</v>
      </c>
      <c r="K209" t="s">
        <v>55</v>
      </c>
      <c r="L209" t="s">
        <v>17</v>
      </c>
      <c r="M209" t="s">
        <v>16</v>
      </c>
      <c r="N209">
        <v>556</v>
      </c>
      <c r="O209">
        <v>33</v>
      </c>
      <c r="P209">
        <v>0</v>
      </c>
      <c r="Q209" t="s">
        <v>68</v>
      </c>
      <c r="R209" t="s">
        <v>69</v>
      </c>
      <c r="S209" t="s">
        <v>70</v>
      </c>
      <c r="T209" t="s">
        <v>71</v>
      </c>
      <c r="U209" t="s">
        <v>60</v>
      </c>
      <c r="V209" t="s">
        <v>61</v>
      </c>
      <c r="W209">
        <v>3</v>
      </c>
      <c r="X209">
        <v>0.14000000000000001</v>
      </c>
      <c r="Y209" t="s">
        <v>72</v>
      </c>
      <c r="Z209" t="s">
        <v>73</v>
      </c>
      <c r="AA209">
        <v>0</v>
      </c>
      <c r="AB209" t="s">
        <v>63</v>
      </c>
      <c r="AC209" t="s">
        <v>64</v>
      </c>
      <c r="AD209" t="s">
        <v>65</v>
      </c>
      <c r="AE209" t="s">
        <v>65</v>
      </c>
      <c r="AF209" t="s">
        <v>65</v>
      </c>
      <c r="AG209" t="s">
        <v>66</v>
      </c>
      <c r="AH209" t="s">
        <v>66</v>
      </c>
      <c r="AI209" t="s">
        <v>66</v>
      </c>
      <c r="AJ209" t="s">
        <v>66</v>
      </c>
      <c r="AK209">
        <v>1</v>
      </c>
      <c r="AL209" t="s">
        <v>66</v>
      </c>
      <c r="AM209" t="s">
        <v>66</v>
      </c>
      <c r="AN209" t="s">
        <v>66</v>
      </c>
      <c r="AO209" t="s">
        <v>66</v>
      </c>
      <c r="AP209">
        <v>1</v>
      </c>
      <c r="AQ209" t="s">
        <v>66</v>
      </c>
      <c r="AR209" t="s">
        <v>66</v>
      </c>
      <c r="AS209" t="s">
        <v>66</v>
      </c>
      <c r="AT209" t="s">
        <v>66</v>
      </c>
    </row>
    <row r="210" spans="1:46" x14ac:dyDescent="0.15">
      <c r="A210" t="s">
        <v>1135</v>
      </c>
      <c r="B210" t="s">
        <v>1132</v>
      </c>
      <c r="C210" t="s">
        <v>1133</v>
      </c>
      <c r="D210">
        <v>3</v>
      </c>
      <c r="E210" t="s">
        <v>49</v>
      </c>
      <c r="F210" t="s">
        <v>50</v>
      </c>
      <c r="G210" t="s">
        <v>51</v>
      </c>
      <c r="H210" t="s">
        <v>52</v>
      </c>
      <c r="I210" t="s">
        <v>53</v>
      </c>
      <c r="J210" t="s">
        <v>54</v>
      </c>
      <c r="K210" t="s">
        <v>55</v>
      </c>
      <c r="L210" t="s">
        <v>17</v>
      </c>
      <c r="M210" t="s">
        <v>16</v>
      </c>
      <c r="N210">
        <v>612</v>
      </c>
      <c r="O210">
        <v>36</v>
      </c>
      <c r="P210">
        <v>0</v>
      </c>
      <c r="Q210" t="s">
        <v>75</v>
      </c>
      <c r="R210" t="s">
        <v>76</v>
      </c>
      <c r="S210" t="s">
        <v>77</v>
      </c>
      <c r="T210" t="s">
        <v>78</v>
      </c>
      <c r="U210" t="s">
        <v>60</v>
      </c>
      <c r="V210" t="s">
        <v>61</v>
      </c>
      <c r="W210">
        <v>3</v>
      </c>
      <c r="X210">
        <v>0.14000000000000001</v>
      </c>
      <c r="Y210" t="s">
        <v>73</v>
      </c>
      <c r="Z210" t="s">
        <v>79</v>
      </c>
      <c r="AA210">
        <v>0</v>
      </c>
      <c r="AB210" t="s">
        <v>63</v>
      </c>
      <c r="AC210" t="s">
        <v>64</v>
      </c>
      <c r="AD210" t="s">
        <v>65</v>
      </c>
      <c r="AE210" t="s">
        <v>65</v>
      </c>
      <c r="AF210" t="s">
        <v>65</v>
      </c>
      <c r="AG210" t="s">
        <v>66</v>
      </c>
      <c r="AH210" t="s">
        <v>66</v>
      </c>
      <c r="AI210" t="s">
        <v>66</v>
      </c>
      <c r="AJ210" t="s">
        <v>66</v>
      </c>
      <c r="AK210">
        <v>1</v>
      </c>
      <c r="AL210" t="s">
        <v>66</v>
      </c>
      <c r="AM210" t="s">
        <v>66</v>
      </c>
      <c r="AN210" t="s">
        <v>66</v>
      </c>
      <c r="AO210" t="s">
        <v>66</v>
      </c>
      <c r="AP210">
        <v>1</v>
      </c>
      <c r="AQ210" t="s">
        <v>66</v>
      </c>
      <c r="AR210" t="s">
        <v>66</v>
      </c>
      <c r="AS210" t="s">
        <v>66</v>
      </c>
      <c r="AT210" t="s">
        <v>66</v>
      </c>
    </row>
    <row r="211" spans="1:46" x14ac:dyDescent="0.15">
      <c r="A211" t="s">
        <v>1136</v>
      </c>
      <c r="B211" t="s">
        <v>1132</v>
      </c>
      <c r="C211" t="s">
        <v>1133</v>
      </c>
      <c r="D211">
        <v>4</v>
      </c>
      <c r="E211" t="s">
        <v>49</v>
      </c>
      <c r="F211" t="s">
        <v>50</v>
      </c>
      <c r="G211" t="s">
        <v>51</v>
      </c>
      <c r="H211" t="s">
        <v>52</v>
      </c>
      <c r="I211" t="s">
        <v>53</v>
      </c>
      <c r="J211" t="s">
        <v>54</v>
      </c>
      <c r="K211" t="s">
        <v>55</v>
      </c>
      <c r="L211" t="s">
        <v>17</v>
      </c>
      <c r="M211" t="s">
        <v>16</v>
      </c>
      <c r="N211">
        <v>668</v>
      </c>
      <c r="O211">
        <v>40</v>
      </c>
      <c r="P211">
        <v>0</v>
      </c>
      <c r="Q211" t="s">
        <v>81</v>
      </c>
      <c r="R211" t="s">
        <v>82</v>
      </c>
      <c r="S211" t="s">
        <v>83</v>
      </c>
      <c r="T211" t="s">
        <v>84</v>
      </c>
      <c r="U211" t="s">
        <v>60</v>
      </c>
      <c r="V211" t="s">
        <v>61</v>
      </c>
      <c r="W211">
        <v>3</v>
      </c>
      <c r="X211">
        <v>0.14000000000000001</v>
      </c>
      <c r="Y211" t="s">
        <v>85</v>
      </c>
      <c r="Z211" t="s">
        <v>86</v>
      </c>
      <c r="AA211">
        <v>0</v>
      </c>
      <c r="AB211" t="s">
        <v>63</v>
      </c>
      <c r="AC211" t="s">
        <v>64</v>
      </c>
      <c r="AD211" t="s">
        <v>65</v>
      </c>
      <c r="AE211" t="s">
        <v>65</v>
      </c>
      <c r="AF211" t="s">
        <v>65</v>
      </c>
      <c r="AG211" t="s">
        <v>66</v>
      </c>
      <c r="AH211" t="s">
        <v>66</v>
      </c>
      <c r="AI211" t="s">
        <v>66</v>
      </c>
      <c r="AJ211" t="s">
        <v>66</v>
      </c>
      <c r="AK211">
        <v>1</v>
      </c>
      <c r="AL211" t="s">
        <v>66</v>
      </c>
      <c r="AM211" t="s">
        <v>66</v>
      </c>
      <c r="AN211" t="s">
        <v>66</v>
      </c>
      <c r="AO211" t="s">
        <v>66</v>
      </c>
      <c r="AP211">
        <v>1</v>
      </c>
      <c r="AQ211" t="s">
        <v>66</v>
      </c>
      <c r="AR211" t="s">
        <v>66</v>
      </c>
      <c r="AS211" t="s">
        <v>66</v>
      </c>
      <c r="AT211" t="s">
        <v>66</v>
      </c>
    </row>
    <row r="212" spans="1:46" x14ac:dyDescent="0.15">
      <c r="A212" t="s">
        <v>1137</v>
      </c>
      <c r="B212" t="s">
        <v>1132</v>
      </c>
      <c r="C212" t="s">
        <v>1133</v>
      </c>
      <c r="D212">
        <v>5</v>
      </c>
      <c r="E212" t="s">
        <v>49</v>
      </c>
      <c r="F212" t="s">
        <v>50</v>
      </c>
      <c r="G212" t="s">
        <v>51</v>
      </c>
      <c r="H212" t="s">
        <v>52</v>
      </c>
      <c r="I212" t="s">
        <v>53</v>
      </c>
      <c r="J212" t="s">
        <v>54</v>
      </c>
      <c r="K212" t="s">
        <v>55</v>
      </c>
      <c r="L212" t="s">
        <v>17</v>
      </c>
      <c r="M212" t="s">
        <v>16</v>
      </c>
      <c r="N212">
        <v>724</v>
      </c>
      <c r="O212">
        <v>43</v>
      </c>
      <c r="P212">
        <v>0</v>
      </c>
      <c r="Q212" t="s">
        <v>88</v>
      </c>
      <c r="R212" t="s">
        <v>89</v>
      </c>
      <c r="S212" t="s">
        <v>90</v>
      </c>
      <c r="T212" t="s">
        <v>91</v>
      </c>
      <c r="U212" t="s">
        <v>60</v>
      </c>
      <c r="V212" t="s">
        <v>61</v>
      </c>
      <c r="W212">
        <v>3</v>
      </c>
      <c r="X212">
        <v>0.14000000000000001</v>
      </c>
      <c r="Y212" t="s">
        <v>79</v>
      </c>
      <c r="Z212" t="s">
        <v>92</v>
      </c>
      <c r="AA212">
        <v>0</v>
      </c>
      <c r="AB212" t="s">
        <v>63</v>
      </c>
      <c r="AC212" t="s">
        <v>64</v>
      </c>
      <c r="AD212" t="s">
        <v>65</v>
      </c>
      <c r="AE212" t="s">
        <v>65</v>
      </c>
      <c r="AF212" t="s">
        <v>65</v>
      </c>
      <c r="AG212" t="s">
        <v>66</v>
      </c>
      <c r="AH212" t="s">
        <v>66</v>
      </c>
      <c r="AI212" t="s">
        <v>66</v>
      </c>
      <c r="AJ212" t="s">
        <v>66</v>
      </c>
      <c r="AK212">
        <v>1</v>
      </c>
      <c r="AL212" t="s">
        <v>66</v>
      </c>
      <c r="AM212" t="s">
        <v>66</v>
      </c>
      <c r="AN212" t="s">
        <v>66</v>
      </c>
      <c r="AO212" t="s">
        <v>66</v>
      </c>
      <c r="AP212">
        <v>1</v>
      </c>
      <c r="AQ212" t="s">
        <v>66</v>
      </c>
      <c r="AR212" t="s">
        <v>66</v>
      </c>
      <c r="AS212" t="s">
        <v>66</v>
      </c>
      <c r="AT212" t="s">
        <v>66</v>
      </c>
    </row>
    <row r="213" spans="1:46" x14ac:dyDescent="0.15">
      <c r="A213" t="s">
        <v>1138</v>
      </c>
      <c r="B213" t="s">
        <v>1132</v>
      </c>
      <c r="C213" t="s">
        <v>1133</v>
      </c>
      <c r="D213">
        <v>6</v>
      </c>
      <c r="E213" t="s">
        <v>49</v>
      </c>
      <c r="F213" t="s">
        <v>50</v>
      </c>
      <c r="G213" t="s">
        <v>51</v>
      </c>
      <c r="H213" t="s">
        <v>52</v>
      </c>
      <c r="I213" t="s">
        <v>53</v>
      </c>
      <c r="J213" t="s">
        <v>54</v>
      </c>
      <c r="K213" t="s">
        <v>55</v>
      </c>
      <c r="L213" t="s">
        <v>17</v>
      </c>
      <c r="M213" t="s">
        <v>16</v>
      </c>
      <c r="N213">
        <v>781</v>
      </c>
      <c r="O213">
        <v>46</v>
      </c>
      <c r="P213">
        <v>0</v>
      </c>
      <c r="Q213" t="s">
        <v>94</v>
      </c>
      <c r="R213" t="s">
        <v>95</v>
      </c>
      <c r="S213" t="s">
        <v>96</v>
      </c>
      <c r="T213" t="s">
        <v>97</v>
      </c>
      <c r="U213" t="s">
        <v>60</v>
      </c>
      <c r="V213" t="s">
        <v>61</v>
      </c>
      <c r="W213">
        <v>3</v>
      </c>
      <c r="X213">
        <v>0.14000000000000001</v>
      </c>
      <c r="Y213" t="s">
        <v>98</v>
      </c>
      <c r="Z213" t="s">
        <v>99</v>
      </c>
      <c r="AA213">
        <v>0</v>
      </c>
      <c r="AB213" t="s">
        <v>63</v>
      </c>
      <c r="AC213" t="s">
        <v>64</v>
      </c>
      <c r="AD213" t="s">
        <v>65</v>
      </c>
      <c r="AE213" t="s">
        <v>65</v>
      </c>
      <c r="AF213" t="s">
        <v>65</v>
      </c>
      <c r="AG213" t="s">
        <v>66</v>
      </c>
      <c r="AH213" t="s">
        <v>66</v>
      </c>
      <c r="AI213" t="s">
        <v>66</v>
      </c>
      <c r="AJ213" t="s">
        <v>66</v>
      </c>
      <c r="AK213">
        <v>1</v>
      </c>
      <c r="AL213" t="s">
        <v>66</v>
      </c>
      <c r="AM213" t="s">
        <v>66</v>
      </c>
      <c r="AN213" t="s">
        <v>66</v>
      </c>
      <c r="AO213" t="s">
        <v>66</v>
      </c>
      <c r="AP213">
        <v>1</v>
      </c>
      <c r="AQ213" t="s">
        <v>66</v>
      </c>
      <c r="AR213" t="s">
        <v>66</v>
      </c>
      <c r="AS213" t="s">
        <v>66</v>
      </c>
      <c r="AT213" t="s">
        <v>66</v>
      </c>
    </row>
    <row r="214" spans="1:46" x14ac:dyDescent="0.15">
      <c r="A214" t="s">
        <v>1139</v>
      </c>
      <c r="B214" t="s">
        <v>1132</v>
      </c>
      <c r="C214" t="s">
        <v>1133</v>
      </c>
      <c r="D214">
        <v>7</v>
      </c>
      <c r="E214" t="s">
        <v>49</v>
      </c>
      <c r="F214" t="s">
        <v>50</v>
      </c>
      <c r="G214" t="s">
        <v>51</v>
      </c>
      <c r="H214" t="s">
        <v>52</v>
      </c>
      <c r="I214" t="s">
        <v>53</v>
      </c>
      <c r="J214" t="s">
        <v>54</v>
      </c>
      <c r="K214" t="s">
        <v>55</v>
      </c>
      <c r="L214" t="s">
        <v>17</v>
      </c>
      <c r="M214" t="s">
        <v>16</v>
      </c>
      <c r="N214">
        <v>837</v>
      </c>
      <c r="O214">
        <v>49</v>
      </c>
      <c r="P214">
        <v>0</v>
      </c>
      <c r="Q214" t="s">
        <v>101</v>
      </c>
      <c r="R214" t="s">
        <v>102</v>
      </c>
      <c r="S214" t="s">
        <v>103</v>
      </c>
      <c r="T214" t="s">
        <v>104</v>
      </c>
      <c r="U214" t="s">
        <v>60</v>
      </c>
      <c r="V214" t="s">
        <v>61</v>
      </c>
      <c r="W214">
        <v>3</v>
      </c>
      <c r="X214">
        <v>0.14000000000000001</v>
      </c>
      <c r="Y214" t="s">
        <v>86</v>
      </c>
      <c r="Z214" t="s">
        <v>105</v>
      </c>
      <c r="AA214">
        <v>0</v>
      </c>
      <c r="AB214" t="s">
        <v>63</v>
      </c>
      <c r="AC214" t="s">
        <v>64</v>
      </c>
      <c r="AD214" t="s">
        <v>65</v>
      </c>
      <c r="AE214" t="s">
        <v>65</v>
      </c>
      <c r="AF214" t="s">
        <v>65</v>
      </c>
      <c r="AG214" t="s">
        <v>66</v>
      </c>
      <c r="AH214" t="s">
        <v>66</v>
      </c>
      <c r="AI214" t="s">
        <v>66</v>
      </c>
      <c r="AJ214" t="s">
        <v>66</v>
      </c>
      <c r="AK214">
        <v>1</v>
      </c>
      <c r="AL214" t="s">
        <v>66</v>
      </c>
      <c r="AM214" t="s">
        <v>66</v>
      </c>
      <c r="AN214" t="s">
        <v>66</v>
      </c>
      <c r="AO214" t="s">
        <v>66</v>
      </c>
      <c r="AP214">
        <v>1</v>
      </c>
      <c r="AQ214" t="s">
        <v>66</v>
      </c>
      <c r="AR214" t="s">
        <v>66</v>
      </c>
      <c r="AS214" t="s">
        <v>66</v>
      </c>
      <c r="AT214" t="s">
        <v>66</v>
      </c>
    </row>
    <row r="215" spans="1:46" x14ac:dyDescent="0.15">
      <c r="A215" t="s">
        <v>1140</v>
      </c>
      <c r="B215" t="s">
        <v>1132</v>
      </c>
      <c r="C215" t="s">
        <v>1133</v>
      </c>
      <c r="D215">
        <v>8</v>
      </c>
      <c r="E215" t="s">
        <v>49</v>
      </c>
      <c r="F215" t="s">
        <v>50</v>
      </c>
      <c r="G215" t="s">
        <v>51</v>
      </c>
      <c r="H215" t="s">
        <v>52</v>
      </c>
      <c r="I215" t="s">
        <v>53</v>
      </c>
      <c r="J215" t="s">
        <v>54</v>
      </c>
      <c r="K215" t="s">
        <v>55</v>
      </c>
      <c r="L215" t="s">
        <v>17</v>
      </c>
      <c r="M215" t="s">
        <v>16</v>
      </c>
      <c r="N215">
        <v>893</v>
      </c>
      <c r="O215">
        <v>53</v>
      </c>
      <c r="P215">
        <v>0</v>
      </c>
      <c r="Q215" t="s">
        <v>107</v>
      </c>
      <c r="R215" t="s">
        <v>108</v>
      </c>
      <c r="S215" t="s">
        <v>109</v>
      </c>
      <c r="T215" t="s">
        <v>110</v>
      </c>
      <c r="U215" t="s">
        <v>60</v>
      </c>
      <c r="V215" t="s">
        <v>61</v>
      </c>
      <c r="W215">
        <v>3</v>
      </c>
      <c r="X215">
        <v>0.14000000000000001</v>
      </c>
      <c r="Y215" t="s">
        <v>111</v>
      </c>
      <c r="Z215" t="s">
        <v>112</v>
      </c>
      <c r="AA215">
        <v>0</v>
      </c>
      <c r="AB215" t="s">
        <v>63</v>
      </c>
      <c r="AC215" t="s">
        <v>64</v>
      </c>
      <c r="AD215" t="s">
        <v>65</v>
      </c>
      <c r="AE215" t="s">
        <v>65</v>
      </c>
      <c r="AF215" t="s">
        <v>65</v>
      </c>
      <c r="AG215" t="s">
        <v>66</v>
      </c>
      <c r="AH215" t="s">
        <v>66</v>
      </c>
      <c r="AI215" t="s">
        <v>66</v>
      </c>
      <c r="AJ215" t="s">
        <v>66</v>
      </c>
      <c r="AK215">
        <v>1</v>
      </c>
      <c r="AL215" t="s">
        <v>66</v>
      </c>
      <c r="AM215" t="s">
        <v>66</v>
      </c>
      <c r="AN215" t="s">
        <v>66</v>
      </c>
      <c r="AO215" t="s">
        <v>66</v>
      </c>
      <c r="AP215">
        <v>1</v>
      </c>
      <c r="AQ215" t="s">
        <v>66</v>
      </c>
      <c r="AR215" t="s">
        <v>66</v>
      </c>
      <c r="AS215" t="s">
        <v>66</v>
      </c>
      <c r="AT215" t="s">
        <v>66</v>
      </c>
    </row>
    <row r="216" spans="1:46" x14ac:dyDescent="0.15">
      <c r="A216" t="s">
        <v>1141</v>
      </c>
      <c r="B216" t="s">
        <v>1132</v>
      </c>
      <c r="C216" t="s">
        <v>1133</v>
      </c>
      <c r="D216">
        <v>9</v>
      </c>
      <c r="E216" t="s">
        <v>49</v>
      </c>
      <c r="F216" t="s">
        <v>50</v>
      </c>
      <c r="G216" t="s">
        <v>51</v>
      </c>
      <c r="H216" t="s">
        <v>52</v>
      </c>
      <c r="I216" t="s">
        <v>53</v>
      </c>
      <c r="J216" t="s">
        <v>54</v>
      </c>
      <c r="K216" t="s">
        <v>55</v>
      </c>
      <c r="L216" t="s">
        <v>17</v>
      </c>
      <c r="M216" t="s">
        <v>16</v>
      </c>
      <c r="N216">
        <v>949</v>
      </c>
      <c r="O216">
        <v>56</v>
      </c>
      <c r="P216">
        <v>0</v>
      </c>
      <c r="Q216" t="s">
        <v>114</v>
      </c>
      <c r="R216" t="s">
        <v>115</v>
      </c>
      <c r="S216" t="s">
        <v>116</v>
      </c>
      <c r="T216" t="s">
        <v>117</v>
      </c>
      <c r="U216" t="s">
        <v>60</v>
      </c>
      <c r="V216" t="s">
        <v>61</v>
      </c>
      <c r="W216">
        <v>3</v>
      </c>
      <c r="X216">
        <v>0.14000000000000001</v>
      </c>
      <c r="Y216" t="s">
        <v>92</v>
      </c>
      <c r="Z216" t="s">
        <v>118</v>
      </c>
      <c r="AA216">
        <v>0</v>
      </c>
      <c r="AB216" t="s">
        <v>63</v>
      </c>
      <c r="AC216" t="s">
        <v>64</v>
      </c>
      <c r="AD216" t="s">
        <v>65</v>
      </c>
      <c r="AE216" t="s">
        <v>65</v>
      </c>
      <c r="AF216" t="s">
        <v>65</v>
      </c>
      <c r="AG216" t="s">
        <v>66</v>
      </c>
      <c r="AH216" t="s">
        <v>66</v>
      </c>
      <c r="AI216" t="s">
        <v>66</v>
      </c>
      <c r="AJ216" t="s">
        <v>66</v>
      </c>
      <c r="AK216">
        <v>1</v>
      </c>
      <c r="AL216" t="s">
        <v>66</v>
      </c>
      <c r="AM216" t="s">
        <v>66</v>
      </c>
      <c r="AN216" t="s">
        <v>66</v>
      </c>
      <c r="AO216" t="s">
        <v>66</v>
      </c>
      <c r="AP216">
        <v>1</v>
      </c>
      <c r="AQ216" t="s">
        <v>66</v>
      </c>
      <c r="AR216" t="s">
        <v>66</v>
      </c>
      <c r="AS216" t="s">
        <v>66</v>
      </c>
      <c r="AT216" t="s">
        <v>66</v>
      </c>
    </row>
    <row r="217" spans="1:46" x14ac:dyDescent="0.15">
      <c r="A217" t="s">
        <v>1142</v>
      </c>
      <c r="B217" t="s">
        <v>1132</v>
      </c>
      <c r="C217" t="s">
        <v>1133</v>
      </c>
      <c r="D217">
        <v>10</v>
      </c>
      <c r="E217" t="s">
        <v>49</v>
      </c>
      <c r="F217" t="s">
        <v>50</v>
      </c>
      <c r="G217" t="s">
        <v>51</v>
      </c>
      <c r="H217" t="s">
        <v>52</v>
      </c>
      <c r="I217" t="s">
        <v>53</v>
      </c>
      <c r="J217" t="s">
        <v>54</v>
      </c>
      <c r="K217" t="s">
        <v>55</v>
      </c>
      <c r="L217" t="s">
        <v>17</v>
      </c>
      <c r="M217" t="s">
        <v>16</v>
      </c>
      <c r="N217">
        <v>1005</v>
      </c>
      <c r="O217">
        <v>59</v>
      </c>
      <c r="P217">
        <v>0</v>
      </c>
      <c r="Q217" t="s">
        <v>120</v>
      </c>
      <c r="R217" t="s">
        <v>121</v>
      </c>
      <c r="S217" t="s">
        <v>122</v>
      </c>
      <c r="T217" t="s">
        <v>123</v>
      </c>
      <c r="U217" t="s">
        <v>60</v>
      </c>
      <c r="V217" t="s">
        <v>61</v>
      </c>
      <c r="W217">
        <v>3</v>
      </c>
      <c r="X217">
        <v>0.14000000000000001</v>
      </c>
      <c r="Y217" t="s">
        <v>124</v>
      </c>
      <c r="Z217" t="s">
        <v>125</v>
      </c>
      <c r="AA217">
        <v>0</v>
      </c>
      <c r="AB217" t="s">
        <v>63</v>
      </c>
      <c r="AC217" t="s">
        <v>64</v>
      </c>
      <c r="AD217" t="s">
        <v>65</v>
      </c>
      <c r="AE217" t="s">
        <v>65</v>
      </c>
      <c r="AF217" t="s">
        <v>65</v>
      </c>
      <c r="AG217" t="s">
        <v>66</v>
      </c>
      <c r="AH217" t="s">
        <v>66</v>
      </c>
      <c r="AI217" t="s">
        <v>66</v>
      </c>
      <c r="AJ217" t="s">
        <v>66</v>
      </c>
      <c r="AK217">
        <v>1</v>
      </c>
      <c r="AL217" t="s">
        <v>66</v>
      </c>
      <c r="AM217" t="s">
        <v>66</v>
      </c>
      <c r="AN217" t="s">
        <v>66</v>
      </c>
      <c r="AO217" t="s">
        <v>66</v>
      </c>
      <c r="AP217">
        <v>1</v>
      </c>
      <c r="AQ217" t="s">
        <v>66</v>
      </c>
      <c r="AR217" t="s">
        <v>66</v>
      </c>
      <c r="AS217" t="s">
        <v>66</v>
      </c>
      <c r="AT217" t="s">
        <v>66</v>
      </c>
    </row>
    <row r="218" spans="1:46" x14ac:dyDescent="0.15">
      <c r="A218" t="s">
        <v>1143</v>
      </c>
      <c r="B218" t="s">
        <v>1132</v>
      </c>
      <c r="C218" t="s">
        <v>1133</v>
      </c>
      <c r="D218">
        <v>11</v>
      </c>
      <c r="E218" t="s">
        <v>49</v>
      </c>
      <c r="F218" t="s">
        <v>50</v>
      </c>
      <c r="G218" t="s">
        <v>51</v>
      </c>
      <c r="H218" t="s">
        <v>52</v>
      </c>
      <c r="I218" t="s">
        <v>53</v>
      </c>
      <c r="J218" t="s">
        <v>54</v>
      </c>
      <c r="K218" t="s">
        <v>55</v>
      </c>
      <c r="L218" t="s">
        <v>17</v>
      </c>
      <c r="M218" t="s">
        <v>16</v>
      </c>
      <c r="N218">
        <v>1061</v>
      </c>
      <c r="O218">
        <v>62</v>
      </c>
      <c r="P218">
        <v>0</v>
      </c>
      <c r="Q218" t="s">
        <v>127</v>
      </c>
      <c r="R218" t="s">
        <v>128</v>
      </c>
      <c r="S218" t="s">
        <v>129</v>
      </c>
      <c r="T218" t="s">
        <v>130</v>
      </c>
      <c r="U218" t="s">
        <v>60</v>
      </c>
      <c r="V218" t="s">
        <v>61</v>
      </c>
      <c r="W218">
        <v>3</v>
      </c>
      <c r="X218">
        <v>0.14000000000000001</v>
      </c>
      <c r="Y218" t="s">
        <v>99</v>
      </c>
      <c r="Z218" t="s">
        <v>131</v>
      </c>
      <c r="AA218">
        <v>0</v>
      </c>
      <c r="AB218" t="s">
        <v>63</v>
      </c>
      <c r="AC218" t="s">
        <v>64</v>
      </c>
      <c r="AD218" t="s">
        <v>65</v>
      </c>
      <c r="AE218" t="s">
        <v>65</v>
      </c>
      <c r="AF218" t="s">
        <v>65</v>
      </c>
      <c r="AG218" t="s">
        <v>66</v>
      </c>
      <c r="AH218" t="s">
        <v>66</v>
      </c>
      <c r="AI218" t="s">
        <v>66</v>
      </c>
      <c r="AJ218" t="s">
        <v>66</v>
      </c>
      <c r="AK218">
        <v>1</v>
      </c>
      <c r="AL218" t="s">
        <v>66</v>
      </c>
      <c r="AM218" t="s">
        <v>66</v>
      </c>
      <c r="AN218" t="s">
        <v>66</v>
      </c>
      <c r="AO218" t="s">
        <v>66</v>
      </c>
      <c r="AP218">
        <v>1</v>
      </c>
      <c r="AQ218" t="s">
        <v>66</v>
      </c>
      <c r="AR218" t="s">
        <v>66</v>
      </c>
      <c r="AS218" t="s">
        <v>66</v>
      </c>
      <c r="AT218" t="s">
        <v>66</v>
      </c>
    </row>
    <row r="219" spans="1:46" x14ac:dyDescent="0.15">
      <c r="A219" t="s">
        <v>1144</v>
      </c>
      <c r="B219" t="s">
        <v>1132</v>
      </c>
      <c r="C219" t="s">
        <v>1133</v>
      </c>
      <c r="D219">
        <v>12</v>
      </c>
      <c r="E219" t="s">
        <v>49</v>
      </c>
      <c r="F219" t="s">
        <v>50</v>
      </c>
      <c r="G219" t="s">
        <v>51</v>
      </c>
      <c r="H219" t="s">
        <v>52</v>
      </c>
      <c r="I219" t="s">
        <v>53</v>
      </c>
      <c r="J219" t="s">
        <v>54</v>
      </c>
      <c r="K219" t="s">
        <v>55</v>
      </c>
      <c r="L219" t="s">
        <v>17</v>
      </c>
      <c r="M219" t="s">
        <v>16</v>
      </c>
      <c r="N219">
        <v>1117</v>
      </c>
      <c r="O219">
        <v>66</v>
      </c>
      <c r="P219">
        <v>0</v>
      </c>
      <c r="Q219" t="s">
        <v>133</v>
      </c>
      <c r="R219" t="s">
        <v>134</v>
      </c>
      <c r="S219" t="s">
        <v>135</v>
      </c>
      <c r="T219" t="s">
        <v>136</v>
      </c>
      <c r="U219" t="s">
        <v>60</v>
      </c>
      <c r="V219" t="s">
        <v>61</v>
      </c>
      <c r="W219">
        <v>3</v>
      </c>
      <c r="X219">
        <v>0.14000000000000001</v>
      </c>
      <c r="Y219" t="s">
        <v>137</v>
      </c>
      <c r="Z219" t="s">
        <v>138</v>
      </c>
      <c r="AA219">
        <v>0</v>
      </c>
      <c r="AB219" t="s">
        <v>63</v>
      </c>
      <c r="AC219" t="s">
        <v>64</v>
      </c>
      <c r="AD219" t="s">
        <v>65</v>
      </c>
      <c r="AE219" t="s">
        <v>65</v>
      </c>
      <c r="AF219" t="s">
        <v>65</v>
      </c>
      <c r="AG219" t="s">
        <v>66</v>
      </c>
      <c r="AH219" t="s">
        <v>66</v>
      </c>
      <c r="AI219" t="s">
        <v>66</v>
      </c>
      <c r="AJ219" t="s">
        <v>66</v>
      </c>
      <c r="AK219">
        <v>1</v>
      </c>
      <c r="AL219" t="s">
        <v>66</v>
      </c>
      <c r="AM219" t="s">
        <v>66</v>
      </c>
      <c r="AN219" t="s">
        <v>66</v>
      </c>
      <c r="AO219" t="s">
        <v>66</v>
      </c>
      <c r="AP219">
        <v>1</v>
      </c>
      <c r="AQ219" t="s">
        <v>66</v>
      </c>
      <c r="AR219" t="s">
        <v>66</v>
      </c>
      <c r="AS219" t="s">
        <v>66</v>
      </c>
      <c r="AT219" t="s">
        <v>66</v>
      </c>
    </row>
    <row r="220" spans="1:46" x14ac:dyDescent="0.15">
      <c r="A220" t="s">
        <v>1145</v>
      </c>
      <c r="B220" t="s">
        <v>1132</v>
      </c>
      <c r="C220" t="s">
        <v>1133</v>
      </c>
      <c r="D220">
        <v>13</v>
      </c>
      <c r="E220" t="s">
        <v>49</v>
      </c>
      <c r="F220" t="s">
        <v>50</v>
      </c>
      <c r="G220" t="s">
        <v>51</v>
      </c>
      <c r="H220" t="s">
        <v>52</v>
      </c>
      <c r="I220" t="s">
        <v>53</v>
      </c>
      <c r="J220" t="s">
        <v>54</v>
      </c>
      <c r="K220" t="s">
        <v>55</v>
      </c>
      <c r="L220" t="s">
        <v>17</v>
      </c>
      <c r="M220" t="s">
        <v>16</v>
      </c>
      <c r="N220">
        <v>1173</v>
      </c>
      <c r="O220">
        <v>69</v>
      </c>
      <c r="P220">
        <v>0</v>
      </c>
      <c r="Q220" t="s">
        <v>140</v>
      </c>
      <c r="R220" t="s">
        <v>141</v>
      </c>
      <c r="S220" t="s">
        <v>142</v>
      </c>
      <c r="T220" t="s">
        <v>143</v>
      </c>
      <c r="U220" t="s">
        <v>60</v>
      </c>
      <c r="V220" t="s">
        <v>61</v>
      </c>
      <c r="W220">
        <v>3</v>
      </c>
      <c r="X220">
        <v>0.14000000000000001</v>
      </c>
      <c r="Y220" t="s">
        <v>105</v>
      </c>
      <c r="Z220" t="s">
        <v>144</v>
      </c>
      <c r="AA220">
        <v>0</v>
      </c>
      <c r="AB220" t="s">
        <v>63</v>
      </c>
      <c r="AC220" t="s">
        <v>64</v>
      </c>
      <c r="AD220" t="s">
        <v>65</v>
      </c>
      <c r="AE220" t="s">
        <v>65</v>
      </c>
      <c r="AF220" t="s">
        <v>65</v>
      </c>
      <c r="AG220" t="s">
        <v>66</v>
      </c>
      <c r="AH220" t="s">
        <v>66</v>
      </c>
      <c r="AI220" t="s">
        <v>66</v>
      </c>
      <c r="AJ220" t="s">
        <v>66</v>
      </c>
      <c r="AK220">
        <v>1</v>
      </c>
      <c r="AL220" t="s">
        <v>66</v>
      </c>
      <c r="AM220" t="s">
        <v>66</v>
      </c>
      <c r="AN220" t="s">
        <v>66</v>
      </c>
      <c r="AO220" t="s">
        <v>66</v>
      </c>
      <c r="AP220">
        <v>1</v>
      </c>
      <c r="AQ220" t="s">
        <v>66</v>
      </c>
      <c r="AR220" t="s">
        <v>66</v>
      </c>
      <c r="AS220" t="s">
        <v>66</v>
      </c>
      <c r="AT220" t="s">
        <v>66</v>
      </c>
    </row>
    <row r="221" spans="1:46" x14ac:dyDescent="0.15">
      <c r="A221" t="s">
        <v>1146</v>
      </c>
      <c r="B221" t="s">
        <v>1132</v>
      </c>
      <c r="C221" t="s">
        <v>1133</v>
      </c>
      <c r="D221">
        <v>14</v>
      </c>
      <c r="E221" t="s">
        <v>49</v>
      </c>
      <c r="F221" t="s">
        <v>50</v>
      </c>
      <c r="G221" t="s">
        <v>51</v>
      </c>
      <c r="H221" t="s">
        <v>52</v>
      </c>
      <c r="I221" t="s">
        <v>53</v>
      </c>
      <c r="J221" t="s">
        <v>54</v>
      </c>
      <c r="K221" t="s">
        <v>55</v>
      </c>
      <c r="L221" t="s">
        <v>17</v>
      </c>
      <c r="M221" t="s">
        <v>16</v>
      </c>
      <c r="N221">
        <v>1230</v>
      </c>
      <c r="O221">
        <v>72</v>
      </c>
      <c r="P221">
        <v>0</v>
      </c>
      <c r="Q221" t="s">
        <v>146</v>
      </c>
      <c r="R221" t="s">
        <v>147</v>
      </c>
      <c r="S221" t="s">
        <v>148</v>
      </c>
      <c r="T221" t="s">
        <v>149</v>
      </c>
      <c r="U221" t="s">
        <v>60</v>
      </c>
      <c r="V221" t="s">
        <v>61</v>
      </c>
      <c r="W221">
        <v>3</v>
      </c>
      <c r="X221">
        <v>0.14000000000000001</v>
      </c>
      <c r="Y221" t="s">
        <v>150</v>
      </c>
      <c r="Z221" t="s">
        <v>151</v>
      </c>
      <c r="AA221">
        <v>0</v>
      </c>
      <c r="AB221" t="s">
        <v>63</v>
      </c>
      <c r="AC221" t="s">
        <v>64</v>
      </c>
      <c r="AD221" t="s">
        <v>65</v>
      </c>
      <c r="AE221" t="s">
        <v>65</v>
      </c>
      <c r="AF221" t="s">
        <v>65</v>
      </c>
      <c r="AG221" t="s">
        <v>66</v>
      </c>
      <c r="AH221" t="s">
        <v>66</v>
      </c>
      <c r="AI221" t="s">
        <v>66</v>
      </c>
      <c r="AJ221" t="s">
        <v>66</v>
      </c>
      <c r="AK221">
        <v>1</v>
      </c>
      <c r="AL221" t="s">
        <v>66</v>
      </c>
      <c r="AM221" t="s">
        <v>66</v>
      </c>
      <c r="AN221" t="s">
        <v>66</v>
      </c>
      <c r="AO221" t="s">
        <v>66</v>
      </c>
      <c r="AP221">
        <v>1</v>
      </c>
      <c r="AQ221" t="s">
        <v>66</v>
      </c>
      <c r="AR221" t="s">
        <v>66</v>
      </c>
      <c r="AS221" t="s">
        <v>66</v>
      </c>
      <c r="AT221" t="s">
        <v>66</v>
      </c>
    </row>
    <row r="222" spans="1:46" x14ac:dyDescent="0.15">
      <c r="A222" t="s">
        <v>1147</v>
      </c>
      <c r="B222" t="s">
        <v>1132</v>
      </c>
      <c r="C222" t="s">
        <v>1133</v>
      </c>
      <c r="D222">
        <v>15</v>
      </c>
      <c r="E222" t="s">
        <v>49</v>
      </c>
      <c r="F222" t="s">
        <v>50</v>
      </c>
      <c r="G222" t="s">
        <v>51</v>
      </c>
      <c r="H222" t="s">
        <v>52</v>
      </c>
      <c r="I222" t="s">
        <v>53</v>
      </c>
      <c r="J222" t="s">
        <v>54</v>
      </c>
      <c r="K222" t="s">
        <v>55</v>
      </c>
      <c r="L222" t="s">
        <v>17</v>
      </c>
      <c r="M222" t="s">
        <v>16</v>
      </c>
      <c r="N222">
        <v>1286</v>
      </c>
      <c r="O222">
        <v>75</v>
      </c>
      <c r="P222">
        <v>0</v>
      </c>
      <c r="Q222" t="s">
        <v>153</v>
      </c>
      <c r="R222" t="s">
        <v>154</v>
      </c>
      <c r="S222" t="s">
        <v>155</v>
      </c>
      <c r="T222" t="s">
        <v>156</v>
      </c>
      <c r="U222" t="s">
        <v>60</v>
      </c>
      <c r="V222" t="s">
        <v>61</v>
      </c>
      <c r="W222">
        <v>3</v>
      </c>
      <c r="X222">
        <v>0.14000000000000001</v>
      </c>
      <c r="Y222" t="s">
        <v>112</v>
      </c>
      <c r="Z222" t="s">
        <v>157</v>
      </c>
      <c r="AA222">
        <v>0</v>
      </c>
      <c r="AB222" t="s">
        <v>63</v>
      </c>
      <c r="AC222" t="s">
        <v>64</v>
      </c>
      <c r="AD222" t="s">
        <v>65</v>
      </c>
      <c r="AE222" t="s">
        <v>65</v>
      </c>
      <c r="AF222" t="s">
        <v>65</v>
      </c>
      <c r="AG222" t="s">
        <v>66</v>
      </c>
      <c r="AH222" t="s">
        <v>66</v>
      </c>
      <c r="AI222" t="s">
        <v>66</v>
      </c>
      <c r="AJ222" t="s">
        <v>66</v>
      </c>
      <c r="AK222">
        <v>1</v>
      </c>
      <c r="AL222" t="s">
        <v>66</v>
      </c>
      <c r="AM222" t="s">
        <v>66</v>
      </c>
      <c r="AN222" t="s">
        <v>66</v>
      </c>
      <c r="AO222" t="s">
        <v>66</v>
      </c>
      <c r="AP222">
        <v>1</v>
      </c>
      <c r="AQ222" t="s">
        <v>66</v>
      </c>
      <c r="AR222" t="s">
        <v>66</v>
      </c>
      <c r="AS222" t="s">
        <v>66</v>
      </c>
      <c r="AT222" t="s">
        <v>66</v>
      </c>
    </row>
    <row r="223" spans="1:46" x14ac:dyDescent="0.15">
      <c r="A223" t="s">
        <v>1148</v>
      </c>
      <c r="B223" t="s">
        <v>1132</v>
      </c>
      <c r="C223" t="s">
        <v>1133</v>
      </c>
      <c r="D223">
        <v>16</v>
      </c>
      <c r="E223" t="s">
        <v>49</v>
      </c>
      <c r="F223" t="s">
        <v>50</v>
      </c>
      <c r="G223" t="s">
        <v>51</v>
      </c>
      <c r="H223" t="s">
        <v>52</v>
      </c>
      <c r="I223" t="s">
        <v>53</v>
      </c>
      <c r="J223" t="s">
        <v>54</v>
      </c>
      <c r="K223" t="s">
        <v>55</v>
      </c>
      <c r="L223" t="s">
        <v>17</v>
      </c>
      <c r="M223" t="s">
        <v>16</v>
      </c>
      <c r="N223">
        <v>1342</v>
      </c>
      <c r="O223">
        <v>79</v>
      </c>
      <c r="P223">
        <v>0</v>
      </c>
      <c r="Q223" t="s">
        <v>159</v>
      </c>
      <c r="R223" t="s">
        <v>160</v>
      </c>
      <c r="S223" t="s">
        <v>161</v>
      </c>
      <c r="T223" t="s">
        <v>162</v>
      </c>
      <c r="U223" t="s">
        <v>60</v>
      </c>
      <c r="V223" t="s">
        <v>61</v>
      </c>
      <c r="W223">
        <v>3</v>
      </c>
      <c r="X223">
        <v>0.14000000000000001</v>
      </c>
      <c r="Y223" t="s">
        <v>163</v>
      </c>
      <c r="Z223" t="s">
        <v>164</v>
      </c>
      <c r="AA223">
        <v>0</v>
      </c>
      <c r="AB223" t="s">
        <v>63</v>
      </c>
      <c r="AC223" t="s">
        <v>64</v>
      </c>
      <c r="AD223" t="s">
        <v>65</v>
      </c>
      <c r="AE223" t="s">
        <v>65</v>
      </c>
      <c r="AF223" t="s">
        <v>65</v>
      </c>
      <c r="AG223" t="s">
        <v>66</v>
      </c>
      <c r="AH223" t="s">
        <v>66</v>
      </c>
      <c r="AI223" t="s">
        <v>66</v>
      </c>
      <c r="AJ223" t="s">
        <v>66</v>
      </c>
      <c r="AK223">
        <v>1</v>
      </c>
      <c r="AL223" t="s">
        <v>66</v>
      </c>
      <c r="AM223" t="s">
        <v>66</v>
      </c>
      <c r="AN223" t="s">
        <v>66</v>
      </c>
      <c r="AO223" t="s">
        <v>66</v>
      </c>
      <c r="AP223">
        <v>1</v>
      </c>
      <c r="AQ223" t="s">
        <v>66</v>
      </c>
      <c r="AR223" t="s">
        <v>66</v>
      </c>
      <c r="AS223" t="s">
        <v>66</v>
      </c>
      <c r="AT223" t="s">
        <v>66</v>
      </c>
    </row>
    <row r="224" spans="1:46" x14ac:dyDescent="0.15">
      <c r="A224" t="s">
        <v>1149</v>
      </c>
      <c r="B224" t="s">
        <v>1132</v>
      </c>
      <c r="C224" t="s">
        <v>1133</v>
      </c>
      <c r="D224">
        <v>17</v>
      </c>
      <c r="E224" t="s">
        <v>49</v>
      </c>
      <c r="F224" t="s">
        <v>50</v>
      </c>
      <c r="G224" t="s">
        <v>51</v>
      </c>
      <c r="H224" t="s">
        <v>52</v>
      </c>
      <c r="I224" t="s">
        <v>53</v>
      </c>
      <c r="J224" t="s">
        <v>54</v>
      </c>
      <c r="K224" t="s">
        <v>55</v>
      </c>
      <c r="L224" t="s">
        <v>17</v>
      </c>
      <c r="M224" t="s">
        <v>16</v>
      </c>
      <c r="N224">
        <v>1398</v>
      </c>
      <c r="O224">
        <v>82</v>
      </c>
      <c r="P224">
        <v>0</v>
      </c>
      <c r="Q224" t="s">
        <v>166</v>
      </c>
      <c r="R224" t="s">
        <v>167</v>
      </c>
      <c r="S224" t="s">
        <v>168</v>
      </c>
      <c r="T224" t="s">
        <v>169</v>
      </c>
      <c r="U224" t="s">
        <v>60</v>
      </c>
      <c r="V224" t="s">
        <v>61</v>
      </c>
      <c r="W224">
        <v>3</v>
      </c>
      <c r="X224">
        <v>0.14000000000000001</v>
      </c>
      <c r="Y224" t="s">
        <v>118</v>
      </c>
      <c r="Z224" t="s">
        <v>170</v>
      </c>
      <c r="AA224">
        <v>0</v>
      </c>
      <c r="AB224" t="s">
        <v>63</v>
      </c>
      <c r="AC224" t="s">
        <v>64</v>
      </c>
      <c r="AD224" t="s">
        <v>65</v>
      </c>
      <c r="AE224" t="s">
        <v>65</v>
      </c>
      <c r="AF224" t="s">
        <v>65</v>
      </c>
      <c r="AG224" t="s">
        <v>66</v>
      </c>
      <c r="AH224" t="s">
        <v>66</v>
      </c>
      <c r="AI224" t="s">
        <v>66</v>
      </c>
      <c r="AJ224" t="s">
        <v>66</v>
      </c>
      <c r="AK224">
        <v>1</v>
      </c>
      <c r="AL224" t="s">
        <v>66</v>
      </c>
      <c r="AM224" t="s">
        <v>66</v>
      </c>
      <c r="AN224" t="s">
        <v>66</v>
      </c>
      <c r="AO224" t="s">
        <v>66</v>
      </c>
      <c r="AP224">
        <v>1</v>
      </c>
      <c r="AQ224" t="s">
        <v>66</v>
      </c>
      <c r="AR224" t="s">
        <v>66</v>
      </c>
      <c r="AS224" t="s">
        <v>66</v>
      </c>
      <c r="AT224" t="s">
        <v>66</v>
      </c>
    </row>
    <row r="225" spans="1:46" x14ac:dyDescent="0.15">
      <c r="A225" t="s">
        <v>1150</v>
      </c>
      <c r="B225" t="s">
        <v>1132</v>
      </c>
      <c r="C225" t="s">
        <v>1133</v>
      </c>
      <c r="D225">
        <v>18</v>
      </c>
      <c r="E225" t="s">
        <v>49</v>
      </c>
      <c r="F225" t="s">
        <v>50</v>
      </c>
      <c r="G225" t="s">
        <v>51</v>
      </c>
      <c r="H225" t="s">
        <v>52</v>
      </c>
      <c r="I225" t="s">
        <v>53</v>
      </c>
      <c r="J225" t="s">
        <v>54</v>
      </c>
      <c r="K225" t="s">
        <v>55</v>
      </c>
      <c r="L225" t="s">
        <v>17</v>
      </c>
      <c r="M225" t="s">
        <v>16</v>
      </c>
      <c r="N225">
        <v>1454</v>
      </c>
      <c r="O225">
        <v>85</v>
      </c>
      <c r="P225">
        <v>0</v>
      </c>
      <c r="Q225" t="s">
        <v>172</v>
      </c>
      <c r="R225" t="s">
        <v>173</v>
      </c>
      <c r="S225" t="s">
        <v>174</v>
      </c>
      <c r="T225" t="s">
        <v>175</v>
      </c>
      <c r="U225" t="s">
        <v>60</v>
      </c>
      <c r="V225" t="s">
        <v>61</v>
      </c>
      <c r="W225">
        <v>3</v>
      </c>
      <c r="X225">
        <v>0.14000000000000001</v>
      </c>
      <c r="Y225" t="s">
        <v>176</v>
      </c>
      <c r="Z225" t="s">
        <v>177</v>
      </c>
      <c r="AA225">
        <v>0</v>
      </c>
      <c r="AB225" t="s">
        <v>63</v>
      </c>
      <c r="AC225" t="s">
        <v>64</v>
      </c>
      <c r="AD225" t="s">
        <v>65</v>
      </c>
      <c r="AE225" t="s">
        <v>65</v>
      </c>
      <c r="AF225" t="s">
        <v>65</v>
      </c>
      <c r="AG225" t="s">
        <v>66</v>
      </c>
      <c r="AH225" t="s">
        <v>66</v>
      </c>
      <c r="AI225" t="s">
        <v>66</v>
      </c>
      <c r="AJ225" t="s">
        <v>66</v>
      </c>
      <c r="AK225">
        <v>1</v>
      </c>
      <c r="AL225" t="s">
        <v>66</v>
      </c>
      <c r="AM225" t="s">
        <v>66</v>
      </c>
      <c r="AN225" t="s">
        <v>66</v>
      </c>
      <c r="AO225" t="s">
        <v>66</v>
      </c>
      <c r="AP225">
        <v>1</v>
      </c>
      <c r="AQ225" t="s">
        <v>66</v>
      </c>
      <c r="AR225" t="s">
        <v>66</v>
      </c>
      <c r="AS225" t="s">
        <v>66</v>
      </c>
      <c r="AT225" t="s">
        <v>66</v>
      </c>
    </row>
    <row r="226" spans="1:46" x14ac:dyDescent="0.15">
      <c r="A226" t="s">
        <v>1151</v>
      </c>
      <c r="B226" t="s">
        <v>1132</v>
      </c>
      <c r="C226" t="s">
        <v>1133</v>
      </c>
      <c r="D226">
        <v>19</v>
      </c>
      <c r="E226" t="s">
        <v>49</v>
      </c>
      <c r="F226" t="s">
        <v>50</v>
      </c>
      <c r="G226" t="s">
        <v>51</v>
      </c>
      <c r="H226" t="s">
        <v>52</v>
      </c>
      <c r="I226" t="s">
        <v>53</v>
      </c>
      <c r="J226" t="s">
        <v>54</v>
      </c>
      <c r="K226" t="s">
        <v>55</v>
      </c>
      <c r="L226" t="s">
        <v>17</v>
      </c>
      <c r="M226" t="s">
        <v>16</v>
      </c>
      <c r="N226">
        <v>1510</v>
      </c>
      <c r="O226">
        <v>88</v>
      </c>
      <c r="P226">
        <v>0</v>
      </c>
      <c r="Q226" t="s">
        <v>179</v>
      </c>
      <c r="R226" t="s">
        <v>180</v>
      </c>
      <c r="S226" t="s">
        <v>181</v>
      </c>
      <c r="T226" t="s">
        <v>182</v>
      </c>
      <c r="U226" t="s">
        <v>60</v>
      </c>
      <c r="V226" t="s">
        <v>61</v>
      </c>
      <c r="W226">
        <v>3</v>
      </c>
      <c r="X226">
        <v>0.14000000000000001</v>
      </c>
      <c r="Y226" t="s">
        <v>125</v>
      </c>
      <c r="Z226" t="s">
        <v>183</v>
      </c>
      <c r="AA226">
        <v>0</v>
      </c>
      <c r="AB226" t="s">
        <v>63</v>
      </c>
      <c r="AC226" t="s">
        <v>64</v>
      </c>
      <c r="AD226" t="s">
        <v>65</v>
      </c>
      <c r="AE226" t="s">
        <v>65</v>
      </c>
      <c r="AF226" t="s">
        <v>65</v>
      </c>
      <c r="AG226" t="s">
        <v>66</v>
      </c>
      <c r="AH226" t="s">
        <v>66</v>
      </c>
      <c r="AI226" t="s">
        <v>66</v>
      </c>
      <c r="AJ226" t="s">
        <v>66</v>
      </c>
      <c r="AK226">
        <v>1</v>
      </c>
      <c r="AL226" t="s">
        <v>66</v>
      </c>
      <c r="AM226" t="s">
        <v>66</v>
      </c>
      <c r="AN226" t="s">
        <v>66</v>
      </c>
      <c r="AO226" t="s">
        <v>66</v>
      </c>
      <c r="AP226">
        <v>1</v>
      </c>
      <c r="AQ226" t="s">
        <v>66</v>
      </c>
      <c r="AR226" t="s">
        <v>66</v>
      </c>
      <c r="AS226" t="s">
        <v>66</v>
      </c>
      <c r="AT226" t="s">
        <v>66</v>
      </c>
    </row>
    <row r="227" spans="1:46" x14ac:dyDescent="0.15">
      <c r="A227" t="s">
        <v>1152</v>
      </c>
      <c r="B227" t="s">
        <v>1132</v>
      </c>
      <c r="C227" t="s">
        <v>1133</v>
      </c>
      <c r="D227">
        <v>20</v>
      </c>
      <c r="E227" t="s">
        <v>49</v>
      </c>
      <c r="F227" t="s">
        <v>50</v>
      </c>
      <c r="G227" t="s">
        <v>51</v>
      </c>
      <c r="H227" t="s">
        <v>52</v>
      </c>
      <c r="I227" t="s">
        <v>53</v>
      </c>
      <c r="J227" t="s">
        <v>54</v>
      </c>
      <c r="K227" t="s">
        <v>55</v>
      </c>
      <c r="L227" t="s">
        <v>17</v>
      </c>
      <c r="M227" t="s">
        <v>16</v>
      </c>
      <c r="N227">
        <v>1566</v>
      </c>
      <c r="O227">
        <v>92</v>
      </c>
      <c r="P227">
        <v>0</v>
      </c>
      <c r="Q227" t="s">
        <v>185</v>
      </c>
      <c r="R227" t="s">
        <v>186</v>
      </c>
      <c r="S227" t="s">
        <v>187</v>
      </c>
      <c r="T227" t="s">
        <v>188</v>
      </c>
      <c r="U227" t="s">
        <v>60</v>
      </c>
      <c r="V227" t="s">
        <v>61</v>
      </c>
      <c r="W227">
        <v>3</v>
      </c>
      <c r="X227">
        <v>0.14000000000000001</v>
      </c>
      <c r="Y227" t="s">
        <v>189</v>
      </c>
      <c r="Z227" t="s">
        <v>190</v>
      </c>
      <c r="AA227">
        <v>0</v>
      </c>
      <c r="AB227" t="s">
        <v>63</v>
      </c>
      <c r="AC227" t="s">
        <v>64</v>
      </c>
      <c r="AD227" t="s">
        <v>65</v>
      </c>
      <c r="AE227" t="s">
        <v>65</v>
      </c>
      <c r="AF227" t="s">
        <v>65</v>
      </c>
      <c r="AG227" t="s">
        <v>66</v>
      </c>
      <c r="AH227" t="s">
        <v>66</v>
      </c>
      <c r="AI227" t="s">
        <v>66</v>
      </c>
      <c r="AJ227" t="s">
        <v>66</v>
      </c>
      <c r="AK227">
        <v>1</v>
      </c>
      <c r="AL227" t="s">
        <v>66</v>
      </c>
      <c r="AM227" t="s">
        <v>66</v>
      </c>
      <c r="AN227" t="s">
        <v>66</v>
      </c>
      <c r="AO227" t="s">
        <v>66</v>
      </c>
      <c r="AP227">
        <v>1</v>
      </c>
      <c r="AQ227" t="s">
        <v>66</v>
      </c>
      <c r="AR227" t="s">
        <v>66</v>
      </c>
      <c r="AS227" t="s">
        <v>66</v>
      </c>
      <c r="AT227" t="s">
        <v>66</v>
      </c>
    </row>
    <row r="228" spans="1:46" x14ac:dyDescent="0.15">
      <c r="A228" t="s">
        <v>1152</v>
      </c>
      <c r="B228" t="s">
        <v>1132</v>
      </c>
      <c r="C228" t="s">
        <v>1133</v>
      </c>
      <c r="D228">
        <v>20</v>
      </c>
      <c r="E228" t="s">
        <v>49</v>
      </c>
      <c r="F228" t="s">
        <v>50</v>
      </c>
      <c r="G228" t="s">
        <v>51</v>
      </c>
      <c r="H228" t="s">
        <v>52</v>
      </c>
      <c r="I228" t="s">
        <v>53</v>
      </c>
      <c r="J228" t="s">
        <v>54</v>
      </c>
      <c r="K228" t="s">
        <v>55</v>
      </c>
      <c r="L228" t="s">
        <v>17</v>
      </c>
      <c r="M228" t="s">
        <v>16</v>
      </c>
      <c r="N228">
        <v>1566</v>
      </c>
      <c r="O228">
        <v>92</v>
      </c>
      <c r="P228">
        <v>0</v>
      </c>
      <c r="Q228" t="s">
        <v>185</v>
      </c>
      <c r="R228" t="s">
        <v>186</v>
      </c>
      <c r="S228" t="s">
        <v>187</v>
      </c>
      <c r="T228" t="s">
        <v>188</v>
      </c>
      <c r="U228" t="s">
        <v>60</v>
      </c>
      <c r="V228" t="s">
        <v>61</v>
      </c>
      <c r="W228">
        <v>3</v>
      </c>
      <c r="X228">
        <v>0.14000000000000001</v>
      </c>
      <c r="Y228" t="s">
        <v>189</v>
      </c>
      <c r="Z228" t="s">
        <v>190</v>
      </c>
      <c r="AA228">
        <v>1</v>
      </c>
      <c r="AB228" t="s">
        <v>63</v>
      </c>
      <c r="AC228" t="s">
        <v>64</v>
      </c>
      <c r="AD228" t="s">
        <v>65</v>
      </c>
      <c r="AE228" t="s">
        <v>65</v>
      </c>
      <c r="AF228" t="s">
        <v>65</v>
      </c>
      <c r="AG228" t="s">
        <v>191</v>
      </c>
      <c r="AH228" t="s">
        <v>66</v>
      </c>
      <c r="AI228" t="s">
        <v>66</v>
      </c>
      <c r="AJ228" t="s">
        <v>66</v>
      </c>
      <c r="AK228">
        <v>1</v>
      </c>
      <c r="AL228" t="s">
        <v>66</v>
      </c>
      <c r="AM228" t="s">
        <v>66</v>
      </c>
      <c r="AN228" t="s">
        <v>66</v>
      </c>
      <c r="AO228" t="s">
        <v>66</v>
      </c>
      <c r="AP228">
        <v>1</v>
      </c>
      <c r="AQ228" t="s">
        <v>66</v>
      </c>
      <c r="AR228" t="s">
        <v>66</v>
      </c>
      <c r="AS228" t="s">
        <v>66</v>
      </c>
      <c r="AT228" t="s">
        <v>66</v>
      </c>
    </row>
    <row r="229" spans="1:46" x14ac:dyDescent="0.15">
      <c r="A229" t="s">
        <v>1153</v>
      </c>
      <c r="B229" t="s">
        <v>1132</v>
      </c>
      <c r="C229" t="s">
        <v>1133</v>
      </c>
      <c r="D229">
        <v>21</v>
      </c>
      <c r="E229" t="s">
        <v>49</v>
      </c>
      <c r="F229" t="s">
        <v>50</v>
      </c>
      <c r="G229" t="s">
        <v>51</v>
      </c>
      <c r="H229" t="s">
        <v>52</v>
      </c>
      <c r="I229" t="s">
        <v>53</v>
      </c>
      <c r="J229" t="s">
        <v>54</v>
      </c>
      <c r="K229" t="s">
        <v>55</v>
      </c>
      <c r="L229" t="s">
        <v>17</v>
      </c>
      <c r="M229" t="s">
        <v>16</v>
      </c>
      <c r="N229">
        <v>1622</v>
      </c>
      <c r="O229">
        <v>95</v>
      </c>
      <c r="P229">
        <v>0</v>
      </c>
      <c r="Q229" t="s">
        <v>193</v>
      </c>
      <c r="R229" t="s">
        <v>194</v>
      </c>
      <c r="S229" t="s">
        <v>195</v>
      </c>
      <c r="T229" t="s">
        <v>196</v>
      </c>
      <c r="U229" t="s">
        <v>60</v>
      </c>
      <c r="V229" t="s">
        <v>61</v>
      </c>
      <c r="W229">
        <v>3</v>
      </c>
      <c r="X229">
        <v>0.14000000000000001</v>
      </c>
      <c r="Y229" t="s">
        <v>131</v>
      </c>
      <c r="Z229" t="s">
        <v>197</v>
      </c>
      <c r="AA229">
        <v>1</v>
      </c>
      <c r="AB229" t="s">
        <v>63</v>
      </c>
      <c r="AC229" t="s">
        <v>64</v>
      </c>
      <c r="AD229" t="s">
        <v>65</v>
      </c>
      <c r="AE229" t="s">
        <v>65</v>
      </c>
      <c r="AF229" t="s">
        <v>65</v>
      </c>
      <c r="AG229" t="s">
        <v>191</v>
      </c>
      <c r="AH229" t="s">
        <v>66</v>
      </c>
      <c r="AI229" t="s">
        <v>66</v>
      </c>
      <c r="AJ229" t="s">
        <v>66</v>
      </c>
      <c r="AK229">
        <v>1</v>
      </c>
      <c r="AL229" t="s">
        <v>66</v>
      </c>
      <c r="AM229" t="s">
        <v>66</v>
      </c>
      <c r="AN229" t="s">
        <v>66</v>
      </c>
      <c r="AO229" t="s">
        <v>66</v>
      </c>
      <c r="AP229">
        <v>1</v>
      </c>
      <c r="AQ229" t="s">
        <v>66</v>
      </c>
      <c r="AR229" t="s">
        <v>66</v>
      </c>
      <c r="AS229" t="s">
        <v>66</v>
      </c>
      <c r="AT229" t="s">
        <v>66</v>
      </c>
    </row>
    <row r="230" spans="1:46" x14ac:dyDescent="0.15">
      <c r="A230" t="s">
        <v>1154</v>
      </c>
      <c r="B230" t="s">
        <v>1132</v>
      </c>
      <c r="C230" t="s">
        <v>1133</v>
      </c>
      <c r="D230">
        <v>22</v>
      </c>
      <c r="E230" t="s">
        <v>49</v>
      </c>
      <c r="F230" t="s">
        <v>50</v>
      </c>
      <c r="G230" t="s">
        <v>51</v>
      </c>
      <c r="H230" t="s">
        <v>52</v>
      </c>
      <c r="I230" t="s">
        <v>53</v>
      </c>
      <c r="J230" t="s">
        <v>54</v>
      </c>
      <c r="K230" t="s">
        <v>55</v>
      </c>
      <c r="L230" t="s">
        <v>17</v>
      </c>
      <c r="M230" t="s">
        <v>16</v>
      </c>
      <c r="N230">
        <v>1679</v>
      </c>
      <c r="O230">
        <v>98</v>
      </c>
      <c r="P230">
        <v>0</v>
      </c>
      <c r="Q230" t="s">
        <v>199</v>
      </c>
      <c r="R230" t="s">
        <v>200</v>
      </c>
      <c r="S230" t="s">
        <v>201</v>
      </c>
      <c r="T230" t="s">
        <v>202</v>
      </c>
      <c r="U230" t="s">
        <v>60</v>
      </c>
      <c r="V230" t="s">
        <v>61</v>
      </c>
      <c r="W230">
        <v>3</v>
      </c>
      <c r="X230">
        <v>0.14000000000000001</v>
      </c>
      <c r="Y230" t="s">
        <v>203</v>
      </c>
      <c r="Z230" t="s">
        <v>204</v>
      </c>
      <c r="AA230">
        <v>1</v>
      </c>
      <c r="AB230" t="s">
        <v>63</v>
      </c>
      <c r="AC230" t="s">
        <v>64</v>
      </c>
      <c r="AD230" t="s">
        <v>65</v>
      </c>
      <c r="AE230" t="s">
        <v>65</v>
      </c>
      <c r="AF230" t="s">
        <v>65</v>
      </c>
      <c r="AG230" t="s">
        <v>191</v>
      </c>
      <c r="AH230" t="s">
        <v>66</v>
      </c>
      <c r="AI230" t="s">
        <v>66</v>
      </c>
      <c r="AJ230" t="s">
        <v>66</v>
      </c>
      <c r="AK230">
        <v>1</v>
      </c>
      <c r="AL230" t="s">
        <v>66</v>
      </c>
      <c r="AM230" t="s">
        <v>66</v>
      </c>
      <c r="AN230" t="s">
        <v>66</v>
      </c>
      <c r="AO230" t="s">
        <v>66</v>
      </c>
      <c r="AP230">
        <v>1</v>
      </c>
      <c r="AQ230" t="s">
        <v>66</v>
      </c>
      <c r="AR230" t="s">
        <v>66</v>
      </c>
      <c r="AS230" t="s">
        <v>66</v>
      </c>
      <c r="AT230" t="s">
        <v>66</v>
      </c>
    </row>
    <row r="231" spans="1:46" x14ac:dyDescent="0.15">
      <c r="A231" t="s">
        <v>1155</v>
      </c>
      <c r="B231" t="s">
        <v>1132</v>
      </c>
      <c r="C231" t="s">
        <v>1133</v>
      </c>
      <c r="D231">
        <v>23</v>
      </c>
      <c r="E231" t="s">
        <v>49</v>
      </c>
      <c r="F231" t="s">
        <v>50</v>
      </c>
      <c r="G231" t="s">
        <v>51</v>
      </c>
      <c r="H231" t="s">
        <v>52</v>
      </c>
      <c r="I231" t="s">
        <v>53</v>
      </c>
      <c r="J231" t="s">
        <v>54</v>
      </c>
      <c r="K231" t="s">
        <v>55</v>
      </c>
      <c r="L231" t="s">
        <v>17</v>
      </c>
      <c r="M231" t="s">
        <v>16</v>
      </c>
      <c r="N231">
        <v>1735</v>
      </c>
      <c r="O231">
        <v>101</v>
      </c>
      <c r="P231">
        <v>0</v>
      </c>
      <c r="Q231" t="s">
        <v>206</v>
      </c>
      <c r="R231" t="s">
        <v>207</v>
      </c>
      <c r="S231" t="s">
        <v>208</v>
      </c>
      <c r="T231" t="s">
        <v>209</v>
      </c>
      <c r="U231" t="s">
        <v>60</v>
      </c>
      <c r="V231" t="s">
        <v>61</v>
      </c>
      <c r="W231">
        <v>3</v>
      </c>
      <c r="X231">
        <v>0.14000000000000001</v>
      </c>
      <c r="Y231" t="s">
        <v>138</v>
      </c>
      <c r="Z231" t="s">
        <v>210</v>
      </c>
      <c r="AA231">
        <v>1</v>
      </c>
      <c r="AB231" t="s">
        <v>63</v>
      </c>
      <c r="AC231" t="s">
        <v>64</v>
      </c>
      <c r="AD231" t="s">
        <v>65</v>
      </c>
      <c r="AE231" t="s">
        <v>65</v>
      </c>
      <c r="AF231" t="s">
        <v>65</v>
      </c>
      <c r="AG231" t="s">
        <v>191</v>
      </c>
      <c r="AH231" t="s">
        <v>66</v>
      </c>
      <c r="AI231" t="s">
        <v>66</v>
      </c>
      <c r="AJ231" t="s">
        <v>66</v>
      </c>
      <c r="AK231">
        <v>1</v>
      </c>
      <c r="AL231" t="s">
        <v>66</v>
      </c>
      <c r="AM231" t="s">
        <v>66</v>
      </c>
      <c r="AN231" t="s">
        <v>66</v>
      </c>
      <c r="AO231" t="s">
        <v>66</v>
      </c>
      <c r="AP231">
        <v>1</v>
      </c>
      <c r="AQ231" t="s">
        <v>66</v>
      </c>
      <c r="AR231" t="s">
        <v>66</v>
      </c>
      <c r="AS231" t="s">
        <v>66</v>
      </c>
      <c r="AT231" t="s">
        <v>66</v>
      </c>
    </row>
    <row r="232" spans="1:46" x14ac:dyDescent="0.15">
      <c r="A232" t="s">
        <v>1156</v>
      </c>
      <c r="B232" t="s">
        <v>1132</v>
      </c>
      <c r="C232" t="s">
        <v>1133</v>
      </c>
      <c r="D232">
        <v>24</v>
      </c>
      <c r="E232" t="s">
        <v>49</v>
      </c>
      <c r="F232" t="s">
        <v>50</v>
      </c>
      <c r="G232" t="s">
        <v>51</v>
      </c>
      <c r="H232" t="s">
        <v>52</v>
      </c>
      <c r="I232" t="s">
        <v>53</v>
      </c>
      <c r="J232" t="s">
        <v>54</v>
      </c>
      <c r="K232" t="s">
        <v>55</v>
      </c>
      <c r="L232" t="s">
        <v>17</v>
      </c>
      <c r="M232" t="s">
        <v>16</v>
      </c>
      <c r="N232">
        <v>1791</v>
      </c>
      <c r="O232">
        <v>105</v>
      </c>
      <c r="P232">
        <v>0</v>
      </c>
      <c r="Q232" t="s">
        <v>212</v>
      </c>
      <c r="R232" t="s">
        <v>213</v>
      </c>
      <c r="S232" t="s">
        <v>214</v>
      </c>
      <c r="T232" t="s">
        <v>215</v>
      </c>
      <c r="U232" t="s">
        <v>60</v>
      </c>
      <c r="V232" t="s">
        <v>61</v>
      </c>
      <c r="W232">
        <v>3</v>
      </c>
      <c r="X232">
        <v>0.14000000000000001</v>
      </c>
      <c r="Y232" t="s">
        <v>216</v>
      </c>
      <c r="Z232" t="s">
        <v>217</v>
      </c>
      <c r="AA232">
        <v>1</v>
      </c>
      <c r="AB232" t="s">
        <v>63</v>
      </c>
      <c r="AC232" t="s">
        <v>64</v>
      </c>
      <c r="AD232" t="s">
        <v>65</v>
      </c>
      <c r="AE232" t="s">
        <v>65</v>
      </c>
      <c r="AF232" t="s">
        <v>65</v>
      </c>
      <c r="AG232" t="s">
        <v>191</v>
      </c>
      <c r="AH232" t="s">
        <v>66</v>
      </c>
      <c r="AI232" t="s">
        <v>66</v>
      </c>
      <c r="AJ232" t="s">
        <v>66</v>
      </c>
      <c r="AK232">
        <v>1</v>
      </c>
      <c r="AL232" t="s">
        <v>66</v>
      </c>
      <c r="AM232" t="s">
        <v>66</v>
      </c>
      <c r="AN232" t="s">
        <v>66</v>
      </c>
      <c r="AO232" t="s">
        <v>66</v>
      </c>
      <c r="AP232">
        <v>1</v>
      </c>
      <c r="AQ232" t="s">
        <v>66</v>
      </c>
      <c r="AR232" t="s">
        <v>66</v>
      </c>
      <c r="AS232" t="s">
        <v>66</v>
      </c>
      <c r="AT232" t="s">
        <v>66</v>
      </c>
    </row>
    <row r="233" spans="1:46" x14ac:dyDescent="0.15">
      <c r="A233" t="s">
        <v>1157</v>
      </c>
      <c r="B233" t="s">
        <v>1132</v>
      </c>
      <c r="C233" t="s">
        <v>1133</v>
      </c>
      <c r="D233">
        <v>25</v>
      </c>
      <c r="E233" t="s">
        <v>49</v>
      </c>
      <c r="F233" t="s">
        <v>50</v>
      </c>
      <c r="G233" t="s">
        <v>51</v>
      </c>
      <c r="H233" t="s">
        <v>52</v>
      </c>
      <c r="I233" t="s">
        <v>53</v>
      </c>
      <c r="J233" t="s">
        <v>54</v>
      </c>
      <c r="K233" t="s">
        <v>55</v>
      </c>
      <c r="L233" t="s">
        <v>17</v>
      </c>
      <c r="M233" t="s">
        <v>16</v>
      </c>
      <c r="N233">
        <v>1847</v>
      </c>
      <c r="O233">
        <v>108</v>
      </c>
      <c r="P233">
        <v>0</v>
      </c>
      <c r="Q233" t="s">
        <v>219</v>
      </c>
      <c r="R233" t="s">
        <v>220</v>
      </c>
      <c r="S233" t="s">
        <v>221</v>
      </c>
      <c r="T233" t="s">
        <v>222</v>
      </c>
      <c r="U233" t="s">
        <v>60</v>
      </c>
      <c r="V233" t="s">
        <v>61</v>
      </c>
      <c r="W233">
        <v>3</v>
      </c>
      <c r="X233">
        <v>0.14000000000000001</v>
      </c>
      <c r="Y233" t="s">
        <v>144</v>
      </c>
      <c r="Z233" t="s">
        <v>223</v>
      </c>
      <c r="AA233">
        <v>1</v>
      </c>
      <c r="AB233" t="s">
        <v>63</v>
      </c>
      <c r="AC233" t="s">
        <v>64</v>
      </c>
      <c r="AD233" t="s">
        <v>65</v>
      </c>
      <c r="AE233" t="s">
        <v>65</v>
      </c>
      <c r="AF233" t="s">
        <v>65</v>
      </c>
      <c r="AG233" t="s">
        <v>191</v>
      </c>
      <c r="AH233" t="s">
        <v>66</v>
      </c>
      <c r="AI233" t="s">
        <v>66</v>
      </c>
      <c r="AJ233" t="s">
        <v>66</v>
      </c>
      <c r="AK233">
        <v>1</v>
      </c>
      <c r="AL233" t="s">
        <v>66</v>
      </c>
      <c r="AM233" t="s">
        <v>66</v>
      </c>
      <c r="AN233" t="s">
        <v>66</v>
      </c>
      <c r="AO233" t="s">
        <v>66</v>
      </c>
      <c r="AP233">
        <v>1</v>
      </c>
      <c r="AQ233" t="s">
        <v>66</v>
      </c>
      <c r="AR233" t="s">
        <v>66</v>
      </c>
      <c r="AS233" t="s">
        <v>66</v>
      </c>
      <c r="AT233" t="s">
        <v>66</v>
      </c>
    </row>
    <row r="234" spans="1:46" x14ac:dyDescent="0.15">
      <c r="A234" t="s">
        <v>1158</v>
      </c>
      <c r="B234" t="s">
        <v>1132</v>
      </c>
      <c r="C234" t="s">
        <v>1133</v>
      </c>
      <c r="D234">
        <v>26</v>
      </c>
      <c r="E234" t="s">
        <v>49</v>
      </c>
      <c r="F234" t="s">
        <v>50</v>
      </c>
      <c r="G234" t="s">
        <v>51</v>
      </c>
      <c r="H234" t="s">
        <v>52</v>
      </c>
      <c r="I234" t="s">
        <v>53</v>
      </c>
      <c r="J234" t="s">
        <v>54</v>
      </c>
      <c r="K234" t="s">
        <v>55</v>
      </c>
      <c r="L234" t="s">
        <v>17</v>
      </c>
      <c r="M234" t="s">
        <v>16</v>
      </c>
      <c r="N234">
        <v>1903</v>
      </c>
      <c r="O234">
        <v>111</v>
      </c>
      <c r="P234">
        <v>0</v>
      </c>
      <c r="Q234" t="s">
        <v>225</v>
      </c>
      <c r="R234" t="s">
        <v>226</v>
      </c>
      <c r="S234" t="s">
        <v>227</v>
      </c>
      <c r="T234" t="s">
        <v>228</v>
      </c>
      <c r="U234" t="s">
        <v>60</v>
      </c>
      <c r="V234" t="s">
        <v>61</v>
      </c>
      <c r="W234">
        <v>3</v>
      </c>
      <c r="X234">
        <v>0.14000000000000001</v>
      </c>
      <c r="Y234" t="s">
        <v>229</v>
      </c>
      <c r="Z234" t="s">
        <v>230</v>
      </c>
      <c r="AA234">
        <v>1</v>
      </c>
      <c r="AB234" t="s">
        <v>63</v>
      </c>
      <c r="AC234" t="s">
        <v>64</v>
      </c>
      <c r="AD234" t="s">
        <v>65</v>
      </c>
      <c r="AE234" t="s">
        <v>65</v>
      </c>
      <c r="AF234" t="s">
        <v>65</v>
      </c>
      <c r="AG234" t="s">
        <v>191</v>
      </c>
      <c r="AH234" t="s">
        <v>66</v>
      </c>
      <c r="AI234" t="s">
        <v>66</v>
      </c>
      <c r="AJ234" t="s">
        <v>66</v>
      </c>
      <c r="AK234">
        <v>1</v>
      </c>
      <c r="AL234" t="s">
        <v>66</v>
      </c>
      <c r="AM234" t="s">
        <v>66</v>
      </c>
      <c r="AN234" t="s">
        <v>66</v>
      </c>
      <c r="AO234" t="s">
        <v>66</v>
      </c>
      <c r="AP234">
        <v>1</v>
      </c>
      <c r="AQ234" t="s">
        <v>66</v>
      </c>
      <c r="AR234" t="s">
        <v>66</v>
      </c>
      <c r="AS234" t="s">
        <v>66</v>
      </c>
      <c r="AT234" t="s">
        <v>66</v>
      </c>
    </row>
    <row r="235" spans="1:46" x14ac:dyDescent="0.15">
      <c r="A235" t="s">
        <v>1159</v>
      </c>
      <c r="B235" t="s">
        <v>1132</v>
      </c>
      <c r="C235" t="s">
        <v>1133</v>
      </c>
      <c r="D235">
        <v>27</v>
      </c>
      <c r="E235" t="s">
        <v>49</v>
      </c>
      <c r="F235" t="s">
        <v>50</v>
      </c>
      <c r="G235" t="s">
        <v>51</v>
      </c>
      <c r="H235" t="s">
        <v>52</v>
      </c>
      <c r="I235" t="s">
        <v>53</v>
      </c>
      <c r="J235" t="s">
        <v>54</v>
      </c>
      <c r="K235" t="s">
        <v>55</v>
      </c>
      <c r="L235" t="s">
        <v>17</v>
      </c>
      <c r="M235" t="s">
        <v>16</v>
      </c>
      <c r="N235">
        <v>1959</v>
      </c>
      <c r="O235">
        <v>114</v>
      </c>
      <c r="P235">
        <v>0</v>
      </c>
      <c r="Q235" t="s">
        <v>232</v>
      </c>
      <c r="R235" t="s">
        <v>233</v>
      </c>
      <c r="S235" t="s">
        <v>234</v>
      </c>
      <c r="T235" t="s">
        <v>235</v>
      </c>
      <c r="U235" t="s">
        <v>60</v>
      </c>
      <c r="V235" t="s">
        <v>61</v>
      </c>
      <c r="W235">
        <v>3</v>
      </c>
      <c r="X235">
        <v>0.14000000000000001</v>
      </c>
      <c r="Y235" t="s">
        <v>151</v>
      </c>
      <c r="Z235" t="s">
        <v>236</v>
      </c>
      <c r="AA235">
        <v>1</v>
      </c>
      <c r="AB235" t="s">
        <v>63</v>
      </c>
      <c r="AC235" t="s">
        <v>64</v>
      </c>
      <c r="AD235" t="s">
        <v>65</v>
      </c>
      <c r="AE235" t="s">
        <v>65</v>
      </c>
      <c r="AF235" t="s">
        <v>65</v>
      </c>
      <c r="AG235" t="s">
        <v>191</v>
      </c>
      <c r="AH235" t="s">
        <v>66</v>
      </c>
      <c r="AI235" t="s">
        <v>66</v>
      </c>
      <c r="AJ235" t="s">
        <v>66</v>
      </c>
      <c r="AK235">
        <v>1</v>
      </c>
      <c r="AL235" t="s">
        <v>66</v>
      </c>
      <c r="AM235" t="s">
        <v>66</v>
      </c>
      <c r="AN235" t="s">
        <v>66</v>
      </c>
      <c r="AO235" t="s">
        <v>66</v>
      </c>
      <c r="AP235">
        <v>1</v>
      </c>
      <c r="AQ235" t="s">
        <v>66</v>
      </c>
      <c r="AR235" t="s">
        <v>66</v>
      </c>
      <c r="AS235" t="s">
        <v>66</v>
      </c>
      <c r="AT235" t="s">
        <v>66</v>
      </c>
    </row>
    <row r="236" spans="1:46" x14ac:dyDescent="0.15">
      <c r="A236" t="s">
        <v>1160</v>
      </c>
      <c r="B236" t="s">
        <v>1132</v>
      </c>
      <c r="C236" t="s">
        <v>1133</v>
      </c>
      <c r="D236">
        <v>28</v>
      </c>
      <c r="E236" t="s">
        <v>49</v>
      </c>
      <c r="F236" t="s">
        <v>50</v>
      </c>
      <c r="G236" t="s">
        <v>51</v>
      </c>
      <c r="H236" t="s">
        <v>52</v>
      </c>
      <c r="I236" t="s">
        <v>53</v>
      </c>
      <c r="J236" t="s">
        <v>54</v>
      </c>
      <c r="K236" t="s">
        <v>55</v>
      </c>
      <c r="L236" t="s">
        <v>17</v>
      </c>
      <c r="M236" t="s">
        <v>16</v>
      </c>
      <c r="N236">
        <v>2015</v>
      </c>
      <c r="O236">
        <v>118</v>
      </c>
      <c r="P236">
        <v>0</v>
      </c>
      <c r="Q236" t="s">
        <v>238</v>
      </c>
      <c r="R236" t="s">
        <v>239</v>
      </c>
      <c r="S236" t="s">
        <v>240</v>
      </c>
      <c r="T236" t="s">
        <v>241</v>
      </c>
      <c r="U236" t="s">
        <v>60</v>
      </c>
      <c r="V236" t="s">
        <v>61</v>
      </c>
      <c r="W236">
        <v>3</v>
      </c>
      <c r="X236">
        <v>0.14000000000000001</v>
      </c>
      <c r="Y236" t="s">
        <v>242</v>
      </c>
      <c r="Z236" t="s">
        <v>243</v>
      </c>
      <c r="AA236">
        <v>1</v>
      </c>
      <c r="AB236" t="s">
        <v>63</v>
      </c>
      <c r="AC236" t="s">
        <v>64</v>
      </c>
      <c r="AD236" t="s">
        <v>65</v>
      </c>
      <c r="AE236" t="s">
        <v>65</v>
      </c>
      <c r="AF236" t="s">
        <v>65</v>
      </c>
      <c r="AG236" t="s">
        <v>191</v>
      </c>
      <c r="AH236" t="s">
        <v>66</v>
      </c>
      <c r="AI236" t="s">
        <v>66</v>
      </c>
      <c r="AJ236" t="s">
        <v>66</v>
      </c>
      <c r="AK236">
        <v>1</v>
      </c>
      <c r="AL236" t="s">
        <v>66</v>
      </c>
      <c r="AM236" t="s">
        <v>66</v>
      </c>
      <c r="AN236" t="s">
        <v>66</v>
      </c>
      <c r="AO236" t="s">
        <v>66</v>
      </c>
      <c r="AP236">
        <v>1</v>
      </c>
      <c r="AQ236" t="s">
        <v>66</v>
      </c>
      <c r="AR236" t="s">
        <v>66</v>
      </c>
      <c r="AS236" t="s">
        <v>66</v>
      </c>
      <c r="AT236" t="s">
        <v>66</v>
      </c>
    </row>
    <row r="237" spans="1:46" x14ac:dyDescent="0.15">
      <c r="A237" t="s">
        <v>1161</v>
      </c>
      <c r="B237" t="s">
        <v>1132</v>
      </c>
      <c r="C237" t="s">
        <v>1133</v>
      </c>
      <c r="D237">
        <v>29</v>
      </c>
      <c r="E237" t="s">
        <v>49</v>
      </c>
      <c r="F237" t="s">
        <v>50</v>
      </c>
      <c r="G237" t="s">
        <v>51</v>
      </c>
      <c r="H237" t="s">
        <v>52</v>
      </c>
      <c r="I237" t="s">
        <v>53</v>
      </c>
      <c r="J237" t="s">
        <v>54</v>
      </c>
      <c r="K237" t="s">
        <v>55</v>
      </c>
      <c r="L237" t="s">
        <v>17</v>
      </c>
      <c r="M237" t="s">
        <v>16</v>
      </c>
      <c r="N237">
        <v>2071</v>
      </c>
      <c r="O237">
        <v>121</v>
      </c>
      <c r="P237">
        <v>0</v>
      </c>
      <c r="Q237" t="s">
        <v>245</v>
      </c>
      <c r="R237" t="s">
        <v>246</v>
      </c>
      <c r="S237" t="s">
        <v>247</v>
      </c>
      <c r="T237" t="s">
        <v>248</v>
      </c>
      <c r="U237" t="s">
        <v>60</v>
      </c>
      <c r="V237" t="s">
        <v>61</v>
      </c>
      <c r="W237">
        <v>3</v>
      </c>
      <c r="X237">
        <v>0.14000000000000001</v>
      </c>
      <c r="Y237" t="s">
        <v>157</v>
      </c>
      <c r="Z237" t="s">
        <v>249</v>
      </c>
      <c r="AA237">
        <v>1</v>
      </c>
      <c r="AB237" t="s">
        <v>63</v>
      </c>
      <c r="AC237" t="s">
        <v>64</v>
      </c>
      <c r="AD237" t="s">
        <v>65</v>
      </c>
      <c r="AE237" t="s">
        <v>65</v>
      </c>
      <c r="AF237" t="s">
        <v>65</v>
      </c>
      <c r="AG237" t="s">
        <v>191</v>
      </c>
      <c r="AH237" t="s">
        <v>66</v>
      </c>
      <c r="AI237" t="s">
        <v>66</v>
      </c>
      <c r="AJ237" t="s">
        <v>66</v>
      </c>
      <c r="AK237">
        <v>1</v>
      </c>
      <c r="AL237" t="s">
        <v>66</v>
      </c>
      <c r="AM237" t="s">
        <v>66</v>
      </c>
      <c r="AN237" t="s">
        <v>66</v>
      </c>
      <c r="AO237" t="s">
        <v>66</v>
      </c>
      <c r="AP237">
        <v>1</v>
      </c>
      <c r="AQ237" t="s">
        <v>66</v>
      </c>
      <c r="AR237" t="s">
        <v>66</v>
      </c>
      <c r="AS237" t="s">
        <v>66</v>
      </c>
      <c r="AT237" t="s">
        <v>66</v>
      </c>
    </row>
    <row r="238" spans="1:46" x14ac:dyDescent="0.15">
      <c r="A238" t="s">
        <v>1162</v>
      </c>
      <c r="B238" t="s">
        <v>1132</v>
      </c>
      <c r="C238" t="s">
        <v>1133</v>
      </c>
      <c r="D238">
        <v>30</v>
      </c>
      <c r="E238" t="s">
        <v>49</v>
      </c>
      <c r="F238" t="s">
        <v>50</v>
      </c>
      <c r="G238" t="s">
        <v>51</v>
      </c>
      <c r="H238" t="s">
        <v>52</v>
      </c>
      <c r="I238" t="s">
        <v>53</v>
      </c>
      <c r="J238" t="s">
        <v>54</v>
      </c>
      <c r="K238" t="s">
        <v>55</v>
      </c>
      <c r="L238" t="s">
        <v>17</v>
      </c>
      <c r="M238" t="s">
        <v>16</v>
      </c>
      <c r="N238">
        <v>2128</v>
      </c>
      <c r="O238">
        <v>124</v>
      </c>
      <c r="P238">
        <v>0</v>
      </c>
      <c r="Q238" t="s">
        <v>251</v>
      </c>
      <c r="R238" t="s">
        <v>252</v>
      </c>
      <c r="S238" t="s">
        <v>253</v>
      </c>
      <c r="T238" t="s">
        <v>254</v>
      </c>
      <c r="U238" t="s">
        <v>60</v>
      </c>
      <c r="V238" t="s">
        <v>61</v>
      </c>
      <c r="W238">
        <v>3</v>
      </c>
      <c r="X238">
        <v>0.14000000000000001</v>
      </c>
      <c r="Y238" t="s">
        <v>255</v>
      </c>
      <c r="Z238" t="s">
        <v>256</v>
      </c>
      <c r="AA238">
        <v>1</v>
      </c>
      <c r="AB238" t="s">
        <v>63</v>
      </c>
      <c r="AC238" t="s">
        <v>64</v>
      </c>
      <c r="AD238" t="s">
        <v>65</v>
      </c>
      <c r="AE238" t="s">
        <v>65</v>
      </c>
      <c r="AF238" t="s">
        <v>65</v>
      </c>
      <c r="AG238" t="s">
        <v>191</v>
      </c>
      <c r="AH238" t="s">
        <v>66</v>
      </c>
      <c r="AI238" t="s">
        <v>66</v>
      </c>
      <c r="AJ238" t="s">
        <v>66</v>
      </c>
      <c r="AK238">
        <v>1</v>
      </c>
      <c r="AL238" t="s">
        <v>66</v>
      </c>
      <c r="AM238" t="s">
        <v>66</v>
      </c>
      <c r="AN238" t="s">
        <v>66</v>
      </c>
      <c r="AO238" t="s">
        <v>66</v>
      </c>
      <c r="AP238">
        <v>1</v>
      </c>
      <c r="AQ238" t="s">
        <v>66</v>
      </c>
      <c r="AR238" t="s">
        <v>66</v>
      </c>
      <c r="AS238" t="s">
        <v>66</v>
      </c>
      <c r="AT238" t="s">
        <v>66</v>
      </c>
    </row>
    <row r="239" spans="1:46" x14ac:dyDescent="0.15">
      <c r="A239" t="s">
        <v>1163</v>
      </c>
      <c r="B239" t="s">
        <v>1132</v>
      </c>
      <c r="C239" t="s">
        <v>1133</v>
      </c>
      <c r="D239">
        <v>31</v>
      </c>
      <c r="E239" t="s">
        <v>49</v>
      </c>
      <c r="F239" t="s">
        <v>50</v>
      </c>
      <c r="G239" t="s">
        <v>51</v>
      </c>
      <c r="H239" t="s">
        <v>52</v>
      </c>
      <c r="I239" t="s">
        <v>53</v>
      </c>
      <c r="J239" t="s">
        <v>54</v>
      </c>
      <c r="K239" t="s">
        <v>55</v>
      </c>
      <c r="L239" t="s">
        <v>17</v>
      </c>
      <c r="M239" t="s">
        <v>16</v>
      </c>
      <c r="N239">
        <v>2184</v>
      </c>
      <c r="O239">
        <v>127</v>
      </c>
      <c r="P239">
        <v>0</v>
      </c>
      <c r="Q239" t="s">
        <v>258</v>
      </c>
      <c r="R239" t="s">
        <v>259</v>
      </c>
      <c r="S239" t="s">
        <v>260</v>
      </c>
      <c r="T239" t="s">
        <v>261</v>
      </c>
      <c r="U239" t="s">
        <v>60</v>
      </c>
      <c r="V239" t="s">
        <v>61</v>
      </c>
      <c r="W239">
        <v>3</v>
      </c>
      <c r="X239">
        <v>0.14000000000000001</v>
      </c>
      <c r="Y239" t="s">
        <v>164</v>
      </c>
      <c r="Z239" t="s">
        <v>262</v>
      </c>
      <c r="AA239">
        <v>1</v>
      </c>
      <c r="AB239" t="s">
        <v>63</v>
      </c>
      <c r="AC239" t="s">
        <v>64</v>
      </c>
      <c r="AD239" t="s">
        <v>65</v>
      </c>
      <c r="AE239" t="s">
        <v>65</v>
      </c>
      <c r="AF239" t="s">
        <v>65</v>
      </c>
      <c r="AG239" t="s">
        <v>191</v>
      </c>
      <c r="AH239" t="s">
        <v>66</v>
      </c>
      <c r="AI239" t="s">
        <v>66</v>
      </c>
      <c r="AJ239" t="s">
        <v>66</v>
      </c>
      <c r="AK239">
        <v>1</v>
      </c>
      <c r="AL239" t="s">
        <v>66</v>
      </c>
      <c r="AM239" t="s">
        <v>66</v>
      </c>
      <c r="AN239" t="s">
        <v>66</v>
      </c>
      <c r="AO239" t="s">
        <v>66</v>
      </c>
      <c r="AP239">
        <v>1</v>
      </c>
      <c r="AQ239" t="s">
        <v>66</v>
      </c>
      <c r="AR239" t="s">
        <v>66</v>
      </c>
      <c r="AS239" t="s">
        <v>66</v>
      </c>
      <c r="AT239" t="s">
        <v>66</v>
      </c>
    </row>
    <row r="240" spans="1:46" x14ac:dyDescent="0.15">
      <c r="A240" t="s">
        <v>1164</v>
      </c>
      <c r="B240" t="s">
        <v>1132</v>
      </c>
      <c r="C240" t="s">
        <v>1133</v>
      </c>
      <c r="D240">
        <v>32</v>
      </c>
      <c r="E240" t="s">
        <v>49</v>
      </c>
      <c r="F240" t="s">
        <v>50</v>
      </c>
      <c r="G240" t="s">
        <v>51</v>
      </c>
      <c r="H240" t="s">
        <v>52</v>
      </c>
      <c r="I240" t="s">
        <v>53</v>
      </c>
      <c r="J240" t="s">
        <v>54</v>
      </c>
      <c r="K240" t="s">
        <v>55</v>
      </c>
      <c r="L240" t="s">
        <v>17</v>
      </c>
      <c r="M240" t="s">
        <v>16</v>
      </c>
      <c r="N240">
        <v>2240</v>
      </c>
      <c r="O240">
        <v>131</v>
      </c>
      <c r="P240">
        <v>0</v>
      </c>
      <c r="Q240" t="s">
        <v>264</v>
      </c>
      <c r="R240" t="s">
        <v>265</v>
      </c>
      <c r="S240" t="s">
        <v>266</v>
      </c>
      <c r="T240" t="s">
        <v>267</v>
      </c>
      <c r="U240" t="s">
        <v>60</v>
      </c>
      <c r="V240" t="s">
        <v>61</v>
      </c>
      <c r="W240">
        <v>3</v>
      </c>
      <c r="X240">
        <v>0.14000000000000001</v>
      </c>
      <c r="Y240" t="s">
        <v>268</v>
      </c>
      <c r="Z240" t="s">
        <v>269</v>
      </c>
      <c r="AA240">
        <v>1</v>
      </c>
      <c r="AB240" t="s">
        <v>63</v>
      </c>
      <c r="AC240" t="s">
        <v>64</v>
      </c>
      <c r="AD240" t="s">
        <v>65</v>
      </c>
      <c r="AE240" t="s">
        <v>65</v>
      </c>
      <c r="AF240" t="s">
        <v>65</v>
      </c>
      <c r="AG240" t="s">
        <v>191</v>
      </c>
      <c r="AH240" t="s">
        <v>66</v>
      </c>
      <c r="AI240" t="s">
        <v>66</v>
      </c>
      <c r="AJ240" t="s">
        <v>66</v>
      </c>
      <c r="AK240">
        <v>1</v>
      </c>
      <c r="AL240" t="s">
        <v>66</v>
      </c>
      <c r="AM240" t="s">
        <v>66</v>
      </c>
      <c r="AN240" t="s">
        <v>66</v>
      </c>
      <c r="AO240" t="s">
        <v>66</v>
      </c>
      <c r="AP240">
        <v>1</v>
      </c>
      <c r="AQ240" t="s">
        <v>66</v>
      </c>
      <c r="AR240" t="s">
        <v>66</v>
      </c>
      <c r="AS240" t="s">
        <v>66</v>
      </c>
      <c r="AT240" t="s">
        <v>66</v>
      </c>
    </row>
    <row r="241" spans="1:46" x14ac:dyDescent="0.15">
      <c r="A241" t="s">
        <v>1165</v>
      </c>
      <c r="B241" t="s">
        <v>1132</v>
      </c>
      <c r="C241" t="s">
        <v>1133</v>
      </c>
      <c r="D241">
        <v>33</v>
      </c>
      <c r="E241" t="s">
        <v>49</v>
      </c>
      <c r="F241" t="s">
        <v>50</v>
      </c>
      <c r="G241" t="s">
        <v>51</v>
      </c>
      <c r="H241" t="s">
        <v>52</v>
      </c>
      <c r="I241" t="s">
        <v>53</v>
      </c>
      <c r="J241" t="s">
        <v>54</v>
      </c>
      <c r="K241" t="s">
        <v>55</v>
      </c>
      <c r="L241" t="s">
        <v>17</v>
      </c>
      <c r="M241" t="s">
        <v>16</v>
      </c>
      <c r="N241">
        <v>2296</v>
      </c>
      <c r="O241">
        <v>134</v>
      </c>
      <c r="P241">
        <v>0</v>
      </c>
      <c r="Q241" t="s">
        <v>271</v>
      </c>
      <c r="R241" t="s">
        <v>272</v>
      </c>
      <c r="S241" t="s">
        <v>273</v>
      </c>
      <c r="T241" t="s">
        <v>274</v>
      </c>
      <c r="U241" t="s">
        <v>60</v>
      </c>
      <c r="V241" t="s">
        <v>61</v>
      </c>
      <c r="W241">
        <v>3</v>
      </c>
      <c r="X241">
        <v>0.14000000000000001</v>
      </c>
      <c r="Y241" t="s">
        <v>170</v>
      </c>
      <c r="Z241" t="s">
        <v>275</v>
      </c>
      <c r="AA241">
        <v>1</v>
      </c>
      <c r="AB241" t="s">
        <v>63</v>
      </c>
      <c r="AC241" t="s">
        <v>64</v>
      </c>
      <c r="AD241" t="s">
        <v>65</v>
      </c>
      <c r="AE241" t="s">
        <v>65</v>
      </c>
      <c r="AF241" t="s">
        <v>65</v>
      </c>
      <c r="AG241" t="s">
        <v>191</v>
      </c>
      <c r="AH241" t="s">
        <v>66</v>
      </c>
      <c r="AI241" t="s">
        <v>66</v>
      </c>
      <c r="AJ241" t="s">
        <v>66</v>
      </c>
      <c r="AK241">
        <v>1</v>
      </c>
      <c r="AL241" t="s">
        <v>66</v>
      </c>
      <c r="AM241" t="s">
        <v>66</v>
      </c>
      <c r="AN241" t="s">
        <v>66</v>
      </c>
      <c r="AO241" t="s">
        <v>66</v>
      </c>
      <c r="AP241">
        <v>1</v>
      </c>
      <c r="AQ241" t="s">
        <v>66</v>
      </c>
      <c r="AR241" t="s">
        <v>66</v>
      </c>
      <c r="AS241" t="s">
        <v>66</v>
      </c>
      <c r="AT241" t="s">
        <v>66</v>
      </c>
    </row>
    <row r="242" spans="1:46" x14ac:dyDescent="0.15">
      <c r="A242" t="s">
        <v>1166</v>
      </c>
      <c r="B242" t="s">
        <v>1132</v>
      </c>
      <c r="C242" t="s">
        <v>1133</v>
      </c>
      <c r="D242">
        <v>34</v>
      </c>
      <c r="E242" t="s">
        <v>49</v>
      </c>
      <c r="F242" t="s">
        <v>50</v>
      </c>
      <c r="G242" t="s">
        <v>51</v>
      </c>
      <c r="H242" t="s">
        <v>52</v>
      </c>
      <c r="I242" t="s">
        <v>53</v>
      </c>
      <c r="J242" t="s">
        <v>54</v>
      </c>
      <c r="K242" t="s">
        <v>55</v>
      </c>
      <c r="L242" t="s">
        <v>17</v>
      </c>
      <c r="M242" t="s">
        <v>16</v>
      </c>
      <c r="N242">
        <v>2352</v>
      </c>
      <c r="O242">
        <v>137</v>
      </c>
      <c r="P242">
        <v>0</v>
      </c>
      <c r="Q242" t="s">
        <v>277</v>
      </c>
      <c r="R242" t="s">
        <v>278</v>
      </c>
      <c r="S242" t="s">
        <v>279</v>
      </c>
      <c r="T242" t="s">
        <v>280</v>
      </c>
      <c r="U242" t="s">
        <v>60</v>
      </c>
      <c r="V242" t="s">
        <v>61</v>
      </c>
      <c r="W242">
        <v>3</v>
      </c>
      <c r="X242">
        <v>0.14000000000000001</v>
      </c>
      <c r="Y242" t="s">
        <v>281</v>
      </c>
      <c r="Z242" t="s">
        <v>282</v>
      </c>
      <c r="AA242">
        <v>1</v>
      </c>
      <c r="AB242" t="s">
        <v>63</v>
      </c>
      <c r="AC242" t="s">
        <v>64</v>
      </c>
      <c r="AD242" t="s">
        <v>65</v>
      </c>
      <c r="AE242" t="s">
        <v>65</v>
      </c>
      <c r="AF242" t="s">
        <v>65</v>
      </c>
      <c r="AG242" t="s">
        <v>191</v>
      </c>
      <c r="AH242" t="s">
        <v>66</v>
      </c>
      <c r="AI242" t="s">
        <v>66</v>
      </c>
      <c r="AJ242" t="s">
        <v>66</v>
      </c>
      <c r="AK242">
        <v>1</v>
      </c>
      <c r="AL242" t="s">
        <v>66</v>
      </c>
      <c r="AM242" t="s">
        <v>66</v>
      </c>
      <c r="AN242" t="s">
        <v>66</v>
      </c>
      <c r="AO242" t="s">
        <v>66</v>
      </c>
      <c r="AP242">
        <v>1</v>
      </c>
      <c r="AQ242" t="s">
        <v>66</v>
      </c>
      <c r="AR242" t="s">
        <v>66</v>
      </c>
      <c r="AS242" t="s">
        <v>66</v>
      </c>
      <c r="AT242" t="s">
        <v>66</v>
      </c>
    </row>
    <row r="243" spans="1:46" x14ac:dyDescent="0.15">
      <c r="A243" t="s">
        <v>1167</v>
      </c>
      <c r="B243" t="s">
        <v>1132</v>
      </c>
      <c r="C243" t="s">
        <v>1133</v>
      </c>
      <c r="D243">
        <v>35</v>
      </c>
      <c r="E243" t="s">
        <v>49</v>
      </c>
      <c r="F243" t="s">
        <v>50</v>
      </c>
      <c r="G243" t="s">
        <v>51</v>
      </c>
      <c r="H243" t="s">
        <v>52</v>
      </c>
      <c r="I243" t="s">
        <v>53</v>
      </c>
      <c r="J243" t="s">
        <v>54</v>
      </c>
      <c r="K243" t="s">
        <v>55</v>
      </c>
      <c r="L243" t="s">
        <v>17</v>
      </c>
      <c r="M243" t="s">
        <v>16</v>
      </c>
      <c r="N243">
        <v>2408</v>
      </c>
      <c r="O243">
        <v>140</v>
      </c>
      <c r="P243">
        <v>0</v>
      </c>
      <c r="Q243" t="s">
        <v>284</v>
      </c>
      <c r="R243" t="s">
        <v>285</v>
      </c>
      <c r="S243" t="s">
        <v>286</v>
      </c>
      <c r="T243" t="s">
        <v>287</v>
      </c>
      <c r="U243" t="s">
        <v>60</v>
      </c>
      <c r="V243" t="s">
        <v>61</v>
      </c>
      <c r="W243">
        <v>3</v>
      </c>
      <c r="X243">
        <v>0.14000000000000001</v>
      </c>
      <c r="Y243" t="s">
        <v>177</v>
      </c>
      <c r="Z243" t="s">
        <v>288</v>
      </c>
      <c r="AA243">
        <v>1</v>
      </c>
      <c r="AB243" t="s">
        <v>63</v>
      </c>
      <c r="AC243" t="s">
        <v>64</v>
      </c>
      <c r="AD243" t="s">
        <v>65</v>
      </c>
      <c r="AE243" t="s">
        <v>65</v>
      </c>
      <c r="AF243" t="s">
        <v>65</v>
      </c>
      <c r="AG243" t="s">
        <v>191</v>
      </c>
      <c r="AH243" t="s">
        <v>66</v>
      </c>
      <c r="AI243" t="s">
        <v>66</v>
      </c>
      <c r="AJ243" t="s">
        <v>66</v>
      </c>
      <c r="AK243">
        <v>1</v>
      </c>
      <c r="AL243" t="s">
        <v>66</v>
      </c>
      <c r="AM243" t="s">
        <v>66</v>
      </c>
      <c r="AN243" t="s">
        <v>66</v>
      </c>
      <c r="AO243" t="s">
        <v>66</v>
      </c>
      <c r="AP243">
        <v>1</v>
      </c>
      <c r="AQ243" t="s">
        <v>66</v>
      </c>
      <c r="AR243" t="s">
        <v>66</v>
      </c>
      <c r="AS243" t="s">
        <v>66</v>
      </c>
      <c r="AT243" t="s">
        <v>66</v>
      </c>
    </row>
    <row r="244" spans="1:46" x14ac:dyDescent="0.15">
      <c r="A244" t="s">
        <v>1168</v>
      </c>
      <c r="B244" t="s">
        <v>1132</v>
      </c>
      <c r="C244" t="s">
        <v>1133</v>
      </c>
      <c r="D244">
        <v>36</v>
      </c>
      <c r="E244" t="s">
        <v>49</v>
      </c>
      <c r="F244" t="s">
        <v>50</v>
      </c>
      <c r="G244" t="s">
        <v>51</v>
      </c>
      <c r="H244" t="s">
        <v>52</v>
      </c>
      <c r="I244" t="s">
        <v>53</v>
      </c>
      <c r="J244" t="s">
        <v>54</v>
      </c>
      <c r="K244" t="s">
        <v>55</v>
      </c>
      <c r="L244" t="s">
        <v>17</v>
      </c>
      <c r="M244" t="s">
        <v>16</v>
      </c>
      <c r="N244">
        <v>2464</v>
      </c>
      <c r="O244">
        <v>144</v>
      </c>
      <c r="P244">
        <v>0</v>
      </c>
      <c r="Q244" t="s">
        <v>290</v>
      </c>
      <c r="R244" t="s">
        <v>291</v>
      </c>
      <c r="S244" t="s">
        <v>292</v>
      </c>
      <c r="T244" t="s">
        <v>293</v>
      </c>
      <c r="U244" t="s">
        <v>60</v>
      </c>
      <c r="V244" t="s">
        <v>61</v>
      </c>
      <c r="W244">
        <v>3</v>
      </c>
      <c r="X244">
        <v>0.14000000000000001</v>
      </c>
      <c r="Y244" t="s">
        <v>294</v>
      </c>
      <c r="Z244" t="s">
        <v>295</v>
      </c>
      <c r="AA244">
        <v>1</v>
      </c>
      <c r="AB244" t="s">
        <v>63</v>
      </c>
      <c r="AC244" t="s">
        <v>64</v>
      </c>
      <c r="AD244" t="s">
        <v>65</v>
      </c>
      <c r="AE244" t="s">
        <v>65</v>
      </c>
      <c r="AF244" t="s">
        <v>65</v>
      </c>
      <c r="AG244" t="s">
        <v>191</v>
      </c>
      <c r="AH244" t="s">
        <v>66</v>
      </c>
      <c r="AI244" t="s">
        <v>66</v>
      </c>
      <c r="AJ244" t="s">
        <v>66</v>
      </c>
      <c r="AK244">
        <v>1</v>
      </c>
      <c r="AL244" t="s">
        <v>66</v>
      </c>
      <c r="AM244" t="s">
        <v>66</v>
      </c>
      <c r="AN244" t="s">
        <v>66</v>
      </c>
      <c r="AO244" t="s">
        <v>66</v>
      </c>
      <c r="AP244">
        <v>1</v>
      </c>
      <c r="AQ244" t="s">
        <v>66</v>
      </c>
      <c r="AR244" t="s">
        <v>66</v>
      </c>
      <c r="AS244" t="s">
        <v>66</v>
      </c>
      <c r="AT244" t="s">
        <v>66</v>
      </c>
    </row>
    <row r="245" spans="1:46" x14ac:dyDescent="0.15">
      <c r="A245" t="s">
        <v>1169</v>
      </c>
      <c r="B245" t="s">
        <v>1132</v>
      </c>
      <c r="C245" t="s">
        <v>1133</v>
      </c>
      <c r="D245">
        <v>37</v>
      </c>
      <c r="E245" t="s">
        <v>49</v>
      </c>
      <c r="F245" t="s">
        <v>50</v>
      </c>
      <c r="G245" t="s">
        <v>51</v>
      </c>
      <c r="H245" t="s">
        <v>52</v>
      </c>
      <c r="I245" t="s">
        <v>53</v>
      </c>
      <c r="J245" t="s">
        <v>54</v>
      </c>
      <c r="K245" t="s">
        <v>55</v>
      </c>
      <c r="L245" t="s">
        <v>17</v>
      </c>
      <c r="M245" t="s">
        <v>16</v>
      </c>
      <c r="N245">
        <v>2520</v>
      </c>
      <c r="O245">
        <v>147</v>
      </c>
      <c r="P245">
        <v>0</v>
      </c>
      <c r="Q245" t="s">
        <v>297</v>
      </c>
      <c r="R245" t="s">
        <v>298</v>
      </c>
      <c r="S245" t="s">
        <v>299</v>
      </c>
      <c r="T245" t="s">
        <v>300</v>
      </c>
      <c r="U245" t="s">
        <v>60</v>
      </c>
      <c r="V245" t="s">
        <v>61</v>
      </c>
      <c r="W245">
        <v>3</v>
      </c>
      <c r="X245">
        <v>0.14000000000000001</v>
      </c>
      <c r="Y245" t="s">
        <v>183</v>
      </c>
      <c r="Z245" t="s">
        <v>301</v>
      </c>
      <c r="AA245">
        <v>1</v>
      </c>
      <c r="AB245" t="s">
        <v>63</v>
      </c>
      <c r="AC245" t="s">
        <v>64</v>
      </c>
      <c r="AD245" t="s">
        <v>65</v>
      </c>
      <c r="AE245" t="s">
        <v>65</v>
      </c>
      <c r="AF245" t="s">
        <v>65</v>
      </c>
      <c r="AG245" t="s">
        <v>191</v>
      </c>
      <c r="AH245" t="s">
        <v>66</v>
      </c>
      <c r="AI245" t="s">
        <v>66</v>
      </c>
      <c r="AJ245" t="s">
        <v>66</v>
      </c>
      <c r="AK245">
        <v>1</v>
      </c>
      <c r="AL245" t="s">
        <v>66</v>
      </c>
      <c r="AM245" t="s">
        <v>66</v>
      </c>
      <c r="AN245" t="s">
        <v>66</v>
      </c>
      <c r="AO245" t="s">
        <v>66</v>
      </c>
      <c r="AP245">
        <v>1</v>
      </c>
      <c r="AQ245" t="s">
        <v>66</v>
      </c>
      <c r="AR245" t="s">
        <v>66</v>
      </c>
      <c r="AS245" t="s">
        <v>66</v>
      </c>
      <c r="AT245" t="s">
        <v>66</v>
      </c>
    </row>
    <row r="246" spans="1:46" x14ac:dyDescent="0.15">
      <c r="A246" t="s">
        <v>1170</v>
      </c>
      <c r="B246" t="s">
        <v>1132</v>
      </c>
      <c r="C246" t="s">
        <v>1133</v>
      </c>
      <c r="D246">
        <v>38</v>
      </c>
      <c r="E246" t="s">
        <v>49</v>
      </c>
      <c r="F246" t="s">
        <v>50</v>
      </c>
      <c r="G246" t="s">
        <v>51</v>
      </c>
      <c r="H246" t="s">
        <v>52</v>
      </c>
      <c r="I246" t="s">
        <v>53</v>
      </c>
      <c r="J246" t="s">
        <v>54</v>
      </c>
      <c r="K246" t="s">
        <v>55</v>
      </c>
      <c r="L246" t="s">
        <v>17</v>
      </c>
      <c r="M246" t="s">
        <v>16</v>
      </c>
      <c r="N246">
        <v>2577</v>
      </c>
      <c r="O246">
        <v>150</v>
      </c>
      <c r="P246">
        <v>0</v>
      </c>
      <c r="Q246" t="s">
        <v>303</v>
      </c>
      <c r="R246" t="s">
        <v>304</v>
      </c>
      <c r="S246" t="s">
        <v>305</v>
      </c>
      <c r="T246" t="s">
        <v>306</v>
      </c>
      <c r="U246" t="s">
        <v>60</v>
      </c>
      <c r="V246" t="s">
        <v>61</v>
      </c>
      <c r="W246">
        <v>3</v>
      </c>
      <c r="X246">
        <v>0.14000000000000001</v>
      </c>
      <c r="Y246" t="s">
        <v>307</v>
      </c>
      <c r="Z246" t="s">
        <v>308</v>
      </c>
      <c r="AA246">
        <v>1</v>
      </c>
      <c r="AB246" t="s">
        <v>63</v>
      </c>
      <c r="AC246" t="s">
        <v>64</v>
      </c>
      <c r="AD246" t="s">
        <v>65</v>
      </c>
      <c r="AE246" t="s">
        <v>65</v>
      </c>
      <c r="AF246" t="s">
        <v>65</v>
      </c>
      <c r="AG246" t="s">
        <v>191</v>
      </c>
      <c r="AH246" t="s">
        <v>66</v>
      </c>
      <c r="AI246" t="s">
        <v>66</v>
      </c>
      <c r="AJ246" t="s">
        <v>66</v>
      </c>
      <c r="AK246">
        <v>1</v>
      </c>
      <c r="AL246" t="s">
        <v>66</v>
      </c>
      <c r="AM246" t="s">
        <v>66</v>
      </c>
      <c r="AN246" t="s">
        <v>66</v>
      </c>
      <c r="AO246" t="s">
        <v>66</v>
      </c>
      <c r="AP246">
        <v>1</v>
      </c>
      <c r="AQ246" t="s">
        <v>66</v>
      </c>
      <c r="AR246" t="s">
        <v>66</v>
      </c>
      <c r="AS246" t="s">
        <v>66</v>
      </c>
      <c r="AT246" t="s">
        <v>66</v>
      </c>
    </row>
    <row r="247" spans="1:46" x14ac:dyDescent="0.15">
      <c r="A247" t="s">
        <v>1171</v>
      </c>
      <c r="B247" t="s">
        <v>1132</v>
      </c>
      <c r="C247" t="s">
        <v>1133</v>
      </c>
      <c r="D247">
        <v>39</v>
      </c>
      <c r="E247" t="s">
        <v>49</v>
      </c>
      <c r="F247" t="s">
        <v>50</v>
      </c>
      <c r="G247" t="s">
        <v>51</v>
      </c>
      <c r="H247" t="s">
        <v>52</v>
      </c>
      <c r="I247" t="s">
        <v>53</v>
      </c>
      <c r="J247" t="s">
        <v>54</v>
      </c>
      <c r="K247" t="s">
        <v>55</v>
      </c>
      <c r="L247" t="s">
        <v>17</v>
      </c>
      <c r="M247" t="s">
        <v>16</v>
      </c>
      <c r="N247">
        <v>2633</v>
      </c>
      <c r="O247">
        <v>153</v>
      </c>
      <c r="P247">
        <v>0</v>
      </c>
      <c r="Q247" t="s">
        <v>310</v>
      </c>
      <c r="R247" t="s">
        <v>311</v>
      </c>
      <c r="S247" t="s">
        <v>312</v>
      </c>
      <c r="T247" t="s">
        <v>313</v>
      </c>
      <c r="U247" t="s">
        <v>60</v>
      </c>
      <c r="V247" t="s">
        <v>61</v>
      </c>
      <c r="W247">
        <v>3</v>
      </c>
      <c r="X247">
        <v>0.14000000000000001</v>
      </c>
      <c r="Y247" t="s">
        <v>190</v>
      </c>
      <c r="Z247" t="s">
        <v>314</v>
      </c>
      <c r="AA247">
        <v>1</v>
      </c>
      <c r="AB247" t="s">
        <v>63</v>
      </c>
      <c r="AC247" t="s">
        <v>64</v>
      </c>
      <c r="AD247" t="s">
        <v>65</v>
      </c>
      <c r="AE247" t="s">
        <v>65</v>
      </c>
      <c r="AF247" t="s">
        <v>65</v>
      </c>
      <c r="AG247" t="s">
        <v>191</v>
      </c>
      <c r="AH247" t="s">
        <v>66</v>
      </c>
      <c r="AI247" t="s">
        <v>66</v>
      </c>
      <c r="AJ247" t="s">
        <v>66</v>
      </c>
      <c r="AK247">
        <v>1</v>
      </c>
      <c r="AL247" t="s">
        <v>66</v>
      </c>
      <c r="AM247" t="s">
        <v>66</v>
      </c>
      <c r="AN247" t="s">
        <v>66</v>
      </c>
      <c r="AO247" t="s">
        <v>66</v>
      </c>
      <c r="AP247">
        <v>1</v>
      </c>
      <c r="AQ247" t="s">
        <v>66</v>
      </c>
      <c r="AR247" t="s">
        <v>66</v>
      </c>
      <c r="AS247" t="s">
        <v>66</v>
      </c>
      <c r="AT247" t="s">
        <v>66</v>
      </c>
    </row>
    <row r="248" spans="1:46" x14ac:dyDescent="0.15">
      <c r="A248" t="s">
        <v>1172</v>
      </c>
      <c r="B248" t="s">
        <v>1132</v>
      </c>
      <c r="C248" t="s">
        <v>1133</v>
      </c>
      <c r="D248">
        <v>40</v>
      </c>
      <c r="E248" t="s">
        <v>49</v>
      </c>
      <c r="F248" t="s">
        <v>50</v>
      </c>
      <c r="G248" t="s">
        <v>51</v>
      </c>
      <c r="H248" t="s">
        <v>52</v>
      </c>
      <c r="I248" t="s">
        <v>53</v>
      </c>
      <c r="J248" t="s">
        <v>54</v>
      </c>
      <c r="K248" t="s">
        <v>55</v>
      </c>
      <c r="L248" t="s">
        <v>17</v>
      </c>
      <c r="M248" t="s">
        <v>16</v>
      </c>
      <c r="N248">
        <v>2689</v>
      </c>
      <c r="O248">
        <v>157</v>
      </c>
      <c r="P248">
        <v>0</v>
      </c>
      <c r="Q248" t="s">
        <v>316</v>
      </c>
      <c r="R248" t="s">
        <v>317</v>
      </c>
      <c r="S248" t="s">
        <v>318</v>
      </c>
      <c r="T248" t="s">
        <v>319</v>
      </c>
      <c r="U248" t="s">
        <v>60</v>
      </c>
      <c r="V248" t="s">
        <v>61</v>
      </c>
      <c r="W248">
        <v>3</v>
      </c>
      <c r="X248">
        <v>0.14000000000000001</v>
      </c>
      <c r="Y248" t="s">
        <v>320</v>
      </c>
      <c r="Z248" t="s">
        <v>321</v>
      </c>
      <c r="AA248">
        <v>1</v>
      </c>
      <c r="AB248" t="s">
        <v>63</v>
      </c>
      <c r="AC248" t="s">
        <v>64</v>
      </c>
      <c r="AD248" t="s">
        <v>65</v>
      </c>
      <c r="AE248" t="s">
        <v>65</v>
      </c>
      <c r="AF248" t="s">
        <v>65</v>
      </c>
      <c r="AG248" t="s">
        <v>191</v>
      </c>
      <c r="AH248" t="s">
        <v>66</v>
      </c>
      <c r="AI248" t="s">
        <v>66</v>
      </c>
      <c r="AJ248" t="s">
        <v>66</v>
      </c>
      <c r="AK248">
        <v>1</v>
      </c>
      <c r="AL248" t="s">
        <v>66</v>
      </c>
      <c r="AM248" t="s">
        <v>66</v>
      </c>
      <c r="AN248" t="s">
        <v>66</v>
      </c>
      <c r="AO248" t="s">
        <v>66</v>
      </c>
      <c r="AP248">
        <v>1</v>
      </c>
      <c r="AQ248" t="s">
        <v>66</v>
      </c>
      <c r="AR248" t="s">
        <v>66</v>
      </c>
      <c r="AS248" t="s">
        <v>66</v>
      </c>
      <c r="AT248" t="s">
        <v>66</v>
      </c>
    </row>
    <row r="249" spans="1:46" x14ac:dyDescent="0.15">
      <c r="A249" t="s">
        <v>1172</v>
      </c>
      <c r="B249" t="s">
        <v>1132</v>
      </c>
      <c r="C249" t="s">
        <v>1133</v>
      </c>
      <c r="D249">
        <v>40</v>
      </c>
      <c r="E249" t="s">
        <v>49</v>
      </c>
      <c r="F249" t="s">
        <v>50</v>
      </c>
      <c r="G249" t="s">
        <v>51</v>
      </c>
      <c r="H249" t="s">
        <v>52</v>
      </c>
      <c r="I249" t="s">
        <v>53</v>
      </c>
      <c r="J249" t="s">
        <v>54</v>
      </c>
      <c r="K249" t="s">
        <v>55</v>
      </c>
      <c r="L249" t="s">
        <v>17</v>
      </c>
      <c r="M249" t="s">
        <v>16</v>
      </c>
      <c r="N249">
        <v>2689</v>
      </c>
      <c r="O249">
        <v>157</v>
      </c>
      <c r="P249">
        <v>0</v>
      </c>
      <c r="Q249" t="s">
        <v>316</v>
      </c>
      <c r="R249" t="s">
        <v>317</v>
      </c>
      <c r="S249" t="s">
        <v>318</v>
      </c>
      <c r="T249" t="s">
        <v>319</v>
      </c>
      <c r="U249" t="s">
        <v>60</v>
      </c>
      <c r="V249" t="s">
        <v>61</v>
      </c>
      <c r="W249">
        <v>3</v>
      </c>
      <c r="X249">
        <v>0.14000000000000001</v>
      </c>
      <c r="Y249" t="s">
        <v>320</v>
      </c>
      <c r="Z249" t="s">
        <v>321</v>
      </c>
      <c r="AA249">
        <v>2</v>
      </c>
      <c r="AB249" t="s">
        <v>63</v>
      </c>
      <c r="AC249" t="s">
        <v>64</v>
      </c>
      <c r="AD249" t="s">
        <v>65</v>
      </c>
      <c r="AE249" t="s">
        <v>65</v>
      </c>
      <c r="AF249" t="s">
        <v>65</v>
      </c>
      <c r="AG249" t="s">
        <v>191</v>
      </c>
      <c r="AH249" t="s">
        <v>322</v>
      </c>
      <c r="AI249" t="s">
        <v>66</v>
      </c>
      <c r="AJ249" t="s">
        <v>66</v>
      </c>
      <c r="AK249">
        <v>1</v>
      </c>
      <c r="AL249" t="s">
        <v>323</v>
      </c>
      <c r="AM249" t="s">
        <v>66</v>
      </c>
      <c r="AN249" t="s">
        <v>324</v>
      </c>
      <c r="AO249" t="s">
        <v>66</v>
      </c>
      <c r="AP249">
        <v>1</v>
      </c>
      <c r="AQ249" t="s">
        <v>66</v>
      </c>
      <c r="AR249" t="s">
        <v>66</v>
      </c>
      <c r="AS249" t="s">
        <v>66</v>
      </c>
      <c r="AT249" t="s">
        <v>66</v>
      </c>
    </row>
    <row r="250" spans="1:46" x14ac:dyDescent="0.15">
      <c r="A250" t="s">
        <v>1173</v>
      </c>
      <c r="B250" t="s">
        <v>1132</v>
      </c>
      <c r="C250" t="s">
        <v>1133</v>
      </c>
      <c r="D250">
        <v>41</v>
      </c>
      <c r="E250" t="s">
        <v>49</v>
      </c>
      <c r="F250" t="s">
        <v>50</v>
      </c>
      <c r="G250" t="s">
        <v>51</v>
      </c>
      <c r="H250" t="s">
        <v>52</v>
      </c>
      <c r="I250" t="s">
        <v>53</v>
      </c>
      <c r="J250" t="s">
        <v>54</v>
      </c>
      <c r="K250" t="s">
        <v>55</v>
      </c>
      <c r="L250" t="s">
        <v>17</v>
      </c>
      <c r="M250" t="s">
        <v>16</v>
      </c>
      <c r="N250">
        <v>2745</v>
      </c>
      <c r="O250">
        <v>160</v>
      </c>
      <c r="P250">
        <v>0</v>
      </c>
      <c r="Q250" t="s">
        <v>326</v>
      </c>
      <c r="R250" t="s">
        <v>327</v>
      </c>
      <c r="S250" t="s">
        <v>328</v>
      </c>
      <c r="T250" t="s">
        <v>329</v>
      </c>
      <c r="U250" t="s">
        <v>60</v>
      </c>
      <c r="V250" t="s">
        <v>61</v>
      </c>
      <c r="W250">
        <v>3</v>
      </c>
      <c r="X250">
        <v>0.14000000000000001</v>
      </c>
      <c r="Y250" t="s">
        <v>197</v>
      </c>
      <c r="Z250" t="s">
        <v>330</v>
      </c>
      <c r="AA250">
        <v>2</v>
      </c>
      <c r="AB250" t="s">
        <v>63</v>
      </c>
      <c r="AC250" t="s">
        <v>64</v>
      </c>
      <c r="AD250" t="s">
        <v>65</v>
      </c>
      <c r="AE250" t="s">
        <v>65</v>
      </c>
      <c r="AF250" t="s">
        <v>65</v>
      </c>
      <c r="AG250" t="s">
        <v>191</v>
      </c>
      <c r="AH250" t="s">
        <v>322</v>
      </c>
      <c r="AI250" t="s">
        <v>66</v>
      </c>
      <c r="AJ250" t="s">
        <v>66</v>
      </c>
      <c r="AK250">
        <v>1</v>
      </c>
      <c r="AL250" t="s">
        <v>323</v>
      </c>
      <c r="AM250" t="s">
        <v>66</v>
      </c>
      <c r="AN250" t="s">
        <v>324</v>
      </c>
      <c r="AO250" t="s">
        <v>66</v>
      </c>
      <c r="AP250">
        <v>1</v>
      </c>
      <c r="AQ250" t="s">
        <v>66</v>
      </c>
      <c r="AR250" t="s">
        <v>66</v>
      </c>
      <c r="AS250" t="s">
        <v>66</v>
      </c>
      <c r="AT250" t="s">
        <v>66</v>
      </c>
    </row>
    <row r="251" spans="1:46" x14ac:dyDescent="0.15">
      <c r="A251" t="s">
        <v>1174</v>
      </c>
      <c r="B251" t="s">
        <v>1132</v>
      </c>
      <c r="C251" t="s">
        <v>1133</v>
      </c>
      <c r="D251">
        <v>42</v>
      </c>
      <c r="E251" t="s">
        <v>49</v>
      </c>
      <c r="F251" t="s">
        <v>50</v>
      </c>
      <c r="G251" t="s">
        <v>51</v>
      </c>
      <c r="H251" t="s">
        <v>52</v>
      </c>
      <c r="I251" t="s">
        <v>53</v>
      </c>
      <c r="J251" t="s">
        <v>54</v>
      </c>
      <c r="K251" t="s">
        <v>55</v>
      </c>
      <c r="L251" t="s">
        <v>17</v>
      </c>
      <c r="M251" t="s">
        <v>16</v>
      </c>
      <c r="N251">
        <v>2801</v>
      </c>
      <c r="O251">
        <v>163</v>
      </c>
      <c r="P251">
        <v>0</v>
      </c>
      <c r="Q251" t="s">
        <v>332</v>
      </c>
      <c r="R251" t="s">
        <v>333</v>
      </c>
      <c r="S251" t="s">
        <v>334</v>
      </c>
      <c r="T251" t="s">
        <v>335</v>
      </c>
      <c r="U251" t="s">
        <v>60</v>
      </c>
      <c r="V251" t="s">
        <v>61</v>
      </c>
      <c r="W251">
        <v>3</v>
      </c>
      <c r="X251">
        <v>0.14000000000000001</v>
      </c>
      <c r="Y251" t="s">
        <v>336</v>
      </c>
      <c r="Z251" t="s">
        <v>337</v>
      </c>
      <c r="AA251">
        <v>2</v>
      </c>
      <c r="AB251" t="s">
        <v>63</v>
      </c>
      <c r="AC251" t="s">
        <v>64</v>
      </c>
      <c r="AD251" t="s">
        <v>65</v>
      </c>
      <c r="AE251" t="s">
        <v>65</v>
      </c>
      <c r="AF251" t="s">
        <v>65</v>
      </c>
      <c r="AG251" t="s">
        <v>191</v>
      </c>
      <c r="AH251" t="s">
        <v>322</v>
      </c>
      <c r="AI251" t="s">
        <v>66</v>
      </c>
      <c r="AJ251" t="s">
        <v>66</v>
      </c>
      <c r="AK251">
        <v>1</v>
      </c>
      <c r="AL251" t="s">
        <v>323</v>
      </c>
      <c r="AM251" t="s">
        <v>66</v>
      </c>
      <c r="AN251" t="s">
        <v>324</v>
      </c>
      <c r="AO251" t="s">
        <v>66</v>
      </c>
      <c r="AP251">
        <v>1</v>
      </c>
      <c r="AQ251" t="s">
        <v>66</v>
      </c>
      <c r="AR251" t="s">
        <v>66</v>
      </c>
      <c r="AS251" t="s">
        <v>66</v>
      </c>
      <c r="AT251" t="s">
        <v>66</v>
      </c>
    </row>
    <row r="252" spans="1:46" x14ac:dyDescent="0.15">
      <c r="A252" t="s">
        <v>1175</v>
      </c>
      <c r="B252" t="s">
        <v>1132</v>
      </c>
      <c r="C252" t="s">
        <v>1133</v>
      </c>
      <c r="D252">
        <v>43</v>
      </c>
      <c r="E252" t="s">
        <v>49</v>
      </c>
      <c r="F252" t="s">
        <v>50</v>
      </c>
      <c r="G252" t="s">
        <v>51</v>
      </c>
      <c r="H252" t="s">
        <v>52</v>
      </c>
      <c r="I252" t="s">
        <v>53</v>
      </c>
      <c r="J252" t="s">
        <v>54</v>
      </c>
      <c r="K252" t="s">
        <v>55</v>
      </c>
      <c r="L252" t="s">
        <v>17</v>
      </c>
      <c r="M252" t="s">
        <v>16</v>
      </c>
      <c r="N252">
        <v>2857</v>
      </c>
      <c r="O252">
        <v>166</v>
      </c>
      <c r="P252">
        <v>0</v>
      </c>
      <c r="Q252" t="s">
        <v>339</v>
      </c>
      <c r="R252" t="s">
        <v>340</v>
      </c>
      <c r="S252" t="s">
        <v>341</v>
      </c>
      <c r="T252" t="s">
        <v>342</v>
      </c>
      <c r="U252" t="s">
        <v>60</v>
      </c>
      <c r="V252" t="s">
        <v>61</v>
      </c>
      <c r="W252">
        <v>3</v>
      </c>
      <c r="X252">
        <v>0.14000000000000001</v>
      </c>
      <c r="Y252" t="s">
        <v>204</v>
      </c>
      <c r="Z252" t="s">
        <v>343</v>
      </c>
      <c r="AA252">
        <v>2</v>
      </c>
      <c r="AB252" t="s">
        <v>63</v>
      </c>
      <c r="AC252" t="s">
        <v>64</v>
      </c>
      <c r="AD252" t="s">
        <v>65</v>
      </c>
      <c r="AE252" t="s">
        <v>65</v>
      </c>
      <c r="AF252" t="s">
        <v>65</v>
      </c>
      <c r="AG252" t="s">
        <v>191</v>
      </c>
      <c r="AH252" t="s">
        <v>322</v>
      </c>
      <c r="AI252" t="s">
        <v>66</v>
      </c>
      <c r="AJ252" t="s">
        <v>66</v>
      </c>
      <c r="AK252">
        <v>1</v>
      </c>
      <c r="AL252" t="s">
        <v>323</v>
      </c>
      <c r="AM252" t="s">
        <v>66</v>
      </c>
      <c r="AN252" t="s">
        <v>324</v>
      </c>
      <c r="AO252" t="s">
        <v>66</v>
      </c>
      <c r="AP252">
        <v>1</v>
      </c>
      <c r="AQ252" t="s">
        <v>66</v>
      </c>
      <c r="AR252" t="s">
        <v>66</v>
      </c>
      <c r="AS252" t="s">
        <v>66</v>
      </c>
      <c r="AT252" t="s">
        <v>66</v>
      </c>
    </row>
    <row r="253" spans="1:46" x14ac:dyDescent="0.15">
      <c r="A253" t="s">
        <v>1176</v>
      </c>
      <c r="B253" t="s">
        <v>1132</v>
      </c>
      <c r="C253" t="s">
        <v>1133</v>
      </c>
      <c r="D253">
        <v>44</v>
      </c>
      <c r="E253" t="s">
        <v>49</v>
      </c>
      <c r="F253" t="s">
        <v>50</v>
      </c>
      <c r="G253" t="s">
        <v>51</v>
      </c>
      <c r="H253" t="s">
        <v>52</v>
      </c>
      <c r="I253" t="s">
        <v>53</v>
      </c>
      <c r="J253" t="s">
        <v>54</v>
      </c>
      <c r="K253" t="s">
        <v>55</v>
      </c>
      <c r="L253" t="s">
        <v>17</v>
      </c>
      <c r="M253" t="s">
        <v>16</v>
      </c>
      <c r="N253">
        <v>2913</v>
      </c>
      <c r="O253">
        <v>170</v>
      </c>
      <c r="P253">
        <v>0</v>
      </c>
      <c r="Q253" t="s">
        <v>345</v>
      </c>
      <c r="R253" t="s">
        <v>346</v>
      </c>
      <c r="S253" t="s">
        <v>347</v>
      </c>
      <c r="T253" t="s">
        <v>348</v>
      </c>
      <c r="U253" t="s">
        <v>60</v>
      </c>
      <c r="V253" t="s">
        <v>61</v>
      </c>
      <c r="W253">
        <v>3</v>
      </c>
      <c r="X253">
        <v>0.14000000000000001</v>
      </c>
      <c r="Y253" t="s">
        <v>349</v>
      </c>
      <c r="Z253" t="s">
        <v>350</v>
      </c>
      <c r="AA253">
        <v>2</v>
      </c>
      <c r="AB253" t="s">
        <v>63</v>
      </c>
      <c r="AC253" t="s">
        <v>64</v>
      </c>
      <c r="AD253" t="s">
        <v>65</v>
      </c>
      <c r="AE253" t="s">
        <v>65</v>
      </c>
      <c r="AF253" t="s">
        <v>65</v>
      </c>
      <c r="AG253" t="s">
        <v>191</v>
      </c>
      <c r="AH253" t="s">
        <v>322</v>
      </c>
      <c r="AI253" t="s">
        <v>66</v>
      </c>
      <c r="AJ253" t="s">
        <v>66</v>
      </c>
      <c r="AK253">
        <v>1</v>
      </c>
      <c r="AL253" t="s">
        <v>323</v>
      </c>
      <c r="AM253" t="s">
        <v>66</v>
      </c>
      <c r="AN253" t="s">
        <v>324</v>
      </c>
      <c r="AO253" t="s">
        <v>66</v>
      </c>
      <c r="AP253">
        <v>1</v>
      </c>
      <c r="AQ253" t="s">
        <v>66</v>
      </c>
      <c r="AR253" t="s">
        <v>66</v>
      </c>
      <c r="AS253" t="s">
        <v>66</v>
      </c>
      <c r="AT253" t="s">
        <v>66</v>
      </c>
    </row>
    <row r="254" spans="1:46" x14ac:dyDescent="0.15">
      <c r="A254" t="s">
        <v>1177</v>
      </c>
      <c r="B254" t="s">
        <v>1132</v>
      </c>
      <c r="C254" t="s">
        <v>1133</v>
      </c>
      <c r="D254">
        <v>45</v>
      </c>
      <c r="E254" t="s">
        <v>49</v>
      </c>
      <c r="F254" t="s">
        <v>50</v>
      </c>
      <c r="G254" t="s">
        <v>51</v>
      </c>
      <c r="H254" t="s">
        <v>52</v>
      </c>
      <c r="I254" t="s">
        <v>53</v>
      </c>
      <c r="J254" t="s">
        <v>54</v>
      </c>
      <c r="K254" t="s">
        <v>55</v>
      </c>
      <c r="L254" t="s">
        <v>17</v>
      </c>
      <c r="M254" t="s">
        <v>16</v>
      </c>
      <c r="N254">
        <v>2969</v>
      </c>
      <c r="O254">
        <v>173</v>
      </c>
      <c r="P254">
        <v>0</v>
      </c>
      <c r="Q254" t="s">
        <v>352</v>
      </c>
      <c r="R254" t="s">
        <v>353</v>
      </c>
      <c r="S254" t="s">
        <v>354</v>
      </c>
      <c r="T254" t="s">
        <v>355</v>
      </c>
      <c r="U254" t="s">
        <v>60</v>
      </c>
      <c r="V254" t="s">
        <v>61</v>
      </c>
      <c r="W254">
        <v>3</v>
      </c>
      <c r="X254">
        <v>0.14000000000000001</v>
      </c>
      <c r="Y254" t="s">
        <v>210</v>
      </c>
      <c r="Z254" t="s">
        <v>356</v>
      </c>
      <c r="AA254">
        <v>2</v>
      </c>
      <c r="AB254" t="s">
        <v>63</v>
      </c>
      <c r="AC254" t="s">
        <v>64</v>
      </c>
      <c r="AD254" t="s">
        <v>65</v>
      </c>
      <c r="AE254" t="s">
        <v>65</v>
      </c>
      <c r="AF254" t="s">
        <v>65</v>
      </c>
      <c r="AG254" t="s">
        <v>191</v>
      </c>
      <c r="AH254" t="s">
        <v>322</v>
      </c>
      <c r="AI254" t="s">
        <v>66</v>
      </c>
      <c r="AJ254" t="s">
        <v>66</v>
      </c>
      <c r="AK254">
        <v>1</v>
      </c>
      <c r="AL254" t="s">
        <v>323</v>
      </c>
      <c r="AM254" t="s">
        <v>66</v>
      </c>
      <c r="AN254" t="s">
        <v>324</v>
      </c>
      <c r="AO254" t="s">
        <v>66</v>
      </c>
      <c r="AP254">
        <v>1</v>
      </c>
      <c r="AQ254" t="s">
        <v>66</v>
      </c>
      <c r="AR254" t="s">
        <v>66</v>
      </c>
      <c r="AS254" t="s">
        <v>66</v>
      </c>
      <c r="AT254" t="s">
        <v>66</v>
      </c>
    </row>
    <row r="255" spans="1:46" x14ac:dyDescent="0.15">
      <c r="A255" t="s">
        <v>1178</v>
      </c>
      <c r="B255" t="s">
        <v>1132</v>
      </c>
      <c r="C255" t="s">
        <v>1133</v>
      </c>
      <c r="D255">
        <v>46</v>
      </c>
      <c r="E255" t="s">
        <v>49</v>
      </c>
      <c r="F255" t="s">
        <v>50</v>
      </c>
      <c r="G255" t="s">
        <v>51</v>
      </c>
      <c r="H255" t="s">
        <v>52</v>
      </c>
      <c r="I255" t="s">
        <v>53</v>
      </c>
      <c r="J255" t="s">
        <v>54</v>
      </c>
      <c r="K255" t="s">
        <v>55</v>
      </c>
      <c r="L255" t="s">
        <v>17</v>
      </c>
      <c r="M255" t="s">
        <v>16</v>
      </c>
      <c r="N255">
        <v>3026</v>
      </c>
      <c r="O255">
        <v>176</v>
      </c>
      <c r="P255">
        <v>0</v>
      </c>
      <c r="Q255" t="s">
        <v>358</v>
      </c>
      <c r="R255" t="s">
        <v>359</v>
      </c>
      <c r="S255" t="s">
        <v>360</v>
      </c>
      <c r="T255" t="s">
        <v>361</v>
      </c>
      <c r="U255" t="s">
        <v>60</v>
      </c>
      <c r="V255" t="s">
        <v>61</v>
      </c>
      <c r="W255">
        <v>3</v>
      </c>
      <c r="X255">
        <v>0.14000000000000001</v>
      </c>
      <c r="Y255" t="s">
        <v>362</v>
      </c>
      <c r="Z255" t="s">
        <v>363</v>
      </c>
      <c r="AA255">
        <v>2</v>
      </c>
      <c r="AB255" t="s">
        <v>63</v>
      </c>
      <c r="AC255" t="s">
        <v>64</v>
      </c>
      <c r="AD255" t="s">
        <v>65</v>
      </c>
      <c r="AE255" t="s">
        <v>65</v>
      </c>
      <c r="AF255" t="s">
        <v>65</v>
      </c>
      <c r="AG255" t="s">
        <v>191</v>
      </c>
      <c r="AH255" t="s">
        <v>322</v>
      </c>
      <c r="AI255" t="s">
        <v>66</v>
      </c>
      <c r="AJ255" t="s">
        <v>66</v>
      </c>
      <c r="AK255">
        <v>1</v>
      </c>
      <c r="AL255" t="s">
        <v>323</v>
      </c>
      <c r="AM255" t="s">
        <v>66</v>
      </c>
      <c r="AN255" t="s">
        <v>324</v>
      </c>
      <c r="AO255" t="s">
        <v>66</v>
      </c>
      <c r="AP255">
        <v>1</v>
      </c>
      <c r="AQ255" t="s">
        <v>66</v>
      </c>
      <c r="AR255" t="s">
        <v>66</v>
      </c>
      <c r="AS255" t="s">
        <v>66</v>
      </c>
      <c r="AT255" t="s">
        <v>66</v>
      </c>
    </row>
    <row r="256" spans="1:46" x14ac:dyDescent="0.15">
      <c r="A256" t="s">
        <v>1179</v>
      </c>
      <c r="B256" t="s">
        <v>1132</v>
      </c>
      <c r="C256" t="s">
        <v>1133</v>
      </c>
      <c r="D256">
        <v>47</v>
      </c>
      <c r="E256" t="s">
        <v>49</v>
      </c>
      <c r="F256" t="s">
        <v>50</v>
      </c>
      <c r="G256" t="s">
        <v>51</v>
      </c>
      <c r="H256" t="s">
        <v>52</v>
      </c>
      <c r="I256" t="s">
        <v>53</v>
      </c>
      <c r="J256" t="s">
        <v>54</v>
      </c>
      <c r="K256" t="s">
        <v>55</v>
      </c>
      <c r="L256" t="s">
        <v>17</v>
      </c>
      <c r="M256" t="s">
        <v>16</v>
      </c>
      <c r="N256">
        <v>3082</v>
      </c>
      <c r="O256">
        <v>179</v>
      </c>
      <c r="P256">
        <v>0</v>
      </c>
      <c r="Q256" t="s">
        <v>365</v>
      </c>
      <c r="R256" t="s">
        <v>366</v>
      </c>
      <c r="S256" t="s">
        <v>367</v>
      </c>
      <c r="T256" t="s">
        <v>368</v>
      </c>
      <c r="U256" t="s">
        <v>60</v>
      </c>
      <c r="V256" t="s">
        <v>61</v>
      </c>
      <c r="W256">
        <v>3</v>
      </c>
      <c r="X256">
        <v>0.14000000000000001</v>
      </c>
      <c r="Y256" t="s">
        <v>217</v>
      </c>
      <c r="Z256" t="s">
        <v>369</v>
      </c>
      <c r="AA256">
        <v>2</v>
      </c>
      <c r="AB256" t="s">
        <v>63</v>
      </c>
      <c r="AC256" t="s">
        <v>64</v>
      </c>
      <c r="AD256" t="s">
        <v>65</v>
      </c>
      <c r="AE256" t="s">
        <v>65</v>
      </c>
      <c r="AF256" t="s">
        <v>65</v>
      </c>
      <c r="AG256" t="s">
        <v>191</v>
      </c>
      <c r="AH256" t="s">
        <v>322</v>
      </c>
      <c r="AI256" t="s">
        <v>66</v>
      </c>
      <c r="AJ256" t="s">
        <v>66</v>
      </c>
      <c r="AK256">
        <v>1</v>
      </c>
      <c r="AL256" t="s">
        <v>323</v>
      </c>
      <c r="AM256" t="s">
        <v>66</v>
      </c>
      <c r="AN256" t="s">
        <v>324</v>
      </c>
      <c r="AO256" t="s">
        <v>66</v>
      </c>
      <c r="AP256">
        <v>1</v>
      </c>
      <c r="AQ256" t="s">
        <v>66</v>
      </c>
      <c r="AR256" t="s">
        <v>66</v>
      </c>
      <c r="AS256" t="s">
        <v>66</v>
      </c>
      <c r="AT256" t="s">
        <v>66</v>
      </c>
    </row>
    <row r="257" spans="1:46" x14ac:dyDescent="0.15">
      <c r="A257" t="s">
        <v>1180</v>
      </c>
      <c r="B257" t="s">
        <v>1132</v>
      </c>
      <c r="C257" t="s">
        <v>1133</v>
      </c>
      <c r="D257">
        <v>48</v>
      </c>
      <c r="E257" t="s">
        <v>49</v>
      </c>
      <c r="F257" t="s">
        <v>50</v>
      </c>
      <c r="G257" t="s">
        <v>51</v>
      </c>
      <c r="H257" t="s">
        <v>52</v>
      </c>
      <c r="I257" t="s">
        <v>53</v>
      </c>
      <c r="J257" t="s">
        <v>54</v>
      </c>
      <c r="K257" t="s">
        <v>55</v>
      </c>
      <c r="L257" t="s">
        <v>17</v>
      </c>
      <c r="M257" t="s">
        <v>16</v>
      </c>
      <c r="N257">
        <v>3138</v>
      </c>
      <c r="O257">
        <v>183</v>
      </c>
      <c r="P257">
        <v>0</v>
      </c>
      <c r="Q257" t="s">
        <v>371</v>
      </c>
      <c r="R257" t="s">
        <v>372</v>
      </c>
      <c r="S257" t="s">
        <v>373</v>
      </c>
      <c r="T257" t="s">
        <v>374</v>
      </c>
      <c r="U257" t="s">
        <v>60</v>
      </c>
      <c r="V257" t="s">
        <v>61</v>
      </c>
      <c r="W257">
        <v>3</v>
      </c>
      <c r="X257">
        <v>0.14000000000000001</v>
      </c>
      <c r="Y257" t="s">
        <v>375</v>
      </c>
      <c r="Z257" t="s">
        <v>376</v>
      </c>
      <c r="AA257">
        <v>2</v>
      </c>
      <c r="AB257" t="s">
        <v>63</v>
      </c>
      <c r="AC257" t="s">
        <v>64</v>
      </c>
      <c r="AD257" t="s">
        <v>65</v>
      </c>
      <c r="AE257" t="s">
        <v>65</v>
      </c>
      <c r="AF257" t="s">
        <v>65</v>
      </c>
      <c r="AG257" t="s">
        <v>191</v>
      </c>
      <c r="AH257" t="s">
        <v>322</v>
      </c>
      <c r="AI257" t="s">
        <v>66</v>
      </c>
      <c r="AJ257" t="s">
        <v>66</v>
      </c>
      <c r="AK257">
        <v>1</v>
      </c>
      <c r="AL257" t="s">
        <v>323</v>
      </c>
      <c r="AM257" t="s">
        <v>66</v>
      </c>
      <c r="AN257" t="s">
        <v>324</v>
      </c>
      <c r="AO257" t="s">
        <v>66</v>
      </c>
      <c r="AP257">
        <v>1</v>
      </c>
      <c r="AQ257" t="s">
        <v>66</v>
      </c>
      <c r="AR257" t="s">
        <v>66</v>
      </c>
      <c r="AS257" t="s">
        <v>66</v>
      </c>
      <c r="AT257" t="s">
        <v>66</v>
      </c>
    </row>
    <row r="258" spans="1:46" x14ac:dyDescent="0.15">
      <c r="A258" t="s">
        <v>1181</v>
      </c>
      <c r="B258" t="s">
        <v>1132</v>
      </c>
      <c r="C258" t="s">
        <v>1133</v>
      </c>
      <c r="D258">
        <v>49</v>
      </c>
      <c r="E258" t="s">
        <v>49</v>
      </c>
      <c r="F258" t="s">
        <v>50</v>
      </c>
      <c r="G258" t="s">
        <v>51</v>
      </c>
      <c r="H258" t="s">
        <v>52</v>
      </c>
      <c r="I258" t="s">
        <v>53</v>
      </c>
      <c r="J258" t="s">
        <v>54</v>
      </c>
      <c r="K258" t="s">
        <v>55</v>
      </c>
      <c r="L258" t="s">
        <v>17</v>
      </c>
      <c r="M258" t="s">
        <v>16</v>
      </c>
      <c r="N258">
        <v>3194</v>
      </c>
      <c r="O258">
        <v>186</v>
      </c>
      <c r="P258">
        <v>0</v>
      </c>
      <c r="Q258" t="s">
        <v>378</v>
      </c>
      <c r="R258" t="s">
        <v>379</v>
      </c>
      <c r="S258" t="s">
        <v>380</v>
      </c>
      <c r="T258" t="s">
        <v>381</v>
      </c>
      <c r="U258" t="s">
        <v>60</v>
      </c>
      <c r="V258" t="s">
        <v>61</v>
      </c>
      <c r="W258">
        <v>3</v>
      </c>
      <c r="X258">
        <v>0.14000000000000001</v>
      </c>
      <c r="Y258" t="s">
        <v>223</v>
      </c>
      <c r="Z258" t="s">
        <v>382</v>
      </c>
      <c r="AA258">
        <v>2</v>
      </c>
      <c r="AB258" t="s">
        <v>63</v>
      </c>
      <c r="AC258" t="s">
        <v>64</v>
      </c>
      <c r="AD258" t="s">
        <v>65</v>
      </c>
      <c r="AE258" t="s">
        <v>65</v>
      </c>
      <c r="AF258" t="s">
        <v>65</v>
      </c>
      <c r="AG258" t="s">
        <v>191</v>
      </c>
      <c r="AH258" t="s">
        <v>322</v>
      </c>
      <c r="AI258" t="s">
        <v>66</v>
      </c>
      <c r="AJ258" t="s">
        <v>66</v>
      </c>
      <c r="AK258">
        <v>1</v>
      </c>
      <c r="AL258" t="s">
        <v>323</v>
      </c>
      <c r="AM258" t="s">
        <v>66</v>
      </c>
      <c r="AN258" t="s">
        <v>324</v>
      </c>
      <c r="AO258" t="s">
        <v>66</v>
      </c>
      <c r="AP258">
        <v>1</v>
      </c>
      <c r="AQ258" t="s">
        <v>66</v>
      </c>
      <c r="AR258" t="s">
        <v>66</v>
      </c>
      <c r="AS258" t="s">
        <v>66</v>
      </c>
      <c r="AT258" t="s">
        <v>66</v>
      </c>
    </row>
    <row r="259" spans="1:46" x14ac:dyDescent="0.15">
      <c r="A259" t="s">
        <v>1182</v>
      </c>
      <c r="B259" t="s">
        <v>1132</v>
      </c>
      <c r="C259" t="s">
        <v>1133</v>
      </c>
      <c r="D259">
        <v>50</v>
      </c>
      <c r="E259" t="s">
        <v>49</v>
      </c>
      <c r="F259" t="s">
        <v>50</v>
      </c>
      <c r="G259" t="s">
        <v>51</v>
      </c>
      <c r="H259" t="s">
        <v>52</v>
      </c>
      <c r="I259" t="s">
        <v>53</v>
      </c>
      <c r="J259" t="s">
        <v>54</v>
      </c>
      <c r="K259" t="s">
        <v>55</v>
      </c>
      <c r="L259" t="s">
        <v>17</v>
      </c>
      <c r="M259" t="s">
        <v>16</v>
      </c>
      <c r="N259">
        <v>3250</v>
      </c>
      <c r="O259">
        <v>189</v>
      </c>
      <c r="P259">
        <v>0</v>
      </c>
      <c r="Q259" t="s">
        <v>384</v>
      </c>
      <c r="R259" t="s">
        <v>385</v>
      </c>
      <c r="S259" t="s">
        <v>386</v>
      </c>
      <c r="T259" t="s">
        <v>387</v>
      </c>
      <c r="U259" t="s">
        <v>60</v>
      </c>
      <c r="V259" t="s">
        <v>61</v>
      </c>
      <c r="W259">
        <v>3</v>
      </c>
      <c r="X259">
        <v>0.14000000000000001</v>
      </c>
      <c r="Y259" t="s">
        <v>388</v>
      </c>
      <c r="Z259" t="s">
        <v>389</v>
      </c>
      <c r="AA259">
        <v>2</v>
      </c>
      <c r="AB259" t="s">
        <v>63</v>
      </c>
      <c r="AC259" t="s">
        <v>64</v>
      </c>
      <c r="AD259" t="s">
        <v>65</v>
      </c>
      <c r="AE259" t="s">
        <v>65</v>
      </c>
      <c r="AF259" t="s">
        <v>65</v>
      </c>
      <c r="AG259" t="s">
        <v>191</v>
      </c>
      <c r="AH259" t="s">
        <v>322</v>
      </c>
      <c r="AI259" t="s">
        <v>66</v>
      </c>
      <c r="AJ259" t="s">
        <v>66</v>
      </c>
      <c r="AK259">
        <v>1</v>
      </c>
      <c r="AL259" t="s">
        <v>323</v>
      </c>
      <c r="AM259" t="s">
        <v>66</v>
      </c>
      <c r="AN259" t="s">
        <v>324</v>
      </c>
      <c r="AO259" t="s">
        <v>66</v>
      </c>
      <c r="AP259">
        <v>1</v>
      </c>
      <c r="AQ259" t="s">
        <v>66</v>
      </c>
      <c r="AR259" t="s">
        <v>66</v>
      </c>
      <c r="AS259" t="s">
        <v>66</v>
      </c>
      <c r="AT259" t="s">
        <v>66</v>
      </c>
    </row>
    <row r="260" spans="1:46" x14ac:dyDescent="0.15">
      <c r="A260" t="s">
        <v>1183</v>
      </c>
      <c r="B260" t="s">
        <v>1132</v>
      </c>
      <c r="C260" t="s">
        <v>1133</v>
      </c>
      <c r="D260">
        <v>51</v>
      </c>
      <c r="E260" t="s">
        <v>49</v>
      </c>
      <c r="F260" t="s">
        <v>50</v>
      </c>
      <c r="G260" t="s">
        <v>51</v>
      </c>
      <c r="H260" t="s">
        <v>52</v>
      </c>
      <c r="I260" t="s">
        <v>53</v>
      </c>
      <c r="J260" t="s">
        <v>54</v>
      </c>
      <c r="K260" t="s">
        <v>55</v>
      </c>
      <c r="L260" t="s">
        <v>17</v>
      </c>
      <c r="M260" t="s">
        <v>16</v>
      </c>
      <c r="N260">
        <v>3306</v>
      </c>
      <c r="O260">
        <v>192</v>
      </c>
      <c r="P260">
        <v>0</v>
      </c>
      <c r="Q260" t="s">
        <v>391</v>
      </c>
      <c r="R260" t="s">
        <v>392</v>
      </c>
      <c r="S260" t="s">
        <v>393</v>
      </c>
      <c r="T260" t="s">
        <v>394</v>
      </c>
      <c r="U260" t="s">
        <v>60</v>
      </c>
      <c r="V260" t="s">
        <v>61</v>
      </c>
      <c r="W260">
        <v>3</v>
      </c>
      <c r="X260">
        <v>0.14000000000000001</v>
      </c>
      <c r="Y260" t="s">
        <v>230</v>
      </c>
      <c r="Z260" t="s">
        <v>395</v>
      </c>
      <c r="AA260">
        <v>2</v>
      </c>
      <c r="AB260" t="s">
        <v>63</v>
      </c>
      <c r="AC260" t="s">
        <v>64</v>
      </c>
      <c r="AD260" t="s">
        <v>65</v>
      </c>
      <c r="AE260" t="s">
        <v>65</v>
      </c>
      <c r="AF260" t="s">
        <v>65</v>
      </c>
      <c r="AG260" t="s">
        <v>191</v>
      </c>
      <c r="AH260" t="s">
        <v>322</v>
      </c>
      <c r="AI260" t="s">
        <v>66</v>
      </c>
      <c r="AJ260" t="s">
        <v>66</v>
      </c>
      <c r="AK260">
        <v>1</v>
      </c>
      <c r="AL260" t="s">
        <v>323</v>
      </c>
      <c r="AM260" t="s">
        <v>66</v>
      </c>
      <c r="AN260" t="s">
        <v>324</v>
      </c>
      <c r="AO260" t="s">
        <v>66</v>
      </c>
      <c r="AP260">
        <v>1</v>
      </c>
      <c r="AQ260" t="s">
        <v>66</v>
      </c>
      <c r="AR260" t="s">
        <v>66</v>
      </c>
      <c r="AS260" t="s">
        <v>66</v>
      </c>
      <c r="AT260" t="s">
        <v>66</v>
      </c>
    </row>
    <row r="261" spans="1:46" x14ac:dyDescent="0.15">
      <c r="A261" t="s">
        <v>1184</v>
      </c>
      <c r="B261" t="s">
        <v>1132</v>
      </c>
      <c r="C261" t="s">
        <v>1133</v>
      </c>
      <c r="D261">
        <v>52</v>
      </c>
      <c r="E261" t="s">
        <v>49</v>
      </c>
      <c r="F261" t="s">
        <v>50</v>
      </c>
      <c r="G261" t="s">
        <v>51</v>
      </c>
      <c r="H261" t="s">
        <v>52</v>
      </c>
      <c r="I261" t="s">
        <v>53</v>
      </c>
      <c r="J261" t="s">
        <v>54</v>
      </c>
      <c r="K261" t="s">
        <v>55</v>
      </c>
      <c r="L261" t="s">
        <v>17</v>
      </c>
      <c r="M261" t="s">
        <v>16</v>
      </c>
      <c r="N261">
        <v>3362</v>
      </c>
      <c r="O261">
        <v>196</v>
      </c>
      <c r="P261">
        <v>0</v>
      </c>
      <c r="Q261" t="s">
        <v>397</v>
      </c>
      <c r="R261" t="s">
        <v>398</v>
      </c>
      <c r="S261" t="s">
        <v>399</v>
      </c>
      <c r="T261" t="s">
        <v>400</v>
      </c>
      <c r="U261" t="s">
        <v>60</v>
      </c>
      <c r="V261" t="s">
        <v>61</v>
      </c>
      <c r="W261">
        <v>3</v>
      </c>
      <c r="X261">
        <v>0.14000000000000001</v>
      </c>
      <c r="Y261" t="s">
        <v>401</v>
      </c>
      <c r="Z261" t="s">
        <v>402</v>
      </c>
      <c r="AA261">
        <v>2</v>
      </c>
      <c r="AB261" t="s">
        <v>63</v>
      </c>
      <c r="AC261" t="s">
        <v>64</v>
      </c>
      <c r="AD261" t="s">
        <v>65</v>
      </c>
      <c r="AE261" t="s">
        <v>65</v>
      </c>
      <c r="AF261" t="s">
        <v>65</v>
      </c>
      <c r="AG261" t="s">
        <v>191</v>
      </c>
      <c r="AH261" t="s">
        <v>322</v>
      </c>
      <c r="AI261" t="s">
        <v>66</v>
      </c>
      <c r="AJ261" t="s">
        <v>66</v>
      </c>
      <c r="AK261">
        <v>1</v>
      </c>
      <c r="AL261" t="s">
        <v>323</v>
      </c>
      <c r="AM261" t="s">
        <v>66</v>
      </c>
      <c r="AN261" t="s">
        <v>324</v>
      </c>
      <c r="AO261" t="s">
        <v>66</v>
      </c>
      <c r="AP261">
        <v>1</v>
      </c>
      <c r="AQ261" t="s">
        <v>66</v>
      </c>
      <c r="AR261" t="s">
        <v>66</v>
      </c>
      <c r="AS261" t="s">
        <v>66</v>
      </c>
      <c r="AT261" t="s">
        <v>66</v>
      </c>
    </row>
    <row r="262" spans="1:46" x14ac:dyDescent="0.15">
      <c r="A262" t="s">
        <v>1185</v>
      </c>
      <c r="B262" t="s">
        <v>1132</v>
      </c>
      <c r="C262" t="s">
        <v>1133</v>
      </c>
      <c r="D262">
        <v>53</v>
      </c>
      <c r="E262" t="s">
        <v>49</v>
      </c>
      <c r="F262" t="s">
        <v>50</v>
      </c>
      <c r="G262" t="s">
        <v>51</v>
      </c>
      <c r="H262" t="s">
        <v>52</v>
      </c>
      <c r="I262" t="s">
        <v>53</v>
      </c>
      <c r="J262" t="s">
        <v>54</v>
      </c>
      <c r="K262" t="s">
        <v>55</v>
      </c>
      <c r="L262" t="s">
        <v>17</v>
      </c>
      <c r="M262" t="s">
        <v>16</v>
      </c>
      <c r="N262">
        <v>3418</v>
      </c>
      <c r="O262">
        <v>199</v>
      </c>
      <c r="P262">
        <v>0</v>
      </c>
      <c r="Q262" t="s">
        <v>404</v>
      </c>
      <c r="R262" t="s">
        <v>405</v>
      </c>
      <c r="S262" t="s">
        <v>406</v>
      </c>
      <c r="T262" t="s">
        <v>407</v>
      </c>
      <c r="U262" t="s">
        <v>60</v>
      </c>
      <c r="V262" t="s">
        <v>61</v>
      </c>
      <c r="W262">
        <v>3</v>
      </c>
      <c r="X262">
        <v>0.14000000000000001</v>
      </c>
      <c r="Y262" t="s">
        <v>236</v>
      </c>
      <c r="Z262" t="s">
        <v>408</v>
      </c>
      <c r="AA262">
        <v>2</v>
      </c>
      <c r="AB262" t="s">
        <v>63</v>
      </c>
      <c r="AC262" t="s">
        <v>64</v>
      </c>
      <c r="AD262" t="s">
        <v>65</v>
      </c>
      <c r="AE262" t="s">
        <v>65</v>
      </c>
      <c r="AF262" t="s">
        <v>65</v>
      </c>
      <c r="AG262" t="s">
        <v>191</v>
      </c>
      <c r="AH262" t="s">
        <v>322</v>
      </c>
      <c r="AI262" t="s">
        <v>66</v>
      </c>
      <c r="AJ262" t="s">
        <v>66</v>
      </c>
      <c r="AK262">
        <v>1</v>
      </c>
      <c r="AL262" t="s">
        <v>323</v>
      </c>
      <c r="AM262" t="s">
        <v>66</v>
      </c>
      <c r="AN262" t="s">
        <v>324</v>
      </c>
      <c r="AO262" t="s">
        <v>66</v>
      </c>
      <c r="AP262">
        <v>1</v>
      </c>
      <c r="AQ262" t="s">
        <v>66</v>
      </c>
      <c r="AR262" t="s">
        <v>66</v>
      </c>
      <c r="AS262" t="s">
        <v>66</v>
      </c>
      <c r="AT262" t="s">
        <v>66</v>
      </c>
    </row>
    <row r="263" spans="1:46" x14ac:dyDescent="0.15">
      <c r="A263" t="s">
        <v>1186</v>
      </c>
      <c r="B263" t="s">
        <v>1132</v>
      </c>
      <c r="C263" t="s">
        <v>1133</v>
      </c>
      <c r="D263">
        <v>54</v>
      </c>
      <c r="E263" t="s">
        <v>49</v>
      </c>
      <c r="F263" t="s">
        <v>50</v>
      </c>
      <c r="G263" t="s">
        <v>51</v>
      </c>
      <c r="H263" t="s">
        <v>52</v>
      </c>
      <c r="I263" t="s">
        <v>53</v>
      </c>
      <c r="J263" t="s">
        <v>54</v>
      </c>
      <c r="K263" t="s">
        <v>55</v>
      </c>
      <c r="L263" t="s">
        <v>17</v>
      </c>
      <c r="M263" t="s">
        <v>16</v>
      </c>
      <c r="N263">
        <v>3474</v>
      </c>
      <c r="O263">
        <v>202</v>
      </c>
      <c r="P263">
        <v>0</v>
      </c>
      <c r="Q263" t="s">
        <v>410</v>
      </c>
      <c r="R263" t="s">
        <v>411</v>
      </c>
      <c r="S263" t="s">
        <v>412</v>
      </c>
      <c r="T263" t="s">
        <v>413</v>
      </c>
      <c r="U263" t="s">
        <v>60</v>
      </c>
      <c r="V263" t="s">
        <v>61</v>
      </c>
      <c r="W263">
        <v>3</v>
      </c>
      <c r="X263">
        <v>0.14000000000000001</v>
      </c>
      <c r="Y263" t="s">
        <v>414</v>
      </c>
      <c r="Z263" t="s">
        <v>415</v>
      </c>
      <c r="AA263">
        <v>2</v>
      </c>
      <c r="AB263" t="s">
        <v>63</v>
      </c>
      <c r="AC263" t="s">
        <v>64</v>
      </c>
      <c r="AD263" t="s">
        <v>65</v>
      </c>
      <c r="AE263" t="s">
        <v>65</v>
      </c>
      <c r="AF263" t="s">
        <v>65</v>
      </c>
      <c r="AG263" t="s">
        <v>191</v>
      </c>
      <c r="AH263" t="s">
        <v>322</v>
      </c>
      <c r="AI263" t="s">
        <v>66</v>
      </c>
      <c r="AJ263" t="s">
        <v>66</v>
      </c>
      <c r="AK263">
        <v>1</v>
      </c>
      <c r="AL263" t="s">
        <v>323</v>
      </c>
      <c r="AM263" t="s">
        <v>66</v>
      </c>
      <c r="AN263" t="s">
        <v>324</v>
      </c>
      <c r="AO263" t="s">
        <v>66</v>
      </c>
      <c r="AP263">
        <v>1</v>
      </c>
      <c r="AQ263" t="s">
        <v>66</v>
      </c>
      <c r="AR263" t="s">
        <v>66</v>
      </c>
      <c r="AS263" t="s">
        <v>66</v>
      </c>
      <c r="AT263" t="s">
        <v>66</v>
      </c>
    </row>
    <row r="264" spans="1:46" x14ac:dyDescent="0.15">
      <c r="A264" t="s">
        <v>1187</v>
      </c>
      <c r="B264" t="s">
        <v>1132</v>
      </c>
      <c r="C264" t="s">
        <v>1133</v>
      </c>
      <c r="D264">
        <v>55</v>
      </c>
      <c r="E264" t="s">
        <v>49</v>
      </c>
      <c r="F264" t="s">
        <v>50</v>
      </c>
      <c r="G264" t="s">
        <v>51</v>
      </c>
      <c r="H264" t="s">
        <v>52</v>
      </c>
      <c r="I264" t="s">
        <v>53</v>
      </c>
      <c r="J264" t="s">
        <v>54</v>
      </c>
      <c r="K264" t="s">
        <v>55</v>
      </c>
      <c r="L264" t="s">
        <v>17</v>
      </c>
      <c r="M264" t="s">
        <v>16</v>
      </c>
      <c r="N264">
        <v>3531</v>
      </c>
      <c r="O264">
        <v>205</v>
      </c>
      <c r="P264">
        <v>0</v>
      </c>
      <c r="Q264" t="s">
        <v>417</v>
      </c>
      <c r="R264" t="s">
        <v>418</v>
      </c>
      <c r="S264" t="s">
        <v>419</v>
      </c>
      <c r="T264" t="s">
        <v>420</v>
      </c>
      <c r="U264" t="s">
        <v>60</v>
      </c>
      <c r="V264" t="s">
        <v>61</v>
      </c>
      <c r="W264">
        <v>3</v>
      </c>
      <c r="X264">
        <v>0.14000000000000001</v>
      </c>
      <c r="Y264" t="s">
        <v>243</v>
      </c>
      <c r="Z264" t="s">
        <v>421</v>
      </c>
      <c r="AA264">
        <v>2</v>
      </c>
      <c r="AB264" t="s">
        <v>63</v>
      </c>
      <c r="AC264" t="s">
        <v>64</v>
      </c>
      <c r="AD264" t="s">
        <v>65</v>
      </c>
      <c r="AE264" t="s">
        <v>65</v>
      </c>
      <c r="AF264" t="s">
        <v>65</v>
      </c>
      <c r="AG264" t="s">
        <v>191</v>
      </c>
      <c r="AH264" t="s">
        <v>322</v>
      </c>
      <c r="AI264" t="s">
        <v>66</v>
      </c>
      <c r="AJ264" t="s">
        <v>66</v>
      </c>
      <c r="AK264">
        <v>1</v>
      </c>
      <c r="AL264" t="s">
        <v>323</v>
      </c>
      <c r="AM264" t="s">
        <v>66</v>
      </c>
      <c r="AN264" t="s">
        <v>324</v>
      </c>
      <c r="AO264" t="s">
        <v>66</v>
      </c>
      <c r="AP264">
        <v>1</v>
      </c>
      <c r="AQ264" t="s">
        <v>66</v>
      </c>
      <c r="AR264" t="s">
        <v>66</v>
      </c>
      <c r="AS264" t="s">
        <v>66</v>
      </c>
      <c r="AT264" t="s">
        <v>66</v>
      </c>
    </row>
    <row r="265" spans="1:46" x14ac:dyDescent="0.15">
      <c r="A265" t="s">
        <v>1188</v>
      </c>
      <c r="B265" t="s">
        <v>1132</v>
      </c>
      <c r="C265" t="s">
        <v>1133</v>
      </c>
      <c r="D265">
        <v>56</v>
      </c>
      <c r="E265" t="s">
        <v>49</v>
      </c>
      <c r="F265" t="s">
        <v>50</v>
      </c>
      <c r="G265" t="s">
        <v>51</v>
      </c>
      <c r="H265" t="s">
        <v>52</v>
      </c>
      <c r="I265" t="s">
        <v>53</v>
      </c>
      <c r="J265" t="s">
        <v>54</v>
      </c>
      <c r="K265" t="s">
        <v>55</v>
      </c>
      <c r="L265" t="s">
        <v>17</v>
      </c>
      <c r="M265" t="s">
        <v>16</v>
      </c>
      <c r="N265">
        <v>3587</v>
      </c>
      <c r="O265">
        <v>209</v>
      </c>
      <c r="P265">
        <v>0</v>
      </c>
      <c r="Q265" t="s">
        <v>423</v>
      </c>
      <c r="R265" t="s">
        <v>424</v>
      </c>
      <c r="S265" t="s">
        <v>425</v>
      </c>
      <c r="T265" t="s">
        <v>426</v>
      </c>
      <c r="U265" t="s">
        <v>60</v>
      </c>
      <c r="V265" t="s">
        <v>61</v>
      </c>
      <c r="W265">
        <v>3</v>
      </c>
      <c r="X265">
        <v>0.14000000000000001</v>
      </c>
      <c r="Y265" t="s">
        <v>427</v>
      </c>
      <c r="Z265" t="s">
        <v>428</v>
      </c>
      <c r="AA265">
        <v>2</v>
      </c>
      <c r="AB265" t="s">
        <v>63</v>
      </c>
      <c r="AC265" t="s">
        <v>64</v>
      </c>
      <c r="AD265" t="s">
        <v>65</v>
      </c>
      <c r="AE265" t="s">
        <v>65</v>
      </c>
      <c r="AF265" t="s">
        <v>65</v>
      </c>
      <c r="AG265" t="s">
        <v>191</v>
      </c>
      <c r="AH265" t="s">
        <v>322</v>
      </c>
      <c r="AI265" t="s">
        <v>66</v>
      </c>
      <c r="AJ265" t="s">
        <v>66</v>
      </c>
      <c r="AK265">
        <v>1</v>
      </c>
      <c r="AL265" t="s">
        <v>323</v>
      </c>
      <c r="AM265" t="s">
        <v>66</v>
      </c>
      <c r="AN265" t="s">
        <v>324</v>
      </c>
      <c r="AO265" t="s">
        <v>66</v>
      </c>
      <c r="AP265">
        <v>1</v>
      </c>
      <c r="AQ265" t="s">
        <v>66</v>
      </c>
      <c r="AR265" t="s">
        <v>66</v>
      </c>
      <c r="AS265" t="s">
        <v>66</v>
      </c>
      <c r="AT265" t="s">
        <v>66</v>
      </c>
    </row>
    <row r="266" spans="1:46" x14ac:dyDescent="0.15">
      <c r="A266" t="s">
        <v>1189</v>
      </c>
      <c r="B266" t="s">
        <v>1132</v>
      </c>
      <c r="C266" t="s">
        <v>1133</v>
      </c>
      <c r="D266">
        <v>57</v>
      </c>
      <c r="E266" t="s">
        <v>49</v>
      </c>
      <c r="F266" t="s">
        <v>50</v>
      </c>
      <c r="G266" t="s">
        <v>51</v>
      </c>
      <c r="H266" t="s">
        <v>52</v>
      </c>
      <c r="I266" t="s">
        <v>53</v>
      </c>
      <c r="J266" t="s">
        <v>54</v>
      </c>
      <c r="K266" t="s">
        <v>55</v>
      </c>
      <c r="L266" t="s">
        <v>17</v>
      </c>
      <c r="M266" t="s">
        <v>16</v>
      </c>
      <c r="N266">
        <v>3643</v>
      </c>
      <c r="O266">
        <v>212</v>
      </c>
      <c r="P266">
        <v>0</v>
      </c>
      <c r="Q266" t="s">
        <v>430</v>
      </c>
      <c r="R266" t="s">
        <v>431</v>
      </c>
      <c r="S266" t="s">
        <v>432</v>
      </c>
      <c r="T266" t="s">
        <v>433</v>
      </c>
      <c r="U266" t="s">
        <v>60</v>
      </c>
      <c r="V266" t="s">
        <v>61</v>
      </c>
      <c r="W266">
        <v>3</v>
      </c>
      <c r="X266">
        <v>0.14000000000000001</v>
      </c>
      <c r="Y266" t="s">
        <v>249</v>
      </c>
      <c r="Z266" t="s">
        <v>434</v>
      </c>
      <c r="AA266">
        <v>2</v>
      </c>
      <c r="AB266" t="s">
        <v>63</v>
      </c>
      <c r="AC266" t="s">
        <v>64</v>
      </c>
      <c r="AD266" t="s">
        <v>65</v>
      </c>
      <c r="AE266" t="s">
        <v>65</v>
      </c>
      <c r="AF266" t="s">
        <v>65</v>
      </c>
      <c r="AG266" t="s">
        <v>191</v>
      </c>
      <c r="AH266" t="s">
        <v>322</v>
      </c>
      <c r="AI266" t="s">
        <v>66</v>
      </c>
      <c r="AJ266" t="s">
        <v>66</v>
      </c>
      <c r="AK266">
        <v>1</v>
      </c>
      <c r="AL266" t="s">
        <v>323</v>
      </c>
      <c r="AM266" t="s">
        <v>66</v>
      </c>
      <c r="AN266" t="s">
        <v>324</v>
      </c>
      <c r="AO266" t="s">
        <v>66</v>
      </c>
      <c r="AP266">
        <v>1</v>
      </c>
      <c r="AQ266" t="s">
        <v>66</v>
      </c>
      <c r="AR266" t="s">
        <v>66</v>
      </c>
      <c r="AS266" t="s">
        <v>66</v>
      </c>
      <c r="AT266" t="s">
        <v>66</v>
      </c>
    </row>
    <row r="267" spans="1:46" x14ac:dyDescent="0.15">
      <c r="A267" t="s">
        <v>1190</v>
      </c>
      <c r="B267" t="s">
        <v>1132</v>
      </c>
      <c r="C267" t="s">
        <v>1133</v>
      </c>
      <c r="D267">
        <v>58</v>
      </c>
      <c r="E267" t="s">
        <v>49</v>
      </c>
      <c r="F267" t="s">
        <v>50</v>
      </c>
      <c r="G267" t="s">
        <v>51</v>
      </c>
      <c r="H267" t="s">
        <v>52</v>
      </c>
      <c r="I267" t="s">
        <v>53</v>
      </c>
      <c r="J267" t="s">
        <v>54</v>
      </c>
      <c r="K267" t="s">
        <v>55</v>
      </c>
      <c r="L267" t="s">
        <v>17</v>
      </c>
      <c r="M267" t="s">
        <v>16</v>
      </c>
      <c r="N267">
        <v>3699</v>
      </c>
      <c r="O267">
        <v>215</v>
      </c>
      <c r="P267">
        <v>0</v>
      </c>
      <c r="Q267" t="s">
        <v>436</v>
      </c>
      <c r="R267" t="s">
        <v>437</v>
      </c>
      <c r="S267" t="s">
        <v>438</v>
      </c>
      <c r="T267" t="s">
        <v>439</v>
      </c>
      <c r="U267" t="s">
        <v>60</v>
      </c>
      <c r="V267" t="s">
        <v>61</v>
      </c>
      <c r="W267">
        <v>3</v>
      </c>
      <c r="X267">
        <v>0.14000000000000001</v>
      </c>
      <c r="Y267" t="s">
        <v>440</v>
      </c>
      <c r="Z267" t="s">
        <v>441</v>
      </c>
      <c r="AA267">
        <v>2</v>
      </c>
      <c r="AB267" t="s">
        <v>63</v>
      </c>
      <c r="AC267" t="s">
        <v>64</v>
      </c>
      <c r="AD267" t="s">
        <v>65</v>
      </c>
      <c r="AE267" t="s">
        <v>65</v>
      </c>
      <c r="AF267" t="s">
        <v>65</v>
      </c>
      <c r="AG267" t="s">
        <v>191</v>
      </c>
      <c r="AH267" t="s">
        <v>322</v>
      </c>
      <c r="AI267" t="s">
        <v>66</v>
      </c>
      <c r="AJ267" t="s">
        <v>66</v>
      </c>
      <c r="AK267">
        <v>1</v>
      </c>
      <c r="AL267" t="s">
        <v>323</v>
      </c>
      <c r="AM267" t="s">
        <v>66</v>
      </c>
      <c r="AN267" t="s">
        <v>324</v>
      </c>
      <c r="AO267" t="s">
        <v>66</v>
      </c>
      <c r="AP267">
        <v>1</v>
      </c>
      <c r="AQ267" t="s">
        <v>66</v>
      </c>
      <c r="AR267" t="s">
        <v>66</v>
      </c>
      <c r="AS267" t="s">
        <v>66</v>
      </c>
      <c r="AT267" t="s">
        <v>66</v>
      </c>
    </row>
    <row r="268" spans="1:46" x14ac:dyDescent="0.15">
      <c r="A268" t="s">
        <v>1191</v>
      </c>
      <c r="B268" t="s">
        <v>1132</v>
      </c>
      <c r="C268" t="s">
        <v>1133</v>
      </c>
      <c r="D268">
        <v>59</v>
      </c>
      <c r="E268" t="s">
        <v>49</v>
      </c>
      <c r="F268" t="s">
        <v>50</v>
      </c>
      <c r="G268" t="s">
        <v>51</v>
      </c>
      <c r="H268" t="s">
        <v>52</v>
      </c>
      <c r="I268" t="s">
        <v>53</v>
      </c>
      <c r="J268" t="s">
        <v>54</v>
      </c>
      <c r="K268" t="s">
        <v>55</v>
      </c>
      <c r="L268" t="s">
        <v>17</v>
      </c>
      <c r="M268" t="s">
        <v>16</v>
      </c>
      <c r="N268">
        <v>3755</v>
      </c>
      <c r="O268">
        <v>218</v>
      </c>
      <c r="P268">
        <v>0</v>
      </c>
      <c r="Q268" t="s">
        <v>443</v>
      </c>
      <c r="R268" t="s">
        <v>444</v>
      </c>
      <c r="S268" t="s">
        <v>445</v>
      </c>
      <c r="T268" t="s">
        <v>446</v>
      </c>
      <c r="U268" t="s">
        <v>60</v>
      </c>
      <c r="V268" t="s">
        <v>61</v>
      </c>
      <c r="W268">
        <v>3</v>
      </c>
      <c r="X268">
        <v>0.14000000000000001</v>
      </c>
      <c r="Y268" t="s">
        <v>256</v>
      </c>
      <c r="Z268" t="s">
        <v>447</v>
      </c>
      <c r="AA268">
        <v>2</v>
      </c>
      <c r="AB268" t="s">
        <v>63</v>
      </c>
      <c r="AC268" t="s">
        <v>64</v>
      </c>
      <c r="AD268" t="s">
        <v>65</v>
      </c>
      <c r="AE268" t="s">
        <v>65</v>
      </c>
      <c r="AF268" t="s">
        <v>65</v>
      </c>
      <c r="AG268" t="s">
        <v>191</v>
      </c>
      <c r="AH268" t="s">
        <v>322</v>
      </c>
      <c r="AI268" t="s">
        <v>66</v>
      </c>
      <c r="AJ268" t="s">
        <v>66</v>
      </c>
      <c r="AK268">
        <v>1</v>
      </c>
      <c r="AL268" t="s">
        <v>323</v>
      </c>
      <c r="AM268" t="s">
        <v>66</v>
      </c>
      <c r="AN268" t="s">
        <v>324</v>
      </c>
      <c r="AO268" t="s">
        <v>66</v>
      </c>
      <c r="AP268">
        <v>1</v>
      </c>
      <c r="AQ268" t="s">
        <v>66</v>
      </c>
      <c r="AR268" t="s">
        <v>66</v>
      </c>
      <c r="AS268" t="s">
        <v>66</v>
      </c>
      <c r="AT268" t="s">
        <v>66</v>
      </c>
    </row>
    <row r="269" spans="1:46" x14ac:dyDescent="0.15">
      <c r="A269" t="s">
        <v>1192</v>
      </c>
      <c r="B269" t="s">
        <v>1132</v>
      </c>
      <c r="C269" t="s">
        <v>1133</v>
      </c>
      <c r="D269">
        <v>60</v>
      </c>
      <c r="E269" t="s">
        <v>49</v>
      </c>
      <c r="F269" t="s">
        <v>50</v>
      </c>
      <c r="G269" t="s">
        <v>51</v>
      </c>
      <c r="H269" t="s">
        <v>52</v>
      </c>
      <c r="I269" t="s">
        <v>53</v>
      </c>
      <c r="J269" t="s">
        <v>54</v>
      </c>
      <c r="K269" t="s">
        <v>55</v>
      </c>
      <c r="L269" t="s">
        <v>17</v>
      </c>
      <c r="M269" t="s">
        <v>16</v>
      </c>
      <c r="N269">
        <v>3811</v>
      </c>
      <c r="O269">
        <v>222</v>
      </c>
      <c r="P269">
        <v>0</v>
      </c>
      <c r="Q269" t="s">
        <v>449</v>
      </c>
      <c r="R269" t="s">
        <v>450</v>
      </c>
      <c r="S269" t="s">
        <v>451</v>
      </c>
      <c r="T269" t="s">
        <v>452</v>
      </c>
      <c r="U269" t="s">
        <v>60</v>
      </c>
      <c r="V269" t="s">
        <v>61</v>
      </c>
      <c r="W269">
        <v>3</v>
      </c>
      <c r="X269">
        <v>0.14000000000000001</v>
      </c>
      <c r="Y269" t="s">
        <v>453</v>
      </c>
      <c r="Z269" t="s">
        <v>454</v>
      </c>
      <c r="AA269">
        <v>2</v>
      </c>
      <c r="AB269" t="s">
        <v>63</v>
      </c>
      <c r="AC269" t="s">
        <v>64</v>
      </c>
      <c r="AD269" t="s">
        <v>65</v>
      </c>
      <c r="AE269" t="s">
        <v>65</v>
      </c>
      <c r="AF269" t="s">
        <v>65</v>
      </c>
      <c r="AG269" t="s">
        <v>191</v>
      </c>
      <c r="AH269" t="s">
        <v>322</v>
      </c>
      <c r="AI269" t="s">
        <v>66</v>
      </c>
      <c r="AJ269" t="s">
        <v>66</v>
      </c>
      <c r="AK269">
        <v>1</v>
      </c>
      <c r="AL269" t="s">
        <v>323</v>
      </c>
      <c r="AM269" t="s">
        <v>66</v>
      </c>
      <c r="AN269" t="s">
        <v>324</v>
      </c>
      <c r="AO269" t="s">
        <v>66</v>
      </c>
      <c r="AP269">
        <v>1</v>
      </c>
      <c r="AQ269" t="s">
        <v>66</v>
      </c>
      <c r="AR269" t="s">
        <v>66</v>
      </c>
      <c r="AS269" t="s">
        <v>66</v>
      </c>
      <c r="AT269" t="s">
        <v>66</v>
      </c>
    </row>
    <row r="270" spans="1:46" x14ac:dyDescent="0.15">
      <c r="A270" t="s">
        <v>1192</v>
      </c>
      <c r="B270" t="s">
        <v>1132</v>
      </c>
      <c r="C270" t="s">
        <v>1133</v>
      </c>
      <c r="D270">
        <v>60</v>
      </c>
      <c r="E270" t="s">
        <v>49</v>
      </c>
      <c r="F270" t="s">
        <v>50</v>
      </c>
      <c r="G270" t="s">
        <v>51</v>
      </c>
      <c r="H270" t="s">
        <v>52</v>
      </c>
      <c r="I270" t="s">
        <v>53</v>
      </c>
      <c r="J270" t="s">
        <v>54</v>
      </c>
      <c r="K270" t="s">
        <v>55</v>
      </c>
      <c r="L270" t="s">
        <v>17</v>
      </c>
      <c r="M270" t="s">
        <v>16</v>
      </c>
      <c r="N270">
        <v>3811</v>
      </c>
      <c r="O270">
        <v>222</v>
      </c>
      <c r="P270">
        <v>0</v>
      </c>
      <c r="Q270" t="s">
        <v>449</v>
      </c>
      <c r="R270" t="s">
        <v>450</v>
      </c>
      <c r="S270" t="s">
        <v>451</v>
      </c>
      <c r="T270" t="s">
        <v>452</v>
      </c>
      <c r="U270" t="s">
        <v>60</v>
      </c>
      <c r="V270" t="s">
        <v>61</v>
      </c>
      <c r="W270">
        <v>3</v>
      </c>
      <c r="X270">
        <v>0.14000000000000001</v>
      </c>
      <c r="Y270" t="s">
        <v>453</v>
      </c>
      <c r="Z270" t="s">
        <v>454</v>
      </c>
      <c r="AA270">
        <v>3</v>
      </c>
      <c r="AB270" t="s">
        <v>63</v>
      </c>
      <c r="AC270" t="s">
        <v>64</v>
      </c>
      <c r="AD270" t="s">
        <v>65</v>
      </c>
      <c r="AE270" t="s">
        <v>65</v>
      </c>
      <c r="AF270" t="s">
        <v>65</v>
      </c>
      <c r="AG270" t="s">
        <v>191</v>
      </c>
      <c r="AH270" t="s">
        <v>322</v>
      </c>
      <c r="AI270" t="s">
        <v>322</v>
      </c>
      <c r="AJ270" t="s">
        <v>66</v>
      </c>
      <c r="AK270">
        <v>1</v>
      </c>
      <c r="AL270" t="s">
        <v>455</v>
      </c>
      <c r="AM270" t="s">
        <v>456</v>
      </c>
      <c r="AN270" t="s">
        <v>324</v>
      </c>
      <c r="AO270" t="s">
        <v>66</v>
      </c>
      <c r="AP270">
        <v>1</v>
      </c>
      <c r="AQ270" t="s">
        <v>457</v>
      </c>
      <c r="AR270" t="s">
        <v>458</v>
      </c>
      <c r="AS270" t="s">
        <v>459</v>
      </c>
      <c r="AT270" t="s">
        <v>66</v>
      </c>
    </row>
    <row r="271" spans="1:46" x14ac:dyDescent="0.15">
      <c r="A271" t="s">
        <v>1193</v>
      </c>
      <c r="B271" t="s">
        <v>1132</v>
      </c>
      <c r="C271" t="s">
        <v>1133</v>
      </c>
      <c r="D271">
        <v>61</v>
      </c>
      <c r="E271" t="s">
        <v>49</v>
      </c>
      <c r="F271" t="s">
        <v>50</v>
      </c>
      <c r="G271" t="s">
        <v>51</v>
      </c>
      <c r="H271" t="s">
        <v>52</v>
      </c>
      <c r="I271" t="s">
        <v>53</v>
      </c>
      <c r="J271" t="s">
        <v>54</v>
      </c>
      <c r="K271" t="s">
        <v>55</v>
      </c>
      <c r="L271" t="s">
        <v>17</v>
      </c>
      <c r="M271" t="s">
        <v>16</v>
      </c>
      <c r="N271">
        <v>3867</v>
      </c>
      <c r="O271">
        <v>225</v>
      </c>
      <c r="P271">
        <v>0</v>
      </c>
      <c r="Q271" t="s">
        <v>461</v>
      </c>
      <c r="R271" t="s">
        <v>462</v>
      </c>
      <c r="S271" t="s">
        <v>463</v>
      </c>
      <c r="T271" t="s">
        <v>464</v>
      </c>
      <c r="U271" t="s">
        <v>60</v>
      </c>
      <c r="V271" t="s">
        <v>61</v>
      </c>
      <c r="W271">
        <v>3</v>
      </c>
      <c r="X271">
        <v>0.14000000000000001</v>
      </c>
      <c r="Y271" t="s">
        <v>262</v>
      </c>
      <c r="Z271" t="s">
        <v>465</v>
      </c>
      <c r="AA271">
        <v>3</v>
      </c>
      <c r="AB271" t="s">
        <v>63</v>
      </c>
      <c r="AC271" t="s">
        <v>64</v>
      </c>
      <c r="AD271" t="s">
        <v>65</v>
      </c>
      <c r="AE271" t="s">
        <v>65</v>
      </c>
      <c r="AF271" t="s">
        <v>65</v>
      </c>
      <c r="AG271" t="s">
        <v>191</v>
      </c>
      <c r="AH271" t="s">
        <v>322</v>
      </c>
      <c r="AI271" t="s">
        <v>322</v>
      </c>
      <c r="AJ271" t="s">
        <v>66</v>
      </c>
      <c r="AK271">
        <v>1</v>
      </c>
      <c r="AL271" t="s">
        <v>455</v>
      </c>
      <c r="AM271" t="s">
        <v>456</v>
      </c>
      <c r="AN271" t="s">
        <v>324</v>
      </c>
      <c r="AO271" t="s">
        <v>66</v>
      </c>
      <c r="AP271">
        <v>1</v>
      </c>
      <c r="AQ271" t="s">
        <v>457</v>
      </c>
      <c r="AR271" t="s">
        <v>458</v>
      </c>
      <c r="AS271" t="s">
        <v>459</v>
      </c>
      <c r="AT271" t="s">
        <v>66</v>
      </c>
    </row>
    <row r="272" spans="1:46" x14ac:dyDescent="0.15">
      <c r="A272" t="s">
        <v>1194</v>
      </c>
      <c r="B272" t="s">
        <v>1132</v>
      </c>
      <c r="C272" t="s">
        <v>1133</v>
      </c>
      <c r="D272">
        <v>62</v>
      </c>
      <c r="E272" t="s">
        <v>49</v>
      </c>
      <c r="F272" t="s">
        <v>50</v>
      </c>
      <c r="G272" t="s">
        <v>51</v>
      </c>
      <c r="H272" t="s">
        <v>52</v>
      </c>
      <c r="I272" t="s">
        <v>53</v>
      </c>
      <c r="J272" t="s">
        <v>54</v>
      </c>
      <c r="K272" t="s">
        <v>55</v>
      </c>
      <c r="L272" t="s">
        <v>17</v>
      </c>
      <c r="M272" t="s">
        <v>16</v>
      </c>
      <c r="N272">
        <v>3923</v>
      </c>
      <c r="O272">
        <v>228</v>
      </c>
      <c r="P272">
        <v>0</v>
      </c>
      <c r="Q272" t="s">
        <v>467</v>
      </c>
      <c r="R272" t="s">
        <v>468</v>
      </c>
      <c r="S272" t="s">
        <v>469</v>
      </c>
      <c r="T272" t="s">
        <v>470</v>
      </c>
      <c r="U272" t="s">
        <v>60</v>
      </c>
      <c r="V272" t="s">
        <v>61</v>
      </c>
      <c r="W272">
        <v>3</v>
      </c>
      <c r="X272">
        <v>0.14000000000000001</v>
      </c>
      <c r="Y272" t="s">
        <v>471</v>
      </c>
      <c r="Z272" t="s">
        <v>472</v>
      </c>
      <c r="AA272">
        <v>3</v>
      </c>
      <c r="AB272" t="s">
        <v>63</v>
      </c>
      <c r="AC272" t="s">
        <v>64</v>
      </c>
      <c r="AD272" t="s">
        <v>65</v>
      </c>
      <c r="AE272" t="s">
        <v>65</v>
      </c>
      <c r="AF272" t="s">
        <v>65</v>
      </c>
      <c r="AG272" t="s">
        <v>191</v>
      </c>
      <c r="AH272" t="s">
        <v>322</v>
      </c>
      <c r="AI272" t="s">
        <v>322</v>
      </c>
      <c r="AJ272" t="s">
        <v>66</v>
      </c>
      <c r="AK272">
        <v>1</v>
      </c>
      <c r="AL272" t="s">
        <v>455</v>
      </c>
      <c r="AM272" t="s">
        <v>456</v>
      </c>
      <c r="AN272" t="s">
        <v>324</v>
      </c>
      <c r="AO272" t="s">
        <v>66</v>
      </c>
      <c r="AP272">
        <v>1</v>
      </c>
      <c r="AQ272" t="s">
        <v>457</v>
      </c>
      <c r="AR272" t="s">
        <v>458</v>
      </c>
      <c r="AS272" t="s">
        <v>459</v>
      </c>
      <c r="AT272" t="s">
        <v>66</v>
      </c>
    </row>
    <row r="273" spans="1:46" x14ac:dyDescent="0.15">
      <c r="A273" t="s">
        <v>1195</v>
      </c>
      <c r="B273" t="s">
        <v>1132</v>
      </c>
      <c r="C273" t="s">
        <v>1133</v>
      </c>
      <c r="D273">
        <v>63</v>
      </c>
      <c r="E273" t="s">
        <v>49</v>
      </c>
      <c r="F273" t="s">
        <v>50</v>
      </c>
      <c r="G273" t="s">
        <v>51</v>
      </c>
      <c r="H273" t="s">
        <v>52</v>
      </c>
      <c r="I273" t="s">
        <v>53</v>
      </c>
      <c r="J273" t="s">
        <v>54</v>
      </c>
      <c r="K273" t="s">
        <v>55</v>
      </c>
      <c r="L273" t="s">
        <v>17</v>
      </c>
      <c r="M273" t="s">
        <v>16</v>
      </c>
      <c r="N273">
        <v>3980</v>
      </c>
      <c r="O273">
        <v>231</v>
      </c>
      <c r="P273">
        <v>0</v>
      </c>
      <c r="Q273" t="s">
        <v>474</v>
      </c>
      <c r="R273" t="s">
        <v>475</v>
      </c>
      <c r="S273" t="s">
        <v>476</v>
      </c>
      <c r="T273" t="s">
        <v>477</v>
      </c>
      <c r="U273" t="s">
        <v>60</v>
      </c>
      <c r="V273" t="s">
        <v>61</v>
      </c>
      <c r="W273">
        <v>3</v>
      </c>
      <c r="X273">
        <v>0.14000000000000001</v>
      </c>
      <c r="Y273" t="s">
        <v>269</v>
      </c>
      <c r="Z273" t="s">
        <v>478</v>
      </c>
      <c r="AA273">
        <v>3</v>
      </c>
      <c r="AB273" t="s">
        <v>63</v>
      </c>
      <c r="AC273" t="s">
        <v>64</v>
      </c>
      <c r="AD273" t="s">
        <v>65</v>
      </c>
      <c r="AE273" t="s">
        <v>65</v>
      </c>
      <c r="AF273" t="s">
        <v>65</v>
      </c>
      <c r="AG273" t="s">
        <v>191</v>
      </c>
      <c r="AH273" t="s">
        <v>322</v>
      </c>
      <c r="AI273" t="s">
        <v>322</v>
      </c>
      <c r="AJ273" t="s">
        <v>66</v>
      </c>
      <c r="AK273">
        <v>1</v>
      </c>
      <c r="AL273" t="s">
        <v>455</v>
      </c>
      <c r="AM273" t="s">
        <v>456</v>
      </c>
      <c r="AN273" t="s">
        <v>324</v>
      </c>
      <c r="AO273" t="s">
        <v>66</v>
      </c>
      <c r="AP273">
        <v>1</v>
      </c>
      <c r="AQ273" t="s">
        <v>457</v>
      </c>
      <c r="AR273" t="s">
        <v>458</v>
      </c>
      <c r="AS273" t="s">
        <v>459</v>
      </c>
      <c r="AT273" t="s">
        <v>66</v>
      </c>
    </row>
    <row r="274" spans="1:46" x14ac:dyDescent="0.15">
      <c r="A274" t="s">
        <v>1196</v>
      </c>
      <c r="B274" t="s">
        <v>1132</v>
      </c>
      <c r="C274" t="s">
        <v>1133</v>
      </c>
      <c r="D274">
        <v>64</v>
      </c>
      <c r="E274" t="s">
        <v>49</v>
      </c>
      <c r="F274" t="s">
        <v>50</v>
      </c>
      <c r="G274" t="s">
        <v>51</v>
      </c>
      <c r="H274" t="s">
        <v>52</v>
      </c>
      <c r="I274" t="s">
        <v>53</v>
      </c>
      <c r="J274" t="s">
        <v>54</v>
      </c>
      <c r="K274" t="s">
        <v>55</v>
      </c>
      <c r="L274" t="s">
        <v>17</v>
      </c>
      <c r="M274" t="s">
        <v>16</v>
      </c>
      <c r="N274">
        <v>4036</v>
      </c>
      <c r="O274">
        <v>235</v>
      </c>
      <c r="P274">
        <v>0</v>
      </c>
      <c r="Q274" t="s">
        <v>480</v>
      </c>
      <c r="R274" t="s">
        <v>481</v>
      </c>
      <c r="S274" t="s">
        <v>482</v>
      </c>
      <c r="T274" t="s">
        <v>483</v>
      </c>
      <c r="U274" t="s">
        <v>60</v>
      </c>
      <c r="V274" t="s">
        <v>61</v>
      </c>
      <c r="W274">
        <v>3</v>
      </c>
      <c r="X274">
        <v>0.14000000000000001</v>
      </c>
      <c r="Y274" t="s">
        <v>484</v>
      </c>
      <c r="Z274" t="s">
        <v>485</v>
      </c>
      <c r="AA274">
        <v>3</v>
      </c>
      <c r="AB274" t="s">
        <v>63</v>
      </c>
      <c r="AC274" t="s">
        <v>64</v>
      </c>
      <c r="AD274" t="s">
        <v>65</v>
      </c>
      <c r="AE274" t="s">
        <v>65</v>
      </c>
      <c r="AF274" t="s">
        <v>65</v>
      </c>
      <c r="AG274" t="s">
        <v>191</v>
      </c>
      <c r="AH274" t="s">
        <v>322</v>
      </c>
      <c r="AI274" t="s">
        <v>322</v>
      </c>
      <c r="AJ274" t="s">
        <v>66</v>
      </c>
      <c r="AK274">
        <v>1</v>
      </c>
      <c r="AL274" t="s">
        <v>455</v>
      </c>
      <c r="AM274" t="s">
        <v>456</v>
      </c>
      <c r="AN274" t="s">
        <v>324</v>
      </c>
      <c r="AO274" t="s">
        <v>66</v>
      </c>
      <c r="AP274">
        <v>1</v>
      </c>
      <c r="AQ274" t="s">
        <v>457</v>
      </c>
      <c r="AR274" t="s">
        <v>458</v>
      </c>
      <c r="AS274" t="s">
        <v>459</v>
      </c>
      <c r="AT274" t="s">
        <v>66</v>
      </c>
    </row>
    <row r="275" spans="1:46" x14ac:dyDescent="0.15">
      <c r="A275" t="s">
        <v>1197</v>
      </c>
      <c r="B275" t="s">
        <v>1132</v>
      </c>
      <c r="C275" t="s">
        <v>1133</v>
      </c>
      <c r="D275">
        <v>65</v>
      </c>
      <c r="E275" t="s">
        <v>49</v>
      </c>
      <c r="F275" t="s">
        <v>50</v>
      </c>
      <c r="G275" t="s">
        <v>51</v>
      </c>
      <c r="H275" t="s">
        <v>52</v>
      </c>
      <c r="I275" t="s">
        <v>53</v>
      </c>
      <c r="J275" t="s">
        <v>54</v>
      </c>
      <c r="K275" t="s">
        <v>55</v>
      </c>
      <c r="L275" t="s">
        <v>17</v>
      </c>
      <c r="M275" t="s">
        <v>16</v>
      </c>
      <c r="N275">
        <v>4092</v>
      </c>
      <c r="O275">
        <v>238</v>
      </c>
      <c r="P275">
        <v>0</v>
      </c>
      <c r="Q275" t="s">
        <v>487</v>
      </c>
      <c r="R275" t="s">
        <v>488</v>
      </c>
      <c r="S275" t="s">
        <v>489</v>
      </c>
      <c r="T275" t="s">
        <v>490</v>
      </c>
      <c r="U275" t="s">
        <v>60</v>
      </c>
      <c r="V275" t="s">
        <v>61</v>
      </c>
      <c r="W275">
        <v>3</v>
      </c>
      <c r="X275">
        <v>0.14000000000000001</v>
      </c>
      <c r="Y275" t="s">
        <v>275</v>
      </c>
      <c r="Z275" t="s">
        <v>491</v>
      </c>
      <c r="AA275">
        <v>3</v>
      </c>
      <c r="AB275" t="s">
        <v>63</v>
      </c>
      <c r="AC275" t="s">
        <v>64</v>
      </c>
      <c r="AD275" t="s">
        <v>65</v>
      </c>
      <c r="AE275" t="s">
        <v>65</v>
      </c>
      <c r="AF275" t="s">
        <v>65</v>
      </c>
      <c r="AG275" t="s">
        <v>191</v>
      </c>
      <c r="AH275" t="s">
        <v>322</v>
      </c>
      <c r="AI275" t="s">
        <v>322</v>
      </c>
      <c r="AJ275" t="s">
        <v>66</v>
      </c>
      <c r="AK275">
        <v>1</v>
      </c>
      <c r="AL275" t="s">
        <v>455</v>
      </c>
      <c r="AM275" t="s">
        <v>456</v>
      </c>
      <c r="AN275" t="s">
        <v>324</v>
      </c>
      <c r="AO275" t="s">
        <v>66</v>
      </c>
      <c r="AP275">
        <v>1</v>
      </c>
      <c r="AQ275" t="s">
        <v>457</v>
      </c>
      <c r="AR275" t="s">
        <v>458</v>
      </c>
      <c r="AS275" t="s">
        <v>459</v>
      </c>
      <c r="AT275" t="s">
        <v>66</v>
      </c>
    </row>
    <row r="276" spans="1:46" x14ac:dyDescent="0.15">
      <c r="A276" t="s">
        <v>1198</v>
      </c>
      <c r="B276" t="s">
        <v>1132</v>
      </c>
      <c r="C276" t="s">
        <v>1133</v>
      </c>
      <c r="D276">
        <v>66</v>
      </c>
      <c r="E276" t="s">
        <v>49</v>
      </c>
      <c r="F276" t="s">
        <v>50</v>
      </c>
      <c r="G276" t="s">
        <v>51</v>
      </c>
      <c r="H276" t="s">
        <v>52</v>
      </c>
      <c r="I276" t="s">
        <v>53</v>
      </c>
      <c r="J276" t="s">
        <v>54</v>
      </c>
      <c r="K276" t="s">
        <v>55</v>
      </c>
      <c r="L276" t="s">
        <v>17</v>
      </c>
      <c r="M276" t="s">
        <v>16</v>
      </c>
      <c r="N276">
        <v>4148</v>
      </c>
      <c r="O276">
        <v>241</v>
      </c>
      <c r="P276">
        <v>0</v>
      </c>
      <c r="Q276" t="s">
        <v>493</v>
      </c>
      <c r="R276" t="s">
        <v>494</v>
      </c>
      <c r="S276" t="s">
        <v>495</v>
      </c>
      <c r="T276" t="s">
        <v>496</v>
      </c>
      <c r="U276" t="s">
        <v>60</v>
      </c>
      <c r="V276" t="s">
        <v>61</v>
      </c>
      <c r="W276">
        <v>3</v>
      </c>
      <c r="X276">
        <v>0.14000000000000001</v>
      </c>
      <c r="Y276" t="s">
        <v>497</v>
      </c>
      <c r="Z276" t="s">
        <v>498</v>
      </c>
      <c r="AA276">
        <v>3</v>
      </c>
      <c r="AB276" t="s">
        <v>63</v>
      </c>
      <c r="AC276" t="s">
        <v>64</v>
      </c>
      <c r="AD276" t="s">
        <v>65</v>
      </c>
      <c r="AE276" t="s">
        <v>65</v>
      </c>
      <c r="AF276" t="s">
        <v>65</v>
      </c>
      <c r="AG276" t="s">
        <v>191</v>
      </c>
      <c r="AH276" t="s">
        <v>322</v>
      </c>
      <c r="AI276" t="s">
        <v>322</v>
      </c>
      <c r="AJ276" t="s">
        <v>66</v>
      </c>
      <c r="AK276">
        <v>1</v>
      </c>
      <c r="AL276" t="s">
        <v>455</v>
      </c>
      <c r="AM276" t="s">
        <v>456</v>
      </c>
      <c r="AN276" t="s">
        <v>324</v>
      </c>
      <c r="AO276" t="s">
        <v>66</v>
      </c>
      <c r="AP276">
        <v>1</v>
      </c>
      <c r="AQ276" t="s">
        <v>457</v>
      </c>
      <c r="AR276" t="s">
        <v>458</v>
      </c>
      <c r="AS276" t="s">
        <v>459</v>
      </c>
      <c r="AT276" t="s">
        <v>66</v>
      </c>
    </row>
    <row r="277" spans="1:46" x14ac:dyDescent="0.15">
      <c r="A277" t="s">
        <v>1199</v>
      </c>
      <c r="B277" t="s">
        <v>1132</v>
      </c>
      <c r="C277" t="s">
        <v>1133</v>
      </c>
      <c r="D277">
        <v>67</v>
      </c>
      <c r="E277" t="s">
        <v>49</v>
      </c>
      <c r="F277" t="s">
        <v>50</v>
      </c>
      <c r="G277" t="s">
        <v>51</v>
      </c>
      <c r="H277" t="s">
        <v>52</v>
      </c>
      <c r="I277" t="s">
        <v>53</v>
      </c>
      <c r="J277" t="s">
        <v>54</v>
      </c>
      <c r="K277" t="s">
        <v>55</v>
      </c>
      <c r="L277" t="s">
        <v>17</v>
      </c>
      <c r="M277" t="s">
        <v>16</v>
      </c>
      <c r="N277">
        <v>4204</v>
      </c>
      <c r="O277">
        <v>244</v>
      </c>
      <c r="P277">
        <v>0</v>
      </c>
      <c r="Q277" t="s">
        <v>500</v>
      </c>
      <c r="R277" t="s">
        <v>501</v>
      </c>
      <c r="S277" t="s">
        <v>502</v>
      </c>
      <c r="T277" t="s">
        <v>503</v>
      </c>
      <c r="U277" t="s">
        <v>60</v>
      </c>
      <c r="V277" t="s">
        <v>61</v>
      </c>
      <c r="W277">
        <v>3</v>
      </c>
      <c r="X277">
        <v>0.14000000000000001</v>
      </c>
      <c r="Y277" t="s">
        <v>282</v>
      </c>
      <c r="Z277" t="s">
        <v>504</v>
      </c>
      <c r="AA277">
        <v>3</v>
      </c>
      <c r="AB277" t="s">
        <v>63</v>
      </c>
      <c r="AC277" t="s">
        <v>64</v>
      </c>
      <c r="AD277" t="s">
        <v>65</v>
      </c>
      <c r="AE277" t="s">
        <v>65</v>
      </c>
      <c r="AF277" t="s">
        <v>65</v>
      </c>
      <c r="AG277" t="s">
        <v>191</v>
      </c>
      <c r="AH277" t="s">
        <v>322</v>
      </c>
      <c r="AI277" t="s">
        <v>322</v>
      </c>
      <c r="AJ277" t="s">
        <v>66</v>
      </c>
      <c r="AK277">
        <v>1</v>
      </c>
      <c r="AL277" t="s">
        <v>455</v>
      </c>
      <c r="AM277" t="s">
        <v>456</v>
      </c>
      <c r="AN277" t="s">
        <v>324</v>
      </c>
      <c r="AO277" t="s">
        <v>66</v>
      </c>
      <c r="AP277">
        <v>1</v>
      </c>
      <c r="AQ277" t="s">
        <v>457</v>
      </c>
      <c r="AR277" t="s">
        <v>458</v>
      </c>
      <c r="AS277" t="s">
        <v>459</v>
      </c>
      <c r="AT277" t="s">
        <v>66</v>
      </c>
    </row>
    <row r="278" spans="1:46" x14ac:dyDescent="0.15">
      <c r="A278" t="s">
        <v>1200</v>
      </c>
      <c r="B278" t="s">
        <v>1132</v>
      </c>
      <c r="C278" t="s">
        <v>1133</v>
      </c>
      <c r="D278">
        <v>68</v>
      </c>
      <c r="E278" t="s">
        <v>49</v>
      </c>
      <c r="F278" t="s">
        <v>50</v>
      </c>
      <c r="G278" t="s">
        <v>51</v>
      </c>
      <c r="H278" t="s">
        <v>52</v>
      </c>
      <c r="I278" t="s">
        <v>53</v>
      </c>
      <c r="J278" t="s">
        <v>54</v>
      </c>
      <c r="K278" t="s">
        <v>55</v>
      </c>
      <c r="L278" t="s">
        <v>17</v>
      </c>
      <c r="M278" t="s">
        <v>16</v>
      </c>
      <c r="N278">
        <v>4260</v>
      </c>
      <c r="O278">
        <v>248</v>
      </c>
      <c r="P278">
        <v>0</v>
      </c>
      <c r="Q278" t="s">
        <v>506</v>
      </c>
      <c r="R278" t="s">
        <v>507</v>
      </c>
      <c r="S278" t="s">
        <v>508</v>
      </c>
      <c r="T278" t="s">
        <v>509</v>
      </c>
      <c r="U278" t="s">
        <v>60</v>
      </c>
      <c r="V278" t="s">
        <v>61</v>
      </c>
      <c r="W278">
        <v>3</v>
      </c>
      <c r="X278">
        <v>0.14000000000000001</v>
      </c>
      <c r="Y278" t="s">
        <v>510</v>
      </c>
      <c r="Z278" t="s">
        <v>511</v>
      </c>
      <c r="AA278">
        <v>3</v>
      </c>
      <c r="AB278" t="s">
        <v>63</v>
      </c>
      <c r="AC278" t="s">
        <v>64</v>
      </c>
      <c r="AD278" t="s">
        <v>65</v>
      </c>
      <c r="AE278" t="s">
        <v>65</v>
      </c>
      <c r="AF278" t="s">
        <v>65</v>
      </c>
      <c r="AG278" t="s">
        <v>191</v>
      </c>
      <c r="AH278" t="s">
        <v>322</v>
      </c>
      <c r="AI278" t="s">
        <v>322</v>
      </c>
      <c r="AJ278" t="s">
        <v>66</v>
      </c>
      <c r="AK278">
        <v>1</v>
      </c>
      <c r="AL278" t="s">
        <v>455</v>
      </c>
      <c r="AM278" t="s">
        <v>456</v>
      </c>
      <c r="AN278" t="s">
        <v>324</v>
      </c>
      <c r="AO278" t="s">
        <v>66</v>
      </c>
      <c r="AP278">
        <v>1</v>
      </c>
      <c r="AQ278" t="s">
        <v>457</v>
      </c>
      <c r="AR278" t="s">
        <v>458</v>
      </c>
      <c r="AS278" t="s">
        <v>459</v>
      </c>
      <c r="AT278" t="s">
        <v>66</v>
      </c>
    </row>
    <row r="279" spans="1:46" x14ac:dyDescent="0.15">
      <c r="A279" t="s">
        <v>1201</v>
      </c>
      <c r="B279" t="s">
        <v>1132</v>
      </c>
      <c r="C279" t="s">
        <v>1133</v>
      </c>
      <c r="D279">
        <v>69</v>
      </c>
      <c r="E279" t="s">
        <v>49</v>
      </c>
      <c r="F279" t="s">
        <v>50</v>
      </c>
      <c r="G279" t="s">
        <v>51</v>
      </c>
      <c r="H279" t="s">
        <v>52</v>
      </c>
      <c r="I279" t="s">
        <v>53</v>
      </c>
      <c r="J279" t="s">
        <v>54</v>
      </c>
      <c r="K279" t="s">
        <v>55</v>
      </c>
      <c r="L279" t="s">
        <v>17</v>
      </c>
      <c r="M279" t="s">
        <v>16</v>
      </c>
      <c r="N279">
        <v>4316</v>
      </c>
      <c r="O279">
        <v>251</v>
      </c>
      <c r="P279">
        <v>0</v>
      </c>
      <c r="Q279" t="s">
        <v>513</v>
      </c>
      <c r="R279" t="s">
        <v>514</v>
      </c>
      <c r="S279" t="s">
        <v>515</v>
      </c>
      <c r="T279" t="s">
        <v>516</v>
      </c>
      <c r="U279" t="s">
        <v>60</v>
      </c>
      <c r="V279" t="s">
        <v>61</v>
      </c>
      <c r="W279">
        <v>3</v>
      </c>
      <c r="X279">
        <v>0.14000000000000001</v>
      </c>
      <c r="Y279" t="s">
        <v>288</v>
      </c>
      <c r="Z279" t="s">
        <v>517</v>
      </c>
      <c r="AA279">
        <v>3</v>
      </c>
      <c r="AB279" t="s">
        <v>63</v>
      </c>
      <c r="AC279" t="s">
        <v>64</v>
      </c>
      <c r="AD279" t="s">
        <v>65</v>
      </c>
      <c r="AE279" t="s">
        <v>65</v>
      </c>
      <c r="AF279" t="s">
        <v>65</v>
      </c>
      <c r="AG279" t="s">
        <v>191</v>
      </c>
      <c r="AH279" t="s">
        <v>322</v>
      </c>
      <c r="AI279" t="s">
        <v>322</v>
      </c>
      <c r="AJ279" t="s">
        <v>66</v>
      </c>
      <c r="AK279">
        <v>1</v>
      </c>
      <c r="AL279" t="s">
        <v>455</v>
      </c>
      <c r="AM279" t="s">
        <v>456</v>
      </c>
      <c r="AN279" t="s">
        <v>324</v>
      </c>
      <c r="AO279" t="s">
        <v>66</v>
      </c>
      <c r="AP279">
        <v>1</v>
      </c>
      <c r="AQ279" t="s">
        <v>457</v>
      </c>
      <c r="AR279" t="s">
        <v>458</v>
      </c>
      <c r="AS279" t="s">
        <v>459</v>
      </c>
      <c r="AT279" t="s">
        <v>66</v>
      </c>
    </row>
    <row r="280" spans="1:46" x14ac:dyDescent="0.15">
      <c r="A280" t="s">
        <v>1202</v>
      </c>
      <c r="B280" t="s">
        <v>1132</v>
      </c>
      <c r="C280" t="s">
        <v>1133</v>
      </c>
      <c r="D280">
        <v>70</v>
      </c>
      <c r="E280" t="s">
        <v>49</v>
      </c>
      <c r="F280" t="s">
        <v>50</v>
      </c>
      <c r="G280" t="s">
        <v>51</v>
      </c>
      <c r="H280" t="s">
        <v>52</v>
      </c>
      <c r="I280" t="s">
        <v>53</v>
      </c>
      <c r="J280" t="s">
        <v>54</v>
      </c>
      <c r="K280" t="s">
        <v>55</v>
      </c>
      <c r="L280" t="s">
        <v>17</v>
      </c>
      <c r="M280" t="s">
        <v>16</v>
      </c>
      <c r="N280">
        <v>4372</v>
      </c>
      <c r="O280">
        <v>254</v>
      </c>
      <c r="P280">
        <v>0</v>
      </c>
      <c r="Q280" t="s">
        <v>519</v>
      </c>
      <c r="R280" t="s">
        <v>520</v>
      </c>
      <c r="S280" t="s">
        <v>521</v>
      </c>
      <c r="T280" t="s">
        <v>522</v>
      </c>
      <c r="U280" t="s">
        <v>60</v>
      </c>
      <c r="V280" t="s">
        <v>61</v>
      </c>
      <c r="W280">
        <v>3</v>
      </c>
      <c r="X280">
        <v>0.14000000000000001</v>
      </c>
      <c r="Y280" t="s">
        <v>523</v>
      </c>
      <c r="Z280" t="s">
        <v>524</v>
      </c>
      <c r="AA280">
        <v>3</v>
      </c>
      <c r="AB280" t="s">
        <v>63</v>
      </c>
      <c r="AC280" t="s">
        <v>64</v>
      </c>
      <c r="AD280" t="s">
        <v>65</v>
      </c>
      <c r="AE280" t="s">
        <v>65</v>
      </c>
      <c r="AF280" t="s">
        <v>65</v>
      </c>
      <c r="AG280" t="s">
        <v>191</v>
      </c>
      <c r="AH280" t="s">
        <v>322</v>
      </c>
      <c r="AI280" t="s">
        <v>322</v>
      </c>
      <c r="AJ280" t="s">
        <v>66</v>
      </c>
      <c r="AK280">
        <v>1</v>
      </c>
      <c r="AL280" t="s">
        <v>455</v>
      </c>
      <c r="AM280" t="s">
        <v>456</v>
      </c>
      <c r="AN280" t="s">
        <v>324</v>
      </c>
      <c r="AO280" t="s">
        <v>66</v>
      </c>
      <c r="AP280">
        <v>1</v>
      </c>
      <c r="AQ280" t="s">
        <v>457</v>
      </c>
      <c r="AR280" t="s">
        <v>458</v>
      </c>
      <c r="AS280" t="s">
        <v>459</v>
      </c>
      <c r="AT280" t="s">
        <v>66</v>
      </c>
    </row>
    <row r="281" spans="1:46" x14ac:dyDescent="0.15">
      <c r="A281" t="s">
        <v>1203</v>
      </c>
      <c r="B281" t="s">
        <v>1132</v>
      </c>
      <c r="C281" t="s">
        <v>1133</v>
      </c>
      <c r="D281">
        <v>71</v>
      </c>
      <c r="E281" t="s">
        <v>49</v>
      </c>
      <c r="F281" t="s">
        <v>50</v>
      </c>
      <c r="G281" t="s">
        <v>51</v>
      </c>
      <c r="H281" t="s">
        <v>52</v>
      </c>
      <c r="I281" t="s">
        <v>53</v>
      </c>
      <c r="J281" t="s">
        <v>54</v>
      </c>
      <c r="K281" t="s">
        <v>55</v>
      </c>
      <c r="L281" t="s">
        <v>17</v>
      </c>
      <c r="M281" t="s">
        <v>16</v>
      </c>
      <c r="N281">
        <v>4429</v>
      </c>
      <c r="O281">
        <v>257</v>
      </c>
      <c r="P281">
        <v>0</v>
      </c>
      <c r="Q281" t="s">
        <v>526</v>
      </c>
      <c r="R281" t="s">
        <v>527</v>
      </c>
      <c r="S281" t="s">
        <v>528</v>
      </c>
      <c r="T281" t="s">
        <v>529</v>
      </c>
      <c r="U281" t="s">
        <v>60</v>
      </c>
      <c r="V281" t="s">
        <v>61</v>
      </c>
      <c r="W281">
        <v>3</v>
      </c>
      <c r="X281">
        <v>0.14000000000000001</v>
      </c>
      <c r="Y281" t="s">
        <v>295</v>
      </c>
      <c r="Z281" t="s">
        <v>530</v>
      </c>
      <c r="AA281">
        <v>3</v>
      </c>
      <c r="AB281" t="s">
        <v>63</v>
      </c>
      <c r="AC281" t="s">
        <v>64</v>
      </c>
      <c r="AD281" t="s">
        <v>65</v>
      </c>
      <c r="AE281" t="s">
        <v>65</v>
      </c>
      <c r="AF281" t="s">
        <v>65</v>
      </c>
      <c r="AG281" t="s">
        <v>191</v>
      </c>
      <c r="AH281" t="s">
        <v>322</v>
      </c>
      <c r="AI281" t="s">
        <v>322</v>
      </c>
      <c r="AJ281" t="s">
        <v>66</v>
      </c>
      <c r="AK281">
        <v>1</v>
      </c>
      <c r="AL281" t="s">
        <v>455</v>
      </c>
      <c r="AM281" t="s">
        <v>456</v>
      </c>
      <c r="AN281" t="s">
        <v>324</v>
      </c>
      <c r="AO281" t="s">
        <v>66</v>
      </c>
      <c r="AP281">
        <v>1</v>
      </c>
      <c r="AQ281" t="s">
        <v>457</v>
      </c>
      <c r="AR281" t="s">
        <v>458</v>
      </c>
      <c r="AS281" t="s">
        <v>459</v>
      </c>
      <c r="AT281" t="s">
        <v>66</v>
      </c>
    </row>
    <row r="282" spans="1:46" x14ac:dyDescent="0.15">
      <c r="A282" t="s">
        <v>1204</v>
      </c>
      <c r="B282" t="s">
        <v>1132</v>
      </c>
      <c r="C282" t="s">
        <v>1133</v>
      </c>
      <c r="D282">
        <v>72</v>
      </c>
      <c r="E282" t="s">
        <v>49</v>
      </c>
      <c r="F282" t="s">
        <v>50</v>
      </c>
      <c r="G282" t="s">
        <v>51</v>
      </c>
      <c r="H282" t="s">
        <v>52</v>
      </c>
      <c r="I282" t="s">
        <v>53</v>
      </c>
      <c r="J282" t="s">
        <v>54</v>
      </c>
      <c r="K282" t="s">
        <v>55</v>
      </c>
      <c r="L282" t="s">
        <v>17</v>
      </c>
      <c r="M282" t="s">
        <v>16</v>
      </c>
      <c r="N282">
        <v>4485</v>
      </c>
      <c r="O282">
        <v>261</v>
      </c>
      <c r="P282">
        <v>0</v>
      </c>
      <c r="Q282" t="s">
        <v>532</v>
      </c>
      <c r="R282" t="s">
        <v>533</v>
      </c>
      <c r="S282" t="s">
        <v>534</v>
      </c>
      <c r="T282" t="s">
        <v>535</v>
      </c>
      <c r="U282" t="s">
        <v>60</v>
      </c>
      <c r="V282" t="s">
        <v>61</v>
      </c>
      <c r="W282">
        <v>3</v>
      </c>
      <c r="X282">
        <v>0.14000000000000001</v>
      </c>
      <c r="Y282" t="s">
        <v>536</v>
      </c>
      <c r="Z282" t="s">
        <v>537</v>
      </c>
      <c r="AA282">
        <v>3</v>
      </c>
      <c r="AB282" t="s">
        <v>63</v>
      </c>
      <c r="AC282" t="s">
        <v>64</v>
      </c>
      <c r="AD282" t="s">
        <v>65</v>
      </c>
      <c r="AE282" t="s">
        <v>65</v>
      </c>
      <c r="AF282" t="s">
        <v>65</v>
      </c>
      <c r="AG282" t="s">
        <v>191</v>
      </c>
      <c r="AH282" t="s">
        <v>322</v>
      </c>
      <c r="AI282" t="s">
        <v>322</v>
      </c>
      <c r="AJ282" t="s">
        <v>66</v>
      </c>
      <c r="AK282">
        <v>1</v>
      </c>
      <c r="AL282" t="s">
        <v>455</v>
      </c>
      <c r="AM282" t="s">
        <v>456</v>
      </c>
      <c r="AN282" t="s">
        <v>324</v>
      </c>
      <c r="AO282" t="s">
        <v>66</v>
      </c>
      <c r="AP282">
        <v>1</v>
      </c>
      <c r="AQ282" t="s">
        <v>457</v>
      </c>
      <c r="AR282" t="s">
        <v>458</v>
      </c>
      <c r="AS282" t="s">
        <v>459</v>
      </c>
      <c r="AT282" t="s">
        <v>66</v>
      </c>
    </row>
    <row r="283" spans="1:46" x14ac:dyDescent="0.15">
      <c r="A283" t="s">
        <v>1205</v>
      </c>
      <c r="B283" t="s">
        <v>1132</v>
      </c>
      <c r="C283" t="s">
        <v>1133</v>
      </c>
      <c r="D283">
        <v>73</v>
      </c>
      <c r="E283" t="s">
        <v>49</v>
      </c>
      <c r="F283" t="s">
        <v>50</v>
      </c>
      <c r="G283" t="s">
        <v>51</v>
      </c>
      <c r="H283" t="s">
        <v>52</v>
      </c>
      <c r="I283" t="s">
        <v>53</v>
      </c>
      <c r="J283" t="s">
        <v>54</v>
      </c>
      <c r="K283" t="s">
        <v>55</v>
      </c>
      <c r="L283" t="s">
        <v>17</v>
      </c>
      <c r="M283" t="s">
        <v>16</v>
      </c>
      <c r="N283">
        <v>4541</v>
      </c>
      <c r="O283">
        <v>264</v>
      </c>
      <c r="P283">
        <v>0</v>
      </c>
      <c r="Q283" t="s">
        <v>539</v>
      </c>
      <c r="R283" t="s">
        <v>540</v>
      </c>
      <c r="S283" t="s">
        <v>541</v>
      </c>
      <c r="T283" t="s">
        <v>542</v>
      </c>
      <c r="U283" t="s">
        <v>60</v>
      </c>
      <c r="V283" t="s">
        <v>61</v>
      </c>
      <c r="W283">
        <v>3</v>
      </c>
      <c r="X283">
        <v>0.14000000000000001</v>
      </c>
      <c r="Y283" t="s">
        <v>301</v>
      </c>
      <c r="Z283" t="s">
        <v>543</v>
      </c>
      <c r="AA283">
        <v>3</v>
      </c>
      <c r="AB283" t="s">
        <v>63</v>
      </c>
      <c r="AC283" t="s">
        <v>64</v>
      </c>
      <c r="AD283" t="s">
        <v>65</v>
      </c>
      <c r="AE283" t="s">
        <v>65</v>
      </c>
      <c r="AF283" t="s">
        <v>65</v>
      </c>
      <c r="AG283" t="s">
        <v>191</v>
      </c>
      <c r="AH283" t="s">
        <v>322</v>
      </c>
      <c r="AI283" t="s">
        <v>322</v>
      </c>
      <c r="AJ283" t="s">
        <v>66</v>
      </c>
      <c r="AK283">
        <v>1</v>
      </c>
      <c r="AL283" t="s">
        <v>455</v>
      </c>
      <c r="AM283" t="s">
        <v>456</v>
      </c>
      <c r="AN283" t="s">
        <v>324</v>
      </c>
      <c r="AO283" t="s">
        <v>66</v>
      </c>
      <c r="AP283">
        <v>1</v>
      </c>
      <c r="AQ283" t="s">
        <v>457</v>
      </c>
      <c r="AR283" t="s">
        <v>458</v>
      </c>
      <c r="AS283" t="s">
        <v>459</v>
      </c>
      <c r="AT283" t="s">
        <v>66</v>
      </c>
    </row>
    <row r="284" spans="1:46" x14ac:dyDescent="0.15">
      <c r="A284" t="s">
        <v>1206</v>
      </c>
      <c r="B284" t="s">
        <v>1132</v>
      </c>
      <c r="C284" t="s">
        <v>1133</v>
      </c>
      <c r="D284">
        <v>74</v>
      </c>
      <c r="E284" t="s">
        <v>49</v>
      </c>
      <c r="F284" t="s">
        <v>50</v>
      </c>
      <c r="G284" t="s">
        <v>51</v>
      </c>
      <c r="H284" t="s">
        <v>52</v>
      </c>
      <c r="I284" t="s">
        <v>53</v>
      </c>
      <c r="J284" t="s">
        <v>54</v>
      </c>
      <c r="K284" t="s">
        <v>55</v>
      </c>
      <c r="L284" t="s">
        <v>17</v>
      </c>
      <c r="M284" t="s">
        <v>16</v>
      </c>
      <c r="N284">
        <v>4597</v>
      </c>
      <c r="O284">
        <v>267</v>
      </c>
      <c r="P284">
        <v>0</v>
      </c>
      <c r="Q284" t="s">
        <v>545</v>
      </c>
      <c r="R284" t="s">
        <v>546</v>
      </c>
      <c r="S284" t="s">
        <v>547</v>
      </c>
      <c r="T284" t="s">
        <v>548</v>
      </c>
      <c r="U284" t="s">
        <v>60</v>
      </c>
      <c r="V284" t="s">
        <v>61</v>
      </c>
      <c r="W284">
        <v>3</v>
      </c>
      <c r="X284">
        <v>0.14000000000000001</v>
      </c>
      <c r="Y284" t="s">
        <v>549</v>
      </c>
      <c r="Z284" t="s">
        <v>550</v>
      </c>
      <c r="AA284">
        <v>3</v>
      </c>
      <c r="AB284" t="s">
        <v>63</v>
      </c>
      <c r="AC284" t="s">
        <v>64</v>
      </c>
      <c r="AD284" t="s">
        <v>65</v>
      </c>
      <c r="AE284" t="s">
        <v>65</v>
      </c>
      <c r="AF284" t="s">
        <v>65</v>
      </c>
      <c r="AG284" t="s">
        <v>191</v>
      </c>
      <c r="AH284" t="s">
        <v>322</v>
      </c>
      <c r="AI284" t="s">
        <v>322</v>
      </c>
      <c r="AJ284" t="s">
        <v>66</v>
      </c>
      <c r="AK284">
        <v>1</v>
      </c>
      <c r="AL284" t="s">
        <v>455</v>
      </c>
      <c r="AM284" t="s">
        <v>456</v>
      </c>
      <c r="AN284" t="s">
        <v>324</v>
      </c>
      <c r="AO284" t="s">
        <v>66</v>
      </c>
      <c r="AP284">
        <v>1</v>
      </c>
      <c r="AQ284" t="s">
        <v>457</v>
      </c>
      <c r="AR284" t="s">
        <v>458</v>
      </c>
      <c r="AS284" t="s">
        <v>459</v>
      </c>
      <c r="AT284" t="s">
        <v>66</v>
      </c>
    </row>
    <row r="285" spans="1:46" x14ac:dyDescent="0.15">
      <c r="A285" t="s">
        <v>1207</v>
      </c>
      <c r="B285" t="s">
        <v>1132</v>
      </c>
      <c r="C285" t="s">
        <v>1133</v>
      </c>
      <c r="D285">
        <v>75</v>
      </c>
      <c r="E285" t="s">
        <v>49</v>
      </c>
      <c r="F285" t="s">
        <v>50</v>
      </c>
      <c r="G285" t="s">
        <v>51</v>
      </c>
      <c r="H285" t="s">
        <v>52</v>
      </c>
      <c r="I285" t="s">
        <v>53</v>
      </c>
      <c r="J285" t="s">
        <v>54</v>
      </c>
      <c r="K285" t="s">
        <v>55</v>
      </c>
      <c r="L285" t="s">
        <v>17</v>
      </c>
      <c r="M285" t="s">
        <v>16</v>
      </c>
      <c r="N285">
        <v>4653</v>
      </c>
      <c r="O285">
        <v>270</v>
      </c>
      <c r="P285">
        <v>0</v>
      </c>
      <c r="Q285" t="s">
        <v>552</v>
      </c>
      <c r="R285" t="s">
        <v>553</v>
      </c>
      <c r="S285" t="s">
        <v>554</v>
      </c>
      <c r="T285" t="s">
        <v>555</v>
      </c>
      <c r="U285" t="s">
        <v>60</v>
      </c>
      <c r="V285" t="s">
        <v>61</v>
      </c>
      <c r="W285">
        <v>3</v>
      </c>
      <c r="X285">
        <v>0.14000000000000001</v>
      </c>
      <c r="Y285" t="s">
        <v>308</v>
      </c>
      <c r="Z285" t="s">
        <v>556</v>
      </c>
      <c r="AA285">
        <v>3</v>
      </c>
      <c r="AB285" t="s">
        <v>63</v>
      </c>
      <c r="AC285" t="s">
        <v>64</v>
      </c>
      <c r="AD285" t="s">
        <v>65</v>
      </c>
      <c r="AE285" t="s">
        <v>65</v>
      </c>
      <c r="AF285" t="s">
        <v>65</v>
      </c>
      <c r="AG285" t="s">
        <v>191</v>
      </c>
      <c r="AH285" t="s">
        <v>322</v>
      </c>
      <c r="AI285" t="s">
        <v>322</v>
      </c>
      <c r="AJ285" t="s">
        <v>66</v>
      </c>
      <c r="AK285">
        <v>1</v>
      </c>
      <c r="AL285" t="s">
        <v>455</v>
      </c>
      <c r="AM285" t="s">
        <v>456</v>
      </c>
      <c r="AN285" t="s">
        <v>324</v>
      </c>
      <c r="AO285" t="s">
        <v>66</v>
      </c>
      <c r="AP285">
        <v>1</v>
      </c>
      <c r="AQ285" t="s">
        <v>457</v>
      </c>
      <c r="AR285" t="s">
        <v>458</v>
      </c>
      <c r="AS285" t="s">
        <v>459</v>
      </c>
      <c r="AT285" t="s">
        <v>66</v>
      </c>
    </row>
    <row r="286" spans="1:46" x14ac:dyDescent="0.15">
      <c r="A286" t="s">
        <v>1208</v>
      </c>
      <c r="B286" t="s">
        <v>1132</v>
      </c>
      <c r="C286" t="s">
        <v>1133</v>
      </c>
      <c r="D286">
        <v>76</v>
      </c>
      <c r="E286" t="s">
        <v>49</v>
      </c>
      <c r="F286" t="s">
        <v>50</v>
      </c>
      <c r="G286" t="s">
        <v>51</v>
      </c>
      <c r="H286" t="s">
        <v>52</v>
      </c>
      <c r="I286" t="s">
        <v>53</v>
      </c>
      <c r="J286" t="s">
        <v>54</v>
      </c>
      <c r="K286" t="s">
        <v>55</v>
      </c>
      <c r="L286" t="s">
        <v>17</v>
      </c>
      <c r="M286" t="s">
        <v>16</v>
      </c>
      <c r="N286">
        <v>4709</v>
      </c>
      <c r="O286">
        <v>274</v>
      </c>
      <c r="P286">
        <v>0</v>
      </c>
      <c r="Q286" t="s">
        <v>558</v>
      </c>
      <c r="R286" t="s">
        <v>559</v>
      </c>
      <c r="S286" t="s">
        <v>560</v>
      </c>
      <c r="T286" t="s">
        <v>561</v>
      </c>
      <c r="U286" t="s">
        <v>60</v>
      </c>
      <c r="V286" t="s">
        <v>61</v>
      </c>
      <c r="W286">
        <v>3</v>
      </c>
      <c r="X286">
        <v>0.14000000000000001</v>
      </c>
      <c r="Y286" t="s">
        <v>562</v>
      </c>
      <c r="Z286" t="s">
        <v>563</v>
      </c>
      <c r="AA286">
        <v>3</v>
      </c>
      <c r="AB286" t="s">
        <v>63</v>
      </c>
      <c r="AC286" t="s">
        <v>64</v>
      </c>
      <c r="AD286" t="s">
        <v>65</v>
      </c>
      <c r="AE286" t="s">
        <v>65</v>
      </c>
      <c r="AF286" t="s">
        <v>65</v>
      </c>
      <c r="AG286" t="s">
        <v>191</v>
      </c>
      <c r="AH286" t="s">
        <v>322</v>
      </c>
      <c r="AI286" t="s">
        <v>322</v>
      </c>
      <c r="AJ286" t="s">
        <v>66</v>
      </c>
      <c r="AK286">
        <v>1</v>
      </c>
      <c r="AL286" t="s">
        <v>455</v>
      </c>
      <c r="AM286" t="s">
        <v>456</v>
      </c>
      <c r="AN286" t="s">
        <v>324</v>
      </c>
      <c r="AO286" t="s">
        <v>66</v>
      </c>
      <c r="AP286">
        <v>1</v>
      </c>
      <c r="AQ286" t="s">
        <v>457</v>
      </c>
      <c r="AR286" t="s">
        <v>458</v>
      </c>
      <c r="AS286" t="s">
        <v>459</v>
      </c>
      <c r="AT286" t="s">
        <v>66</v>
      </c>
    </row>
    <row r="287" spans="1:46" x14ac:dyDescent="0.15">
      <c r="A287" t="s">
        <v>1209</v>
      </c>
      <c r="B287" t="s">
        <v>1132</v>
      </c>
      <c r="C287" t="s">
        <v>1133</v>
      </c>
      <c r="D287">
        <v>77</v>
      </c>
      <c r="E287" t="s">
        <v>49</v>
      </c>
      <c r="F287" t="s">
        <v>50</v>
      </c>
      <c r="G287" t="s">
        <v>51</v>
      </c>
      <c r="H287" t="s">
        <v>52</v>
      </c>
      <c r="I287" t="s">
        <v>53</v>
      </c>
      <c r="J287" t="s">
        <v>54</v>
      </c>
      <c r="K287" t="s">
        <v>55</v>
      </c>
      <c r="L287" t="s">
        <v>17</v>
      </c>
      <c r="M287" t="s">
        <v>16</v>
      </c>
      <c r="N287">
        <v>4765</v>
      </c>
      <c r="O287">
        <v>277</v>
      </c>
      <c r="P287">
        <v>0</v>
      </c>
      <c r="Q287" t="s">
        <v>565</v>
      </c>
      <c r="R287" t="s">
        <v>566</v>
      </c>
      <c r="S287" t="s">
        <v>567</v>
      </c>
      <c r="T287" t="s">
        <v>568</v>
      </c>
      <c r="U287" t="s">
        <v>60</v>
      </c>
      <c r="V287" t="s">
        <v>61</v>
      </c>
      <c r="W287">
        <v>3</v>
      </c>
      <c r="X287">
        <v>0.14000000000000001</v>
      </c>
      <c r="Y287" t="s">
        <v>314</v>
      </c>
      <c r="Z287" t="s">
        <v>569</v>
      </c>
      <c r="AA287">
        <v>3</v>
      </c>
      <c r="AB287" t="s">
        <v>63</v>
      </c>
      <c r="AC287" t="s">
        <v>64</v>
      </c>
      <c r="AD287" t="s">
        <v>65</v>
      </c>
      <c r="AE287" t="s">
        <v>65</v>
      </c>
      <c r="AF287" t="s">
        <v>65</v>
      </c>
      <c r="AG287" t="s">
        <v>191</v>
      </c>
      <c r="AH287" t="s">
        <v>322</v>
      </c>
      <c r="AI287" t="s">
        <v>322</v>
      </c>
      <c r="AJ287" t="s">
        <v>66</v>
      </c>
      <c r="AK287">
        <v>1</v>
      </c>
      <c r="AL287" t="s">
        <v>455</v>
      </c>
      <c r="AM287" t="s">
        <v>456</v>
      </c>
      <c r="AN287" t="s">
        <v>324</v>
      </c>
      <c r="AO287" t="s">
        <v>66</v>
      </c>
      <c r="AP287">
        <v>1</v>
      </c>
      <c r="AQ287" t="s">
        <v>457</v>
      </c>
      <c r="AR287" t="s">
        <v>458</v>
      </c>
      <c r="AS287" t="s">
        <v>459</v>
      </c>
      <c r="AT287" t="s">
        <v>66</v>
      </c>
    </row>
    <row r="288" spans="1:46" x14ac:dyDescent="0.15">
      <c r="A288" t="s">
        <v>1210</v>
      </c>
      <c r="B288" t="s">
        <v>1132</v>
      </c>
      <c r="C288" t="s">
        <v>1133</v>
      </c>
      <c r="D288">
        <v>78</v>
      </c>
      <c r="E288" t="s">
        <v>49</v>
      </c>
      <c r="F288" t="s">
        <v>50</v>
      </c>
      <c r="G288" t="s">
        <v>51</v>
      </c>
      <c r="H288" t="s">
        <v>52</v>
      </c>
      <c r="I288" t="s">
        <v>53</v>
      </c>
      <c r="J288" t="s">
        <v>54</v>
      </c>
      <c r="K288" t="s">
        <v>55</v>
      </c>
      <c r="L288" t="s">
        <v>17</v>
      </c>
      <c r="M288" t="s">
        <v>16</v>
      </c>
      <c r="N288">
        <v>4821</v>
      </c>
      <c r="O288">
        <v>280</v>
      </c>
      <c r="P288">
        <v>0</v>
      </c>
      <c r="Q288" t="s">
        <v>571</v>
      </c>
      <c r="R288" t="s">
        <v>572</v>
      </c>
      <c r="S288" t="s">
        <v>573</v>
      </c>
      <c r="T288" t="s">
        <v>574</v>
      </c>
      <c r="U288" t="s">
        <v>60</v>
      </c>
      <c r="V288" t="s">
        <v>61</v>
      </c>
      <c r="W288">
        <v>3</v>
      </c>
      <c r="X288">
        <v>0.14000000000000001</v>
      </c>
      <c r="Y288" t="s">
        <v>575</v>
      </c>
      <c r="Z288" t="s">
        <v>576</v>
      </c>
      <c r="AA288">
        <v>3</v>
      </c>
      <c r="AB288" t="s">
        <v>63</v>
      </c>
      <c r="AC288" t="s">
        <v>64</v>
      </c>
      <c r="AD288" t="s">
        <v>65</v>
      </c>
      <c r="AE288" t="s">
        <v>65</v>
      </c>
      <c r="AF288" t="s">
        <v>65</v>
      </c>
      <c r="AG288" t="s">
        <v>191</v>
      </c>
      <c r="AH288" t="s">
        <v>322</v>
      </c>
      <c r="AI288" t="s">
        <v>322</v>
      </c>
      <c r="AJ288" t="s">
        <v>66</v>
      </c>
      <c r="AK288">
        <v>1</v>
      </c>
      <c r="AL288" t="s">
        <v>455</v>
      </c>
      <c r="AM288" t="s">
        <v>456</v>
      </c>
      <c r="AN288" t="s">
        <v>324</v>
      </c>
      <c r="AO288" t="s">
        <v>66</v>
      </c>
      <c r="AP288">
        <v>1</v>
      </c>
      <c r="AQ288" t="s">
        <v>457</v>
      </c>
      <c r="AR288" t="s">
        <v>458</v>
      </c>
      <c r="AS288" t="s">
        <v>459</v>
      </c>
      <c r="AT288" t="s">
        <v>66</v>
      </c>
    </row>
    <row r="289" spans="1:46" x14ac:dyDescent="0.15">
      <c r="A289" t="s">
        <v>1211</v>
      </c>
      <c r="B289" t="s">
        <v>1132</v>
      </c>
      <c r="C289" t="s">
        <v>1133</v>
      </c>
      <c r="D289">
        <v>79</v>
      </c>
      <c r="E289" t="s">
        <v>49</v>
      </c>
      <c r="F289" t="s">
        <v>50</v>
      </c>
      <c r="G289" t="s">
        <v>51</v>
      </c>
      <c r="H289" t="s">
        <v>52</v>
      </c>
      <c r="I289" t="s">
        <v>53</v>
      </c>
      <c r="J289" t="s">
        <v>54</v>
      </c>
      <c r="K289" t="s">
        <v>55</v>
      </c>
      <c r="L289" t="s">
        <v>17</v>
      </c>
      <c r="M289" t="s">
        <v>16</v>
      </c>
      <c r="N289">
        <v>4878</v>
      </c>
      <c r="O289">
        <v>283</v>
      </c>
      <c r="P289">
        <v>0</v>
      </c>
      <c r="Q289" t="s">
        <v>578</v>
      </c>
      <c r="R289" t="s">
        <v>579</v>
      </c>
      <c r="S289" t="s">
        <v>580</v>
      </c>
      <c r="T289" t="s">
        <v>581</v>
      </c>
      <c r="U289" t="s">
        <v>60</v>
      </c>
      <c r="V289" t="s">
        <v>61</v>
      </c>
      <c r="W289">
        <v>3</v>
      </c>
      <c r="X289">
        <v>0.14000000000000001</v>
      </c>
      <c r="Y289" t="s">
        <v>321</v>
      </c>
      <c r="Z289" t="s">
        <v>582</v>
      </c>
      <c r="AA289">
        <v>3</v>
      </c>
      <c r="AB289" t="s">
        <v>63</v>
      </c>
      <c r="AC289" t="s">
        <v>64</v>
      </c>
      <c r="AD289" t="s">
        <v>65</v>
      </c>
      <c r="AE289" t="s">
        <v>65</v>
      </c>
      <c r="AF289" t="s">
        <v>65</v>
      </c>
      <c r="AG289" t="s">
        <v>191</v>
      </c>
      <c r="AH289" t="s">
        <v>322</v>
      </c>
      <c r="AI289" t="s">
        <v>322</v>
      </c>
      <c r="AJ289" t="s">
        <v>66</v>
      </c>
      <c r="AK289">
        <v>1</v>
      </c>
      <c r="AL289" t="s">
        <v>455</v>
      </c>
      <c r="AM289" t="s">
        <v>456</v>
      </c>
      <c r="AN289" t="s">
        <v>324</v>
      </c>
      <c r="AO289" t="s">
        <v>66</v>
      </c>
      <c r="AP289">
        <v>1</v>
      </c>
      <c r="AQ289" t="s">
        <v>457</v>
      </c>
      <c r="AR289" t="s">
        <v>458</v>
      </c>
      <c r="AS289" t="s">
        <v>459</v>
      </c>
      <c r="AT289" t="s">
        <v>66</v>
      </c>
    </row>
    <row r="290" spans="1:46" x14ac:dyDescent="0.15">
      <c r="A290" t="s">
        <v>1212</v>
      </c>
      <c r="B290" t="s">
        <v>1132</v>
      </c>
      <c r="C290" t="s">
        <v>1133</v>
      </c>
      <c r="D290">
        <v>80</v>
      </c>
      <c r="E290" t="s">
        <v>49</v>
      </c>
      <c r="F290" t="s">
        <v>50</v>
      </c>
      <c r="G290" t="s">
        <v>51</v>
      </c>
      <c r="H290" t="s">
        <v>52</v>
      </c>
      <c r="I290" t="s">
        <v>53</v>
      </c>
      <c r="J290" t="s">
        <v>54</v>
      </c>
      <c r="K290" t="s">
        <v>55</v>
      </c>
      <c r="L290" t="s">
        <v>17</v>
      </c>
      <c r="M290" t="s">
        <v>16</v>
      </c>
      <c r="N290">
        <v>4934</v>
      </c>
      <c r="O290">
        <v>287</v>
      </c>
      <c r="P290">
        <v>0</v>
      </c>
      <c r="Q290" t="s">
        <v>584</v>
      </c>
      <c r="R290" t="s">
        <v>585</v>
      </c>
      <c r="S290" t="s">
        <v>586</v>
      </c>
      <c r="T290" t="s">
        <v>587</v>
      </c>
      <c r="U290" t="s">
        <v>60</v>
      </c>
      <c r="V290" t="s">
        <v>61</v>
      </c>
      <c r="W290">
        <v>3</v>
      </c>
      <c r="X290">
        <v>0.14000000000000001</v>
      </c>
      <c r="Y290" t="s">
        <v>588</v>
      </c>
      <c r="Z290" t="s">
        <v>589</v>
      </c>
      <c r="AA290">
        <v>3</v>
      </c>
      <c r="AB290" t="s">
        <v>63</v>
      </c>
      <c r="AC290" t="s">
        <v>64</v>
      </c>
      <c r="AD290" t="s">
        <v>65</v>
      </c>
      <c r="AE290" t="s">
        <v>65</v>
      </c>
      <c r="AF290" t="s">
        <v>65</v>
      </c>
      <c r="AG290" t="s">
        <v>191</v>
      </c>
      <c r="AH290" t="s">
        <v>322</v>
      </c>
      <c r="AI290" t="s">
        <v>322</v>
      </c>
      <c r="AJ290" t="s">
        <v>66</v>
      </c>
      <c r="AK290">
        <v>1</v>
      </c>
      <c r="AL290" t="s">
        <v>455</v>
      </c>
      <c r="AM290" t="s">
        <v>456</v>
      </c>
      <c r="AN290" t="s">
        <v>324</v>
      </c>
      <c r="AO290" t="s">
        <v>66</v>
      </c>
      <c r="AP290">
        <v>1</v>
      </c>
      <c r="AQ290" t="s">
        <v>457</v>
      </c>
      <c r="AR290" t="s">
        <v>458</v>
      </c>
      <c r="AS290" t="s">
        <v>459</v>
      </c>
      <c r="AT290" t="s">
        <v>66</v>
      </c>
    </row>
    <row r="291" spans="1:46" x14ac:dyDescent="0.15">
      <c r="A291" t="s">
        <v>1212</v>
      </c>
      <c r="B291" t="s">
        <v>1132</v>
      </c>
      <c r="C291" t="s">
        <v>1133</v>
      </c>
      <c r="D291">
        <v>80</v>
      </c>
      <c r="E291" t="s">
        <v>49</v>
      </c>
      <c r="F291" t="s">
        <v>50</v>
      </c>
      <c r="G291" t="s">
        <v>51</v>
      </c>
      <c r="H291" t="s">
        <v>52</v>
      </c>
      <c r="I291" t="s">
        <v>53</v>
      </c>
      <c r="J291" t="s">
        <v>54</v>
      </c>
      <c r="K291" t="s">
        <v>55</v>
      </c>
      <c r="L291" t="s">
        <v>17</v>
      </c>
      <c r="M291" t="s">
        <v>16</v>
      </c>
      <c r="N291">
        <v>4934</v>
      </c>
      <c r="O291">
        <v>287</v>
      </c>
      <c r="P291">
        <v>0</v>
      </c>
      <c r="Q291" t="s">
        <v>584</v>
      </c>
      <c r="R291" t="s">
        <v>585</v>
      </c>
      <c r="S291" t="s">
        <v>586</v>
      </c>
      <c r="T291" t="s">
        <v>587</v>
      </c>
      <c r="U291" t="s">
        <v>60</v>
      </c>
      <c r="V291" t="s">
        <v>61</v>
      </c>
      <c r="W291">
        <v>3</v>
      </c>
      <c r="X291">
        <v>0.14000000000000001</v>
      </c>
      <c r="Y291" t="s">
        <v>588</v>
      </c>
      <c r="Z291" t="s">
        <v>589</v>
      </c>
      <c r="AA291">
        <v>4</v>
      </c>
      <c r="AB291" t="s">
        <v>63</v>
      </c>
      <c r="AC291" t="s">
        <v>64</v>
      </c>
      <c r="AD291" t="s">
        <v>65</v>
      </c>
      <c r="AE291" t="s">
        <v>65</v>
      </c>
      <c r="AF291" t="s">
        <v>65</v>
      </c>
      <c r="AG291" t="s">
        <v>191</v>
      </c>
      <c r="AH291" t="s">
        <v>322</v>
      </c>
      <c r="AI291" t="s">
        <v>322</v>
      </c>
      <c r="AJ291" t="s">
        <v>590</v>
      </c>
      <c r="AK291">
        <v>1</v>
      </c>
      <c r="AL291" t="s">
        <v>455</v>
      </c>
      <c r="AM291" t="s">
        <v>456</v>
      </c>
      <c r="AN291" t="s">
        <v>324</v>
      </c>
      <c r="AO291" t="s">
        <v>66</v>
      </c>
      <c r="AP291">
        <v>1</v>
      </c>
      <c r="AQ291" t="s">
        <v>457</v>
      </c>
      <c r="AR291" t="s">
        <v>458</v>
      </c>
      <c r="AS291" t="s">
        <v>459</v>
      </c>
      <c r="AT291" t="s">
        <v>66</v>
      </c>
    </row>
    <row r="292" spans="1:46" x14ac:dyDescent="0.15">
      <c r="A292" t="s">
        <v>1213</v>
      </c>
      <c r="B292" t="s">
        <v>1132</v>
      </c>
      <c r="C292" t="s">
        <v>1133</v>
      </c>
      <c r="D292">
        <v>81</v>
      </c>
      <c r="E292" t="s">
        <v>49</v>
      </c>
      <c r="F292" t="s">
        <v>50</v>
      </c>
      <c r="G292" t="s">
        <v>51</v>
      </c>
      <c r="H292" t="s">
        <v>52</v>
      </c>
      <c r="I292" t="s">
        <v>53</v>
      </c>
      <c r="J292" t="s">
        <v>54</v>
      </c>
      <c r="K292" t="s">
        <v>55</v>
      </c>
      <c r="L292" t="s">
        <v>17</v>
      </c>
      <c r="M292" t="s">
        <v>16</v>
      </c>
      <c r="N292">
        <v>4990</v>
      </c>
      <c r="O292">
        <v>290</v>
      </c>
      <c r="P292">
        <v>0</v>
      </c>
      <c r="Q292" t="s">
        <v>592</v>
      </c>
      <c r="R292" t="s">
        <v>593</v>
      </c>
      <c r="S292" t="s">
        <v>594</v>
      </c>
      <c r="T292" t="s">
        <v>595</v>
      </c>
      <c r="U292" t="s">
        <v>60</v>
      </c>
      <c r="V292" t="s">
        <v>61</v>
      </c>
      <c r="W292">
        <v>3</v>
      </c>
      <c r="X292">
        <v>0.14000000000000001</v>
      </c>
      <c r="Y292" t="s">
        <v>330</v>
      </c>
      <c r="Z292" t="s">
        <v>596</v>
      </c>
      <c r="AA292">
        <v>4</v>
      </c>
      <c r="AB292" t="s">
        <v>63</v>
      </c>
      <c r="AC292" t="s">
        <v>64</v>
      </c>
      <c r="AD292" t="s">
        <v>65</v>
      </c>
      <c r="AE292" t="s">
        <v>65</v>
      </c>
      <c r="AF292" t="s">
        <v>65</v>
      </c>
      <c r="AG292" t="s">
        <v>191</v>
      </c>
      <c r="AH292" t="s">
        <v>322</v>
      </c>
      <c r="AI292" t="s">
        <v>322</v>
      </c>
      <c r="AJ292" t="s">
        <v>590</v>
      </c>
      <c r="AK292">
        <v>1</v>
      </c>
      <c r="AL292" t="s">
        <v>455</v>
      </c>
      <c r="AM292" t="s">
        <v>456</v>
      </c>
      <c r="AN292" t="s">
        <v>324</v>
      </c>
      <c r="AO292" t="s">
        <v>66</v>
      </c>
      <c r="AP292">
        <v>1</v>
      </c>
      <c r="AQ292" t="s">
        <v>457</v>
      </c>
      <c r="AR292" t="s">
        <v>458</v>
      </c>
      <c r="AS292" t="s">
        <v>459</v>
      </c>
      <c r="AT292" t="s">
        <v>66</v>
      </c>
    </row>
    <row r="293" spans="1:46" x14ac:dyDescent="0.15">
      <c r="A293" t="s">
        <v>1214</v>
      </c>
      <c r="B293" t="s">
        <v>1132</v>
      </c>
      <c r="C293" t="s">
        <v>1133</v>
      </c>
      <c r="D293">
        <v>82</v>
      </c>
      <c r="E293" t="s">
        <v>49</v>
      </c>
      <c r="F293" t="s">
        <v>50</v>
      </c>
      <c r="G293" t="s">
        <v>51</v>
      </c>
      <c r="H293" t="s">
        <v>52</v>
      </c>
      <c r="I293" t="s">
        <v>53</v>
      </c>
      <c r="J293" t="s">
        <v>54</v>
      </c>
      <c r="K293" t="s">
        <v>55</v>
      </c>
      <c r="L293" t="s">
        <v>17</v>
      </c>
      <c r="M293" t="s">
        <v>16</v>
      </c>
      <c r="N293">
        <v>5046</v>
      </c>
      <c r="O293">
        <v>293</v>
      </c>
      <c r="P293">
        <v>0</v>
      </c>
      <c r="Q293" t="s">
        <v>598</v>
      </c>
      <c r="R293" t="s">
        <v>599</v>
      </c>
      <c r="S293" t="s">
        <v>600</v>
      </c>
      <c r="T293" t="s">
        <v>601</v>
      </c>
      <c r="U293" t="s">
        <v>60</v>
      </c>
      <c r="V293" t="s">
        <v>61</v>
      </c>
      <c r="W293">
        <v>3</v>
      </c>
      <c r="X293">
        <v>0.14000000000000001</v>
      </c>
      <c r="Y293" t="s">
        <v>602</v>
      </c>
      <c r="Z293" t="s">
        <v>603</v>
      </c>
      <c r="AA293">
        <v>4</v>
      </c>
      <c r="AB293" t="s">
        <v>63</v>
      </c>
      <c r="AC293" t="s">
        <v>64</v>
      </c>
      <c r="AD293" t="s">
        <v>65</v>
      </c>
      <c r="AE293" t="s">
        <v>65</v>
      </c>
      <c r="AF293" t="s">
        <v>65</v>
      </c>
      <c r="AG293" t="s">
        <v>191</v>
      </c>
      <c r="AH293" t="s">
        <v>322</v>
      </c>
      <c r="AI293" t="s">
        <v>322</v>
      </c>
      <c r="AJ293" t="s">
        <v>590</v>
      </c>
      <c r="AK293">
        <v>1</v>
      </c>
      <c r="AL293" t="s">
        <v>455</v>
      </c>
      <c r="AM293" t="s">
        <v>456</v>
      </c>
      <c r="AN293" t="s">
        <v>324</v>
      </c>
      <c r="AO293" t="s">
        <v>66</v>
      </c>
      <c r="AP293">
        <v>1</v>
      </c>
      <c r="AQ293" t="s">
        <v>457</v>
      </c>
      <c r="AR293" t="s">
        <v>458</v>
      </c>
      <c r="AS293" t="s">
        <v>459</v>
      </c>
      <c r="AT293" t="s">
        <v>66</v>
      </c>
    </row>
    <row r="294" spans="1:46" x14ac:dyDescent="0.15">
      <c r="A294" t="s">
        <v>1215</v>
      </c>
      <c r="B294" t="s">
        <v>1132</v>
      </c>
      <c r="C294" t="s">
        <v>1133</v>
      </c>
      <c r="D294">
        <v>83</v>
      </c>
      <c r="E294" t="s">
        <v>49</v>
      </c>
      <c r="F294" t="s">
        <v>50</v>
      </c>
      <c r="G294" t="s">
        <v>51</v>
      </c>
      <c r="H294" t="s">
        <v>52</v>
      </c>
      <c r="I294" t="s">
        <v>53</v>
      </c>
      <c r="J294" t="s">
        <v>54</v>
      </c>
      <c r="K294" t="s">
        <v>55</v>
      </c>
      <c r="L294" t="s">
        <v>17</v>
      </c>
      <c r="M294" t="s">
        <v>16</v>
      </c>
      <c r="N294">
        <v>5102</v>
      </c>
      <c r="O294">
        <v>296</v>
      </c>
      <c r="P294">
        <v>0</v>
      </c>
      <c r="Q294" t="s">
        <v>605</v>
      </c>
      <c r="R294" t="s">
        <v>606</v>
      </c>
      <c r="S294" t="s">
        <v>607</v>
      </c>
      <c r="T294" t="s">
        <v>608</v>
      </c>
      <c r="U294" t="s">
        <v>60</v>
      </c>
      <c r="V294" t="s">
        <v>61</v>
      </c>
      <c r="W294">
        <v>3</v>
      </c>
      <c r="X294">
        <v>0.14000000000000001</v>
      </c>
      <c r="Y294" t="s">
        <v>337</v>
      </c>
      <c r="Z294" t="s">
        <v>609</v>
      </c>
      <c r="AA294">
        <v>4</v>
      </c>
      <c r="AB294" t="s">
        <v>63</v>
      </c>
      <c r="AC294" t="s">
        <v>64</v>
      </c>
      <c r="AD294" t="s">
        <v>65</v>
      </c>
      <c r="AE294" t="s">
        <v>65</v>
      </c>
      <c r="AF294" t="s">
        <v>65</v>
      </c>
      <c r="AG294" t="s">
        <v>191</v>
      </c>
      <c r="AH294" t="s">
        <v>322</v>
      </c>
      <c r="AI294" t="s">
        <v>322</v>
      </c>
      <c r="AJ294" t="s">
        <v>590</v>
      </c>
      <c r="AK294">
        <v>1</v>
      </c>
      <c r="AL294" t="s">
        <v>455</v>
      </c>
      <c r="AM294" t="s">
        <v>456</v>
      </c>
      <c r="AN294" t="s">
        <v>324</v>
      </c>
      <c r="AO294" t="s">
        <v>66</v>
      </c>
      <c r="AP294">
        <v>1</v>
      </c>
      <c r="AQ294" t="s">
        <v>457</v>
      </c>
      <c r="AR294" t="s">
        <v>458</v>
      </c>
      <c r="AS294" t="s">
        <v>459</v>
      </c>
      <c r="AT294" t="s">
        <v>66</v>
      </c>
    </row>
    <row r="295" spans="1:46" x14ac:dyDescent="0.15">
      <c r="A295" t="s">
        <v>1216</v>
      </c>
      <c r="B295" t="s">
        <v>1132</v>
      </c>
      <c r="C295" t="s">
        <v>1133</v>
      </c>
      <c r="D295">
        <v>84</v>
      </c>
      <c r="E295" t="s">
        <v>49</v>
      </c>
      <c r="F295" t="s">
        <v>50</v>
      </c>
      <c r="G295" t="s">
        <v>51</v>
      </c>
      <c r="H295" t="s">
        <v>52</v>
      </c>
      <c r="I295" t="s">
        <v>53</v>
      </c>
      <c r="J295" t="s">
        <v>54</v>
      </c>
      <c r="K295" t="s">
        <v>55</v>
      </c>
      <c r="L295" t="s">
        <v>17</v>
      </c>
      <c r="M295" t="s">
        <v>16</v>
      </c>
      <c r="N295">
        <v>5158</v>
      </c>
      <c r="O295">
        <v>300</v>
      </c>
      <c r="P295">
        <v>0</v>
      </c>
      <c r="Q295" t="s">
        <v>611</v>
      </c>
      <c r="R295" t="s">
        <v>612</v>
      </c>
      <c r="S295" t="s">
        <v>613</v>
      </c>
      <c r="T295" t="s">
        <v>614</v>
      </c>
      <c r="U295" t="s">
        <v>60</v>
      </c>
      <c r="V295" t="s">
        <v>61</v>
      </c>
      <c r="W295">
        <v>3</v>
      </c>
      <c r="X295">
        <v>0.14000000000000001</v>
      </c>
      <c r="Y295" t="s">
        <v>615</v>
      </c>
      <c r="Z295" t="s">
        <v>616</v>
      </c>
      <c r="AA295">
        <v>4</v>
      </c>
      <c r="AB295" t="s">
        <v>63</v>
      </c>
      <c r="AC295" t="s">
        <v>64</v>
      </c>
      <c r="AD295" t="s">
        <v>65</v>
      </c>
      <c r="AE295" t="s">
        <v>65</v>
      </c>
      <c r="AF295" t="s">
        <v>65</v>
      </c>
      <c r="AG295" t="s">
        <v>191</v>
      </c>
      <c r="AH295" t="s">
        <v>322</v>
      </c>
      <c r="AI295" t="s">
        <v>322</v>
      </c>
      <c r="AJ295" t="s">
        <v>590</v>
      </c>
      <c r="AK295">
        <v>1</v>
      </c>
      <c r="AL295" t="s">
        <v>455</v>
      </c>
      <c r="AM295" t="s">
        <v>456</v>
      </c>
      <c r="AN295" t="s">
        <v>324</v>
      </c>
      <c r="AO295" t="s">
        <v>66</v>
      </c>
      <c r="AP295">
        <v>1</v>
      </c>
      <c r="AQ295" t="s">
        <v>457</v>
      </c>
      <c r="AR295" t="s">
        <v>458</v>
      </c>
      <c r="AS295" t="s">
        <v>459</v>
      </c>
      <c r="AT295" t="s">
        <v>66</v>
      </c>
    </row>
    <row r="296" spans="1:46" x14ac:dyDescent="0.15">
      <c r="A296" t="s">
        <v>1217</v>
      </c>
      <c r="B296" t="s">
        <v>1132</v>
      </c>
      <c r="C296" t="s">
        <v>1133</v>
      </c>
      <c r="D296">
        <v>85</v>
      </c>
      <c r="E296" t="s">
        <v>49</v>
      </c>
      <c r="F296" t="s">
        <v>50</v>
      </c>
      <c r="G296" t="s">
        <v>51</v>
      </c>
      <c r="H296" t="s">
        <v>52</v>
      </c>
      <c r="I296" t="s">
        <v>53</v>
      </c>
      <c r="J296" t="s">
        <v>54</v>
      </c>
      <c r="K296" t="s">
        <v>55</v>
      </c>
      <c r="L296" t="s">
        <v>17</v>
      </c>
      <c r="M296" t="s">
        <v>16</v>
      </c>
      <c r="N296">
        <v>5214</v>
      </c>
      <c r="O296">
        <v>303</v>
      </c>
      <c r="P296">
        <v>0</v>
      </c>
      <c r="Q296" t="s">
        <v>618</v>
      </c>
      <c r="R296" t="s">
        <v>619</v>
      </c>
      <c r="S296" t="s">
        <v>620</v>
      </c>
      <c r="T296" t="s">
        <v>621</v>
      </c>
      <c r="U296" t="s">
        <v>60</v>
      </c>
      <c r="V296" t="s">
        <v>61</v>
      </c>
      <c r="W296">
        <v>3</v>
      </c>
      <c r="X296">
        <v>0.14000000000000001</v>
      </c>
      <c r="Y296" t="s">
        <v>343</v>
      </c>
      <c r="Z296" t="s">
        <v>622</v>
      </c>
      <c r="AA296">
        <v>4</v>
      </c>
      <c r="AB296" t="s">
        <v>63</v>
      </c>
      <c r="AC296" t="s">
        <v>64</v>
      </c>
      <c r="AD296" t="s">
        <v>65</v>
      </c>
      <c r="AE296" t="s">
        <v>65</v>
      </c>
      <c r="AF296" t="s">
        <v>65</v>
      </c>
      <c r="AG296" t="s">
        <v>191</v>
      </c>
      <c r="AH296" t="s">
        <v>322</v>
      </c>
      <c r="AI296" t="s">
        <v>322</v>
      </c>
      <c r="AJ296" t="s">
        <v>590</v>
      </c>
      <c r="AK296">
        <v>1</v>
      </c>
      <c r="AL296" t="s">
        <v>455</v>
      </c>
      <c r="AM296" t="s">
        <v>456</v>
      </c>
      <c r="AN296" t="s">
        <v>324</v>
      </c>
      <c r="AO296" t="s">
        <v>66</v>
      </c>
      <c r="AP296">
        <v>1</v>
      </c>
      <c r="AQ296" t="s">
        <v>457</v>
      </c>
      <c r="AR296" t="s">
        <v>458</v>
      </c>
      <c r="AS296" t="s">
        <v>459</v>
      </c>
      <c r="AT296" t="s">
        <v>66</v>
      </c>
    </row>
    <row r="297" spans="1:46" x14ac:dyDescent="0.15">
      <c r="A297" t="s">
        <v>1218</v>
      </c>
      <c r="B297" t="s">
        <v>1132</v>
      </c>
      <c r="C297" t="s">
        <v>1133</v>
      </c>
      <c r="D297">
        <v>86</v>
      </c>
      <c r="E297" t="s">
        <v>49</v>
      </c>
      <c r="F297" t="s">
        <v>50</v>
      </c>
      <c r="G297" t="s">
        <v>51</v>
      </c>
      <c r="H297" t="s">
        <v>52</v>
      </c>
      <c r="I297" t="s">
        <v>53</v>
      </c>
      <c r="J297" t="s">
        <v>54</v>
      </c>
      <c r="K297" t="s">
        <v>55</v>
      </c>
      <c r="L297" t="s">
        <v>17</v>
      </c>
      <c r="M297" t="s">
        <v>16</v>
      </c>
      <c r="N297">
        <v>5270</v>
      </c>
      <c r="O297">
        <v>306</v>
      </c>
      <c r="P297">
        <v>0</v>
      </c>
      <c r="Q297" t="s">
        <v>624</v>
      </c>
      <c r="R297" t="s">
        <v>625</v>
      </c>
      <c r="S297" t="s">
        <v>626</v>
      </c>
      <c r="T297" t="s">
        <v>627</v>
      </c>
      <c r="U297" t="s">
        <v>60</v>
      </c>
      <c r="V297" t="s">
        <v>61</v>
      </c>
      <c r="W297">
        <v>3</v>
      </c>
      <c r="X297">
        <v>0.14000000000000001</v>
      </c>
      <c r="Y297" t="s">
        <v>628</v>
      </c>
      <c r="Z297" t="s">
        <v>629</v>
      </c>
      <c r="AA297">
        <v>4</v>
      </c>
      <c r="AB297" t="s">
        <v>63</v>
      </c>
      <c r="AC297" t="s">
        <v>64</v>
      </c>
      <c r="AD297" t="s">
        <v>65</v>
      </c>
      <c r="AE297" t="s">
        <v>65</v>
      </c>
      <c r="AF297" t="s">
        <v>65</v>
      </c>
      <c r="AG297" t="s">
        <v>191</v>
      </c>
      <c r="AH297" t="s">
        <v>322</v>
      </c>
      <c r="AI297" t="s">
        <v>322</v>
      </c>
      <c r="AJ297" t="s">
        <v>590</v>
      </c>
      <c r="AK297">
        <v>1</v>
      </c>
      <c r="AL297" t="s">
        <v>455</v>
      </c>
      <c r="AM297" t="s">
        <v>456</v>
      </c>
      <c r="AN297" t="s">
        <v>324</v>
      </c>
      <c r="AO297" t="s">
        <v>66</v>
      </c>
      <c r="AP297">
        <v>1</v>
      </c>
      <c r="AQ297" t="s">
        <v>457</v>
      </c>
      <c r="AR297" t="s">
        <v>458</v>
      </c>
      <c r="AS297" t="s">
        <v>459</v>
      </c>
      <c r="AT297" t="s">
        <v>66</v>
      </c>
    </row>
    <row r="298" spans="1:46" x14ac:dyDescent="0.15">
      <c r="A298" t="s">
        <v>1219</v>
      </c>
      <c r="B298" t="s">
        <v>1132</v>
      </c>
      <c r="C298" t="s">
        <v>1133</v>
      </c>
      <c r="D298">
        <v>87</v>
      </c>
      <c r="E298" t="s">
        <v>49</v>
      </c>
      <c r="F298" t="s">
        <v>50</v>
      </c>
      <c r="G298" t="s">
        <v>51</v>
      </c>
      <c r="H298" t="s">
        <v>52</v>
      </c>
      <c r="I298" t="s">
        <v>53</v>
      </c>
      <c r="J298" t="s">
        <v>54</v>
      </c>
      <c r="K298" t="s">
        <v>55</v>
      </c>
      <c r="L298" t="s">
        <v>17</v>
      </c>
      <c r="M298" t="s">
        <v>16</v>
      </c>
      <c r="N298">
        <v>5327</v>
      </c>
      <c r="O298">
        <v>309</v>
      </c>
      <c r="P298">
        <v>0</v>
      </c>
      <c r="Q298" t="s">
        <v>631</v>
      </c>
      <c r="R298" t="s">
        <v>632</v>
      </c>
      <c r="S298" t="s">
        <v>633</v>
      </c>
      <c r="T298" t="s">
        <v>634</v>
      </c>
      <c r="U298" t="s">
        <v>60</v>
      </c>
      <c r="V298" t="s">
        <v>61</v>
      </c>
      <c r="W298">
        <v>3</v>
      </c>
      <c r="X298">
        <v>0.14000000000000001</v>
      </c>
      <c r="Y298" t="s">
        <v>350</v>
      </c>
      <c r="Z298" t="s">
        <v>635</v>
      </c>
      <c r="AA298">
        <v>4</v>
      </c>
      <c r="AB298" t="s">
        <v>63</v>
      </c>
      <c r="AC298" t="s">
        <v>64</v>
      </c>
      <c r="AD298" t="s">
        <v>65</v>
      </c>
      <c r="AE298" t="s">
        <v>65</v>
      </c>
      <c r="AF298" t="s">
        <v>65</v>
      </c>
      <c r="AG298" t="s">
        <v>191</v>
      </c>
      <c r="AH298" t="s">
        <v>322</v>
      </c>
      <c r="AI298" t="s">
        <v>322</v>
      </c>
      <c r="AJ298" t="s">
        <v>590</v>
      </c>
      <c r="AK298">
        <v>1</v>
      </c>
      <c r="AL298" t="s">
        <v>455</v>
      </c>
      <c r="AM298" t="s">
        <v>456</v>
      </c>
      <c r="AN298" t="s">
        <v>324</v>
      </c>
      <c r="AO298" t="s">
        <v>66</v>
      </c>
      <c r="AP298">
        <v>1</v>
      </c>
      <c r="AQ298" t="s">
        <v>457</v>
      </c>
      <c r="AR298" t="s">
        <v>458</v>
      </c>
      <c r="AS298" t="s">
        <v>459</v>
      </c>
      <c r="AT298" t="s">
        <v>66</v>
      </c>
    </row>
    <row r="299" spans="1:46" x14ac:dyDescent="0.15">
      <c r="A299" t="s">
        <v>1220</v>
      </c>
      <c r="B299" t="s">
        <v>1132</v>
      </c>
      <c r="C299" t="s">
        <v>1133</v>
      </c>
      <c r="D299">
        <v>88</v>
      </c>
      <c r="E299" t="s">
        <v>49</v>
      </c>
      <c r="F299" t="s">
        <v>50</v>
      </c>
      <c r="G299" t="s">
        <v>51</v>
      </c>
      <c r="H299" t="s">
        <v>52</v>
      </c>
      <c r="I299" t="s">
        <v>53</v>
      </c>
      <c r="J299" t="s">
        <v>54</v>
      </c>
      <c r="K299" t="s">
        <v>55</v>
      </c>
      <c r="L299" t="s">
        <v>17</v>
      </c>
      <c r="M299" t="s">
        <v>16</v>
      </c>
      <c r="N299">
        <v>5383</v>
      </c>
      <c r="O299">
        <v>313</v>
      </c>
      <c r="P299">
        <v>0</v>
      </c>
      <c r="Q299" t="s">
        <v>637</v>
      </c>
      <c r="R299" t="s">
        <v>638</v>
      </c>
      <c r="S299" t="s">
        <v>639</v>
      </c>
      <c r="T299" t="s">
        <v>640</v>
      </c>
      <c r="U299" t="s">
        <v>60</v>
      </c>
      <c r="V299" t="s">
        <v>61</v>
      </c>
      <c r="W299">
        <v>3</v>
      </c>
      <c r="X299">
        <v>0.14000000000000001</v>
      </c>
      <c r="Y299" t="s">
        <v>641</v>
      </c>
      <c r="Z299" t="s">
        <v>642</v>
      </c>
      <c r="AA299">
        <v>4</v>
      </c>
      <c r="AB299" t="s">
        <v>63</v>
      </c>
      <c r="AC299" t="s">
        <v>64</v>
      </c>
      <c r="AD299" t="s">
        <v>65</v>
      </c>
      <c r="AE299" t="s">
        <v>65</v>
      </c>
      <c r="AF299" t="s">
        <v>65</v>
      </c>
      <c r="AG299" t="s">
        <v>191</v>
      </c>
      <c r="AH299" t="s">
        <v>322</v>
      </c>
      <c r="AI299" t="s">
        <v>322</v>
      </c>
      <c r="AJ299" t="s">
        <v>590</v>
      </c>
      <c r="AK299">
        <v>1</v>
      </c>
      <c r="AL299" t="s">
        <v>455</v>
      </c>
      <c r="AM299" t="s">
        <v>456</v>
      </c>
      <c r="AN299" t="s">
        <v>324</v>
      </c>
      <c r="AO299" t="s">
        <v>66</v>
      </c>
      <c r="AP299">
        <v>1</v>
      </c>
      <c r="AQ299" t="s">
        <v>457</v>
      </c>
      <c r="AR299" t="s">
        <v>458</v>
      </c>
      <c r="AS299" t="s">
        <v>459</v>
      </c>
      <c r="AT299" t="s">
        <v>66</v>
      </c>
    </row>
    <row r="300" spans="1:46" x14ac:dyDescent="0.15">
      <c r="A300" t="s">
        <v>1221</v>
      </c>
      <c r="B300" t="s">
        <v>1132</v>
      </c>
      <c r="C300" t="s">
        <v>1133</v>
      </c>
      <c r="D300">
        <v>89</v>
      </c>
      <c r="E300" t="s">
        <v>49</v>
      </c>
      <c r="F300" t="s">
        <v>50</v>
      </c>
      <c r="G300" t="s">
        <v>51</v>
      </c>
      <c r="H300" t="s">
        <v>52</v>
      </c>
      <c r="I300" t="s">
        <v>53</v>
      </c>
      <c r="J300" t="s">
        <v>54</v>
      </c>
      <c r="K300" t="s">
        <v>55</v>
      </c>
      <c r="L300" t="s">
        <v>17</v>
      </c>
      <c r="M300" t="s">
        <v>16</v>
      </c>
      <c r="N300">
        <v>5439</v>
      </c>
      <c r="O300">
        <v>316</v>
      </c>
      <c r="P300">
        <v>0</v>
      </c>
      <c r="Q300" t="s">
        <v>644</v>
      </c>
      <c r="R300" t="s">
        <v>645</v>
      </c>
      <c r="S300" t="s">
        <v>646</v>
      </c>
      <c r="T300" t="s">
        <v>647</v>
      </c>
      <c r="U300" t="s">
        <v>60</v>
      </c>
      <c r="V300" t="s">
        <v>61</v>
      </c>
      <c r="W300">
        <v>3</v>
      </c>
      <c r="X300">
        <v>0.14000000000000001</v>
      </c>
      <c r="Y300" t="s">
        <v>356</v>
      </c>
      <c r="Z300" t="s">
        <v>648</v>
      </c>
      <c r="AA300">
        <v>4</v>
      </c>
      <c r="AB300" t="s">
        <v>63</v>
      </c>
      <c r="AC300" t="s">
        <v>64</v>
      </c>
      <c r="AD300" t="s">
        <v>65</v>
      </c>
      <c r="AE300" t="s">
        <v>65</v>
      </c>
      <c r="AF300" t="s">
        <v>65</v>
      </c>
      <c r="AG300" t="s">
        <v>191</v>
      </c>
      <c r="AH300" t="s">
        <v>322</v>
      </c>
      <c r="AI300" t="s">
        <v>322</v>
      </c>
      <c r="AJ300" t="s">
        <v>590</v>
      </c>
      <c r="AK300">
        <v>1</v>
      </c>
      <c r="AL300" t="s">
        <v>455</v>
      </c>
      <c r="AM300" t="s">
        <v>456</v>
      </c>
      <c r="AN300" t="s">
        <v>324</v>
      </c>
      <c r="AO300" t="s">
        <v>66</v>
      </c>
      <c r="AP300">
        <v>1</v>
      </c>
      <c r="AQ300" t="s">
        <v>457</v>
      </c>
      <c r="AR300" t="s">
        <v>458</v>
      </c>
      <c r="AS300" t="s">
        <v>459</v>
      </c>
      <c r="AT300" t="s">
        <v>66</v>
      </c>
    </row>
    <row r="301" spans="1:46" x14ac:dyDescent="0.15">
      <c r="A301" t="s">
        <v>1222</v>
      </c>
      <c r="B301" t="s">
        <v>1132</v>
      </c>
      <c r="C301" t="s">
        <v>1133</v>
      </c>
      <c r="D301">
        <v>90</v>
      </c>
      <c r="E301" t="s">
        <v>49</v>
      </c>
      <c r="F301" t="s">
        <v>50</v>
      </c>
      <c r="G301" t="s">
        <v>51</v>
      </c>
      <c r="H301" t="s">
        <v>52</v>
      </c>
      <c r="I301" t="s">
        <v>53</v>
      </c>
      <c r="J301" t="s">
        <v>54</v>
      </c>
      <c r="K301" t="s">
        <v>55</v>
      </c>
      <c r="L301" t="s">
        <v>17</v>
      </c>
      <c r="M301" t="s">
        <v>16</v>
      </c>
      <c r="N301">
        <v>5495</v>
      </c>
      <c r="O301">
        <v>319</v>
      </c>
      <c r="P301">
        <v>0</v>
      </c>
      <c r="Q301" t="s">
        <v>650</v>
      </c>
      <c r="R301" t="s">
        <v>651</v>
      </c>
      <c r="S301" t="s">
        <v>652</v>
      </c>
      <c r="T301" t="s">
        <v>653</v>
      </c>
      <c r="U301" t="s">
        <v>60</v>
      </c>
      <c r="V301" t="s">
        <v>61</v>
      </c>
      <c r="W301">
        <v>3</v>
      </c>
      <c r="X301">
        <v>0.14000000000000001</v>
      </c>
      <c r="Y301" t="s">
        <v>654</v>
      </c>
      <c r="Z301" t="s">
        <v>655</v>
      </c>
      <c r="AA301">
        <v>4</v>
      </c>
      <c r="AB301" t="s">
        <v>63</v>
      </c>
      <c r="AC301" t="s">
        <v>64</v>
      </c>
      <c r="AD301" t="s">
        <v>65</v>
      </c>
      <c r="AE301" t="s">
        <v>65</v>
      </c>
      <c r="AF301" t="s">
        <v>65</v>
      </c>
      <c r="AG301" t="s">
        <v>191</v>
      </c>
      <c r="AH301" t="s">
        <v>322</v>
      </c>
      <c r="AI301" t="s">
        <v>322</v>
      </c>
      <c r="AJ301" t="s">
        <v>590</v>
      </c>
      <c r="AK301">
        <v>1</v>
      </c>
      <c r="AL301" t="s">
        <v>455</v>
      </c>
      <c r="AM301" t="s">
        <v>456</v>
      </c>
      <c r="AN301" t="s">
        <v>324</v>
      </c>
      <c r="AO301" t="s">
        <v>66</v>
      </c>
      <c r="AP301">
        <v>1</v>
      </c>
      <c r="AQ301" t="s">
        <v>457</v>
      </c>
      <c r="AR301" t="s">
        <v>458</v>
      </c>
      <c r="AS301" t="s">
        <v>459</v>
      </c>
      <c r="AT301" t="s">
        <v>66</v>
      </c>
    </row>
    <row r="302" spans="1:46" x14ac:dyDescent="0.15">
      <c r="A302" t="s">
        <v>1223</v>
      </c>
      <c r="B302" t="s">
        <v>1132</v>
      </c>
      <c r="C302" t="s">
        <v>1133</v>
      </c>
      <c r="D302">
        <v>91</v>
      </c>
      <c r="E302" t="s">
        <v>49</v>
      </c>
      <c r="F302" t="s">
        <v>50</v>
      </c>
      <c r="G302" t="s">
        <v>51</v>
      </c>
      <c r="H302" t="s">
        <v>52</v>
      </c>
      <c r="I302" t="s">
        <v>53</v>
      </c>
      <c r="J302" t="s">
        <v>54</v>
      </c>
      <c r="K302" t="s">
        <v>55</v>
      </c>
      <c r="L302" t="s">
        <v>17</v>
      </c>
      <c r="M302" t="s">
        <v>16</v>
      </c>
      <c r="N302">
        <v>5551</v>
      </c>
      <c r="O302">
        <v>322</v>
      </c>
      <c r="P302">
        <v>0</v>
      </c>
      <c r="Q302" t="s">
        <v>657</v>
      </c>
      <c r="R302" t="s">
        <v>658</v>
      </c>
      <c r="S302" t="s">
        <v>659</v>
      </c>
      <c r="T302" t="s">
        <v>660</v>
      </c>
      <c r="U302" t="s">
        <v>60</v>
      </c>
      <c r="V302" t="s">
        <v>61</v>
      </c>
      <c r="W302">
        <v>3</v>
      </c>
      <c r="X302">
        <v>0.14000000000000001</v>
      </c>
      <c r="Y302" t="s">
        <v>363</v>
      </c>
      <c r="Z302" t="s">
        <v>661</v>
      </c>
      <c r="AA302">
        <v>4</v>
      </c>
      <c r="AB302" t="s">
        <v>63</v>
      </c>
      <c r="AC302" t="s">
        <v>64</v>
      </c>
      <c r="AD302" t="s">
        <v>65</v>
      </c>
      <c r="AE302" t="s">
        <v>65</v>
      </c>
      <c r="AF302" t="s">
        <v>65</v>
      </c>
      <c r="AG302" t="s">
        <v>191</v>
      </c>
      <c r="AH302" t="s">
        <v>322</v>
      </c>
      <c r="AI302" t="s">
        <v>322</v>
      </c>
      <c r="AJ302" t="s">
        <v>590</v>
      </c>
      <c r="AK302">
        <v>1</v>
      </c>
      <c r="AL302" t="s">
        <v>455</v>
      </c>
      <c r="AM302" t="s">
        <v>456</v>
      </c>
      <c r="AN302" t="s">
        <v>324</v>
      </c>
      <c r="AO302" t="s">
        <v>66</v>
      </c>
      <c r="AP302">
        <v>1</v>
      </c>
      <c r="AQ302" t="s">
        <v>457</v>
      </c>
      <c r="AR302" t="s">
        <v>458</v>
      </c>
      <c r="AS302" t="s">
        <v>459</v>
      </c>
      <c r="AT302" t="s">
        <v>66</v>
      </c>
    </row>
    <row r="303" spans="1:46" x14ac:dyDescent="0.15">
      <c r="A303" t="s">
        <v>1224</v>
      </c>
      <c r="B303" t="s">
        <v>1132</v>
      </c>
      <c r="C303" t="s">
        <v>1133</v>
      </c>
      <c r="D303">
        <v>92</v>
      </c>
      <c r="E303" t="s">
        <v>49</v>
      </c>
      <c r="F303" t="s">
        <v>50</v>
      </c>
      <c r="G303" t="s">
        <v>51</v>
      </c>
      <c r="H303" t="s">
        <v>52</v>
      </c>
      <c r="I303" t="s">
        <v>53</v>
      </c>
      <c r="J303" t="s">
        <v>54</v>
      </c>
      <c r="K303" t="s">
        <v>55</v>
      </c>
      <c r="L303" t="s">
        <v>17</v>
      </c>
      <c r="M303" t="s">
        <v>16</v>
      </c>
      <c r="N303">
        <v>5607</v>
      </c>
      <c r="O303">
        <v>326</v>
      </c>
      <c r="P303">
        <v>0</v>
      </c>
      <c r="Q303" t="s">
        <v>663</v>
      </c>
      <c r="R303" t="s">
        <v>664</v>
      </c>
      <c r="S303" t="s">
        <v>665</v>
      </c>
      <c r="T303" t="s">
        <v>666</v>
      </c>
      <c r="U303" t="s">
        <v>60</v>
      </c>
      <c r="V303" t="s">
        <v>61</v>
      </c>
      <c r="W303">
        <v>3</v>
      </c>
      <c r="X303">
        <v>0.14000000000000001</v>
      </c>
      <c r="Y303" t="s">
        <v>667</v>
      </c>
      <c r="Z303" t="s">
        <v>668</v>
      </c>
      <c r="AA303">
        <v>4</v>
      </c>
      <c r="AB303" t="s">
        <v>63</v>
      </c>
      <c r="AC303" t="s">
        <v>64</v>
      </c>
      <c r="AD303" t="s">
        <v>65</v>
      </c>
      <c r="AE303" t="s">
        <v>65</v>
      </c>
      <c r="AF303" t="s">
        <v>65</v>
      </c>
      <c r="AG303" t="s">
        <v>191</v>
      </c>
      <c r="AH303" t="s">
        <v>322</v>
      </c>
      <c r="AI303" t="s">
        <v>322</v>
      </c>
      <c r="AJ303" t="s">
        <v>590</v>
      </c>
      <c r="AK303">
        <v>1</v>
      </c>
      <c r="AL303" t="s">
        <v>455</v>
      </c>
      <c r="AM303" t="s">
        <v>456</v>
      </c>
      <c r="AN303" t="s">
        <v>324</v>
      </c>
      <c r="AO303" t="s">
        <v>66</v>
      </c>
      <c r="AP303">
        <v>1</v>
      </c>
      <c r="AQ303" t="s">
        <v>457</v>
      </c>
      <c r="AR303" t="s">
        <v>458</v>
      </c>
      <c r="AS303" t="s">
        <v>459</v>
      </c>
      <c r="AT303" t="s">
        <v>66</v>
      </c>
    </row>
    <row r="304" spans="1:46" x14ac:dyDescent="0.15">
      <c r="A304" t="s">
        <v>1225</v>
      </c>
      <c r="B304" t="s">
        <v>1132</v>
      </c>
      <c r="C304" t="s">
        <v>1133</v>
      </c>
      <c r="D304">
        <v>93</v>
      </c>
      <c r="E304" t="s">
        <v>49</v>
      </c>
      <c r="F304" t="s">
        <v>50</v>
      </c>
      <c r="G304" t="s">
        <v>51</v>
      </c>
      <c r="H304" t="s">
        <v>52</v>
      </c>
      <c r="I304" t="s">
        <v>53</v>
      </c>
      <c r="J304" t="s">
        <v>54</v>
      </c>
      <c r="K304" t="s">
        <v>55</v>
      </c>
      <c r="L304" t="s">
        <v>17</v>
      </c>
      <c r="M304" t="s">
        <v>16</v>
      </c>
      <c r="N304">
        <v>5663</v>
      </c>
      <c r="O304">
        <v>329</v>
      </c>
      <c r="P304">
        <v>0</v>
      </c>
      <c r="Q304" t="s">
        <v>670</v>
      </c>
      <c r="R304" t="s">
        <v>671</v>
      </c>
      <c r="S304" t="s">
        <v>672</v>
      </c>
      <c r="T304" t="s">
        <v>673</v>
      </c>
      <c r="U304" t="s">
        <v>60</v>
      </c>
      <c r="V304" t="s">
        <v>61</v>
      </c>
      <c r="W304">
        <v>3</v>
      </c>
      <c r="X304">
        <v>0.14000000000000001</v>
      </c>
      <c r="Y304" t="s">
        <v>369</v>
      </c>
      <c r="Z304" t="s">
        <v>674</v>
      </c>
      <c r="AA304">
        <v>4</v>
      </c>
      <c r="AB304" t="s">
        <v>63</v>
      </c>
      <c r="AC304" t="s">
        <v>64</v>
      </c>
      <c r="AD304" t="s">
        <v>65</v>
      </c>
      <c r="AE304" t="s">
        <v>65</v>
      </c>
      <c r="AF304" t="s">
        <v>65</v>
      </c>
      <c r="AG304" t="s">
        <v>191</v>
      </c>
      <c r="AH304" t="s">
        <v>322</v>
      </c>
      <c r="AI304" t="s">
        <v>322</v>
      </c>
      <c r="AJ304" t="s">
        <v>590</v>
      </c>
      <c r="AK304">
        <v>1</v>
      </c>
      <c r="AL304" t="s">
        <v>455</v>
      </c>
      <c r="AM304" t="s">
        <v>456</v>
      </c>
      <c r="AN304" t="s">
        <v>324</v>
      </c>
      <c r="AO304" t="s">
        <v>66</v>
      </c>
      <c r="AP304">
        <v>1</v>
      </c>
      <c r="AQ304" t="s">
        <v>457</v>
      </c>
      <c r="AR304" t="s">
        <v>458</v>
      </c>
      <c r="AS304" t="s">
        <v>459</v>
      </c>
      <c r="AT304" t="s">
        <v>66</v>
      </c>
    </row>
    <row r="305" spans="1:46" x14ac:dyDescent="0.15">
      <c r="A305" t="s">
        <v>1226</v>
      </c>
      <c r="B305" t="s">
        <v>1132</v>
      </c>
      <c r="C305" t="s">
        <v>1133</v>
      </c>
      <c r="D305">
        <v>94</v>
      </c>
      <c r="E305" t="s">
        <v>49</v>
      </c>
      <c r="F305" t="s">
        <v>50</v>
      </c>
      <c r="G305" t="s">
        <v>51</v>
      </c>
      <c r="H305" t="s">
        <v>52</v>
      </c>
      <c r="I305" t="s">
        <v>53</v>
      </c>
      <c r="J305" t="s">
        <v>54</v>
      </c>
      <c r="K305" t="s">
        <v>55</v>
      </c>
      <c r="L305" t="s">
        <v>17</v>
      </c>
      <c r="M305" t="s">
        <v>16</v>
      </c>
      <c r="N305">
        <v>5719</v>
      </c>
      <c r="O305">
        <v>332</v>
      </c>
      <c r="P305">
        <v>0</v>
      </c>
      <c r="Q305" t="s">
        <v>676</v>
      </c>
      <c r="R305" t="s">
        <v>677</v>
      </c>
      <c r="S305" t="s">
        <v>678</v>
      </c>
      <c r="T305" t="s">
        <v>679</v>
      </c>
      <c r="U305" t="s">
        <v>60</v>
      </c>
      <c r="V305" t="s">
        <v>61</v>
      </c>
      <c r="W305">
        <v>3</v>
      </c>
      <c r="X305">
        <v>0.14000000000000001</v>
      </c>
      <c r="Y305" t="s">
        <v>680</v>
      </c>
      <c r="Z305" t="s">
        <v>681</v>
      </c>
      <c r="AA305">
        <v>4</v>
      </c>
      <c r="AB305" t="s">
        <v>63</v>
      </c>
      <c r="AC305" t="s">
        <v>64</v>
      </c>
      <c r="AD305" t="s">
        <v>65</v>
      </c>
      <c r="AE305" t="s">
        <v>65</v>
      </c>
      <c r="AF305" t="s">
        <v>65</v>
      </c>
      <c r="AG305" t="s">
        <v>191</v>
      </c>
      <c r="AH305" t="s">
        <v>322</v>
      </c>
      <c r="AI305" t="s">
        <v>322</v>
      </c>
      <c r="AJ305" t="s">
        <v>590</v>
      </c>
      <c r="AK305">
        <v>1</v>
      </c>
      <c r="AL305" t="s">
        <v>455</v>
      </c>
      <c r="AM305" t="s">
        <v>456</v>
      </c>
      <c r="AN305" t="s">
        <v>324</v>
      </c>
      <c r="AO305" t="s">
        <v>66</v>
      </c>
      <c r="AP305">
        <v>1</v>
      </c>
      <c r="AQ305" t="s">
        <v>457</v>
      </c>
      <c r="AR305" t="s">
        <v>458</v>
      </c>
      <c r="AS305" t="s">
        <v>459</v>
      </c>
      <c r="AT305" t="s">
        <v>66</v>
      </c>
    </row>
    <row r="306" spans="1:46" x14ac:dyDescent="0.15">
      <c r="A306" t="s">
        <v>1227</v>
      </c>
      <c r="B306" t="s">
        <v>1132</v>
      </c>
      <c r="C306" t="s">
        <v>1133</v>
      </c>
      <c r="D306">
        <v>95</v>
      </c>
      <c r="E306" t="s">
        <v>49</v>
      </c>
      <c r="F306" t="s">
        <v>50</v>
      </c>
      <c r="G306" t="s">
        <v>51</v>
      </c>
      <c r="H306" t="s">
        <v>52</v>
      </c>
      <c r="I306" t="s">
        <v>53</v>
      </c>
      <c r="J306" t="s">
        <v>54</v>
      </c>
      <c r="K306" t="s">
        <v>55</v>
      </c>
      <c r="L306" t="s">
        <v>17</v>
      </c>
      <c r="M306" t="s">
        <v>16</v>
      </c>
      <c r="N306">
        <v>5776</v>
      </c>
      <c r="O306">
        <v>335</v>
      </c>
      <c r="P306">
        <v>0</v>
      </c>
      <c r="Q306" t="s">
        <v>683</v>
      </c>
      <c r="R306" t="s">
        <v>684</v>
      </c>
      <c r="S306" t="s">
        <v>685</v>
      </c>
      <c r="T306" t="s">
        <v>686</v>
      </c>
      <c r="U306" t="s">
        <v>60</v>
      </c>
      <c r="V306" t="s">
        <v>61</v>
      </c>
      <c r="W306">
        <v>3</v>
      </c>
      <c r="X306">
        <v>0.14000000000000001</v>
      </c>
      <c r="Y306" t="s">
        <v>376</v>
      </c>
      <c r="Z306" t="s">
        <v>687</v>
      </c>
      <c r="AA306">
        <v>4</v>
      </c>
      <c r="AB306" t="s">
        <v>63</v>
      </c>
      <c r="AC306" t="s">
        <v>64</v>
      </c>
      <c r="AD306" t="s">
        <v>65</v>
      </c>
      <c r="AE306" t="s">
        <v>65</v>
      </c>
      <c r="AF306" t="s">
        <v>65</v>
      </c>
      <c r="AG306" t="s">
        <v>191</v>
      </c>
      <c r="AH306" t="s">
        <v>322</v>
      </c>
      <c r="AI306" t="s">
        <v>322</v>
      </c>
      <c r="AJ306" t="s">
        <v>590</v>
      </c>
      <c r="AK306">
        <v>1</v>
      </c>
      <c r="AL306" t="s">
        <v>455</v>
      </c>
      <c r="AM306" t="s">
        <v>456</v>
      </c>
      <c r="AN306" t="s">
        <v>324</v>
      </c>
      <c r="AO306" t="s">
        <v>66</v>
      </c>
      <c r="AP306">
        <v>1</v>
      </c>
      <c r="AQ306" t="s">
        <v>457</v>
      </c>
      <c r="AR306" t="s">
        <v>458</v>
      </c>
      <c r="AS306" t="s">
        <v>459</v>
      </c>
      <c r="AT306" t="s">
        <v>66</v>
      </c>
    </row>
    <row r="307" spans="1:46" x14ac:dyDescent="0.15">
      <c r="A307" t="s">
        <v>1228</v>
      </c>
      <c r="B307" t="s">
        <v>1132</v>
      </c>
      <c r="C307" t="s">
        <v>1133</v>
      </c>
      <c r="D307">
        <v>96</v>
      </c>
      <c r="E307" t="s">
        <v>49</v>
      </c>
      <c r="F307" t="s">
        <v>50</v>
      </c>
      <c r="G307" t="s">
        <v>51</v>
      </c>
      <c r="H307" t="s">
        <v>52</v>
      </c>
      <c r="I307" t="s">
        <v>53</v>
      </c>
      <c r="J307" t="s">
        <v>54</v>
      </c>
      <c r="K307" t="s">
        <v>55</v>
      </c>
      <c r="L307" t="s">
        <v>17</v>
      </c>
      <c r="M307" t="s">
        <v>16</v>
      </c>
      <c r="N307">
        <v>5832</v>
      </c>
      <c r="O307">
        <v>339</v>
      </c>
      <c r="P307">
        <v>0</v>
      </c>
      <c r="Q307" t="s">
        <v>689</v>
      </c>
      <c r="R307" t="s">
        <v>690</v>
      </c>
      <c r="S307" t="s">
        <v>691</v>
      </c>
      <c r="T307" t="s">
        <v>692</v>
      </c>
      <c r="U307" t="s">
        <v>60</v>
      </c>
      <c r="V307" t="s">
        <v>61</v>
      </c>
      <c r="W307">
        <v>3</v>
      </c>
      <c r="X307">
        <v>0.14000000000000001</v>
      </c>
      <c r="Y307" t="s">
        <v>693</v>
      </c>
      <c r="Z307" t="s">
        <v>694</v>
      </c>
      <c r="AA307">
        <v>4</v>
      </c>
      <c r="AB307" t="s">
        <v>63</v>
      </c>
      <c r="AC307" t="s">
        <v>64</v>
      </c>
      <c r="AD307" t="s">
        <v>65</v>
      </c>
      <c r="AE307" t="s">
        <v>65</v>
      </c>
      <c r="AF307" t="s">
        <v>65</v>
      </c>
      <c r="AG307" t="s">
        <v>191</v>
      </c>
      <c r="AH307" t="s">
        <v>322</v>
      </c>
      <c r="AI307" t="s">
        <v>322</v>
      </c>
      <c r="AJ307" t="s">
        <v>590</v>
      </c>
      <c r="AK307">
        <v>1</v>
      </c>
      <c r="AL307" t="s">
        <v>455</v>
      </c>
      <c r="AM307" t="s">
        <v>456</v>
      </c>
      <c r="AN307" t="s">
        <v>324</v>
      </c>
      <c r="AO307" t="s">
        <v>66</v>
      </c>
      <c r="AP307">
        <v>1</v>
      </c>
      <c r="AQ307" t="s">
        <v>457</v>
      </c>
      <c r="AR307" t="s">
        <v>458</v>
      </c>
      <c r="AS307" t="s">
        <v>459</v>
      </c>
      <c r="AT307" t="s">
        <v>66</v>
      </c>
    </row>
    <row r="308" spans="1:46" x14ac:dyDescent="0.15">
      <c r="A308" t="s">
        <v>1229</v>
      </c>
      <c r="B308" t="s">
        <v>1132</v>
      </c>
      <c r="C308" t="s">
        <v>1133</v>
      </c>
      <c r="D308">
        <v>97</v>
      </c>
      <c r="E308" t="s">
        <v>49</v>
      </c>
      <c r="F308" t="s">
        <v>50</v>
      </c>
      <c r="G308" t="s">
        <v>51</v>
      </c>
      <c r="H308" t="s">
        <v>52</v>
      </c>
      <c r="I308" t="s">
        <v>53</v>
      </c>
      <c r="J308" t="s">
        <v>54</v>
      </c>
      <c r="K308" t="s">
        <v>55</v>
      </c>
      <c r="L308" t="s">
        <v>17</v>
      </c>
      <c r="M308" t="s">
        <v>16</v>
      </c>
      <c r="N308">
        <v>5888</v>
      </c>
      <c r="O308">
        <v>342</v>
      </c>
      <c r="P308">
        <v>0</v>
      </c>
      <c r="Q308" t="s">
        <v>696</v>
      </c>
      <c r="R308" t="s">
        <v>697</v>
      </c>
      <c r="S308" t="s">
        <v>698</v>
      </c>
      <c r="T308" t="s">
        <v>699</v>
      </c>
      <c r="U308" t="s">
        <v>60</v>
      </c>
      <c r="V308" t="s">
        <v>61</v>
      </c>
      <c r="W308">
        <v>3</v>
      </c>
      <c r="X308">
        <v>0.14000000000000001</v>
      </c>
      <c r="Y308" t="s">
        <v>382</v>
      </c>
      <c r="Z308" t="s">
        <v>700</v>
      </c>
      <c r="AA308">
        <v>4</v>
      </c>
      <c r="AB308" t="s">
        <v>63</v>
      </c>
      <c r="AC308" t="s">
        <v>64</v>
      </c>
      <c r="AD308" t="s">
        <v>65</v>
      </c>
      <c r="AE308" t="s">
        <v>65</v>
      </c>
      <c r="AF308" t="s">
        <v>65</v>
      </c>
      <c r="AG308" t="s">
        <v>191</v>
      </c>
      <c r="AH308" t="s">
        <v>322</v>
      </c>
      <c r="AI308" t="s">
        <v>322</v>
      </c>
      <c r="AJ308" t="s">
        <v>590</v>
      </c>
      <c r="AK308">
        <v>1</v>
      </c>
      <c r="AL308" t="s">
        <v>455</v>
      </c>
      <c r="AM308" t="s">
        <v>456</v>
      </c>
      <c r="AN308" t="s">
        <v>324</v>
      </c>
      <c r="AO308" t="s">
        <v>66</v>
      </c>
      <c r="AP308">
        <v>1</v>
      </c>
      <c r="AQ308" t="s">
        <v>457</v>
      </c>
      <c r="AR308" t="s">
        <v>458</v>
      </c>
      <c r="AS308" t="s">
        <v>459</v>
      </c>
      <c r="AT308" t="s">
        <v>66</v>
      </c>
    </row>
    <row r="309" spans="1:46" x14ac:dyDescent="0.15">
      <c r="A309" t="s">
        <v>1230</v>
      </c>
      <c r="B309" t="s">
        <v>1132</v>
      </c>
      <c r="C309" t="s">
        <v>1133</v>
      </c>
      <c r="D309">
        <v>98</v>
      </c>
      <c r="E309" t="s">
        <v>49</v>
      </c>
      <c r="F309" t="s">
        <v>50</v>
      </c>
      <c r="G309" t="s">
        <v>51</v>
      </c>
      <c r="H309" t="s">
        <v>52</v>
      </c>
      <c r="I309" t="s">
        <v>53</v>
      </c>
      <c r="J309" t="s">
        <v>54</v>
      </c>
      <c r="K309" t="s">
        <v>55</v>
      </c>
      <c r="L309" t="s">
        <v>17</v>
      </c>
      <c r="M309" t="s">
        <v>16</v>
      </c>
      <c r="N309">
        <v>5944</v>
      </c>
      <c r="O309">
        <v>345</v>
      </c>
      <c r="P309">
        <v>0</v>
      </c>
      <c r="Q309" t="s">
        <v>702</v>
      </c>
      <c r="R309" t="s">
        <v>703</v>
      </c>
      <c r="S309" t="s">
        <v>704</v>
      </c>
      <c r="T309" t="s">
        <v>705</v>
      </c>
      <c r="U309" t="s">
        <v>60</v>
      </c>
      <c r="V309" t="s">
        <v>61</v>
      </c>
      <c r="W309">
        <v>3</v>
      </c>
      <c r="X309">
        <v>0.14000000000000001</v>
      </c>
      <c r="Y309" t="s">
        <v>706</v>
      </c>
      <c r="Z309" t="s">
        <v>707</v>
      </c>
      <c r="AA309">
        <v>4</v>
      </c>
      <c r="AB309" t="s">
        <v>63</v>
      </c>
      <c r="AC309" t="s">
        <v>64</v>
      </c>
      <c r="AD309" t="s">
        <v>65</v>
      </c>
      <c r="AE309" t="s">
        <v>65</v>
      </c>
      <c r="AF309" t="s">
        <v>65</v>
      </c>
      <c r="AG309" t="s">
        <v>191</v>
      </c>
      <c r="AH309" t="s">
        <v>322</v>
      </c>
      <c r="AI309" t="s">
        <v>322</v>
      </c>
      <c r="AJ309" t="s">
        <v>590</v>
      </c>
      <c r="AK309">
        <v>1</v>
      </c>
      <c r="AL309" t="s">
        <v>455</v>
      </c>
      <c r="AM309" t="s">
        <v>456</v>
      </c>
      <c r="AN309" t="s">
        <v>324</v>
      </c>
      <c r="AO309" t="s">
        <v>66</v>
      </c>
      <c r="AP309">
        <v>1</v>
      </c>
      <c r="AQ309" t="s">
        <v>457</v>
      </c>
      <c r="AR309" t="s">
        <v>458</v>
      </c>
      <c r="AS309" t="s">
        <v>459</v>
      </c>
      <c r="AT309" t="s">
        <v>66</v>
      </c>
    </row>
    <row r="310" spans="1:46" x14ac:dyDescent="0.15">
      <c r="A310" t="s">
        <v>1231</v>
      </c>
      <c r="B310" t="s">
        <v>1132</v>
      </c>
      <c r="C310" t="s">
        <v>1133</v>
      </c>
      <c r="D310">
        <v>99</v>
      </c>
      <c r="E310" t="s">
        <v>49</v>
      </c>
      <c r="F310" t="s">
        <v>50</v>
      </c>
      <c r="G310" t="s">
        <v>51</v>
      </c>
      <c r="H310" t="s">
        <v>52</v>
      </c>
      <c r="I310" t="s">
        <v>53</v>
      </c>
      <c r="J310" t="s">
        <v>54</v>
      </c>
      <c r="K310" t="s">
        <v>55</v>
      </c>
      <c r="L310" t="s">
        <v>17</v>
      </c>
      <c r="M310" t="s">
        <v>16</v>
      </c>
      <c r="N310">
        <v>6000</v>
      </c>
      <c r="O310">
        <v>348</v>
      </c>
      <c r="P310">
        <v>0</v>
      </c>
      <c r="Q310" t="s">
        <v>709</v>
      </c>
      <c r="R310" t="s">
        <v>710</v>
      </c>
      <c r="S310" t="s">
        <v>711</v>
      </c>
      <c r="T310" t="s">
        <v>712</v>
      </c>
      <c r="U310" t="s">
        <v>60</v>
      </c>
      <c r="V310" t="s">
        <v>61</v>
      </c>
      <c r="W310">
        <v>3</v>
      </c>
      <c r="X310">
        <v>0.14000000000000001</v>
      </c>
      <c r="Y310" t="s">
        <v>389</v>
      </c>
      <c r="Z310" t="s">
        <v>713</v>
      </c>
      <c r="AA310">
        <v>4</v>
      </c>
      <c r="AB310" t="s">
        <v>63</v>
      </c>
      <c r="AC310" t="s">
        <v>64</v>
      </c>
      <c r="AD310" t="s">
        <v>65</v>
      </c>
      <c r="AE310" t="s">
        <v>65</v>
      </c>
      <c r="AF310" t="s">
        <v>65</v>
      </c>
      <c r="AG310" t="s">
        <v>191</v>
      </c>
      <c r="AH310" t="s">
        <v>322</v>
      </c>
      <c r="AI310" t="s">
        <v>322</v>
      </c>
      <c r="AJ310" t="s">
        <v>590</v>
      </c>
      <c r="AK310">
        <v>1</v>
      </c>
      <c r="AL310" t="s">
        <v>455</v>
      </c>
      <c r="AM310" t="s">
        <v>456</v>
      </c>
      <c r="AN310" t="s">
        <v>324</v>
      </c>
      <c r="AO310" t="s">
        <v>66</v>
      </c>
      <c r="AP310">
        <v>1</v>
      </c>
      <c r="AQ310" t="s">
        <v>457</v>
      </c>
      <c r="AR310" t="s">
        <v>458</v>
      </c>
      <c r="AS310" t="s">
        <v>459</v>
      </c>
      <c r="AT310" t="s">
        <v>66</v>
      </c>
    </row>
    <row r="311" spans="1:46" x14ac:dyDescent="0.15">
      <c r="A311" t="s">
        <v>1232</v>
      </c>
      <c r="B311" t="s">
        <v>1233</v>
      </c>
      <c r="C311" t="s">
        <v>1234</v>
      </c>
      <c r="D311">
        <v>1</v>
      </c>
      <c r="E311" t="s">
        <v>49</v>
      </c>
      <c r="F311" t="s">
        <v>50</v>
      </c>
      <c r="G311" t="s">
        <v>51</v>
      </c>
      <c r="H311" t="s">
        <v>52</v>
      </c>
      <c r="I311" t="s">
        <v>53</v>
      </c>
      <c r="J311" t="s">
        <v>54</v>
      </c>
      <c r="K311" t="s">
        <v>55</v>
      </c>
      <c r="L311" t="s">
        <v>17</v>
      </c>
      <c r="M311" t="s">
        <v>16</v>
      </c>
      <c r="N311">
        <v>500</v>
      </c>
      <c r="O311">
        <v>30</v>
      </c>
      <c r="P311">
        <v>0</v>
      </c>
      <c r="Q311" t="s">
        <v>56</v>
      </c>
      <c r="R311" t="s">
        <v>57</v>
      </c>
      <c r="S311" t="s">
        <v>58</v>
      </c>
      <c r="T311" t="s">
        <v>59</v>
      </c>
      <c r="U311" t="s">
        <v>60</v>
      </c>
      <c r="V311" t="s">
        <v>61</v>
      </c>
      <c r="W311">
        <v>3</v>
      </c>
      <c r="X311">
        <v>0.14000000000000001</v>
      </c>
      <c r="Y311" t="s">
        <v>62</v>
      </c>
      <c r="Z311" t="s">
        <v>62</v>
      </c>
      <c r="AA311">
        <v>0</v>
      </c>
      <c r="AB311" t="s">
        <v>63</v>
      </c>
      <c r="AC311" t="s">
        <v>64</v>
      </c>
      <c r="AD311" t="s">
        <v>65</v>
      </c>
      <c r="AE311" t="s">
        <v>65</v>
      </c>
      <c r="AF311" t="s">
        <v>65</v>
      </c>
      <c r="AG311" t="s">
        <v>66</v>
      </c>
      <c r="AH311" t="s">
        <v>66</v>
      </c>
      <c r="AI311" t="s">
        <v>66</v>
      </c>
      <c r="AJ311" t="s">
        <v>66</v>
      </c>
      <c r="AK311">
        <v>1</v>
      </c>
      <c r="AL311" t="s">
        <v>66</v>
      </c>
      <c r="AM311" t="s">
        <v>66</v>
      </c>
      <c r="AN311" t="s">
        <v>66</v>
      </c>
      <c r="AO311" t="s">
        <v>66</v>
      </c>
      <c r="AP311">
        <v>1</v>
      </c>
      <c r="AQ311" t="s">
        <v>66</v>
      </c>
      <c r="AR311" t="s">
        <v>66</v>
      </c>
      <c r="AS311" t="s">
        <v>66</v>
      </c>
      <c r="AT311" t="s">
        <v>66</v>
      </c>
    </row>
    <row r="312" spans="1:46" x14ac:dyDescent="0.15">
      <c r="A312" t="s">
        <v>1235</v>
      </c>
      <c r="B312" t="s">
        <v>1233</v>
      </c>
      <c r="C312" t="s">
        <v>1234</v>
      </c>
      <c r="D312">
        <v>2</v>
      </c>
      <c r="E312" t="s">
        <v>49</v>
      </c>
      <c r="F312" t="s">
        <v>50</v>
      </c>
      <c r="G312" t="s">
        <v>51</v>
      </c>
      <c r="H312" t="s">
        <v>52</v>
      </c>
      <c r="I312" t="s">
        <v>53</v>
      </c>
      <c r="J312" t="s">
        <v>54</v>
      </c>
      <c r="K312" t="s">
        <v>55</v>
      </c>
      <c r="L312" t="s">
        <v>17</v>
      </c>
      <c r="M312" t="s">
        <v>16</v>
      </c>
      <c r="N312">
        <v>556</v>
      </c>
      <c r="O312">
        <v>33</v>
      </c>
      <c r="P312">
        <v>0</v>
      </c>
      <c r="Q312" t="s">
        <v>68</v>
      </c>
      <c r="R312" t="s">
        <v>69</v>
      </c>
      <c r="S312" t="s">
        <v>70</v>
      </c>
      <c r="T312" t="s">
        <v>71</v>
      </c>
      <c r="U312" t="s">
        <v>60</v>
      </c>
      <c r="V312" t="s">
        <v>61</v>
      </c>
      <c r="W312">
        <v>3</v>
      </c>
      <c r="X312">
        <v>0.14000000000000001</v>
      </c>
      <c r="Y312" t="s">
        <v>72</v>
      </c>
      <c r="Z312" t="s">
        <v>73</v>
      </c>
      <c r="AA312">
        <v>0</v>
      </c>
      <c r="AB312" t="s">
        <v>63</v>
      </c>
      <c r="AC312" t="s">
        <v>64</v>
      </c>
      <c r="AD312" t="s">
        <v>65</v>
      </c>
      <c r="AE312" t="s">
        <v>65</v>
      </c>
      <c r="AF312" t="s">
        <v>65</v>
      </c>
      <c r="AG312" t="s">
        <v>66</v>
      </c>
      <c r="AH312" t="s">
        <v>66</v>
      </c>
      <c r="AI312" t="s">
        <v>66</v>
      </c>
      <c r="AJ312" t="s">
        <v>66</v>
      </c>
      <c r="AK312">
        <v>1</v>
      </c>
      <c r="AL312" t="s">
        <v>66</v>
      </c>
      <c r="AM312" t="s">
        <v>66</v>
      </c>
      <c r="AN312" t="s">
        <v>66</v>
      </c>
      <c r="AO312" t="s">
        <v>66</v>
      </c>
      <c r="AP312">
        <v>1</v>
      </c>
      <c r="AQ312" t="s">
        <v>66</v>
      </c>
      <c r="AR312" t="s">
        <v>66</v>
      </c>
      <c r="AS312" t="s">
        <v>66</v>
      </c>
      <c r="AT312" t="s">
        <v>66</v>
      </c>
    </row>
    <row r="313" spans="1:46" x14ac:dyDescent="0.15">
      <c r="A313" t="s">
        <v>1236</v>
      </c>
      <c r="B313" t="s">
        <v>1233</v>
      </c>
      <c r="C313" t="s">
        <v>1234</v>
      </c>
      <c r="D313">
        <v>3</v>
      </c>
      <c r="E313" t="s">
        <v>49</v>
      </c>
      <c r="F313" t="s">
        <v>50</v>
      </c>
      <c r="G313" t="s">
        <v>51</v>
      </c>
      <c r="H313" t="s">
        <v>52</v>
      </c>
      <c r="I313" t="s">
        <v>53</v>
      </c>
      <c r="J313" t="s">
        <v>54</v>
      </c>
      <c r="K313" t="s">
        <v>55</v>
      </c>
      <c r="L313" t="s">
        <v>17</v>
      </c>
      <c r="M313" t="s">
        <v>16</v>
      </c>
      <c r="N313">
        <v>612</v>
      </c>
      <c r="O313">
        <v>36</v>
      </c>
      <c r="P313">
        <v>0</v>
      </c>
      <c r="Q313" t="s">
        <v>75</v>
      </c>
      <c r="R313" t="s">
        <v>76</v>
      </c>
      <c r="S313" t="s">
        <v>77</v>
      </c>
      <c r="T313" t="s">
        <v>78</v>
      </c>
      <c r="U313" t="s">
        <v>60</v>
      </c>
      <c r="V313" t="s">
        <v>61</v>
      </c>
      <c r="W313">
        <v>3</v>
      </c>
      <c r="X313">
        <v>0.14000000000000001</v>
      </c>
      <c r="Y313" t="s">
        <v>73</v>
      </c>
      <c r="Z313" t="s">
        <v>79</v>
      </c>
      <c r="AA313">
        <v>0</v>
      </c>
      <c r="AB313" t="s">
        <v>63</v>
      </c>
      <c r="AC313" t="s">
        <v>64</v>
      </c>
      <c r="AD313" t="s">
        <v>65</v>
      </c>
      <c r="AE313" t="s">
        <v>65</v>
      </c>
      <c r="AF313" t="s">
        <v>65</v>
      </c>
      <c r="AG313" t="s">
        <v>66</v>
      </c>
      <c r="AH313" t="s">
        <v>66</v>
      </c>
      <c r="AI313" t="s">
        <v>66</v>
      </c>
      <c r="AJ313" t="s">
        <v>66</v>
      </c>
      <c r="AK313">
        <v>1</v>
      </c>
      <c r="AL313" t="s">
        <v>66</v>
      </c>
      <c r="AM313" t="s">
        <v>66</v>
      </c>
      <c r="AN313" t="s">
        <v>66</v>
      </c>
      <c r="AO313" t="s">
        <v>66</v>
      </c>
      <c r="AP313">
        <v>1</v>
      </c>
      <c r="AQ313" t="s">
        <v>66</v>
      </c>
      <c r="AR313" t="s">
        <v>66</v>
      </c>
      <c r="AS313" t="s">
        <v>66</v>
      </c>
      <c r="AT313" t="s">
        <v>66</v>
      </c>
    </row>
    <row r="314" spans="1:46" x14ac:dyDescent="0.15">
      <c r="A314" t="s">
        <v>1237</v>
      </c>
      <c r="B314" t="s">
        <v>1233</v>
      </c>
      <c r="C314" t="s">
        <v>1234</v>
      </c>
      <c r="D314">
        <v>4</v>
      </c>
      <c r="E314" t="s">
        <v>49</v>
      </c>
      <c r="F314" t="s">
        <v>50</v>
      </c>
      <c r="G314" t="s">
        <v>51</v>
      </c>
      <c r="H314" t="s">
        <v>52</v>
      </c>
      <c r="I314" t="s">
        <v>53</v>
      </c>
      <c r="J314" t="s">
        <v>54</v>
      </c>
      <c r="K314" t="s">
        <v>55</v>
      </c>
      <c r="L314" t="s">
        <v>17</v>
      </c>
      <c r="M314" t="s">
        <v>16</v>
      </c>
      <c r="N314">
        <v>668</v>
      </c>
      <c r="O314">
        <v>40</v>
      </c>
      <c r="P314">
        <v>0</v>
      </c>
      <c r="Q314" t="s">
        <v>81</v>
      </c>
      <c r="R314" t="s">
        <v>82</v>
      </c>
      <c r="S314" t="s">
        <v>83</v>
      </c>
      <c r="T314" t="s">
        <v>84</v>
      </c>
      <c r="U314" t="s">
        <v>60</v>
      </c>
      <c r="V314" t="s">
        <v>61</v>
      </c>
      <c r="W314">
        <v>3</v>
      </c>
      <c r="X314">
        <v>0.14000000000000001</v>
      </c>
      <c r="Y314" t="s">
        <v>85</v>
      </c>
      <c r="Z314" t="s">
        <v>86</v>
      </c>
      <c r="AA314">
        <v>0</v>
      </c>
      <c r="AB314" t="s">
        <v>63</v>
      </c>
      <c r="AC314" t="s">
        <v>64</v>
      </c>
      <c r="AD314" t="s">
        <v>65</v>
      </c>
      <c r="AE314" t="s">
        <v>65</v>
      </c>
      <c r="AF314" t="s">
        <v>65</v>
      </c>
      <c r="AG314" t="s">
        <v>66</v>
      </c>
      <c r="AH314" t="s">
        <v>66</v>
      </c>
      <c r="AI314" t="s">
        <v>66</v>
      </c>
      <c r="AJ314" t="s">
        <v>66</v>
      </c>
      <c r="AK314">
        <v>1</v>
      </c>
      <c r="AL314" t="s">
        <v>66</v>
      </c>
      <c r="AM314" t="s">
        <v>66</v>
      </c>
      <c r="AN314" t="s">
        <v>66</v>
      </c>
      <c r="AO314" t="s">
        <v>66</v>
      </c>
      <c r="AP314">
        <v>1</v>
      </c>
      <c r="AQ314" t="s">
        <v>66</v>
      </c>
      <c r="AR314" t="s">
        <v>66</v>
      </c>
      <c r="AS314" t="s">
        <v>66</v>
      </c>
      <c r="AT314" t="s">
        <v>66</v>
      </c>
    </row>
    <row r="315" spans="1:46" x14ac:dyDescent="0.15">
      <c r="A315" t="s">
        <v>1238</v>
      </c>
      <c r="B315" t="s">
        <v>1233</v>
      </c>
      <c r="C315" t="s">
        <v>1234</v>
      </c>
      <c r="D315">
        <v>5</v>
      </c>
      <c r="E315" t="s">
        <v>49</v>
      </c>
      <c r="F315" t="s">
        <v>50</v>
      </c>
      <c r="G315" t="s">
        <v>51</v>
      </c>
      <c r="H315" t="s">
        <v>52</v>
      </c>
      <c r="I315" t="s">
        <v>53</v>
      </c>
      <c r="J315" t="s">
        <v>54</v>
      </c>
      <c r="K315" t="s">
        <v>55</v>
      </c>
      <c r="L315" t="s">
        <v>17</v>
      </c>
      <c r="M315" t="s">
        <v>16</v>
      </c>
      <c r="N315">
        <v>724</v>
      </c>
      <c r="O315">
        <v>43</v>
      </c>
      <c r="P315">
        <v>0</v>
      </c>
      <c r="Q315" t="s">
        <v>88</v>
      </c>
      <c r="R315" t="s">
        <v>89</v>
      </c>
      <c r="S315" t="s">
        <v>90</v>
      </c>
      <c r="T315" t="s">
        <v>91</v>
      </c>
      <c r="U315" t="s">
        <v>60</v>
      </c>
      <c r="V315" t="s">
        <v>61</v>
      </c>
      <c r="W315">
        <v>3</v>
      </c>
      <c r="X315">
        <v>0.14000000000000001</v>
      </c>
      <c r="Y315" t="s">
        <v>79</v>
      </c>
      <c r="Z315" t="s">
        <v>92</v>
      </c>
      <c r="AA315">
        <v>0</v>
      </c>
      <c r="AB315" t="s">
        <v>63</v>
      </c>
      <c r="AC315" t="s">
        <v>64</v>
      </c>
      <c r="AD315" t="s">
        <v>65</v>
      </c>
      <c r="AE315" t="s">
        <v>65</v>
      </c>
      <c r="AF315" t="s">
        <v>65</v>
      </c>
      <c r="AG315" t="s">
        <v>66</v>
      </c>
      <c r="AH315" t="s">
        <v>66</v>
      </c>
      <c r="AI315" t="s">
        <v>66</v>
      </c>
      <c r="AJ315" t="s">
        <v>66</v>
      </c>
      <c r="AK315">
        <v>1</v>
      </c>
      <c r="AL315" t="s">
        <v>66</v>
      </c>
      <c r="AM315" t="s">
        <v>66</v>
      </c>
      <c r="AN315" t="s">
        <v>66</v>
      </c>
      <c r="AO315" t="s">
        <v>66</v>
      </c>
      <c r="AP315">
        <v>1</v>
      </c>
      <c r="AQ315" t="s">
        <v>66</v>
      </c>
      <c r="AR315" t="s">
        <v>66</v>
      </c>
      <c r="AS315" t="s">
        <v>66</v>
      </c>
      <c r="AT315" t="s">
        <v>66</v>
      </c>
    </row>
    <row r="316" spans="1:46" x14ac:dyDescent="0.15">
      <c r="A316" t="s">
        <v>1239</v>
      </c>
      <c r="B316" t="s">
        <v>1233</v>
      </c>
      <c r="C316" t="s">
        <v>1234</v>
      </c>
      <c r="D316">
        <v>6</v>
      </c>
      <c r="E316" t="s">
        <v>49</v>
      </c>
      <c r="F316" t="s">
        <v>50</v>
      </c>
      <c r="G316" t="s">
        <v>51</v>
      </c>
      <c r="H316" t="s">
        <v>52</v>
      </c>
      <c r="I316" t="s">
        <v>53</v>
      </c>
      <c r="J316" t="s">
        <v>54</v>
      </c>
      <c r="K316" t="s">
        <v>55</v>
      </c>
      <c r="L316" t="s">
        <v>17</v>
      </c>
      <c r="M316" t="s">
        <v>16</v>
      </c>
      <c r="N316">
        <v>781</v>
      </c>
      <c r="O316">
        <v>46</v>
      </c>
      <c r="P316">
        <v>0</v>
      </c>
      <c r="Q316" t="s">
        <v>94</v>
      </c>
      <c r="R316" t="s">
        <v>95</v>
      </c>
      <c r="S316" t="s">
        <v>96</v>
      </c>
      <c r="T316" t="s">
        <v>97</v>
      </c>
      <c r="U316" t="s">
        <v>60</v>
      </c>
      <c r="V316" t="s">
        <v>61</v>
      </c>
      <c r="W316">
        <v>3</v>
      </c>
      <c r="X316">
        <v>0.14000000000000001</v>
      </c>
      <c r="Y316" t="s">
        <v>98</v>
      </c>
      <c r="Z316" t="s">
        <v>99</v>
      </c>
      <c r="AA316">
        <v>0</v>
      </c>
      <c r="AB316" t="s">
        <v>63</v>
      </c>
      <c r="AC316" t="s">
        <v>64</v>
      </c>
      <c r="AD316" t="s">
        <v>65</v>
      </c>
      <c r="AE316" t="s">
        <v>65</v>
      </c>
      <c r="AF316" t="s">
        <v>65</v>
      </c>
      <c r="AG316" t="s">
        <v>66</v>
      </c>
      <c r="AH316" t="s">
        <v>66</v>
      </c>
      <c r="AI316" t="s">
        <v>66</v>
      </c>
      <c r="AJ316" t="s">
        <v>66</v>
      </c>
      <c r="AK316">
        <v>1</v>
      </c>
      <c r="AL316" t="s">
        <v>66</v>
      </c>
      <c r="AM316" t="s">
        <v>66</v>
      </c>
      <c r="AN316" t="s">
        <v>66</v>
      </c>
      <c r="AO316" t="s">
        <v>66</v>
      </c>
      <c r="AP316">
        <v>1</v>
      </c>
      <c r="AQ316" t="s">
        <v>66</v>
      </c>
      <c r="AR316" t="s">
        <v>66</v>
      </c>
      <c r="AS316" t="s">
        <v>66</v>
      </c>
      <c r="AT316" t="s">
        <v>66</v>
      </c>
    </row>
    <row r="317" spans="1:46" x14ac:dyDescent="0.15">
      <c r="A317" t="s">
        <v>1240</v>
      </c>
      <c r="B317" t="s">
        <v>1233</v>
      </c>
      <c r="C317" t="s">
        <v>1234</v>
      </c>
      <c r="D317">
        <v>7</v>
      </c>
      <c r="E317" t="s">
        <v>49</v>
      </c>
      <c r="F317" t="s">
        <v>50</v>
      </c>
      <c r="G317" t="s">
        <v>51</v>
      </c>
      <c r="H317" t="s">
        <v>52</v>
      </c>
      <c r="I317" t="s">
        <v>53</v>
      </c>
      <c r="J317" t="s">
        <v>54</v>
      </c>
      <c r="K317" t="s">
        <v>55</v>
      </c>
      <c r="L317" t="s">
        <v>17</v>
      </c>
      <c r="M317" t="s">
        <v>16</v>
      </c>
      <c r="N317">
        <v>837</v>
      </c>
      <c r="O317">
        <v>49</v>
      </c>
      <c r="P317">
        <v>0</v>
      </c>
      <c r="Q317" t="s">
        <v>101</v>
      </c>
      <c r="R317" t="s">
        <v>102</v>
      </c>
      <c r="S317" t="s">
        <v>103</v>
      </c>
      <c r="T317" t="s">
        <v>104</v>
      </c>
      <c r="U317" t="s">
        <v>60</v>
      </c>
      <c r="V317" t="s">
        <v>61</v>
      </c>
      <c r="W317">
        <v>3</v>
      </c>
      <c r="X317">
        <v>0.14000000000000001</v>
      </c>
      <c r="Y317" t="s">
        <v>86</v>
      </c>
      <c r="Z317" t="s">
        <v>105</v>
      </c>
      <c r="AA317">
        <v>0</v>
      </c>
      <c r="AB317" t="s">
        <v>63</v>
      </c>
      <c r="AC317" t="s">
        <v>64</v>
      </c>
      <c r="AD317" t="s">
        <v>65</v>
      </c>
      <c r="AE317" t="s">
        <v>65</v>
      </c>
      <c r="AF317" t="s">
        <v>65</v>
      </c>
      <c r="AG317" t="s">
        <v>66</v>
      </c>
      <c r="AH317" t="s">
        <v>66</v>
      </c>
      <c r="AI317" t="s">
        <v>66</v>
      </c>
      <c r="AJ317" t="s">
        <v>66</v>
      </c>
      <c r="AK317">
        <v>1</v>
      </c>
      <c r="AL317" t="s">
        <v>66</v>
      </c>
      <c r="AM317" t="s">
        <v>66</v>
      </c>
      <c r="AN317" t="s">
        <v>66</v>
      </c>
      <c r="AO317" t="s">
        <v>66</v>
      </c>
      <c r="AP317">
        <v>1</v>
      </c>
      <c r="AQ317" t="s">
        <v>66</v>
      </c>
      <c r="AR317" t="s">
        <v>66</v>
      </c>
      <c r="AS317" t="s">
        <v>66</v>
      </c>
      <c r="AT317" t="s">
        <v>66</v>
      </c>
    </row>
    <row r="318" spans="1:46" x14ac:dyDescent="0.15">
      <c r="A318" t="s">
        <v>1241</v>
      </c>
      <c r="B318" t="s">
        <v>1233</v>
      </c>
      <c r="C318" t="s">
        <v>1234</v>
      </c>
      <c r="D318">
        <v>8</v>
      </c>
      <c r="E318" t="s">
        <v>49</v>
      </c>
      <c r="F318" t="s">
        <v>50</v>
      </c>
      <c r="G318" t="s">
        <v>51</v>
      </c>
      <c r="H318" t="s">
        <v>52</v>
      </c>
      <c r="I318" t="s">
        <v>53</v>
      </c>
      <c r="J318" t="s">
        <v>54</v>
      </c>
      <c r="K318" t="s">
        <v>55</v>
      </c>
      <c r="L318" t="s">
        <v>17</v>
      </c>
      <c r="M318" t="s">
        <v>16</v>
      </c>
      <c r="N318">
        <v>893</v>
      </c>
      <c r="O318">
        <v>53</v>
      </c>
      <c r="P318">
        <v>0</v>
      </c>
      <c r="Q318" t="s">
        <v>107</v>
      </c>
      <c r="R318" t="s">
        <v>108</v>
      </c>
      <c r="S318" t="s">
        <v>109</v>
      </c>
      <c r="T318" t="s">
        <v>110</v>
      </c>
      <c r="U318" t="s">
        <v>60</v>
      </c>
      <c r="V318" t="s">
        <v>61</v>
      </c>
      <c r="W318">
        <v>3</v>
      </c>
      <c r="X318">
        <v>0.14000000000000001</v>
      </c>
      <c r="Y318" t="s">
        <v>111</v>
      </c>
      <c r="Z318" t="s">
        <v>112</v>
      </c>
      <c r="AA318">
        <v>0</v>
      </c>
      <c r="AB318" t="s">
        <v>63</v>
      </c>
      <c r="AC318" t="s">
        <v>64</v>
      </c>
      <c r="AD318" t="s">
        <v>65</v>
      </c>
      <c r="AE318" t="s">
        <v>65</v>
      </c>
      <c r="AF318" t="s">
        <v>65</v>
      </c>
      <c r="AG318" t="s">
        <v>66</v>
      </c>
      <c r="AH318" t="s">
        <v>66</v>
      </c>
      <c r="AI318" t="s">
        <v>66</v>
      </c>
      <c r="AJ318" t="s">
        <v>66</v>
      </c>
      <c r="AK318">
        <v>1</v>
      </c>
      <c r="AL318" t="s">
        <v>66</v>
      </c>
      <c r="AM318" t="s">
        <v>66</v>
      </c>
      <c r="AN318" t="s">
        <v>66</v>
      </c>
      <c r="AO318" t="s">
        <v>66</v>
      </c>
      <c r="AP318">
        <v>1</v>
      </c>
      <c r="AQ318" t="s">
        <v>66</v>
      </c>
      <c r="AR318" t="s">
        <v>66</v>
      </c>
      <c r="AS318" t="s">
        <v>66</v>
      </c>
      <c r="AT318" t="s">
        <v>66</v>
      </c>
    </row>
    <row r="319" spans="1:46" x14ac:dyDescent="0.15">
      <c r="A319" t="s">
        <v>1242</v>
      </c>
      <c r="B319" t="s">
        <v>1233</v>
      </c>
      <c r="C319" t="s">
        <v>1234</v>
      </c>
      <c r="D319">
        <v>9</v>
      </c>
      <c r="E319" t="s">
        <v>49</v>
      </c>
      <c r="F319" t="s">
        <v>50</v>
      </c>
      <c r="G319" t="s">
        <v>51</v>
      </c>
      <c r="H319" t="s">
        <v>52</v>
      </c>
      <c r="I319" t="s">
        <v>53</v>
      </c>
      <c r="J319" t="s">
        <v>54</v>
      </c>
      <c r="K319" t="s">
        <v>55</v>
      </c>
      <c r="L319" t="s">
        <v>17</v>
      </c>
      <c r="M319" t="s">
        <v>16</v>
      </c>
      <c r="N319">
        <v>949</v>
      </c>
      <c r="O319">
        <v>56</v>
      </c>
      <c r="P319">
        <v>0</v>
      </c>
      <c r="Q319" t="s">
        <v>114</v>
      </c>
      <c r="R319" t="s">
        <v>115</v>
      </c>
      <c r="S319" t="s">
        <v>116</v>
      </c>
      <c r="T319" t="s">
        <v>117</v>
      </c>
      <c r="U319" t="s">
        <v>60</v>
      </c>
      <c r="V319" t="s">
        <v>61</v>
      </c>
      <c r="W319">
        <v>3</v>
      </c>
      <c r="X319">
        <v>0.14000000000000001</v>
      </c>
      <c r="Y319" t="s">
        <v>92</v>
      </c>
      <c r="Z319" t="s">
        <v>118</v>
      </c>
      <c r="AA319">
        <v>0</v>
      </c>
      <c r="AB319" t="s">
        <v>63</v>
      </c>
      <c r="AC319" t="s">
        <v>64</v>
      </c>
      <c r="AD319" t="s">
        <v>65</v>
      </c>
      <c r="AE319" t="s">
        <v>65</v>
      </c>
      <c r="AF319" t="s">
        <v>65</v>
      </c>
      <c r="AG319" t="s">
        <v>66</v>
      </c>
      <c r="AH319" t="s">
        <v>66</v>
      </c>
      <c r="AI319" t="s">
        <v>66</v>
      </c>
      <c r="AJ319" t="s">
        <v>66</v>
      </c>
      <c r="AK319">
        <v>1</v>
      </c>
      <c r="AL319" t="s">
        <v>66</v>
      </c>
      <c r="AM319" t="s">
        <v>66</v>
      </c>
      <c r="AN319" t="s">
        <v>66</v>
      </c>
      <c r="AO319" t="s">
        <v>66</v>
      </c>
      <c r="AP319">
        <v>1</v>
      </c>
      <c r="AQ319" t="s">
        <v>66</v>
      </c>
      <c r="AR319" t="s">
        <v>66</v>
      </c>
      <c r="AS319" t="s">
        <v>66</v>
      </c>
      <c r="AT319" t="s">
        <v>66</v>
      </c>
    </row>
    <row r="320" spans="1:46" x14ac:dyDescent="0.15">
      <c r="A320" t="s">
        <v>1243</v>
      </c>
      <c r="B320" t="s">
        <v>1233</v>
      </c>
      <c r="C320" t="s">
        <v>1234</v>
      </c>
      <c r="D320">
        <v>10</v>
      </c>
      <c r="E320" t="s">
        <v>49</v>
      </c>
      <c r="F320" t="s">
        <v>50</v>
      </c>
      <c r="G320" t="s">
        <v>51</v>
      </c>
      <c r="H320" t="s">
        <v>52</v>
      </c>
      <c r="I320" t="s">
        <v>53</v>
      </c>
      <c r="J320" t="s">
        <v>54</v>
      </c>
      <c r="K320" t="s">
        <v>55</v>
      </c>
      <c r="L320" t="s">
        <v>17</v>
      </c>
      <c r="M320" t="s">
        <v>16</v>
      </c>
      <c r="N320">
        <v>1005</v>
      </c>
      <c r="O320">
        <v>59</v>
      </c>
      <c r="P320">
        <v>0</v>
      </c>
      <c r="Q320" t="s">
        <v>120</v>
      </c>
      <c r="R320" t="s">
        <v>121</v>
      </c>
      <c r="S320" t="s">
        <v>122</v>
      </c>
      <c r="T320" t="s">
        <v>123</v>
      </c>
      <c r="U320" t="s">
        <v>60</v>
      </c>
      <c r="V320" t="s">
        <v>61</v>
      </c>
      <c r="W320">
        <v>3</v>
      </c>
      <c r="X320">
        <v>0.14000000000000001</v>
      </c>
      <c r="Y320" t="s">
        <v>124</v>
      </c>
      <c r="Z320" t="s">
        <v>125</v>
      </c>
      <c r="AA320">
        <v>0</v>
      </c>
      <c r="AB320" t="s">
        <v>63</v>
      </c>
      <c r="AC320" t="s">
        <v>64</v>
      </c>
      <c r="AD320" t="s">
        <v>65</v>
      </c>
      <c r="AE320" t="s">
        <v>65</v>
      </c>
      <c r="AF320" t="s">
        <v>65</v>
      </c>
      <c r="AG320" t="s">
        <v>66</v>
      </c>
      <c r="AH320" t="s">
        <v>66</v>
      </c>
      <c r="AI320" t="s">
        <v>66</v>
      </c>
      <c r="AJ320" t="s">
        <v>66</v>
      </c>
      <c r="AK320">
        <v>1</v>
      </c>
      <c r="AL320" t="s">
        <v>66</v>
      </c>
      <c r="AM320" t="s">
        <v>66</v>
      </c>
      <c r="AN320" t="s">
        <v>66</v>
      </c>
      <c r="AO320" t="s">
        <v>66</v>
      </c>
      <c r="AP320">
        <v>1</v>
      </c>
      <c r="AQ320" t="s">
        <v>66</v>
      </c>
      <c r="AR320" t="s">
        <v>66</v>
      </c>
      <c r="AS320" t="s">
        <v>66</v>
      </c>
      <c r="AT320" t="s">
        <v>66</v>
      </c>
    </row>
    <row r="321" spans="1:46" x14ac:dyDescent="0.15">
      <c r="A321" t="s">
        <v>1244</v>
      </c>
      <c r="B321" t="s">
        <v>1233</v>
      </c>
      <c r="C321" t="s">
        <v>1234</v>
      </c>
      <c r="D321">
        <v>11</v>
      </c>
      <c r="E321" t="s">
        <v>49</v>
      </c>
      <c r="F321" t="s">
        <v>50</v>
      </c>
      <c r="G321" t="s">
        <v>51</v>
      </c>
      <c r="H321" t="s">
        <v>52</v>
      </c>
      <c r="I321" t="s">
        <v>53</v>
      </c>
      <c r="J321" t="s">
        <v>54</v>
      </c>
      <c r="K321" t="s">
        <v>55</v>
      </c>
      <c r="L321" t="s">
        <v>17</v>
      </c>
      <c r="M321" t="s">
        <v>16</v>
      </c>
      <c r="N321">
        <v>1061</v>
      </c>
      <c r="O321">
        <v>62</v>
      </c>
      <c r="P321">
        <v>0</v>
      </c>
      <c r="Q321" t="s">
        <v>127</v>
      </c>
      <c r="R321" t="s">
        <v>128</v>
      </c>
      <c r="S321" t="s">
        <v>129</v>
      </c>
      <c r="T321" t="s">
        <v>130</v>
      </c>
      <c r="U321" t="s">
        <v>60</v>
      </c>
      <c r="V321" t="s">
        <v>61</v>
      </c>
      <c r="W321">
        <v>3</v>
      </c>
      <c r="X321">
        <v>0.14000000000000001</v>
      </c>
      <c r="Y321" t="s">
        <v>99</v>
      </c>
      <c r="Z321" t="s">
        <v>131</v>
      </c>
      <c r="AA321">
        <v>0</v>
      </c>
      <c r="AB321" t="s">
        <v>63</v>
      </c>
      <c r="AC321" t="s">
        <v>64</v>
      </c>
      <c r="AD321" t="s">
        <v>65</v>
      </c>
      <c r="AE321" t="s">
        <v>65</v>
      </c>
      <c r="AF321" t="s">
        <v>65</v>
      </c>
      <c r="AG321" t="s">
        <v>66</v>
      </c>
      <c r="AH321" t="s">
        <v>66</v>
      </c>
      <c r="AI321" t="s">
        <v>66</v>
      </c>
      <c r="AJ321" t="s">
        <v>66</v>
      </c>
      <c r="AK321">
        <v>1</v>
      </c>
      <c r="AL321" t="s">
        <v>66</v>
      </c>
      <c r="AM321" t="s">
        <v>66</v>
      </c>
      <c r="AN321" t="s">
        <v>66</v>
      </c>
      <c r="AO321" t="s">
        <v>66</v>
      </c>
      <c r="AP321">
        <v>1</v>
      </c>
      <c r="AQ321" t="s">
        <v>66</v>
      </c>
      <c r="AR321" t="s">
        <v>66</v>
      </c>
      <c r="AS321" t="s">
        <v>66</v>
      </c>
      <c r="AT321" t="s">
        <v>66</v>
      </c>
    </row>
    <row r="322" spans="1:46" x14ac:dyDescent="0.15">
      <c r="A322" t="s">
        <v>1245</v>
      </c>
      <c r="B322" t="s">
        <v>1233</v>
      </c>
      <c r="C322" t="s">
        <v>1234</v>
      </c>
      <c r="D322">
        <v>12</v>
      </c>
      <c r="E322" t="s">
        <v>49</v>
      </c>
      <c r="F322" t="s">
        <v>50</v>
      </c>
      <c r="G322" t="s">
        <v>51</v>
      </c>
      <c r="H322" t="s">
        <v>52</v>
      </c>
      <c r="I322" t="s">
        <v>53</v>
      </c>
      <c r="J322" t="s">
        <v>54</v>
      </c>
      <c r="K322" t="s">
        <v>55</v>
      </c>
      <c r="L322" t="s">
        <v>17</v>
      </c>
      <c r="M322" t="s">
        <v>16</v>
      </c>
      <c r="N322">
        <v>1117</v>
      </c>
      <c r="O322">
        <v>66</v>
      </c>
      <c r="P322">
        <v>0</v>
      </c>
      <c r="Q322" t="s">
        <v>133</v>
      </c>
      <c r="R322" t="s">
        <v>134</v>
      </c>
      <c r="S322" t="s">
        <v>135</v>
      </c>
      <c r="T322" t="s">
        <v>136</v>
      </c>
      <c r="U322" t="s">
        <v>60</v>
      </c>
      <c r="V322" t="s">
        <v>61</v>
      </c>
      <c r="W322">
        <v>3</v>
      </c>
      <c r="X322">
        <v>0.14000000000000001</v>
      </c>
      <c r="Y322" t="s">
        <v>137</v>
      </c>
      <c r="Z322" t="s">
        <v>138</v>
      </c>
      <c r="AA322">
        <v>0</v>
      </c>
      <c r="AB322" t="s">
        <v>63</v>
      </c>
      <c r="AC322" t="s">
        <v>64</v>
      </c>
      <c r="AD322" t="s">
        <v>65</v>
      </c>
      <c r="AE322" t="s">
        <v>65</v>
      </c>
      <c r="AF322" t="s">
        <v>65</v>
      </c>
      <c r="AG322" t="s">
        <v>66</v>
      </c>
      <c r="AH322" t="s">
        <v>66</v>
      </c>
      <c r="AI322" t="s">
        <v>66</v>
      </c>
      <c r="AJ322" t="s">
        <v>66</v>
      </c>
      <c r="AK322">
        <v>1</v>
      </c>
      <c r="AL322" t="s">
        <v>66</v>
      </c>
      <c r="AM322" t="s">
        <v>66</v>
      </c>
      <c r="AN322" t="s">
        <v>66</v>
      </c>
      <c r="AO322" t="s">
        <v>66</v>
      </c>
      <c r="AP322">
        <v>1</v>
      </c>
      <c r="AQ322" t="s">
        <v>66</v>
      </c>
      <c r="AR322" t="s">
        <v>66</v>
      </c>
      <c r="AS322" t="s">
        <v>66</v>
      </c>
      <c r="AT322" t="s">
        <v>66</v>
      </c>
    </row>
    <row r="323" spans="1:46" x14ac:dyDescent="0.15">
      <c r="A323" t="s">
        <v>1246</v>
      </c>
      <c r="B323" t="s">
        <v>1233</v>
      </c>
      <c r="C323" t="s">
        <v>1234</v>
      </c>
      <c r="D323">
        <v>13</v>
      </c>
      <c r="E323" t="s">
        <v>49</v>
      </c>
      <c r="F323" t="s">
        <v>50</v>
      </c>
      <c r="G323" t="s">
        <v>51</v>
      </c>
      <c r="H323" t="s">
        <v>52</v>
      </c>
      <c r="I323" t="s">
        <v>53</v>
      </c>
      <c r="J323" t="s">
        <v>54</v>
      </c>
      <c r="K323" t="s">
        <v>55</v>
      </c>
      <c r="L323" t="s">
        <v>17</v>
      </c>
      <c r="M323" t="s">
        <v>16</v>
      </c>
      <c r="N323">
        <v>1173</v>
      </c>
      <c r="O323">
        <v>69</v>
      </c>
      <c r="P323">
        <v>0</v>
      </c>
      <c r="Q323" t="s">
        <v>140</v>
      </c>
      <c r="R323" t="s">
        <v>141</v>
      </c>
      <c r="S323" t="s">
        <v>142</v>
      </c>
      <c r="T323" t="s">
        <v>143</v>
      </c>
      <c r="U323" t="s">
        <v>60</v>
      </c>
      <c r="V323" t="s">
        <v>61</v>
      </c>
      <c r="W323">
        <v>3</v>
      </c>
      <c r="X323">
        <v>0.14000000000000001</v>
      </c>
      <c r="Y323" t="s">
        <v>105</v>
      </c>
      <c r="Z323" t="s">
        <v>144</v>
      </c>
      <c r="AA323">
        <v>0</v>
      </c>
      <c r="AB323" t="s">
        <v>63</v>
      </c>
      <c r="AC323" t="s">
        <v>64</v>
      </c>
      <c r="AD323" t="s">
        <v>65</v>
      </c>
      <c r="AE323" t="s">
        <v>65</v>
      </c>
      <c r="AF323" t="s">
        <v>65</v>
      </c>
      <c r="AG323" t="s">
        <v>66</v>
      </c>
      <c r="AH323" t="s">
        <v>66</v>
      </c>
      <c r="AI323" t="s">
        <v>66</v>
      </c>
      <c r="AJ323" t="s">
        <v>66</v>
      </c>
      <c r="AK323">
        <v>1</v>
      </c>
      <c r="AL323" t="s">
        <v>66</v>
      </c>
      <c r="AM323" t="s">
        <v>66</v>
      </c>
      <c r="AN323" t="s">
        <v>66</v>
      </c>
      <c r="AO323" t="s">
        <v>66</v>
      </c>
      <c r="AP323">
        <v>1</v>
      </c>
      <c r="AQ323" t="s">
        <v>66</v>
      </c>
      <c r="AR323" t="s">
        <v>66</v>
      </c>
      <c r="AS323" t="s">
        <v>66</v>
      </c>
      <c r="AT323" t="s">
        <v>66</v>
      </c>
    </row>
    <row r="324" spans="1:46" x14ac:dyDescent="0.15">
      <c r="A324" t="s">
        <v>1247</v>
      </c>
      <c r="B324" t="s">
        <v>1233</v>
      </c>
      <c r="C324" t="s">
        <v>1234</v>
      </c>
      <c r="D324">
        <v>14</v>
      </c>
      <c r="E324" t="s">
        <v>49</v>
      </c>
      <c r="F324" t="s">
        <v>50</v>
      </c>
      <c r="G324" t="s">
        <v>51</v>
      </c>
      <c r="H324" t="s">
        <v>52</v>
      </c>
      <c r="I324" t="s">
        <v>53</v>
      </c>
      <c r="J324" t="s">
        <v>54</v>
      </c>
      <c r="K324" t="s">
        <v>55</v>
      </c>
      <c r="L324" t="s">
        <v>17</v>
      </c>
      <c r="M324" t="s">
        <v>16</v>
      </c>
      <c r="N324">
        <v>1230</v>
      </c>
      <c r="O324">
        <v>72</v>
      </c>
      <c r="P324">
        <v>0</v>
      </c>
      <c r="Q324" t="s">
        <v>146</v>
      </c>
      <c r="R324" t="s">
        <v>147</v>
      </c>
      <c r="S324" t="s">
        <v>148</v>
      </c>
      <c r="T324" t="s">
        <v>149</v>
      </c>
      <c r="U324" t="s">
        <v>60</v>
      </c>
      <c r="V324" t="s">
        <v>61</v>
      </c>
      <c r="W324">
        <v>3</v>
      </c>
      <c r="X324">
        <v>0.14000000000000001</v>
      </c>
      <c r="Y324" t="s">
        <v>150</v>
      </c>
      <c r="Z324" t="s">
        <v>151</v>
      </c>
      <c r="AA324">
        <v>0</v>
      </c>
      <c r="AB324" t="s">
        <v>63</v>
      </c>
      <c r="AC324" t="s">
        <v>64</v>
      </c>
      <c r="AD324" t="s">
        <v>65</v>
      </c>
      <c r="AE324" t="s">
        <v>65</v>
      </c>
      <c r="AF324" t="s">
        <v>65</v>
      </c>
      <c r="AG324" t="s">
        <v>66</v>
      </c>
      <c r="AH324" t="s">
        <v>66</v>
      </c>
      <c r="AI324" t="s">
        <v>66</v>
      </c>
      <c r="AJ324" t="s">
        <v>66</v>
      </c>
      <c r="AK324">
        <v>1</v>
      </c>
      <c r="AL324" t="s">
        <v>66</v>
      </c>
      <c r="AM324" t="s">
        <v>66</v>
      </c>
      <c r="AN324" t="s">
        <v>66</v>
      </c>
      <c r="AO324" t="s">
        <v>66</v>
      </c>
      <c r="AP324">
        <v>1</v>
      </c>
      <c r="AQ324" t="s">
        <v>66</v>
      </c>
      <c r="AR324" t="s">
        <v>66</v>
      </c>
      <c r="AS324" t="s">
        <v>66</v>
      </c>
      <c r="AT324" t="s">
        <v>66</v>
      </c>
    </row>
    <row r="325" spans="1:46" x14ac:dyDescent="0.15">
      <c r="A325" t="s">
        <v>1248</v>
      </c>
      <c r="B325" t="s">
        <v>1233</v>
      </c>
      <c r="C325" t="s">
        <v>1234</v>
      </c>
      <c r="D325">
        <v>15</v>
      </c>
      <c r="E325" t="s">
        <v>49</v>
      </c>
      <c r="F325" t="s">
        <v>50</v>
      </c>
      <c r="G325" t="s">
        <v>51</v>
      </c>
      <c r="H325" t="s">
        <v>52</v>
      </c>
      <c r="I325" t="s">
        <v>53</v>
      </c>
      <c r="J325" t="s">
        <v>54</v>
      </c>
      <c r="K325" t="s">
        <v>55</v>
      </c>
      <c r="L325" t="s">
        <v>17</v>
      </c>
      <c r="M325" t="s">
        <v>16</v>
      </c>
      <c r="N325">
        <v>1286</v>
      </c>
      <c r="O325">
        <v>75</v>
      </c>
      <c r="P325">
        <v>0</v>
      </c>
      <c r="Q325" t="s">
        <v>153</v>
      </c>
      <c r="R325" t="s">
        <v>154</v>
      </c>
      <c r="S325" t="s">
        <v>155</v>
      </c>
      <c r="T325" t="s">
        <v>156</v>
      </c>
      <c r="U325" t="s">
        <v>60</v>
      </c>
      <c r="V325" t="s">
        <v>61</v>
      </c>
      <c r="W325">
        <v>3</v>
      </c>
      <c r="X325">
        <v>0.14000000000000001</v>
      </c>
      <c r="Y325" t="s">
        <v>112</v>
      </c>
      <c r="Z325" t="s">
        <v>157</v>
      </c>
      <c r="AA325">
        <v>0</v>
      </c>
      <c r="AB325" t="s">
        <v>63</v>
      </c>
      <c r="AC325" t="s">
        <v>64</v>
      </c>
      <c r="AD325" t="s">
        <v>65</v>
      </c>
      <c r="AE325" t="s">
        <v>65</v>
      </c>
      <c r="AF325" t="s">
        <v>65</v>
      </c>
      <c r="AG325" t="s">
        <v>66</v>
      </c>
      <c r="AH325" t="s">
        <v>66</v>
      </c>
      <c r="AI325" t="s">
        <v>66</v>
      </c>
      <c r="AJ325" t="s">
        <v>66</v>
      </c>
      <c r="AK325">
        <v>1</v>
      </c>
      <c r="AL325" t="s">
        <v>66</v>
      </c>
      <c r="AM325" t="s">
        <v>66</v>
      </c>
      <c r="AN325" t="s">
        <v>66</v>
      </c>
      <c r="AO325" t="s">
        <v>66</v>
      </c>
      <c r="AP325">
        <v>1</v>
      </c>
      <c r="AQ325" t="s">
        <v>66</v>
      </c>
      <c r="AR325" t="s">
        <v>66</v>
      </c>
      <c r="AS325" t="s">
        <v>66</v>
      </c>
      <c r="AT325" t="s">
        <v>66</v>
      </c>
    </row>
    <row r="326" spans="1:46" x14ac:dyDescent="0.15">
      <c r="A326" t="s">
        <v>1249</v>
      </c>
      <c r="B326" t="s">
        <v>1233</v>
      </c>
      <c r="C326" t="s">
        <v>1234</v>
      </c>
      <c r="D326">
        <v>16</v>
      </c>
      <c r="E326" t="s">
        <v>49</v>
      </c>
      <c r="F326" t="s">
        <v>50</v>
      </c>
      <c r="G326" t="s">
        <v>51</v>
      </c>
      <c r="H326" t="s">
        <v>52</v>
      </c>
      <c r="I326" t="s">
        <v>53</v>
      </c>
      <c r="J326" t="s">
        <v>54</v>
      </c>
      <c r="K326" t="s">
        <v>55</v>
      </c>
      <c r="L326" t="s">
        <v>17</v>
      </c>
      <c r="M326" t="s">
        <v>16</v>
      </c>
      <c r="N326">
        <v>1342</v>
      </c>
      <c r="O326">
        <v>79</v>
      </c>
      <c r="P326">
        <v>0</v>
      </c>
      <c r="Q326" t="s">
        <v>159</v>
      </c>
      <c r="R326" t="s">
        <v>160</v>
      </c>
      <c r="S326" t="s">
        <v>161</v>
      </c>
      <c r="T326" t="s">
        <v>162</v>
      </c>
      <c r="U326" t="s">
        <v>60</v>
      </c>
      <c r="V326" t="s">
        <v>61</v>
      </c>
      <c r="W326">
        <v>3</v>
      </c>
      <c r="X326">
        <v>0.14000000000000001</v>
      </c>
      <c r="Y326" t="s">
        <v>163</v>
      </c>
      <c r="Z326" t="s">
        <v>164</v>
      </c>
      <c r="AA326">
        <v>0</v>
      </c>
      <c r="AB326" t="s">
        <v>63</v>
      </c>
      <c r="AC326" t="s">
        <v>64</v>
      </c>
      <c r="AD326" t="s">
        <v>65</v>
      </c>
      <c r="AE326" t="s">
        <v>65</v>
      </c>
      <c r="AF326" t="s">
        <v>65</v>
      </c>
      <c r="AG326" t="s">
        <v>66</v>
      </c>
      <c r="AH326" t="s">
        <v>66</v>
      </c>
      <c r="AI326" t="s">
        <v>66</v>
      </c>
      <c r="AJ326" t="s">
        <v>66</v>
      </c>
      <c r="AK326">
        <v>1</v>
      </c>
      <c r="AL326" t="s">
        <v>66</v>
      </c>
      <c r="AM326" t="s">
        <v>66</v>
      </c>
      <c r="AN326" t="s">
        <v>66</v>
      </c>
      <c r="AO326" t="s">
        <v>66</v>
      </c>
      <c r="AP326">
        <v>1</v>
      </c>
      <c r="AQ326" t="s">
        <v>66</v>
      </c>
      <c r="AR326" t="s">
        <v>66</v>
      </c>
      <c r="AS326" t="s">
        <v>66</v>
      </c>
      <c r="AT326" t="s">
        <v>66</v>
      </c>
    </row>
    <row r="327" spans="1:46" x14ac:dyDescent="0.15">
      <c r="A327" t="s">
        <v>1250</v>
      </c>
      <c r="B327" t="s">
        <v>1233</v>
      </c>
      <c r="C327" t="s">
        <v>1234</v>
      </c>
      <c r="D327">
        <v>17</v>
      </c>
      <c r="E327" t="s">
        <v>49</v>
      </c>
      <c r="F327" t="s">
        <v>50</v>
      </c>
      <c r="G327" t="s">
        <v>51</v>
      </c>
      <c r="H327" t="s">
        <v>52</v>
      </c>
      <c r="I327" t="s">
        <v>53</v>
      </c>
      <c r="J327" t="s">
        <v>54</v>
      </c>
      <c r="K327" t="s">
        <v>55</v>
      </c>
      <c r="L327" t="s">
        <v>17</v>
      </c>
      <c r="M327" t="s">
        <v>16</v>
      </c>
      <c r="N327">
        <v>1398</v>
      </c>
      <c r="O327">
        <v>82</v>
      </c>
      <c r="P327">
        <v>0</v>
      </c>
      <c r="Q327" t="s">
        <v>166</v>
      </c>
      <c r="R327" t="s">
        <v>167</v>
      </c>
      <c r="S327" t="s">
        <v>168</v>
      </c>
      <c r="T327" t="s">
        <v>169</v>
      </c>
      <c r="U327" t="s">
        <v>60</v>
      </c>
      <c r="V327" t="s">
        <v>61</v>
      </c>
      <c r="W327">
        <v>3</v>
      </c>
      <c r="X327">
        <v>0.14000000000000001</v>
      </c>
      <c r="Y327" t="s">
        <v>118</v>
      </c>
      <c r="Z327" t="s">
        <v>170</v>
      </c>
      <c r="AA327">
        <v>0</v>
      </c>
      <c r="AB327" t="s">
        <v>63</v>
      </c>
      <c r="AC327" t="s">
        <v>64</v>
      </c>
      <c r="AD327" t="s">
        <v>65</v>
      </c>
      <c r="AE327" t="s">
        <v>65</v>
      </c>
      <c r="AF327" t="s">
        <v>65</v>
      </c>
      <c r="AG327" t="s">
        <v>66</v>
      </c>
      <c r="AH327" t="s">
        <v>66</v>
      </c>
      <c r="AI327" t="s">
        <v>66</v>
      </c>
      <c r="AJ327" t="s">
        <v>66</v>
      </c>
      <c r="AK327">
        <v>1</v>
      </c>
      <c r="AL327" t="s">
        <v>66</v>
      </c>
      <c r="AM327" t="s">
        <v>66</v>
      </c>
      <c r="AN327" t="s">
        <v>66</v>
      </c>
      <c r="AO327" t="s">
        <v>66</v>
      </c>
      <c r="AP327">
        <v>1</v>
      </c>
      <c r="AQ327" t="s">
        <v>66</v>
      </c>
      <c r="AR327" t="s">
        <v>66</v>
      </c>
      <c r="AS327" t="s">
        <v>66</v>
      </c>
      <c r="AT327" t="s">
        <v>66</v>
      </c>
    </row>
    <row r="328" spans="1:46" x14ac:dyDescent="0.15">
      <c r="A328" t="s">
        <v>1251</v>
      </c>
      <c r="B328" t="s">
        <v>1233</v>
      </c>
      <c r="C328" t="s">
        <v>1234</v>
      </c>
      <c r="D328">
        <v>18</v>
      </c>
      <c r="E328" t="s">
        <v>49</v>
      </c>
      <c r="F328" t="s">
        <v>50</v>
      </c>
      <c r="G328" t="s">
        <v>51</v>
      </c>
      <c r="H328" t="s">
        <v>52</v>
      </c>
      <c r="I328" t="s">
        <v>53</v>
      </c>
      <c r="J328" t="s">
        <v>54</v>
      </c>
      <c r="K328" t="s">
        <v>55</v>
      </c>
      <c r="L328" t="s">
        <v>17</v>
      </c>
      <c r="M328" t="s">
        <v>16</v>
      </c>
      <c r="N328">
        <v>1454</v>
      </c>
      <c r="O328">
        <v>85</v>
      </c>
      <c r="P328">
        <v>0</v>
      </c>
      <c r="Q328" t="s">
        <v>172</v>
      </c>
      <c r="R328" t="s">
        <v>173</v>
      </c>
      <c r="S328" t="s">
        <v>174</v>
      </c>
      <c r="T328" t="s">
        <v>175</v>
      </c>
      <c r="U328" t="s">
        <v>60</v>
      </c>
      <c r="V328" t="s">
        <v>61</v>
      </c>
      <c r="W328">
        <v>3</v>
      </c>
      <c r="X328">
        <v>0.14000000000000001</v>
      </c>
      <c r="Y328" t="s">
        <v>176</v>
      </c>
      <c r="Z328" t="s">
        <v>177</v>
      </c>
      <c r="AA328">
        <v>0</v>
      </c>
      <c r="AB328" t="s">
        <v>63</v>
      </c>
      <c r="AC328" t="s">
        <v>64</v>
      </c>
      <c r="AD328" t="s">
        <v>65</v>
      </c>
      <c r="AE328" t="s">
        <v>65</v>
      </c>
      <c r="AF328" t="s">
        <v>65</v>
      </c>
      <c r="AG328" t="s">
        <v>66</v>
      </c>
      <c r="AH328" t="s">
        <v>66</v>
      </c>
      <c r="AI328" t="s">
        <v>66</v>
      </c>
      <c r="AJ328" t="s">
        <v>66</v>
      </c>
      <c r="AK328">
        <v>1</v>
      </c>
      <c r="AL328" t="s">
        <v>66</v>
      </c>
      <c r="AM328" t="s">
        <v>66</v>
      </c>
      <c r="AN328" t="s">
        <v>66</v>
      </c>
      <c r="AO328" t="s">
        <v>66</v>
      </c>
      <c r="AP328">
        <v>1</v>
      </c>
      <c r="AQ328" t="s">
        <v>66</v>
      </c>
      <c r="AR328" t="s">
        <v>66</v>
      </c>
      <c r="AS328" t="s">
        <v>66</v>
      </c>
      <c r="AT328" t="s">
        <v>66</v>
      </c>
    </row>
    <row r="329" spans="1:46" x14ac:dyDescent="0.15">
      <c r="A329" t="s">
        <v>1252</v>
      </c>
      <c r="B329" t="s">
        <v>1233</v>
      </c>
      <c r="C329" t="s">
        <v>1234</v>
      </c>
      <c r="D329">
        <v>19</v>
      </c>
      <c r="E329" t="s">
        <v>49</v>
      </c>
      <c r="F329" t="s">
        <v>50</v>
      </c>
      <c r="G329" t="s">
        <v>51</v>
      </c>
      <c r="H329" t="s">
        <v>52</v>
      </c>
      <c r="I329" t="s">
        <v>53</v>
      </c>
      <c r="J329" t="s">
        <v>54</v>
      </c>
      <c r="K329" t="s">
        <v>55</v>
      </c>
      <c r="L329" t="s">
        <v>17</v>
      </c>
      <c r="M329" t="s">
        <v>16</v>
      </c>
      <c r="N329">
        <v>1510</v>
      </c>
      <c r="O329">
        <v>88</v>
      </c>
      <c r="P329">
        <v>0</v>
      </c>
      <c r="Q329" t="s">
        <v>179</v>
      </c>
      <c r="R329" t="s">
        <v>180</v>
      </c>
      <c r="S329" t="s">
        <v>181</v>
      </c>
      <c r="T329" t="s">
        <v>182</v>
      </c>
      <c r="U329" t="s">
        <v>60</v>
      </c>
      <c r="V329" t="s">
        <v>61</v>
      </c>
      <c r="W329">
        <v>3</v>
      </c>
      <c r="X329">
        <v>0.14000000000000001</v>
      </c>
      <c r="Y329" t="s">
        <v>125</v>
      </c>
      <c r="Z329" t="s">
        <v>183</v>
      </c>
      <c r="AA329">
        <v>0</v>
      </c>
      <c r="AB329" t="s">
        <v>63</v>
      </c>
      <c r="AC329" t="s">
        <v>64</v>
      </c>
      <c r="AD329" t="s">
        <v>65</v>
      </c>
      <c r="AE329" t="s">
        <v>65</v>
      </c>
      <c r="AF329" t="s">
        <v>65</v>
      </c>
      <c r="AG329" t="s">
        <v>66</v>
      </c>
      <c r="AH329" t="s">
        <v>66</v>
      </c>
      <c r="AI329" t="s">
        <v>66</v>
      </c>
      <c r="AJ329" t="s">
        <v>66</v>
      </c>
      <c r="AK329">
        <v>1</v>
      </c>
      <c r="AL329" t="s">
        <v>66</v>
      </c>
      <c r="AM329" t="s">
        <v>66</v>
      </c>
      <c r="AN329" t="s">
        <v>66</v>
      </c>
      <c r="AO329" t="s">
        <v>66</v>
      </c>
      <c r="AP329">
        <v>1</v>
      </c>
      <c r="AQ329" t="s">
        <v>66</v>
      </c>
      <c r="AR329" t="s">
        <v>66</v>
      </c>
      <c r="AS329" t="s">
        <v>66</v>
      </c>
      <c r="AT329" t="s">
        <v>66</v>
      </c>
    </row>
    <row r="330" spans="1:46" x14ac:dyDescent="0.15">
      <c r="A330" t="s">
        <v>1253</v>
      </c>
      <c r="B330" t="s">
        <v>1233</v>
      </c>
      <c r="C330" t="s">
        <v>1234</v>
      </c>
      <c r="D330">
        <v>20</v>
      </c>
      <c r="E330" t="s">
        <v>49</v>
      </c>
      <c r="F330" t="s">
        <v>50</v>
      </c>
      <c r="G330" t="s">
        <v>51</v>
      </c>
      <c r="H330" t="s">
        <v>52</v>
      </c>
      <c r="I330" t="s">
        <v>53</v>
      </c>
      <c r="J330" t="s">
        <v>54</v>
      </c>
      <c r="K330" t="s">
        <v>55</v>
      </c>
      <c r="L330" t="s">
        <v>17</v>
      </c>
      <c r="M330" t="s">
        <v>16</v>
      </c>
      <c r="N330">
        <v>1566</v>
      </c>
      <c r="O330">
        <v>92</v>
      </c>
      <c r="P330">
        <v>0</v>
      </c>
      <c r="Q330" t="s">
        <v>185</v>
      </c>
      <c r="R330" t="s">
        <v>186</v>
      </c>
      <c r="S330" t="s">
        <v>187</v>
      </c>
      <c r="T330" t="s">
        <v>188</v>
      </c>
      <c r="U330" t="s">
        <v>60</v>
      </c>
      <c r="V330" t="s">
        <v>61</v>
      </c>
      <c r="W330">
        <v>3</v>
      </c>
      <c r="X330">
        <v>0.14000000000000001</v>
      </c>
      <c r="Y330" t="s">
        <v>189</v>
      </c>
      <c r="Z330" t="s">
        <v>190</v>
      </c>
      <c r="AA330">
        <v>0</v>
      </c>
      <c r="AB330" t="s">
        <v>63</v>
      </c>
      <c r="AC330" t="s">
        <v>64</v>
      </c>
      <c r="AD330" t="s">
        <v>65</v>
      </c>
      <c r="AE330" t="s">
        <v>65</v>
      </c>
      <c r="AF330" t="s">
        <v>65</v>
      </c>
      <c r="AG330" t="s">
        <v>66</v>
      </c>
      <c r="AH330" t="s">
        <v>66</v>
      </c>
      <c r="AI330" t="s">
        <v>66</v>
      </c>
      <c r="AJ330" t="s">
        <v>66</v>
      </c>
      <c r="AK330">
        <v>1</v>
      </c>
      <c r="AL330" t="s">
        <v>66</v>
      </c>
      <c r="AM330" t="s">
        <v>66</v>
      </c>
      <c r="AN330" t="s">
        <v>66</v>
      </c>
      <c r="AO330" t="s">
        <v>66</v>
      </c>
      <c r="AP330">
        <v>1</v>
      </c>
      <c r="AQ330" t="s">
        <v>66</v>
      </c>
      <c r="AR330" t="s">
        <v>66</v>
      </c>
      <c r="AS330" t="s">
        <v>66</v>
      </c>
      <c r="AT330" t="s">
        <v>66</v>
      </c>
    </row>
    <row r="331" spans="1:46" x14ac:dyDescent="0.15">
      <c r="A331" t="s">
        <v>1253</v>
      </c>
      <c r="B331" t="s">
        <v>1233</v>
      </c>
      <c r="C331" t="s">
        <v>1234</v>
      </c>
      <c r="D331">
        <v>20</v>
      </c>
      <c r="E331" t="s">
        <v>49</v>
      </c>
      <c r="F331" t="s">
        <v>50</v>
      </c>
      <c r="G331" t="s">
        <v>51</v>
      </c>
      <c r="H331" t="s">
        <v>52</v>
      </c>
      <c r="I331" t="s">
        <v>53</v>
      </c>
      <c r="J331" t="s">
        <v>54</v>
      </c>
      <c r="K331" t="s">
        <v>55</v>
      </c>
      <c r="L331" t="s">
        <v>17</v>
      </c>
      <c r="M331" t="s">
        <v>16</v>
      </c>
      <c r="N331">
        <v>1566</v>
      </c>
      <c r="O331">
        <v>92</v>
      </c>
      <c r="P331">
        <v>0</v>
      </c>
      <c r="Q331" t="s">
        <v>185</v>
      </c>
      <c r="R331" t="s">
        <v>186</v>
      </c>
      <c r="S331" t="s">
        <v>187</v>
      </c>
      <c r="T331" t="s">
        <v>188</v>
      </c>
      <c r="U331" t="s">
        <v>60</v>
      </c>
      <c r="V331" t="s">
        <v>61</v>
      </c>
      <c r="W331">
        <v>3</v>
      </c>
      <c r="X331">
        <v>0.14000000000000001</v>
      </c>
      <c r="Y331" t="s">
        <v>189</v>
      </c>
      <c r="Z331" t="s">
        <v>190</v>
      </c>
      <c r="AA331">
        <v>1</v>
      </c>
      <c r="AB331" t="s">
        <v>63</v>
      </c>
      <c r="AC331" t="s">
        <v>64</v>
      </c>
      <c r="AD331" t="s">
        <v>65</v>
      </c>
      <c r="AE331" t="s">
        <v>65</v>
      </c>
      <c r="AF331" t="s">
        <v>65</v>
      </c>
      <c r="AG331" t="s">
        <v>191</v>
      </c>
      <c r="AH331" t="s">
        <v>66</v>
      </c>
      <c r="AI331" t="s">
        <v>66</v>
      </c>
      <c r="AJ331" t="s">
        <v>66</v>
      </c>
      <c r="AK331">
        <v>1</v>
      </c>
      <c r="AL331" t="s">
        <v>66</v>
      </c>
      <c r="AM331" t="s">
        <v>66</v>
      </c>
      <c r="AN331" t="s">
        <v>66</v>
      </c>
      <c r="AO331" t="s">
        <v>66</v>
      </c>
      <c r="AP331">
        <v>1</v>
      </c>
      <c r="AQ331" t="s">
        <v>66</v>
      </c>
      <c r="AR331" t="s">
        <v>66</v>
      </c>
      <c r="AS331" t="s">
        <v>66</v>
      </c>
      <c r="AT331" t="s">
        <v>66</v>
      </c>
    </row>
    <row r="332" spans="1:46" x14ac:dyDescent="0.15">
      <c r="A332" t="s">
        <v>1254</v>
      </c>
      <c r="B332" t="s">
        <v>1233</v>
      </c>
      <c r="C332" t="s">
        <v>1234</v>
      </c>
      <c r="D332">
        <v>21</v>
      </c>
      <c r="E332" t="s">
        <v>49</v>
      </c>
      <c r="F332" t="s">
        <v>50</v>
      </c>
      <c r="G332" t="s">
        <v>51</v>
      </c>
      <c r="H332" t="s">
        <v>52</v>
      </c>
      <c r="I332" t="s">
        <v>53</v>
      </c>
      <c r="J332" t="s">
        <v>54</v>
      </c>
      <c r="K332" t="s">
        <v>55</v>
      </c>
      <c r="L332" t="s">
        <v>17</v>
      </c>
      <c r="M332" t="s">
        <v>16</v>
      </c>
      <c r="N332">
        <v>1622</v>
      </c>
      <c r="O332">
        <v>95</v>
      </c>
      <c r="P332">
        <v>0</v>
      </c>
      <c r="Q332" t="s">
        <v>193</v>
      </c>
      <c r="R332" t="s">
        <v>194</v>
      </c>
      <c r="S332" t="s">
        <v>195</v>
      </c>
      <c r="T332" t="s">
        <v>196</v>
      </c>
      <c r="U332" t="s">
        <v>60</v>
      </c>
      <c r="V332" t="s">
        <v>61</v>
      </c>
      <c r="W332">
        <v>3</v>
      </c>
      <c r="X332">
        <v>0.14000000000000001</v>
      </c>
      <c r="Y332" t="s">
        <v>131</v>
      </c>
      <c r="Z332" t="s">
        <v>197</v>
      </c>
      <c r="AA332">
        <v>1</v>
      </c>
      <c r="AB332" t="s">
        <v>63</v>
      </c>
      <c r="AC332" t="s">
        <v>64</v>
      </c>
      <c r="AD332" t="s">
        <v>65</v>
      </c>
      <c r="AE332" t="s">
        <v>65</v>
      </c>
      <c r="AF332" t="s">
        <v>65</v>
      </c>
      <c r="AG332" t="s">
        <v>191</v>
      </c>
      <c r="AH332" t="s">
        <v>66</v>
      </c>
      <c r="AI332" t="s">
        <v>66</v>
      </c>
      <c r="AJ332" t="s">
        <v>66</v>
      </c>
      <c r="AK332">
        <v>1</v>
      </c>
      <c r="AL332" t="s">
        <v>66</v>
      </c>
      <c r="AM332" t="s">
        <v>66</v>
      </c>
      <c r="AN332" t="s">
        <v>66</v>
      </c>
      <c r="AO332" t="s">
        <v>66</v>
      </c>
      <c r="AP332">
        <v>1</v>
      </c>
      <c r="AQ332" t="s">
        <v>66</v>
      </c>
      <c r="AR332" t="s">
        <v>66</v>
      </c>
      <c r="AS332" t="s">
        <v>66</v>
      </c>
      <c r="AT332" t="s">
        <v>66</v>
      </c>
    </row>
    <row r="333" spans="1:46" x14ac:dyDescent="0.15">
      <c r="A333" t="s">
        <v>1255</v>
      </c>
      <c r="B333" t="s">
        <v>1233</v>
      </c>
      <c r="C333" t="s">
        <v>1234</v>
      </c>
      <c r="D333">
        <v>22</v>
      </c>
      <c r="E333" t="s">
        <v>49</v>
      </c>
      <c r="F333" t="s">
        <v>50</v>
      </c>
      <c r="G333" t="s">
        <v>51</v>
      </c>
      <c r="H333" t="s">
        <v>52</v>
      </c>
      <c r="I333" t="s">
        <v>53</v>
      </c>
      <c r="J333" t="s">
        <v>54</v>
      </c>
      <c r="K333" t="s">
        <v>55</v>
      </c>
      <c r="L333" t="s">
        <v>17</v>
      </c>
      <c r="M333" t="s">
        <v>16</v>
      </c>
      <c r="N333">
        <v>1679</v>
      </c>
      <c r="O333">
        <v>98</v>
      </c>
      <c r="P333">
        <v>0</v>
      </c>
      <c r="Q333" t="s">
        <v>199</v>
      </c>
      <c r="R333" t="s">
        <v>200</v>
      </c>
      <c r="S333" t="s">
        <v>201</v>
      </c>
      <c r="T333" t="s">
        <v>202</v>
      </c>
      <c r="U333" t="s">
        <v>60</v>
      </c>
      <c r="V333" t="s">
        <v>61</v>
      </c>
      <c r="W333">
        <v>3</v>
      </c>
      <c r="X333">
        <v>0.14000000000000001</v>
      </c>
      <c r="Y333" t="s">
        <v>203</v>
      </c>
      <c r="Z333" t="s">
        <v>204</v>
      </c>
      <c r="AA333">
        <v>1</v>
      </c>
      <c r="AB333" t="s">
        <v>63</v>
      </c>
      <c r="AC333" t="s">
        <v>64</v>
      </c>
      <c r="AD333" t="s">
        <v>65</v>
      </c>
      <c r="AE333" t="s">
        <v>65</v>
      </c>
      <c r="AF333" t="s">
        <v>65</v>
      </c>
      <c r="AG333" t="s">
        <v>191</v>
      </c>
      <c r="AH333" t="s">
        <v>66</v>
      </c>
      <c r="AI333" t="s">
        <v>66</v>
      </c>
      <c r="AJ333" t="s">
        <v>66</v>
      </c>
      <c r="AK333">
        <v>1</v>
      </c>
      <c r="AL333" t="s">
        <v>66</v>
      </c>
      <c r="AM333" t="s">
        <v>66</v>
      </c>
      <c r="AN333" t="s">
        <v>66</v>
      </c>
      <c r="AO333" t="s">
        <v>66</v>
      </c>
      <c r="AP333">
        <v>1</v>
      </c>
      <c r="AQ333" t="s">
        <v>66</v>
      </c>
      <c r="AR333" t="s">
        <v>66</v>
      </c>
      <c r="AS333" t="s">
        <v>66</v>
      </c>
      <c r="AT333" t="s">
        <v>66</v>
      </c>
    </row>
    <row r="334" spans="1:46" x14ac:dyDescent="0.15">
      <c r="A334" t="s">
        <v>1256</v>
      </c>
      <c r="B334" t="s">
        <v>1233</v>
      </c>
      <c r="C334" t="s">
        <v>1234</v>
      </c>
      <c r="D334">
        <v>23</v>
      </c>
      <c r="E334" t="s">
        <v>49</v>
      </c>
      <c r="F334" t="s">
        <v>50</v>
      </c>
      <c r="G334" t="s">
        <v>51</v>
      </c>
      <c r="H334" t="s">
        <v>52</v>
      </c>
      <c r="I334" t="s">
        <v>53</v>
      </c>
      <c r="J334" t="s">
        <v>54</v>
      </c>
      <c r="K334" t="s">
        <v>55</v>
      </c>
      <c r="L334" t="s">
        <v>17</v>
      </c>
      <c r="M334" t="s">
        <v>16</v>
      </c>
      <c r="N334">
        <v>1735</v>
      </c>
      <c r="O334">
        <v>101</v>
      </c>
      <c r="P334">
        <v>0</v>
      </c>
      <c r="Q334" t="s">
        <v>206</v>
      </c>
      <c r="R334" t="s">
        <v>207</v>
      </c>
      <c r="S334" t="s">
        <v>208</v>
      </c>
      <c r="T334" t="s">
        <v>209</v>
      </c>
      <c r="U334" t="s">
        <v>60</v>
      </c>
      <c r="V334" t="s">
        <v>61</v>
      </c>
      <c r="W334">
        <v>3</v>
      </c>
      <c r="X334">
        <v>0.14000000000000001</v>
      </c>
      <c r="Y334" t="s">
        <v>138</v>
      </c>
      <c r="Z334" t="s">
        <v>210</v>
      </c>
      <c r="AA334">
        <v>1</v>
      </c>
      <c r="AB334" t="s">
        <v>63</v>
      </c>
      <c r="AC334" t="s">
        <v>64</v>
      </c>
      <c r="AD334" t="s">
        <v>65</v>
      </c>
      <c r="AE334" t="s">
        <v>65</v>
      </c>
      <c r="AF334" t="s">
        <v>65</v>
      </c>
      <c r="AG334" t="s">
        <v>191</v>
      </c>
      <c r="AH334" t="s">
        <v>66</v>
      </c>
      <c r="AI334" t="s">
        <v>66</v>
      </c>
      <c r="AJ334" t="s">
        <v>66</v>
      </c>
      <c r="AK334">
        <v>1</v>
      </c>
      <c r="AL334" t="s">
        <v>66</v>
      </c>
      <c r="AM334" t="s">
        <v>66</v>
      </c>
      <c r="AN334" t="s">
        <v>66</v>
      </c>
      <c r="AO334" t="s">
        <v>66</v>
      </c>
      <c r="AP334">
        <v>1</v>
      </c>
      <c r="AQ334" t="s">
        <v>66</v>
      </c>
      <c r="AR334" t="s">
        <v>66</v>
      </c>
      <c r="AS334" t="s">
        <v>66</v>
      </c>
      <c r="AT334" t="s">
        <v>66</v>
      </c>
    </row>
    <row r="335" spans="1:46" x14ac:dyDescent="0.15">
      <c r="A335" t="s">
        <v>1257</v>
      </c>
      <c r="B335" t="s">
        <v>1233</v>
      </c>
      <c r="C335" t="s">
        <v>1234</v>
      </c>
      <c r="D335">
        <v>24</v>
      </c>
      <c r="E335" t="s">
        <v>49</v>
      </c>
      <c r="F335" t="s">
        <v>50</v>
      </c>
      <c r="G335" t="s">
        <v>51</v>
      </c>
      <c r="H335" t="s">
        <v>52</v>
      </c>
      <c r="I335" t="s">
        <v>53</v>
      </c>
      <c r="J335" t="s">
        <v>54</v>
      </c>
      <c r="K335" t="s">
        <v>55</v>
      </c>
      <c r="L335" t="s">
        <v>17</v>
      </c>
      <c r="M335" t="s">
        <v>16</v>
      </c>
      <c r="N335">
        <v>1791</v>
      </c>
      <c r="O335">
        <v>105</v>
      </c>
      <c r="P335">
        <v>0</v>
      </c>
      <c r="Q335" t="s">
        <v>212</v>
      </c>
      <c r="R335" t="s">
        <v>213</v>
      </c>
      <c r="S335" t="s">
        <v>214</v>
      </c>
      <c r="T335" t="s">
        <v>215</v>
      </c>
      <c r="U335" t="s">
        <v>60</v>
      </c>
      <c r="V335" t="s">
        <v>61</v>
      </c>
      <c r="W335">
        <v>3</v>
      </c>
      <c r="X335">
        <v>0.14000000000000001</v>
      </c>
      <c r="Y335" t="s">
        <v>216</v>
      </c>
      <c r="Z335" t="s">
        <v>217</v>
      </c>
      <c r="AA335">
        <v>1</v>
      </c>
      <c r="AB335" t="s">
        <v>63</v>
      </c>
      <c r="AC335" t="s">
        <v>64</v>
      </c>
      <c r="AD335" t="s">
        <v>65</v>
      </c>
      <c r="AE335" t="s">
        <v>65</v>
      </c>
      <c r="AF335" t="s">
        <v>65</v>
      </c>
      <c r="AG335" t="s">
        <v>191</v>
      </c>
      <c r="AH335" t="s">
        <v>66</v>
      </c>
      <c r="AI335" t="s">
        <v>66</v>
      </c>
      <c r="AJ335" t="s">
        <v>66</v>
      </c>
      <c r="AK335">
        <v>1</v>
      </c>
      <c r="AL335" t="s">
        <v>66</v>
      </c>
      <c r="AM335" t="s">
        <v>66</v>
      </c>
      <c r="AN335" t="s">
        <v>66</v>
      </c>
      <c r="AO335" t="s">
        <v>66</v>
      </c>
      <c r="AP335">
        <v>1</v>
      </c>
      <c r="AQ335" t="s">
        <v>66</v>
      </c>
      <c r="AR335" t="s">
        <v>66</v>
      </c>
      <c r="AS335" t="s">
        <v>66</v>
      </c>
      <c r="AT335" t="s">
        <v>66</v>
      </c>
    </row>
    <row r="336" spans="1:46" x14ac:dyDescent="0.15">
      <c r="A336" t="s">
        <v>1258</v>
      </c>
      <c r="B336" t="s">
        <v>1233</v>
      </c>
      <c r="C336" t="s">
        <v>1234</v>
      </c>
      <c r="D336">
        <v>25</v>
      </c>
      <c r="E336" t="s">
        <v>49</v>
      </c>
      <c r="F336" t="s">
        <v>50</v>
      </c>
      <c r="G336" t="s">
        <v>51</v>
      </c>
      <c r="H336" t="s">
        <v>52</v>
      </c>
      <c r="I336" t="s">
        <v>53</v>
      </c>
      <c r="J336" t="s">
        <v>54</v>
      </c>
      <c r="K336" t="s">
        <v>55</v>
      </c>
      <c r="L336" t="s">
        <v>17</v>
      </c>
      <c r="M336" t="s">
        <v>16</v>
      </c>
      <c r="N336">
        <v>1847</v>
      </c>
      <c r="O336">
        <v>108</v>
      </c>
      <c r="P336">
        <v>0</v>
      </c>
      <c r="Q336" t="s">
        <v>219</v>
      </c>
      <c r="R336" t="s">
        <v>220</v>
      </c>
      <c r="S336" t="s">
        <v>221</v>
      </c>
      <c r="T336" t="s">
        <v>222</v>
      </c>
      <c r="U336" t="s">
        <v>60</v>
      </c>
      <c r="V336" t="s">
        <v>61</v>
      </c>
      <c r="W336">
        <v>3</v>
      </c>
      <c r="X336">
        <v>0.14000000000000001</v>
      </c>
      <c r="Y336" t="s">
        <v>144</v>
      </c>
      <c r="Z336" t="s">
        <v>223</v>
      </c>
      <c r="AA336">
        <v>1</v>
      </c>
      <c r="AB336" t="s">
        <v>63</v>
      </c>
      <c r="AC336" t="s">
        <v>64</v>
      </c>
      <c r="AD336" t="s">
        <v>65</v>
      </c>
      <c r="AE336" t="s">
        <v>65</v>
      </c>
      <c r="AF336" t="s">
        <v>65</v>
      </c>
      <c r="AG336" t="s">
        <v>191</v>
      </c>
      <c r="AH336" t="s">
        <v>66</v>
      </c>
      <c r="AI336" t="s">
        <v>66</v>
      </c>
      <c r="AJ336" t="s">
        <v>66</v>
      </c>
      <c r="AK336">
        <v>1</v>
      </c>
      <c r="AL336" t="s">
        <v>66</v>
      </c>
      <c r="AM336" t="s">
        <v>66</v>
      </c>
      <c r="AN336" t="s">
        <v>66</v>
      </c>
      <c r="AO336" t="s">
        <v>66</v>
      </c>
      <c r="AP336">
        <v>1</v>
      </c>
      <c r="AQ336" t="s">
        <v>66</v>
      </c>
      <c r="AR336" t="s">
        <v>66</v>
      </c>
      <c r="AS336" t="s">
        <v>66</v>
      </c>
      <c r="AT336" t="s">
        <v>66</v>
      </c>
    </row>
    <row r="337" spans="1:46" x14ac:dyDescent="0.15">
      <c r="A337" t="s">
        <v>1259</v>
      </c>
      <c r="B337" t="s">
        <v>1233</v>
      </c>
      <c r="C337" t="s">
        <v>1234</v>
      </c>
      <c r="D337">
        <v>26</v>
      </c>
      <c r="E337" t="s">
        <v>49</v>
      </c>
      <c r="F337" t="s">
        <v>50</v>
      </c>
      <c r="G337" t="s">
        <v>51</v>
      </c>
      <c r="H337" t="s">
        <v>52</v>
      </c>
      <c r="I337" t="s">
        <v>53</v>
      </c>
      <c r="J337" t="s">
        <v>54</v>
      </c>
      <c r="K337" t="s">
        <v>55</v>
      </c>
      <c r="L337" t="s">
        <v>17</v>
      </c>
      <c r="M337" t="s">
        <v>16</v>
      </c>
      <c r="N337">
        <v>1903</v>
      </c>
      <c r="O337">
        <v>111</v>
      </c>
      <c r="P337">
        <v>0</v>
      </c>
      <c r="Q337" t="s">
        <v>225</v>
      </c>
      <c r="R337" t="s">
        <v>226</v>
      </c>
      <c r="S337" t="s">
        <v>227</v>
      </c>
      <c r="T337" t="s">
        <v>228</v>
      </c>
      <c r="U337" t="s">
        <v>60</v>
      </c>
      <c r="V337" t="s">
        <v>61</v>
      </c>
      <c r="W337">
        <v>3</v>
      </c>
      <c r="X337">
        <v>0.14000000000000001</v>
      </c>
      <c r="Y337" t="s">
        <v>229</v>
      </c>
      <c r="Z337" t="s">
        <v>230</v>
      </c>
      <c r="AA337">
        <v>1</v>
      </c>
      <c r="AB337" t="s">
        <v>63</v>
      </c>
      <c r="AC337" t="s">
        <v>64</v>
      </c>
      <c r="AD337" t="s">
        <v>65</v>
      </c>
      <c r="AE337" t="s">
        <v>65</v>
      </c>
      <c r="AF337" t="s">
        <v>65</v>
      </c>
      <c r="AG337" t="s">
        <v>191</v>
      </c>
      <c r="AH337" t="s">
        <v>66</v>
      </c>
      <c r="AI337" t="s">
        <v>66</v>
      </c>
      <c r="AJ337" t="s">
        <v>66</v>
      </c>
      <c r="AK337">
        <v>1</v>
      </c>
      <c r="AL337" t="s">
        <v>66</v>
      </c>
      <c r="AM337" t="s">
        <v>66</v>
      </c>
      <c r="AN337" t="s">
        <v>66</v>
      </c>
      <c r="AO337" t="s">
        <v>66</v>
      </c>
      <c r="AP337">
        <v>1</v>
      </c>
      <c r="AQ337" t="s">
        <v>66</v>
      </c>
      <c r="AR337" t="s">
        <v>66</v>
      </c>
      <c r="AS337" t="s">
        <v>66</v>
      </c>
      <c r="AT337" t="s">
        <v>66</v>
      </c>
    </row>
    <row r="338" spans="1:46" x14ac:dyDescent="0.15">
      <c r="A338" t="s">
        <v>1260</v>
      </c>
      <c r="B338" t="s">
        <v>1233</v>
      </c>
      <c r="C338" t="s">
        <v>1234</v>
      </c>
      <c r="D338">
        <v>27</v>
      </c>
      <c r="E338" t="s">
        <v>49</v>
      </c>
      <c r="F338" t="s">
        <v>50</v>
      </c>
      <c r="G338" t="s">
        <v>51</v>
      </c>
      <c r="H338" t="s">
        <v>52</v>
      </c>
      <c r="I338" t="s">
        <v>53</v>
      </c>
      <c r="J338" t="s">
        <v>54</v>
      </c>
      <c r="K338" t="s">
        <v>55</v>
      </c>
      <c r="L338" t="s">
        <v>17</v>
      </c>
      <c r="M338" t="s">
        <v>16</v>
      </c>
      <c r="N338">
        <v>1959</v>
      </c>
      <c r="O338">
        <v>114</v>
      </c>
      <c r="P338">
        <v>0</v>
      </c>
      <c r="Q338" t="s">
        <v>232</v>
      </c>
      <c r="R338" t="s">
        <v>233</v>
      </c>
      <c r="S338" t="s">
        <v>234</v>
      </c>
      <c r="T338" t="s">
        <v>235</v>
      </c>
      <c r="U338" t="s">
        <v>60</v>
      </c>
      <c r="V338" t="s">
        <v>61</v>
      </c>
      <c r="W338">
        <v>3</v>
      </c>
      <c r="X338">
        <v>0.14000000000000001</v>
      </c>
      <c r="Y338" t="s">
        <v>151</v>
      </c>
      <c r="Z338" t="s">
        <v>236</v>
      </c>
      <c r="AA338">
        <v>1</v>
      </c>
      <c r="AB338" t="s">
        <v>63</v>
      </c>
      <c r="AC338" t="s">
        <v>64</v>
      </c>
      <c r="AD338" t="s">
        <v>65</v>
      </c>
      <c r="AE338" t="s">
        <v>65</v>
      </c>
      <c r="AF338" t="s">
        <v>65</v>
      </c>
      <c r="AG338" t="s">
        <v>191</v>
      </c>
      <c r="AH338" t="s">
        <v>66</v>
      </c>
      <c r="AI338" t="s">
        <v>66</v>
      </c>
      <c r="AJ338" t="s">
        <v>66</v>
      </c>
      <c r="AK338">
        <v>1</v>
      </c>
      <c r="AL338" t="s">
        <v>66</v>
      </c>
      <c r="AM338" t="s">
        <v>66</v>
      </c>
      <c r="AN338" t="s">
        <v>66</v>
      </c>
      <c r="AO338" t="s">
        <v>66</v>
      </c>
      <c r="AP338">
        <v>1</v>
      </c>
      <c r="AQ338" t="s">
        <v>66</v>
      </c>
      <c r="AR338" t="s">
        <v>66</v>
      </c>
      <c r="AS338" t="s">
        <v>66</v>
      </c>
      <c r="AT338" t="s">
        <v>66</v>
      </c>
    </row>
    <row r="339" spans="1:46" x14ac:dyDescent="0.15">
      <c r="A339" t="s">
        <v>1261</v>
      </c>
      <c r="B339" t="s">
        <v>1233</v>
      </c>
      <c r="C339" t="s">
        <v>1234</v>
      </c>
      <c r="D339">
        <v>28</v>
      </c>
      <c r="E339" t="s">
        <v>49</v>
      </c>
      <c r="F339" t="s">
        <v>50</v>
      </c>
      <c r="G339" t="s">
        <v>51</v>
      </c>
      <c r="H339" t="s">
        <v>52</v>
      </c>
      <c r="I339" t="s">
        <v>53</v>
      </c>
      <c r="J339" t="s">
        <v>54</v>
      </c>
      <c r="K339" t="s">
        <v>55</v>
      </c>
      <c r="L339" t="s">
        <v>17</v>
      </c>
      <c r="M339" t="s">
        <v>16</v>
      </c>
      <c r="N339">
        <v>2015</v>
      </c>
      <c r="O339">
        <v>118</v>
      </c>
      <c r="P339">
        <v>0</v>
      </c>
      <c r="Q339" t="s">
        <v>238</v>
      </c>
      <c r="R339" t="s">
        <v>239</v>
      </c>
      <c r="S339" t="s">
        <v>240</v>
      </c>
      <c r="T339" t="s">
        <v>241</v>
      </c>
      <c r="U339" t="s">
        <v>60</v>
      </c>
      <c r="V339" t="s">
        <v>61</v>
      </c>
      <c r="W339">
        <v>3</v>
      </c>
      <c r="X339">
        <v>0.14000000000000001</v>
      </c>
      <c r="Y339" t="s">
        <v>242</v>
      </c>
      <c r="Z339" t="s">
        <v>243</v>
      </c>
      <c r="AA339">
        <v>1</v>
      </c>
      <c r="AB339" t="s">
        <v>63</v>
      </c>
      <c r="AC339" t="s">
        <v>64</v>
      </c>
      <c r="AD339" t="s">
        <v>65</v>
      </c>
      <c r="AE339" t="s">
        <v>65</v>
      </c>
      <c r="AF339" t="s">
        <v>65</v>
      </c>
      <c r="AG339" t="s">
        <v>191</v>
      </c>
      <c r="AH339" t="s">
        <v>66</v>
      </c>
      <c r="AI339" t="s">
        <v>66</v>
      </c>
      <c r="AJ339" t="s">
        <v>66</v>
      </c>
      <c r="AK339">
        <v>1</v>
      </c>
      <c r="AL339" t="s">
        <v>66</v>
      </c>
      <c r="AM339" t="s">
        <v>66</v>
      </c>
      <c r="AN339" t="s">
        <v>66</v>
      </c>
      <c r="AO339" t="s">
        <v>66</v>
      </c>
      <c r="AP339">
        <v>1</v>
      </c>
      <c r="AQ339" t="s">
        <v>66</v>
      </c>
      <c r="AR339" t="s">
        <v>66</v>
      </c>
      <c r="AS339" t="s">
        <v>66</v>
      </c>
      <c r="AT339" t="s">
        <v>66</v>
      </c>
    </row>
    <row r="340" spans="1:46" x14ac:dyDescent="0.15">
      <c r="A340" t="s">
        <v>1262</v>
      </c>
      <c r="B340" t="s">
        <v>1233</v>
      </c>
      <c r="C340" t="s">
        <v>1234</v>
      </c>
      <c r="D340">
        <v>29</v>
      </c>
      <c r="E340" t="s">
        <v>49</v>
      </c>
      <c r="F340" t="s">
        <v>50</v>
      </c>
      <c r="G340" t="s">
        <v>51</v>
      </c>
      <c r="H340" t="s">
        <v>52</v>
      </c>
      <c r="I340" t="s">
        <v>53</v>
      </c>
      <c r="J340" t="s">
        <v>54</v>
      </c>
      <c r="K340" t="s">
        <v>55</v>
      </c>
      <c r="L340" t="s">
        <v>17</v>
      </c>
      <c r="M340" t="s">
        <v>16</v>
      </c>
      <c r="N340">
        <v>2071</v>
      </c>
      <c r="O340">
        <v>121</v>
      </c>
      <c r="P340">
        <v>0</v>
      </c>
      <c r="Q340" t="s">
        <v>245</v>
      </c>
      <c r="R340" t="s">
        <v>246</v>
      </c>
      <c r="S340" t="s">
        <v>247</v>
      </c>
      <c r="T340" t="s">
        <v>248</v>
      </c>
      <c r="U340" t="s">
        <v>60</v>
      </c>
      <c r="V340" t="s">
        <v>61</v>
      </c>
      <c r="W340">
        <v>3</v>
      </c>
      <c r="X340">
        <v>0.14000000000000001</v>
      </c>
      <c r="Y340" t="s">
        <v>157</v>
      </c>
      <c r="Z340" t="s">
        <v>249</v>
      </c>
      <c r="AA340">
        <v>1</v>
      </c>
      <c r="AB340" t="s">
        <v>63</v>
      </c>
      <c r="AC340" t="s">
        <v>64</v>
      </c>
      <c r="AD340" t="s">
        <v>65</v>
      </c>
      <c r="AE340" t="s">
        <v>65</v>
      </c>
      <c r="AF340" t="s">
        <v>65</v>
      </c>
      <c r="AG340" t="s">
        <v>191</v>
      </c>
      <c r="AH340" t="s">
        <v>66</v>
      </c>
      <c r="AI340" t="s">
        <v>66</v>
      </c>
      <c r="AJ340" t="s">
        <v>66</v>
      </c>
      <c r="AK340">
        <v>1</v>
      </c>
      <c r="AL340" t="s">
        <v>66</v>
      </c>
      <c r="AM340" t="s">
        <v>66</v>
      </c>
      <c r="AN340" t="s">
        <v>66</v>
      </c>
      <c r="AO340" t="s">
        <v>66</v>
      </c>
      <c r="AP340">
        <v>1</v>
      </c>
      <c r="AQ340" t="s">
        <v>66</v>
      </c>
      <c r="AR340" t="s">
        <v>66</v>
      </c>
      <c r="AS340" t="s">
        <v>66</v>
      </c>
      <c r="AT340" t="s">
        <v>66</v>
      </c>
    </row>
    <row r="341" spans="1:46" x14ac:dyDescent="0.15">
      <c r="A341" t="s">
        <v>1263</v>
      </c>
      <c r="B341" t="s">
        <v>1233</v>
      </c>
      <c r="C341" t="s">
        <v>1234</v>
      </c>
      <c r="D341">
        <v>30</v>
      </c>
      <c r="E341" t="s">
        <v>49</v>
      </c>
      <c r="F341" t="s">
        <v>50</v>
      </c>
      <c r="G341" t="s">
        <v>51</v>
      </c>
      <c r="H341" t="s">
        <v>52</v>
      </c>
      <c r="I341" t="s">
        <v>53</v>
      </c>
      <c r="J341" t="s">
        <v>54</v>
      </c>
      <c r="K341" t="s">
        <v>55</v>
      </c>
      <c r="L341" t="s">
        <v>17</v>
      </c>
      <c r="M341" t="s">
        <v>16</v>
      </c>
      <c r="N341">
        <v>2128</v>
      </c>
      <c r="O341">
        <v>124</v>
      </c>
      <c r="P341">
        <v>0</v>
      </c>
      <c r="Q341" t="s">
        <v>251</v>
      </c>
      <c r="R341" t="s">
        <v>252</v>
      </c>
      <c r="S341" t="s">
        <v>253</v>
      </c>
      <c r="T341" t="s">
        <v>254</v>
      </c>
      <c r="U341" t="s">
        <v>60</v>
      </c>
      <c r="V341" t="s">
        <v>61</v>
      </c>
      <c r="W341">
        <v>3</v>
      </c>
      <c r="X341">
        <v>0.14000000000000001</v>
      </c>
      <c r="Y341" t="s">
        <v>255</v>
      </c>
      <c r="Z341" t="s">
        <v>256</v>
      </c>
      <c r="AA341">
        <v>1</v>
      </c>
      <c r="AB341" t="s">
        <v>63</v>
      </c>
      <c r="AC341" t="s">
        <v>64</v>
      </c>
      <c r="AD341" t="s">
        <v>65</v>
      </c>
      <c r="AE341" t="s">
        <v>65</v>
      </c>
      <c r="AF341" t="s">
        <v>65</v>
      </c>
      <c r="AG341" t="s">
        <v>191</v>
      </c>
      <c r="AH341" t="s">
        <v>66</v>
      </c>
      <c r="AI341" t="s">
        <v>66</v>
      </c>
      <c r="AJ341" t="s">
        <v>66</v>
      </c>
      <c r="AK341">
        <v>1</v>
      </c>
      <c r="AL341" t="s">
        <v>66</v>
      </c>
      <c r="AM341" t="s">
        <v>66</v>
      </c>
      <c r="AN341" t="s">
        <v>66</v>
      </c>
      <c r="AO341" t="s">
        <v>66</v>
      </c>
      <c r="AP341">
        <v>1</v>
      </c>
      <c r="AQ341" t="s">
        <v>66</v>
      </c>
      <c r="AR341" t="s">
        <v>66</v>
      </c>
      <c r="AS341" t="s">
        <v>66</v>
      </c>
      <c r="AT341" t="s">
        <v>66</v>
      </c>
    </row>
    <row r="342" spans="1:46" x14ac:dyDescent="0.15">
      <c r="A342" t="s">
        <v>1264</v>
      </c>
      <c r="B342" t="s">
        <v>1233</v>
      </c>
      <c r="C342" t="s">
        <v>1234</v>
      </c>
      <c r="D342">
        <v>31</v>
      </c>
      <c r="E342" t="s">
        <v>49</v>
      </c>
      <c r="F342" t="s">
        <v>50</v>
      </c>
      <c r="G342" t="s">
        <v>51</v>
      </c>
      <c r="H342" t="s">
        <v>52</v>
      </c>
      <c r="I342" t="s">
        <v>53</v>
      </c>
      <c r="J342" t="s">
        <v>54</v>
      </c>
      <c r="K342" t="s">
        <v>55</v>
      </c>
      <c r="L342" t="s">
        <v>17</v>
      </c>
      <c r="M342" t="s">
        <v>16</v>
      </c>
      <c r="N342">
        <v>2184</v>
      </c>
      <c r="O342">
        <v>127</v>
      </c>
      <c r="P342">
        <v>0</v>
      </c>
      <c r="Q342" t="s">
        <v>258</v>
      </c>
      <c r="R342" t="s">
        <v>259</v>
      </c>
      <c r="S342" t="s">
        <v>260</v>
      </c>
      <c r="T342" t="s">
        <v>261</v>
      </c>
      <c r="U342" t="s">
        <v>60</v>
      </c>
      <c r="V342" t="s">
        <v>61</v>
      </c>
      <c r="W342">
        <v>3</v>
      </c>
      <c r="X342">
        <v>0.14000000000000001</v>
      </c>
      <c r="Y342" t="s">
        <v>164</v>
      </c>
      <c r="Z342" t="s">
        <v>262</v>
      </c>
      <c r="AA342">
        <v>1</v>
      </c>
      <c r="AB342" t="s">
        <v>63</v>
      </c>
      <c r="AC342" t="s">
        <v>64</v>
      </c>
      <c r="AD342" t="s">
        <v>65</v>
      </c>
      <c r="AE342" t="s">
        <v>65</v>
      </c>
      <c r="AF342" t="s">
        <v>65</v>
      </c>
      <c r="AG342" t="s">
        <v>191</v>
      </c>
      <c r="AH342" t="s">
        <v>66</v>
      </c>
      <c r="AI342" t="s">
        <v>66</v>
      </c>
      <c r="AJ342" t="s">
        <v>66</v>
      </c>
      <c r="AK342">
        <v>1</v>
      </c>
      <c r="AL342" t="s">
        <v>66</v>
      </c>
      <c r="AM342" t="s">
        <v>66</v>
      </c>
      <c r="AN342" t="s">
        <v>66</v>
      </c>
      <c r="AO342" t="s">
        <v>66</v>
      </c>
      <c r="AP342">
        <v>1</v>
      </c>
      <c r="AQ342" t="s">
        <v>66</v>
      </c>
      <c r="AR342" t="s">
        <v>66</v>
      </c>
      <c r="AS342" t="s">
        <v>66</v>
      </c>
      <c r="AT342" t="s">
        <v>66</v>
      </c>
    </row>
    <row r="343" spans="1:46" x14ac:dyDescent="0.15">
      <c r="A343" t="s">
        <v>1265</v>
      </c>
      <c r="B343" t="s">
        <v>1233</v>
      </c>
      <c r="C343" t="s">
        <v>1234</v>
      </c>
      <c r="D343">
        <v>32</v>
      </c>
      <c r="E343" t="s">
        <v>49</v>
      </c>
      <c r="F343" t="s">
        <v>50</v>
      </c>
      <c r="G343" t="s">
        <v>51</v>
      </c>
      <c r="H343" t="s">
        <v>52</v>
      </c>
      <c r="I343" t="s">
        <v>53</v>
      </c>
      <c r="J343" t="s">
        <v>54</v>
      </c>
      <c r="K343" t="s">
        <v>55</v>
      </c>
      <c r="L343" t="s">
        <v>17</v>
      </c>
      <c r="M343" t="s">
        <v>16</v>
      </c>
      <c r="N343">
        <v>2240</v>
      </c>
      <c r="O343">
        <v>131</v>
      </c>
      <c r="P343">
        <v>0</v>
      </c>
      <c r="Q343" t="s">
        <v>264</v>
      </c>
      <c r="R343" t="s">
        <v>265</v>
      </c>
      <c r="S343" t="s">
        <v>266</v>
      </c>
      <c r="T343" t="s">
        <v>267</v>
      </c>
      <c r="U343" t="s">
        <v>60</v>
      </c>
      <c r="V343" t="s">
        <v>61</v>
      </c>
      <c r="W343">
        <v>3</v>
      </c>
      <c r="X343">
        <v>0.14000000000000001</v>
      </c>
      <c r="Y343" t="s">
        <v>268</v>
      </c>
      <c r="Z343" t="s">
        <v>269</v>
      </c>
      <c r="AA343">
        <v>1</v>
      </c>
      <c r="AB343" t="s">
        <v>63</v>
      </c>
      <c r="AC343" t="s">
        <v>64</v>
      </c>
      <c r="AD343" t="s">
        <v>65</v>
      </c>
      <c r="AE343" t="s">
        <v>65</v>
      </c>
      <c r="AF343" t="s">
        <v>65</v>
      </c>
      <c r="AG343" t="s">
        <v>191</v>
      </c>
      <c r="AH343" t="s">
        <v>66</v>
      </c>
      <c r="AI343" t="s">
        <v>66</v>
      </c>
      <c r="AJ343" t="s">
        <v>66</v>
      </c>
      <c r="AK343">
        <v>1</v>
      </c>
      <c r="AL343" t="s">
        <v>66</v>
      </c>
      <c r="AM343" t="s">
        <v>66</v>
      </c>
      <c r="AN343" t="s">
        <v>66</v>
      </c>
      <c r="AO343" t="s">
        <v>66</v>
      </c>
      <c r="AP343">
        <v>1</v>
      </c>
      <c r="AQ343" t="s">
        <v>66</v>
      </c>
      <c r="AR343" t="s">
        <v>66</v>
      </c>
      <c r="AS343" t="s">
        <v>66</v>
      </c>
      <c r="AT343" t="s">
        <v>66</v>
      </c>
    </row>
    <row r="344" spans="1:46" x14ac:dyDescent="0.15">
      <c r="A344" t="s">
        <v>1266</v>
      </c>
      <c r="B344" t="s">
        <v>1233</v>
      </c>
      <c r="C344" t="s">
        <v>1234</v>
      </c>
      <c r="D344">
        <v>33</v>
      </c>
      <c r="E344" t="s">
        <v>49</v>
      </c>
      <c r="F344" t="s">
        <v>50</v>
      </c>
      <c r="G344" t="s">
        <v>51</v>
      </c>
      <c r="H344" t="s">
        <v>52</v>
      </c>
      <c r="I344" t="s">
        <v>53</v>
      </c>
      <c r="J344" t="s">
        <v>54</v>
      </c>
      <c r="K344" t="s">
        <v>55</v>
      </c>
      <c r="L344" t="s">
        <v>17</v>
      </c>
      <c r="M344" t="s">
        <v>16</v>
      </c>
      <c r="N344">
        <v>2296</v>
      </c>
      <c r="O344">
        <v>134</v>
      </c>
      <c r="P344">
        <v>0</v>
      </c>
      <c r="Q344" t="s">
        <v>271</v>
      </c>
      <c r="R344" t="s">
        <v>272</v>
      </c>
      <c r="S344" t="s">
        <v>273</v>
      </c>
      <c r="T344" t="s">
        <v>274</v>
      </c>
      <c r="U344" t="s">
        <v>60</v>
      </c>
      <c r="V344" t="s">
        <v>61</v>
      </c>
      <c r="W344">
        <v>3</v>
      </c>
      <c r="X344">
        <v>0.14000000000000001</v>
      </c>
      <c r="Y344" t="s">
        <v>170</v>
      </c>
      <c r="Z344" t="s">
        <v>275</v>
      </c>
      <c r="AA344">
        <v>1</v>
      </c>
      <c r="AB344" t="s">
        <v>63</v>
      </c>
      <c r="AC344" t="s">
        <v>64</v>
      </c>
      <c r="AD344" t="s">
        <v>65</v>
      </c>
      <c r="AE344" t="s">
        <v>65</v>
      </c>
      <c r="AF344" t="s">
        <v>65</v>
      </c>
      <c r="AG344" t="s">
        <v>191</v>
      </c>
      <c r="AH344" t="s">
        <v>66</v>
      </c>
      <c r="AI344" t="s">
        <v>66</v>
      </c>
      <c r="AJ344" t="s">
        <v>66</v>
      </c>
      <c r="AK344">
        <v>1</v>
      </c>
      <c r="AL344" t="s">
        <v>66</v>
      </c>
      <c r="AM344" t="s">
        <v>66</v>
      </c>
      <c r="AN344" t="s">
        <v>66</v>
      </c>
      <c r="AO344" t="s">
        <v>66</v>
      </c>
      <c r="AP344">
        <v>1</v>
      </c>
      <c r="AQ344" t="s">
        <v>66</v>
      </c>
      <c r="AR344" t="s">
        <v>66</v>
      </c>
      <c r="AS344" t="s">
        <v>66</v>
      </c>
      <c r="AT344" t="s">
        <v>66</v>
      </c>
    </row>
    <row r="345" spans="1:46" x14ac:dyDescent="0.15">
      <c r="A345" t="s">
        <v>1267</v>
      </c>
      <c r="B345" t="s">
        <v>1233</v>
      </c>
      <c r="C345" t="s">
        <v>1234</v>
      </c>
      <c r="D345">
        <v>34</v>
      </c>
      <c r="E345" t="s">
        <v>49</v>
      </c>
      <c r="F345" t="s">
        <v>50</v>
      </c>
      <c r="G345" t="s">
        <v>51</v>
      </c>
      <c r="H345" t="s">
        <v>52</v>
      </c>
      <c r="I345" t="s">
        <v>53</v>
      </c>
      <c r="J345" t="s">
        <v>54</v>
      </c>
      <c r="K345" t="s">
        <v>55</v>
      </c>
      <c r="L345" t="s">
        <v>17</v>
      </c>
      <c r="M345" t="s">
        <v>16</v>
      </c>
      <c r="N345">
        <v>2352</v>
      </c>
      <c r="O345">
        <v>137</v>
      </c>
      <c r="P345">
        <v>0</v>
      </c>
      <c r="Q345" t="s">
        <v>277</v>
      </c>
      <c r="R345" t="s">
        <v>278</v>
      </c>
      <c r="S345" t="s">
        <v>279</v>
      </c>
      <c r="T345" t="s">
        <v>280</v>
      </c>
      <c r="U345" t="s">
        <v>60</v>
      </c>
      <c r="V345" t="s">
        <v>61</v>
      </c>
      <c r="W345">
        <v>3</v>
      </c>
      <c r="X345">
        <v>0.14000000000000001</v>
      </c>
      <c r="Y345" t="s">
        <v>281</v>
      </c>
      <c r="Z345" t="s">
        <v>282</v>
      </c>
      <c r="AA345">
        <v>1</v>
      </c>
      <c r="AB345" t="s">
        <v>63</v>
      </c>
      <c r="AC345" t="s">
        <v>64</v>
      </c>
      <c r="AD345" t="s">
        <v>65</v>
      </c>
      <c r="AE345" t="s">
        <v>65</v>
      </c>
      <c r="AF345" t="s">
        <v>65</v>
      </c>
      <c r="AG345" t="s">
        <v>191</v>
      </c>
      <c r="AH345" t="s">
        <v>66</v>
      </c>
      <c r="AI345" t="s">
        <v>66</v>
      </c>
      <c r="AJ345" t="s">
        <v>66</v>
      </c>
      <c r="AK345">
        <v>1</v>
      </c>
      <c r="AL345" t="s">
        <v>66</v>
      </c>
      <c r="AM345" t="s">
        <v>66</v>
      </c>
      <c r="AN345" t="s">
        <v>66</v>
      </c>
      <c r="AO345" t="s">
        <v>66</v>
      </c>
      <c r="AP345">
        <v>1</v>
      </c>
      <c r="AQ345" t="s">
        <v>66</v>
      </c>
      <c r="AR345" t="s">
        <v>66</v>
      </c>
      <c r="AS345" t="s">
        <v>66</v>
      </c>
      <c r="AT345" t="s">
        <v>66</v>
      </c>
    </row>
    <row r="346" spans="1:46" x14ac:dyDescent="0.15">
      <c r="A346" t="s">
        <v>1268</v>
      </c>
      <c r="B346" t="s">
        <v>1233</v>
      </c>
      <c r="C346" t="s">
        <v>1234</v>
      </c>
      <c r="D346">
        <v>35</v>
      </c>
      <c r="E346" t="s">
        <v>49</v>
      </c>
      <c r="F346" t="s">
        <v>50</v>
      </c>
      <c r="G346" t="s">
        <v>51</v>
      </c>
      <c r="H346" t="s">
        <v>52</v>
      </c>
      <c r="I346" t="s">
        <v>53</v>
      </c>
      <c r="J346" t="s">
        <v>54</v>
      </c>
      <c r="K346" t="s">
        <v>55</v>
      </c>
      <c r="L346" t="s">
        <v>17</v>
      </c>
      <c r="M346" t="s">
        <v>16</v>
      </c>
      <c r="N346">
        <v>2408</v>
      </c>
      <c r="O346">
        <v>140</v>
      </c>
      <c r="P346">
        <v>0</v>
      </c>
      <c r="Q346" t="s">
        <v>284</v>
      </c>
      <c r="R346" t="s">
        <v>285</v>
      </c>
      <c r="S346" t="s">
        <v>286</v>
      </c>
      <c r="T346" t="s">
        <v>287</v>
      </c>
      <c r="U346" t="s">
        <v>60</v>
      </c>
      <c r="V346" t="s">
        <v>61</v>
      </c>
      <c r="W346">
        <v>3</v>
      </c>
      <c r="X346">
        <v>0.14000000000000001</v>
      </c>
      <c r="Y346" t="s">
        <v>177</v>
      </c>
      <c r="Z346" t="s">
        <v>288</v>
      </c>
      <c r="AA346">
        <v>1</v>
      </c>
      <c r="AB346" t="s">
        <v>63</v>
      </c>
      <c r="AC346" t="s">
        <v>64</v>
      </c>
      <c r="AD346" t="s">
        <v>65</v>
      </c>
      <c r="AE346" t="s">
        <v>65</v>
      </c>
      <c r="AF346" t="s">
        <v>65</v>
      </c>
      <c r="AG346" t="s">
        <v>191</v>
      </c>
      <c r="AH346" t="s">
        <v>66</v>
      </c>
      <c r="AI346" t="s">
        <v>66</v>
      </c>
      <c r="AJ346" t="s">
        <v>66</v>
      </c>
      <c r="AK346">
        <v>1</v>
      </c>
      <c r="AL346" t="s">
        <v>66</v>
      </c>
      <c r="AM346" t="s">
        <v>66</v>
      </c>
      <c r="AN346" t="s">
        <v>66</v>
      </c>
      <c r="AO346" t="s">
        <v>66</v>
      </c>
      <c r="AP346">
        <v>1</v>
      </c>
      <c r="AQ346" t="s">
        <v>66</v>
      </c>
      <c r="AR346" t="s">
        <v>66</v>
      </c>
      <c r="AS346" t="s">
        <v>66</v>
      </c>
      <c r="AT346" t="s">
        <v>66</v>
      </c>
    </row>
    <row r="347" spans="1:46" x14ac:dyDescent="0.15">
      <c r="A347" t="s">
        <v>1269</v>
      </c>
      <c r="B347" t="s">
        <v>1233</v>
      </c>
      <c r="C347" t="s">
        <v>1234</v>
      </c>
      <c r="D347">
        <v>36</v>
      </c>
      <c r="E347" t="s">
        <v>49</v>
      </c>
      <c r="F347" t="s">
        <v>50</v>
      </c>
      <c r="G347" t="s">
        <v>51</v>
      </c>
      <c r="H347" t="s">
        <v>52</v>
      </c>
      <c r="I347" t="s">
        <v>53</v>
      </c>
      <c r="J347" t="s">
        <v>54</v>
      </c>
      <c r="K347" t="s">
        <v>55</v>
      </c>
      <c r="L347" t="s">
        <v>17</v>
      </c>
      <c r="M347" t="s">
        <v>16</v>
      </c>
      <c r="N347">
        <v>2464</v>
      </c>
      <c r="O347">
        <v>144</v>
      </c>
      <c r="P347">
        <v>0</v>
      </c>
      <c r="Q347" t="s">
        <v>290</v>
      </c>
      <c r="R347" t="s">
        <v>291</v>
      </c>
      <c r="S347" t="s">
        <v>292</v>
      </c>
      <c r="T347" t="s">
        <v>293</v>
      </c>
      <c r="U347" t="s">
        <v>60</v>
      </c>
      <c r="V347" t="s">
        <v>61</v>
      </c>
      <c r="W347">
        <v>3</v>
      </c>
      <c r="X347">
        <v>0.14000000000000001</v>
      </c>
      <c r="Y347" t="s">
        <v>294</v>
      </c>
      <c r="Z347" t="s">
        <v>295</v>
      </c>
      <c r="AA347">
        <v>1</v>
      </c>
      <c r="AB347" t="s">
        <v>63</v>
      </c>
      <c r="AC347" t="s">
        <v>64</v>
      </c>
      <c r="AD347" t="s">
        <v>65</v>
      </c>
      <c r="AE347" t="s">
        <v>65</v>
      </c>
      <c r="AF347" t="s">
        <v>65</v>
      </c>
      <c r="AG347" t="s">
        <v>191</v>
      </c>
      <c r="AH347" t="s">
        <v>66</v>
      </c>
      <c r="AI347" t="s">
        <v>66</v>
      </c>
      <c r="AJ347" t="s">
        <v>66</v>
      </c>
      <c r="AK347">
        <v>1</v>
      </c>
      <c r="AL347" t="s">
        <v>66</v>
      </c>
      <c r="AM347" t="s">
        <v>66</v>
      </c>
      <c r="AN347" t="s">
        <v>66</v>
      </c>
      <c r="AO347" t="s">
        <v>66</v>
      </c>
      <c r="AP347">
        <v>1</v>
      </c>
      <c r="AQ347" t="s">
        <v>66</v>
      </c>
      <c r="AR347" t="s">
        <v>66</v>
      </c>
      <c r="AS347" t="s">
        <v>66</v>
      </c>
      <c r="AT347" t="s">
        <v>66</v>
      </c>
    </row>
    <row r="348" spans="1:46" x14ac:dyDescent="0.15">
      <c r="A348" t="s">
        <v>1270</v>
      </c>
      <c r="B348" t="s">
        <v>1233</v>
      </c>
      <c r="C348" t="s">
        <v>1234</v>
      </c>
      <c r="D348">
        <v>37</v>
      </c>
      <c r="E348" t="s">
        <v>49</v>
      </c>
      <c r="F348" t="s">
        <v>50</v>
      </c>
      <c r="G348" t="s">
        <v>51</v>
      </c>
      <c r="H348" t="s">
        <v>52</v>
      </c>
      <c r="I348" t="s">
        <v>53</v>
      </c>
      <c r="J348" t="s">
        <v>54</v>
      </c>
      <c r="K348" t="s">
        <v>55</v>
      </c>
      <c r="L348" t="s">
        <v>17</v>
      </c>
      <c r="M348" t="s">
        <v>16</v>
      </c>
      <c r="N348">
        <v>2520</v>
      </c>
      <c r="O348">
        <v>147</v>
      </c>
      <c r="P348">
        <v>0</v>
      </c>
      <c r="Q348" t="s">
        <v>297</v>
      </c>
      <c r="R348" t="s">
        <v>298</v>
      </c>
      <c r="S348" t="s">
        <v>299</v>
      </c>
      <c r="T348" t="s">
        <v>300</v>
      </c>
      <c r="U348" t="s">
        <v>60</v>
      </c>
      <c r="V348" t="s">
        <v>61</v>
      </c>
      <c r="W348">
        <v>3</v>
      </c>
      <c r="X348">
        <v>0.14000000000000001</v>
      </c>
      <c r="Y348" t="s">
        <v>183</v>
      </c>
      <c r="Z348" t="s">
        <v>301</v>
      </c>
      <c r="AA348">
        <v>1</v>
      </c>
      <c r="AB348" t="s">
        <v>63</v>
      </c>
      <c r="AC348" t="s">
        <v>64</v>
      </c>
      <c r="AD348" t="s">
        <v>65</v>
      </c>
      <c r="AE348" t="s">
        <v>65</v>
      </c>
      <c r="AF348" t="s">
        <v>65</v>
      </c>
      <c r="AG348" t="s">
        <v>191</v>
      </c>
      <c r="AH348" t="s">
        <v>66</v>
      </c>
      <c r="AI348" t="s">
        <v>66</v>
      </c>
      <c r="AJ348" t="s">
        <v>66</v>
      </c>
      <c r="AK348">
        <v>1</v>
      </c>
      <c r="AL348" t="s">
        <v>66</v>
      </c>
      <c r="AM348" t="s">
        <v>66</v>
      </c>
      <c r="AN348" t="s">
        <v>66</v>
      </c>
      <c r="AO348" t="s">
        <v>66</v>
      </c>
      <c r="AP348">
        <v>1</v>
      </c>
      <c r="AQ348" t="s">
        <v>66</v>
      </c>
      <c r="AR348" t="s">
        <v>66</v>
      </c>
      <c r="AS348" t="s">
        <v>66</v>
      </c>
      <c r="AT348" t="s">
        <v>66</v>
      </c>
    </row>
    <row r="349" spans="1:46" x14ac:dyDescent="0.15">
      <c r="A349" t="s">
        <v>1271</v>
      </c>
      <c r="B349" t="s">
        <v>1233</v>
      </c>
      <c r="C349" t="s">
        <v>1234</v>
      </c>
      <c r="D349">
        <v>38</v>
      </c>
      <c r="E349" t="s">
        <v>49</v>
      </c>
      <c r="F349" t="s">
        <v>50</v>
      </c>
      <c r="G349" t="s">
        <v>51</v>
      </c>
      <c r="H349" t="s">
        <v>52</v>
      </c>
      <c r="I349" t="s">
        <v>53</v>
      </c>
      <c r="J349" t="s">
        <v>54</v>
      </c>
      <c r="K349" t="s">
        <v>55</v>
      </c>
      <c r="L349" t="s">
        <v>17</v>
      </c>
      <c r="M349" t="s">
        <v>16</v>
      </c>
      <c r="N349">
        <v>2577</v>
      </c>
      <c r="O349">
        <v>150</v>
      </c>
      <c r="P349">
        <v>0</v>
      </c>
      <c r="Q349" t="s">
        <v>303</v>
      </c>
      <c r="R349" t="s">
        <v>304</v>
      </c>
      <c r="S349" t="s">
        <v>305</v>
      </c>
      <c r="T349" t="s">
        <v>306</v>
      </c>
      <c r="U349" t="s">
        <v>60</v>
      </c>
      <c r="V349" t="s">
        <v>61</v>
      </c>
      <c r="W349">
        <v>3</v>
      </c>
      <c r="X349">
        <v>0.14000000000000001</v>
      </c>
      <c r="Y349" t="s">
        <v>307</v>
      </c>
      <c r="Z349" t="s">
        <v>308</v>
      </c>
      <c r="AA349">
        <v>1</v>
      </c>
      <c r="AB349" t="s">
        <v>63</v>
      </c>
      <c r="AC349" t="s">
        <v>64</v>
      </c>
      <c r="AD349" t="s">
        <v>65</v>
      </c>
      <c r="AE349" t="s">
        <v>65</v>
      </c>
      <c r="AF349" t="s">
        <v>65</v>
      </c>
      <c r="AG349" t="s">
        <v>191</v>
      </c>
      <c r="AH349" t="s">
        <v>66</v>
      </c>
      <c r="AI349" t="s">
        <v>66</v>
      </c>
      <c r="AJ349" t="s">
        <v>66</v>
      </c>
      <c r="AK349">
        <v>1</v>
      </c>
      <c r="AL349" t="s">
        <v>66</v>
      </c>
      <c r="AM349" t="s">
        <v>66</v>
      </c>
      <c r="AN349" t="s">
        <v>66</v>
      </c>
      <c r="AO349" t="s">
        <v>66</v>
      </c>
      <c r="AP349">
        <v>1</v>
      </c>
      <c r="AQ349" t="s">
        <v>66</v>
      </c>
      <c r="AR349" t="s">
        <v>66</v>
      </c>
      <c r="AS349" t="s">
        <v>66</v>
      </c>
      <c r="AT349" t="s">
        <v>66</v>
      </c>
    </row>
    <row r="350" spans="1:46" x14ac:dyDescent="0.15">
      <c r="A350" t="s">
        <v>1272</v>
      </c>
      <c r="B350" t="s">
        <v>1233</v>
      </c>
      <c r="C350" t="s">
        <v>1234</v>
      </c>
      <c r="D350">
        <v>39</v>
      </c>
      <c r="E350" t="s">
        <v>49</v>
      </c>
      <c r="F350" t="s">
        <v>50</v>
      </c>
      <c r="G350" t="s">
        <v>51</v>
      </c>
      <c r="H350" t="s">
        <v>52</v>
      </c>
      <c r="I350" t="s">
        <v>53</v>
      </c>
      <c r="J350" t="s">
        <v>54</v>
      </c>
      <c r="K350" t="s">
        <v>55</v>
      </c>
      <c r="L350" t="s">
        <v>17</v>
      </c>
      <c r="M350" t="s">
        <v>16</v>
      </c>
      <c r="N350">
        <v>2633</v>
      </c>
      <c r="O350">
        <v>153</v>
      </c>
      <c r="P350">
        <v>0</v>
      </c>
      <c r="Q350" t="s">
        <v>310</v>
      </c>
      <c r="R350" t="s">
        <v>311</v>
      </c>
      <c r="S350" t="s">
        <v>312</v>
      </c>
      <c r="T350" t="s">
        <v>313</v>
      </c>
      <c r="U350" t="s">
        <v>60</v>
      </c>
      <c r="V350" t="s">
        <v>61</v>
      </c>
      <c r="W350">
        <v>3</v>
      </c>
      <c r="X350">
        <v>0.14000000000000001</v>
      </c>
      <c r="Y350" t="s">
        <v>190</v>
      </c>
      <c r="Z350" t="s">
        <v>314</v>
      </c>
      <c r="AA350">
        <v>1</v>
      </c>
      <c r="AB350" t="s">
        <v>63</v>
      </c>
      <c r="AC350" t="s">
        <v>64</v>
      </c>
      <c r="AD350" t="s">
        <v>65</v>
      </c>
      <c r="AE350" t="s">
        <v>65</v>
      </c>
      <c r="AF350" t="s">
        <v>65</v>
      </c>
      <c r="AG350" t="s">
        <v>191</v>
      </c>
      <c r="AH350" t="s">
        <v>66</v>
      </c>
      <c r="AI350" t="s">
        <v>66</v>
      </c>
      <c r="AJ350" t="s">
        <v>66</v>
      </c>
      <c r="AK350">
        <v>1</v>
      </c>
      <c r="AL350" t="s">
        <v>66</v>
      </c>
      <c r="AM350" t="s">
        <v>66</v>
      </c>
      <c r="AN350" t="s">
        <v>66</v>
      </c>
      <c r="AO350" t="s">
        <v>66</v>
      </c>
      <c r="AP350">
        <v>1</v>
      </c>
      <c r="AQ350" t="s">
        <v>66</v>
      </c>
      <c r="AR350" t="s">
        <v>66</v>
      </c>
      <c r="AS350" t="s">
        <v>66</v>
      </c>
      <c r="AT350" t="s">
        <v>66</v>
      </c>
    </row>
    <row r="351" spans="1:46" x14ac:dyDescent="0.15">
      <c r="A351" t="s">
        <v>1273</v>
      </c>
      <c r="B351" t="s">
        <v>1233</v>
      </c>
      <c r="C351" t="s">
        <v>1234</v>
      </c>
      <c r="D351">
        <v>40</v>
      </c>
      <c r="E351" t="s">
        <v>49</v>
      </c>
      <c r="F351" t="s">
        <v>50</v>
      </c>
      <c r="G351" t="s">
        <v>51</v>
      </c>
      <c r="H351" t="s">
        <v>52</v>
      </c>
      <c r="I351" t="s">
        <v>53</v>
      </c>
      <c r="J351" t="s">
        <v>54</v>
      </c>
      <c r="K351" t="s">
        <v>55</v>
      </c>
      <c r="L351" t="s">
        <v>17</v>
      </c>
      <c r="M351" t="s">
        <v>16</v>
      </c>
      <c r="N351">
        <v>2689</v>
      </c>
      <c r="O351">
        <v>157</v>
      </c>
      <c r="P351">
        <v>0</v>
      </c>
      <c r="Q351" t="s">
        <v>316</v>
      </c>
      <c r="R351" t="s">
        <v>317</v>
      </c>
      <c r="S351" t="s">
        <v>318</v>
      </c>
      <c r="T351" t="s">
        <v>319</v>
      </c>
      <c r="U351" t="s">
        <v>60</v>
      </c>
      <c r="V351" t="s">
        <v>61</v>
      </c>
      <c r="W351">
        <v>3</v>
      </c>
      <c r="X351">
        <v>0.14000000000000001</v>
      </c>
      <c r="Y351" t="s">
        <v>320</v>
      </c>
      <c r="Z351" t="s">
        <v>321</v>
      </c>
      <c r="AA351">
        <v>1</v>
      </c>
      <c r="AB351" t="s">
        <v>63</v>
      </c>
      <c r="AC351" t="s">
        <v>64</v>
      </c>
      <c r="AD351" t="s">
        <v>65</v>
      </c>
      <c r="AE351" t="s">
        <v>65</v>
      </c>
      <c r="AF351" t="s">
        <v>65</v>
      </c>
      <c r="AG351" t="s">
        <v>191</v>
      </c>
      <c r="AH351" t="s">
        <v>66</v>
      </c>
      <c r="AI351" t="s">
        <v>66</v>
      </c>
      <c r="AJ351" t="s">
        <v>66</v>
      </c>
      <c r="AK351">
        <v>1</v>
      </c>
      <c r="AL351" t="s">
        <v>66</v>
      </c>
      <c r="AM351" t="s">
        <v>66</v>
      </c>
      <c r="AN351" t="s">
        <v>66</v>
      </c>
      <c r="AO351" t="s">
        <v>66</v>
      </c>
      <c r="AP351">
        <v>1</v>
      </c>
      <c r="AQ351" t="s">
        <v>66</v>
      </c>
      <c r="AR351" t="s">
        <v>66</v>
      </c>
      <c r="AS351" t="s">
        <v>66</v>
      </c>
      <c r="AT351" t="s">
        <v>66</v>
      </c>
    </row>
    <row r="352" spans="1:46" x14ac:dyDescent="0.15">
      <c r="A352" t="s">
        <v>1273</v>
      </c>
      <c r="B352" t="s">
        <v>1233</v>
      </c>
      <c r="C352" t="s">
        <v>1234</v>
      </c>
      <c r="D352">
        <v>40</v>
      </c>
      <c r="E352" t="s">
        <v>49</v>
      </c>
      <c r="F352" t="s">
        <v>50</v>
      </c>
      <c r="G352" t="s">
        <v>51</v>
      </c>
      <c r="H352" t="s">
        <v>52</v>
      </c>
      <c r="I352" t="s">
        <v>53</v>
      </c>
      <c r="J352" t="s">
        <v>54</v>
      </c>
      <c r="K352" t="s">
        <v>55</v>
      </c>
      <c r="L352" t="s">
        <v>17</v>
      </c>
      <c r="M352" t="s">
        <v>16</v>
      </c>
      <c r="N352">
        <v>2689</v>
      </c>
      <c r="O352">
        <v>157</v>
      </c>
      <c r="P352">
        <v>0</v>
      </c>
      <c r="Q352" t="s">
        <v>316</v>
      </c>
      <c r="R352" t="s">
        <v>317</v>
      </c>
      <c r="S352" t="s">
        <v>318</v>
      </c>
      <c r="T352" t="s">
        <v>319</v>
      </c>
      <c r="U352" t="s">
        <v>60</v>
      </c>
      <c r="V352" t="s">
        <v>61</v>
      </c>
      <c r="W352">
        <v>3</v>
      </c>
      <c r="X352">
        <v>0.14000000000000001</v>
      </c>
      <c r="Y352" t="s">
        <v>320</v>
      </c>
      <c r="Z352" t="s">
        <v>321</v>
      </c>
      <c r="AA352">
        <v>2</v>
      </c>
      <c r="AB352" t="s">
        <v>63</v>
      </c>
      <c r="AC352" t="s">
        <v>64</v>
      </c>
      <c r="AD352" t="s">
        <v>65</v>
      </c>
      <c r="AE352" t="s">
        <v>65</v>
      </c>
      <c r="AF352" t="s">
        <v>65</v>
      </c>
      <c r="AG352" t="s">
        <v>191</v>
      </c>
      <c r="AH352" t="s">
        <v>322</v>
      </c>
      <c r="AI352" t="s">
        <v>66</v>
      </c>
      <c r="AJ352" t="s">
        <v>66</v>
      </c>
      <c r="AK352">
        <v>1</v>
      </c>
      <c r="AL352" t="s">
        <v>323</v>
      </c>
      <c r="AM352" t="s">
        <v>66</v>
      </c>
      <c r="AN352" t="s">
        <v>324</v>
      </c>
      <c r="AO352" t="s">
        <v>66</v>
      </c>
      <c r="AP352">
        <v>1</v>
      </c>
      <c r="AQ352" t="s">
        <v>66</v>
      </c>
      <c r="AR352" t="s">
        <v>66</v>
      </c>
      <c r="AS352" t="s">
        <v>66</v>
      </c>
      <c r="AT352" t="s">
        <v>66</v>
      </c>
    </row>
    <row r="353" spans="1:46" x14ac:dyDescent="0.15">
      <c r="A353" t="s">
        <v>1274</v>
      </c>
      <c r="B353" t="s">
        <v>1233</v>
      </c>
      <c r="C353" t="s">
        <v>1234</v>
      </c>
      <c r="D353">
        <v>41</v>
      </c>
      <c r="E353" t="s">
        <v>49</v>
      </c>
      <c r="F353" t="s">
        <v>50</v>
      </c>
      <c r="G353" t="s">
        <v>51</v>
      </c>
      <c r="H353" t="s">
        <v>52</v>
      </c>
      <c r="I353" t="s">
        <v>53</v>
      </c>
      <c r="J353" t="s">
        <v>54</v>
      </c>
      <c r="K353" t="s">
        <v>55</v>
      </c>
      <c r="L353" t="s">
        <v>17</v>
      </c>
      <c r="M353" t="s">
        <v>16</v>
      </c>
      <c r="N353">
        <v>2745</v>
      </c>
      <c r="O353">
        <v>160</v>
      </c>
      <c r="P353">
        <v>0</v>
      </c>
      <c r="Q353" t="s">
        <v>326</v>
      </c>
      <c r="R353" t="s">
        <v>327</v>
      </c>
      <c r="S353" t="s">
        <v>328</v>
      </c>
      <c r="T353" t="s">
        <v>329</v>
      </c>
      <c r="U353" t="s">
        <v>60</v>
      </c>
      <c r="V353" t="s">
        <v>61</v>
      </c>
      <c r="W353">
        <v>3</v>
      </c>
      <c r="X353">
        <v>0.14000000000000001</v>
      </c>
      <c r="Y353" t="s">
        <v>197</v>
      </c>
      <c r="Z353" t="s">
        <v>330</v>
      </c>
      <c r="AA353">
        <v>2</v>
      </c>
      <c r="AB353" t="s">
        <v>63</v>
      </c>
      <c r="AC353" t="s">
        <v>64</v>
      </c>
      <c r="AD353" t="s">
        <v>65</v>
      </c>
      <c r="AE353" t="s">
        <v>65</v>
      </c>
      <c r="AF353" t="s">
        <v>65</v>
      </c>
      <c r="AG353" t="s">
        <v>191</v>
      </c>
      <c r="AH353" t="s">
        <v>322</v>
      </c>
      <c r="AI353" t="s">
        <v>66</v>
      </c>
      <c r="AJ353" t="s">
        <v>66</v>
      </c>
      <c r="AK353">
        <v>1</v>
      </c>
      <c r="AL353" t="s">
        <v>323</v>
      </c>
      <c r="AM353" t="s">
        <v>66</v>
      </c>
      <c r="AN353" t="s">
        <v>324</v>
      </c>
      <c r="AO353" t="s">
        <v>66</v>
      </c>
      <c r="AP353">
        <v>1</v>
      </c>
      <c r="AQ353" t="s">
        <v>66</v>
      </c>
      <c r="AR353" t="s">
        <v>66</v>
      </c>
      <c r="AS353" t="s">
        <v>66</v>
      </c>
      <c r="AT353" t="s">
        <v>66</v>
      </c>
    </row>
    <row r="354" spans="1:46" x14ac:dyDescent="0.15">
      <c r="A354" t="s">
        <v>1275</v>
      </c>
      <c r="B354" t="s">
        <v>1233</v>
      </c>
      <c r="C354" t="s">
        <v>1234</v>
      </c>
      <c r="D354">
        <v>42</v>
      </c>
      <c r="E354" t="s">
        <v>49</v>
      </c>
      <c r="F354" t="s">
        <v>50</v>
      </c>
      <c r="G354" t="s">
        <v>51</v>
      </c>
      <c r="H354" t="s">
        <v>52</v>
      </c>
      <c r="I354" t="s">
        <v>53</v>
      </c>
      <c r="J354" t="s">
        <v>54</v>
      </c>
      <c r="K354" t="s">
        <v>55</v>
      </c>
      <c r="L354" t="s">
        <v>17</v>
      </c>
      <c r="M354" t="s">
        <v>16</v>
      </c>
      <c r="N354">
        <v>2801</v>
      </c>
      <c r="O354">
        <v>163</v>
      </c>
      <c r="P354">
        <v>0</v>
      </c>
      <c r="Q354" t="s">
        <v>332</v>
      </c>
      <c r="R354" t="s">
        <v>333</v>
      </c>
      <c r="S354" t="s">
        <v>334</v>
      </c>
      <c r="T354" t="s">
        <v>335</v>
      </c>
      <c r="U354" t="s">
        <v>60</v>
      </c>
      <c r="V354" t="s">
        <v>61</v>
      </c>
      <c r="W354">
        <v>3</v>
      </c>
      <c r="X354">
        <v>0.14000000000000001</v>
      </c>
      <c r="Y354" t="s">
        <v>336</v>
      </c>
      <c r="Z354" t="s">
        <v>337</v>
      </c>
      <c r="AA354">
        <v>2</v>
      </c>
      <c r="AB354" t="s">
        <v>63</v>
      </c>
      <c r="AC354" t="s">
        <v>64</v>
      </c>
      <c r="AD354" t="s">
        <v>65</v>
      </c>
      <c r="AE354" t="s">
        <v>65</v>
      </c>
      <c r="AF354" t="s">
        <v>65</v>
      </c>
      <c r="AG354" t="s">
        <v>191</v>
      </c>
      <c r="AH354" t="s">
        <v>322</v>
      </c>
      <c r="AI354" t="s">
        <v>66</v>
      </c>
      <c r="AJ354" t="s">
        <v>66</v>
      </c>
      <c r="AK354">
        <v>1</v>
      </c>
      <c r="AL354" t="s">
        <v>323</v>
      </c>
      <c r="AM354" t="s">
        <v>66</v>
      </c>
      <c r="AN354" t="s">
        <v>324</v>
      </c>
      <c r="AO354" t="s">
        <v>66</v>
      </c>
      <c r="AP354">
        <v>1</v>
      </c>
      <c r="AQ354" t="s">
        <v>66</v>
      </c>
      <c r="AR354" t="s">
        <v>66</v>
      </c>
      <c r="AS354" t="s">
        <v>66</v>
      </c>
      <c r="AT354" t="s">
        <v>66</v>
      </c>
    </row>
    <row r="355" spans="1:46" x14ac:dyDescent="0.15">
      <c r="A355" t="s">
        <v>1276</v>
      </c>
      <c r="B355" t="s">
        <v>1233</v>
      </c>
      <c r="C355" t="s">
        <v>1234</v>
      </c>
      <c r="D355">
        <v>43</v>
      </c>
      <c r="E355" t="s">
        <v>49</v>
      </c>
      <c r="F355" t="s">
        <v>50</v>
      </c>
      <c r="G355" t="s">
        <v>51</v>
      </c>
      <c r="H355" t="s">
        <v>52</v>
      </c>
      <c r="I355" t="s">
        <v>53</v>
      </c>
      <c r="J355" t="s">
        <v>54</v>
      </c>
      <c r="K355" t="s">
        <v>55</v>
      </c>
      <c r="L355" t="s">
        <v>17</v>
      </c>
      <c r="M355" t="s">
        <v>16</v>
      </c>
      <c r="N355">
        <v>2857</v>
      </c>
      <c r="O355">
        <v>166</v>
      </c>
      <c r="P355">
        <v>0</v>
      </c>
      <c r="Q355" t="s">
        <v>339</v>
      </c>
      <c r="R355" t="s">
        <v>340</v>
      </c>
      <c r="S355" t="s">
        <v>341</v>
      </c>
      <c r="T355" t="s">
        <v>342</v>
      </c>
      <c r="U355" t="s">
        <v>60</v>
      </c>
      <c r="V355" t="s">
        <v>61</v>
      </c>
      <c r="W355">
        <v>3</v>
      </c>
      <c r="X355">
        <v>0.14000000000000001</v>
      </c>
      <c r="Y355" t="s">
        <v>204</v>
      </c>
      <c r="Z355" t="s">
        <v>343</v>
      </c>
      <c r="AA355">
        <v>2</v>
      </c>
      <c r="AB355" t="s">
        <v>63</v>
      </c>
      <c r="AC355" t="s">
        <v>64</v>
      </c>
      <c r="AD355" t="s">
        <v>65</v>
      </c>
      <c r="AE355" t="s">
        <v>65</v>
      </c>
      <c r="AF355" t="s">
        <v>65</v>
      </c>
      <c r="AG355" t="s">
        <v>191</v>
      </c>
      <c r="AH355" t="s">
        <v>322</v>
      </c>
      <c r="AI355" t="s">
        <v>66</v>
      </c>
      <c r="AJ355" t="s">
        <v>66</v>
      </c>
      <c r="AK355">
        <v>1</v>
      </c>
      <c r="AL355" t="s">
        <v>323</v>
      </c>
      <c r="AM355" t="s">
        <v>66</v>
      </c>
      <c r="AN355" t="s">
        <v>324</v>
      </c>
      <c r="AO355" t="s">
        <v>66</v>
      </c>
      <c r="AP355">
        <v>1</v>
      </c>
      <c r="AQ355" t="s">
        <v>66</v>
      </c>
      <c r="AR355" t="s">
        <v>66</v>
      </c>
      <c r="AS355" t="s">
        <v>66</v>
      </c>
      <c r="AT355" t="s">
        <v>66</v>
      </c>
    </row>
    <row r="356" spans="1:46" x14ac:dyDescent="0.15">
      <c r="A356" t="s">
        <v>1277</v>
      </c>
      <c r="B356" t="s">
        <v>1233</v>
      </c>
      <c r="C356" t="s">
        <v>1234</v>
      </c>
      <c r="D356">
        <v>44</v>
      </c>
      <c r="E356" t="s">
        <v>49</v>
      </c>
      <c r="F356" t="s">
        <v>50</v>
      </c>
      <c r="G356" t="s">
        <v>51</v>
      </c>
      <c r="H356" t="s">
        <v>52</v>
      </c>
      <c r="I356" t="s">
        <v>53</v>
      </c>
      <c r="J356" t="s">
        <v>54</v>
      </c>
      <c r="K356" t="s">
        <v>55</v>
      </c>
      <c r="L356" t="s">
        <v>17</v>
      </c>
      <c r="M356" t="s">
        <v>16</v>
      </c>
      <c r="N356">
        <v>2913</v>
      </c>
      <c r="O356">
        <v>170</v>
      </c>
      <c r="P356">
        <v>0</v>
      </c>
      <c r="Q356" t="s">
        <v>345</v>
      </c>
      <c r="R356" t="s">
        <v>346</v>
      </c>
      <c r="S356" t="s">
        <v>347</v>
      </c>
      <c r="T356" t="s">
        <v>348</v>
      </c>
      <c r="U356" t="s">
        <v>60</v>
      </c>
      <c r="V356" t="s">
        <v>61</v>
      </c>
      <c r="W356">
        <v>3</v>
      </c>
      <c r="X356">
        <v>0.14000000000000001</v>
      </c>
      <c r="Y356" t="s">
        <v>349</v>
      </c>
      <c r="Z356" t="s">
        <v>350</v>
      </c>
      <c r="AA356">
        <v>2</v>
      </c>
      <c r="AB356" t="s">
        <v>63</v>
      </c>
      <c r="AC356" t="s">
        <v>64</v>
      </c>
      <c r="AD356" t="s">
        <v>65</v>
      </c>
      <c r="AE356" t="s">
        <v>65</v>
      </c>
      <c r="AF356" t="s">
        <v>65</v>
      </c>
      <c r="AG356" t="s">
        <v>191</v>
      </c>
      <c r="AH356" t="s">
        <v>322</v>
      </c>
      <c r="AI356" t="s">
        <v>66</v>
      </c>
      <c r="AJ356" t="s">
        <v>66</v>
      </c>
      <c r="AK356">
        <v>1</v>
      </c>
      <c r="AL356" t="s">
        <v>323</v>
      </c>
      <c r="AM356" t="s">
        <v>66</v>
      </c>
      <c r="AN356" t="s">
        <v>324</v>
      </c>
      <c r="AO356" t="s">
        <v>66</v>
      </c>
      <c r="AP356">
        <v>1</v>
      </c>
      <c r="AQ356" t="s">
        <v>66</v>
      </c>
      <c r="AR356" t="s">
        <v>66</v>
      </c>
      <c r="AS356" t="s">
        <v>66</v>
      </c>
      <c r="AT356" t="s">
        <v>66</v>
      </c>
    </row>
    <row r="357" spans="1:46" x14ac:dyDescent="0.15">
      <c r="A357" t="s">
        <v>1278</v>
      </c>
      <c r="B357" t="s">
        <v>1233</v>
      </c>
      <c r="C357" t="s">
        <v>1234</v>
      </c>
      <c r="D357">
        <v>45</v>
      </c>
      <c r="E357" t="s">
        <v>49</v>
      </c>
      <c r="F357" t="s">
        <v>50</v>
      </c>
      <c r="G357" t="s">
        <v>51</v>
      </c>
      <c r="H357" t="s">
        <v>52</v>
      </c>
      <c r="I357" t="s">
        <v>53</v>
      </c>
      <c r="J357" t="s">
        <v>54</v>
      </c>
      <c r="K357" t="s">
        <v>55</v>
      </c>
      <c r="L357" t="s">
        <v>17</v>
      </c>
      <c r="M357" t="s">
        <v>16</v>
      </c>
      <c r="N357">
        <v>2969</v>
      </c>
      <c r="O357">
        <v>173</v>
      </c>
      <c r="P357">
        <v>0</v>
      </c>
      <c r="Q357" t="s">
        <v>352</v>
      </c>
      <c r="R357" t="s">
        <v>353</v>
      </c>
      <c r="S357" t="s">
        <v>354</v>
      </c>
      <c r="T357" t="s">
        <v>355</v>
      </c>
      <c r="U357" t="s">
        <v>60</v>
      </c>
      <c r="V357" t="s">
        <v>61</v>
      </c>
      <c r="W357">
        <v>3</v>
      </c>
      <c r="X357">
        <v>0.14000000000000001</v>
      </c>
      <c r="Y357" t="s">
        <v>210</v>
      </c>
      <c r="Z357" t="s">
        <v>356</v>
      </c>
      <c r="AA357">
        <v>2</v>
      </c>
      <c r="AB357" t="s">
        <v>63</v>
      </c>
      <c r="AC357" t="s">
        <v>64</v>
      </c>
      <c r="AD357" t="s">
        <v>65</v>
      </c>
      <c r="AE357" t="s">
        <v>65</v>
      </c>
      <c r="AF357" t="s">
        <v>65</v>
      </c>
      <c r="AG357" t="s">
        <v>191</v>
      </c>
      <c r="AH357" t="s">
        <v>322</v>
      </c>
      <c r="AI357" t="s">
        <v>66</v>
      </c>
      <c r="AJ357" t="s">
        <v>66</v>
      </c>
      <c r="AK357">
        <v>1</v>
      </c>
      <c r="AL357" t="s">
        <v>323</v>
      </c>
      <c r="AM357" t="s">
        <v>66</v>
      </c>
      <c r="AN357" t="s">
        <v>324</v>
      </c>
      <c r="AO357" t="s">
        <v>66</v>
      </c>
      <c r="AP357">
        <v>1</v>
      </c>
      <c r="AQ357" t="s">
        <v>66</v>
      </c>
      <c r="AR357" t="s">
        <v>66</v>
      </c>
      <c r="AS357" t="s">
        <v>66</v>
      </c>
      <c r="AT357" t="s">
        <v>66</v>
      </c>
    </row>
    <row r="358" spans="1:46" x14ac:dyDescent="0.15">
      <c r="A358" t="s">
        <v>1279</v>
      </c>
      <c r="B358" t="s">
        <v>1233</v>
      </c>
      <c r="C358" t="s">
        <v>1234</v>
      </c>
      <c r="D358">
        <v>46</v>
      </c>
      <c r="E358" t="s">
        <v>49</v>
      </c>
      <c r="F358" t="s">
        <v>50</v>
      </c>
      <c r="G358" t="s">
        <v>51</v>
      </c>
      <c r="H358" t="s">
        <v>52</v>
      </c>
      <c r="I358" t="s">
        <v>53</v>
      </c>
      <c r="J358" t="s">
        <v>54</v>
      </c>
      <c r="K358" t="s">
        <v>55</v>
      </c>
      <c r="L358" t="s">
        <v>17</v>
      </c>
      <c r="M358" t="s">
        <v>16</v>
      </c>
      <c r="N358">
        <v>3026</v>
      </c>
      <c r="O358">
        <v>176</v>
      </c>
      <c r="P358">
        <v>0</v>
      </c>
      <c r="Q358" t="s">
        <v>358</v>
      </c>
      <c r="R358" t="s">
        <v>359</v>
      </c>
      <c r="S358" t="s">
        <v>360</v>
      </c>
      <c r="T358" t="s">
        <v>361</v>
      </c>
      <c r="U358" t="s">
        <v>60</v>
      </c>
      <c r="V358" t="s">
        <v>61</v>
      </c>
      <c r="W358">
        <v>3</v>
      </c>
      <c r="X358">
        <v>0.14000000000000001</v>
      </c>
      <c r="Y358" t="s">
        <v>362</v>
      </c>
      <c r="Z358" t="s">
        <v>363</v>
      </c>
      <c r="AA358">
        <v>2</v>
      </c>
      <c r="AB358" t="s">
        <v>63</v>
      </c>
      <c r="AC358" t="s">
        <v>64</v>
      </c>
      <c r="AD358" t="s">
        <v>65</v>
      </c>
      <c r="AE358" t="s">
        <v>65</v>
      </c>
      <c r="AF358" t="s">
        <v>65</v>
      </c>
      <c r="AG358" t="s">
        <v>191</v>
      </c>
      <c r="AH358" t="s">
        <v>322</v>
      </c>
      <c r="AI358" t="s">
        <v>66</v>
      </c>
      <c r="AJ358" t="s">
        <v>66</v>
      </c>
      <c r="AK358">
        <v>1</v>
      </c>
      <c r="AL358" t="s">
        <v>323</v>
      </c>
      <c r="AM358" t="s">
        <v>66</v>
      </c>
      <c r="AN358" t="s">
        <v>324</v>
      </c>
      <c r="AO358" t="s">
        <v>66</v>
      </c>
      <c r="AP358">
        <v>1</v>
      </c>
      <c r="AQ358" t="s">
        <v>66</v>
      </c>
      <c r="AR358" t="s">
        <v>66</v>
      </c>
      <c r="AS358" t="s">
        <v>66</v>
      </c>
      <c r="AT358" t="s">
        <v>66</v>
      </c>
    </row>
    <row r="359" spans="1:46" x14ac:dyDescent="0.15">
      <c r="A359" t="s">
        <v>1280</v>
      </c>
      <c r="B359" t="s">
        <v>1233</v>
      </c>
      <c r="C359" t="s">
        <v>1234</v>
      </c>
      <c r="D359">
        <v>47</v>
      </c>
      <c r="E359" t="s">
        <v>49</v>
      </c>
      <c r="F359" t="s">
        <v>50</v>
      </c>
      <c r="G359" t="s">
        <v>51</v>
      </c>
      <c r="H359" t="s">
        <v>52</v>
      </c>
      <c r="I359" t="s">
        <v>53</v>
      </c>
      <c r="J359" t="s">
        <v>54</v>
      </c>
      <c r="K359" t="s">
        <v>55</v>
      </c>
      <c r="L359" t="s">
        <v>17</v>
      </c>
      <c r="M359" t="s">
        <v>16</v>
      </c>
      <c r="N359">
        <v>3082</v>
      </c>
      <c r="O359">
        <v>179</v>
      </c>
      <c r="P359">
        <v>0</v>
      </c>
      <c r="Q359" t="s">
        <v>365</v>
      </c>
      <c r="R359" t="s">
        <v>366</v>
      </c>
      <c r="S359" t="s">
        <v>367</v>
      </c>
      <c r="T359" t="s">
        <v>368</v>
      </c>
      <c r="U359" t="s">
        <v>60</v>
      </c>
      <c r="V359" t="s">
        <v>61</v>
      </c>
      <c r="W359">
        <v>3</v>
      </c>
      <c r="X359">
        <v>0.14000000000000001</v>
      </c>
      <c r="Y359" t="s">
        <v>217</v>
      </c>
      <c r="Z359" t="s">
        <v>369</v>
      </c>
      <c r="AA359">
        <v>2</v>
      </c>
      <c r="AB359" t="s">
        <v>63</v>
      </c>
      <c r="AC359" t="s">
        <v>64</v>
      </c>
      <c r="AD359" t="s">
        <v>65</v>
      </c>
      <c r="AE359" t="s">
        <v>65</v>
      </c>
      <c r="AF359" t="s">
        <v>65</v>
      </c>
      <c r="AG359" t="s">
        <v>191</v>
      </c>
      <c r="AH359" t="s">
        <v>322</v>
      </c>
      <c r="AI359" t="s">
        <v>66</v>
      </c>
      <c r="AJ359" t="s">
        <v>66</v>
      </c>
      <c r="AK359">
        <v>1</v>
      </c>
      <c r="AL359" t="s">
        <v>323</v>
      </c>
      <c r="AM359" t="s">
        <v>66</v>
      </c>
      <c r="AN359" t="s">
        <v>324</v>
      </c>
      <c r="AO359" t="s">
        <v>66</v>
      </c>
      <c r="AP359">
        <v>1</v>
      </c>
      <c r="AQ359" t="s">
        <v>66</v>
      </c>
      <c r="AR359" t="s">
        <v>66</v>
      </c>
      <c r="AS359" t="s">
        <v>66</v>
      </c>
      <c r="AT359" t="s">
        <v>66</v>
      </c>
    </row>
    <row r="360" spans="1:46" x14ac:dyDescent="0.15">
      <c r="A360" t="s">
        <v>1281</v>
      </c>
      <c r="B360" t="s">
        <v>1233</v>
      </c>
      <c r="C360" t="s">
        <v>1234</v>
      </c>
      <c r="D360">
        <v>48</v>
      </c>
      <c r="E360" t="s">
        <v>49</v>
      </c>
      <c r="F360" t="s">
        <v>50</v>
      </c>
      <c r="G360" t="s">
        <v>51</v>
      </c>
      <c r="H360" t="s">
        <v>52</v>
      </c>
      <c r="I360" t="s">
        <v>53</v>
      </c>
      <c r="J360" t="s">
        <v>54</v>
      </c>
      <c r="K360" t="s">
        <v>55</v>
      </c>
      <c r="L360" t="s">
        <v>17</v>
      </c>
      <c r="M360" t="s">
        <v>16</v>
      </c>
      <c r="N360">
        <v>3138</v>
      </c>
      <c r="O360">
        <v>183</v>
      </c>
      <c r="P360">
        <v>0</v>
      </c>
      <c r="Q360" t="s">
        <v>371</v>
      </c>
      <c r="R360" t="s">
        <v>372</v>
      </c>
      <c r="S360" t="s">
        <v>373</v>
      </c>
      <c r="T360" t="s">
        <v>374</v>
      </c>
      <c r="U360" t="s">
        <v>60</v>
      </c>
      <c r="V360" t="s">
        <v>61</v>
      </c>
      <c r="W360">
        <v>3</v>
      </c>
      <c r="X360">
        <v>0.14000000000000001</v>
      </c>
      <c r="Y360" t="s">
        <v>375</v>
      </c>
      <c r="Z360" t="s">
        <v>376</v>
      </c>
      <c r="AA360">
        <v>2</v>
      </c>
      <c r="AB360" t="s">
        <v>63</v>
      </c>
      <c r="AC360" t="s">
        <v>64</v>
      </c>
      <c r="AD360" t="s">
        <v>65</v>
      </c>
      <c r="AE360" t="s">
        <v>65</v>
      </c>
      <c r="AF360" t="s">
        <v>65</v>
      </c>
      <c r="AG360" t="s">
        <v>191</v>
      </c>
      <c r="AH360" t="s">
        <v>322</v>
      </c>
      <c r="AI360" t="s">
        <v>66</v>
      </c>
      <c r="AJ360" t="s">
        <v>66</v>
      </c>
      <c r="AK360">
        <v>1</v>
      </c>
      <c r="AL360" t="s">
        <v>323</v>
      </c>
      <c r="AM360" t="s">
        <v>66</v>
      </c>
      <c r="AN360" t="s">
        <v>324</v>
      </c>
      <c r="AO360" t="s">
        <v>66</v>
      </c>
      <c r="AP360">
        <v>1</v>
      </c>
      <c r="AQ360" t="s">
        <v>66</v>
      </c>
      <c r="AR360" t="s">
        <v>66</v>
      </c>
      <c r="AS360" t="s">
        <v>66</v>
      </c>
      <c r="AT360" t="s">
        <v>66</v>
      </c>
    </row>
    <row r="361" spans="1:46" x14ac:dyDescent="0.15">
      <c r="A361" t="s">
        <v>1282</v>
      </c>
      <c r="B361" t="s">
        <v>1233</v>
      </c>
      <c r="C361" t="s">
        <v>1234</v>
      </c>
      <c r="D361">
        <v>49</v>
      </c>
      <c r="E361" t="s">
        <v>49</v>
      </c>
      <c r="F361" t="s">
        <v>50</v>
      </c>
      <c r="G361" t="s">
        <v>51</v>
      </c>
      <c r="H361" t="s">
        <v>52</v>
      </c>
      <c r="I361" t="s">
        <v>53</v>
      </c>
      <c r="J361" t="s">
        <v>54</v>
      </c>
      <c r="K361" t="s">
        <v>55</v>
      </c>
      <c r="L361" t="s">
        <v>17</v>
      </c>
      <c r="M361" t="s">
        <v>16</v>
      </c>
      <c r="N361">
        <v>3194</v>
      </c>
      <c r="O361">
        <v>186</v>
      </c>
      <c r="P361">
        <v>0</v>
      </c>
      <c r="Q361" t="s">
        <v>378</v>
      </c>
      <c r="R361" t="s">
        <v>379</v>
      </c>
      <c r="S361" t="s">
        <v>380</v>
      </c>
      <c r="T361" t="s">
        <v>381</v>
      </c>
      <c r="U361" t="s">
        <v>60</v>
      </c>
      <c r="V361" t="s">
        <v>61</v>
      </c>
      <c r="W361">
        <v>3</v>
      </c>
      <c r="X361">
        <v>0.14000000000000001</v>
      </c>
      <c r="Y361" t="s">
        <v>223</v>
      </c>
      <c r="Z361" t="s">
        <v>382</v>
      </c>
      <c r="AA361">
        <v>2</v>
      </c>
      <c r="AB361" t="s">
        <v>63</v>
      </c>
      <c r="AC361" t="s">
        <v>64</v>
      </c>
      <c r="AD361" t="s">
        <v>65</v>
      </c>
      <c r="AE361" t="s">
        <v>65</v>
      </c>
      <c r="AF361" t="s">
        <v>65</v>
      </c>
      <c r="AG361" t="s">
        <v>191</v>
      </c>
      <c r="AH361" t="s">
        <v>322</v>
      </c>
      <c r="AI361" t="s">
        <v>66</v>
      </c>
      <c r="AJ361" t="s">
        <v>66</v>
      </c>
      <c r="AK361">
        <v>1</v>
      </c>
      <c r="AL361" t="s">
        <v>323</v>
      </c>
      <c r="AM361" t="s">
        <v>66</v>
      </c>
      <c r="AN361" t="s">
        <v>324</v>
      </c>
      <c r="AO361" t="s">
        <v>66</v>
      </c>
      <c r="AP361">
        <v>1</v>
      </c>
      <c r="AQ361" t="s">
        <v>66</v>
      </c>
      <c r="AR361" t="s">
        <v>66</v>
      </c>
      <c r="AS361" t="s">
        <v>66</v>
      </c>
      <c r="AT361" t="s">
        <v>66</v>
      </c>
    </row>
    <row r="362" spans="1:46" x14ac:dyDescent="0.15">
      <c r="A362" t="s">
        <v>1283</v>
      </c>
      <c r="B362" t="s">
        <v>1233</v>
      </c>
      <c r="C362" t="s">
        <v>1234</v>
      </c>
      <c r="D362">
        <v>50</v>
      </c>
      <c r="E362" t="s">
        <v>49</v>
      </c>
      <c r="F362" t="s">
        <v>50</v>
      </c>
      <c r="G362" t="s">
        <v>51</v>
      </c>
      <c r="H362" t="s">
        <v>52</v>
      </c>
      <c r="I362" t="s">
        <v>53</v>
      </c>
      <c r="J362" t="s">
        <v>54</v>
      </c>
      <c r="K362" t="s">
        <v>55</v>
      </c>
      <c r="L362" t="s">
        <v>17</v>
      </c>
      <c r="M362" t="s">
        <v>16</v>
      </c>
      <c r="N362">
        <v>3250</v>
      </c>
      <c r="O362">
        <v>189</v>
      </c>
      <c r="P362">
        <v>0</v>
      </c>
      <c r="Q362" t="s">
        <v>384</v>
      </c>
      <c r="R362" t="s">
        <v>385</v>
      </c>
      <c r="S362" t="s">
        <v>386</v>
      </c>
      <c r="T362" t="s">
        <v>387</v>
      </c>
      <c r="U362" t="s">
        <v>60</v>
      </c>
      <c r="V362" t="s">
        <v>61</v>
      </c>
      <c r="W362">
        <v>3</v>
      </c>
      <c r="X362">
        <v>0.14000000000000001</v>
      </c>
      <c r="Y362" t="s">
        <v>388</v>
      </c>
      <c r="Z362" t="s">
        <v>389</v>
      </c>
      <c r="AA362">
        <v>2</v>
      </c>
      <c r="AB362" t="s">
        <v>63</v>
      </c>
      <c r="AC362" t="s">
        <v>64</v>
      </c>
      <c r="AD362" t="s">
        <v>65</v>
      </c>
      <c r="AE362" t="s">
        <v>65</v>
      </c>
      <c r="AF362" t="s">
        <v>65</v>
      </c>
      <c r="AG362" t="s">
        <v>191</v>
      </c>
      <c r="AH362" t="s">
        <v>322</v>
      </c>
      <c r="AI362" t="s">
        <v>66</v>
      </c>
      <c r="AJ362" t="s">
        <v>66</v>
      </c>
      <c r="AK362">
        <v>1</v>
      </c>
      <c r="AL362" t="s">
        <v>323</v>
      </c>
      <c r="AM362" t="s">
        <v>66</v>
      </c>
      <c r="AN362" t="s">
        <v>324</v>
      </c>
      <c r="AO362" t="s">
        <v>66</v>
      </c>
      <c r="AP362">
        <v>1</v>
      </c>
      <c r="AQ362" t="s">
        <v>66</v>
      </c>
      <c r="AR362" t="s">
        <v>66</v>
      </c>
      <c r="AS362" t="s">
        <v>66</v>
      </c>
      <c r="AT362" t="s">
        <v>66</v>
      </c>
    </row>
    <row r="363" spans="1:46" x14ac:dyDescent="0.15">
      <c r="A363" t="s">
        <v>1284</v>
      </c>
      <c r="B363" t="s">
        <v>1233</v>
      </c>
      <c r="C363" t="s">
        <v>1234</v>
      </c>
      <c r="D363">
        <v>51</v>
      </c>
      <c r="E363" t="s">
        <v>49</v>
      </c>
      <c r="F363" t="s">
        <v>50</v>
      </c>
      <c r="G363" t="s">
        <v>51</v>
      </c>
      <c r="H363" t="s">
        <v>52</v>
      </c>
      <c r="I363" t="s">
        <v>53</v>
      </c>
      <c r="J363" t="s">
        <v>54</v>
      </c>
      <c r="K363" t="s">
        <v>55</v>
      </c>
      <c r="L363" t="s">
        <v>17</v>
      </c>
      <c r="M363" t="s">
        <v>16</v>
      </c>
      <c r="N363">
        <v>3306</v>
      </c>
      <c r="O363">
        <v>192</v>
      </c>
      <c r="P363">
        <v>0</v>
      </c>
      <c r="Q363" t="s">
        <v>391</v>
      </c>
      <c r="R363" t="s">
        <v>392</v>
      </c>
      <c r="S363" t="s">
        <v>393</v>
      </c>
      <c r="T363" t="s">
        <v>394</v>
      </c>
      <c r="U363" t="s">
        <v>60</v>
      </c>
      <c r="V363" t="s">
        <v>61</v>
      </c>
      <c r="W363">
        <v>3</v>
      </c>
      <c r="X363">
        <v>0.14000000000000001</v>
      </c>
      <c r="Y363" t="s">
        <v>230</v>
      </c>
      <c r="Z363" t="s">
        <v>395</v>
      </c>
      <c r="AA363">
        <v>2</v>
      </c>
      <c r="AB363" t="s">
        <v>63</v>
      </c>
      <c r="AC363" t="s">
        <v>64</v>
      </c>
      <c r="AD363" t="s">
        <v>65</v>
      </c>
      <c r="AE363" t="s">
        <v>65</v>
      </c>
      <c r="AF363" t="s">
        <v>65</v>
      </c>
      <c r="AG363" t="s">
        <v>191</v>
      </c>
      <c r="AH363" t="s">
        <v>322</v>
      </c>
      <c r="AI363" t="s">
        <v>66</v>
      </c>
      <c r="AJ363" t="s">
        <v>66</v>
      </c>
      <c r="AK363">
        <v>1</v>
      </c>
      <c r="AL363" t="s">
        <v>323</v>
      </c>
      <c r="AM363" t="s">
        <v>66</v>
      </c>
      <c r="AN363" t="s">
        <v>324</v>
      </c>
      <c r="AO363" t="s">
        <v>66</v>
      </c>
      <c r="AP363">
        <v>1</v>
      </c>
      <c r="AQ363" t="s">
        <v>66</v>
      </c>
      <c r="AR363" t="s">
        <v>66</v>
      </c>
      <c r="AS363" t="s">
        <v>66</v>
      </c>
      <c r="AT363" t="s">
        <v>66</v>
      </c>
    </row>
    <row r="364" spans="1:46" x14ac:dyDescent="0.15">
      <c r="A364" t="s">
        <v>1285</v>
      </c>
      <c r="B364" t="s">
        <v>1233</v>
      </c>
      <c r="C364" t="s">
        <v>1234</v>
      </c>
      <c r="D364">
        <v>52</v>
      </c>
      <c r="E364" t="s">
        <v>49</v>
      </c>
      <c r="F364" t="s">
        <v>50</v>
      </c>
      <c r="G364" t="s">
        <v>51</v>
      </c>
      <c r="H364" t="s">
        <v>52</v>
      </c>
      <c r="I364" t="s">
        <v>53</v>
      </c>
      <c r="J364" t="s">
        <v>54</v>
      </c>
      <c r="K364" t="s">
        <v>55</v>
      </c>
      <c r="L364" t="s">
        <v>17</v>
      </c>
      <c r="M364" t="s">
        <v>16</v>
      </c>
      <c r="N364">
        <v>3362</v>
      </c>
      <c r="O364">
        <v>196</v>
      </c>
      <c r="P364">
        <v>0</v>
      </c>
      <c r="Q364" t="s">
        <v>397</v>
      </c>
      <c r="R364" t="s">
        <v>398</v>
      </c>
      <c r="S364" t="s">
        <v>399</v>
      </c>
      <c r="T364" t="s">
        <v>400</v>
      </c>
      <c r="U364" t="s">
        <v>60</v>
      </c>
      <c r="V364" t="s">
        <v>61</v>
      </c>
      <c r="W364">
        <v>3</v>
      </c>
      <c r="X364">
        <v>0.14000000000000001</v>
      </c>
      <c r="Y364" t="s">
        <v>401</v>
      </c>
      <c r="Z364" t="s">
        <v>402</v>
      </c>
      <c r="AA364">
        <v>2</v>
      </c>
      <c r="AB364" t="s">
        <v>63</v>
      </c>
      <c r="AC364" t="s">
        <v>64</v>
      </c>
      <c r="AD364" t="s">
        <v>65</v>
      </c>
      <c r="AE364" t="s">
        <v>65</v>
      </c>
      <c r="AF364" t="s">
        <v>65</v>
      </c>
      <c r="AG364" t="s">
        <v>191</v>
      </c>
      <c r="AH364" t="s">
        <v>322</v>
      </c>
      <c r="AI364" t="s">
        <v>66</v>
      </c>
      <c r="AJ364" t="s">
        <v>66</v>
      </c>
      <c r="AK364">
        <v>1</v>
      </c>
      <c r="AL364" t="s">
        <v>323</v>
      </c>
      <c r="AM364" t="s">
        <v>66</v>
      </c>
      <c r="AN364" t="s">
        <v>324</v>
      </c>
      <c r="AO364" t="s">
        <v>66</v>
      </c>
      <c r="AP364">
        <v>1</v>
      </c>
      <c r="AQ364" t="s">
        <v>66</v>
      </c>
      <c r="AR364" t="s">
        <v>66</v>
      </c>
      <c r="AS364" t="s">
        <v>66</v>
      </c>
      <c r="AT364" t="s">
        <v>66</v>
      </c>
    </row>
    <row r="365" spans="1:46" x14ac:dyDescent="0.15">
      <c r="A365" t="s">
        <v>1286</v>
      </c>
      <c r="B365" t="s">
        <v>1233</v>
      </c>
      <c r="C365" t="s">
        <v>1234</v>
      </c>
      <c r="D365">
        <v>53</v>
      </c>
      <c r="E365" t="s">
        <v>49</v>
      </c>
      <c r="F365" t="s">
        <v>50</v>
      </c>
      <c r="G365" t="s">
        <v>51</v>
      </c>
      <c r="H365" t="s">
        <v>52</v>
      </c>
      <c r="I365" t="s">
        <v>53</v>
      </c>
      <c r="J365" t="s">
        <v>54</v>
      </c>
      <c r="K365" t="s">
        <v>55</v>
      </c>
      <c r="L365" t="s">
        <v>17</v>
      </c>
      <c r="M365" t="s">
        <v>16</v>
      </c>
      <c r="N365">
        <v>3418</v>
      </c>
      <c r="O365">
        <v>199</v>
      </c>
      <c r="P365">
        <v>0</v>
      </c>
      <c r="Q365" t="s">
        <v>404</v>
      </c>
      <c r="R365" t="s">
        <v>405</v>
      </c>
      <c r="S365" t="s">
        <v>406</v>
      </c>
      <c r="T365" t="s">
        <v>407</v>
      </c>
      <c r="U365" t="s">
        <v>60</v>
      </c>
      <c r="V365" t="s">
        <v>61</v>
      </c>
      <c r="W365">
        <v>3</v>
      </c>
      <c r="X365">
        <v>0.14000000000000001</v>
      </c>
      <c r="Y365" t="s">
        <v>236</v>
      </c>
      <c r="Z365" t="s">
        <v>408</v>
      </c>
      <c r="AA365">
        <v>2</v>
      </c>
      <c r="AB365" t="s">
        <v>63</v>
      </c>
      <c r="AC365" t="s">
        <v>64</v>
      </c>
      <c r="AD365" t="s">
        <v>65</v>
      </c>
      <c r="AE365" t="s">
        <v>65</v>
      </c>
      <c r="AF365" t="s">
        <v>65</v>
      </c>
      <c r="AG365" t="s">
        <v>191</v>
      </c>
      <c r="AH365" t="s">
        <v>322</v>
      </c>
      <c r="AI365" t="s">
        <v>66</v>
      </c>
      <c r="AJ365" t="s">
        <v>66</v>
      </c>
      <c r="AK365">
        <v>1</v>
      </c>
      <c r="AL365" t="s">
        <v>323</v>
      </c>
      <c r="AM365" t="s">
        <v>66</v>
      </c>
      <c r="AN365" t="s">
        <v>324</v>
      </c>
      <c r="AO365" t="s">
        <v>66</v>
      </c>
      <c r="AP365">
        <v>1</v>
      </c>
      <c r="AQ365" t="s">
        <v>66</v>
      </c>
      <c r="AR365" t="s">
        <v>66</v>
      </c>
      <c r="AS365" t="s">
        <v>66</v>
      </c>
      <c r="AT365" t="s">
        <v>66</v>
      </c>
    </row>
    <row r="366" spans="1:46" x14ac:dyDescent="0.15">
      <c r="A366" t="s">
        <v>1287</v>
      </c>
      <c r="B366" t="s">
        <v>1233</v>
      </c>
      <c r="C366" t="s">
        <v>1234</v>
      </c>
      <c r="D366">
        <v>54</v>
      </c>
      <c r="E366" t="s">
        <v>49</v>
      </c>
      <c r="F366" t="s">
        <v>50</v>
      </c>
      <c r="G366" t="s">
        <v>51</v>
      </c>
      <c r="H366" t="s">
        <v>52</v>
      </c>
      <c r="I366" t="s">
        <v>53</v>
      </c>
      <c r="J366" t="s">
        <v>54</v>
      </c>
      <c r="K366" t="s">
        <v>55</v>
      </c>
      <c r="L366" t="s">
        <v>17</v>
      </c>
      <c r="M366" t="s">
        <v>16</v>
      </c>
      <c r="N366">
        <v>3474</v>
      </c>
      <c r="O366">
        <v>202</v>
      </c>
      <c r="P366">
        <v>0</v>
      </c>
      <c r="Q366" t="s">
        <v>410</v>
      </c>
      <c r="R366" t="s">
        <v>411</v>
      </c>
      <c r="S366" t="s">
        <v>412</v>
      </c>
      <c r="T366" t="s">
        <v>413</v>
      </c>
      <c r="U366" t="s">
        <v>60</v>
      </c>
      <c r="V366" t="s">
        <v>61</v>
      </c>
      <c r="W366">
        <v>3</v>
      </c>
      <c r="X366">
        <v>0.14000000000000001</v>
      </c>
      <c r="Y366" t="s">
        <v>414</v>
      </c>
      <c r="Z366" t="s">
        <v>415</v>
      </c>
      <c r="AA366">
        <v>2</v>
      </c>
      <c r="AB366" t="s">
        <v>63</v>
      </c>
      <c r="AC366" t="s">
        <v>64</v>
      </c>
      <c r="AD366" t="s">
        <v>65</v>
      </c>
      <c r="AE366" t="s">
        <v>65</v>
      </c>
      <c r="AF366" t="s">
        <v>65</v>
      </c>
      <c r="AG366" t="s">
        <v>191</v>
      </c>
      <c r="AH366" t="s">
        <v>322</v>
      </c>
      <c r="AI366" t="s">
        <v>66</v>
      </c>
      <c r="AJ366" t="s">
        <v>66</v>
      </c>
      <c r="AK366">
        <v>1</v>
      </c>
      <c r="AL366" t="s">
        <v>323</v>
      </c>
      <c r="AM366" t="s">
        <v>66</v>
      </c>
      <c r="AN366" t="s">
        <v>324</v>
      </c>
      <c r="AO366" t="s">
        <v>66</v>
      </c>
      <c r="AP366">
        <v>1</v>
      </c>
      <c r="AQ366" t="s">
        <v>66</v>
      </c>
      <c r="AR366" t="s">
        <v>66</v>
      </c>
      <c r="AS366" t="s">
        <v>66</v>
      </c>
      <c r="AT366" t="s">
        <v>66</v>
      </c>
    </row>
    <row r="367" spans="1:46" x14ac:dyDescent="0.15">
      <c r="A367" t="s">
        <v>1288</v>
      </c>
      <c r="B367" t="s">
        <v>1233</v>
      </c>
      <c r="C367" t="s">
        <v>1234</v>
      </c>
      <c r="D367">
        <v>55</v>
      </c>
      <c r="E367" t="s">
        <v>49</v>
      </c>
      <c r="F367" t="s">
        <v>50</v>
      </c>
      <c r="G367" t="s">
        <v>51</v>
      </c>
      <c r="H367" t="s">
        <v>52</v>
      </c>
      <c r="I367" t="s">
        <v>53</v>
      </c>
      <c r="J367" t="s">
        <v>54</v>
      </c>
      <c r="K367" t="s">
        <v>55</v>
      </c>
      <c r="L367" t="s">
        <v>17</v>
      </c>
      <c r="M367" t="s">
        <v>16</v>
      </c>
      <c r="N367">
        <v>3531</v>
      </c>
      <c r="O367">
        <v>205</v>
      </c>
      <c r="P367">
        <v>0</v>
      </c>
      <c r="Q367" t="s">
        <v>417</v>
      </c>
      <c r="R367" t="s">
        <v>418</v>
      </c>
      <c r="S367" t="s">
        <v>419</v>
      </c>
      <c r="T367" t="s">
        <v>420</v>
      </c>
      <c r="U367" t="s">
        <v>60</v>
      </c>
      <c r="V367" t="s">
        <v>61</v>
      </c>
      <c r="W367">
        <v>3</v>
      </c>
      <c r="X367">
        <v>0.14000000000000001</v>
      </c>
      <c r="Y367" t="s">
        <v>243</v>
      </c>
      <c r="Z367" t="s">
        <v>421</v>
      </c>
      <c r="AA367">
        <v>2</v>
      </c>
      <c r="AB367" t="s">
        <v>63</v>
      </c>
      <c r="AC367" t="s">
        <v>64</v>
      </c>
      <c r="AD367" t="s">
        <v>65</v>
      </c>
      <c r="AE367" t="s">
        <v>65</v>
      </c>
      <c r="AF367" t="s">
        <v>65</v>
      </c>
      <c r="AG367" t="s">
        <v>191</v>
      </c>
      <c r="AH367" t="s">
        <v>322</v>
      </c>
      <c r="AI367" t="s">
        <v>66</v>
      </c>
      <c r="AJ367" t="s">
        <v>66</v>
      </c>
      <c r="AK367">
        <v>1</v>
      </c>
      <c r="AL367" t="s">
        <v>323</v>
      </c>
      <c r="AM367" t="s">
        <v>66</v>
      </c>
      <c r="AN367" t="s">
        <v>324</v>
      </c>
      <c r="AO367" t="s">
        <v>66</v>
      </c>
      <c r="AP367">
        <v>1</v>
      </c>
      <c r="AQ367" t="s">
        <v>66</v>
      </c>
      <c r="AR367" t="s">
        <v>66</v>
      </c>
      <c r="AS367" t="s">
        <v>66</v>
      </c>
      <c r="AT367" t="s">
        <v>66</v>
      </c>
    </row>
    <row r="368" spans="1:46" x14ac:dyDescent="0.15">
      <c r="A368" t="s">
        <v>1289</v>
      </c>
      <c r="B368" t="s">
        <v>1233</v>
      </c>
      <c r="C368" t="s">
        <v>1234</v>
      </c>
      <c r="D368">
        <v>56</v>
      </c>
      <c r="E368" t="s">
        <v>49</v>
      </c>
      <c r="F368" t="s">
        <v>50</v>
      </c>
      <c r="G368" t="s">
        <v>51</v>
      </c>
      <c r="H368" t="s">
        <v>52</v>
      </c>
      <c r="I368" t="s">
        <v>53</v>
      </c>
      <c r="J368" t="s">
        <v>54</v>
      </c>
      <c r="K368" t="s">
        <v>55</v>
      </c>
      <c r="L368" t="s">
        <v>17</v>
      </c>
      <c r="M368" t="s">
        <v>16</v>
      </c>
      <c r="N368">
        <v>3587</v>
      </c>
      <c r="O368">
        <v>209</v>
      </c>
      <c r="P368">
        <v>0</v>
      </c>
      <c r="Q368" t="s">
        <v>423</v>
      </c>
      <c r="R368" t="s">
        <v>424</v>
      </c>
      <c r="S368" t="s">
        <v>425</v>
      </c>
      <c r="T368" t="s">
        <v>426</v>
      </c>
      <c r="U368" t="s">
        <v>60</v>
      </c>
      <c r="V368" t="s">
        <v>61</v>
      </c>
      <c r="W368">
        <v>3</v>
      </c>
      <c r="X368">
        <v>0.14000000000000001</v>
      </c>
      <c r="Y368" t="s">
        <v>427</v>
      </c>
      <c r="Z368" t="s">
        <v>428</v>
      </c>
      <c r="AA368">
        <v>2</v>
      </c>
      <c r="AB368" t="s">
        <v>63</v>
      </c>
      <c r="AC368" t="s">
        <v>64</v>
      </c>
      <c r="AD368" t="s">
        <v>65</v>
      </c>
      <c r="AE368" t="s">
        <v>65</v>
      </c>
      <c r="AF368" t="s">
        <v>65</v>
      </c>
      <c r="AG368" t="s">
        <v>191</v>
      </c>
      <c r="AH368" t="s">
        <v>322</v>
      </c>
      <c r="AI368" t="s">
        <v>66</v>
      </c>
      <c r="AJ368" t="s">
        <v>66</v>
      </c>
      <c r="AK368">
        <v>1</v>
      </c>
      <c r="AL368" t="s">
        <v>323</v>
      </c>
      <c r="AM368" t="s">
        <v>66</v>
      </c>
      <c r="AN368" t="s">
        <v>324</v>
      </c>
      <c r="AO368" t="s">
        <v>66</v>
      </c>
      <c r="AP368">
        <v>1</v>
      </c>
      <c r="AQ368" t="s">
        <v>66</v>
      </c>
      <c r="AR368" t="s">
        <v>66</v>
      </c>
      <c r="AS368" t="s">
        <v>66</v>
      </c>
      <c r="AT368" t="s">
        <v>66</v>
      </c>
    </row>
    <row r="369" spans="1:46" x14ac:dyDescent="0.15">
      <c r="A369" t="s">
        <v>1290</v>
      </c>
      <c r="B369" t="s">
        <v>1233</v>
      </c>
      <c r="C369" t="s">
        <v>1234</v>
      </c>
      <c r="D369">
        <v>57</v>
      </c>
      <c r="E369" t="s">
        <v>49</v>
      </c>
      <c r="F369" t="s">
        <v>50</v>
      </c>
      <c r="G369" t="s">
        <v>51</v>
      </c>
      <c r="H369" t="s">
        <v>52</v>
      </c>
      <c r="I369" t="s">
        <v>53</v>
      </c>
      <c r="J369" t="s">
        <v>54</v>
      </c>
      <c r="K369" t="s">
        <v>55</v>
      </c>
      <c r="L369" t="s">
        <v>17</v>
      </c>
      <c r="M369" t="s">
        <v>16</v>
      </c>
      <c r="N369">
        <v>3643</v>
      </c>
      <c r="O369">
        <v>212</v>
      </c>
      <c r="P369">
        <v>0</v>
      </c>
      <c r="Q369" t="s">
        <v>430</v>
      </c>
      <c r="R369" t="s">
        <v>431</v>
      </c>
      <c r="S369" t="s">
        <v>432</v>
      </c>
      <c r="T369" t="s">
        <v>433</v>
      </c>
      <c r="U369" t="s">
        <v>60</v>
      </c>
      <c r="V369" t="s">
        <v>61</v>
      </c>
      <c r="W369">
        <v>3</v>
      </c>
      <c r="X369">
        <v>0.14000000000000001</v>
      </c>
      <c r="Y369" t="s">
        <v>249</v>
      </c>
      <c r="Z369" t="s">
        <v>434</v>
      </c>
      <c r="AA369">
        <v>2</v>
      </c>
      <c r="AB369" t="s">
        <v>63</v>
      </c>
      <c r="AC369" t="s">
        <v>64</v>
      </c>
      <c r="AD369" t="s">
        <v>65</v>
      </c>
      <c r="AE369" t="s">
        <v>65</v>
      </c>
      <c r="AF369" t="s">
        <v>65</v>
      </c>
      <c r="AG369" t="s">
        <v>191</v>
      </c>
      <c r="AH369" t="s">
        <v>322</v>
      </c>
      <c r="AI369" t="s">
        <v>66</v>
      </c>
      <c r="AJ369" t="s">
        <v>66</v>
      </c>
      <c r="AK369">
        <v>1</v>
      </c>
      <c r="AL369" t="s">
        <v>323</v>
      </c>
      <c r="AM369" t="s">
        <v>66</v>
      </c>
      <c r="AN369" t="s">
        <v>324</v>
      </c>
      <c r="AO369" t="s">
        <v>66</v>
      </c>
      <c r="AP369">
        <v>1</v>
      </c>
      <c r="AQ369" t="s">
        <v>66</v>
      </c>
      <c r="AR369" t="s">
        <v>66</v>
      </c>
      <c r="AS369" t="s">
        <v>66</v>
      </c>
      <c r="AT369" t="s">
        <v>66</v>
      </c>
    </row>
    <row r="370" spans="1:46" x14ac:dyDescent="0.15">
      <c r="A370" t="s">
        <v>1291</v>
      </c>
      <c r="B370" t="s">
        <v>1233</v>
      </c>
      <c r="C370" t="s">
        <v>1234</v>
      </c>
      <c r="D370">
        <v>58</v>
      </c>
      <c r="E370" t="s">
        <v>49</v>
      </c>
      <c r="F370" t="s">
        <v>50</v>
      </c>
      <c r="G370" t="s">
        <v>51</v>
      </c>
      <c r="H370" t="s">
        <v>52</v>
      </c>
      <c r="I370" t="s">
        <v>53</v>
      </c>
      <c r="J370" t="s">
        <v>54</v>
      </c>
      <c r="K370" t="s">
        <v>55</v>
      </c>
      <c r="L370" t="s">
        <v>17</v>
      </c>
      <c r="M370" t="s">
        <v>16</v>
      </c>
      <c r="N370">
        <v>3699</v>
      </c>
      <c r="O370">
        <v>215</v>
      </c>
      <c r="P370">
        <v>0</v>
      </c>
      <c r="Q370" t="s">
        <v>436</v>
      </c>
      <c r="R370" t="s">
        <v>437</v>
      </c>
      <c r="S370" t="s">
        <v>438</v>
      </c>
      <c r="T370" t="s">
        <v>439</v>
      </c>
      <c r="U370" t="s">
        <v>60</v>
      </c>
      <c r="V370" t="s">
        <v>61</v>
      </c>
      <c r="W370">
        <v>3</v>
      </c>
      <c r="X370">
        <v>0.14000000000000001</v>
      </c>
      <c r="Y370" t="s">
        <v>440</v>
      </c>
      <c r="Z370" t="s">
        <v>441</v>
      </c>
      <c r="AA370">
        <v>2</v>
      </c>
      <c r="AB370" t="s">
        <v>63</v>
      </c>
      <c r="AC370" t="s">
        <v>64</v>
      </c>
      <c r="AD370" t="s">
        <v>65</v>
      </c>
      <c r="AE370" t="s">
        <v>65</v>
      </c>
      <c r="AF370" t="s">
        <v>65</v>
      </c>
      <c r="AG370" t="s">
        <v>191</v>
      </c>
      <c r="AH370" t="s">
        <v>322</v>
      </c>
      <c r="AI370" t="s">
        <v>66</v>
      </c>
      <c r="AJ370" t="s">
        <v>66</v>
      </c>
      <c r="AK370">
        <v>1</v>
      </c>
      <c r="AL370" t="s">
        <v>323</v>
      </c>
      <c r="AM370" t="s">
        <v>66</v>
      </c>
      <c r="AN370" t="s">
        <v>324</v>
      </c>
      <c r="AO370" t="s">
        <v>66</v>
      </c>
      <c r="AP370">
        <v>1</v>
      </c>
      <c r="AQ370" t="s">
        <v>66</v>
      </c>
      <c r="AR370" t="s">
        <v>66</v>
      </c>
      <c r="AS370" t="s">
        <v>66</v>
      </c>
      <c r="AT370" t="s">
        <v>66</v>
      </c>
    </row>
    <row r="371" spans="1:46" x14ac:dyDescent="0.15">
      <c r="A371" t="s">
        <v>1292</v>
      </c>
      <c r="B371" t="s">
        <v>1233</v>
      </c>
      <c r="C371" t="s">
        <v>1234</v>
      </c>
      <c r="D371">
        <v>59</v>
      </c>
      <c r="E371" t="s">
        <v>49</v>
      </c>
      <c r="F371" t="s">
        <v>50</v>
      </c>
      <c r="G371" t="s">
        <v>51</v>
      </c>
      <c r="H371" t="s">
        <v>52</v>
      </c>
      <c r="I371" t="s">
        <v>53</v>
      </c>
      <c r="J371" t="s">
        <v>54</v>
      </c>
      <c r="K371" t="s">
        <v>55</v>
      </c>
      <c r="L371" t="s">
        <v>17</v>
      </c>
      <c r="M371" t="s">
        <v>16</v>
      </c>
      <c r="N371">
        <v>3755</v>
      </c>
      <c r="O371">
        <v>218</v>
      </c>
      <c r="P371">
        <v>0</v>
      </c>
      <c r="Q371" t="s">
        <v>443</v>
      </c>
      <c r="R371" t="s">
        <v>444</v>
      </c>
      <c r="S371" t="s">
        <v>445</v>
      </c>
      <c r="T371" t="s">
        <v>446</v>
      </c>
      <c r="U371" t="s">
        <v>60</v>
      </c>
      <c r="V371" t="s">
        <v>61</v>
      </c>
      <c r="W371">
        <v>3</v>
      </c>
      <c r="X371">
        <v>0.14000000000000001</v>
      </c>
      <c r="Y371" t="s">
        <v>256</v>
      </c>
      <c r="Z371" t="s">
        <v>447</v>
      </c>
      <c r="AA371">
        <v>2</v>
      </c>
      <c r="AB371" t="s">
        <v>63</v>
      </c>
      <c r="AC371" t="s">
        <v>64</v>
      </c>
      <c r="AD371" t="s">
        <v>65</v>
      </c>
      <c r="AE371" t="s">
        <v>65</v>
      </c>
      <c r="AF371" t="s">
        <v>65</v>
      </c>
      <c r="AG371" t="s">
        <v>191</v>
      </c>
      <c r="AH371" t="s">
        <v>322</v>
      </c>
      <c r="AI371" t="s">
        <v>66</v>
      </c>
      <c r="AJ371" t="s">
        <v>66</v>
      </c>
      <c r="AK371">
        <v>1</v>
      </c>
      <c r="AL371" t="s">
        <v>323</v>
      </c>
      <c r="AM371" t="s">
        <v>66</v>
      </c>
      <c r="AN371" t="s">
        <v>324</v>
      </c>
      <c r="AO371" t="s">
        <v>66</v>
      </c>
      <c r="AP371">
        <v>1</v>
      </c>
      <c r="AQ371" t="s">
        <v>66</v>
      </c>
      <c r="AR371" t="s">
        <v>66</v>
      </c>
      <c r="AS371" t="s">
        <v>66</v>
      </c>
      <c r="AT371" t="s">
        <v>66</v>
      </c>
    </row>
    <row r="372" spans="1:46" x14ac:dyDescent="0.15">
      <c r="A372" t="s">
        <v>1293</v>
      </c>
      <c r="B372" t="s">
        <v>1233</v>
      </c>
      <c r="C372" t="s">
        <v>1234</v>
      </c>
      <c r="D372">
        <v>60</v>
      </c>
      <c r="E372" t="s">
        <v>49</v>
      </c>
      <c r="F372" t="s">
        <v>50</v>
      </c>
      <c r="G372" t="s">
        <v>51</v>
      </c>
      <c r="H372" t="s">
        <v>52</v>
      </c>
      <c r="I372" t="s">
        <v>53</v>
      </c>
      <c r="J372" t="s">
        <v>54</v>
      </c>
      <c r="K372" t="s">
        <v>55</v>
      </c>
      <c r="L372" t="s">
        <v>17</v>
      </c>
      <c r="M372" t="s">
        <v>16</v>
      </c>
      <c r="N372">
        <v>3811</v>
      </c>
      <c r="O372">
        <v>222</v>
      </c>
      <c r="P372">
        <v>0</v>
      </c>
      <c r="Q372" t="s">
        <v>449</v>
      </c>
      <c r="R372" t="s">
        <v>450</v>
      </c>
      <c r="S372" t="s">
        <v>451</v>
      </c>
      <c r="T372" t="s">
        <v>452</v>
      </c>
      <c r="U372" t="s">
        <v>60</v>
      </c>
      <c r="V372" t="s">
        <v>61</v>
      </c>
      <c r="W372">
        <v>3</v>
      </c>
      <c r="X372">
        <v>0.14000000000000001</v>
      </c>
      <c r="Y372" t="s">
        <v>453</v>
      </c>
      <c r="Z372" t="s">
        <v>454</v>
      </c>
      <c r="AA372">
        <v>2</v>
      </c>
      <c r="AB372" t="s">
        <v>63</v>
      </c>
      <c r="AC372" t="s">
        <v>64</v>
      </c>
      <c r="AD372" t="s">
        <v>65</v>
      </c>
      <c r="AE372" t="s">
        <v>65</v>
      </c>
      <c r="AF372" t="s">
        <v>65</v>
      </c>
      <c r="AG372" t="s">
        <v>191</v>
      </c>
      <c r="AH372" t="s">
        <v>322</v>
      </c>
      <c r="AI372" t="s">
        <v>66</v>
      </c>
      <c r="AJ372" t="s">
        <v>66</v>
      </c>
      <c r="AK372">
        <v>1</v>
      </c>
      <c r="AL372" t="s">
        <v>323</v>
      </c>
      <c r="AM372" t="s">
        <v>66</v>
      </c>
      <c r="AN372" t="s">
        <v>324</v>
      </c>
      <c r="AO372" t="s">
        <v>66</v>
      </c>
      <c r="AP372">
        <v>1</v>
      </c>
      <c r="AQ372" t="s">
        <v>66</v>
      </c>
      <c r="AR372" t="s">
        <v>66</v>
      </c>
      <c r="AS372" t="s">
        <v>66</v>
      </c>
      <c r="AT372" t="s">
        <v>66</v>
      </c>
    </row>
    <row r="373" spans="1:46" x14ac:dyDescent="0.15">
      <c r="A373" t="s">
        <v>1293</v>
      </c>
      <c r="B373" t="s">
        <v>1233</v>
      </c>
      <c r="C373" t="s">
        <v>1234</v>
      </c>
      <c r="D373">
        <v>60</v>
      </c>
      <c r="E373" t="s">
        <v>49</v>
      </c>
      <c r="F373" t="s">
        <v>50</v>
      </c>
      <c r="G373" t="s">
        <v>51</v>
      </c>
      <c r="H373" t="s">
        <v>52</v>
      </c>
      <c r="I373" t="s">
        <v>53</v>
      </c>
      <c r="J373" t="s">
        <v>54</v>
      </c>
      <c r="K373" t="s">
        <v>55</v>
      </c>
      <c r="L373" t="s">
        <v>17</v>
      </c>
      <c r="M373" t="s">
        <v>16</v>
      </c>
      <c r="N373">
        <v>3811</v>
      </c>
      <c r="O373">
        <v>222</v>
      </c>
      <c r="P373">
        <v>0</v>
      </c>
      <c r="Q373" t="s">
        <v>449</v>
      </c>
      <c r="R373" t="s">
        <v>450</v>
      </c>
      <c r="S373" t="s">
        <v>451</v>
      </c>
      <c r="T373" t="s">
        <v>452</v>
      </c>
      <c r="U373" t="s">
        <v>60</v>
      </c>
      <c r="V373" t="s">
        <v>61</v>
      </c>
      <c r="W373">
        <v>3</v>
      </c>
      <c r="X373">
        <v>0.14000000000000001</v>
      </c>
      <c r="Y373" t="s">
        <v>453</v>
      </c>
      <c r="Z373" t="s">
        <v>454</v>
      </c>
      <c r="AA373">
        <v>3</v>
      </c>
      <c r="AB373" t="s">
        <v>63</v>
      </c>
      <c r="AC373" t="s">
        <v>64</v>
      </c>
      <c r="AD373" t="s">
        <v>65</v>
      </c>
      <c r="AE373" t="s">
        <v>65</v>
      </c>
      <c r="AF373" t="s">
        <v>65</v>
      </c>
      <c r="AG373" t="s">
        <v>191</v>
      </c>
      <c r="AH373" t="s">
        <v>322</v>
      </c>
      <c r="AI373" t="s">
        <v>322</v>
      </c>
      <c r="AJ373" t="s">
        <v>66</v>
      </c>
      <c r="AK373">
        <v>1</v>
      </c>
      <c r="AL373" t="s">
        <v>455</v>
      </c>
      <c r="AM373" t="s">
        <v>456</v>
      </c>
      <c r="AN373" t="s">
        <v>324</v>
      </c>
      <c r="AO373" t="s">
        <v>66</v>
      </c>
      <c r="AP373">
        <v>1</v>
      </c>
      <c r="AQ373" t="s">
        <v>457</v>
      </c>
      <c r="AR373" t="s">
        <v>458</v>
      </c>
      <c r="AS373" t="s">
        <v>459</v>
      </c>
      <c r="AT373" t="s">
        <v>66</v>
      </c>
    </row>
    <row r="374" spans="1:46" x14ac:dyDescent="0.15">
      <c r="A374" t="s">
        <v>1294</v>
      </c>
      <c r="B374" t="s">
        <v>1233</v>
      </c>
      <c r="C374" t="s">
        <v>1234</v>
      </c>
      <c r="D374">
        <v>61</v>
      </c>
      <c r="E374" t="s">
        <v>49</v>
      </c>
      <c r="F374" t="s">
        <v>50</v>
      </c>
      <c r="G374" t="s">
        <v>51</v>
      </c>
      <c r="H374" t="s">
        <v>52</v>
      </c>
      <c r="I374" t="s">
        <v>53</v>
      </c>
      <c r="J374" t="s">
        <v>54</v>
      </c>
      <c r="K374" t="s">
        <v>55</v>
      </c>
      <c r="L374" t="s">
        <v>17</v>
      </c>
      <c r="M374" t="s">
        <v>16</v>
      </c>
      <c r="N374">
        <v>3867</v>
      </c>
      <c r="O374">
        <v>225</v>
      </c>
      <c r="P374">
        <v>0</v>
      </c>
      <c r="Q374" t="s">
        <v>461</v>
      </c>
      <c r="R374" t="s">
        <v>462</v>
      </c>
      <c r="S374" t="s">
        <v>463</v>
      </c>
      <c r="T374" t="s">
        <v>464</v>
      </c>
      <c r="U374" t="s">
        <v>60</v>
      </c>
      <c r="V374" t="s">
        <v>61</v>
      </c>
      <c r="W374">
        <v>3</v>
      </c>
      <c r="X374">
        <v>0.14000000000000001</v>
      </c>
      <c r="Y374" t="s">
        <v>262</v>
      </c>
      <c r="Z374" t="s">
        <v>465</v>
      </c>
      <c r="AA374">
        <v>3</v>
      </c>
      <c r="AB374" t="s">
        <v>63</v>
      </c>
      <c r="AC374" t="s">
        <v>64</v>
      </c>
      <c r="AD374" t="s">
        <v>65</v>
      </c>
      <c r="AE374" t="s">
        <v>65</v>
      </c>
      <c r="AF374" t="s">
        <v>65</v>
      </c>
      <c r="AG374" t="s">
        <v>191</v>
      </c>
      <c r="AH374" t="s">
        <v>322</v>
      </c>
      <c r="AI374" t="s">
        <v>322</v>
      </c>
      <c r="AJ374" t="s">
        <v>66</v>
      </c>
      <c r="AK374">
        <v>1</v>
      </c>
      <c r="AL374" t="s">
        <v>455</v>
      </c>
      <c r="AM374" t="s">
        <v>456</v>
      </c>
      <c r="AN374" t="s">
        <v>324</v>
      </c>
      <c r="AO374" t="s">
        <v>66</v>
      </c>
      <c r="AP374">
        <v>1</v>
      </c>
      <c r="AQ374" t="s">
        <v>457</v>
      </c>
      <c r="AR374" t="s">
        <v>458</v>
      </c>
      <c r="AS374" t="s">
        <v>459</v>
      </c>
      <c r="AT374" t="s">
        <v>66</v>
      </c>
    </row>
    <row r="375" spans="1:46" x14ac:dyDescent="0.15">
      <c r="A375" t="s">
        <v>1295</v>
      </c>
      <c r="B375" t="s">
        <v>1233</v>
      </c>
      <c r="C375" t="s">
        <v>1234</v>
      </c>
      <c r="D375">
        <v>62</v>
      </c>
      <c r="E375" t="s">
        <v>49</v>
      </c>
      <c r="F375" t="s">
        <v>50</v>
      </c>
      <c r="G375" t="s">
        <v>51</v>
      </c>
      <c r="H375" t="s">
        <v>52</v>
      </c>
      <c r="I375" t="s">
        <v>53</v>
      </c>
      <c r="J375" t="s">
        <v>54</v>
      </c>
      <c r="K375" t="s">
        <v>55</v>
      </c>
      <c r="L375" t="s">
        <v>17</v>
      </c>
      <c r="M375" t="s">
        <v>16</v>
      </c>
      <c r="N375">
        <v>3923</v>
      </c>
      <c r="O375">
        <v>228</v>
      </c>
      <c r="P375">
        <v>0</v>
      </c>
      <c r="Q375" t="s">
        <v>467</v>
      </c>
      <c r="R375" t="s">
        <v>468</v>
      </c>
      <c r="S375" t="s">
        <v>469</v>
      </c>
      <c r="T375" t="s">
        <v>470</v>
      </c>
      <c r="U375" t="s">
        <v>60</v>
      </c>
      <c r="V375" t="s">
        <v>61</v>
      </c>
      <c r="W375">
        <v>3</v>
      </c>
      <c r="X375">
        <v>0.14000000000000001</v>
      </c>
      <c r="Y375" t="s">
        <v>471</v>
      </c>
      <c r="Z375" t="s">
        <v>472</v>
      </c>
      <c r="AA375">
        <v>3</v>
      </c>
      <c r="AB375" t="s">
        <v>63</v>
      </c>
      <c r="AC375" t="s">
        <v>64</v>
      </c>
      <c r="AD375" t="s">
        <v>65</v>
      </c>
      <c r="AE375" t="s">
        <v>65</v>
      </c>
      <c r="AF375" t="s">
        <v>65</v>
      </c>
      <c r="AG375" t="s">
        <v>191</v>
      </c>
      <c r="AH375" t="s">
        <v>322</v>
      </c>
      <c r="AI375" t="s">
        <v>322</v>
      </c>
      <c r="AJ375" t="s">
        <v>66</v>
      </c>
      <c r="AK375">
        <v>1</v>
      </c>
      <c r="AL375" t="s">
        <v>455</v>
      </c>
      <c r="AM375" t="s">
        <v>456</v>
      </c>
      <c r="AN375" t="s">
        <v>324</v>
      </c>
      <c r="AO375" t="s">
        <v>66</v>
      </c>
      <c r="AP375">
        <v>1</v>
      </c>
      <c r="AQ375" t="s">
        <v>457</v>
      </c>
      <c r="AR375" t="s">
        <v>458</v>
      </c>
      <c r="AS375" t="s">
        <v>459</v>
      </c>
      <c r="AT375" t="s">
        <v>66</v>
      </c>
    </row>
    <row r="376" spans="1:46" x14ac:dyDescent="0.15">
      <c r="A376" t="s">
        <v>1296</v>
      </c>
      <c r="B376" t="s">
        <v>1233</v>
      </c>
      <c r="C376" t="s">
        <v>1234</v>
      </c>
      <c r="D376">
        <v>63</v>
      </c>
      <c r="E376" t="s">
        <v>49</v>
      </c>
      <c r="F376" t="s">
        <v>50</v>
      </c>
      <c r="G376" t="s">
        <v>51</v>
      </c>
      <c r="H376" t="s">
        <v>52</v>
      </c>
      <c r="I376" t="s">
        <v>53</v>
      </c>
      <c r="J376" t="s">
        <v>54</v>
      </c>
      <c r="K376" t="s">
        <v>55</v>
      </c>
      <c r="L376" t="s">
        <v>17</v>
      </c>
      <c r="M376" t="s">
        <v>16</v>
      </c>
      <c r="N376">
        <v>3980</v>
      </c>
      <c r="O376">
        <v>231</v>
      </c>
      <c r="P376">
        <v>0</v>
      </c>
      <c r="Q376" t="s">
        <v>474</v>
      </c>
      <c r="R376" t="s">
        <v>475</v>
      </c>
      <c r="S376" t="s">
        <v>476</v>
      </c>
      <c r="T376" t="s">
        <v>477</v>
      </c>
      <c r="U376" t="s">
        <v>60</v>
      </c>
      <c r="V376" t="s">
        <v>61</v>
      </c>
      <c r="W376">
        <v>3</v>
      </c>
      <c r="X376">
        <v>0.14000000000000001</v>
      </c>
      <c r="Y376" t="s">
        <v>269</v>
      </c>
      <c r="Z376" t="s">
        <v>478</v>
      </c>
      <c r="AA376">
        <v>3</v>
      </c>
      <c r="AB376" t="s">
        <v>63</v>
      </c>
      <c r="AC376" t="s">
        <v>64</v>
      </c>
      <c r="AD376" t="s">
        <v>65</v>
      </c>
      <c r="AE376" t="s">
        <v>65</v>
      </c>
      <c r="AF376" t="s">
        <v>65</v>
      </c>
      <c r="AG376" t="s">
        <v>191</v>
      </c>
      <c r="AH376" t="s">
        <v>322</v>
      </c>
      <c r="AI376" t="s">
        <v>322</v>
      </c>
      <c r="AJ376" t="s">
        <v>66</v>
      </c>
      <c r="AK376">
        <v>1</v>
      </c>
      <c r="AL376" t="s">
        <v>455</v>
      </c>
      <c r="AM376" t="s">
        <v>456</v>
      </c>
      <c r="AN376" t="s">
        <v>324</v>
      </c>
      <c r="AO376" t="s">
        <v>66</v>
      </c>
      <c r="AP376">
        <v>1</v>
      </c>
      <c r="AQ376" t="s">
        <v>457</v>
      </c>
      <c r="AR376" t="s">
        <v>458</v>
      </c>
      <c r="AS376" t="s">
        <v>459</v>
      </c>
      <c r="AT376" t="s">
        <v>66</v>
      </c>
    </row>
    <row r="377" spans="1:46" x14ac:dyDescent="0.15">
      <c r="A377" t="s">
        <v>1297</v>
      </c>
      <c r="B377" t="s">
        <v>1233</v>
      </c>
      <c r="C377" t="s">
        <v>1234</v>
      </c>
      <c r="D377">
        <v>64</v>
      </c>
      <c r="E377" t="s">
        <v>49</v>
      </c>
      <c r="F377" t="s">
        <v>50</v>
      </c>
      <c r="G377" t="s">
        <v>51</v>
      </c>
      <c r="H377" t="s">
        <v>52</v>
      </c>
      <c r="I377" t="s">
        <v>53</v>
      </c>
      <c r="J377" t="s">
        <v>54</v>
      </c>
      <c r="K377" t="s">
        <v>55</v>
      </c>
      <c r="L377" t="s">
        <v>17</v>
      </c>
      <c r="M377" t="s">
        <v>16</v>
      </c>
      <c r="N377">
        <v>4036</v>
      </c>
      <c r="O377">
        <v>235</v>
      </c>
      <c r="P377">
        <v>0</v>
      </c>
      <c r="Q377" t="s">
        <v>480</v>
      </c>
      <c r="R377" t="s">
        <v>481</v>
      </c>
      <c r="S377" t="s">
        <v>482</v>
      </c>
      <c r="T377" t="s">
        <v>483</v>
      </c>
      <c r="U377" t="s">
        <v>60</v>
      </c>
      <c r="V377" t="s">
        <v>61</v>
      </c>
      <c r="W377">
        <v>3</v>
      </c>
      <c r="X377">
        <v>0.14000000000000001</v>
      </c>
      <c r="Y377" t="s">
        <v>484</v>
      </c>
      <c r="Z377" t="s">
        <v>485</v>
      </c>
      <c r="AA377">
        <v>3</v>
      </c>
      <c r="AB377" t="s">
        <v>63</v>
      </c>
      <c r="AC377" t="s">
        <v>64</v>
      </c>
      <c r="AD377" t="s">
        <v>65</v>
      </c>
      <c r="AE377" t="s">
        <v>65</v>
      </c>
      <c r="AF377" t="s">
        <v>65</v>
      </c>
      <c r="AG377" t="s">
        <v>191</v>
      </c>
      <c r="AH377" t="s">
        <v>322</v>
      </c>
      <c r="AI377" t="s">
        <v>322</v>
      </c>
      <c r="AJ377" t="s">
        <v>66</v>
      </c>
      <c r="AK377">
        <v>1</v>
      </c>
      <c r="AL377" t="s">
        <v>455</v>
      </c>
      <c r="AM377" t="s">
        <v>456</v>
      </c>
      <c r="AN377" t="s">
        <v>324</v>
      </c>
      <c r="AO377" t="s">
        <v>66</v>
      </c>
      <c r="AP377">
        <v>1</v>
      </c>
      <c r="AQ377" t="s">
        <v>457</v>
      </c>
      <c r="AR377" t="s">
        <v>458</v>
      </c>
      <c r="AS377" t="s">
        <v>459</v>
      </c>
      <c r="AT377" t="s">
        <v>66</v>
      </c>
    </row>
    <row r="378" spans="1:46" x14ac:dyDescent="0.15">
      <c r="A378" t="s">
        <v>1298</v>
      </c>
      <c r="B378" t="s">
        <v>1233</v>
      </c>
      <c r="C378" t="s">
        <v>1234</v>
      </c>
      <c r="D378">
        <v>65</v>
      </c>
      <c r="E378" t="s">
        <v>49</v>
      </c>
      <c r="F378" t="s">
        <v>50</v>
      </c>
      <c r="G378" t="s">
        <v>51</v>
      </c>
      <c r="H378" t="s">
        <v>52</v>
      </c>
      <c r="I378" t="s">
        <v>53</v>
      </c>
      <c r="J378" t="s">
        <v>54</v>
      </c>
      <c r="K378" t="s">
        <v>55</v>
      </c>
      <c r="L378" t="s">
        <v>17</v>
      </c>
      <c r="M378" t="s">
        <v>16</v>
      </c>
      <c r="N378">
        <v>4092</v>
      </c>
      <c r="O378">
        <v>238</v>
      </c>
      <c r="P378">
        <v>0</v>
      </c>
      <c r="Q378" t="s">
        <v>487</v>
      </c>
      <c r="R378" t="s">
        <v>488</v>
      </c>
      <c r="S378" t="s">
        <v>489</v>
      </c>
      <c r="T378" t="s">
        <v>490</v>
      </c>
      <c r="U378" t="s">
        <v>60</v>
      </c>
      <c r="V378" t="s">
        <v>61</v>
      </c>
      <c r="W378">
        <v>3</v>
      </c>
      <c r="X378">
        <v>0.14000000000000001</v>
      </c>
      <c r="Y378" t="s">
        <v>275</v>
      </c>
      <c r="Z378" t="s">
        <v>491</v>
      </c>
      <c r="AA378">
        <v>3</v>
      </c>
      <c r="AB378" t="s">
        <v>63</v>
      </c>
      <c r="AC378" t="s">
        <v>64</v>
      </c>
      <c r="AD378" t="s">
        <v>65</v>
      </c>
      <c r="AE378" t="s">
        <v>65</v>
      </c>
      <c r="AF378" t="s">
        <v>65</v>
      </c>
      <c r="AG378" t="s">
        <v>191</v>
      </c>
      <c r="AH378" t="s">
        <v>322</v>
      </c>
      <c r="AI378" t="s">
        <v>322</v>
      </c>
      <c r="AJ378" t="s">
        <v>66</v>
      </c>
      <c r="AK378">
        <v>1</v>
      </c>
      <c r="AL378" t="s">
        <v>455</v>
      </c>
      <c r="AM378" t="s">
        <v>456</v>
      </c>
      <c r="AN378" t="s">
        <v>324</v>
      </c>
      <c r="AO378" t="s">
        <v>66</v>
      </c>
      <c r="AP378">
        <v>1</v>
      </c>
      <c r="AQ378" t="s">
        <v>457</v>
      </c>
      <c r="AR378" t="s">
        <v>458</v>
      </c>
      <c r="AS378" t="s">
        <v>459</v>
      </c>
      <c r="AT378" t="s">
        <v>66</v>
      </c>
    </row>
    <row r="379" spans="1:46" x14ac:dyDescent="0.15">
      <c r="A379" t="s">
        <v>1299</v>
      </c>
      <c r="B379" t="s">
        <v>1233</v>
      </c>
      <c r="C379" t="s">
        <v>1234</v>
      </c>
      <c r="D379">
        <v>66</v>
      </c>
      <c r="E379" t="s">
        <v>49</v>
      </c>
      <c r="F379" t="s">
        <v>50</v>
      </c>
      <c r="G379" t="s">
        <v>51</v>
      </c>
      <c r="H379" t="s">
        <v>52</v>
      </c>
      <c r="I379" t="s">
        <v>53</v>
      </c>
      <c r="J379" t="s">
        <v>54</v>
      </c>
      <c r="K379" t="s">
        <v>55</v>
      </c>
      <c r="L379" t="s">
        <v>17</v>
      </c>
      <c r="M379" t="s">
        <v>16</v>
      </c>
      <c r="N379">
        <v>4148</v>
      </c>
      <c r="O379">
        <v>241</v>
      </c>
      <c r="P379">
        <v>0</v>
      </c>
      <c r="Q379" t="s">
        <v>493</v>
      </c>
      <c r="R379" t="s">
        <v>494</v>
      </c>
      <c r="S379" t="s">
        <v>495</v>
      </c>
      <c r="T379" t="s">
        <v>496</v>
      </c>
      <c r="U379" t="s">
        <v>60</v>
      </c>
      <c r="V379" t="s">
        <v>61</v>
      </c>
      <c r="W379">
        <v>3</v>
      </c>
      <c r="X379">
        <v>0.14000000000000001</v>
      </c>
      <c r="Y379" t="s">
        <v>497</v>
      </c>
      <c r="Z379" t="s">
        <v>498</v>
      </c>
      <c r="AA379">
        <v>3</v>
      </c>
      <c r="AB379" t="s">
        <v>63</v>
      </c>
      <c r="AC379" t="s">
        <v>64</v>
      </c>
      <c r="AD379" t="s">
        <v>65</v>
      </c>
      <c r="AE379" t="s">
        <v>65</v>
      </c>
      <c r="AF379" t="s">
        <v>65</v>
      </c>
      <c r="AG379" t="s">
        <v>191</v>
      </c>
      <c r="AH379" t="s">
        <v>322</v>
      </c>
      <c r="AI379" t="s">
        <v>322</v>
      </c>
      <c r="AJ379" t="s">
        <v>66</v>
      </c>
      <c r="AK379">
        <v>1</v>
      </c>
      <c r="AL379" t="s">
        <v>455</v>
      </c>
      <c r="AM379" t="s">
        <v>456</v>
      </c>
      <c r="AN379" t="s">
        <v>324</v>
      </c>
      <c r="AO379" t="s">
        <v>66</v>
      </c>
      <c r="AP379">
        <v>1</v>
      </c>
      <c r="AQ379" t="s">
        <v>457</v>
      </c>
      <c r="AR379" t="s">
        <v>458</v>
      </c>
      <c r="AS379" t="s">
        <v>459</v>
      </c>
      <c r="AT379" t="s">
        <v>66</v>
      </c>
    </row>
    <row r="380" spans="1:46" x14ac:dyDescent="0.15">
      <c r="A380" t="s">
        <v>1300</v>
      </c>
      <c r="B380" t="s">
        <v>1233</v>
      </c>
      <c r="C380" t="s">
        <v>1234</v>
      </c>
      <c r="D380">
        <v>67</v>
      </c>
      <c r="E380" t="s">
        <v>49</v>
      </c>
      <c r="F380" t="s">
        <v>50</v>
      </c>
      <c r="G380" t="s">
        <v>51</v>
      </c>
      <c r="H380" t="s">
        <v>52</v>
      </c>
      <c r="I380" t="s">
        <v>53</v>
      </c>
      <c r="J380" t="s">
        <v>54</v>
      </c>
      <c r="K380" t="s">
        <v>55</v>
      </c>
      <c r="L380" t="s">
        <v>17</v>
      </c>
      <c r="M380" t="s">
        <v>16</v>
      </c>
      <c r="N380">
        <v>4204</v>
      </c>
      <c r="O380">
        <v>244</v>
      </c>
      <c r="P380">
        <v>0</v>
      </c>
      <c r="Q380" t="s">
        <v>500</v>
      </c>
      <c r="R380" t="s">
        <v>501</v>
      </c>
      <c r="S380" t="s">
        <v>502</v>
      </c>
      <c r="T380" t="s">
        <v>503</v>
      </c>
      <c r="U380" t="s">
        <v>60</v>
      </c>
      <c r="V380" t="s">
        <v>61</v>
      </c>
      <c r="W380">
        <v>3</v>
      </c>
      <c r="X380">
        <v>0.14000000000000001</v>
      </c>
      <c r="Y380" t="s">
        <v>282</v>
      </c>
      <c r="Z380" t="s">
        <v>504</v>
      </c>
      <c r="AA380">
        <v>3</v>
      </c>
      <c r="AB380" t="s">
        <v>63</v>
      </c>
      <c r="AC380" t="s">
        <v>64</v>
      </c>
      <c r="AD380" t="s">
        <v>65</v>
      </c>
      <c r="AE380" t="s">
        <v>65</v>
      </c>
      <c r="AF380" t="s">
        <v>65</v>
      </c>
      <c r="AG380" t="s">
        <v>191</v>
      </c>
      <c r="AH380" t="s">
        <v>322</v>
      </c>
      <c r="AI380" t="s">
        <v>322</v>
      </c>
      <c r="AJ380" t="s">
        <v>66</v>
      </c>
      <c r="AK380">
        <v>1</v>
      </c>
      <c r="AL380" t="s">
        <v>455</v>
      </c>
      <c r="AM380" t="s">
        <v>456</v>
      </c>
      <c r="AN380" t="s">
        <v>324</v>
      </c>
      <c r="AO380" t="s">
        <v>66</v>
      </c>
      <c r="AP380">
        <v>1</v>
      </c>
      <c r="AQ380" t="s">
        <v>457</v>
      </c>
      <c r="AR380" t="s">
        <v>458</v>
      </c>
      <c r="AS380" t="s">
        <v>459</v>
      </c>
      <c r="AT380" t="s">
        <v>66</v>
      </c>
    </row>
    <row r="381" spans="1:46" x14ac:dyDescent="0.15">
      <c r="A381" t="s">
        <v>1301</v>
      </c>
      <c r="B381" t="s">
        <v>1233</v>
      </c>
      <c r="C381" t="s">
        <v>1234</v>
      </c>
      <c r="D381">
        <v>68</v>
      </c>
      <c r="E381" t="s">
        <v>49</v>
      </c>
      <c r="F381" t="s">
        <v>50</v>
      </c>
      <c r="G381" t="s">
        <v>51</v>
      </c>
      <c r="H381" t="s">
        <v>52</v>
      </c>
      <c r="I381" t="s">
        <v>53</v>
      </c>
      <c r="J381" t="s">
        <v>54</v>
      </c>
      <c r="K381" t="s">
        <v>55</v>
      </c>
      <c r="L381" t="s">
        <v>17</v>
      </c>
      <c r="M381" t="s">
        <v>16</v>
      </c>
      <c r="N381">
        <v>4260</v>
      </c>
      <c r="O381">
        <v>248</v>
      </c>
      <c r="P381">
        <v>0</v>
      </c>
      <c r="Q381" t="s">
        <v>506</v>
      </c>
      <c r="R381" t="s">
        <v>507</v>
      </c>
      <c r="S381" t="s">
        <v>508</v>
      </c>
      <c r="T381" t="s">
        <v>509</v>
      </c>
      <c r="U381" t="s">
        <v>60</v>
      </c>
      <c r="V381" t="s">
        <v>61</v>
      </c>
      <c r="W381">
        <v>3</v>
      </c>
      <c r="X381">
        <v>0.14000000000000001</v>
      </c>
      <c r="Y381" t="s">
        <v>510</v>
      </c>
      <c r="Z381" t="s">
        <v>511</v>
      </c>
      <c r="AA381">
        <v>3</v>
      </c>
      <c r="AB381" t="s">
        <v>63</v>
      </c>
      <c r="AC381" t="s">
        <v>64</v>
      </c>
      <c r="AD381" t="s">
        <v>65</v>
      </c>
      <c r="AE381" t="s">
        <v>65</v>
      </c>
      <c r="AF381" t="s">
        <v>65</v>
      </c>
      <c r="AG381" t="s">
        <v>191</v>
      </c>
      <c r="AH381" t="s">
        <v>322</v>
      </c>
      <c r="AI381" t="s">
        <v>322</v>
      </c>
      <c r="AJ381" t="s">
        <v>66</v>
      </c>
      <c r="AK381">
        <v>1</v>
      </c>
      <c r="AL381" t="s">
        <v>455</v>
      </c>
      <c r="AM381" t="s">
        <v>456</v>
      </c>
      <c r="AN381" t="s">
        <v>324</v>
      </c>
      <c r="AO381" t="s">
        <v>66</v>
      </c>
      <c r="AP381">
        <v>1</v>
      </c>
      <c r="AQ381" t="s">
        <v>457</v>
      </c>
      <c r="AR381" t="s">
        <v>458</v>
      </c>
      <c r="AS381" t="s">
        <v>459</v>
      </c>
      <c r="AT381" t="s">
        <v>66</v>
      </c>
    </row>
    <row r="382" spans="1:46" x14ac:dyDescent="0.15">
      <c r="A382" t="s">
        <v>1302</v>
      </c>
      <c r="B382" t="s">
        <v>1233</v>
      </c>
      <c r="C382" t="s">
        <v>1234</v>
      </c>
      <c r="D382">
        <v>69</v>
      </c>
      <c r="E382" t="s">
        <v>49</v>
      </c>
      <c r="F382" t="s">
        <v>50</v>
      </c>
      <c r="G382" t="s">
        <v>51</v>
      </c>
      <c r="H382" t="s">
        <v>52</v>
      </c>
      <c r="I382" t="s">
        <v>53</v>
      </c>
      <c r="J382" t="s">
        <v>54</v>
      </c>
      <c r="K382" t="s">
        <v>55</v>
      </c>
      <c r="L382" t="s">
        <v>17</v>
      </c>
      <c r="M382" t="s">
        <v>16</v>
      </c>
      <c r="N382">
        <v>4316</v>
      </c>
      <c r="O382">
        <v>251</v>
      </c>
      <c r="P382">
        <v>0</v>
      </c>
      <c r="Q382" t="s">
        <v>513</v>
      </c>
      <c r="R382" t="s">
        <v>514</v>
      </c>
      <c r="S382" t="s">
        <v>515</v>
      </c>
      <c r="T382" t="s">
        <v>516</v>
      </c>
      <c r="U382" t="s">
        <v>60</v>
      </c>
      <c r="V382" t="s">
        <v>61</v>
      </c>
      <c r="W382">
        <v>3</v>
      </c>
      <c r="X382">
        <v>0.14000000000000001</v>
      </c>
      <c r="Y382" t="s">
        <v>288</v>
      </c>
      <c r="Z382" t="s">
        <v>517</v>
      </c>
      <c r="AA382">
        <v>3</v>
      </c>
      <c r="AB382" t="s">
        <v>63</v>
      </c>
      <c r="AC382" t="s">
        <v>64</v>
      </c>
      <c r="AD382" t="s">
        <v>65</v>
      </c>
      <c r="AE382" t="s">
        <v>65</v>
      </c>
      <c r="AF382" t="s">
        <v>65</v>
      </c>
      <c r="AG382" t="s">
        <v>191</v>
      </c>
      <c r="AH382" t="s">
        <v>322</v>
      </c>
      <c r="AI382" t="s">
        <v>322</v>
      </c>
      <c r="AJ382" t="s">
        <v>66</v>
      </c>
      <c r="AK382">
        <v>1</v>
      </c>
      <c r="AL382" t="s">
        <v>455</v>
      </c>
      <c r="AM382" t="s">
        <v>456</v>
      </c>
      <c r="AN382" t="s">
        <v>324</v>
      </c>
      <c r="AO382" t="s">
        <v>66</v>
      </c>
      <c r="AP382">
        <v>1</v>
      </c>
      <c r="AQ382" t="s">
        <v>457</v>
      </c>
      <c r="AR382" t="s">
        <v>458</v>
      </c>
      <c r="AS382" t="s">
        <v>459</v>
      </c>
      <c r="AT382" t="s">
        <v>66</v>
      </c>
    </row>
    <row r="383" spans="1:46" x14ac:dyDescent="0.15">
      <c r="A383" t="s">
        <v>1303</v>
      </c>
      <c r="B383" t="s">
        <v>1233</v>
      </c>
      <c r="C383" t="s">
        <v>1234</v>
      </c>
      <c r="D383">
        <v>70</v>
      </c>
      <c r="E383" t="s">
        <v>49</v>
      </c>
      <c r="F383" t="s">
        <v>50</v>
      </c>
      <c r="G383" t="s">
        <v>51</v>
      </c>
      <c r="H383" t="s">
        <v>52</v>
      </c>
      <c r="I383" t="s">
        <v>53</v>
      </c>
      <c r="J383" t="s">
        <v>54</v>
      </c>
      <c r="K383" t="s">
        <v>55</v>
      </c>
      <c r="L383" t="s">
        <v>17</v>
      </c>
      <c r="M383" t="s">
        <v>16</v>
      </c>
      <c r="N383">
        <v>4372</v>
      </c>
      <c r="O383">
        <v>254</v>
      </c>
      <c r="P383">
        <v>0</v>
      </c>
      <c r="Q383" t="s">
        <v>519</v>
      </c>
      <c r="R383" t="s">
        <v>520</v>
      </c>
      <c r="S383" t="s">
        <v>521</v>
      </c>
      <c r="T383" t="s">
        <v>522</v>
      </c>
      <c r="U383" t="s">
        <v>60</v>
      </c>
      <c r="V383" t="s">
        <v>61</v>
      </c>
      <c r="W383">
        <v>3</v>
      </c>
      <c r="X383">
        <v>0.14000000000000001</v>
      </c>
      <c r="Y383" t="s">
        <v>523</v>
      </c>
      <c r="Z383" t="s">
        <v>524</v>
      </c>
      <c r="AA383">
        <v>3</v>
      </c>
      <c r="AB383" t="s">
        <v>63</v>
      </c>
      <c r="AC383" t="s">
        <v>64</v>
      </c>
      <c r="AD383" t="s">
        <v>65</v>
      </c>
      <c r="AE383" t="s">
        <v>65</v>
      </c>
      <c r="AF383" t="s">
        <v>65</v>
      </c>
      <c r="AG383" t="s">
        <v>191</v>
      </c>
      <c r="AH383" t="s">
        <v>322</v>
      </c>
      <c r="AI383" t="s">
        <v>322</v>
      </c>
      <c r="AJ383" t="s">
        <v>66</v>
      </c>
      <c r="AK383">
        <v>1</v>
      </c>
      <c r="AL383" t="s">
        <v>455</v>
      </c>
      <c r="AM383" t="s">
        <v>456</v>
      </c>
      <c r="AN383" t="s">
        <v>324</v>
      </c>
      <c r="AO383" t="s">
        <v>66</v>
      </c>
      <c r="AP383">
        <v>1</v>
      </c>
      <c r="AQ383" t="s">
        <v>457</v>
      </c>
      <c r="AR383" t="s">
        <v>458</v>
      </c>
      <c r="AS383" t="s">
        <v>459</v>
      </c>
      <c r="AT383" t="s">
        <v>66</v>
      </c>
    </row>
    <row r="384" spans="1:46" x14ac:dyDescent="0.15">
      <c r="A384" t="s">
        <v>1304</v>
      </c>
      <c r="B384" t="s">
        <v>1233</v>
      </c>
      <c r="C384" t="s">
        <v>1234</v>
      </c>
      <c r="D384">
        <v>71</v>
      </c>
      <c r="E384" t="s">
        <v>49</v>
      </c>
      <c r="F384" t="s">
        <v>50</v>
      </c>
      <c r="G384" t="s">
        <v>51</v>
      </c>
      <c r="H384" t="s">
        <v>52</v>
      </c>
      <c r="I384" t="s">
        <v>53</v>
      </c>
      <c r="J384" t="s">
        <v>54</v>
      </c>
      <c r="K384" t="s">
        <v>55</v>
      </c>
      <c r="L384" t="s">
        <v>17</v>
      </c>
      <c r="M384" t="s">
        <v>16</v>
      </c>
      <c r="N384">
        <v>4429</v>
      </c>
      <c r="O384">
        <v>257</v>
      </c>
      <c r="P384">
        <v>0</v>
      </c>
      <c r="Q384" t="s">
        <v>526</v>
      </c>
      <c r="R384" t="s">
        <v>527</v>
      </c>
      <c r="S384" t="s">
        <v>528</v>
      </c>
      <c r="T384" t="s">
        <v>529</v>
      </c>
      <c r="U384" t="s">
        <v>60</v>
      </c>
      <c r="V384" t="s">
        <v>61</v>
      </c>
      <c r="W384">
        <v>3</v>
      </c>
      <c r="X384">
        <v>0.14000000000000001</v>
      </c>
      <c r="Y384" t="s">
        <v>295</v>
      </c>
      <c r="Z384" t="s">
        <v>530</v>
      </c>
      <c r="AA384">
        <v>3</v>
      </c>
      <c r="AB384" t="s">
        <v>63</v>
      </c>
      <c r="AC384" t="s">
        <v>64</v>
      </c>
      <c r="AD384" t="s">
        <v>65</v>
      </c>
      <c r="AE384" t="s">
        <v>65</v>
      </c>
      <c r="AF384" t="s">
        <v>65</v>
      </c>
      <c r="AG384" t="s">
        <v>191</v>
      </c>
      <c r="AH384" t="s">
        <v>322</v>
      </c>
      <c r="AI384" t="s">
        <v>322</v>
      </c>
      <c r="AJ384" t="s">
        <v>66</v>
      </c>
      <c r="AK384">
        <v>1</v>
      </c>
      <c r="AL384" t="s">
        <v>455</v>
      </c>
      <c r="AM384" t="s">
        <v>456</v>
      </c>
      <c r="AN384" t="s">
        <v>324</v>
      </c>
      <c r="AO384" t="s">
        <v>66</v>
      </c>
      <c r="AP384">
        <v>1</v>
      </c>
      <c r="AQ384" t="s">
        <v>457</v>
      </c>
      <c r="AR384" t="s">
        <v>458</v>
      </c>
      <c r="AS384" t="s">
        <v>459</v>
      </c>
      <c r="AT384" t="s">
        <v>66</v>
      </c>
    </row>
    <row r="385" spans="1:46" x14ac:dyDescent="0.15">
      <c r="A385" t="s">
        <v>1305</v>
      </c>
      <c r="B385" t="s">
        <v>1233</v>
      </c>
      <c r="C385" t="s">
        <v>1234</v>
      </c>
      <c r="D385">
        <v>72</v>
      </c>
      <c r="E385" t="s">
        <v>49</v>
      </c>
      <c r="F385" t="s">
        <v>50</v>
      </c>
      <c r="G385" t="s">
        <v>51</v>
      </c>
      <c r="H385" t="s">
        <v>52</v>
      </c>
      <c r="I385" t="s">
        <v>53</v>
      </c>
      <c r="J385" t="s">
        <v>54</v>
      </c>
      <c r="K385" t="s">
        <v>55</v>
      </c>
      <c r="L385" t="s">
        <v>17</v>
      </c>
      <c r="M385" t="s">
        <v>16</v>
      </c>
      <c r="N385">
        <v>4485</v>
      </c>
      <c r="O385">
        <v>261</v>
      </c>
      <c r="P385">
        <v>0</v>
      </c>
      <c r="Q385" t="s">
        <v>532</v>
      </c>
      <c r="R385" t="s">
        <v>533</v>
      </c>
      <c r="S385" t="s">
        <v>534</v>
      </c>
      <c r="T385" t="s">
        <v>535</v>
      </c>
      <c r="U385" t="s">
        <v>60</v>
      </c>
      <c r="V385" t="s">
        <v>61</v>
      </c>
      <c r="W385">
        <v>3</v>
      </c>
      <c r="X385">
        <v>0.14000000000000001</v>
      </c>
      <c r="Y385" t="s">
        <v>536</v>
      </c>
      <c r="Z385" t="s">
        <v>537</v>
      </c>
      <c r="AA385">
        <v>3</v>
      </c>
      <c r="AB385" t="s">
        <v>63</v>
      </c>
      <c r="AC385" t="s">
        <v>64</v>
      </c>
      <c r="AD385" t="s">
        <v>65</v>
      </c>
      <c r="AE385" t="s">
        <v>65</v>
      </c>
      <c r="AF385" t="s">
        <v>65</v>
      </c>
      <c r="AG385" t="s">
        <v>191</v>
      </c>
      <c r="AH385" t="s">
        <v>322</v>
      </c>
      <c r="AI385" t="s">
        <v>322</v>
      </c>
      <c r="AJ385" t="s">
        <v>66</v>
      </c>
      <c r="AK385">
        <v>1</v>
      </c>
      <c r="AL385" t="s">
        <v>455</v>
      </c>
      <c r="AM385" t="s">
        <v>456</v>
      </c>
      <c r="AN385" t="s">
        <v>324</v>
      </c>
      <c r="AO385" t="s">
        <v>66</v>
      </c>
      <c r="AP385">
        <v>1</v>
      </c>
      <c r="AQ385" t="s">
        <v>457</v>
      </c>
      <c r="AR385" t="s">
        <v>458</v>
      </c>
      <c r="AS385" t="s">
        <v>459</v>
      </c>
      <c r="AT385" t="s">
        <v>66</v>
      </c>
    </row>
    <row r="386" spans="1:46" x14ac:dyDescent="0.15">
      <c r="A386" t="s">
        <v>1306</v>
      </c>
      <c r="B386" t="s">
        <v>1233</v>
      </c>
      <c r="C386" t="s">
        <v>1234</v>
      </c>
      <c r="D386">
        <v>73</v>
      </c>
      <c r="E386" t="s">
        <v>49</v>
      </c>
      <c r="F386" t="s">
        <v>50</v>
      </c>
      <c r="G386" t="s">
        <v>51</v>
      </c>
      <c r="H386" t="s">
        <v>52</v>
      </c>
      <c r="I386" t="s">
        <v>53</v>
      </c>
      <c r="J386" t="s">
        <v>54</v>
      </c>
      <c r="K386" t="s">
        <v>55</v>
      </c>
      <c r="L386" t="s">
        <v>17</v>
      </c>
      <c r="M386" t="s">
        <v>16</v>
      </c>
      <c r="N386">
        <v>4541</v>
      </c>
      <c r="O386">
        <v>264</v>
      </c>
      <c r="P386">
        <v>0</v>
      </c>
      <c r="Q386" t="s">
        <v>539</v>
      </c>
      <c r="R386" t="s">
        <v>540</v>
      </c>
      <c r="S386" t="s">
        <v>541</v>
      </c>
      <c r="T386" t="s">
        <v>542</v>
      </c>
      <c r="U386" t="s">
        <v>60</v>
      </c>
      <c r="V386" t="s">
        <v>61</v>
      </c>
      <c r="W386">
        <v>3</v>
      </c>
      <c r="X386">
        <v>0.14000000000000001</v>
      </c>
      <c r="Y386" t="s">
        <v>301</v>
      </c>
      <c r="Z386" t="s">
        <v>543</v>
      </c>
      <c r="AA386">
        <v>3</v>
      </c>
      <c r="AB386" t="s">
        <v>63</v>
      </c>
      <c r="AC386" t="s">
        <v>64</v>
      </c>
      <c r="AD386" t="s">
        <v>65</v>
      </c>
      <c r="AE386" t="s">
        <v>65</v>
      </c>
      <c r="AF386" t="s">
        <v>65</v>
      </c>
      <c r="AG386" t="s">
        <v>191</v>
      </c>
      <c r="AH386" t="s">
        <v>322</v>
      </c>
      <c r="AI386" t="s">
        <v>322</v>
      </c>
      <c r="AJ386" t="s">
        <v>66</v>
      </c>
      <c r="AK386">
        <v>1</v>
      </c>
      <c r="AL386" t="s">
        <v>455</v>
      </c>
      <c r="AM386" t="s">
        <v>456</v>
      </c>
      <c r="AN386" t="s">
        <v>324</v>
      </c>
      <c r="AO386" t="s">
        <v>66</v>
      </c>
      <c r="AP386">
        <v>1</v>
      </c>
      <c r="AQ386" t="s">
        <v>457</v>
      </c>
      <c r="AR386" t="s">
        <v>458</v>
      </c>
      <c r="AS386" t="s">
        <v>459</v>
      </c>
      <c r="AT386" t="s">
        <v>66</v>
      </c>
    </row>
    <row r="387" spans="1:46" x14ac:dyDescent="0.15">
      <c r="A387" t="s">
        <v>1307</v>
      </c>
      <c r="B387" t="s">
        <v>1233</v>
      </c>
      <c r="C387" t="s">
        <v>1234</v>
      </c>
      <c r="D387">
        <v>74</v>
      </c>
      <c r="E387" t="s">
        <v>49</v>
      </c>
      <c r="F387" t="s">
        <v>50</v>
      </c>
      <c r="G387" t="s">
        <v>51</v>
      </c>
      <c r="H387" t="s">
        <v>52</v>
      </c>
      <c r="I387" t="s">
        <v>53</v>
      </c>
      <c r="J387" t="s">
        <v>54</v>
      </c>
      <c r="K387" t="s">
        <v>55</v>
      </c>
      <c r="L387" t="s">
        <v>17</v>
      </c>
      <c r="M387" t="s">
        <v>16</v>
      </c>
      <c r="N387">
        <v>4597</v>
      </c>
      <c r="O387">
        <v>267</v>
      </c>
      <c r="P387">
        <v>0</v>
      </c>
      <c r="Q387" t="s">
        <v>545</v>
      </c>
      <c r="R387" t="s">
        <v>546</v>
      </c>
      <c r="S387" t="s">
        <v>547</v>
      </c>
      <c r="T387" t="s">
        <v>548</v>
      </c>
      <c r="U387" t="s">
        <v>60</v>
      </c>
      <c r="V387" t="s">
        <v>61</v>
      </c>
      <c r="W387">
        <v>3</v>
      </c>
      <c r="X387">
        <v>0.14000000000000001</v>
      </c>
      <c r="Y387" t="s">
        <v>549</v>
      </c>
      <c r="Z387" t="s">
        <v>550</v>
      </c>
      <c r="AA387">
        <v>3</v>
      </c>
      <c r="AB387" t="s">
        <v>63</v>
      </c>
      <c r="AC387" t="s">
        <v>64</v>
      </c>
      <c r="AD387" t="s">
        <v>65</v>
      </c>
      <c r="AE387" t="s">
        <v>65</v>
      </c>
      <c r="AF387" t="s">
        <v>65</v>
      </c>
      <c r="AG387" t="s">
        <v>191</v>
      </c>
      <c r="AH387" t="s">
        <v>322</v>
      </c>
      <c r="AI387" t="s">
        <v>322</v>
      </c>
      <c r="AJ387" t="s">
        <v>66</v>
      </c>
      <c r="AK387">
        <v>1</v>
      </c>
      <c r="AL387" t="s">
        <v>455</v>
      </c>
      <c r="AM387" t="s">
        <v>456</v>
      </c>
      <c r="AN387" t="s">
        <v>324</v>
      </c>
      <c r="AO387" t="s">
        <v>66</v>
      </c>
      <c r="AP387">
        <v>1</v>
      </c>
      <c r="AQ387" t="s">
        <v>457</v>
      </c>
      <c r="AR387" t="s">
        <v>458</v>
      </c>
      <c r="AS387" t="s">
        <v>459</v>
      </c>
      <c r="AT387" t="s">
        <v>66</v>
      </c>
    </row>
    <row r="388" spans="1:46" x14ac:dyDescent="0.15">
      <c r="A388" t="s">
        <v>1308</v>
      </c>
      <c r="B388" t="s">
        <v>1233</v>
      </c>
      <c r="C388" t="s">
        <v>1234</v>
      </c>
      <c r="D388">
        <v>75</v>
      </c>
      <c r="E388" t="s">
        <v>49</v>
      </c>
      <c r="F388" t="s">
        <v>50</v>
      </c>
      <c r="G388" t="s">
        <v>51</v>
      </c>
      <c r="H388" t="s">
        <v>52</v>
      </c>
      <c r="I388" t="s">
        <v>53</v>
      </c>
      <c r="J388" t="s">
        <v>54</v>
      </c>
      <c r="K388" t="s">
        <v>55</v>
      </c>
      <c r="L388" t="s">
        <v>17</v>
      </c>
      <c r="M388" t="s">
        <v>16</v>
      </c>
      <c r="N388">
        <v>4653</v>
      </c>
      <c r="O388">
        <v>270</v>
      </c>
      <c r="P388">
        <v>0</v>
      </c>
      <c r="Q388" t="s">
        <v>552</v>
      </c>
      <c r="R388" t="s">
        <v>553</v>
      </c>
      <c r="S388" t="s">
        <v>554</v>
      </c>
      <c r="T388" t="s">
        <v>555</v>
      </c>
      <c r="U388" t="s">
        <v>60</v>
      </c>
      <c r="V388" t="s">
        <v>61</v>
      </c>
      <c r="W388">
        <v>3</v>
      </c>
      <c r="X388">
        <v>0.14000000000000001</v>
      </c>
      <c r="Y388" t="s">
        <v>308</v>
      </c>
      <c r="Z388" t="s">
        <v>556</v>
      </c>
      <c r="AA388">
        <v>3</v>
      </c>
      <c r="AB388" t="s">
        <v>63</v>
      </c>
      <c r="AC388" t="s">
        <v>64</v>
      </c>
      <c r="AD388" t="s">
        <v>65</v>
      </c>
      <c r="AE388" t="s">
        <v>65</v>
      </c>
      <c r="AF388" t="s">
        <v>65</v>
      </c>
      <c r="AG388" t="s">
        <v>191</v>
      </c>
      <c r="AH388" t="s">
        <v>322</v>
      </c>
      <c r="AI388" t="s">
        <v>322</v>
      </c>
      <c r="AJ388" t="s">
        <v>66</v>
      </c>
      <c r="AK388">
        <v>1</v>
      </c>
      <c r="AL388" t="s">
        <v>455</v>
      </c>
      <c r="AM388" t="s">
        <v>456</v>
      </c>
      <c r="AN388" t="s">
        <v>324</v>
      </c>
      <c r="AO388" t="s">
        <v>66</v>
      </c>
      <c r="AP388">
        <v>1</v>
      </c>
      <c r="AQ388" t="s">
        <v>457</v>
      </c>
      <c r="AR388" t="s">
        <v>458</v>
      </c>
      <c r="AS388" t="s">
        <v>459</v>
      </c>
      <c r="AT388" t="s">
        <v>66</v>
      </c>
    </row>
    <row r="389" spans="1:46" x14ac:dyDescent="0.15">
      <c r="A389" t="s">
        <v>1309</v>
      </c>
      <c r="B389" t="s">
        <v>1233</v>
      </c>
      <c r="C389" t="s">
        <v>1234</v>
      </c>
      <c r="D389">
        <v>76</v>
      </c>
      <c r="E389" t="s">
        <v>49</v>
      </c>
      <c r="F389" t="s">
        <v>50</v>
      </c>
      <c r="G389" t="s">
        <v>51</v>
      </c>
      <c r="H389" t="s">
        <v>52</v>
      </c>
      <c r="I389" t="s">
        <v>53</v>
      </c>
      <c r="J389" t="s">
        <v>54</v>
      </c>
      <c r="K389" t="s">
        <v>55</v>
      </c>
      <c r="L389" t="s">
        <v>17</v>
      </c>
      <c r="M389" t="s">
        <v>16</v>
      </c>
      <c r="N389">
        <v>4709</v>
      </c>
      <c r="O389">
        <v>274</v>
      </c>
      <c r="P389">
        <v>0</v>
      </c>
      <c r="Q389" t="s">
        <v>558</v>
      </c>
      <c r="R389" t="s">
        <v>559</v>
      </c>
      <c r="S389" t="s">
        <v>560</v>
      </c>
      <c r="T389" t="s">
        <v>561</v>
      </c>
      <c r="U389" t="s">
        <v>60</v>
      </c>
      <c r="V389" t="s">
        <v>61</v>
      </c>
      <c r="W389">
        <v>3</v>
      </c>
      <c r="X389">
        <v>0.14000000000000001</v>
      </c>
      <c r="Y389" t="s">
        <v>562</v>
      </c>
      <c r="Z389" t="s">
        <v>563</v>
      </c>
      <c r="AA389">
        <v>3</v>
      </c>
      <c r="AB389" t="s">
        <v>63</v>
      </c>
      <c r="AC389" t="s">
        <v>64</v>
      </c>
      <c r="AD389" t="s">
        <v>65</v>
      </c>
      <c r="AE389" t="s">
        <v>65</v>
      </c>
      <c r="AF389" t="s">
        <v>65</v>
      </c>
      <c r="AG389" t="s">
        <v>191</v>
      </c>
      <c r="AH389" t="s">
        <v>322</v>
      </c>
      <c r="AI389" t="s">
        <v>322</v>
      </c>
      <c r="AJ389" t="s">
        <v>66</v>
      </c>
      <c r="AK389">
        <v>1</v>
      </c>
      <c r="AL389" t="s">
        <v>455</v>
      </c>
      <c r="AM389" t="s">
        <v>456</v>
      </c>
      <c r="AN389" t="s">
        <v>324</v>
      </c>
      <c r="AO389" t="s">
        <v>66</v>
      </c>
      <c r="AP389">
        <v>1</v>
      </c>
      <c r="AQ389" t="s">
        <v>457</v>
      </c>
      <c r="AR389" t="s">
        <v>458</v>
      </c>
      <c r="AS389" t="s">
        <v>459</v>
      </c>
      <c r="AT389" t="s">
        <v>66</v>
      </c>
    </row>
    <row r="390" spans="1:46" x14ac:dyDescent="0.15">
      <c r="A390" t="s">
        <v>1310</v>
      </c>
      <c r="B390" t="s">
        <v>1233</v>
      </c>
      <c r="C390" t="s">
        <v>1234</v>
      </c>
      <c r="D390">
        <v>77</v>
      </c>
      <c r="E390" t="s">
        <v>49</v>
      </c>
      <c r="F390" t="s">
        <v>50</v>
      </c>
      <c r="G390" t="s">
        <v>51</v>
      </c>
      <c r="H390" t="s">
        <v>52</v>
      </c>
      <c r="I390" t="s">
        <v>53</v>
      </c>
      <c r="J390" t="s">
        <v>54</v>
      </c>
      <c r="K390" t="s">
        <v>55</v>
      </c>
      <c r="L390" t="s">
        <v>17</v>
      </c>
      <c r="M390" t="s">
        <v>16</v>
      </c>
      <c r="N390">
        <v>4765</v>
      </c>
      <c r="O390">
        <v>277</v>
      </c>
      <c r="P390">
        <v>0</v>
      </c>
      <c r="Q390" t="s">
        <v>565</v>
      </c>
      <c r="R390" t="s">
        <v>566</v>
      </c>
      <c r="S390" t="s">
        <v>567</v>
      </c>
      <c r="T390" t="s">
        <v>568</v>
      </c>
      <c r="U390" t="s">
        <v>60</v>
      </c>
      <c r="V390" t="s">
        <v>61</v>
      </c>
      <c r="W390">
        <v>3</v>
      </c>
      <c r="X390">
        <v>0.14000000000000001</v>
      </c>
      <c r="Y390" t="s">
        <v>314</v>
      </c>
      <c r="Z390" t="s">
        <v>569</v>
      </c>
      <c r="AA390">
        <v>3</v>
      </c>
      <c r="AB390" t="s">
        <v>63</v>
      </c>
      <c r="AC390" t="s">
        <v>64</v>
      </c>
      <c r="AD390" t="s">
        <v>65</v>
      </c>
      <c r="AE390" t="s">
        <v>65</v>
      </c>
      <c r="AF390" t="s">
        <v>65</v>
      </c>
      <c r="AG390" t="s">
        <v>191</v>
      </c>
      <c r="AH390" t="s">
        <v>322</v>
      </c>
      <c r="AI390" t="s">
        <v>322</v>
      </c>
      <c r="AJ390" t="s">
        <v>66</v>
      </c>
      <c r="AK390">
        <v>1</v>
      </c>
      <c r="AL390" t="s">
        <v>455</v>
      </c>
      <c r="AM390" t="s">
        <v>456</v>
      </c>
      <c r="AN390" t="s">
        <v>324</v>
      </c>
      <c r="AO390" t="s">
        <v>66</v>
      </c>
      <c r="AP390">
        <v>1</v>
      </c>
      <c r="AQ390" t="s">
        <v>457</v>
      </c>
      <c r="AR390" t="s">
        <v>458</v>
      </c>
      <c r="AS390" t="s">
        <v>459</v>
      </c>
      <c r="AT390" t="s">
        <v>66</v>
      </c>
    </row>
    <row r="391" spans="1:46" x14ac:dyDescent="0.15">
      <c r="A391" t="s">
        <v>1311</v>
      </c>
      <c r="B391" t="s">
        <v>1233</v>
      </c>
      <c r="C391" t="s">
        <v>1234</v>
      </c>
      <c r="D391">
        <v>78</v>
      </c>
      <c r="E391" t="s">
        <v>49</v>
      </c>
      <c r="F391" t="s">
        <v>50</v>
      </c>
      <c r="G391" t="s">
        <v>51</v>
      </c>
      <c r="H391" t="s">
        <v>52</v>
      </c>
      <c r="I391" t="s">
        <v>53</v>
      </c>
      <c r="J391" t="s">
        <v>54</v>
      </c>
      <c r="K391" t="s">
        <v>55</v>
      </c>
      <c r="L391" t="s">
        <v>17</v>
      </c>
      <c r="M391" t="s">
        <v>16</v>
      </c>
      <c r="N391">
        <v>4821</v>
      </c>
      <c r="O391">
        <v>280</v>
      </c>
      <c r="P391">
        <v>0</v>
      </c>
      <c r="Q391" t="s">
        <v>571</v>
      </c>
      <c r="R391" t="s">
        <v>572</v>
      </c>
      <c r="S391" t="s">
        <v>573</v>
      </c>
      <c r="T391" t="s">
        <v>574</v>
      </c>
      <c r="U391" t="s">
        <v>60</v>
      </c>
      <c r="V391" t="s">
        <v>61</v>
      </c>
      <c r="W391">
        <v>3</v>
      </c>
      <c r="X391">
        <v>0.14000000000000001</v>
      </c>
      <c r="Y391" t="s">
        <v>575</v>
      </c>
      <c r="Z391" t="s">
        <v>576</v>
      </c>
      <c r="AA391">
        <v>3</v>
      </c>
      <c r="AB391" t="s">
        <v>63</v>
      </c>
      <c r="AC391" t="s">
        <v>64</v>
      </c>
      <c r="AD391" t="s">
        <v>65</v>
      </c>
      <c r="AE391" t="s">
        <v>65</v>
      </c>
      <c r="AF391" t="s">
        <v>65</v>
      </c>
      <c r="AG391" t="s">
        <v>191</v>
      </c>
      <c r="AH391" t="s">
        <v>322</v>
      </c>
      <c r="AI391" t="s">
        <v>322</v>
      </c>
      <c r="AJ391" t="s">
        <v>66</v>
      </c>
      <c r="AK391">
        <v>1</v>
      </c>
      <c r="AL391" t="s">
        <v>455</v>
      </c>
      <c r="AM391" t="s">
        <v>456</v>
      </c>
      <c r="AN391" t="s">
        <v>324</v>
      </c>
      <c r="AO391" t="s">
        <v>66</v>
      </c>
      <c r="AP391">
        <v>1</v>
      </c>
      <c r="AQ391" t="s">
        <v>457</v>
      </c>
      <c r="AR391" t="s">
        <v>458</v>
      </c>
      <c r="AS391" t="s">
        <v>459</v>
      </c>
      <c r="AT391" t="s">
        <v>66</v>
      </c>
    </row>
    <row r="392" spans="1:46" x14ac:dyDescent="0.15">
      <c r="A392" t="s">
        <v>1312</v>
      </c>
      <c r="B392" t="s">
        <v>1233</v>
      </c>
      <c r="C392" t="s">
        <v>1234</v>
      </c>
      <c r="D392">
        <v>79</v>
      </c>
      <c r="E392" t="s">
        <v>49</v>
      </c>
      <c r="F392" t="s">
        <v>50</v>
      </c>
      <c r="G392" t="s">
        <v>51</v>
      </c>
      <c r="H392" t="s">
        <v>52</v>
      </c>
      <c r="I392" t="s">
        <v>53</v>
      </c>
      <c r="J392" t="s">
        <v>54</v>
      </c>
      <c r="K392" t="s">
        <v>55</v>
      </c>
      <c r="L392" t="s">
        <v>17</v>
      </c>
      <c r="M392" t="s">
        <v>16</v>
      </c>
      <c r="N392">
        <v>4878</v>
      </c>
      <c r="O392">
        <v>283</v>
      </c>
      <c r="P392">
        <v>0</v>
      </c>
      <c r="Q392" t="s">
        <v>578</v>
      </c>
      <c r="R392" t="s">
        <v>579</v>
      </c>
      <c r="S392" t="s">
        <v>580</v>
      </c>
      <c r="T392" t="s">
        <v>581</v>
      </c>
      <c r="U392" t="s">
        <v>60</v>
      </c>
      <c r="V392" t="s">
        <v>61</v>
      </c>
      <c r="W392">
        <v>3</v>
      </c>
      <c r="X392">
        <v>0.14000000000000001</v>
      </c>
      <c r="Y392" t="s">
        <v>321</v>
      </c>
      <c r="Z392" t="s">
        <v>582</v>
      </c>
      <c r="AA392">
        <v>3</v>
      </c>
      <c r="AB392" t="s">
        <v>63</v>
      </c>
      <c r="AC392" t="s">
        <v>64</v>
      </c>
      <c r="AD392" t="s">
        <v>65</v>
      </c>
      <c r="AE392" t="s">
        <v>65</v>
      </c>
      <c r="AF392" t="s">
        <v>65</v>
      </c>
      <c r="AG392" t="s">
        <v>191</v>
      </c>
      <c r="AH392" t="s">
        <v>322</v>
      </c>
      <c r="AI392" t="s">
        <v>322</v>
      </c>
      <c r="AJ392" t="s">
        <v>66</v>
      </c>
      <c r="AK392">
        <v>1</v>
      </c>
      <c r="AL392" t="s">
        <v>455</v>
      </c>
      <c r="AM392" t="s">
        <v>456</v>
      </c>
      <c r="AN392" t="s">
        <v>324</v>
      </c>
      <c r="AO392" t="s">
        <v>66</v>
      </c>
      <c r="AP392">
        <v>1</v>
      </c>
      <c r="AQ392" t="s">
        <v>457</v>
      </c>
      <c r="AR392" t="s">
        <v>458</v>
      </c>
      <c r="AS392" t="s">
        <v>459</v>
      </c>
      <c r="AT392" t="s">
        <v>66</v>
      </c>
    </row>
    <row r="393" spans="1:46" x14ac:dyDescent="0.15">
      <c r="A393" t="s">
        <v>1313</v>
      </c>
      <c r="B393" t="s">
        <v>1233</v>
      </c>
      <c r="C393" t="s">
        <v>1234</v>
      </c>
      <c r="D393">
        <v>80</v>
      </c>
      <c r="E393" t="s">
        <v>49</v>
      </c>
      <c r="F393" t="s">
        <v>50</v>
      </c>
      <c r="G393" t="s">
        <v>51</v>
      </c>
      <c r="H393" t="s">
        <v>52</v>
      </c>
      <c r="I393" t="s">
        <v>53</v>
      </c>
      <c r="J393" t="s">
        <v>54</v>
      </c>
      <c r="K393" t="s">
        <v>55</v>
      </c>
      <c r="L393" t="s">
        <v>17</v>
      </c>
      <c r="M393" t="s">
        <v>16</v>
      </c>
      <c r="N393">
        <v>4934</v>
      </c>
      <c r="O393">
        <v>287</v>
      </c>
      <c r="P393">
        <v>0</v>
      </c>
      <c r="Q393" t="s">
        <v>584</v>
      </c>
      <c r="R393" t="s">
        <v>585</v>
      </c>
      <c r="S393" t="s">
        <v>586</v>
      </c>
      <c r="T393" t="s">
        <v>587</v>
      </c>
      <c r="U393" t="s">
        <v>60</v>
      </c>
      <c r="V393" t="s">
        <v>61</v>
      </c>
      <c r="W393">
        <v>3</v>
      </c>
      <c r="X393">
        <v>0.14000000000000001</v>
      </c>
      <c r="Y393" t="s">
        <v>588</v>
      </c>
      <c r="Z393" t="s">
        <v>589</v>
      </c>
      <c r="AA393">
        <v>3</v>
      </c>
      <c r="AB393" t="s">
        <v>63</v>
      </c>
      <c r="AC393" t="s">
        <v>64</v>
      </c>
      <c r="AD393" t="s">
        <v>65</v>
      </c>
      <c r="AE393" t="s">
        <v>65</v>
      </c>
      <c r="AF393" t="s">
        <v>65</v>
      </c>
      <c r="AG393" t="s">
        <v>191</v>
      </c>
      <c r="AH393" t="s">
        <v>322</v>
      </c>
      <c r="AI393" t="s">
        <v>322</v>
      </c>
      <c r="AJ393" t="s">
        <v>66</v>
      </c>
      <c r="AK393">
        <v>1</v>
      </c>
      <c r="AL393" t="s">
        <v>455</v>
      </c>
      <c r="AM393" t="s">
        <v>456</v>
      </c>
      <c r="AN393" t="s">
        <v>324</v>
      </c>
      <c r="AO393" t="s">
        <v>66</v>
      </c>
      <c r="AP393">
        <v>1</v>
      </c>
      <c r="AQ393" t="s">
        <v>457</v>
      </c>
      <c r="AR393" t="s">
        <v>458</v>
      </c>
      <c r="AS393" t="s">
        <v>459</v>
      </c>
      <c r="AT393" t="s">
        <v>66</v>
      </c>
    </row>
    <row r="394" spans="1:46" x14ac:dyDescent="0.15">
      <c r="A394" t="s">
        <v>1313</v>
      </c>
      <c r="B394" t="s">
        <v>1233</v>
      </c>
      <c r="C394" t="s">
        <v>1234</v>
      </c>
      <c r="D394">
        <v>80</v>
      </c>
      <c r="E394" t="s">
        <v>49</v>
      </c>
      <c r="F394" t="s">
        <v>50</v>
      </c>
      <c r="G394" t="s">
        <v>51</v>
      </c>
      <c r="H394" t="s">
        <v>52</v>
      </c>
      <c r="I394" t="s">
        <v>53</v>
      </c>
      <c r="J394" t="s">
        <v>54</v>
      </c>
      <c r="K394" t="s">
        <v>55</v>
      </c>
      <c r="L394" t="s">
        <v>17</v>
      </c>
      <c r="M394" t="s">
        <v>16</v>
      </c>
      <c r="N394">
        <v>4934</v>
      </c>
      <c r="O394">
        <v>287</v>
      </c>
      <c r="P394">
        <v>0</v>
      </c>
      <c r="Q394" t="s">
        <v>584</v>
      </c>
      <c r="R394" t="s">
        <v>585</v>
      </c>
      <c r="S394" t="s">
        <v>586</v>
      </c>
      <c r="T394" t="s">
        <v>587</v>
      </c>
      <c r="U394" t="s">
        <v>60</v>
      </c>
      <c r="V394" t="s">
        <v>61</v>
      </c>
      <c r="W394">
        <v>3</v>
      </c>
      <c r="X394">
        <v>0.14000000000000001</v>
      </c>
      <c r="Y394" t="s">
        <v>588</v>
      </c>
      <c r="Z394" t="s">
        <v>589</v>
      </c>
      <c r="AA394">
        <v>4</v>
      </c>
      <c r="AB394" t="s">
        <v>63</v>
      </c>
      <c r="AC394" t="s">
        <v>64</v>
      </c>
      <c r="AD394" t="s">
        <v>65</v>
      </c>
      <c r="AE394" t="s">
        <v>65</v>
      </c>
      <c r="AF394" t="s">
        <v>65</v>
      </c>
      <c r="AG394" t="s">
        <v>191</v>
      </c>
      <c r="AH394" t="s">
        <v>322</v>
      </c>
      <c r="AI394" t="s">
        <v>322</v>
      </c>
      <c r="AJ394" t="s">
        <v>590</v>
      </c>
      <c r="AK394">
        <v>1</v>
      </c>
      <c r="AL394" t="s">
        <v>455</v>
      </c>
      <c r="AM394" t="s">
        <v>456</v>
      </c>
      <c r="AN394" t="s">
        <v>324</v>
      </c>
      <c r="AO394" t="s">
        <v>66</v>
      </c>
      <c r="AP394">
        <v>1</v>
      </c>
      <c r="AQ394" t="s">
        <v>457</v>
      </c>
      <c r="AR394" t="s">
        <v>458</v>
      </c>
      <c r="AS394" t="s">
        <v>459</v>
      </c>
      <c r="AT394" t="s">
        <v>66</v>
      </c>
    </row>
    <row r="395" spans="1:46" x14ac:dyDescent="0.15">
      <c r="A395" t="s">
        <v>1314</v>
      </c>
      <c r="B395" t="s">
        <v>1233</v>
      </c>
      <c r="C395" t="s">
        <v>1234</v>
      </c>
      <c r="D395">
        <v>81</v>
      </c>
      <c r="E395" t="s">
        <v>49</v>
      </c>
      <c r="F395" t="s">
        <v>50</v>
      </c>
      <c r="G395" t="s">
        <v>51</v>
      </c>
      <c r="H395" t="s">
        <v>52</v>
      </c>
      <c r="I395" t="s">
        <v>53</v>
      </c>
      <c r="J395" t="s">
        <v>54</v>
      </c>
      <c r="K395" t="s">
        <v>55</v>
      </c>
      <c r="L395" t="s">
        <v>17</v>
      </c>
      <c r="M395" t="s">
        <v>16</v>
      </c>
      <c r="N395">
        <v>4990</v>
      </c>
      <c r="O395">
        <v>290</v>
      </c>
      <c r="P395">
        <v>0</v>
      </c>
      <c r="Q395" t="s">
        <v>592</v>
      </c>
      <c r="R395" t="s">
        <v>593</v>
      </c>
      <c r="S395" t="s">
        <v>594</v>
      </c>
      <c r="T395" t="s">
        <v>595</v>
      </c>
      <c r="U395" t="s">
        <v>60</v>
      </c>
      <c r="V395" t="s">
        <v>61</v>
      </c>
      <c r="W395">
        <v>3</v>
      </c>
      <c r="X395">
        <v>0.14000000000000001</v>
      </c>
      <c r="Y395" t="s">
        <v>330</v>
      </c>
      <c r="Z395" t="s">
        <v>596</v>
      </c>
      <c r="AA395">
        <v>4</v>
      </c>
      <c r="AB395" t="s">
        <v>63</v>
      </c>
      <c r="AC395" t="s">
        <v>64</v>
      </c>
      <c r="AD395" t="s">
        <v>65</v>
      </c>
      <c r="AE395" t="s">
        <v>65</v>
      </c>
      <c r="AF395" t="s">
        <v>65</v>
      </c>
      <c r="AG395" t="s">
        <v>191</v>
      </c>
      <c r="AH395" t="s">
        <v>322</v>
      </c>
      <c r="AI395" t="s">
        <v>322</v>
      </c>
      <c r="AJ395" t="s">
        <v>590</v>
      </c>
      <c r="AK395">
        <v>1</v>
      </c>
      <c r="AL395" t="s">
        <v>455</v>
      </c>
      <c r="AM395" t="s">
        <v>456</v>
      </c>
      <c r="AN395" t="s">
        <v>324</v>
      </c>
      <c r="AO395" t="s">
        <v>66</v>
      </c>
      <c r="AP395">
        <v>1</v>
      </c>
      <c r="AQ395" t="s">
        <v>457</v>
      </c>
      <c r="AR395" t="s">
        <v>458</v>
      </c>
      <c r="AS395" t="s">
        <v>459</v>
      </c>
      <c r="AT395" t="s">
        <v>66</v>
      </c>
    </row>
    <row r="396" spans="1:46" x14ac:dyDescent="0.15">
      <c r="A396" t="s">
        <v>1315</v>
      </c>
      <c r="B396" t="s">
        <v>1233</v>
      </c>
      <c r="C396" t="s">
        <v>1234</v>
      </c>
      <c r="D396">
        <v>82</v>
      </c>
      <c r="E396" t="s">
        <v>49</v>
      </c>
      <c r="F396" t="s">
        <v>50</v>
      </c>
      <c r="G396" t="s">
        <v>51</v>
      </c>
      <c r="H396" t="s">
        <v>52</v>
      </c>
      <c r="I396" t="s">
        <v>53</v>
      </c>
      <c r="J396" t="s">
        <v>54</v>
      </c>
      <c r="K396" t="s">
        <v>55</v>
      </c>
      <c r="L396" t="s">
        <v>17</v>
      </c>
      <c r="M396" t="s">
        <v>16</v>
      </c>
      <c r="N396">
        <v>5046</v>
      </c>
      <c r="O396">
        <v>293</v>
      </c>
      <c r="P396">
        <v>0</v>
      </c>
      <c r="Q396" t="s">
        <v>598</v>
      </c>
      <c r="R396" t="s">
        <v>599</v>
      </c>
      <c r="S396" t="s">
        <v>600</v>
      </c>
      <c r="T396" t="s">
        <v>601</v>
      </c>
      <c r="U396" t="s">
        <v>60</v>
      </c>
      <c r="V396" t="s">
        <v>61</v>
      </c>
      <c r="W396">
        <v>3</v>
      </c>
      <c r="X396">
        <v>0.14000000000000001</v>
      </c>
      <c r="Y396" t="s">
        <v>602</v>
      </c>
      <c r="Z396" t="s">
        <v>603</v>
      </c>
      <c r="AA396">
        <v>4</v>
      </c>
      <c r="AB396" t="s">
        <v>63</v>
      </c>
      <c r="AC396" t="s">
        <v>64</v>
      </c>
      <c r="AD396" t="s">
        <v>65</v>
      </c>
      <c r="AE396" t="s">
        <v>65</v>
      </c>
      <c r="AF396" t="s">
        <v>65</v>
      </c>
      <c r="AG396" t="s">
        <v>191</v>
      </c>
      <c r="AH396" t="s">
        <v>322</v>
      </c>
      <c r="AI396" t="s">
        <v>322</v>
      </c>
      <c r="AJ396" t="s">
        <v>590</v>
      </c>
      <c r="AK396">
        <v>1</v>
      </c>
      <c r="AL396" t="s">
        <v>455</v>
      </c>
      <c r="AM396" t="s">
        <v>456</v>
      </c>
      <c r="AN396" t="s">
        <v>324</v>
      </c>
      <c r="AO396" t="s">
        <v>66</v>
      </c>
      <c r="AP396">
        <v>1</v>
      </c>
      <c r="AQ396" t="s">
        <v>457</v>
      </c>
      <c r="AR396" t="s">
        <v>458</v>
      </c>
      <c r="AS396" t="s">
        <v>459</v>
      </c>
      <c r="AT396" t="s">
        <v>66</v>
      </c>
    </row>
    <row r="397" spans="1:46" x14ac:dyDescent="0.15">
      <c r="A397" t="s">
        <v>1316</v>
      </c>
      <c r="B397" t="s">
        <v>1233</v>
      </c>
      <c r="C397" t="s">
        <v>1234</v>
      </c>
      <c r="D397">
        <v>83</v>
      </c>
      <c r="E397" t="s">
        <v>49</v>
      </c>
      <c r="F397" t="s">
        <v>50</v>
      </c>
      <c r="G397" t="s">
        <v>51</v>
      </c>
      <c r="H397" t="s">
        <v>52</v>
      </c>
      <c r="I397" t="s">
        <v>53</v>
      </c>
      <c r="J397" t="s">
        <v>54</v>
      </c>
      <c r="K397" t="s">
        <v>55</v>
      </c>
      <c r="L397" t="s">
        <v>17</v>
      </c>
      <c r="M397" t="s">
        <v>16</v>
      </c>
      <c r="N397">
        <v>5102</v>
      </c>
      <c r="O397">
        <v>296</v>
      </c>
      <c r="P397">
        <v>0</v>
      </c>
      <c r="Q397" t="s">
        <v>605</v>
      </c>
      <c r="R397" t="s">
        <v>606</v>
      </c>
      <c r="S397" t="s">
        <v>607</v>
      </c>
      <c r="T397" t="s">
        <v>608</v>
      </c>
      <c r="U397" t="s">
        <v>60</v>
      </c>
      <c r="V397" t="s">
        <v>61</v>
      </c>
      <c r="W397">
        <v>3</v>
      </c>
      <c r="X397">
        <v>0.14000000000000001</v>
      </c>
      <c r="Y397" t="s">
        <v>337</v>
      </c>
      <c r="Z397" t="s">
        <v>609</v>
      </c>
      <c r="AA397">
        <v>4</v>
      </c>
      <c r="AB397" t="s">
        <v>63</v>
      </c>
      <c r="AC397" t="s">
        <v>64</v>
      </c>
      <c r="AD397" t="s">
        <v>65</v>
      </c>
      <c r="AE397" t="s">
        <v>65</v>
      </c>
      <c r="AF397" t="s">
        <v>65</v>
      </c>
      <c r="AG397" t="s">
        <v>191</v>
      </c>
      <c r="AH397" t="s">
        <v>322</v>
      </c>
      <c r="AI397" t="s">
        <v>322</v>
      </c>
      <c r="AJ397" t="s">
        <v>590</v>
      </c>
      <c r="AK397">
        <v>1</v>
      </c>
      <c r="AL397" t="s">
        <v>455</v>
      </c>
      <c r="AM397" t="s">
        <v>456</v>
      </c>
      <c r="AN397" t="s">
        <v>324</v>
      </c>
      <c r="AO397" t="s">
        <v>66</v>
      </c>
      <c r="AP397">
        <v>1</v>
      </c>
      <c r="AQ397" t="s">
        <v>457</v>
      </c>
      <c r="AR397" t="s">
        <v>458</v>
      </c>
      <c r="AS397" t="s">
        <v>459</v>
      </c>
      <c r="AT397" t="s">
        <v>66</v>
      </c>
    </row>
    <row r="398" spans="1:46" x14ac:dyDescent="0.15">
      <c r="A398" t="s">
        <v>1317</v>
      </c>
      <c r="B398" t="s">
        <v>1233</v>
      </c>
      <c r="C398" t="s">
        <v>1234</v>
      </c>
      <c r="D398">
        <v>84</v>
      </c>
      <c r="E398" t="s">
        <v>49</v>
      </c>
      <c r="F398" t="s">
        <v>50</v>
      </c>
      <c r="G398" t="s">
        <v>51</v>
      </c>
      <c r="H398" t="s">
        <v>52</v>
      </c>
      <c r="I398" t="s">
        <v>53</v>
      </c>
      <c r="J398" t="s">
        <v>54</v>
      </c>
      <c r="K398" t="s">
        <v>55</v>
      </c>
      <c r="L398" t="s">
        <v>17</v>
      </c>
      <c r="M398" t="s">
        <v>16</v>
      </c>
      <c r="N398">
        <v>5158</v>
      </c>
      <c r="O398">
        <v>300</v>
      </c>
      <c r="P398">
        <v>0</v>
      </c>
      <c r="Q398" t="s">
        <v>611</v>
      </c>
      <c r="R398" t="s">
        <v>612</v>
      </c>
      <c r="S398" t="s">
        <v>613</v>
      </c>
      <c r="T398" t="s">
        <v>614</v>
      </c>
      <c r="U398" t="s">
        <v>60</v>
      </c>
      <c r="V398" t="s">
        <v>61</v>
      </c>
      <c r="W398">
        <v>3</v>
      </c>
      <c r="X398">
        <v>0.14000000000000001</v>
      </c>
      <c r="Y398" t="s">
        <v>615</v>
      </c>
      <c r="Z398" t="s">
        <v>616</v>
      </c>
      <c r="AA398">
        <v>4</v>
      </c>
      <c r="AB398" t="s">
        <v>63</v>
      </c>
      <c r="AC398" t="s">
        <v>64</v>
      </c>
      <c r="AD398" t="s">
        <v>65</v>
      </c>
      <c r="AE398" t="s">
        <v>65</v>
      </c>
      <c r="AF398" t="s">
        <v>65</v>
      </c>
      <c r="AG398" t="s">
        <v>191</v>
      </c>
      <c r="AH398" t="s">
        <v>322</v>
      </c>
      <c r="AI398" t="s">
        <v>322</v>
      </c>
      <c r="AJ398" t="s">
        <v>590</v>
      </c>
      <c r="AK398">
        <v>1</v>
      </c>
      <c r="AL398" t="s">
        <v>455</v>
      </c>
      <c r="AM398" t="s">
        <v>456</v>
      </c>
      <c r="AN398" t="s">
        <v>324</v>
      </c>
      <c r="AO398" t="s">
        <v>66</v>
      </c>
      <c r="AP398">
        <v>1</v>
      </c>
      <c r="AQ398" t="s">
        <v>457</v>
      </c>
      <c r="AR398" t="s">
        <v>458</v>
      </c>
      <c r="AS398" t="s">
        <v>459</v>
      </c>
      <c r="AT398" t="s">
        <v>66</v>
      </c>
    </row>
    <row r="399" spans="1:46" x14ac:dyDescent="0.15">
      <c r="A399" t="s">
        <v>1318</v>
      </c>
      <c r="B399" t="s">
        <v>1233</v>
      </c>
      <c r="C399" t="s">
        <v>1234</v>
      </c>
      <c r="D399">
        <v>85</v>
      </c>
      <c r="E399" t="s">
        <v>49</v>
      </c>
      <c r="F399" t="s">
        <v>50</v>
      </c>
      <c r="G399" t="s">
        <v>51</v>
      </c>
      <c r="H399" t="s">
        <v>52</v>
      </c>
      <c r="I399" t="s">
        <v>53</v>
      </c>
      <c r="J399" t="s">
        <v>54</v>
      </c>
      <c r="K399" t="s">
        <v>55</v>
      </c>
      <c r="L399" t="s">
        <v>17</v>
      </c>
      <c r="M399" t="s">
        <v>16</v>
      </c>
      <c r="N399">
        <v>5214</v>
      </c>
      <c r="O399">
        <v>303</v>
      </c>
      <c r="P399">
        <v>0</v>
      </c>
      <c r="Q399" t="s">
        <v>618</v>
      </c>
      <c r="R399" t="s">
        <v>619</v>
      </c>
      <c r="S399" t="s">
        <v>620</v>
      </c>
      <c r="T399" t="s">
        <v>621</v>
      </c>
      <c r="U399" t="s">
        <v>60</v>
      </c>
      <c r="V399" t="s">
        <v>61</v>
      </c>
      <c r="W399">
        <v>3</v>
      </c>
      <c r="X399">
        <v>0.14000000000000001</v>
      </c>
      <c r="Y399" t="s">
        <v>343</v>
      </c>
      <c r="Z399" t="s">
        <v>622</v>
      </c>
      <c r="AA399">
        <v>4</v>
      </c>
      <c r="AB399" t="s">
        <v>63</v>
      </c>
      <c r="AC399" t="s">
        <v>64</v>
      </c>
      <c r="AD399" t="s">
        <v>65</v>
      </c>
      <c r="AE399" t="s">
        <v>65</v>
      </c>
      <c r="AF399" t="s">
        <v>65</v>
      </c>
      <c r="AG399" t="s">
        <v>191</v>
      </c>
      <c r="AH399" t="s">
        <v>322</v>
      </c>
      <c r="AI399" t="s">
        <v>322</v>
      </c>
      <c r="AJ399" t="s">
        <v>590</v>
      </c>
      <c r="AK399">
        <v>1</v>
      </c>
      <c r="AL399" t="s">
        <v>455</v>
      </c>
      <c r="AM399" t="s">
        <v>456</v>
      </c>
      <c r="AN399" t="s">
        <v>324</v>
      </c>
      <c r="AO399" t="s">
        <v>66</v>
      </c>
      <c r="AP399">
        <v>1</v>
      </c>
      <c r="AQ399" t="s">
        <v>457</v>
      </c>
      <c r="AR399" t="s">
        <v>458</v>
      </c>
      <c r="AS399" t="s">
        <v>459</v>
      </c>
      <c r="AT399" t="s">
        <v>66</v>
      </c>
    </row>
    <row r="400" spans="1:46" x14ac:dyDescent="0.15">
      <c r="A400" t="s">
        <v>1319</v>
      </c>
      <c r="B400" t="s">
        <v>1233</v>
      </c>
      <c r="C400" t="s">
        <v>1234</v>
      </c>
      <c r="D400">
        <v>86</v>
      </c>
      <c r="E400" t="s">
        <v>49</v>
      </c>
      <c r="F400" t="s">
        <v>50</v>
      </c>
      <c r="G400" t="s">
        <v>51</v>
      </c>
      <c r="H400" t="s">
        <v>52</v>
      </c>
      <c r="I400" t="s">
        <v>53</v>
      </c>
      <c r="J400" t="s">
        <v>54</v>
      </c>
      <c r="K400" t="s">
        <v>55</v>
      </c>
      <c r="L400" t="s">
        <v>17</v>
      </c>
      <c r="M400" t="s">
        <v>16</v>
      </c>
      <c r="N400">
        <v>5270</v>
      </c>
      <c r="O400">
        <v>306</v>
      </c>
      <c r="P400">
        <v>0</v>
      </c>
      <c r="Q400" t="s">
        <v>624</v>
      </c>
      <c r="R400" t="s">
        <v>625</v>
      </c>
      <c r="S400" t="s">
        <v>626</v>
      </c>
      <c r="T400" t="s">
        <v>627</v>
      </c>
      <c r="U400" t="s">
        <v>60</v>
      </c>
      <c r="V400" t="s">
        <v>61</v>
      </c>
      <c r="W400">
        <v>3</v>
      </c>
      <c r="X400">
        <v>0.14000000000000001</v>
      </c>
      <c r="Y400" t="s">
        <v>628</v>
      </c>
      <c r="Z400" t="s">
        <v>629</v>
      </c>
      <c r="AA400">
        <v>4</v>
      </c>
      <c r="AB400" t="s">
        <v>63</v>
      </c>
      <c r="AC400" t="s">
        <v>64</v>
      </c>
      <c r="AD400" t="s">
        <v>65</v>
      </c>
      <c r="AE400" t="s">
        <v>65</v>
      </c>
      <c r="AF400" t="s">
        <v>65</v>
      </c>
      <c r="AG400" t="s">
        <v>191</v>
      </c>
      <c r="AH400" t="s">
        <v>322</v>
      </c>
      <c r="AI400" t="s">
        <v>322</v>
      </c>
      <c r="AJ400" t="s">
        <v>590</v>
      </c>
      <c r="AK400">
        <v>1</v>
      </c>
      <c r="AL400" t="s">
        <v>455</v>
      </c>
      <c r="AM400" t="s">
        <v>456</v>
      </c>
      <c r="AN400" t="s">
        <v>324</v>
      </c>
      <c r="AO400" t="s">
        <v>66</v>
      </c>
      <c r="AP400">
        <v>1</v>
      </c>
      <c r="AQ400" t="s">
        <v>457</v>
      </c>
      <c r="AR400" t="s">
        <v>458</v>
      </c>
      <c r="AS400" t="s">
        <v>459</v>
      </c>
      <c r="AT400" t="s">
        <v>66</v>
      </c>
    </row>
    <row r="401" spans="1:46" x14ac:dyDescent="0.15">
      <c r="A401" t="s">
        <v>1320</v>
      </c>
      <c r="B401" t="s">
        <v>1233</v>
      </c>
      <c r="C401" t="s">
        <v>1234</v>
      </c>
      <c r="D401">
        <v>87</v>
      </c>
      <c r="E401" t="s">
        <v>49</v>
      </c>
      <c r="F401" t="s">
        <v>50</v>
      </c>
      <c r="G401" t="s">
        <v>51</v>
      </c>
      <c r="H401" t="s">
        <v>52</v>
      </c>
      <c r="I401" t="s">
        <v>53</v>
      </c>
      <c r="J401" t="s">
        <v>54</v>
      </c>
      <c r="K401" t="s">
        <v>55</v>
      </c>
      <c r="L401" t="s">
        <v>17</v>
      </c>
      <c r="M401" t="s">
        <v>16</v>
      </c>
      <c r="N401">
        <v>5327</v>
      </c>
      <c r="O401">
        <v>309</v>
      </c>
      <c r="P401">
        <v>0</v>
      </c>
      <c r="Q401" t="s">
        <v>631</v>
      </c>
      <c r="R401" t="s">
        <v>632</v>
      </c>
      <c r="S401" t="s">
        <v>633</v>
      </c>
      <c r="T401" t="s">
        <v>634</v>
      </c>
      <c r="U401" t="s">
        <v>60</v>
      </c>
      <c r="V401" t="s">
        <v>61</v>
      </c>
      <c r="W401">
        <v>3</v>
      </c>
      <c r="X401">
        <v>0.14000000000000001</v>
      </c>
      <c r="Y401" t="s">
        <v>350</v>
      </c>
      <c r="Z401" t="s">
        <v>635</v>
      </c>
      <c r="AA401">
        <v>4</v>
      </c>
      <c r="AB401" t="s">
        <v>63</v>
      </c>
      <c r="AC401" t="s">
        <v>64</v>
      </c>
      <c r="AD401" t="s">
        <v>65</v>
      </c>
      <c r="AE401" t="s">
        <v>65</v>
      </c>
      <c r="AF401" t="s">
        <v>65</v>
      </c>
      <c r="AG401" t="s">
        <v>191</v>
      </c>
      <c r="AH401" t="s">
        <v>322</v>
      </c>
      <c r="AI401" t="s">
        <v>322</v>
      </c>
      <c r="AJ401" t="s">
        <v>590</v>
      </c>
      <c r="AK401">
        <v>1</v>
      </c>
      <c r="AL401" t="s">
        <v>455</v>
      </c>
      <c r="AM401" t="s">
        <v>456</v>
      </c>
      <c r="AN401" t="s">
        <v>324</v>
      </c>
      <c r="AO401" t="s">
        <v>66</v>
      </c>
      <c r="AP401">
        <v>1</v>
      </c>
      <c r="AQ401" t="s">
        <v>457</v>
      </c>
      <c r="AR401" t="s">
        <v>458</v>
      </c>
      <c r="AS401" t="s">
        <v>459</v>
      </c>
      <c r="AT401" t="s">
        <v>66</v>
      </c>
    </row>
    <row r="402" spans="1:46" x14ac:dyDescent="0.15">
      <c r="A402" t="s">
        <v>1321</v>
      </c>
      <c r="B402" t="s">
        <v>1233</v>
      </c>
      <c r="C402" t="s">
        <v>1234</v>
      </c>
      <c r="D402">
        <v>88</v>
      </c>
      <c r="E402" t="s">
        <v>49</v>
      </c>
      <c r="F402" t="s">
        <v>50</v>
      </c>
      <c r="G402" t="s">
        <v>51</v>
      </c>
      <c r="H402" t="s">
        <v>52</v>
      </c>
      <c r="I402" t="s">
        <v>53</v>
      </c>
      <c r="J402" t="s">
        <v>54</v>
      </c>
      <c r="K402" t="s">
        <v>55</v>
      </c>
      <c r="L402" t="s">
        <v>17</v>
      </c>
      <c r="M402" t="s">
        <v>16</v>
      </c>
      <c r="N402">
        <v>5383</v>
      </c>
      <c r="O402">
        <v>313</v>
      </c>
      <c r="P402">
        <v>0</v>
      </c>
      <c r="Q402" t="s">
        <v>637</v>
      </c>
      <c r="R402" t="s">
        <v>638</v>
      </c>
      <c r="S402" t="s">
        <v>639</v>
      </c>
      <c r="T402" t="s">
        <v>640</v>
      </c>
      <c r="U402" t="s">
        <v>60</v>
      </c>
      <c r="V402" t="s">
        <v>61</v>
      </c>
      <c r="W402">
        <v>3</v>
      </c>
      <c r="X402">
        <v>0.14000000000000001</v>
      </c>
      <c r="Y402" t="s">
        <v>641</v>
      </c>
      <c r="Z402" t="s">
        <v>642</v>
      </c>
      <c r="AA402">
        <v>4</v>
      </c>
      <c r="AB402" t="s">
        <v>63</v>
      </c>
      <c r="AC402" t="s">
        <v>64</v>
      </c>
      <c r="AD402" t="s">
        <v>65</v>
      </c>
      <c r="AE402" t="s">
        <v>65</v>
      </c>
      <c r="AF402" t="s">
        <v>65</v>
      </c>
      <c r="AG402" t="s">
        <v>191</v>
      </c>
      <c r="AH402" t="s">
        <v>322</v>
      </c>
      <c r="AI402" t="s">
        <v>322</v>
      </c>
      <c r="AJ402" t="s">
        <v>590</v>
      </c>
      <c r="AK402">
        <v>1</v>
      </c>
      <c r="AL402" t="s">
        <v>455</v>
      </c>
      <c r="AM402" t="s">
        <v>456</v>
      </c>
      <c r="AN402" t="s">
        <v>324</v>
      </c>
      <c r="AO402" t="s">
        <v>66</v>
      </c>
      <c r="AP402">
        <v>1</v>
      </c>
      <c r="AQ402" t="s">
        <v>457</v>
      </c>
      <c r="AR402" t="s">
        <v>458</v>
      </c>
      <c r="AS402" t="s">
        <v>459</v>
      </c>
      <c r="AT402" t="s">
        <v>66</v>
      </c>
    </row>
    <row r="403" spans="1:46" x14ac:dyDescent="0.15">
      <c r="A403" t="s">
        <v>1322</v>
      </c>
      <c r="B403" t="s">
        <v>1233</v>
      </c>
      <c r="C403" t="s">
        <v>1234</v>
      </c>
      <c r="D403">
        <v>89</v>
      </c>
      <c r="E403" t="s">
        <v>49</v>
      </c>
      <c r="F403" t="s">
        <v>50</v>
      </c>
      <c r="G403" t="s">
        <v>51</v>
      </c>
      <c r="H403" t="s">
        <v>52</v>
      </c>
      <c r="I403" t="s">
        <v>53</v>
      </c>
      <c r="J403" t="s">
        <v>54</v>
      </c>
      <c r="K403" t="s">
        <v>55</v>
      </c>
      <c r="L403" t="s">
        <v>17</v>
      </c>
      <c r="M403" t="s">
        <v>16</v>
      </c>
      <c r="N403">
        <v>5439</v>
      </c>
      <c r="O403">
        <v>316</v>
      </c>
      <c r="P403">
        <v>0</v>
      </c>
      <c r="Q403" t="s">
        <v>644</v>
      </c>
      <c r="R403" t="s">
        <v>645</v>
      </c>
      <c r="S403" t="s">
        <v>646</v>
      </c>
      <c r="T403" t="s">
        <v>647</v>
      </c>
      <c r="U403" t="s">
        <v>60</v>
      </c>
      <c r="V403" t="s">
        <v>61</v>
      </c>
      <c r="W403">
        <v>3</v>
      </c>
      <c r="X403">
        <v>0.14000000000000001</v>
      </c>
      <c r="Y403" t="s">
        <v>356</v>
      </c>
      <c r="Z403" t="s">
        <v>648</v>
      </c>
      <c r="AA403">
        <v>4</v>
      </c>
      <c r="AB403" t="s">
        <v>63</v>
      </c>
      <c r="AC403" t="s">
        <v>64</v>
      </c>
      <c r="AD403" t="s">
        <v>65</v>
      </c>
      <c r="AE403" t="s">
        <v>65</v>
      </c>
      <c r="AF403" t="s">
        <v>65</v>
      </c>
      <c r="AG403" t="s">
        <v>191</v>
      </c>
      <c r="AH403" t="s">
        <v>322</v>
      </c>
      <c r="AI403" t="s">
        <v>322</v>
      </c>
      <c r="AJ403" t="s">
        <v>590</v>
      </c>
      <c r="AK403">
        <v>1</v>
      </c>
      <c r="AL403" t="s">
        <v>455</v>
      </c>
      <c r="AM403" t="s">
        <v>456</v>
      </c>
      <c r="AN403" t="s">
        <v>324</v>
      </c>
      <c r="AO403" t="s">
        <v>66</v>
      </c>
      <c r="AP403">
        <v>1</v>
      </c>
      <c r="AQ403" t="s">
        <v>457</v>
      </c>
      <c r="AR403" t="s">
        <v>458</v>
      </c>
      <c r="AS403" t="s">
        <v>459</v>
      </c>
      <c r="AT403" t="s">
        <v>66</v>
      </c>
    </row>
    <row r="404" spans="1:46" x14ac:dyDescent="0.15">
      <c r="A404" t="s">
        <v>1323</v>
      </c>
      <c r="B404" t="s">
        <v>1233</v>
      </c>
      <c r="C404" t="s">
        <v>1234</v>
      </c>
      <c r="D404">
        <v>90</v>
      </c>
      <c r="E404" t="s">
        <v>49</v>
      </c>
      <c r="F404" t="s">
        <v>50</v>
      </c>
      <c r="G404" t="s">
        <v>51</v>
      </c>
      <c r="H404" t="s">
        <v>52</v>
      </c>
      <c r="I404" t="s">
        <v>53</v>
      </c>
      <c r="J404" t="s">
        <v>54</v>
      </c>
      <c r="K404" t="s">
        <v>55</v>
      </c>
      <c r="L404" t="s">
        <v>17</v>
      </c>
      <c r="M404" t="s">
        <v>16</v>
      </c>
      <c r="N404">
        <v>5495</v>
      </c>
      <c r="O404">
        <v>319</v>
      </c>
      <c r="P404">
        <v>0</v>
      </c>
      <c r="Q404" t="s">
        <v>650</v>
      </c>
      <c r="R404" t="s">
        <v>651</v>
      </c>
      <c r="S404" t="s">
        <v>652</v>
      </c>
      <c r="T404" t="s">
        <v>653</v>
      </c>
      <c r="U404" t="s">
        <v>60</v>
      </c>
      <c r="V404" t="s">
        <v>61</v>
      </c>
      <c r="W404">
        <v>3</v>
      </c>
      <c r="X404">
        <v>0.14000000000000001</v>
      </c>
      <c r="Y404" t="s">
        <v>654</v>
      </c>
      <c r="Z404" t="s">
        <v>655</v>
      </c>
      <c r="AA404">
        <v>4</v>
      </c>
      <c r="AB404" t="s">
        <v>63</v>
      </c>
      <c r="AC404" t="s">
        <v>64</v>
      </c>
      <c r="AD404" t="s">
        <v>65</v>
      </c>
      <c r="AE404" t="s">
        <v>65</v>
      </c>
      <c r="AF404" t="s">
        <v>65</v>
      </c>
      <c r="AG404" t="s">
        <v>191</v>
      </c>
      <c r="AH404" t="s">
        <v>322</v>
      </c>
      <c r="AI404" t="s">
        <v>322</v>
      </c>
      <c r="AJ404" t="s">
        <v>590</v>
      </c>
      <c r="AK404">
        <v>1</v>
      </c>
      <c r="AL404" t="s">
        <v>455</v>
      </c>
      <c r="AM404" t="s">
        <v>456</v>
      </c>
      <c r="AN404" t="s">
        <v>324</v>
      </c>
      <c r="AO404" t="s">
        <v>66</v>
      </c>
      <c r="AP404">
        <v>1</v>
      </c>
      <c r="AQ404" t="s">
        <v>457</v>
      </c>
      <c r="AR404" t="s">
        <v>458</v>
      </c>
      <c r="AS404" t="s">
        <v>459</v>
      </c>
      <c r="AT404" t="s">
        <v>66</v>
      </c>
    </row>
    <row r="405" spans="1:46" x14ac:dyDescent="0.15">
      <c r="A405" t="s">
        <v>1324</v>
      </c>
      <c r="B405" t="s">
        <v>1233</v>
      </c>
      <c r="C405" t="s">
        <v>1234</v>
      </c>
      <c r="D405">
        <v>91</v>
      </c>
      <c r="E405" t="s">
        <v>49</v>
      </c>
      <c r="F405" t="s">
        <v>50</v>
      </c>
      <c r="G405" t="s">
        <v>51</v>
      </c>
      <c r="H405" t="s">
        <v>52</v>
      </c>
      <c r="I405" t="s">
        <v>53</v>
      </c>
      <c r="J405" t="s">
        <v>54</v>
      </c>
      <c r="K405" t="s">
        <v>55</v>
      </c>
      <c r="L405" t="s">
        <v>17</v>
      </c>
      <c r="M405" t="s">
        <v>16</v>
      </c>
      <c r="N405">
        <v>5551</v>
      </c>
      <c r="O405">
        <v>322</v>
      </c>
      <c r="P405">
        <v>0</v>
      </c>
      <c r="Q405" t="s">
        <v>657</v>
      </c>
      <c r="R405" t="s">
        <v>658</v>
      </c>
      <c r="S405" t="s">
        <v>659</v>
      </c>
      <c r="T405" t="s">
        <v>660</v>
      </c>
      <c r="U405" t="s">
        <v>60</v>
      </c>
      <c r="V405" t="s">
        <v>61</v>
      </c>
      <c r="W405">
        <v>3</v>
      </c>
      <c r="X405">
        <v>0.14000000000000001</v>
      </c>
      <c r="Y405" t="s">
        <v>363</v>
      </c>
      <c r="Z405" t="s">
        <v>661</v>
      </c>
      <c r="AA405">
        <v>4</v>
      </c>
      <c r="AB405" t="s">
        <v>63</v>
      </c>
      <c r="AC405" t="s">
        <v>64</v>
      </c>
      <c r="AD405" t="s">
        <v>65</v>
      </c>
      <c r="AE405" t="s">
        <v>65</v>
      </c>
      <c r="AF405" t="s">
        <v>65</v>
      </c>
      <c r="AG405" t="s">
        <v>191</v>
      </c>
      <c r="AH405" t="s">
        <v>322</v>
      </c>
      <c r="AI405" t="s">
        <v>322</v>
      </c>
      <c r="AJ405" t="s">
        <v>590</v>
      </c>
      <c r="AK405">
        <v>1</v>
      </c>
      <c r="AL405" t="s">
        <v>455</v>
      </c>
      <c r="AM405" t="s">
        <v>456</v>
      </c>
      <c r="AN405" t="s">
        <v>324</v>
      </c>
      <c r="AO405" t="s">
        <v>66</v>
      </c>
      <c r="AP405">
        <v>1</v>
      </c>
      <c r="AQ405" t="s">
        <v>457</v>
      </c>
      <c r="AR405" t="s">
        <v>458</v>
      </c>
      <c r="AS405" t="s">
        <v>459</v>
      </c>
      <c r="AT405" t="s">
        <v>66</v>
      </c>
    </row>
    <row r="406" spans="1:46" x14ac:dyDescent="0.15">
      <c r="A406" t="s">
        <v>1325</v>
      </c>
      <c r="B406" t="s">
        <v>1233</v>
      </c>
      <c r="C406" t="s">
        <v>1234</v>
      </c>
      <c r="D406">
        <v>92</v>
      </c>
      <c r="E406" t="s">
        <v>49</v>
      </c>
      <c r="F406" t="s">
        <v>50</v>
      </c>
      <c r="G406" t="s">
        <v>51</v>
      </c>
      <c r="H406" t="s">
        <v>52</v>
      </c>
      <c r="I406" t="s">
        <v>53</v>
      </c>
      <c r="J406" t="s">
        <v>54</v>
      </c>
      <c r="K406" t="s">
        <v>55</v>
      </c>
      <c r="L406" t="s">
        <v>17</v>
      </c>
      <c r="M406" t="s">
        <v>16</v>
      </c>
      <c r="N406">
        <v>5607</v>
      </c>
      <c r="O406">
        <v>326</v>
      </c>
      <c r="P406">
        <v>0</v>
      </c>
      <c r="Q406" t="s">
        <v>663</v>
      </c>
      <c r="R406" t="s">
        <v>664</v>
      </c>
      <c r="S406" t="s">
        <v>665</v>
      </c>
      <c r="T406" t="s">
        <v>666</v>
      </c>
      <c r="U406" t="s">
        <v>60</v>
      </c>
      <c r="V406" t="s">
        <v>61</v>
      </c>
      <c r="W406">
        <v>3</v>
      </c>
      <c r="X406">
        <v>0.14000000000000001</v>
      </c>
      <c r="Y406" t="s">
        <v>667</v>
      </c>
      <c r="Z406" t="s">
        <v>668</v>
      </c>
      <c r="AA406">
        <v>4</v>
      </c>
      <c r="AB406" t="s">
        <v>63</v>
      </c>
      <c r="AC406" t="s">
        <v>64</v>
      </c>
      <c r="AD406" t="s">
        <v>65</v>
      </c>
      <c r="AE406" t="s">
        <v>65</v>
      </c>
      <c r="AF406" t="s">
        <v>65</v>
      </c>
      <c r="AG406" t="s">
        <v>191</v>
      </c>
      <c r="AH406" t="s">
        <v>322</v>
      </c>
      <c r="AI406" t="s">
        <v>322</v>
      </c>
      <c r="AJ406" t="s">
        <v>590</v>
      </c>
      <c r="AK406">
        <v>1</v>
      </c>
      <c r="AL406" t="s">
        <v>455</v>
      </c>
      <c r="AM406" t="s">
        <v>456</v>
      </c>
      <c r="AN406" t="s">
        <v>324</v>
      </c>
      <c r="AO406" t="s">
        <v>66</v>
      </c>
      <c r="AP406">
        <v>1</v>
      </c>
      <c r="AQ406" t="s">
        <v>457</v>
      </c>
      <c r="AR406" t="s">
        <v>458</v>
      </c>
      <c r="AS406" t="s">
        <v>459</v>
      </c>
      <c r="AT406" t="s">
        <v>66</v>
      </c>
    </row>
    <row r="407" spans="1:46" x14ac:dyDescent="0.15">
      <c r="A407" t="s">
        <v>1326</v>
      </c>
      <c r="B407" t="s">
        <v>1233</v>
      </c>
      <c r="C407" t="s">
        <v>1234</v>
      </c>
      <c r="D407">
        <v>93</v>
      </c>
      <c r="E407" t="s">
        <v>49</v>
      </c>
      <c r="F407" t="s">
        <v>50</v>
      </c>
      <c r="G407" t="s">
        <v>51</v>
      </c>
      <c r="H407" t="s">
        <v>52</v>
      </c>
      <c r="I407" t="s">
        <v>53</v>
      </c>
      <c r="J407" t="s">
        <v>54</v>
      </c>
      <c r="K407" t="s">
        <v>55</v>
      </c>
      <c r="L407" t="s">
        <v>17</v>
      </c>
      <c r="M407" t="s">
        <v>16</v>
      </c>
      <c r="N407">
        <v>5663</v>
      </c>
      <c r="O407">
        <v>329</v>
      </c>
      <c r="P407">
        <v>0</v>
      </c>
      <c r="Q407" t="s">
        <v>670</v>
      </c>
      <c r="R407" t="s">
        <v>671</v>
      </c>
      <c r="S407" t="s">
        <v>672</v>
      </c>
      <c r="T407" t="s">
        <v>673</v>
      </c>
      <c r="U407" t="s">
        <v>60</v>
      </c>
      <c r="V407" t="s">
        <v>61</v>
      </c>
      <c r="W407">
        <v>3</v>
      </c>
      <c r="X407">
        <v>0.14000000000000001</v>
      </c>
      <c r="Y407" t="s">
        <v>369</v>
      </c>
      <c r="Z407" t="s">
        <v>674</v>
      </c>
      <c r="AA407">
        <v>4</v>
      </c>
      <c r="AB407" t="s">
        <v>63</v>
      </c>
      <c r="AC407" t="s">
        <v>64</v>
      </c>
      <c r="AD407" t="s">
        <v>65</v>
      </c>
      <c r="AE407" t="s">
        <v>65</v>
      </c>
      <c r="AF407" t="s">
        <v>65</v>
      </c>
      <c r="AG407" t="s">
        <v>191</v>
      </c>
      <c r="AH407" t="s">
        <v>322</v>
      </c>
      <c r="AI407" t="s">
        <v>322</v>
      </c>
      <c r="AJ407" t="s">
        <v>590</v>
      </c>
      <c r="AK407">
        <v>1</v>
      </c>
      <c r="AL407" t="s">
        <v>455</v>
      </c>
      <c r="AM407" t="s">
        <v>456</v>
      </c>
      <c r="AN407" t="s">
        <v>324</v>
      </c>
      <c r="AO407" t="s">
        <v>66</v>
      </c>
      <c r="AP407">
        <v>1</v>
      </c>
      <c r="AQ407" t="s">
        <v>457</v>
      </c>
      <c r="AR407" t="s">
        <v>458</v>
      </c>
      <c r="AS407" t="s">
        <v>459</v>
      </c>
      <c r="AT407" t="s">
        <v>66</v>
      </c>
    </row>
    <row r="408" spans="1:46" x14ac:dyDescent="0.15">
      <c r="A408" t="s">
        <v>1327</v>
      </c>
      <c r="B408" t="s">
        <v>1233</v>
      </c>
      <c r="C408" t="s">
        <v>1234</v>
      </c>
      <c r="D408">
        <v>94</v>
      </c>
      <c r="E408" t="s">
        <v>49</v>
      </c>
      <c r="F408" t="s">
        <v>50</v>
      </c>
      <c r="G408" t="s">
        <v>51</v>
      </c>
      <c r="H408" t="s">
        <v>52</v>
      </c>
      <c r="I408" t="s">
        <v>53</v>
      </c>
      <c r="J408" t="s">
        <v>54</v>
      </c>
      <c r="K408" t="s">
        <v>55</v>
      </c>
      <c r="L408" t="s">
        <v>17</v>
      </c>
      <c r="M408" t="s">
        <v>16</v>
      </c>
      <c r="N408">
        <v>5719</v>
      </c>
      <c r="O408">
        <v>332</v>
      </c>
      <c r="P408">
        <v>0</v>
      </c>
      <c r="Q408" t="s">
        <v>676</v>
      </c>
      <c r="R408" t="s">
        <v>677</v>
      </c>
      <c r="S408" t="s">
        <v>678</v>
      </c>
      <c r="T408" t="s">
        <v>679</v>
      </c>
      <c r="U408" t="s">
        <v>60</v>
      </c>
      <c r="V408" t="s">
        <v>61</v>
      </c>
      <c r="W408">
        <v>3</v>
      </c>
      <c r="X408">
        <v>0.14000000000000001</v>
      </c>
      <c r="Y408" t="s">
        <v>680</v>
      </c>
      <c r="Z408" t="s">
        <v>681</v>
      </c>
      <c r="AA408">
        <v>4</v>
      </c>
      <c r="AB408" t="s">
        <v>63</v>
      </c>
      <c r="AC408" t="s">
        <v>64</v>
      </c>
      <c r="AD408" t="s">
        <v>65</v>
      </c>
      <c r="AE408" t="s">
        <v>65</v>
      </c>
      <c r="AF408" t="s">
        <v>65</v>
      </c>
      <c r="AG408" t="s">
        <v>191</v>
      </c>
      <c r="AH408" t="s">
        <v>322</v>
      </c>
      <c r="AI408" t="s">
        <v>322</v>
      </c>
      <c r="AJ408" t="s">
        <v>590</v>
      </c>
      <c r="AK408">
        <v>1</v>
      </c>
      <c r="AL408" t="s">
        <v>455</v>
      </c>
      <c r="AM408" t="s">
        <v>456</v>
      </c>
      <c r="AN408" t="s">
        <v>324</v>
      </c>
      <c r="AO408" t="s">
        <v>66</v>
      </c>
      <c r="AP408">
        <v>1</v>
      </c>
      <c r="AQ408" t="s">
        <v>457</v>
      </c>
      <c r="AR408" t="s">
        <v>458</v>
      </c>
      <c r="AS408" t="s">
        <v>459</v>
      </c>
      <c r="AT408" t="s">
        <v>66</v>
      </c>
    </row>
    <row r="409" spans="1:46" x14ac:dyDescent="0.15">
      <c r="A409" t="s">
        <v>1328</v>
      </c>
      <c r="B409" t="s">
        <v>1233</v>
      </c>
      <c r="C409" t="s">
        <v>1234</v>
      </c>
      <c r="D409">
        <v>95</v>
      </c>
      <c r="E409" t="s">
        <v>49</v>
      </c>
      <c r="F409" t="s">
        <v>50</v>
      </c>
      <c r="G409" t="s">
        <v>51</v>
      </c>
      <c r="H409" t="s">
        <v>52</v>
      </c>
      <c r="I409" t="s">
        <v>53</v>
      </c>
      <c r="J409" t="s">
        <v>54</v>
      </c>
      <c r="K409" t="s">
        <v>55</v>
      </c>
      <c r="L409" t="s">
        <v>17</v>
      </c>
      <c r="M409" t="s">
        <v>16</v>
      </c>
      <c r="N409">
        <v>5776</v>
      </c>
      <c r="O409">
        <v>335</v>
      </c>
      <c r="P409">
        <v>0</v>
      </c>
      <c r="Q409" t="s">
        <v>683</v>
      </c>
      <c r="R409" t="s">
        <v>684</v>
      </c>
      <c r="S409" t="s">
        <v>685</v>
      </c>
      <c r="T409" t="s">
        <v>686</v>
      </c>
      <c r="U409" t="s">
        <v>60</v>
      </c>
      <c r="V409" t="s">
        <v>61</v>
      </c>
      <c r="W409">
        <v>3</v>
      </c>
      <c r="X409">
        <v>0.14000000000000001</v>
      </c>
      <c r="Y409" t="s">
        <v>376</v>
      </c>
      <c r="Z409" t="s">
        <v>687</v>
      </c>
      <c r="AA409">
        <v>4</v>
      </c>
      <c r="AB409" t="s">
        <v>63</v>
      </c>
      <c r="AC409" t="s">
        <v>64</v>
      </c>
      <c r="AD409" t="s">
        <v>65</v>
      </c>
      <c r="AE409" t="s">
        <v>65</v>
      </c>
      <c r="AF409" t="s">
        <v>65</v>
      </c>
      <c r="AG409" t="s">
        <v>191</v>
      </c>
      <c r="AH409" t="s">
        <v>322</v>
      </c>
      <c r="AI409" t="s">
        <v>322</v>
      </c>
      <c r="AJ409" t="s">
        <v>590</v>
      </c>
      <c r="AK409">
        <v>1</v>
      </c>
      <c r="AL409" t="s">
        <v>455</v>
      </c>
      <c r="AM409" t="s">
        <v>456</v>
      </c>
      <c r="AN409" t="s">
        <v>324</v>
      </c>
      <c r="AO409" t="s">
        <v>66</v>
      </c>
      <c r="AP409">
        <v>1</v>
      </c>
      <c r="AQ409" t="s">
        <v>457</v>
      </c>
      <c r="AR409" t="s">
        <v>458</v>
      </c>
      <c r="AS409" t="s">
        <v>459</v>
      </c>
      <c r="AT409" t="s">
        <v>66</v>
      </c>
    </row>
    <row r="410" spans="1:46" x14ac:dyDescent="0.15">
      <c r="A410" t="s">
        <v>1329</v>
      </c>
      <c r="B410" t="s">
        <v>1233</v>
      </c>
      <c r="C410" t="s">
        <v>1234</v>
      </c>
      <c r="D410">
        <v>96</v>
      </c>
      <c r="E410" t="s">
        <v>49</v>
      </c>
      <c r="F410" t="s">
        <v>50</v>
      </c>
      <c r="G410" t="s">
        <v>51</v>
      </c>
      <c r="H410" t="s">
        <v>52</v>
      </c>
      <c r="I410" t="s">
        <v>53</v>
      </c>
      <c r="J410" t="s">
        <v>54</v>
      </c>
      <c r="K410" t="s">
        <v>55</v>
      </c>
      <c r="L410" t="s">
        <v>17</v>
      </c>
      <c r="M410" t="s">
        <v>16</v>
      </c>
      <c r="N410">
        <v>5832</v>
      </c>
      <c r="O410">
        <v>339</v>
      </c>
      <c r="P410">
        <v>0</v>
      </c>
      <c r="Q410" t="s">
        <v>689</v>
      </c>
      <c r="R410" t="s">
        <v>690</v>
      </c>
      <c r="S410" t="s">
        <v>691</v>
      </c>
      <c r="T410" t="s">
        <v>692</v>
      </c>
      <c r="U410" t="s">
        <v>60</v>
      </c>
      <c r="V410" t="s">
        <v>61</v>
      </c>
      <c r="W410">
        <v>3</v>
      </c>
      <c r="X410">
        <v>0.14000000000000001</v>
      </c>
      <c r="Y410" t="s">
        <v>693</v>
      </c>
      <c r="Z410" t="s">
        <v>694</v>
      </c>
      <c r="AA410">
        <v>4</v>
      </c>
      <c r="AB410" t="s">
        <v>63</v>
      </c>
      <c r="AC410" t="s">
        <v>64</v>
      </c>
      <c r="AD410" t="s">
        <v>65</v>
      </c>
      <c r="AE410" t="s">
        <v>65</v>
      </c>
      <c r="AF410" t="s">
        <v>65</v>
      </c>
      <c r="AG410" t="s">
        <v>191</v>
      </c>
      <c r="AH410" t="s">
        <v>322</v>
      </c>
      <c r="AI410" t="s">
        <v>322</v>
      </c>
      <c r="AJ410" t="s">
        <v>590</v>
      </c>
      <c r="AK410">
        <v>1</v>
      </c>
      <c r="AL410" t="s">
        <v>455</v>
      </c>
      <c r="AM410" t="s">
        <v>456</v>
      </c>
      <c r="AN410" t="s">
        <v>324</v>
      </c>
      <c r="AO410" t="s">
        <v>66</v>
      </c>
      <c r="AP410">
        <v>1</v>
      </c>
      <c r="AQ410" t="s">
        <v>457</v>
      </c>
      <c r="AR410" t="s">
        <v>458</v>
      </c>
      <c r="AS410" t="s">
        <v>459</v>
      </c>
      <c r="AT410" t="s">
        <v>66</v>
      </c>
    </row>
    <row r="411" spans="1:46" x14ac:dyDescent="0.15">
      <c r="A411" t="s">
        <v>1330</v>
      </c>
      <c r="B411" t="s">
        <v>1233</v>
      </c>
      <c r="C411" t="s">
        <v>1234</v>
      </c>
      <c r="D411">
        <v>97</v>
      </c>
      <c r="E411" t="s">
        <v>49</v>
      </c>
      <c r="F411" t="s">
        <v>50</v>
      </c>
      <c r="G411" t="s">
        <v>51</v>
      </c>
      <c r="H411" t="s">
        <v>52</v>
      </c>
      <c r="I411" t="s">
        <v>53</v>
      </c>
      <c r="J411" t="s">
        <v>54</v>
      </c>
      <c r="K411" t="s">
        <v>55</v>
      </c>
      <c r="L411" t="s">
        <v>17</v>
      </c>
      <c r="M411" t="s">
        <v>16</v>
      </c>
      <c r="N411">
        <v>5888</v>
      </c>
      <c r="O411">
        <v>342</v>
      </c>
      <c r="P411">
        <v>0</v>
      </c>
      <c r="Q411" t="s">
        <v>696</v>
      </c>
      <c r="R411" t="s">
        <v>697</v>
      </c>
      <c r="S411" t="s">
        <v>698</v>
      </c>
      <c r="T411" t="s">
        <v>699</v>
      </c>
      <c r="U411" t="s">
        <v>60</v>
      </c>
      <c r="V411" t="s">
        <v>61</v>
      </c>
      <c r="W411">
        <v>3</v>
      </c>
      <c r="X411">
        <v>0.14000000000000001</v>
      </c>
      <c r="Y411" t="s">
        <v>382</v>
      </c>
      <c r="Z411" t="s">
        <v>700</v>
      </c>
      <c r="AA411">
        <v>4</v>
      </c>
      <c r="AB411" t="s">
        <v>63</v>
      </c>
      <c r="AC411" t="s">
        <v>64</v>
      </c>
      <c r="AD411" t="s">
        <v>65</v>
      </c>
      <c r="AE411" t="s">
        <v>65</v>
      </c>
      <c r="AF411" t="s">
        <v>65</v>
      </c>
      <c r="AG411" t="s">
        <v>191</v>
      </c>
      <c r="AH411" t="s">
        <v>322</v>
      </c>
      <c r="AI411" t="s">
        <v>322</v>
      </c>
      <c r="AJ411" t="s">
        <v>590</v>
      </c>
      <c r="AK411">
        <v>1</v>
      </c>
      <c r="AL411" t="s">
        <v>455</v>
      </c>
      <c r="AM411" t="s">
        <v>456</v>
      </c>
      <c r="AN411" t="s">
        <v>324</v>
      </c>
      <c r="AO411" t="s">
        <v>66</v>
      </c>
      <c r="AP411">
        <v>1</v>
      </c>
      <c r="AQ411" t="s">
        <v>457</v>
      </c>
      <c r="AR411" t="s">
        <v>458</v>
      </c>
      <c r="AS411" t="s">
        <v>459</v>
      </c>
      <c r="AT411" t="s">
        <v>66</v>
      </c>
    </row>
    <row r="412" spans="1:46" x14ac:dyDescent="0.15">
      <c r="A412" t="s">
        <v>1331</v>
      </c>
      <c r="B412" t="s">
        <v>1233</v>
      </c>
      <c r="C412" t="s">
        <v>1234</v>
      </c>
      <c r="D412">
        <v>98</v>
      </c>
      <c r="E412" t="s">
        <v>49</v>
      </c>
      <c r="F412" t="s">
        <v>50</v>
      </c>
      <c r="G412" t="s">
        <v>51</v>
      </c>
      <c r="H412" t="s">
        <v>52</v>
      </c>
      <c r="I412" t="s">
        <v>53</v>
      </c>
      <c r="J412" t="s">
        <v>54</v>
      </c>
      <c r="K412" t="s">
        <v>55</v>
      </c>
      <c r="L412" t="s">
        <v>17</v>
      </c>
      <c r="M412" t="s">
        <v>16</v>
      </c>
      <c r="N412">
        <v>5944</v>
      </c>
      <c r="O412">
        <v>345</v>
      </c>
      <c r="P412">
        <v>0</v>
      </c>
      <c r="Q412" t="s">
        <v>702</v>
      </c>
      <c r="R412" t="s">
        <v>703</v>
      </c>
      <c r="S412" t="s">
        <v>704</v>
      </c>
      <c r="T412" t="s">
        <v>705</v>
      </c>
      <c r="U412" t="s">
        <v>60</v>
      </c>
      <c r="V412" t="s">
        <v>61</v>
      </c>
      <c r="W412">
        <v>3</v>
      </c>
      <c r="X412">
        <v>0.14000000000000001</v>
      </c>
      <c r="Y412" t="s">
        <v>706</v>
      </c>
      <c r="Z412" t="s">
        <v>707</v>
      </c>
      <c r="AA412">
        <v>4</v>
      </c>
      <c r="AB412" t="s">
        <v>63</v>
      </c>
      <c r="AC412" t="s">
        <v>64</v>
      </c>
      <c r="AD412" t="s">
        <v>65</v>
      </c>
      <c r="AE412" t="s">
        <v>65</v>
      </c>
      <c r="AF412" t="s">
        <v>65</v>
      </c>
      <c r="AG412" t="s">
        <v>191</v>
      </c>
      <c r="AH412" t="s">
        <v>322</v>
      </c>
      <c r="AI412" t="s">
        <v>322</v>
      </c>
      <c r="AJ412" t="s">
        <v>590</v>
      </c>
      <c r="AK412">
        <v>1</v>
      </c>
      <c r="AL412" t="s">
        <v>455</v>
      </c>
      <c r="AM412" t="s">
        <v>456</v>
      </c>
      <c r="AN412" t="s">
        <v>324</v>
      </c>
      <c r="AO412" t="s">
        <v>66</v>
      </c>
      <c r="AP412">
        <v>1</v>
      </c>
      <c r="AQ412" t="s">
        <v>457</v>
      </c>
      <c r="AR412" t="s">
        <v>458</v>
      </c>
      <c r="AS412" t="s">
        <v>459</v>
      </c>
      <c r="AT412" t="s">
        <v>66</v>
      </c>
    </row>
    <row r="413" spans="1:46" x14ac:dyDescent="0.15">
      <c r="A413" t="s">
        <v>1332</v>
      </c>
      <c r="B413" t="s">
        <v>1233</v>
      </c>
      <c r="C413" t="s">
        <v>1234</v>
      </c>
      <c r="D413">
        <v>99</v>
      </c>
      <c r="E413" t="s">
        <v>49</v>
      </c>
      <c r="F413" t="s">
        <v>50</v>
      </c>
      <c r="G413" t="s">
        <v>51</v>
      </c>
      <c r="H413" t="s">
        <v>52</v>
      </c>
      <c r="I413" t="s">
        <v>53</v>
      </c>
      <c r="J413" t="s">
        <v>54</v>
      </c>
      <c r="K413" t="s">
        <v>55</v>
      </c>
      <c r="L413" t="s">
        <v>17</v>
      </c>
      <c r="M413" t="s">
        <v>16</v>
      </c>
      <c r="N413">
        <v>6000</v>
      </c>
      <c r="O413">
        <v>348</v>
      </c>
      <c r="P413">
        <v>0</v>
      </c>
      <c r="Q413" t="s">
        <v>709</v>
      </c>
      <c r="R413" t="s">
        <v>710</v>
      </c>
      <c r="S413" t="s">
        <v>711</v>
      </c>
      <c r="T413" t="s">
        <v>712</v>
      </c>
      <c r="U413" t="s">
        <v>60</v>
      </c>
      <c r="V413" t="s">
        <v>61</v>
      </c>
      <c r="W413">
        <v>3</v>
      </c>
      <c r="X413">
        <v>0.14000000000000001</v>
      </c>
      <c r="Y413" t="s">
        <v>389</v>
      </c>
      <c r="Z413" t="s">
        <v>713</v>
      </c>
      <c r="AA413">
        <v>4</v>
      </c>
      <c r="AB413" t="s">
        <v>63</v>
      </c>
      <c r="AC413" t="s">
        <v>64</v>
      </c>
      <c r="AD413" t="s">
        <v>65</v>
      </c>
      <c r="AE413" t="s">
        <v>65</v>
      </c>
      <c r="AF413" t="s">
        <v>65</v>
      </c>
      <c r="AG413" t="s">
        <v>191</v>
      </c>
      <c r="AH413" t="s">
        <v>322</v>
      </c>
      <c r="AI413" t="s">
        <v>322</v>
      </c>
      <c r="AJ413" t="s">
        <v>590</v>
      </c>
      <c r="AK413">
        <v>1</v>
      </c>
      <c r="AL413" t="s">
        <v>455</v>
      </c>
      <c r="AM413" t="s">
        <v>456</v>
      </c>
      <c r="AN413" t="s">
        <v>324</v>
      </c>
      <c r="AO413" t="s">
        <v>66</v>
      </c>
      <c r="AP413">
        <v>1</v>
      </c>
      <c r="AQ413" t="s">
        <v>457</v>
      </c>
      <c r="AR413" t="s">
        <v>458</v>
      </c>
      <c r="AS413" t="s">
        <v>459</v>
      </c>
      <c r="AT413" t="s">
        <v>66</v>
      </c>
    </row>
    <row r="414" spans="1:46" x14ac:dyDescent="0.15">
      <c r="A414" t="s">
        <v>1333</v>
      </c>
      <c r="B414" t="s">
        <v>1334</v>
      </c>
      <c r="C414" t="s">
        <v>1335</v>
      </c>
      <c r="D414">
        <v>1</v>
      </c>
      <c r="E414" t="s">
        <v>1336</v>
      </c>
      <c r="F414" t="s">
        <v>718</v>
      </c>
      <c r="G414" t="s">
        <v>51</v>
      </c>
      <c r="H414" t="s">
        <v>1337</v>
      </c>
      <c r="I414" t="s">
        <v>53</v>
      </c>
      <c r="J414" t="s">
        <v>721</v>
      </c>
      <c r="K414" t="s">
        <v>1338</v>
      </c>
      <c r="L414" t="s">
        <v>16</v>
      </c>
      <c r="M414" t="s">
        <v>19</v>
      </c>
      <c r="N414">
        <v>500</v>
      </c>
      <c r="O414">
        <v>30</v>
      </c>
      <c r="P414">
        <v>0</v>
      </c>
      <c r="Q414" t="s">
        <v>722</v>
      </c>
      <c r="R414" t="s">
        <v>58</v>
      </c>
      <c r="S414" t="s">
        <v>723</v>
      </c>
      <c r="T414" t="s">
        <v>1339</v>
      </c>
      <c r="U414" t="s">
        <v>60</v>
      </c>
      <c r="V414" t="s">
        <v>61</v>
      </c>
      <c r="W414">
        <v>3</v>
      </c>
      <c r="X414">
        <v>9.5812499999999995E-2</v>
      </c>
      <c r="Y414" t="s">
        <v>62</v>
      </c>
      <c r="Z414" t="s">
        <v>62</v>
      </c>
      <c r="AA414">
        <v>0</v>
      </c>
      <c r="AB414" t="s">
        <v>1340</v>
      </c>
      <c r="AC414" t="s">
        <v>1341</v>
      </c>
      <c r="AD414" t="s">
        <v>1342</v>
      </c>
      <c r="AE414" t="s">
        <v>1343</v>
      </c>
      <c r="AF414" t="s">
        <v>1344</v>
      </c>
      <c r="AG414" t="s">
        <v>66</v>
      </c>
      <c r="AH414" t="s">
        <v>66</v>
      </c>
      <c r="AI414" t="s">
        <v>66</v>
      </c>
      <c r="AJ414" t="s">
        <v>66</v>
      </c>
      <c r="AK414">
        <v>1</v>
      </c>
      <c r="AL414" t="s">
        <v>66</v>
      </c>
      <c r="AM414" t="s">
        <v>66</v>
      </c>
      <c r="AN414" t="s">
        <v>66</v>
      </c>
      <c r="AO414" t="s">
        <v>66</v>
      </c>
      <c r="AP414">
        <v>1</v>
      </c>
      <c r="AQ414" t="s">
        <v>66</v>
      </c>
      <c r="AR414" t="s">
        <v>66</v>
      </c>
      <c r="AS414" t="s">
        <v>66</v>
      </c>
      <c r="AT414" t="s">
        <v>66</v>
      </c>
    </row>
    <row r="415" spans="1:46" x14ac:dyDescent="0.15">
      <c r="A415" t="s">
        <v>1345</v>
      </c>
      <c r="B415" t="s">
        <v>1334</v>
      </c>
      <c r="C415" t="s">
        <v>1335</v>
      </c>
      <c r="D415">
        <v>2</v>
      </c>
      <c r="E415" t="s">
        <v>1336</v>
      </c>
      <c r="F415" t="s">
        <v>718</v>
      </c>
      <c r="G415" t="s">
        <v>51</v>
      </c>
      <c r="H415" t="s">
        <v>1337</v>
      </c>
      <c r="I415" t="s">
        <v>53</v>
      </c>
      <c r="J415" t="s">
        <v>721</v>
      </c>
      <c r="K415" t="s">
        <v>1338</v>
      </c>
      <c r="L415" t="s">
        <v>16</v>
      </c>
      <c r="M415" t="s">
        <v>19</v>
      </c>
      <c r="N415">
        <v>556</v>
      </c>
      <c r="O415">
        <v>33</v>
      </c>
      <c r="P415">
        <v>0</v>
      </c>
      <c r="Q415" t="s">
        <v>731</v>
      </c>
      <c r="R415" t="s">
        <v>70</v>
      </c>
      <c r="S415" t="s">
        <v>732</v>
      </c>
      <c r="T415" t="s">
        <v>1346</v>
      </c>
      <c r="U415" t="s">
        <v>60</v>
      </c>
      <c r="V415" t="s">
        <v>61</v>
      </c>
      <c r="W415">
        <v>3</v>
      </c>
      <c r="X415">
        <v>9.5812499999999995E-2</v>
      </c>
      <c r="Y415" t="s">
        <v>72</v>
      </c>
      <c r="Z415" t="s">
        <v>73</v>
      </c>
      <c r="AA415">
        <v>0</v>
      </c>
      <c r="AB415" t="s">
        <v>1340</v>
      </c>
      <c r="AC415" t="s">
        <v>1341</v>
      </c>
      <c r="AD415" t="s">
        <v>1342</v>
      </c>
      <c r="AE415" t="s">
        <v>1343</v>
      </c>
      <c r="AF415" t="s">
        <v>1344</v>
      </c>
      <c r="AG415" t="s">
        <v>66</v>
      </c>
      <c r="AH415" t="s">
        <v>66</v>
      </c>
      <c r="AI415" t="s">
        <v>66</v>
      </c>
      <c r="AJ415" t="s">
        <v>66</v>
      </c>
      <c r="AK415">
        <v>1</v>
      </c>
      <c r="AL415" t="s">
        <v>66</v>
      </c>
      <c r="AM415" t="s">
        <v>66</v>
      </c>
      <c r="AN415" t="s">
        <v>66</v>
      </c>
      <c r="AO415" t="s">
        <v>66</v>
      </c>
      <c r="AP415">
        <v>1</v>
      </c>
      <c r="AQ415" t="s">
        <v>66</v>
      </c>
      <c r="AR415" t="s">
        <v>66</v>
      </c>
      <c r="AS415" t="s">
        <v>66</v>
      </c>
      <c r="AT415" t="s">
        <v>66</v>
      </c>
    </row>
    <row r="416" spans="1:46" x14ac:dyDescent="0.15">
      <c r="A416" t="s">
        <v>1347</v>
      </c>
      <c r="B416" t="s">
        <v>1334</v>
      </c>
      <c r="C416" t="s">
        <v>1335</v>
      </c>
      <c r="D416">
        <v>3</v>
      </c>
      <c r="E416" t="s">
        <v>1336</v>
      </c>
      <c r="F416" t="s">
        <v>718</v>
      </c>
      <c r="G416" t="s">
        <v>51</v>
      </c>
      <c r="H416" t="s">
        <v>1337</v>
      </c>
      <c r="I416" t="s">
        <v>53</v>
      </c>
      <c r="J416" t="s">
        <v>721</v>
      </c>
      <c r="K416" t="s">
        <v>1338</v>
      </c>
      <c r="L416" t="s">
        <v>16</v>
      </c>
      <c r="M416" t="s">
        <v>19</v>
      </c>
      <c r="N416">
        <v>612</v>
      </c>
      <c r="O416">
        <v>37</v>
      </c>
      <c r="P416">
        <v>0</v>
      </c>
      <c r="Q416" t="s">
        <v>735</v>
      </c>
      <c r="R416" t="s">
        <v>77</v>
      </c>
      <c r="S416" t="s">
        <v>736</v>
      </c>
      <c r="T416" t="s">
        <v>1348</v>
      </c>
      <c r="U416" t="s">
        <v>60</v>
      </c>
      <c r="V416" t="s">
        <v>61</v>
      </c>
      <c r="W416">
        <v>3</v>
      </c>
      <c r="X416">
        <v>9.5812499999999995E-2</v>
      </c>
      <c r="Y416" t="s">
        <v>73</v>
      </c>
      <c r="Z416" t="s">
        <v>79</v>
      </c>
      <c r="AA416">
        <v>0</v>
      </c>
      <c r="AB416" t="s">
        <v>1340</v>
      </c>
      <c r="AC416" t="s">
        <v>1341</v>
      </c>
      <c r="AD416" t="s">
        <v>1342</v>
      </c>
      <c r="AE416" t="s">
        <v>1343</v>
      </c>
      <c r="AF416" t="s">
        <v>1344</v>
      </c>
      <c r="AG416" t="s">
        <v>66</v>
      </c>
      <c r="AH416" t="s">
        <v>66</v>
      </c>
      <c r="AI416" t="s">
        <v>66</v>
      </c>
      <c r="AJ416" t="s">
        <v>66</v>
      </c>
      <c r="AK416">
        <v>1</v>
      </c>
      <c r="AL416" t="s">
        <v>66</v>
      </c>
      <c r="AM416" t="s">
        <v>66</v>
      </c>
      <c r="AN416" t="s">
        <v>66</v>
      </c>
      <c r="AO416" t="s">
        <v>66</v>
      </c>
      <c r="AP416">
        <v>1</v>
      </c>
      <c r="AQ416" t="s">
        <v>66</v>
      </c>
      <c r="AR416" t="s">
        <v>66</v>
      </c>
      <c r="AS416" t="s">
        <v>66</v>
      </c>
      <c r="AT416" t="s">
        <v>66</v>
      </c>
    </row>
    <row r="417" spans="1:46" x14ac:dyDescent="0.15">
      <c r="A417" t="s">
        <v>1349</v>
      </c>
      <c r="B417" t="s">
        <v>1334</v>
      </c>
      <c r="C417" t="s">
        <v>1335</v>
      </c>
      <c r="D417">
        <v>4</v>
      </c>
      <c r="E417" t="s">
        <v>1336</v>
      </c>
      <c r="F417" t="s">
        <v>718</v>
      </c>
      <c r="G417" t="s">
        <v>51</v>
      </c>
      <c r="H417" t="s">
        <v>1337</v>
      </c>
      <c r="I417" t="s">
        <v>53</v>
      </c>
      <c r="J417" t="s">
        <v>721</v>
      </c>
      <c r="K417" t="s">
        <v>1338</v>
      </c>
      <c r="L417" t="s">
        <v>16</v>
      </c>
      <c r="M417" t="s">
        <v>19</v>
      </c>
      <c r="N417">
        <v>668</v>
      </c>
      <c r="O417">
        <v>40</v>
      </c>
      <c r="P417">
        <v>0</v>
      </c>
      <c r="Q417" t="s">
        <v>739</v>
      </c>
      <c r="R417" t="s">
        <v>83</v>
      </c>
      <c r="S417" t="s">
        <v>740</v>
      </c>
      <c r="T417" t="s">
        <v>1350</v>
      </c>
      <c r="U417" t="s">
        <v>60</v>
      </c>
      <c r="V417" t="s">
        <v>61</v>
      </c>
      <c r="W417">
        <v>3</v>
      </c>
      <c r="X417">
        <v>9.5812499999999995E-2</v>
      </c>
      <c r="Y417" t="s">
        <v>85</v>
      </c>
      <c r="Z417" t="s">
        <v>86</v>
      </c>
      <c r="AA417">
        <v>0</v>
      </c>
      <c r="AB417" t="s">
        <v>1340</v>
      </c>
      <c r="AC417" t="s">
        <v>1341</v>
      </c>
      <c r="AD417" t="s">
        <v>1342</v>
      </c>
      <c r="AE417" t="s">
        <v>1343</v>
      </c>
      <c r="AF417" t="s">
        <v>1344</v>
      </c>
      <c r="AG417" t="s">
        <v>66</v>
      </c>
      <c r="AH417" t="s">
        <v>66</v>
      </c>
      <c r="AI417" t="s">
        <v>66</v>
      </c>
      <c r="AJ417" t="s">
        <v>66</v>
      </c>
      <c r="AK417">
        <v>1</v>
      </c>
      <c r="AL417" t="s">
        <v>66</v>
      </c>
      <c r="AM417" t="s">
        <v>66</v>
      </c>
      <c r="AN417" t="s">
        <v>66</v>
      </c>
      <c r="AO417" t="s">
        <v>66</v>
      </c>
      <c r="AP417">
        <v>1</v>
      </c>
      <c r="AQ417" t="s">
        <v>66</v>
      </c>
      <c r="AR417" t="s">
        <v>66</v>
      </c>
      <c r="AS417" t="s">
        <v>66</v>
      </c>
      <c r="AT417" t="s">
        <v>66</v>
      </c>
    </row>
    <row r="418" spans="1:46" x14ac:dyDescent="0.15">
      <c r="A418" t="s">
        <v>1351</v>
      </c>
      <c r="B418" t="s">
        <v>1334</v>
      </c>
      <c r="C418" t="s">
        <v>1335</v>
      </c>
      <c r="D418">
        <v>5</v>
      </c>
      <c r="E418" t="s">
        <v>1336</v>
      </c>
      <c r="F418" t="s">
        <v>718</v>
      </c>
      <c r="G418" t="s">
        <v>51</v>
      </c>
      <c r="H418" t="s">
        <v>1337</v>
      </c>
      <c r="I418" t="s">
        <v>53</v>
      </c>
      <c r="J418" t="s">
        <v>721</v>
      </c>
      <c r="K418" t="s">
        <v>1338</v>
      </c>
      <c r="L418" t="s">
        <v>16</v>
      </c>
      <c r="M418" t="s">
        <v>19</v>
      </c>
      <c r="N418">
        <v>724</v>
      </c>
      <c r="O418">
        <v>43</v>
      </c>
      <c r="P418">
        <v>0</v>
      </c>
      <c r="Q418" t="s">
        <v>743</v>
      </c>
      <c r="R418" t="s">
        <v>90</v>
      </c>
      <c r="S418" t="s">
        <v>744</v>
      </c>
      <c r="T418" t="s">
        <v>1352</v>
      </c>
      <c r="U418" t="s">
        <v>60</v>
      </c>
      <c r="V418" t="s">
        <v>61</v>
      </c>
      <c r="W418">
        <v>3</v>
      </c>
      <c r="X418">
        <v>9.5812499999999995E-2</v>
      </c>
      <c r="Y418" t="s">
        <v>79</v>
      </c>
      <c r="Z418" t="s">
        <v>92</v>
      </c>
      <c r="AA418">
        <v>0</v>
      </c>
      <c r="AB418" t="s">
        <v>1340</v>
      </c>
      <c r="AC418" t="s">
        <v>1341</v>
      </c>
      <c r="AD418" t="s">
        <v>1342</v>
      </c>
      <c r="AE418" t="s">
        <v>1343</v>
      </c>
      <c r="AF418" t="s">
        <v>1344</v>
      </c>
      <c r="AG418" t="s">
        <v>66</v>
      </c>
      <c r="AH418" t="s">
        <v>66</v>
      </c>
      <c r="AI418" t="s">
        <v>66</v>
      </c>
      <c r="AJ418" t="s">
        <v>66</v>
      </c>
      <c r="AK418">
        <v>1</v>
      </c>
      <c r="AL418" t="s">
        <v>66</v>
      </c>
      <c r="AM418" t="s">
        <v>66</v>
      </c>
      <c r="AN418" t="s">
        <v>66</v>
      </c>
      <c r="AO418" t="s">
        <v>66</v>
      </c>
      <c r="AP418">
        <v>1</v>
      </c>
      <c r="AQ418" t="s">
        <v>66</v>
      </c>
      <c r="AR418" t="s">
        <v>66</v>
      </c>
      <c r="AS418" t="s">
        <v>66</v>
      </c>
      <c r="AT418" t="s">
        <v>66</v>
      </c>
    </row>
    <row r="419" spans="1:46" x14ac:dyDescent="0.15">
      <c r="A419" t="s">
        <v>1353</v>
      </c>
      <c r="B419" t="s">
        <v>1334</v>
      </c>
      <c r="C419" t="s">
        <v>1335</v>
      </c>
      <c r="D419">
        <v>6</v>
      </c>
      <c r="E419" t="s">
        <v>1336</v>
      </c>
      <c r="F419" t="s">
        <v>718</v>
      </c>
      <c r="G419" t="s">
        <v>51</v>
      </c>
      <c r="H419" t="s">
        <v>1337</v>
      </c>
      <c r="I419" t="s">
        <v>53</v>
      </c>
      <c r="J419" t="s">
        <v>721</v>
      </c>
      <c r="K419" t="s">
        <v>1338</v>
      </c>
      <c r="L419" t="s">
        <v>16</v>
      </c>
      <c r="M419" t="s">
        <v>19</v>
      </c>
      <c r="N419">
        <v>781</v>
      </c>
      <c r="O419">
        <v>46</v>
      </c>
      <c r="P419">
        <v>0</v>
      </c>
      <c r="Q419" t="s">
        <v>747</v>
      </c>
      <c r="R419" t="s">
        <v>96</v>
      </c>
      <c r="S419" t="s">
        <v>748</v>
      </c>
      <c r="T419" t="s">
        <v>1354</v>
      </c>
      <c r="U419" t="s">
        <v>60</v>
      </c>
      <c r="V419" t="s">
        <v>61</v>
      </c>
      <c r="W419">
        <v>3</v>
      </c>
      <c r="X419">
        <v>9.5812499999999995E-2</v>
      </c>
      <c r="Y419" t="s">
        <v>98</v>
      </c>
      <c r="Z419" t="s">
        <v>99</v>
      </c>
      <c r="AA419">
        <v>0</v>
      </c>
      <c r="AB419" t="s">
        <v>1340</v>
      </c>
      <c r="AC419" t="s">
        <v>1341</v>
      </c>
      <c r="AD419" t="s">
        <v>1342</v>
      </c>
      <c r="AE419" t="s">
        <v>1343</v>
      </c>
      <c r="AF419" t="s">
        <v>1344</v>
      </c>
      <c r="AG419" t="s">
        <v>66</v>
      </c>
      <c r="AH419" t="s">
        <v>66</v>
      </c>
      <c r="AI419" t="s">
        <v>66</v>
      </c>
      <c r="AJ419" t="s">
        <v>66</v>
      </c>
      <c r="AK419">
        <v>1</v>
      </c>
      <c r="AL419" t="s">
        <v>66</v>
      </c>
      <c r="AM419" t="s">
        <v>66</v>
      </c>
      <c r="AN419" t="s">
        <v>66</v>
      </c>
      <c r="AO419" t="s">
        <v>66</v>
      </c>
      <c r="AP419">
        <v>1</v>
      </c>
      <c r="AQ419" t="s">
        <v>66</v>
      </c>
      <c r="AR419" t="s">
        <v>66</v>
      </c>
      <c r="AS419" t="s">
        <v>66</v>
      </c>
      <c r="AT419" t="s">
        <v>66</v>
      </c>
    </row>
    <row r="420" spans="1:46" x14ac:dyDescent="0.15">
      <c r="A420" t="s">
        <v>1355</v>
      </c>
      <c r="B420" t="s">
        <v>1334</v>
      </c>
      <c r="C420" t="s">
        <v>1335</v>
      </c>
      <c r="D420">
        <v>7</v>
      </c>
      <c r="E420" t="s">
        <v>1336</v>
      </c>
      <c r="F420" t="s">
        <v>718</v>
      </c>
      <c r="G420" t="s">
        <v>51</v>
      </c>
      <c r="H420" t="s">
        <v>1337</v>
      </c>
      <c r="I420" t="s">
        <v>53</v>
      </c>
      <c r="J420" t="s">
        <v>721</v>
      </c>
      <c r="K420" t="s">
        <v>1338</v>
      </c>
      <c r="L420" t="s">
        <v>16</v>
      </c>
      <c r="M420" t="s">
        <v>19</v>
      </c>
      <c r="N420">
        <v>837</v>
      </c>
      <c r="O420">
        <v>50</v>
      </c>
      <c r="P420">
        <v>0</v>
      </c>
      <c r="Q420" t="s">
        <v>751</v>
      </c>
      <c r="R420" t="s">
        <v>103</v>
      </c>
      <c r="S420" t="s">
        <v>752</v>
      </c>
      <c r="T420" t="s">
        <v>1356</v>
      </c>
      <c r="U420" t="s">
        <v>60</v>
      </c>
      <c r="V420" t="s">
        <v>61</v>
      </c>
      <c r="W420">
        <v>3</v>
      </c>
      <c r="X420">
        <v>9.5812499999999995E-2</v>
      </c>
      <c r="Y420" t="s">
        <v>86</v>
      </c>
      <c r="Z420" t="s">
        <v>105</v>
      </c>
      <c r="AA420">
        <v>0</v>
      </c>
      <c r="AB420" t="s">
        <v>1340</v>
      </c>
      <c r="AC420" t="s">
        <v>1341</v>
      </c>
      <c r="AD420" t="s">
        <v>1342</v>
      </c>
      <c r="AE420" t="s">
        <v>1343</v>
      </c>
      <c r="AF420" t="s">
        <v>1344</v>
      </c>
      <c r="AG420" t="s">
        <v>66</v>
      </c>
      <c r="AH420" t="s">
        <v>66</v>
      </c>
      <c r="AI420" t="s">
        <v>66</v>
      </c>
      <c r="AJ420" t="s">
        <v>66</v>
      </c>
      <c r="AK420">
        <v>1</v>
      </c>
      <c r="AL420" t="s">
        <v>66</v>
      </c>
      <c r="AM420" t="s">
        <v>66</v>
      </c>
      <c r="AN420" t="s">
        <v>66</v>
      </c>
      <c r="AO420" t="s">
        <v>66</v>
      </c>
      <c r="AP420">
        <v>1</v>
      </c>
      <c r="AQ420" t="s">
        <v>66</v>
      </c>
      <c r="AR420" t="s">
        <v>66</v>
      </c>
      <c r="AS420" t="s">
        <v>66</v>
      </c>
      <c r="AT420" t="s">
        <v>66</v>
      </c>
    </row>
    <row r="421" spans="1:46" x14ac:dyDescent="0.15">
      <c r="A421" t="s">
        <v>1357</v>
      </c>
      <c r="B421" t="s">
        <v>1334</v>
      </c>
      <c r="C421" t="s">
        <v>1335</v>
      </c>
      <c r="D421">
        <v>8</v>
      </c>
      <c r="E421" t="s">
        <v>1336</v>
      </c>
      <c r="F421" t="s">
        <v>718</v>
      </c>
      <c r="G421" t="s">
        <v>51</v>
      </c>
      <c r="H421" t="s">
        <v>1337</v>
      </c>
      <c r="I421" t="s">
        <v>53</v>
      </c>
      <c r="J421" t="s">
        <v>721</v>
      </c>
      <c r="K421" t="s">
        <v>1338</v>
      </c>
      <c r="L421" t="s">
        <v>16</v>
      </c>
      <c r="M421" t="s">
        <v>19</v>
      </c>
      <c r="N421">
        <v>893</v>
      </c>
      <c r="O421">
        <v>53</v>
      </c>
      <c r="P421">
        <v>0</v>
      </c>
      <c r="Q421" t="s">
        <v>755</v>
      </c>
      <c r="R421" t="s">
        <v>109</v>
      </c>
      <c r="S421" t="s">
        <v>756</v>
      </c>
      <c r="T421" t="s">
        <v>1358</v>
      </c>
      <c r="U421" t="s">
        <v>60</v>
      </c>
      <c r="V421" t="s">
        <v>61</v>
      </c>
      <c r="W421">
        <v>3</v>
      </c>
      <c r="X421">
        <v>9.5812499999999995E-2</v>
      </c>
      <c r="Y421" t="s">
        <v>111</v>
      </c>
      <c r="Z421" t="s">
        <v>112</v>
      </c>
      <c r="AA421">
        <v>0</v>
      </c>
      <c r="AB421" t="s">
        <v>1340</v>
      </c>
      <c r="AC421" t="s">
        <v>1341</v>
      </c>
      <c r="AD421" t="s">
        <v>1342</v>
      </c>
      <c r="AE421" t="s">
        <v>1343</v>
      </c>
      <c r="AF421" t="s">
        <v>1344</v>
      </c>
      <c r="AG421" t="s">
        <v>66</v>
      </c>
      <c r="AH421" t="s">
        <v>66</v>
      </c>
      <c r="AI421" t="s">
        <v>66</v>
      </c>
      <c r="AJ421" t="s">
        <v>66</v>
      </c>
      <c r="AK421">
        <v>1</v>
      </c>
      <c r="AL421" t="s">
        <v>66</v>
      </c>
      <c r="AM421" t="s">
        <v>66</v>
      </c>
      <c r="AN421" t="s">
        <v>66</v>
      </c>
      <c r="AO421" t="s">
        <v>66</v>
      </c>
      <c r="AP421">
        <v>1</v>
      </c>
      <c r="AQ421" t="s">
        <v>66</v>
      </c>
      <c r="AR421" t="s">
        <v>66</v>
      </c>
      <c r="AS421" t="s">
        <v>66</v>
      </c>
      <c r="AT421" t="s">
        <v>66</v>
      </c>
    </row>
    <row r="422" spans="1:46" x14ac:dyDescent="0.15">
      <c r="A422" t="s">
        <v>1359</v>
      </c>
      <c r="B422" t="s">
        <v>1334</v>
      </c>
      <c r="C422" t="s">
        <v>1335</v>
      </c>
      <c r="D422">
        <v>9</v>
      </c>
      <c r="E422" t="s">
        <v>1336</v>
      </c>
      <c r="F422" t="s">
        <v>718</v>
      </c>
      <c r="G422" t="s">
        <v>51</v>
      </c>
      <c r="H422" t="s">
        <v>1337</v>
      </c>
      <c r="I422" t="s">
        <v>53</v>
      </c>
      <c r="J422" t="s">
        <v>721</v>
      </c>
      <c r="K422" t="s">
        <v>1338</v>
      </c>
      <c r="L422" t="s">
        <v>16</v>
      </c>
      <c r="M422" t="s">
        <v>19</v>
      </c>
      <c r="N422">
        <v>949</v>
      </c>
      <c r="O422">
        <v>56</v>
      </c>
      <c r="P422">
        <v>0</v>
      </c>
      <c r="Q422" t="s">
        <v>759</v>
      </c>
      <c r="R422" t="s">
        <v>116</v>
      </c>
      <c r="S422" t="s">
        <v>760</v>
      </c>
      <c r="T422" t="s">
        <v>1360</v>
      </c>
      <c r="U422" t="s">
        <v>60</v>
      </c>
      <c r="V422" t="s">
        <v>61</v>
      </c>
      <c r="W422">
        <v>3</v>
      </c>
      <c r="X422">
        <v>9.5812499999999995E-2</v>
      </c>
      <c r="Y422" t="s">
        <v>92</v>
      </c>
      <c r="Z422" t="s">
        <v>118</v>
      </c>
      <c r="AA422">
        <v>0</v>
      </c>
      <c r="AB422" t="s">
        <v>1340</v>
      </c>
      <c r="AC422" t="s">
        <v>1341</v>
      </c>
      <c r="AD422" t="s">
        <v>1342</v>
      </c>
      <c r="AE422" t="s">
        <v>1343</v>
      </c>
      <c r="AF422" t="s">
        <v>1344</v>
      </c>
      <c r="AG422" t="s">
        <v>66</v>
      </c>
      <c r="AH422" t="s">
        <v>66</v>
      </c>
      <c r="AI422" t="s">
        <v>66</v>
      </c>
      <c r="AJ422" t="s">
        <v>66</v>
      </c>
      <c r="AK422">
        <v>1</v>
      </c>
      <c r="AL422" t="s">
        <v>66</v>
      </c>
      <c r="AM422" t="s">
        <v>66</v>
      </c>
      <c r="AN422" t="s">
        <v>66</v>
      </c>
      <c r="AO422" t="s">
        <v>66</v>
      </c>
      <c r="AP422">
        <v>1</v>
      </c>
      <c r="AQ422" t="s">
        <v>66</v>
      </c>
      <c r="AR422" t="s">
        <v>66</v>
      </c>
      <c r="AS422" t="s">
        <v>66</v>
      </c>
      <c r="AT422" t="s">
        <v>66</v>
      </c>
    </row>
    <row r="423" spans="1:46" x14ac:dyDescent="0.15">
      <c r="A423" t="s">
        <v>1361</v>
      </c>
      <c r="B423" t="s">
        <v>1334</v>
      </c>
      <c r="C423" t="s">
        <v>1335</v>
      </c>
      <c r="D423">
        <v>10</v>
      </c>
      <c r="E423" t="s">
        <v>1336</v>
      </c>
      <c r="F423" t="s">
        <v>718</v>
      </c>
      <c r="G423" t="s">
        <v>51</v>
      </c>
      <c r="H423" t="s">
        <v>1337</v>
      </c>
      <c r="I423" t="s">
        <v>53</v>
      </c>
      <c r="J423" t="s">
        <v>721</v>
      </c>
      <c r="K423" t="s">
        <v>1338</v>
      </c>
      <c r="L423" t="s">
        <v>16</v>
      </c>
      <c r="M423" t="s">
        <v>19</v>
      </c>
      <c r="N423">
        <v>1005</v>
      </c>
      <c r="O423">
        <v>60</v>
      </c>
      <c r="P423">
        <v>0</v>
      </c>
      <c r="Q423" t="s">
        <v>763</v>
      </c>
      <c r="R423" t="s">
        <v>122</v>
      </c>
      <c r="S423" t="s">
        <v>764</v>
      </c>
      <c r="T423" t="s">
        <v>1362</v>
      </c>
      <c r="U423" t="s">
        <v>60</v>
      </c>
      <c r="V423" t="s">
        <v>61</v>
      </c>
      <c r="W423">
        <v>3</v>
      </c>
      <c r="X423">
        <v>9.5812499999999995E-2</v>
      </c>
      <c r="Y423" t="s">
        <v>124</v>
      </c>
      <c r="Z423" t="s">
        <v>125</v>
      </c>
      <c r="AA423">
        <v>0</v>
      </c>
      <c r="AB423" t="s">
        <v>1340</v>
      </c>
      <c r="AC423" t="s">
        <v>1341</v>
      </c>
      <c r="AD423" t="s">
        <v>1342</v>
      </c>
      <c r="AE423" t="s">
        <v>1343</v>
      </c>
      <c r="AF423" t="s">
        <v>1344</v>
      </c>
      <c r="AG423" t="s">
        <v>66</v>
      </c>
      <c r="AH423" t="s">
        <v>66</v>
      </c>
      <c r="AI423" t="s">
        <v>66</v>
      </c>
      <c r="AJ423" t="s">
        <v>66</v>
      </c>
      <c r="AK423">
        <v>1</v>
      </c>
      <c r="AL423" t="s">
        <v>66</v>
      </c>
      <c r="AM423" t="s">
        <v>66</v>
      </c>
      <c r="AN423" t="s">
        <v>66</v>
      </c>
      <c r="AO423" t="s">
        <v>66</v>
      </c>
      <c r="AP423">
        <v>1</v>
      </c>
      <c r="AQ423" t="s">
        <v>66</v>
      </c>
      <c r="AR423" t="s">
        <v>66</v>
      </c>
      <c r="AS423" t="s">
        <v>66</v>
      </c>
      <c r="AT423" t="s">
        <v>66</v>
      </c>
    </row>
    <row r="424" spans="1:46" x14ac:dyDescent="0.15">
      <c r="A424" t="s">
        <v>1363</v>
      </c>
      <c r="B424" t="s">
        <v>1334</v>
      </c>
      <c r="C424" t="s">
        <v>1335</v>
      </c>
      <c r="D424">
        <v>11</v>
      </c>
      <c r="E424" t="s">
        <v>1336</v>
      </c>
      <c r="F424" t="s">
        <v>718</v>
      </c>
      <c r="G424" t="s">
        <v>51</v>
      </c>
      <c r="H424" t="s">
        <v>1337</v>
      </c>
      <c r="I424" t="s">
        <v>53</v>
      </c>
      <c r="J424" t="s">
        <v>721</v>
      </c>
      <c r="K424" t="s">
        <v>1338</v>
      </c>
      <c r="L424" t="s">
        <v>16</v>
      </c>
      <c r="M424" t="s">
        <v>19</v>
      </c>
      <c r="N424">
        <v>1061</v>
      </c>
      <c r="O424">
        <v>63</v>
      </c>
      <c r="P424">
        <v>0</v>
      </c>
      <c r="Q424" t="s">
        <v>767</v>
      </c>
      <c r="R424" t="s">
        <v>129</v>
      </c>
      <c r="S424" t="s">
        <v>768</v>
      </c>
      <c r="T424" t="s">
        <v>1364</v>
      </c>
      <c r="U424" t="s">
        <v>60</v>
      </c>
      <c r="V424" t="s">
        <v>61</v>
      </c>
      <c r="W424">
        <v>3</v>
      </c>
      <c r="X424">
        <v>9.5812499999999995E-2</v>
      </c>
      <c r="Y424" t="s">
        <v>99</v>
      </c>
      <c r="Z424" t="s">
        <v>131</v>
      </c>
      <c r="AA424">
        <v>0</v>
      </c>
      <c r="AB424" t="s">
        <v>1340</v>
      </c>
      <c r="AC424" t="s">
        <v>1341</v>
      </c>
      <c r="AD424" t="s">
        <v>1342</v>
      </c>
      <c r="AE424" t="s">
        <v>1343</v>
      </c>
      <c r="AF424" t="s">
        <v>1344</v>
      </c>
      <c r="AG424" t="s">
        <v>66</v>
      </c>
      <c r="AH424" t="s">
        <v>66</v>
      </c>
      <c r="AI424" t="s">
        <v>66</v>
      </c>
      <c r="AJ424" t="s">
        <v>66</v>
      </c>
      <c r="AK424">
        <v>1</v>
      </c>
      <c r="AL424" t="s">
        <v>66</v>
      </c>
      <c r="AM424" t="s">
        <v>66</v>
      </c>
      <c r="AN424" t="s">
        <v>66</v>
      </c>
      <c r="AO424" t="s">
        <v>66</v>
      </c>
      <c r="AP424">
        <v>1</v>
      </c>
      <c r="AQ424" t="s">
        <v>66</v>
      </c>
      <c r="AR424" t="s">
        <v>66</v>
      </c>
      <c r="AS424" t="s">
        <v>66</v>
      </c>
      <c r="AT424" t="s">
        <v>66</v>
      </c>
    </row>
    <row r="425" spans="1:46" x14ac:dyDescent="0.15">
      <c r="A425" t="s">
        <v>1365</v>
      </c>
      <c r="B425" t="s">
        <v>1334</v>
      </c>
      <c r="C425" t="s">
        <v>1335</v>
      </c>
      <c r="D425">
        <v>12</v>
      </c>
      <c r="E425" t="s">
        <v>1336</v>
      </c>
      <c r="F425" t="s">
        <v>718</v>
      </c>
      <c r="G425" t="s">
        <v>51</v>
      </c>
      <c r="H425" t="s">
        <v>1337</v>
      </c>
      <c r="I425" t="s">
        <v>53</v>
      </c>
      <c r="J425" t="s">
        <v>721</v>
      </c>
      <c r="K425" t="s">
        <v>1338</v>
      </c>
      <c r="L425" t="s">
        <v>16</v>
      </c>
      <c r="M425" t="s">
        <v>19</v>
      </c>
      <c r="N425">
        <v>1117</v>
      </c>
      <c r="O425">
        <v>66</v>
      </c>
      <c r="P425">
        <v>0</v>
      </c>
      <c r="Q425" t="s">
        <v>771</v>
      </c>
      <c r="R425" t="s">
        <v>135</v>
      </c>
      <c r="S425" t="s">
        <v>772</v>
      </c>
      <c r="T425" t="s">
        <v>1366</v>
      </c>
      <c r="U425" t="s">
        <v>60</v>
      </c>
      <c r="V425" t="s">
        <v>61</v>
      </c>
      <c r="W425">
        <v>3</v>
      </c>
      <c r="X425">
        <v>9.5812499999999995E-2</v>
      </c>
      <c r="Y425" t="s">
        <v>137</v>
      </c>
      <c r="Z425" t="s">
        <v>138</v>
      </c>
      <c r="AA425">
        <v>0</v>
      </c>
      <c r="AB425" t="s">
        <v>1340</v>
      </c>
      <c r="AC425" t="s">
        <v>1341</v>
      </c>
      <c r="AD425" t="s">
        <v>1342</v>
      </c>
      <c r="AE425" t="s">
        <v>1343</v>
      </c>
      <c r="AF425" t="s">
        <v>1344</v>
      </c>
      <c r="AG425" t="s">
        <v>66</v>
      </c>
      <c r="AH425" t="s">
        <v>66</v>
      </c>
      <c r="AI425" t="s">
        <v>66</v>
      </c>
      <c r="AJ425" t="s">
        <v>66</v>
      </c>
      <c r="AK425">
        <v>1</v>
      </c>
      <c r="AL425" t="s">
        <v>66</v>
      </c>
      <c r="AM425" t="s">
        <v>66</v>
      </c>
      <c r="AN425" t="s">
        <v>66</v>
      </c>
      <c r="AO425" t="s">
        <v>66</v>
      </c>
      <c r="AP425">
        <v>1</v>
      </c>
      <c r="AQ425" t="s">
        <v>66</v>
      </c>
      <c r="AR425" t="s">
        <v>66</v>
      </c>
      <c r="AS425" t="s">
        <v>66</v>
      </c>
      <c r="AT425" t="s">
        <v>66</v>
      </c>
    </row>
    <row r="426" spans="1:46" x14ac:dyDescent="0.15">
      <c r="A426" t="s">
        <v>1367</v>
      </c>
      <c r="B426" t="s">
        <v>1334</v>
      </c>
      <c r="C426" t="s">
        <v>1335</v>
      </c>
      <c r="D426">
        <v>13</v>
      </c>
      <c r="E426" t="s">
        <v>1336</v>
      </c>
      <c r="F426" t="s">
        <v>718</v>
      </c>
      <c r="G426" t="s">
        <v>51</v>
      </c>
      <c r="H426" t="s">
        <v>1337</v>
      </c>
      <c r="I426" t="s">
        <v>53</v>
      </c>
      <c r="J426" t="s">
        <v>721</v>
      </c>
      <c r="K426" t="s">
        <v>1338</v>
      </c>
      <c r="L426" t="s">
        <v>16</v>
      </c>
      <c r="M426" t="s">
        <v>19</v>
      </c>
      <c r="N426">
        <v>1173</v>
      </c>
      <c r="O426">
        <v>70</v>
      </c>
      <c r="P426">
        <v>0</v>
      </c>
      <c r="Q426" t="s">
        <v>775</v>
      </c>
      <c r="R426" t="s">
        <v>142</v>
      </c>
      <c r="S426" t="s">
        <v>776</v>
      </c>
      <c r="T426" t="s">
        <v>1368</v>
      </c>
      <c r="U426" t="s">
        <v>60</v>
      </c>
      <c r="V426" t="s">
        <v>61</v>
      </c>
      <c r="W426">
        <v>3</v>
      </c>
      <c r="X426">
        <v>9.5812499999999995E-2</v>
      </c>
      <c r="Y426" t="s">
        <v>105</v>
      </c>
      <c r="Z426" t="s">
        <v>144</v>
      </c>
      <c r="AA426">
        <v>0</v>
      </c>
      <c r="AB426" t="s">
        <v>1340</v>
      </c>
      <c r="AC426" t="s">
        <v>1341</v>
      </c>
      <c r="AD426" t="s">
        <v>1342</v>
      </c>
      <c r="AE426" t="s">
        <v>1343</v>
      </c>
      <c r="AF426" t="s">
        <v>1344</v>
      </c>
      <c r="AG426" t="s">
        <v>66</v>
      </c>
      <c r="AH426" t="s">
        <v>66</v>
      </c>
      <c r="AI426" t="s">
        <v>66</v>
      </c>
      <c r="AJ426" t="s">
        <v>66</v>
      </c>
      <c r="AK426">
        <v>1</v>
      </c>
      <c r="AL426" t="s">
        <v>66</v>
      </c>
      <c r="AM426" t="s">
        <v>66</v>
      </c>
      <c r="AN426" t="s">
        <v>66</v>
      </c>
      <c r="AO426" t="s">
        <v>66</v>
      </c>
      <c r="AP426">
        <v>1</v>
      </c>
      <c r="AQ426" t="s">
        <v>66</v>
      </c>
      <c r="AR426" t="s">
        <v>66</v>
      </c>
      <c r="AS426" t="s">
        <v>66</v>
      </c>
      <c r="AT426" t="s">
        <v>66</v>
      </c>
    </row>
    <row r="427" spans="1:46" x14ac:dyDescent="0.15">
      <c r="A427" t="s">
        <v>1369</v>
      </c>
      <c r="B427" t="s">
        <v>1334</v>
      </c>
      <c r="C427" t="s">
        <v>1335</v>
      </c>
      <c r="D427">
        <v>14</v>
      </c>
      <c r="E427" t="s">
        <v>1336</v>
      </c>
      <c r="F427" t="s">
        <v>718</v>
      </c>
      <c r="G427" t="s">
        <v>51</v>
      </c>
      <c r="H427" t="s">
        <v>1337</v>
      </c>
      <c r="I427" t="s">
        <v>53</v>
      </c>
      <c r="J427" t="s">
        <v>721</v>
      </c>
      <c r="K427" t="s">
        <v>1338</v>
      </c>
      <c r="L427" t="s">
        <v>16</v>
      </c>
      <c r="M427" t="s">
        <v>19</v>
      </c>
      <c r="N427">
        <v>1230</v>
      </c>
      <c r="O427">
        <v>73</v>
      </c>
      <c r="P427">
        <v>0</v>
      </c>
      <c r="Q427" t="s">
        <v>779</v>
      </c>
      <c r="R427" t="s">
        <v>148</v>
      </c>
      <c r="S427" t="s">
        <v>780</v>
      </c>
      <c r="T427" t="s">
        <v>1370</v>
      </c>
      <c r="U427" t="s">
        <v>60</v>
      </c>
      <c r="V427" t="s">
        <v>61</v>
      </c>
      <c r="W427">
        <v>3</v>
      </c>
      <c r="X427">
        <v>9.5812499999999995E-2</v>
      </c>
      <c r="Y427" t="s">
        <v>150</v>
      </c>
      <c r="Z427" t="s">
        <v>151</v>
      </c>
      <c r="AA427">
        <v>0</v>
      </c>
      <c r="AB427" t="s">
        <v>1340</v>
      </c>
      <c r="AC427" t="s">
        <v>1341</v>
      </c>
      <c r="AD427" t="s">
        <v>1342</v>
      </c>
      <c r="AE427" t="s">
        <v>1343</v>
      </c>
      <c r="AF427" t="s">
        <v>1344</v>
      </c>
      <c r="AG427" t="s">
        <v>66</v>
      </c>
      <c r="AH427" t="s">
        <v>66</v>
      </c>
      <c r="AI427" t="s">
        <v>66</v>
      </c>
      <c r="AJ427" t="s">
        <v>66</v>
      </c>
      <c r="AK427">
        <v>1</v>
      </c>
      <c r="AL427" t="s">
        <v>66</v>
      </c>
      <c r="AM427" t="s">
        <v>66</v>
      </c>
      <c r="AN427" t="s">
        <v>66</v>
      </c>
      <c r="AO427" t="s">
        <v>66</v>
      </c>
      <c r="AP427">
        <v>1</v>
      </c>
      <c r="AQ427" t="s">
        <v>66</v>
      </c>
      <c r="AR427" t="s">
        <v>66</v>
      </c>
      <c r="AS427" t="s">
        <v>66</v>
      </c>
      <c r="AT427" t="s">
        <v>66</v>
      </c>
    </row>
    <row r="428" spans="1:46" x14ac:dyDescent="0.15">
      <c r="A428" t="s">
        <v>1371</v>
      </c>
      <c r="B428" t="s">
        <v>1334</v>
      </c>
      <c r="C428" t="s">
        <v>1335</v>
      </c>
      <c r="D428">
        <v>15</v>
      </c>
      <c r="E428" t="s">
        <v>1336</v>
      </c>
      <c r="F428" t="s">
        <v>718</v>
      </c>
      <c r="G428" t="s">
        <v>51</v>
      </c>
      <c r="H428" t="s">
        <v>1337</v>
      </c>
      <c r="I428" t="s">
        <v>53</v>
      </c>
      <c r="J428" t="s">
        <v>721</v>
      </c>
      <c r="K428" t="s">
        <v>1338</v>
      </c>
      <c r="L428" t="s">
        <v>16</v>
      </c>
      <c r="M428" t="s">
        <v>19</v>
      </c>
      <c r="N428">
        <v>1286</v>
      </c>
      <c r="O428">
        <v>76</v>
      </c>
      <c r="P428">
        <v>0</v>
      </c>
      <c r="Q428" t="s">
        <v>783</v>
      </c>
      <c r="R428" t="s">
        <v>155</v>
      </c>
      <c r="S428" t="s">
        <v>784</v>
      </c>
      <c r="T428" t="s">
        <v>1372</v>
      </c>
      <c r="U428" t="s">
        <v>60</v>
      </c>
      <c r="V428" t="s">
        <v>61</v>
      </c>
      <c r="W428">
        <v>3</v>
      </c>
      <c r="X428">
        <v>9.5812499999999995E-2</v>
      </c>
      <c r="Y428" t="s">
        <v>112</v>
      </c>
      <c r="Z428" t="s">
        <v>157</v>
      </c>
      <c r="AA428">
        <v>0</v>
      </c>
      <c r="AB428" t="s">
        <v>1340</v>
      </c>
      <c r="AC428" t="s">
        <v>1341</v>
      </c>
      <c r="AD428" t="s">
        <v>1342</v>
      </c>
      <c r="AE428" t="s">
        <v>1343</v>
      </c>
      <c r="AF428" t="s">
        <v>1344</v>
      </c>
      <c r="AG428" t="s">
        <v>66</v>
      </c>
      <c r="AH428" t="s">
        <v>66</v>
      </c>
      <c r="AI428" t="s">
        <v>66</v>
      </c>
      <c r="AJ428" t="s">
        <v>66</v>
      </c>
      <c r="AK428">
        <v>1</v>
      </c>
      <c r="AL428" t="s">
        <v>66</v>
      </c>
      <c r="AM428" t="s">
        <v>66</v>
      </c>
      <c r="AN428" t="s">
        <v>66</v>
      </c>
      <c r="AO428" t="s">
        <v>66</v>
      </c>
      <c r="AP428">
        <v>1</v>
      </c>
      <c r="AQ428" t="s">
        <v>66</v>
      </c>
      <c r="AR428" t="s">
        <v>66</v>
      </c>
      <c r="AS428" t="s">
        <v>66</v>
      </c>
      <c r="AT428" t="s">
        <v>66</v>
      </c>
    </row>
    <row r="429" spans="1:46" x14ac:dyDescent="0.15">
      <c r="A429" t="s">
        <v>1373</v>
      </c>
      <c r="B429" t="s">
        <v>1334</v>
      </c>
      <c r="C429" t="s">
        <v>1335</v>
      </c>
      <c r="D429">
        <v>16</v>
      </c>
      <c r="E429" t="s">
        <v>1336</v>
      </c>
      <c r="F429" t="s">
        <v>718</v>
      </c>
      <c r="G429" t="s">
        <v>51</v>
      </c>
      <c r="H429" t="s">
        <v>1337</v>
      </c>
      <c r="I429" t="s">
        <v>53</v>
      </c>
      <c r="J429" t="s">
        <v>721</v>
      </c>
      <c r="K429" t="s">
        <v>1338</v>
      </c>
      <c r="L429" t="s">
        <v>16</v>
      </c>
      <c r="M429" t="s">
        <v>19</v>
      </c>
      <c r="N429">
        <v>1342</v>
      </c>
      <c r="O429">
        <v>79</v>
      </c>
      <c r="P429">
        <v>0</v>
      </c>
      <c r="Q429" t="s">
        <v>787</v>
      </c>
      <c r="R429" t="s">
        <v>161</v>
      </c>
      <c r="S429" t="s">
        <v>788</v>
      </c>
      <c r="T429" t="s">
        <v>1374</v>
      </c>
      <c r="U429" t="s">
        <v>60</v>
      </c>
      <c r="V429" t="s">
        <v>61</v>
      </c>
      <c r="W429">
        <v>3</v>
      </c>
      <c r="X429">
        <v>9.5812499999999995E-2</v>
      </c>
      <c r="Y429" t="s">
        <v>163</v>
      </c>
      <c r="Z429" t="s">
        <v>164</v>
      </c>
      <c r="AA429">
        <v>0</v>
      </c>
      <c r="AB429" t="s">
        <v>1340</v>
      </c>
      <c r="AC429" t="s">
        <v>1341</v>
      </c>
      <c r="AD429" t="s">
        <v>1342</v>
      </c>
      <c r="AE429" t="s">
        <v>1343</v>
      </c>
      <c r="AF429" t="s">
        <v>1344</v>
      </c>
      <c r="AG429" t="s">
        <v>66</v>
      </c>
      <c r="AH429" t="s">
        <v>66</v>
      </c>
      <c r="AI429" t="s">
        <v>66</v>
      </c>
      <c r="AJ429" t="s">
        <v>66</v>
      </c>
      <c r="AK429">
        <v>1</v>
      </c>
      <c r="AL429" t="s">
        <v>66</v>
      </c>
      <c r="AM429" t="s">
        <v>66</v>
      </c>
      <c r="AN429" t="s">
        <v>66</v>
      </c>
      <c r="AO429" t="s">
        <v>66</v>
      </c>
      <c r="AP429">
        <v>1</v>
      </c>
      <c r="AQ429" t="s">
        <v>66</v>
      </c>
      <c r="AR429" t="s">
        <v>66</v>
      </c>
      <c r="AS429" t="s">
        <v>66</v>
      </c>
      <c r="AT429" t="s">
        <v>66</v>
      </c>
    </row>
    <row r="430" spans="1:46" x14ac:dyDescent="0.15">
      <c r="A430" t="s">
        <v>1375</v>
      </c>
      <c r="B430" t="s">
        <v>1334</v>
      </c>
      <c r="C430" t="s">
        <v>1335</v>
      </c>
      <c r="D430">
        <v>17</v>
      </c>
      <c r="E430" t="s">
        <v>1336</v>
      </c>
      <c r="F430" t="s">
        <v>718</v>
      </c>
      <c r="G430" t="s">
        <v>51</v>
      </c>
      <c r="H430" t="s">
        <v>1337</v>
      </c>
      <c r="I430" t="s">
        <v>53</v>
      </c>
      <c r="J430" t="s">
        <v>721</v>
      </c>
      <c r="K430" t="s">
        <v>1338</v>
      </c>
      <c r="L430" t="s">
        <v>16</v>
      </c>
      <c r="M430" t="s">
        <v>19</v>
      </c>
      <c r="N430">
        <v>1398</v>
      </c>
      <c r="O430">
        <v>83</v>
      </c>
      <c r="P430">
        <v>0</v>
      </c>
      <c r="Q430" t="s">
        <v>791</v>
      </c>
      <c r="R430" t="s">
        <v>168</v>
      </c>
      <c r="S430" t="s">
        <v>792</v>
      </c>
      <c r="T430" t="s">
        <v>1376</v>
      </c>
      <c r="U430" t="s">
        <v>60</v>
      </c>
      <c r="V430" t="s">
        <v>61</v>
      </c>
      <c r="W430">
        <v>3</v>
      </c>
      <c r="X430">
        <v>9.5812499999999995E-2</v>
      </c>
      <c r="Y430" t="s">
        <v>118</v>
      </c>
      <c r="Z430" t="s">
        <v>170</v>
      </c>
      <c r="AA430">
        <v>0</v>
      </c>
      <c r="AB430" t="s">
        <v>1340</v>
      </c>
      <c r="AC430" t="s">
        <v>1341</v>
      </c>
      <c r="AD430" t="s">
        <v>1342</v>
      </c>
      <c r="AE430" t="s">
        <v>1343</v>
      </c>
      <c r="AF430" t="s">
        <v>1344</v>
      </c>
      <c r="AG430" t="s">
        <v>66</v>
      </c>
      <c r="AH430" t="s">
        <v>66</v>
      </c>
      <c r="AI430" t="s">
        <v>66</v>
      </c>
      <c r="AJ430" t="s">
        <v>66</v>
      </c>
      <c r="AK430">
        <v>1</v>
      </c>
      <c r="AL430" t="s">
        <v>66</v>
      </c>
      <c r="AM430" t="s">
        <v>66</v>
      </c>
      <c r="AN430" t="s">
        <v>66</v>
      </c>
      <c r="AO430" t="s">
        <v>66</v>
      </c>
      <c r="AP430">
        <v>1</v>
      </c>
      <c r="AQ430" t="s">
        <v>66</v>
      </c>
      <c r="AR430" t="s">
        <v>66</v>
      </c>
      <c r="AS430" t="s">
        <v>66</v>
      </c>
      <c r="AT430" t="s">
        <v>66</v>
      </c>
    </row>
    <row r="431" spans="1:46" x14ac:dyDescent="0.15">
      <c r="A431" t="s">
        <v>1377</v>
      </c>
      <c r="B431" t="s">
        <v>1334</v>
      </c>
      <c r="C431" t="s">
        <v>1335</v>
      </c>
      <c r="D431">
        <v>18</v>
      </c>
      <c r="E431" t="s">
        <v>1336</v>
      </c>
      <c r="F431" t="s">
        <v>718</v>
      </c>
      <c r="G431" t="s">
        <v>51</v>
      </c>
      <c r="H431" t="s">
        <v>1337</v>
      </c>
      <c r="I431" t="s">
        <v>53</v>
      </c>
      <c r="J431" t="s">
        <v>721</v>
      </c>
      <c r="K431" t="s">
        <v>1338</v>
      </c>
      <c r="L431" t="s">
        <v>16</v>
      </c>
      <c r="M431" t="s">
        <v>19</v>
      </c>
      <c r="N431">
        <v>1454</v>
      </c>
      <c r="O431">
        <v>86</v>
      </c>
      <c r="P431">
        <v>0</v>
      </c>
      <c r="Q431" t="s">
        <v>795</v>
      </c>
      <c r="R431" t="s">
        <v>174</v>
      </c>
      <c r="S431" t="s">
        <v>796</v>
      </c>
      <c r="T431" t="s">
        <v>1378</v>
      </c>
      <c r="U431" t="s">
        <v>60</v>
      </c>
      <c r="V431" t="s">
        <v>61</v>
      </c>
      <c r="W431">
        <v>3</v>
      </c>
      <c r="X431">
        <v>9.5812499999999995E-2</v>
      </c>
      <c r="Y431" t="s">
        <v>176</v>
      </c>
      <c r="Z431" t="s">
        <v>177</v>
      </c>
      <c r="AA431">
        <v>0</v>
      </c>
      <c r="AB431" t="s">
        <v>1340</v>
      </c>
      <c r="AC431" t="s">
        <v>1341</v>
      </c>
      <c r="AD431" t="s">
        <v>1342</v>
      </c>
      <c r="AE431" t="s">
        <v>1343</v>
      </c>
      <c r="AF431" t="s">
        <v>1344</v>
      </c>
      <c r="AG431" t="s">
        <v>66</v>
      </c>
      <c r="AH431" t="s">
        <v>66</v>
      </c>
      <c r="AI431" t="s">
        <v>66</v>
      </c>
      <c r="AJ431" t="s">
        <v>66</v>
      </c>
      <c r="AK431">
        <v>1</v>
      </c>
      <c r="AL431" t="s">
        <v>66</v>
      </c>
      <c r="AM431" t="s">
        <v>66</v>
      </c>
      <c r="AN431" t="s">
        <v>66</v>
      </c>
      <c r="AO431" t="s">
        <v>66</v>
      </c>
      <c r="AP431">
        <v>1</v>
      </c>
      <c r="AQ431" t="s">
        <v>66</v>
      </c>
      <c r="AR431" t="s">
        <v>66</v>
      </c>
      <c r="AS431" t="s">
        <v>66</v>
      </c>
      <c r="AT431" t="s">
        <v>66</v>
      </c>
    </row>
    <row r="432" spans="1:46" x14ac:dyDescent="0.15">
      <c r="A432" t="s">
        <v>1379</v>
      </c>
      <c r="B432" t="s">
        <v>1334</v>
      </c>
      <c r="C432" t="s">
        <v>1335</v>
      </c>
      <c r="D432">
        <v>19</v>
      </c>
      <c r="E432" t="s">
        <v>1336</v>
      </c>
      <c r="F432" t="s">
        <v>718</v>
      </c>
      <c r="G432" t="s">
        <v>51</v>
      </c>
      <c r="H432" t="s">
        <v>1337</v>
      </c>
      <c r="I432" t="s">
        <v>53</v>
      </c>
      <c r="J432" t="s">
        <v>721</v>
      </c>
      <c r="K432" t="s">
        <v>1338</v>
      </c>
      <c r="L432" t="s">
        <v>16</v>
      </c>
      <c r="M432" t="s">
        <v>19</v>
      </c>
      <c r="N432">
        <v>1510</v>
      </c>
      <c r="O432">
        <v>89</v>
      </c>
      <c r="P432">
        <v>0</v>
      </c>
      <c r="Q432" t="s">
        <v>799</v>
      </c>
      <c r="R432" t="s">
        <v>181</v>
      </c>
      <c r="S432" t="s">
        <v>800</v>
      </c>
      <c r="T432" t="s">
        <v>1380</v>
      </c>
      <c r="U432" t="s">
        <v>60</v>
      </c>
      <c r="V432" t="s">
        <v>61</v>
      </c>
      <c r="W432">
        <v>3</v>
      </c>
      <c r="X432">
        <v>9.5812499999999995E-2</v>
      </c>
      <c r="Y432" t="s">
        <v>125</v>
      </c>
      <c r="Z432" t="s">
        <v>183</v>
      </c>
      <c r="AA432">
        <v>0</v>
      </c>
      <c r="AB432" t="s">
        <v>1340</v>
      </c>
      <c r="AC432" t="s">
        <v>1341</v>
      </c>
      <c r="AD432" t="s">
        <v>1342</v>
      </c>
      <c r="AE432" t="s">
        <v>1343</v>
      </c>
      <c r="AF432" t="s">
        <v>1344</v>
      </c>
      <c r="AG432" t="s">
        <v>66</v>
      </c>
      <c r="AH432" t="s">
        <v>66</v>
      </c>
      <c r="AI432" t="s">
        <v>66</v>
      </c>
      <c r="AJ432" t="s">
        <v>66</v>
      </c>
      <c r="AK432">
        <v>1</v>
      </c>
      <c r="AL432" t="s">
        <v>66</v>
      </c>
      <c r="AM432" t="s">
        <v>66</v>
      </c>
      <c r="AN432" t="s">
        <v>66</v>
      </c>
      <c r="AO432" t="s">
        <v>66</v>
      </c>
      <c r="AP432">
        <v>1</v>
      </c>
      <c r="AQ432" t="s">
        <v>66</v>
      </c>
      <c r="AR432" t="s">
        <v>66</v>
      </c>
      <c r="AS432" t="s">
        <v>66</v>
      </c>
      <c r="AT432" t="s">
        <v>66</v>
      </c>
    </row>
    <row r="433" spans="1:46" x14ac:dyDescent="0.15">
      <c r="A433" t="s">
        <v>1381</v>
      </c>
      <c r="B433" t="s">
        <v>1334</v>
      </c>
      <c r="C433" t="s">
        <v>1335</v>
      </c>
      <c r="D433">
        <v>20</v>
      </c>
      <c r="E433" t="s">
        <v>1336</v>
      </c>
      <c r="F433" t="s">
        <v>718</v>
      </c>
      <c r="G433" t="s">
        <v>51</v>
      </c>
      <c r="H433" t="s">
        <v>1337</v>
      </c>
      <c r="I433" t="s">
        <v>53</v>
      </c>
      <c r="J433" t="s">
        <v>721</v>
      </c>
      <c r="K433" t="s">
        <v>1338</v>
      </c>
      <c r="L433" t="s">
        <v>16</v>
      </c>
      <c r="M433" t="s">
        <v>19</v>
      </c>
      <c r="N433">
        <v>1566</v>
      </c>
      <c r="O433">
        <v>93</v>
      </c>
      <c r="P433">
        <v>0</v>
      </c>
      <c r="Q433" t="s">
        <v>803</v>
      </c>
      <c r="R433" t="s">
        <v>187</v>
      </c>
      <c r="S433" t="s">
        <v>804</v>
      </c>
      <c r="T433" t="s">
        <v>1382</v>
      </c>
      <c r="U433" t="s">
        <v>60</v>
      </c>
      <c r="V433" t="s">
        <v>61</v>
      </c>
      <c r="W433">
        <v>3</v>
      </c>
      <c r="X433">
        <v>9.5812499999999995E-2</v>
      </c>
      <c r="Y433" t="s">
        <v>189</v>
      </c>
      <c r="Z433" t="s">
        <v>190</v>
      </c>
      <c r="AA433">
        <v>0</v>
      </c>
      <c r="AB433" t="s">
        <v>1340</v>
      </c>
      <c r="AC433" t="s">
        <v>1341</v>
      </c>
      <c r="AD433" t="s">
        <v>1342</v>
      </c>
      <c r="AE433" t="s">
        <v>1343</v>
      </c>
      <c r="AF433" t="s">
        <v>1344</v>
      </c>
      <c r="AG433" t="s">
        <v>66</v>
      </c>
      <c r="AH433" t="s">
        <v>66</v>
      </c>
      <c r="AI433" t="s">
        <v>66</v>
      </c>
      <c r="AJ433" t="s">
        <v>66</v>
      </c>
      <c r="AK433">
        <v>1</v>
      </c>
      <c r="AL433" t="s">
        <v>66</v>
      </c>
      <c r="AM433" t="s">
        <v>66</v>
      </c>
      <c r="AN433" t="s">
        <v>66</v>
      </c>
      <c r="AO433" t="s">
        <v>66</v>
      </c>
      <c r="AP433">
        <v>1</v>
      </c>
      <c r="AQ433" t="s">
        <v>66</v>
      </c>
      <c r="AR433" t="s">
        <v>66</v>
      </c>
      <c r="AS433" t="s">
        <v>66</v>
      </c>
      <c r="AT433" t="s">
        <v>66</v>
      </c>
    </row>
    <row r="434" spans="1:46" x14ac:dyDescent="0.15">
      <c r="A434" t="s">
        <v>1381</v>
      </c>
      <c r="B434" t="s">
        <v>1334</v>
      </c>
      <c r="C434" t="s">
        <v>1335</v>
      </c>
      <c r="D434">
        <v>20</v>
      </c>
      <c r="E434" t="s">
        <v>1336</v>
      </c>
      <c r="F434" t="s">
        <v>718</v>
      </c>
      <c r="G434" t="s">
        <v>51</v>
      </c>
      <c r="H434" t="s">
        <v>1337</v>
      </c>
      <c r="I434" t="s">
        <v>53</v>
      </c>
      <c r="J434" t="s">
        <v>721</v>
      </c>
      <c r="K434" t="s">
        <v>1338</v>
      </c>
      <c r="L434" t="s">
        <v>16</v>
      </c>
      <c r="M434" t="s">
        <v>19</v>
      </c>
      <c r="N434">
        <v>1566</v>
      </c>
      <c r="O434">
        <v>93</v>
      </c>
      <c r="P434">
        <v>0</v>
      </c>
      <c r="Q434" t="s">
        <v>803</v>
      </c>
      <c r="R434" t="s">
        <v>187</v>
      </c>
      <c r="S434" t="s">
        <v>804</v>
      </c>
      <c r="T434" t="s">
        <v>1382</v>
      </c>
      <c r="U434" t="s">
        <v>60</v>
      </c>
      <c r="V434" t="s">
        <v>61</v>
      </c>
      <c r="W434">
        <v>3</v>
      </c>
      <c r="X434">
        <v>9.5812499999999995E-2</v>
      </c>
      <c r="Y434" t="s">
        <v>189</v>
      </c>
      <c r="Z434" t="s">
        <v>190</v>
      </c>
      <c r="AA434">
        <v>1</v>
      </c>
      <c r="AB434" t="s">
        <v>1340</v>
      </c>
      <c r="AC434" t="s">
        <v>1341</v>
      </c>
      <c r="AD434" t="s">
        <v>1342</v>
      </c>
      <c r="AE434" t="s">
        <v>1343</v>
      </c>
      <c r="AF434" t="s">
        <v>1344</v>
      </c>
      <c r="AG434" t="s">
        <v>66</v>
      </c>
      <c r="AH434" t="s">
        <v>66</v>
      </c>
      <c r="AI434" t="s">
        <v>66</v>
      </c>
      <c r="AJ434" t="s">
        <v>66</v>
      </c>
      <c r="AK434">
        <v>1</v>
      </c>
      <c r="AL434" t="s">
        <v>66</v>
      </c>
      <c r="AM434" t="s">
        <v>66</v>
      </c>
      <c r="AN434" t="s">
        <v>66</v>
      </c>
      <c r="AO434" t="s">
        <v>66</v>
      </c>
      <c r="AP434">
        <v>1</v>
      </c>
      <c r="AQ434" t="s">
        <v>66</v>
      </c>
      <c r="AR434" t="s">
        <v>66</v>
      </c>
      <c r="AS434" t="s">
        <v>66</v>
      </c>
      <c r="AT434" t="s">
        <v>66</v>
      </c>
    </row>
    <row r="435" spans="1:46" x14ac:dyDescent="0.15">
      <c r="A435" t="s">
        <v>1383</v>
      </c>
      <c r="B435" t="s">
        <v>1334</v>
      </c>
      <c r="C435" t="s">
        <v>1335</v>
      </c>
      <c r="D435">
        <v>21</v>
      </c>
      <c r="E435" t="s">
        <v>1336</v>
      </c>
      <c r="F435" t="s">
        <v>718</v>
      </c>
      <c r="G435" t="s">
        <v>51</v>
      </c>
      <c r="H435" t="s">
        <v>1337</v>
      </c>
      <c r="I435" t="s">
        <v>53</v>
      </c>
      <c r="J435" t="s">
        <v>721</v>
      </c>
      <c r="K435" t="s">
        <v>1338</v>
      </c>
      <c r="L435" t="s">
        <v>16</v>
      </c>
      <c r="M435" t="s">
        <v>19</v>
      </c>
      <c r="N435">
        <v>1622</v>
      </c>
      <c r="O435">
        <v>96</v>
      </c>
      <c r="P435">
        <v>0</v>
      </c>
      <c r="Q435" t="s">
        <v>810</v>
      </c>
      <c r="R435" t="s">
        <v>195</v>
      </c>
      <c r="S435" t="s">
        <v>811</v>
      </c>
      <c r="T435" t="s">
        <v>1384</v>
      </c>
      <c r="U435" t="s">
        <v>60</v>
      </c>
      <c r="V435" t="s">
        <v>61</v>
      </c>
      <c r="W435">
        <v>3</v>
      </c>
      <c r="X435">
        <v>9.5812499999999995E-2</v>
      </c>
      <c r="Y435" t="s">
        <v>131</v>
      </c>
      <c r="Z435" t="s">
        <v>197</v>
      </c>
      <c r="AA435">
        <v>1</v>
      </c>
      <c r="AB435" t="s">
        <v>1340</v>
      </c>
      <c r="AC435" t="s">
        <v>1341</v>
      </c>
      <c r="AD435" t="s">
        <v>1342</v>
      </c>
      <c r="AE435" t="s">
        <v>1343</v>
      </c>
      <c r="AF435" t="s">
        <v>1344</v>
      </c>
      <c r="AG435" t="s">
        <v>66</v>
      </c>
      <c r="AH435" t="s">
        <v>66</v>
      </c>
      <c r="AI435" t="s">
        <v>66</v>
      </c>
      <c r="AJ435" t="s">
        <v>66</v>
      </c>
      <c r="AK435">
        <v>1</v>
      </c>
      <c r="AL435" t="s">
        <v>66</v>
      </c>
      <c r="AM435" t="s">
        <v>66</v>
      </c>
      <c r="AN435" t="s">
        <v>66</v>
      </c>
      <c r="AO435" t="s">
        <v>66</v>
      </c>
      <c r="AP435">
        <v>1</v>
      </c>
      <c r="AQ435" t="s">
        <v>66</v>
      </c>
      <c r="AR435" t="s">
        <v>66</v>
      </c>
      <c r="AS435" t="s">
        <v>66</v>
      </c>
      <c r="AT435" t="s">
        <v>66</v>
      </c>
    </row>
    <row r="436" spans="1:46" x14ac:dyDescent="0.15">
      <c r="A436" t="s">
        <v>1385</v>
      </c>
      <c r="B436" t="s">
        <v>1334</v>
      </c>
      <c r="C436" t="s">
        <v>1335</v>
      </c>
      <c r="D436">
        <v>22</v>
      </c>
      <c r="E436" t="s">
        <v>1336</v>
      </c>
      <c r="F436" t="s">
        <v>718</v>
      </c>
      <c r="G436" t="s">
        <v>51</v>
      </c>
      <c r="H436" t="s">
        <v>1337</v>
      </c>
      <c r="I436" t="s">
        <v>53</v>
      </c>
      <c r="J436" t="s">
        <v>721</v>
      </c>
      <c r="K436" t="s">
        <v>1338</v>
      </c>
      <c r="L436" t="s">
        <v>16</v>
      </c>
      <c r="M436" t="s">
        <v>19</v>
      </c>
      <c r="N436">
        <v>1679</v>
      </c>
      <c r="O436">
        <v>99</v>
      </c>
      <c r="P436">
        <v>0</v>
      </c>
      <c r="Q436" t="s">
        <v>814</v>
      </c>
      <c r="R436" t="s">
        <v>201</v>
      </c>
      <c r="S436" t="s">
        <v>815</v>
      </c>
      <c r="T436" t="s">
        <v>1386</v>
      </c>
      <c r="U436" t="s">
        <v>60</v>
      </c>
      <c r="V436" t="s">
        <v>61</v>
      </c>
      <c r="W436">
        <v>3</v>
      </c>
      <c r="X436">
        <v>9.5812499999999995E-2</v>
      </c>
      <c r="Y436" t="s">
        <v>203</v>
      </c>
      <c r="Z436" t="s">
        <v>204</v>
      </c>
      <c r="AA436">
        <v>1</v>
      </c>
      <c r="AB436" t="s">
        <v>1340</v>
      </c>
      <c r="AC436" t="s">
        <v>1341</v>
      </c>
      <c r="AD436" t="s">
        <v>1342</v>
      </c>
      <c r="AE436" t="s">
        <v>1343</v>
      </c>
      <c r="AF436" t="s">
        <v>1344</v>
      </c>
      <c r="AG436" t="s">
        <v>66</v>
      </c>
      <c r="AH436" t="s">
        <v>66</v>
      </c>
      <c r="AI436" t="s">
        <v>66</v>
      </c>
      <c r="AJ436" t="s">
        <v>66</v>
      </c>
      <c r="AK436">
        <v>1</v>
      </c>
      <c r="AL436" t="s">
        <v>66</v>
      </c>
      <c r="AM436" t="s">
        <v>66</v>
      </c>
      <c r="AN436" t="s">
        <v>66</v>
      </c>
      <c r="AO436" t="s">
        <v>66</v>
      </c>
      <c r="AP436">
        <v>1</v>
      </c>
      <c r="AQ436" t="s">
        <v>66</v>
      </c>
      <c r="AR436" t="s">
        <v>66</v>
      </c>
      <c r="AS436" t="s">
        <v>66</v>
      </c>
      <c r="AT436" t="s">
        <v>66</v>
      </c>
    </row>
    <row r="437" spans="1:46" x14ac:dyDescent="0.15">
      <c r="A437" t="s">
        <v>1387</v>
      </c>
      <c r="B437" t="s">
        <v>1334</v>
      </c>
      <c r="C437" t="s">
        <v>1335</v>
      </c>
      <c r="D437">
        <v>23</v>
      </c>
      <c r="E437" t="s">
        <v>1336</v>
      </c>
      <c r="F437" t="s">
        <v>718</v>
      </c>
      <c r="G437" t="s">
        <v>51</v>
      </c>
      <c r="H437" t="s">
        <v>1337</v>
      </c>
      <c r="I437" t="s">
        <v>53</v>
      </c>
      <c r="J437" t="s">
        <v>721</v>
      </c>
      <c r="K437" t="s">
        <v>1338</v>
      </c>
      <c r="L437" t="s">
        <v>16</v>
      </c>
      <c r="M437" t="s">
        <v>19</v>
      </c>
      <c r="N437">
        <v>1735</v>
      </c>
      <c r="O437">
        <v>103</v>
      </c>
      <c r="P437">
        <v>0</v>
      </c>
      <c r="Q437" t="s">
        <v>818</v>
      </c>
      <c r="R437" t="s">
        <v>208</v>
      </c>
      <c r="S437" t="s">
        <v>819</v>
      </c>
      <c r="T437" t="s">
        <v>1388</v>
      </c>
      <c r="U437" t="s">
        <v>60</v>
      </c>
      <c r="V437" t="s">
        <v>61</v>
      </c>
      <c r="W437">
        <v>3</v>
      </c>
      <c r="X437">
        <v>9.5812499999999995E-2</v>
      </c>
      <c r="Y437" t="s">
        <v>138</v>
      </c>
      <c r="Z437" t="s">
        <v>210</v>
      </c>
      <c r="AA437">
        <v>1</v>
      </c>
      <c r="AB437" t="s">
        <v>1340</v>
      </c>
      <c r="AC437" t="s">
        <v>1341</v>
      </c>
      <c r="AD437" t="s">
        <v>1342</v>
      </c>
      <c r="AE437" t="s">
        <v>1343</v>
      </c>
      <c r="AF437" t="s">
        <v>1344</v>
      </c>
      <c r="AG437" t="s">
        <v>66</v>
      </c>
      <c r="AH437" t="s">
        <v>66</v>
      </c>
      <c r="AI437" t="s">
        <v>66</v>
      </c>
      <c r="AJ437" t="s">
        <v>66</v>
      </c>
      <c r="AK437">
        <v>1</v>
      </c>
      <c r="AL437" t="s">
        <v>66</v>
      </c>
      <c r="AM437" t="s">
        <v>66</v>
      </c>
      <c r="AN437" t="s">
        <v>66</v>
      </c>
      <c r="AO437" t="s">
        <v>66</v>
      </c>
      <c r="AP437">
        <v>1</v>
      </c>
      <c r="AQ437" t="s">
        <v>66</v>
      </c>
      <c r="AR437" t="s">
        <v>66</v>
      </c>
      <c r="AS437" t="s">
        <v>66</v>
      </c>
      <c r="AT437" t="s">
        <v>66</v>
      </c>
    </row>
    <row r="438" spans="1:46" x14ac:dyDescent="0.15">
      <c r="A438" t="s">
        <v>1389</v>
      </c>
      <c r="B438" t="s">
        <v>1334</v>
      </c>
      <c r="C438" t="s">
        <v>1335</v>
      </c>
      <c r="D438">
        <v>24</v>
      </c>
      <c r="E438" t="s">
        <v>1336</v>
      </c>
      <c r="F438" t="s">
        <v>718</v>
      </c>
      <c r="G438" t="s">
        <v>51</v>
      </c>
      <c r="H438" t="s">
        <v>1337</v>
      </c>
      <c r="I438" t="s">
        <v>53</v>
      </c>
      <c r="J438" t="s">
        <v>721</v>
      </c>
      <c r="K438" t="s">
        <v>1338</v>
      </c>
      <c r="L438" t="s">
        <v>16</v>
      </c>
      <c r="M438" t="s">
        <v>19</v>
      </c>
      <c r="N438">
        <v>1791</v>
      </c>
      <c r="O438">
        <v>106</v>
      </c>
      <c r="P438">
        <v>0</v>
      </c>
      <c r="Q438" t="s">
        <v>822</v>
      </c>
      <c r="R438" t="s">
        <v>214</v>
      </c>
      <c r="S438" t="s">
        <v>823</v>
      </c>
      <c r="T438" t="s">
        <v>1390</v>
      </c>
      <c r="U438" t="s">
        <v>60</v>
      </c>
      <c r="V438" t="s">
        <v>61</v>
      </c>
      <c r="W438">
        <v>3</v>
      </c>
      <c r="X438">
        <v>9.5812499999999995E-2</v>
      </c>
      <c r="Y438" t="s">
        <v>216</v>
      </c>
      <c r="Z438" t="s">
        <v>217</v>
      </c>
      <c r="AA438">
        <v>1</v>
      </c>
      <c r="AB438" t="s">
        <v>1340</v>
      </c>
      <c r="AC438" t="s">
        <v>1341</v>
      </c>
      <c r="AD438" t="s">
        <v>1342</v>
      </c>
      <c r="AE438" t="s">
        <v>1343</v>
      </c>
      <c r="AF438" t="s">
        <v>1344</v>
      </c>
      <c r="AG438" t="s">
        <v>66</v>
      </c>
      <c r="AH438" t="s">
        <v>66</v>
      </c>
      <c r="AI438" t="s">
        <v>66</v>
      </c>
      <c r="AJ438" t="s">
        <v>66</v>
      </c>
      <c r="AK438">
        <v>1</v>
      </c>
      <c r="AL438" t="s">
        <v>66</v>
      </c>
      <c r="AM438" t="s">
        <v>66</v>
      </c>
      <c r="AN438" t="s">
        <v>66</v>
      </c>
      <c r="AO438" t="s">
        <v>66</v>
      </c>
      <c r="AP438">
        <v>1</v>
      </c>
      <c r="AQ438" t="s">
        <v>66</v>
      </c>
      <c r="AR438" t="s">
        <v>66</v>
      </c>
      <c r="AS438" t="s">
        <v>66</v>
      </c>
      <c r="AT438" t="s">
        <v>66</v>
      </c>
    </row>
    <row r="439" spans="1:46" x14ac:dyDescent="0.15">
      <c r="A439" t="s">
        <v>1391</v>
      </c>
      <c r="B439" t="s">
        <v>1334</v>
      </c>
      <c r="C439" t="s">
        <v>1335</v>
      </c>
      <c r="D439">
        <v>25</v>
      </c>
      <c r="E439" t="s">
        <v>1336</v>
      </c>
      <c r="F439" t="s">
        <v>718</v>
      </c>
      <c r="G439" t="s">
        <v>51</v>
      </c>
      <c r="H439" t="s">
        <v>1337</v>
      </c>
      <c r="I439" t="s">
        <v>53</v>
      </c>
      <c r="J439" t="s">
        <v>721</v>
      </c>
      <c r="K439" t="s">
        <v>1338</v>
      </c>
      <c r="L439" t="s">
        <v>16</v>
      </c>
      <c r="M439" t="s">
        <v>19</v>
      </c>
      <c r="N439">
        <v>1847</v>
      </c>
      <c r="O439">
        <v>109</v>
      </c>
      <c r="P439">
        <v>0</v>
      </c>
      <c r="Q439" t="s">
        <v>826</v>
      </c>
      <c r="R439" t="s">
        <v>221</v>
      </c>
      <c r="S439" t="s">
        <v>827</v>
      </c>
      <c r="T439" t="s">
        <v>1392</v>
      </c>
      <c r="U439" t="s">
        <v>60</v>
      </c>
      <c r="V439" t="s">
        <v>61</v>
      </c>
      <c r="W439">
        <v>3</v>
      </c>
      <c r="X439">
        <v>9.5812499999999995E-2</v>
      </c>
      <c r="Y439" t="s">
        <v>144</v>
      </c>
      <c r="Z439" t="s">
        <v>223</v>
      </c>
      <c r="AA439">
        <v>1</v>
      </c>
      <c r="AB439" t="s">
        <v>1340</v>
      </c>
      <c r="AC439" t="s">
        <v>1341</v>
      </c>
      <c r="AD439" t="s">
        <v>1342</v>
      </c>
      <c r="AE439" t="s">
        <v>1343</v>
      </c>
      <c r="AF439" t="s">
        <v>1344</v>
      </c>
      <c r="AG439" t="s">
        <v>66</v>
      </c>
      <c r="AH439" t="s">
        <v>66</v>
      </c>
      <c r="AI439" t="s">
        <v>66</v>
      </c>
      <c r="AJ439" t="s">
        <v>66</v>
      </c>
      <c r="AK439">
        <v>1</v>
      </c>
      <c r="AL439" t="s">
        <v>66</v>
      </c>
      <c r="AM439" t="s">
        <v>66</v>
      </c>
      <c r="AN439" t="s">
        <v>66</v>
      </c>
      <c r="AO439" t="s">
        <v>66</v>
      </c>
      <c r="AP439">
        <v>1</v>
      </c>
      <c r="AQ439" t="s">
        <v>66</v>
      </c>
      <c r="AR439" t="s">
        <v>66</v>
      </c>
      <c r="AS439" t="s">
        <v>66</v>
      </c>
      <c r="AT439" t="s">
        <v>66</v>
      </c>
    </row>
    <row r="440" spans="1:46" x14ac:dyDescent="0.15">
      <c r="A440" t="s">
        <v>1393</v>
      </c>
      <c r="B440" t="s">
        <v>1334</v>
      </c>
      <c r="C440" t="s">
        <v>1335</v>
      </c>
      <c r="D440">
        <v>26</v>
      </c>
      <c r="E440" t="s">
        <v>1336</v>
      </c>
      <c r="F440" t="s">
        <v>718</v>
      </c>
      <c r="G440" t="s">
        <v>51</v>
      </c>
      <c r="H440" t="s">
        <v>1337</v>
      </c>
      <c r="I440" t="s">
        <v>53</v>
      </c>
      <c r="J440" t="s">
        <v>721</v>
      </c>
      <c r="K440" t="s">
        <v>1338</v>
      </c>
      <c r="L440" t="s">
        <v>16</v>
      </c>
      <c r="M440" t="s">
        <v>19</v>
      </c>
      <c r="N440">
        <v>1903</v>
      </c>
      <c r="O440">
        <v>112</v>
      </c>
      <c r="P440">
        <v>0</v>
      </c>
      <c r="Q440" t="s">
        <v>830</v>
      </c>
      <c r="R440" t="s">
        <v>227</v>
      </c>
      <c r="S440" t="s">
        <v>831</v>
      </c>
      <c r="T440" t="s">
        <v>1394</v>
      </c>
      <c r="U440" t="s">
        <v>60</v>
      </c>
      <c r="V440" t="s">
        <v>61</v>
      </c>
      <c r="W440">
        <v>3</v>
      </c>
      <c r="X440">
        <v>9.5812499999999995E-2</v>
      </c>
      <c r="Y440" t="s">
        <v>229</v>
      </c>
      <c r="Z440" t="s">
        <v>230</v>
      </c>
      <c r="AA440">
        <v>1</v>
      </c>
      <c r="AB440" t="s">
        <v>1340</v>
      </c>
      <c r="AC440" t="s">
        <v>1341</v>
      </c>
      <c r="AD440" t="s">
        <v>1342</v>
      </c>
      <c r="AE440" t="s">
        <v>1343</v>
      </c>
      <c r="AF440" t="s">
        <v>1344</v>
      </c>
      <c r="AG440" t="s">
        <v>66</v>
      </c>
      <c r="AH440" t="s">
        <v>66</v>
      </c>
      <c r="AI440" t="s">
        <v>66</v>
      </c>
      <c r="AJ440" t="s">
        <v>66</v>
      </c>
      <c r="AK440">
        <v>1</v>
      </c>
      <c r="AL440" t="s">
        <v>66</v>
      </c>
      <c r="AM440" t="s">
        <v>66</v>
      </c>
      <c r="AN440" t="s">
        <v>66</v>
      </c>
      <c r="AO440" t="s">
        <v>66</v>
      </c>
      <c r="AP440">
        <v>1</v>
      </c>
      <c r="AQ440" t="s">
        <v>66</v>
      </c>
      <c r="AR440" t="s">
        <v>66</v>
      </c>
      <c r="AS440" t="s">
        <v>66</v>
      </c>
      <c r="AT440" t="s">
        <v>66</v>
      </c>
    </row>
    <row r="441" spans="1:46" x14ac:dyDescent="0.15">
      <c r="A441" t="s">
        <v>1395</v>
      </c>
      <c r="B441" t="s">
        <v>1334</v>
      </c>
      <c r="C441" t="s">
        <v>1335</v>
      </c>
      <c r="D441">
        <v>27</v>
      </c>
      <c r="E441" t="s">
        <v>1336</v>
      </c>
      <c r="F441" t="s">
        <v>718</v>
      </c>
      <c r="G441" t="s">
        <v>51</v>
      </c>
      <c r="H441" t="s">
        <v>1337</v>
      </c>
      <c r="I441" t="s">
        <v>53</v>
      </c>
      <c r="J441" t="s">
        <v>721</v>
      </c>
      <c r="K441" t="s">
        <v>1338</v>
      </c>
      <c r="L441" t="s">
        <v>16</v>
      </c>
      <c r="M441" t="s">
        <v>19</v>
      </c>
      <c r="N441">
        <v>1959</v>
      </c>
      <c r="O441">
        <v>116</v>
      </c>
      <c r="P441">
        <v>0</v>
      </c>
      <c r="Q441" t="s">
        <v>834</v>
      </c>
      <c r="R441" t="s">
        <v>234</v>
      </c>
      <c r="S441" t="s">
        <v>835</v>
      </c>
      <c r="T441" t="s">
        <v>1396</v>
      </c>
      <c r="U441" t="s">
        <v>60</v>
      </c>
      <c r="V441" t="s">
        <v>61</v>
      </c>
      <c r="W441">
        <v>3</v>
      </c>
      <c r="X441">
        <v>9.5812499999999995E-2</v>
      </c>
      <c r="Y441" t="s">
        <v>151</v>
      </c>
      <c r="Z441" t="s">
        <v>236</v>
      </c>
      <c r="AA441">
        <v>1</v>
      </c>
      <c r="AB441" t="s">
        <v>1340</v>
      </c>
      <c r="AC441" t="s">
        <v>1341</v>
      </c>
      <c r="AD441" t="s">
        <v>1342</v>
      </c>
      <c r="AE441" t="s">
        <v>1343</v>
      </c>
      <c r="AF441" t="s">
        <v>1344</v>
      </c>
      <c r="AG441" t="s">
        <v>66</v>
      </c>
      <c r="AH441" t="s">
        <v>66</v>
      </c>
      <c r="AI441" t="s">
        <v>66</v>
      </c>
      <c r="AJ441" t="s">
        <v>66</v>
      </c>
      <c r="AK441">
        <v>1</v>
      </c>
      <c r="AL441" t="s">
        <v>66</v>
      </c>
      <c r="AM441" t="s">
        <v>66</v>
      </c>
      <c r="AN441" t="s">
        <v>66</v>
      </c>
      <c r="AO441" t="s">
        <v>66</v>
      </c>
      <c r="AP441">
        <v>1</v>
      </c>
      <c r="AQ441" t="s">
        <v>66</v>
      </c>
      <c r="AR441" t="s">
        <v>66</v>
      </c>
      <c r="AS441" t="s">
        <v>66</v>
      </c>
      <c r="AT441" t="s">
        <v>66</v>
      </c>
    </row>
    <row r="442" spans="1:46" x14ac:dyDescent="0.15">
      <c r="A442" t="s">
        <v>1397</v>
      </c>
      <c r="B442" t="s">
        <v>1334</v>
      </c>
      <c r="C442" t="s">
        <v>1335</v>
      </c>
      <c r="D442">
        <v>28</v>
      </c>
      <c r="E442" t="s">
        <v>1336</v>
      </c>
      <c r="F442" t="s">
        <v>718</v>
      </c>
      <c r="G442" t="s">
        <v>51</v>
      </c>
      <c r="H442" t="s">
        <v>1337</v>
      </c>
      <c r="I442" t="s">
        <v>53</v>
      </c>
      <c r="J442" t="s">
        <v>721</v>
      </c>
      <c r="K442" t="s">
        <v>1338</v>
      </c>
      <c r="L442" t="s">
        <v>16</v>
      </c>
      <c r="M442" t="s">
        <v>19</v>
      </c>
      <c r="N442">
        <v>2015</v>
      </c>
      <c r="O442">
        <v>119</v>
      </c>
      <c r="P442">
        <v>0</v>
      </c>
      <c r="Q442" t="s">
        <v>838</v>
      </c>
      <c r="R442" t="s">
        <v>240</v>
      </c>
      <c r="S442" t="s">
        <v>839</v>
      </c>
      <c r="T442" t="s">
        <v>1398</v>
      </c>
      <c r="U442" t="s">
        <v>60</v>
      </c>
      <c r="V442" t="s">
        <v>61</v>
      </c>
      <c r="W442">
        <v>3</v>
      </c>
      <c r="X442">
        <v>9.5812499999999995E-2</v>
      </c>
      <c r="Y442" t="s">
        <v>242</v>
      </c>
      <c r="Z442" t="s">
        <v>243</v>
      </c>
      <c r="AA442">
        <v>1</v>
      </c>
      <c r="AB442" t="s">
        <v>1340</v>
      </c>
      <c r="AC442" t="s">
        <v>1341</v>
      </c>
      <c r="AD442" t="s">
        <v>1342</v>
      </c>
      <c r="AE442" t="s">
        <v>1343</v>
      </c>
      <c r="AF442" t="s">
        <v>1344</v>
      </c>
      <c r="AG442" t="s">
        <v>66</v>
      </c>
      <c r="AH442" t="s">
        <v>66</v>
      </c>
      <c r="AI442" t="s">
        <v>66</v>
      </c>
      <c r="AJ442" t="s">
        <v>66</v>
      </c>
      <c r="AK442">
        <v>1</v>
      </c>
      <c r="AL442" t="s">
        <v>66</v>
      </c>
      <c r="AM442" t="s">
        <v>66</v>
      </c>
      <c r="AN442" t="s">
        <v>66</v>
      </c>
      <c r="AO442" t="s">
        <v>66</v>
      </c>
      <c r="AP442">
        <v>1</v>
      </c>
      <c r="AQ442" t="s">
        <v>66</v>
      </c>
      <c r="AR442" t="s">
        <v>66</v>
      </c>
      <c r="AS442" t="s">
        <v>66</v>
      </c>
      <c r="AT442" t="s">
        <v>66</v>
      </c>
    </row>
    <row r="443" spans="1:46" x14ac:dyDescent="0.15">
      <c r="A443" t="s">
        <v>1399</v>
      </c>
      <c r="B443" t="s">
        <v>1334</v>
      </c>
      <c r="C443" t="s">
        <v>1335</v>
      </c>
      <c r="D443">
        <v>29</v>
      </c>
      <c r="E443" t="s">
        <v>1336</v>
      </c>
      <c r="F443" t="s">
        <v>718</v>
      </c>
      <c r="G443" t="s">
        <v>51</v>
      </c>
      <c r="H443" t="s">
        <v>1337</v>
      </c>
      <c r="I443" t="s">
        <v>53</v>
      </c>
      <c r="J443" t="s">
        <v>721</v>
      </c>
      <c r="K443" t="s">
        <v>1338</v>
      </c>
      <c r="L443" t="s">
        <v>16</v>
      </c>
      <c r="M443" t="s">
        <v>19</v>
      </c>
      <c r="N443">
        <v>2071</v>
      </c>
      <c r="O443">
        <v>122</v>
      </c>
      <c r="P443">
        <v>0</v>
      </c>
      <c r="Q443" t="s">
        <v>842</v>
      </c>
      <c r="R443" t="s">
        <v>247</v>
      </c>
      <c r="S443" t="s">
        <v>843</v>
      </c>
      <c r="T443" t="s">
        <v>1400</v>
      </c>
      <c r="U443" t="s">
        <v>60</v>
      </c>
      <c r="V443" t="s">
        <v>61</v>
      </c>
      <c r="W443">
        <v>3</v>
      </c>
      <c r="X443">
        <v>9.5812499999999995E-2</v>
      </c>
      <c r="Y443" t="s">
        <v>157</v>
      </c>
      <c r="Z443" t="s">
        <v>249</v>
      </c>
      <c r="AA443">
        <v>1</v>
      </c>
      <c r="AB443" t="s">
        <v>1340</v>
      </c>
      <c r="AC443" t="s">
        <v>1341</v>
      </c>
      <c r="AD443" t="s">
        <v>1342</v>
      </c>
      <c r="AE443" t="s">
        <v>1343</v>
      </c>
      <c r="AF443" t="s">
        <v>1344</v>
      </c>
      <c r="AG443" t="s">
        <v>66</v>
      </c>
      <c r="AH443" t="s">
        <v>66</v>
      </c>
      <c r="AI443" t="s">
        <v>66</v>
      </c>
      <c r="AJ443" t="s">
        <v>66</v>
      </c>
      <c r="AK443">
        <v>1</v>
      </c>
      <c r="AL443" t="s">
        <v>66</v>
      </c>
      <c r="AM443" t="s">
        <v>66</v>
      </c>
      <c r="AN443" t="s">
        <v>66</v>
      </c>
      <c r="AO443" t="s">
        <v>66</v>
      </c>
      <c r="AP443">
        <v>1</v>
      </c>
      <c r="AQ443" t="s">
        <v>66</v>
      </c>
      <c r="AR443" t="s">
        <v>66</v>
      </c>
      <c r="AS443" t="s">
        <v>66</v>
      </c>
      <c r="AT443" t="s">
        <v>66</v>
      </c>
    </row>
    <row r="444" spans="1:46" x14ac:dyDescent="0.15">
      <c r="A444" t="s">
        <v>1401</v>
      </c>
      <c r="B444" t="s">
        <v>1334</v>
      </c>
      <c r="C444" t="s">
        <v>1335</v>
      </c>
      <c r="D444">
        <v>30</v>
      </c>
      <c r="E444" t="s">
        <v>1336</v>
      </c>
      <c r="F444" t="s">
        <v>718</v>
      </c>
      <c r="G444" t="s">
        <v>51</v>
      </c>
      <c r="H444" t="s">
        <v>1337</v>
      </c>
      <c r="I444" t="s">
        <v>53</v>
      </c>
      <c r="J444" t="s">
        <v>721</v>
      </c>
      <c r="K444" t="s">
        <v>1338</v>
      </c>
      <c r="L444" t="s">
        <v>16</v>
      </c>
      <c r="M444" t="s">
        <v>19</v>
      </c>
      <c r="N444">
        <v>2128</v>
      </c>
      <c r="O444">
        <v>126</v>
      </c>
      <c r="P444">
        <v>0</v>
      </c>
      <c r="Q444" t="s">
        <v>846</v>
      </c>
      <c r="R444" t="s">
        <v>253</v>
      </c>
      <c r="S444" t="s">
        <v>847</v>
      </c>
      <c r="T444" t="s">
        <v>1402</v>
      </c>
      <c r="U444" t="s">
        <v>60</v>
      </c>
      <c r="V444" t="s">
        <v>61</v>
      </c>
      <c r="W444">
        <v>3</v>
      </c>
      <c r="X444">
        <v>9.5812499999999995E-2</v>
      </c>
      <c r="Y444" t="s">
        <v>255</v>
      </c>
      <c r="Z444" t="s">
        <v>256</v>
      </c>
      <c r="AA444">
        <v>1</v>
      </c>
      <c r="AB444" t="s">
        <v>1340</v>
      </c>
      <c r="AC444" t="s">
        <v>1341</v>
      </c>
      <c r="AD444" t="s">
        <v>1342</v>
      </c>
      <c r="AE444" t="s">
        <v>1343</v>
      </c>
      <c r="AF444" t="s">
        <v>1344</v>
      </c>
      <c r="AG444" t="s">
        <v>66</v>
      </c>
      <c r="AH444" t="s">
        <v>66</v>
      </c>
      <c r="AI444" t="s">
        <v>66</v>
      </c>
      <c r="AJ444" t="s">
        <v>66</v>
      </c>
      <c r="AK444">
        <v>1</v>
      </c>
      <c r="AL444" t="s">
        <v>66</v>
      </c>
      <c r="AM444" t="s">
        <v>66</v>
      </c>
      <c r="AN444" t="s">
        <v>66</v>
      </c>
      <c r="AO444" t="s">
        <v>66</v>
      </c>
      <c r="AP444">
        <v>1</v>
      </c>
      <c r="AQ444" t="s">
        <v>66</v>
      </c>
      <c r="AR444" t="s">
        <v>66</v>
      </c>
      <c r="AS444" t="s">
        <v>66</v>
      </c>
      <c r="AT444" t="s">
        <v>66</v>
      </c>
    </row>
    <row r="445" spans="1:46" x14ac:dyDescent="0.15">
      <c r="A445" t="s">
        <v>1403</v>
      </c>
      <c r="B445" t="s">
        <v>1334</v>
      </c>
      <c r="C445" t="s">
        <v>1335</v>
      </c>
      <c r="D445">
        <v>31</v>
      </c>
      <c r="E445" t="s">
        <v>1336</v>
      </c>
      <c r="F445" t="s">
        <v>718</v>
      </c>
      <c r="G445" t="s">
        <v>51</v>
      </c>
      <c r="H445" t="s">
        <v>1337</v>
      </c>
      <c r="I445" t="s">
        <v>53</v>
      </c>
      <c r="J445" t="s">
        <v>721</v>
      </c>
      <c r="K445" t="s">
        <v>1338</v>
      </c>
      <c r="L445" t="s">
        <v>16</v>
      </c>
      <c r="M445" t="s">
        <v>19</v>
      </c>
      <c r="N445">
        <v>2184</v>
      </c>
      <c r="O445">
        <v>129</v>
      </c>
      <c r="P445">
        <v>0</v>
      </c>
      <c r="Q445" t="s">
        <v>850</v>
      </c>
      <c r="R445" t="s">
        <v>260</v>
      </c>
      <c r="S445" t="s">
        <v>851</v>
      </c>
      <c r="T445" t="s">
        <v>1404</v>
      </c>
      <c r="U445" t="s">
        <v>60</v>
      </c>
      <c r="V445" t="s">
        <v>61</v>
      </c>
      <c r="W445">
        <v>3</v>
      </c>
      <c r="X445">
        <v>9.5812499999999995E-2</v>
      </c>
      <c r="Y445" t="s">
        <v>164</v>
      </c>
      <c r="Z445" t="s">
        <v>262</v>
      </c>
      <c r="AA445">
        <v>1</v>
      </c>
      <c r="AB445" t="s">
        <v>1340</v>
      </c>
      <c r="AC445" t="s">
        <v>1341</v>
      </c>
      <c r="AD445" t="s">
        <v>1342</v>
      </c>
      <c r="AE445" t="s">
        <v>1343</v>
      </c>
      <c r="AF445" t="s">
        <v>1344</v>
      </c>
      <c r="AG445" t="s">
        <v>66</v>
      </c>
      <c r="AH445" t="s">
        <v>66</v>
      </c>
      <c r="AI445" t="s">
        <v>66</v>
      </c>
      <c r="AJ445" t="s">
        <v>66</v>
      </c>
      <c r="AK445">
        <v>1</v>
      </c>
      <c r="AL445" t="s">
        <v>66</v>
      </c>
      <c r="AM445" t="s">
        <v>66</v>
      </c>
      <c r="AN445" t="s">
        <v>66</v>
      </c>
      <c r="AO445" t="s">
        <v>66</v>
      </c>
      <c r="AP445">
        <v>1</v>
      </c>
      <c r="AQ445" t="s">
        <v>66</v>
      </c>
      <c r="AR445" t="s">
        <v>66</v>
      </c>
      <c r="AS445" t="s">
        <v>66</v>
      </c>
      <c r="AT445" t="s">
        <v>66</v>
      </c>
    </row>
    <row r="446" spans="1:46" x14ac:dyDescent="0.15">
      <c r="A446" t="s">
        <v>1405</v>
      </c>
      <c r="B446" t="s">
        <v>1334</v>
      </c>
      <c r="C446" t="s">
        <v>1335</v>
      </c>
      <c r="D446">
        <v>32</v>
      </c>
      <c r="E446" t="s">
        <v>1336</v>
      </c>
      <c r="F446" t="s">
        <v>718</v>
      </c>
      <c r="G446" t="s">
        <v>51</v>
      </c>
      <c r="H446" t="s">
        <v>1337</v>
      </c>
      <c r="I446" t="s">
        <v>53</v>
      </c>
      <c r="J446" t="s">
        <v>721</v>
      </c>
      <c r="K446" t="s">
        <v>1338</v>
      </c>
      <c r="L446" t="s">
        <v>16</v>
      </c>
      <c r="M446" t="s">
        <v>19</v>
      </c>
      <c r="N446">
        <v>2240</v>
      </c>
      <c r="O446">
        <v>132</v>
      </c>
      <c r="P446">
        <v>0</v>
      </c>
      <c r="Q446" t="s">
        <v>854</v>
      </c>
      <c r="R446" t="s">
        <v>266</v>
      </c>
      <c r="S446" t="s">
        <v>855</v>
      </c>
      <c r="T446" t="s">
        <v>1406</v>
      </c>
      <c r="U446" t="s">
        <v>60</v>
      </c>
      <c r="V446" t="s">
        <v>61</v>
      </c>
      <c r="W446">
        <v>3</v>
      </c>
      <c r="X446">
        <v>9.5812499999999995E-2</v>
      </c>
      <c r="Y446" t="s">
        <v>268</v>
      </c>
      <c r="Z446" t="s">
        <v>269</v>
      </c>
      <c r="AA446">
        <v>1</v>
      </c>
      <c r="AB446" t="s">
        <v>1340</v>
      </c>
      <c r="AC446" t="s">
        <v>1341</v>
      </c>
      <c r="AD446" t="s">
        <v>1342</v>
      </c>
      <c r="AE446" t="s">
        <v>1343</v>
      </c>
      <c r="AF446" t="s">
        <v>1344</v>
      </c>
      <c r="AG446" t="s">
        <v>66</v>
      </c>
      <c r="AH446" t="s">
        <v>66</v>
      </c>
      <c r="AI446" t="s">
        <v>66</v>
      </c>
      <c r="AJ446" t="s">
        <v>66</v>
      </c>
      <c r="AK446">
        <v>1</v>
      </c>
      <c r="AL446" t="s">
        <v>66</v>
      </c>
      <c r="AM446" t="s">
        <v>66</v>
      </c>
      <c r="AN446" t="s">
        <v>66</v>
      </c>
      <c r="AO446" t="s">
        <v>66</v>
      </c>
      <c r="AP446">
        <v>1</v>
      </c>
      <c r="AQ446" t="s">
        <v>66</v>
      </c>
      <c r="AR446" t="s">
        <v>66</v>
      </c>
      <c r="AS446" t="s">
        <v>66</v>
      </c>
      <c r="AT446" t="s">
        <v>66</v>
      </c>
    </row>
    <row r="447" spans="1:46" x14ac:dyDescent="0.15">
      <c r="A447" t="s">
        <v>1407</v>
      </c>
      <c r="B447" t="s">
        <v>1334</v>
      </c>
      <c r="C447" t="s">
        <v>1335</v>
      </c>
      <c r="D447">
        <v>33</v>
      </c>
      <c r="E447" t="s">
        <v>1336</v>
      </c>
      <c r="F447" t="s">
        <v>718</v>
      </c>
      <c r="G447" t="s">
        <v>51</v>
      </c>
      <c r="H447" t="s">
        <v>1337</v>
      </c>
      <c r="I447" t="s">
        <v>53</v>
      </c>
      <c r="J447" t="s">
        <v>721</v>
      </c>
      <c r="K447" t="s">
        <v>1338</v>
      </c>
      <c r="L447" t="s">
        <v>16</v>
      </c>
      <c r="M447" t="s">
        <v>19</v>
      </c>
      <c r="N447">
        <v>2296</v>
      </c>
      <c r="O447">
        <v>136</v>
      </c>
      <c r="P447">
        <v>0</v>
      </c>
      <c r="Q447" t="s">
        <v>858</v>
      </c>
      <c r="R447" t="s">
        <v>273</v>
      </c>
      <c r="S447" t="s">
        <v>859</v>
      </c>
      <c r="T447" t="s">
        <v>1408</v>
      </c>
      <c r="U447" t="s">
        <v>60</v>
      </c>
      <c r="V447" t="s">
        <v>61</v>
      </c>
      <c r="W447">
        <v>3</v>
      </c>
      <c r="X447">
        <v>9.5812499999999995E-2</v>
      </c>
      <c r="Y447" t="s">
        <v>170</v>
      </c>
      <c r="Z447" t="s">
        <v>275</v>
      </c>
      <c r="AA447">
        <v>1</v>
      </c>
      <c r="AB447" t="s">
        <v>1340</v>
      </c>
      <c r="AC447" t="s">
        <v>1341</v>
      </c>
      <c r="AD447" t="s">
        <v>1342</v>
      </c>
      <c r="AE447" t="s">
        <v>1343</v>
      </c>
      <c r="AF447" t="s">
        <v>1344</v>
      </c>
      <c r="AG447" t="s">
        <v>66</v>
      </c>
      <c r="AH447" t="s">
        <v>66</v>
      </c>
      <c r="AI447" t="s">
        <v>66</v>
      </c>
      <c r="AJ447" t="s">
        <v>66</v>
      </c>
      <c r="AK447">
        <v>1</v>
      </c>
      <c r="AL447" t="s">
        <v>66</v>
      </c>
      <c r="AM447" t="s">
        <v>66</v>
      </c>
      <c r="AN447" t="s">
        <v>66</v>
      </c>
      <c r="AO447" t="s">
        <v>66</v>
      </c>
      <c r="AP447">
        <v>1</v>
      </c>
      <c r="AQ447" t="s">
        <v>66</v>
      </c>
      <c r="AR447" t="s">
        <v>66</v>
      </c>
      <c r="AS447" t="s">
        <v>66</v>
      </c>
      <c r="AT447" t="s">
        <v>66</v>
      </c>
    </row>
    <row r="448" spans="1:46" x14ac:dyDescent="0.15">
      <c r="A448" t="s">
        <v>1409</v>
      </c>
      <c r="B448" t="s">
        <v>1334</v>
      </c>
      <c r="C448" t="s">
        <v>1335</v>
      </c>
      <c r="D448">
        <v>34</v>
      </c>
      <c r="E448" t="s">
        <v>1336</v>
      </c>
      <c r="F448" t="s">
        <v>718</v>
      </c>
      <c r="G448" t="s">
        <v>51</v>
      </c>
      <c r="H448" t="s">
        <v>1337</v>
      </c>
      <c r="I448" t="s">
        <v>53</v>
      </c>
      <c r="J448" t="s">
        <v>721</v>
      </c>
      <c r="K448" t="s">
        <v>1338</v>
      </c>
      <c r="L448" t="s">
        <v>16</v>
      </c>
      <c r="M448" t="s">
        <v>19</v>
      </c>
      <c r="N448">
        <v>2352</v>
      </c>
      <c r="O448">
        <v>139</v>
      </c>
      <c r="P448">
        <v>0</v>
      </c>
      <c r="Q448" t="s">
        <v>862</v>
      </c>
      <c r="R448" t="s">
        <v>279</v>
      </c>
      <c r="S448" t="s">
        <v>863</v>
      </c>
      <c r="T448" t="s">
        <v>1410</v>
      </c>
      <c r="U448" t="s">
        <v>60</v>
      </c>
      <c r="V448" t="s">
        <v>61</v>
      </c>
      <c r="W448">
        <v>3</v>
      </c>
      <c r="X448">
        <v>9.5812499999999995E-2</v>
      </c>
      <c r="Y448" t="s">
        <v>281</v>
      </c>
      <c r="Z448" t="s">
        <v>282</v>
      </c>
      <c r="AA448">
        <v>1</v>
      </c>
      <c r="AB448" t="s">
        <v>1340</v>
      </c>
      <c r="AC448" t="s">
        <v>1341</v>
      </c>
      <c r="AD448" t="s">
        <v>1342</v>
      </c>
      <c r="AE448" t="s">
        <v>1343</v>
      </c>
      <c r="AF448" t="s">
        <v>1344</v>
      </c>
      <c r="AG448" t="s">
        <v>66</v>
      </c>
      <c r="AH448" t="s">
        <v>66</v>
      </c>
      <c r="AI448" t="s">
        <v>66</v>
      </c>
      <c r="AJ448" t="s">
        <v>66</v>
      </c>
      <c r="AK448">
        <v>1</v>
      </c>
      <c r="AL448" t="s">
        <v>66</v>
      </c>
      <c r="AM448" t="s">
        <v>66</v>
      </c>
      <c r="AN448" t="s">
        <v>66</v>
      </c>
      <c r="AO448" t="s">
        <v>66</v>
      </c>
      <c r="AP448">
        <v>1</v>
      </c>
      <c r="AQ448" t="s">
        <v>66</v>
      </c>
      <c r="AR448" t="s">
        <v>66</v>
      </c>
      <c r="AS448" t="s">
        <v>66</v>
      </c>
      <c r="AT448" t="s">
        <v>66</v>
      </c>
    </row>
    <row r="449" spans="1:46" x14ac:dyDescent="0.15">
      <c r="A449" t="s">
        <v>1411</v>
      </c>
      <c r="B449" t="s">
        <v>1334</v>
      </c>
      <c r="C449" t="s">
        <v>1335</v>
      </c>
      <c r="D449">
        <v>35</v>
      </c>
      <c r="E449" t="s">
        <v>1336</v>
      </c>
      <c r="F449" t="s">
        <v>718</v>
      </c>
      <c r="G449" t="s">
        <v>51</v>
      </c>
      <c r="H449" t="s">
        <v>1337</v>
      </c>
      <c r="I449" t="s">
        <v>53</v>
      </c>
      <c r="J449" t="s">
        <v>721</v>
      </c>
      <c r="K449" t="s">
        <v>1338</v>
      </c>
      <c r="L449" t="s">
        <v>16</v>
      </c>
      <c r="M449" t="s">
        <v>19</v>
      </c>
      <c r="N449">
        <v>2408</v>
      </c>
      <c r="O449">
        <v>142</v>
      </c>
      <c r="P449">
        <v>0</v>
      </c>
      <c r="Q449" t="s">
        <v>866</v>
      </c>
      <c r="R449" t="s">
        <v>286</v>
      </c>
      <c r="S449" t="s">
        <v>867</v>
      </c>
      <c r="T449" t="s">
        <v>1412</v>
      </c>
      <c r="U449" t="s">
        <v>60</v>
      </c>
      <c r="V449" t="s">
        <v>61</v>
      </c>
      <c r="W449">
        <v>3</v>
      </c>
      <c r="X449">
        <v>9.5812499999999995E-2</v>
      </c>
      <c r="Y449" t="s">
        <v>177</v>
      </c>
      <c r="Z449" t="s">
        <v>288</v>
      </c>
      <c r="AA449">
        <v>1</v>
      </c>
      <c r="AB449" t="s">
        <v>1340</v>
      </c>
      <c r="AC449" t="s">
        <v>1341</v>
      </c>
      <c r="AD449" t="s">
        <v>1342</v>
      </c>
      <c r="AE449" t="s">
        <v>1343</v>
      </c>
      <c r="AF449" t="s">
        <v>1344</v>
      </c>
      <c r="AG449" t="s">
        <v>66</v>
      </c>
      <c r="AH449" t="s">
        <v>66</v>
      </c>
      <c r="AI449" t="s">
        <v>66</v>
      </c>
      <c r="AJ449" t="s">
        <v>66</v>
      </c>
      <c r="AK449">
        <v>1</v>
      </c>
      <c r="AL449" t="s">
        <v>66</v>
      </c>
      <c r="AM449" t="s">
        <v>66</v>
      </c>
      <c r="AN449" t="s">
        <v>66</v>
      </c>
      <c r="AO449" t="s">
        <v>66</v>
      </c>
      <c r="AP449">
        <v>1</v>
      </c>
      <c r="AQ449" t="s">
        <v>66</v>
      </c>
      <c r="AR449" t="s">
        <v>66</v>
      </c>
      <c r="AS449" t="s">
        <v>66</v>
      </c>
      <c r="AT449" t="s">
        <v>66</v>
      </c>
    </row>
    <row r="450" spans="1:46" x14ac:dyDescent="0.15">
      <c r="A450" t="s">
        <v>1413</v>
      </c>
      <c r="B450" t="s">
        <v>1334</v>
      </c>
      <c r="C450" t="s">
        <v>1335</v>
      </c>
      <c r="D450">
        <v>36</v>
      </c>
      <c r="E450" t="s">
        <v>1336</v>
      </c>
      <c r="F450" t="s">
        <v>718</v>
      </c>
      <c r="G450" t="s">
        <v>51</v>
      </c>
      <c r="H450" t="s">
        <v>1337</v>
      </c>
      <c r="I450" t="s">
        <v>53</v>
      </c>
      <c r="J450" t="s">
        <v>721</v>
      </c>
      <c r="K450" t="s">
        <v>1338</v>
      </c>
      <c r="L450" t="s">
        <v>16</v>
      </c>
      <c r="M450" t="s">
        <v>19</v>
      </c>
      <c r="N450">
        <v>2464</v>
      </c>
      <c r="O450">
        <v>145</v>
      </c>
      <c r="P450">
        <v>0</v>
      </c>
      <c r="Q450" t="s">
        <v>870</v>
      </c>
      <c r="R450" t="s">
        <v>292</v>
      </c>
      <c r="S450" t="s">
        <v>871</v>
      </c>
      <c r="T450" t="s">
        <v>1414</v>
      </c>
      <c r="U450" t="s">
        <v>60</v>
      </c>
      <c r="V450" t="s">
        <v>61</v>
      </c>
      <c r="W450">
        <v>3</v>
      </c>
      <c r="X450">
        <v>9.5812499999999995E-2</v>
      </c>
      <c r="Y450" t="s">
        <v>294</v>
      </c>
      <c r="Z450" t="s">
        <v>295</v>
      </c>
      <c r="AA450">
        <v>1</v>
      </c>
      <c r="AB450" t="s">
        <v>1340</v>
      </c>
      <c r="AC450" t="s">
        <v>1341</v>
      </c>
      <c r="AD450" t="s">
        <v>1342</v>
      </c>
      <c r="AE450" t="s">
        <v>1343</v>
      </c>
      <c r="AF450" t="s">
        <v>1344</v>
      </c>
      <c r="AG450" t="s">
        <v>66</v>
      </c>
      <c r="AH450" t="s">
        <v>66</v>
      </c>
      <c r="AI450" t="s">
        <v>66</v>
      </c>
      <c r="AJ450" t="s">
        <v>66</v>
      </c>
      <c r="AK450">
        <v>1</v>
      </c>
      <c r="AL450" t="s">
        <v>66</v>
      </c>
      <c r="AM450" t="s">
        <v>66</v>
      </c>
      <c r="AN450" t="s">
        <v>66</v>
      </c>
      <c r="AO450" t="s">
        <v>66</v>
      </c>
      <c r="AP450">
        <v>1</v>
      </c>
      <c r="AQ450" t="s">
        <v>66</v>
      </c>
      <c r="AR450" t="s">
        <v>66</v>
      </c>
      <c r="AS450" t="s">
        <v>66</v>
      </c>
      <c r="AT450" t="s">
        <v>66</v>
      </c>
    </row>
    <row r="451" spans="1:46" x14ac:dyDescent="0.15">
      <c r="A451" t="s">
        <v>1415</v>
      </c>
      <c r="B451" t="s">
        <v>1334</v>
      </c>
      <c r="C451" t="s">
        <v>1335</v>
      </c>
      <c r="D451">
        <v>37</v>
      </c>
      <c r="E451" t="s">
        <v>1336</v>
      </c>
      <c r="F451" t="s">
        <v>718</v>
      </c>
      <c r="G451" t="s">
        <v>51</v>
      </c>
      <c r="H451" t="s">
        <v>1337</v>
      </c>
      <c r="I451" t="s">
        <v>53</v>
      </c>
      <c r="J451" t="s">
        <v>721</v>
      </c>
      <c r="K451" t="s">
        <v>1338</v>
      </c>
      <c r="L451" t="s">
        <v>16</v>
      </c>
      <c r="M451" t="s">
        <v>19</v>
      </c>
      <c r="N451">
        <v>2520</v>
      </c>
      <c r="O451">
        <v>149</v>
      </c>
      <c r="P451">
        <v>0</v>
      </c>
      <c r="Q451" t="s">
        <v>874</v>
      </c>
      <c r="R451" t="s">
        <v>299</v>
      </c>
      <c r="S451" t="s">
        <v>875</v>
      </c>
      <c r="T451" t="s">
        <v>1416</v>
      </c>
      <c r="U451" t="s">
        <v>60</v>
      </c>
      <c r="V451" t="s">
        <v>61</v>
      </c>
      <c r="W451">
        <v>3</v>
      </c>
      <c r="X451">
        <v>9.5812499999999995E-2</v>
      </c>
      <c r="Y451" t="s">
        <v>183</v>
      </c>
      <c r="Z451" t="s">
        <v>301</v>
      </c>
      <c r="AA451">
        <v>1</v>
      </c>
      <c r="AB451" t="s">
        <v>1340</v>
      </c>
      <c r="AC451" t="s">
        <v>1341</v>
      </c>
      <c r="AD451" t="s">
        <v>1342</v>
      </c>
      <c r="AE451" t="s">
        <v>1343</v>
      </c>
      <c r="AF451" t="s">
        <v>1344</v>
      </c>
      <c r="AG451" t="s">
        <v>66</v>
      </c>
      <c r="AH451" t="s">
        <v>66</v>
      </c>
      <c r="AI451" t="s">
        <v>66</v>
      </c>
      <c r="AJ451" t="s">
        <v>66</v>
      </c>
      <c r="AK451">
        <v>1</v>
      </c>
      <c r="AL451" t="s">
        <v>66</v>
      </c>
      <c r="AM451" t="s">
        <v>66</v>
      </c>
      <c r="AN451" t="s">
        <v>66</v>
      </c>
      <c r="AO451" t="s">
        <v>66</v>
      </c>
      <c r="AP451">
        <v>1</v>
      </c>
      <c r="AQ451" t="s">
        <v>66</v>
      </c>
      <c r="AR451" t="s">
        <v>66</v>
      </c>
      <c r="AS451" t="s">
        <v>66</v>
      </c>
      <c r="AT451" t="s">
        <v>66</v>
      </c>
    </row>
    <row r="452" spans="1:46" x14ac:dyDescent="0.15">
      <c r="A452" t="s">
        <v>1417</v>
      </c>
      <c r="B452" t="s">
        <v>1334</v>
      </c>
      <c r="C452" t="s">
        <v>1335</v>
      </c>
      <c r="D452">
        <v>38</v>
      </c>
      <c r="E452" t="s">
        <v>1336</v>
      </c>
      <c r="F452" t="s">
        <v>718</v>
      </c>
      <c r="G452" t="s">
        <v>51</v>
      </c>
      <c r="H452" t="s">
        <v>1337</v>
      </c>
      <c r="I452" t="s">
        <v>53</v>
      </c>
      <c r="J452" t="s">
        <v>721</v>
      </c>
      <c r="K452" t="s">
        <v>1338</v>
      </c>
      <c r="L452" t="s">
        <v>16</v>
      </c>
      <c r="M452" t="s">
        <v>19</v>
      </c>
      <c r="N452">
        <v>2577</v>
      </c>
      <c r="O452">
        <v>152</v>
      </c>
      <c r="P452">
        <v>0</v>
      </c>
      <c r="Q452" t="s">
        <v>878</v>
      </c>
      <c r="R452" t="s">
        <v>305</v>
      </c>
      <c r="S452" t="s">
        <v>879</v>
      </c>
      <c r="T452" t="s">
        <v>1418</v>
      </c>
      <c r="U452" t="s">
        <v>60</v>
      </c>
      <c r="V452" t="s">
        <v>61</v>
      </c>
      <c r="W452">
        <v>3</v>
      </c>
      <c r="X452">
        <v>9.5812499999999995E-2</v>
      </c>
      <c r="Y452" t="s">
        <v>307</v>
      </c>
      <c r="Z452" t="s">
        <v>308</v>
      </c>
      <c r="AA452">
        <v>1</v>
      </c>
      <c r="AB452" t="s">
        <v>1340</v>
      </c>
      <c r="AC452" t="s">
        <v>1341</v>
      </c>
      <c r="AD452" t="s">
        <v>1342</v>
      </c>
      <c r="AE452" t="s">
        <v>1343</v>
      </c>
      <c r="AF452" t="s">
        <v>1344</v>
      </c>
      <c r="AG452" t="s">
        <v>66</v>
      </c>
      <c r="AH452" t="s">
        <v>66</v>
      </c>
      <c r="AI452" t="s">
        <v>66</v>
      </c>
      <c r="AJ452" t="s">
        <v>66</v>
      </c>
      <c r="AK452">
        <v>1</v>
      </c>
      <c r="AL452" t="s">
        <v>66</v>
      </c>
      <c r="AM452" t="s">
        <v>66</v>
      </c>
      <c r="AN452" t="s">
        <v>66</v>
      </c>
      <c r="AO452" t="s">
        <v>66</v>
      </c>
      <c r="AP452">
        <v>1</v>
      </c>
      <c r="AQ452" t="s">
        <v>66</v>
      </c>
      <c r="AR452" t="s">
        <v>66</v>
      </c>
      <c r="AS452" t="s">
        <v>66</v>
      </c>
      <c r="AT452" t="s">
        <v>66</v>
      </c>
    </row>
    <row r="453" spans="1:46" x14ac:dyDescent="0.15">
      <c r="A453" t="s">
        <v>1419</v>
      </c>
      <c r="B453" t="s">
        <v>1334</v>
      </c>
      <c r="C453" t="s">
        <v>1335</v>
      </c>
      <c r="D453">
        <v>39</v>
      </c>
      <c r="E453" t="s">
        <v>1336</v>
      </c>
      <c r="F453" t="s">
        <v>718</v>
      </c>
      <c r="G453" t="s">
        <v>51</v>
      </c>
      <c r="H453" t="s">
        <v>1337</v>
      </c>
      <c r="I453" t="s">
        <v>53</v>
      </c>
      <c r="J453" t="s">
        <v>721</v>
      </c>
      <c r="K453" t="s">
        <v>1338</v>
      </c>
      <c r="L453" t="s">
        <v>16</v>
      </c>
      <c r="M453" t="s">
        <v>19</v>
      </c>
      <c r="N453">
        <v>2633</v>
      </c>
      <c r="O453">
        <v>155</v>
      </c>
      <c r="P453">
        <v>0</v>
      </c>
      <c r="Q453" t="s">
        <v>882</v>
      </c>
      <c r="R453" t="s">
        <v>312</v>
      </c>
      <c r="S453" t="s">
        <v>883</v>
      </c>
      <c r="T453" t="s">
        <v>1420</v>
      </c>
      <c r="U453" t="s">
        <v>60</v>
      </c>
      <c r="V453" t="s">
        <v>61</v>
      </c>
      <c r="W453">
        <v>3</v>
      </c>
      <c r="X453">
        <v>9.5812499999999995E-2</v>
      </c>
      <c r="Y453" t="s">
        <v>190</v>
      </c>
      <c r="Z453" t="s">
        <v>314</v>
      </c>
      <c r="AA453">
        <v>1</v>
      </c>
      <c r="AB453" t="s">
        <v>1340</v>
      </c>
      <c r="AC453" t="s">
        <v>1341</v>
      </c>
      <c r="AD453" t="s">
        <v>1342</v>
      </c>
      <c r="AE453" t="s">
        <v>1343</v>
      </c>
      <c r="AF453" t="s">
        <v>1344</v>
      </c>
      <c r="AG453" t="s">
        <v>66</v>
      </c>
      <c r="AH453" t="s">
        <v>66</v>
      </c>
      <c r="AI453" t="s">
        <v>66</v>
      </c>
      <c r="AJ453" t="s">
        <v>66</v>
      </c>
      <c r="AK453">
        <v>1</v>
      </c>
      <c r="AL453" t="s">
        <v>66</v>
      </c>
      <c r="AM453" t="s">
        <v>66</v>
      </c>
      <c r="AN453" t="s">
        <v>66</v>
      </c>
      <c r="AO453" t="s">
        <v>66</v>
      </c>
      <c r="AP453">
        <v>1</v>
      </c>
      <c r="AQ453" t="s">
        <v>66</v>
      </c>
      <c r="AR453" t="s">
        <v>66</v>
      </c>
      <c r="AS453" t="s">
        <v>66</v>
      </c>
      <c r="AT453" t="s">
        <v>66</v>
      </c>
    </row>
    <row r="454" spans="1:46" x14ac:dyDescent="0.15">
      <c r="A454" t="s">
        <v>1421</v>
      </c>
      <c r="B454" t="s">
        <v>1334</v>
      </c>
      <c r="C454" t="s">
        <v>1335</v>
      </c>
      <c r="D454">
        <v>40</v>
      </c>
      <c r="E454" t="s">
        <v>1336</v>
      </c>
      <c r="F454" t="s">
        <v>718</v>
      </c>
      <c r="G454" t="s">
        <v>51</v>
      </c>
      <c r="H454" t="s">
        <v>1337</v>
      </c>
      <c r="I454" t="s">
        <v>53</v>
      </c>
      <c r="J454" t="s">
        <v>721</v>
      </c>
      <c r="K454" t="s">
        <v>1338</v>
      </c>
      <c r="L454" t="s">
        <v>16</v>
      </c>
      <c r="M454" t="s">
        <v>19</v>
      </c>
      <c r="N454">
        <v>2689</v>
      </c>
      <c r="O454">
        <v>159</v>
      </c>
      <c r="P454">
        <v>0</v>
      </c>
      <c r="Q454" t="s">
        <v>886</v>
      </c>
      <c r="R454" t="s">
        <v>318</v>
      </c>
      <c r="S454" t="s">
        <v>887</v>
      </c>
      <c r="T454" t="s">
        <v>1422</v>
      </c>
      <c r="U454" t="s">
        <v>60</v>
      </c>
      <c r="V454" t="s">
        <v>61</v>
      </c>
      <c r="W454">
        <v>3</v>
      </c>
      <c r="X454">
        <v>9.5812499999999995E-2</v>
      </c>
      <c r="Y454" t="s">
        <v>320</v>
      </c>
      <c r="Z454" t="s">
        <v>321</v>
      </c>
      <c r="AA454">
        <v>1</v>
      </c>
      <c r="AB454" t="s">
        <v>1340</v>
      </c>
      <c r="AC454" t="s">
        <v>1341</v>
      </c>
      <c r="AD454" t="s">
        <v>1342</v>
      </c>
      <c r="AE454" t="s">
        <v>1343</v>
      </c>
      <c r="AF454" t="s">
        <v>1344</v>
      </c>
      <c r="AG454" t="s">
        <v>66</v>
      </c>
      <c r="AH454" t="s">
        <v>66</v>
      </c>
      <c r="AI454" t="s">
        <v>66</v>
      </c>
      <c r="AJ454" t="s">
        <v>66</v>
      </c>
      <c r="AK454">
        <v>1</v>
      </c>
      <c r="AL454" t="s">
        <v>66</v>
      </c>
      <c r="AM454" t="s">
        <v>66</v>
      </c>
      <c r="AN454" t="s">
        <v>66</v>
      </c>
      <c r="AO454" t="s">
        <v>66</v>
      </c>
      <c r="AP454">
        <v>1</v>
      </c>
      <c r="AQ454" t="s">
        <v>66</v>
      </c>
      <c r="AR454" t="s">
        <v>66</v>
      </c>
      <c r="AS454" t="s">
        <v>66</v>
      </c>
      <c r="AT454" t="s">
        <v>66</v>
      </c>
    </row>
    <row r="455" spans="1:46" x14ac:dyDescent="0.15">
      <c r="A455" t="s">
        <v>1421</v>
      </c>
      <c r="B455" t="s">
        <v>1334</v>
      </c>
      <c r="C455" t="s">
        <v>1335</v>
      </c>
      <c r="D455">
        <v>40</v>
      </c>
      <c r="E455" t="s">
        <v>1336</v>
      </c>
      <c r="F455" t="s">
        <v>718</v>
      </c>
      <c r="G455" t="s">
        <v>51</v>
      </c>
      <c r="H455" t="s">
        <v>1337</v>
      </c>
      <c r="I455" t="s">
        <v>53</v>
      </c>
      <c r="J455" t="s">
        <v>721</v>
      </c>
      <c r="K455" t="s">
        <v>1338</v>
      </c>
      <c r="L455" t="s">
        <v>16</v>
      </c>
      <c r="M455" t="s">
        <v>19</v>
      </c>
      <c r="N455">
        <v>2689</v>
      </c>
      <c r="O455">
        <v>159</v>
      </c>
      <c r="P455">
        <v>0</v>
      </c>
      <c r="Q455" t="s">
        <v>886</v>
      </c>
      <c r="R455" t="s">
        <v>318</v>
      </c>
      <c r="S455" t="s">
        <v>887</v>
      </c>
      <c r="T455" t="s">
        <v>1422</v>
      </c>
      <c r="U455" t="s">
        <v>60</v>
      </c>
      <c r="V455" t="s">
        <v>61</v>
      </c>
      <c r="W455">
        <v>3</v>
      </c>
      <c r="X455">
        <v>9.5812499999999995E-2</v>
      </c>
      <c r="Y455" t="s">
        <v>320</v>
      </c>
      <c r="Z455" t="s">
        <v>321</v>
      </c>
      <c r="AA455">
        <v>2</v>
      </c>
      <c r="AB455" t="s">
        <v>1340</v>
      </c>
      <c r="AC455" t="s">
        <v>1341</v>
      </c>
      <c r="AD455" t="s">
        <v>1342</v>
      </c>
      <c r="AE455" t="s">
        <v>1343</v>
      </c>
      <c r="AF455" t="s">
        <v>1344</v>
      </c>
      <c r="AG455" t="s">
        <v>66</v>
      </c>
      <c r="AH455" t="s">
        <v>66</v>
      </c>
      <c r="AI455" t="s">
        <v>66</v>
      </c>
      <c r="AJ455" t="s">
        <v>66</v>
      </c>
      <c r="AK455">
        <v>1</v>
      </c>
      <c r="AL455" t="s">
        <v>1423</v>
      </c>
      <c r="AM455" t="s">
        <v>1424</v>
      </c>
      <c r="AN455" t="s">
        <v>1425</v>
      </c>
      <c r="AO455" t="s">
        <v>66</v>
      </c>
      <c r="AP455">
        <v>1</v>
      </c>
      <c r="AQ455" t="s">
        <v>1426</v>
      </c>
      <c r="AR455" t="s">
        <v>1427</v>
      </c>
      <c r="AS455" t="s">
        <v>66</v>
      </c>
      <c r="AT455" t="s">
        <v>66</v>
      </c>
    </row>
    <row r="456" spans="1:46" x14ac:dyDescent="0.15">
      <c r="A456" t="s">
        <v>1428</v>
      </c>
      <c r="B456" t="s">
        <v>1334</v>
      </c>
      <c r="C456" t="s">
        <v>1335</v>
      </c>
      <c r="D456">
        <v>41</v>
      </c>
      <c r="E456" t="s">
        <v>1336</v>
      </c>
      <c r="F456" t="s">
        <v>718</v>
      </c>
      <c r="G456" t="s">
        <v>51</v>
      </c>
      <c r="H456" t="s">
        <v>1337</v>
      </c>
      <c r="I456" t="s">
        <v>53</v>
      </c>
      <c r="J456" t="s">
        <v>721</v>
      </c>
      <c r="K456" t="s">
        <v>1338</v>
      </c>
      <c r="L456" t="s">
        <v>16</v>
      </c>
      <c r="M456" t="s">
        <v>19</v>
      </c>
      <c r="N456">
        <v>2745</v>
      </c>
      <c r="O456">
        <v>162</v>
      </c>
      <c r="P456">
        <v>0</v>
      </c>
      <c r="Q456" t="s">
        <v>894</v>
      </c>
      <c r="R456" t="s">
        <v>328</v>
      </c>
      <c r="S456" t="s">
        <v>895</v>
      </c>
      <c r="T456" t="s">
        <v>1429</v>
      </c>
      <c r="U456" t="s">
        <v>60</v>
      </c>
      <c r="V456" t="s">
        <v>61</v>
      </c>
      <c r="W456">
        <v>3</v>
      </c>
      <c r="X456">
        <v>9.5812499999999995E-2</v>
      </c>
      <c r="Y456" t="s">
        <v>197</v>
      </c>
      <c r="Z456" t="s">
        <v>330</v>
      </c>
      <c r="AA456">
        <v>2</v>
      </c>
      <c r="AB456" t="s">
        <v>1340</v>
      </c>
      <c r="AC456" t="s">
        <v>1341</v>
      </c>
      <c r="AD456" t="s">
        <v>1342</v>
      </c>
      <c r="AE456" t="s">
        <v>1343</v>
      </c>
      <c r="AF456" t="s">
        <v>1344</v>
      </c>
      <c r="AG456" t="s">
        <v>66</v>
      </c>
      <c r="AH456" t="s">
        <v>66</v>
      </c>
      <c r="AI456" t="s">
        <v>66</v>
      </c>
      <c r="AJ456" t="s">
        <v>66</v>
      </c>
      <c r="AK456">
        <v>1</v>
      </c>
      <c r="AL456" t="s">
        <v>1423</v>
      </c>
      <c r="AM456" t="s">
        <v>1424</v>
      </c>
      <c r="AN456" t="s">
        <v>1425</v>
      </c>
      <c r="AO456" t="s">
        <v>66</v>
      </c>
      <c r="AP456">
        <v>1</v>
      </c>
      <c r="AQ456" t="s">
        <v>1426</v>
      </c>
      <c r="AR456" t="s">
        <v>1427</v>
      </c>
      <c r="AS456" t="s">
        <v>66</v>
      </c>
      <c r="AT456" t="s">
        <v>66</v>
      </c>
    </row>
    <row r="457" spans="1:46" x14ac:dyDescent="0.15">
      <c r="A457" t="s">
        <v>1430</v>
      </c>
      <c r="B457" t="s">
        <v>1334</v>
      </c>
      <c r="C457" t="s">
        <v>1335</v>
      </c>
      <c r="D457">
        <v>42</v>
      </c>
      <c r="E457" t="s">
        <v>1336</v>
      </c>
      <c r="F457" t="s">
        <v>718</v>
      </c>
      <c r="G457" t="s">
        <v>51</v>
      </c>
      <c r="H457" t="s">
        <v>1337</v>
      </c>
      <c r="I457" t="s">
        <v>53</v>
      </c>
      <c r="J457" t="s">
        <v>721</v>
      </c>
      <c r="K457" t="s">
        <v>1338</v>
      </c>
      <c r="L457" t="s">
        <v>16</v>
      </c>
      <c r="M457" t="s">
        <v>19</v>
      </c>
      <c r="N457">
        <v>2801</v>
      </c>
      <c r="O457">
        <v>165</v>
      </c>
      <c r="P457">
        <v>0</v>
      </c>
      <c r="Q457" t="s">
        <v>898</v>
      </c>
      <c r="R457" t="s">
        <v>334</v>
      </c>
      <c r="S457" t="s">
        <v>899</v>
      </c>
      <c r="T457" t="s">
        <v>1431</v>
      </c>
      <c r="U457" t="s">
        <v>60</v>
      </c>
      <c r="V457" t="s">
        <v>61</v>
      </c>
      <c r="W457">
        <v>3</v>
      </c>
      <c r="X457">
        <v>9.5812499999999995E-2</v>
      </c>
      <c r="Y457" t="s">
        <v>336</v>
      </c>
      <c r="Z457" t="s">
        <v>337</v>
      </c>
      <c r="AA457">
        <v>2</v>
      </c>
      <c r="AB457" t="s">
        <v>1340</v>
      </c>
      <c r="AC457" t="s">
        <v>1341</v>
      </c>
      <c r="AD457" t="s">
        <v>1342</v>
      </c>
      <c r="AE457" t="s">
        <v>1343</v>
      </c>
      <c r="AF457" t="s">
        <v>1344</v>
      </c>
      <c r="AG457" t="s">
        <v>66</v>
      </c>
      <c r="AH457" t="s">
        <v>66</v>
      </c>
      <c r="AI457" t="s">
        <v>66</v>
      </c>
      <c r="AJ457" t="s">
        <v>66</v>
      </c>
      <c r="AK457">
        <v>1</v>
      </c>
      <c r="AL457" t="s">
        <v>1423</v>
      </c>
      <c r="AM457" t="s">
        <v>1424</v>
      </c>
      <c r="AN457" t="s">
        <v>1425</v>
      </c>
      <c r="AO457" t="s">
        <v>66</v>
      </c>
      <c r="AP457">
        <v>1</v>
      </c>
      <c r="AQ457" t="s">
        <v>1426</v>
      </c>
      <c r="AR457" t="s">
        <v>1427</v>
      </c>
      <c r="AS457" t="s">
        <v>66</v>
      </c>
      <c r="AT457" t="s">
        <v>66</v>
      </c>
    </row>
    <row r="458" spans="1:46" x14ac:dyDescent="0.15">
      <c r="A458" t="s">
        <v>1432</v>
      </c>
      <c r="B458" t="s">
        <v>1334</v>
      </c>
      <c r="C458" t="s">
        <v>1335</v>
      </c>
      <c r="D458">
        <v>43</v>
      </c>
      <c r="E458" t="s">
        <v>1336</v>
      </c>
      <c r="F458" t="s">
        <v>718</v>
      </c>
      <c r="G458" t="s">
        <v>51</v>
      </c>
      <c r="H458" t="s">
        <v>1337</v>
      </c>
      <c r="I458" t="s">
        <v>53</v>
      </c>
      <c r="J458" t="s">
        <v>721</v>
      </c>
      <c r="K458" t="s">
        <v>1338</v>
      </c>
      <c r="L458" t="s">
        <v>16</v>
      </c>
      <c r="M458" t="s">
        <v>19</v>
      </c>
      <c r="N458">
        <v>2857</v>
      </c>
      <c r="O458">
        <v>168</v>
      </c>
      <c r="P458">
        <v>0</v>
      </c>
      <c r="Q458" t="s">
        <v>902</v>
      </c>
      <c r="R458" t="s">
        <v>341</v>
      </c>
      <c r="S458" t="s">
        <v>903</v>
      </c>
      <c r="T458" t="s">
        <v>1433</v>
      </c>
      <c r="U458" t="s">
        <v>60</v>
      </c>
      <c r="V458" t="s">
        <v>61</v>
      </c>
      <c r="W458">
        <v>3</v>
      </c>
      <c r="X458">
        <v>9.5812499999999995E-2</v>
      </c>
      <c r="Y458" t="s">
        <v>204</v>
      </c>
      <c r="Z458" t="s">
        <v>343</v>
      </c>
      <c r="AA458">
        <v>2</v>
      </c>
      <c r="AB458" t="s">
        <v>1340</v>
      </c>
      <c r="AC458" t="s">
        <v>1341</v>
      </c>
      <c r="AD458" t="s">
        <v>1342</v>
      </c>
      <c r="AE458" t="s">
        <v>1343</v>
      </c>
      <c r="AF458" t="s">
        <v>1344</v>
      </c>
      <c r="AG458" t="s">
        <v>66</v>
      </c>
      <c r="AH458" t="s">
        <v>66</v>
      </c>
      <c r="AI458" t="s">
        <v>66</v>
      </c>
      <c r="AJ458" t="s">
        <v>66</v>
      </c>
      <c r="AK458">
        <v>1</v>
      </c>
      <c r="AL458" t="s">
        <v>1423</v>
      </c>
      <c r="AM458" t="s">
        <v>1424</v>
      </c>
      <c r="AN458" t="s">
        <v>1425</v>
      </c>
      <c r="AO458" t="s">
        <v>66</v>
      </c>
      <c r="AP458">
        <v>1</v>
      </c>
      <c r="AQ458" t="s">
        <v>1426</v>
      </c>
      <c r="AR458" t="s">
        <v>1427</v>
      </c>
      <c r="AS458" t="s">
        <v>66</v>
      </c>
      <c r="AT458" t="s">
        <v>66</v>
      </c>
    </row>
    <row r="459" spans="1:46" x14ac:dyDescent="0.15">
      <c r="A459" t="s">
        <v>1434</v>
      </c>
      <c r="B459" t="s">
        <v>1334</v>
      </c>
      <c r="C459" t="s">
        <v>1335</v>
      </c>
      <c r="D459">
        <v>44</v>
      </c>
      <c r="E459" t="s">
        <v>1336</v>
      </c>
      <c r="F459" t="s">
        <v>718</v>
      </c>
      <c r="G459" t="s">
        <v>51</v>
      </c>
      <c r="H459" t="s">
        <v>1337</v>
      </c>
      <c r="I459" t="s">
        <v>53</v>
      </c>
      <c r="J459" t="s">
        <v>721</v>
      </c>
      <c r="K459" t="s">
        <v>1338</v>
      </c>
      <c r="L459" t="s">
        <v>16</v>
      </c>
      <c r="M459" t="s">
        <v>19</v>
      </c>
      <c r="N459">
        <v>2913</v>
      </c>
      <c r="O459">
        <v>172</v>
      </c>
      <c r="P459">
        <v>0</v>
      </c>
      <c r="Q459" t="s">
        <v>906</v>
      </c>
      <c r="R459" t="s">
        <v>347</v>
      </c>
      <c r="S459" t="s">
        <v>907</v>
      </c>
      <c r="T459" t="s">
        <v>1435</v>
      </c>
      <c r="U459" t="s">
        <v>60</v>
      </c>
      <c r="V459" t="s">
        <v>61</v>
      </c>
      <c r="W459">
        <v>3</v>
      </c>
      <c r="X459">
        <v>9.5812499999999995E-2</v>
      </c>
      <c r="Y459" t="s">
        <v>349</v>
      </c>
      <c r="Z459" t="s">
        <v>350</v>
      </c>
      <c r="AA459">
        <v>2</v>
      </c>
      <c r="AB459" t="s">
        <v>1340</v>
      </c>
      <c r="AC459" t="s">
        <v>1341</v>
      </c>
      <c r="AD459" t="s">
        <v>1342</v>
      </c>
      <c r="AE459" t="s">
        <v>1343</v>
      </c>
      <c r="AF459" t="s">
        <v>1344</v>
      </c>
      <c r="AG459" t="s">
        <v>66</v>
      </c>
      <c r="AH459" t="s">
        <v>66</v>
      </c>
      <c r="AI459" t="s">
        <v>66</v>
      </c>
      <c r="AJ459" t="s">
        <v>66</v>
      </c>
      <c r="AK459">
        <v>1</v>
      </c>
      <c r="AL459" t="s">
        <v>1423</v>
      </c>
      <c r="AM459" t="s">
        <v>1424</v>
      </c>
      <c r="AN459" t="s">
        <v>1425</v>
      </c>
      <c r="AO459" t="s">
        <v>66</v>
      </c>
      <c r="AP459">
        <v>1</v>
      </c>
      <c r="AQ459" t="s">
        <v>1426</v>
      </c>
      <c r="AR459" t="s">
        <v>1427</v>
      </c>
      <c r="AS459" t="s">
        <v>66</v>
      </c>
      <c r="AT459" t="s">
        <v>66</v>
      </c>
    </row>
    <row r="460" spans="1:46" x14ac:dyDescent="0.15">
      <c r="A460" t="s">
        <v>1436</v>
      </c>
      <c r="B460" t="s">
        <v>1334</v>
      </c>
      <c r="C460" t="s">
        <v>1335</v>
      </c>
      <c r="D460">
        <v>45</v>
      </c>
      <c r="E460" t="s">
        <v>1336</v>
      </c>
      <c r="F460" t="s">
        <v>718</v>
      </c>
      <c r="G460" t="s">
        <v>51</v>
      </c>
      <c r="H460" t="s">
        <v>1337</v>
      </c>
      <c r="I460" t="s">
        <v>53</v>
      </c>
      <c r="J460" t="s">
        <v>721</v>
      </c>
      <c r="K460" t="s">
        <v>1338</v>
      </c>
      <c r="L460" t="s">
        <v>16</v>
      </c>
      <c r="M460" t="s">
        <v>19</v>
      </c>
      <c r="N460">
        <v>2969</v>
      </c>
      <c r="O460">
        <v>175</v>
      </c>
      <c r="P460">
        <v>0</v>
      </c>
      <c r="Q460" t="s">
        <v>910</v>
      </c>
      <c r="R460" t="s">
        <v>354</v>
      </c>
      <c r="S460" t="s">
        <v>911</v>
      </c>
      <c r="T460" t="s">
        <v>1437</v>
      </c>
      <c r="U460" t="s">
        <v>60</v>
      </c>
      <c r="V460" t="s">
        <v>61</v>
      </c>
      <c r="W460">
        <v>3</v>
      </c>
      <c r="X460">
        <v>9.5812499999999995E-2</v>
      </c>
      <c r="Y460" t="s">
        <v>210</v>
      </c>
      <c r="Z460" t="s">
        <v>356</v>
      </c>
      <c r="AA460">
        <v>2</v>
      </c>
      <c r="AB460" t="s">
        <v>1340</v>
      </c>
      <c r="AC460" t="s">
        <v>1341</v>
      </c>
      <c r="AD460" t="s">
        <v>1342</v>
      </c>
      <c r="AE460" t="s">
        <v>1343</v>
      </c>
      <c r="AF460" t="s">
        <v>1344</v>
      </c>
      <c r="AG460" t="s">
        <v>66</v>
      </c>
      <c r="AH460" t="s">
        <v>66</v>
      </c>
      <c r="AI460" t="s">
        <v>66</v>
      </c>
      <c r="AJ460" t="s">
        <v>66</v>
      </c>
      <c r="AK460">
        <v>1</v>
      </c>
      <c r="AL460" t="s">
        <v>1423</v>
      </c>
      <c r="AM460" t="s">
        <v>1424</v>
      </c>
      <c r="AN460" t="s">
        <v>1425</v>
      </c>
      <c r="AO460" t="s">
        <v>66</v>
      </c>
      <c r="AP460">
        <v>1</v>
      </c>
      <c r="AQ460" t="s">
        <v>1426</v>
      </c>
      <c r="AR460" t="s">
        <v>1427</v>
      </c>
      <c r="AS460" t="s">
        <v>66</v>
      </c>
      <c r="AT460" t="s">
        <v>66</v>
      </c>
    </row>
    <row r="461" spans="1:46" x14ac:dyDescent="0.15">
      <c r="A461" t="s">
        <v>1438</v>
      </c>
      <c r="B461" t="s">
        <v>1334</v>
      </c>
      <c r="C461" t="s">
        <v>1335</v>
      </c>
      <c r="D461">
        <v>46</v>
      </c>
      <c r="E461" t="s">
        <v>1336</v>
      </c>
      <c r="F461" t="s">
        <v>718</v>
      </c>
      <c r="G461" t="s">
        <v>51</v>
      </c>
      <c r="H461" t="s">
        <v>1337</v>
      </c>
      <c r="I461" t="s">
        <v>53</v>
      </c>
      <c r="J461" t="s">
        <v>721</v>
      </c>
      <c r="K461" t="s">
        <v>1338</v>
      </c>
      <c r="L461" t="s">
        <v>16</v>
      </c>
      <c r="M461" t="s">
        <v>19</v>
      </c>
      <c r="N461">
        <v>3026</v>
      </c>
      <c r="O461">
        <v>178</v>
      </c>
      <c r="P461">
        <v>0</v>
      </c>
      <c r="Q461" t="s">
        <v>914</v>
      </c>
      <c r="R461" t="s">
        <v>360</v>
      </c>
      <c r="S461" t="s">
        <v>915</v>
      </c>
      <c r="T461" t="s">
        <v>1439</v>
      </c>
      <c r="U461" t="s">
        <v>60</v>
      </c>
      <c r="V461" t="s">
        <v>61</v>
      </c>
      <c r="W461">
        <v>3</v>
      </c>
      <c r="X461">
        <v>9.5812499999999995E-2</v>
      </c>
      <c r="Y461" t="s">
        <v>362</v>
      </c>
      <c r="Z461" t="s">
        <v>363</v>
      </c>
      <c r="AA461">
        <v>2</v>
      </c>
      <c r="AB461" t="s">
        <v>1340</v>
      </c>
      <c r="AC461" t="s">
        <v>1341</v>
      </c>
      <c r="AD461" t="s">
        <v>1342</v>
      </c>
      <c r="AE461" t="s">
        <v>1343</v>
      </c>
      <c r="AF461" t="s">
        <v>1344</v>
      </c>
      <c r="AG461" t="s">
        <v>66</v>
      </c>
      <c r="AH461" t="s">
        <v>66</v>
      </c>
      <c r="AI461" t="s">
        <v>66</v>
      </c>
      <c r="AJ461" t="s">
        <v>66</v>
      </c>
      <c r="AK461">
        <v>1</v>
      </c>
      <c r="AL461" t="s">
        <v>1423</v>
      </c>
      <c r="AM461" t="s">
        <v>1424</v>
      </c>
      <c r="AN461" t="s">
        <v>1425</v>
      </c>
      <c r="AO461" t="s">
        <v>66</v>
      </c>
      <c r="AP461">
        <v>1</v>
      </c>
      <c r="AQ461" t="s">
        <v>1426</v>
      </c>
      <c r="AR461" t="s">
        <v>1427</v>
      </c>
      <c r="AS461" t="s">
        <v>66</v>
      </c>
      <c r="AT461" t="s">
        <v>66</v>
      </c>
    </row>
    <row r="462" spans="1:46" x14ac:dyDescent="0.15">
      <c r="A462" t="s">
        <v>1440</v>
      </c>
      <c r="B462" t="s">
        <v>1334</v>
      </c>
      <c r="C462" t="s">
        <v>1335</v>
      </c>
      <c r="D462">
        <v>47</v>
      </c>
      <c r="E462" t="s">
        <v>1336</v>
      </c>
      <c r="F462" t="s">
        <v>718</v>
      </c>
      <c r="G462" t="s">
        <v>51</v>
      </c>
      <c r="H462" t="s">
        <v>1337</v>
      </c>
      <c r="I462" t="s">
        <v>53</v>
      </c>
      <c r="J462" t="s">
        <v>721</v>
      </c>
      <c r="K462" t="s">
        <v>1338</v>
      </c>
      <c r="L462" t="s">
        <v>16</v>
      </c>
      <c r="M462" t="s">
        <v>19</v>
      </c>
      <c r="N462">
        <v>3082</v>
      </c>
      <c r="O462">
        <v>182</v>
      </c>
      <c r="P462">
        <v>0</v>
      </c>
      <c r="Q462" t="s">
        <v>918</v>
      </c>
      <c r="R462" t="s">
        <v>367</v>
      </c>
      <c r="S462" t="s">
        <v>919</v>
      </c>
      <c r="T462" t="s">
        <v>1441</v>
      </c>
      <c r="U462" t="s">
        <v>60</v>
      </c>
      <c r="V462" t="s">
        <v>61</v>
      </c>
      <c r="W462">
        <v>3</v>
      </c>
      <c r="X462">
        <v>9.5812499999999995E-2</v>
      </c>
      <c r="Y462" t="s">
        <v>217</v>
      </c>
      <c r="Z462" t="s">
        <v>369</v>
      </c>
      <c r="AA462">
        <v>2</v>
      </c>
      <c r="AB462" t="s">
        <v>1340</v>
      </c>
      <c r="AC462" t="s">
        <v>1341</v>
      </c>
      <c r="AD462" t="s">
        <v>1342</v>
      </c>
      <c r="AE462" t="s">
        <v>1343</v>
      </c>
      <c r="AF462" t="s">
        <v>1344</v>
      </c>
      <c r="AG462" t="s">
        <v>66</v>
      </c>
      <c r="AH462" t="s">
        <v>66</v>
      </c>
      <c r="AI462" t="s">
        <v>66</v>
      </c>
      <c r="AJ462" t="s">
        <v>66</v>
      </c>
      <c r="AK462">
        <v>1</v>
      </c>
      <c r="AL462" t="s">
        <v>1423</v>
      </c>
      <c r="AM462" t="s">
        <v>1424</v>
      </c>
      <c r="AN462" t="s">
        <v>1425</v>
      </c>
      <c r="AO462" t="s">
        <v>66</v>
      </c>
      <c r="AP462">
        <v>1</v>
      </c>
      <c r="AQ462" t="s">
        <v>1426</v>
      </c>
      <c r="AR462" t="s">
        <v>1427</v>
      </c>
      <c r="AS462" t="s">
        <v>66</v>
      </c>
      <c r="AT462" t="s">
        <v>66</v>
      </c>
    </row>
    <row r="463" spans="1:46" x14ac:dyDescent="0.15">
      <c r="A463" t="s">
        <v>1442</v>
      </c>
      <c r="B463" t="s">
        <v>1334</v>
      </c>
      <c r="C463" t="s">
        <v>1335</v>
      </c>
      <c r="D463">
        <v>48</v>
      </c>
      <c r="E463" t="s">
        <v>1336</v>
      </c>
      <c r="F463" t="s">
        <v>718</v>
      </c>
      <c r="G463" t="s">
        <v>51</v>
      </c>
      <c r="H463" t="s">
        <v>1337</v>
      </c>
      <c r="I463" t="s">
        <v>53</v>
      </c>
      <c r="J463" t="s">
        <v>721</v>
      </c>
      <c r="K463" t="s">
        <v>1338</v>
      </c>
      <c r="L463" t="s">
        <v>16</v>
      </c>
      <c r="M463" t="s">
        <v>19</v>
      </c>
      <c r="N463">
        <v>3138</v>
      </c>
      <c r="O463">
        <v>185</v>
      </c>
      <c r="P463">
        <v>0</v>
      </c>
      <c r="Q463" t="s">
        <v>922</v>
      </c>
      <c r="R463" t="s">
        <v>373</v>
      </c>
      <c r="S463" t="s">
        <v>923</v>
      </c>
      <c r="T463" t="s">
        <v>1443</v>
      </c>
      <c r="U463" t="s">
        <v>60</v>
      </c>
      <c r="V463" t="s">
        <v>61</v>
      </c>
      <c r="W463">
        <v>3</v>
      </c>
      <c r="X463">
        <v>9.5812499999999995E-2</v>
      </c>
      <c r="Y463" t="s">
        <v>375</v>
      </c>
      <c r="Z463" t="s">
        <v>376</v>
      </c>
      <c r="AA463">
        <v>2</v>
      </c>
      <c r="AB463" t="s">
        <v>1340</v>
      </c>
      <c r="AC463" t="s">
        <v>1341</v>
      </c>
      <c r="AD463" t="s">
        <v>1342</v>
      </c>
      <c r="AE463" t="s">
        <v>1343</v>
      </c>
      <c r="AF463" t="s">
        <v>1344</v>
      </c>
      <c r="AG463" t="s">
        <v>66</v>
      </c>
      <c r="AH463" t="s">
        <v>66</v>
      </c>
      <c r="AI463" t="s">
        <v>66</v>
      </c>
      <c r="AJ463" t="s">
        <v>66</v>
      </c>
      <c r="AK463">
        <v>1</v>
      </c>
      <c r="AL463" t="s">
        <v>1423</v>
      </c>
      <c r="AM463" t="s">
        <v>1424</v>
      </c>
      <c r="AN463" t="s">
        <v>1425</v>
      </c>
      <c r="AO463" t="s">
        <v>66</v>
      </c>
      <c r="AP463">
        <v>1</v>
      </c>
      <c r="AQ463" t="s">
        <v>1426</v>
      </c>
      <c r="AR463" t="s">
        <v>1427</v>
      </c>
      <c r="AS463" t="s">
        <v>66</v>
      </c>
      <c r="AT463" t="s">
        <v>66</v>
      </c>
    </row>
    <row r="464" spans="1:46" x14ac:dyDescent="0.15">
      <c r="A464" t="s">
        <v>1444</v>
      </c>
      <c r="B464" t="s">
        <v>1334</v>
      </c>
      <c r="C464" t="s">
        <v>1335</v>
      </c>
      <c r="D464">
        <v>49</v>
      </c>
      <c r="E464" t="s">
        <v>1336</v>
      </c>
      <c r="F464" t="s">
        <v>718</v>
      </c>
      <c r="G464" t="s">
        <v>51</v>
      </c>
      <c r="H464" t="s">
        <v>1337</v>
      </c>
      <c r="I464" t="s">
        <v>53</v>
      </c>
      <c r="J464" t="s">
        <v>721</v>
      </c>
      <c r="K464" t="s">
        <v>1338</v>
      </c>
      <c r="L464" t="s">
        <v>16</v>
      </c>
      <c r="M464" t="s">
        <v>19</v>
      </c>
      <c r="N464">
        <v>3194</v>
      </c>
      <c r="O464">
        <v>188</v>
      </c>
      <c r="P464">
        <v>0</v>
      </c>
      <c r="Q464" t="s">
        <v>926</v>
      </c>
      <c r="R464" t="s">
        <v>380</v>
      </c>
      <c r="S464" t="s">
        <v>927</v>
      </c>
      <c r="T464" t="s">
        <v>1445</v>
      </c>
      <c r="U464" t="s">
        <v>60</v>
      </c>
      <c r="V464" t="s">
        <v>61</v>
      </c>
      <c r="W464">
        <v>3</v>
      </c>
      <c r="X464">
        <v>9.5812499999999995E-2</v>
      </c>
      <c r="Y464" t="s">
        <v>223</v>
      </c>
      <c r="Z464" t="s">
        <v>382</v>
      </c>
      <c r="AA464">
        <v>2</v>
      </c>
      <c r="AB464" t="s">
        <v>1340</v>
      </c>
      <c r="AC464" t="s">
        <v>1341</v>
      </c>
      <c r="AD464" t="s">
        <v>1342</v>
      </c>
      <c r="AE464" t="s">
        <v>1343</v>
      </c>
      <c r="AF464" t="s">
        <v>1344</v>
      </c>
      <c r="AG464" t="s">
        <v>66</v>
      </c>
      <c r="AH464" t="s">
        <v>66</v>
      </c>
      <c r="AI464" t="s">
        <v>66</v>
      </c>
      <c r="AJ464" t="s">
        <v>66</v>
      </c>
      <c r="AK464">
        <v>1</v>
      </c>
      <c r="AL464" t="s">
        <v>1423</v>
      </c>
      <c r="AM464" t="s">
        <v>1424</v>
      </c>
      <c r="AN464" t="s">
        <v>1425</v>
      </c>
      <c r="AO464" t="s">
        <v>66</v>
      </c>
      <c r="AP464">
        <v>1</v>
      </c>
      <c r="AQ464" t="s">
        <v>1426</v>
      </c>
      <c r="AR464" t="s">
        <v>1427</v>
      </c>
      <c r="AS464" t="s">
        <v>66</v>
      </c>
      <c r="AT464" t="s">
        <v>66</v>
      </c>
    </row>
    <row r="465" spans="1:46" x14ac:dyDescent="0.15">
      <c r="A465" t="s">
        <v>1446</v>
      </c>
      <c r="B465" t="s">
        <v>1334</v>
      </c>
      <c r="C465" t="s">
        <v>1335</v>
      </c>
      <c r="D465">
        <v>50</v>
      </c>
      <c r="E465" t="s">
        <v>1336</v>
      </c>
      <c r="F465" t="s">
        <v>718</v>
      </c>
      <c r="G465" t="s">
        <v>51</v>
      </c>
      <c r="H465" t="s">
        <v>1337</v>
      </c>
      <c r="I465" t="s">
        <v>53</v>
      </c>
      <c r="J465" t="s">
        <v>721</v>
      </c>
      <c r="K465" t="s">
        <v>1338</v>
      </c>
      <c r="L465" t="s">
        <v>16</v>
      </c>
      <c r="M465" t="s">
        <v>19</v>
      </c>
      <c r="N465">
        <v>3250</v>
      </c>
      <c r="O465">
        <v>192</v>
      </c>
      <c r="P465">
        <v>0</v>
      </c>
      <c r="Q465" t="s">
        <v>930</v>
      </c>
      <c r="R465" t="s">
        <v>386</v>
      </c>
      <c r="S465" t="s">
        <v>931</v>
      </c>
      <c r="T465" t="s">
        <v>1447</v>
      </c>
      <c r="U465" t="s">
        <v>60</v>
      </c>
      <c r="V465" t="s">
        <v>61</v>
      </c>
      <c r="W465">
        <v>3</v>
      </c>
      <c r="X465">
        <v>9.5812499999999995E-2</v>
      </c>
      <c r="Y465" t="s">
        <v>388</v>
      </c>
      <c r="Z465" t="s">
        <v>389</v>
      </c>
      <c r="AA465">
        <v>2</v>
      </c>
      <c r="AB465" t="s">
        <v>1340</v>
      </c>
      <c r="AC465" t="s">
        <v>1341</v>
      </c>
      <c r="AD465" t="s">
        <v>1342</v>
      </c>
      <c r="AE465" t="s">
        <v>1343</v>
      </c>
      <c r="AF465" t="s">
        <v>1344</v>
      </c>
      <c r="AG465" t="s">
        <v>66</v>
      </c>
      <c r="AH465" t="s">
        <v>66</v>
      </c>
      <c r="AI465" t="s">
        <v>66</v>
      </c>
      <c r="AJ465" t="s">
        <v>66</v>
      </c>
      <c r="AK465">
        <v>1</v>
      </c>
      <c r="AL465" t="s">
        <v>1423</v>
      </c>
      <c r="AM465" t="s">
        <v>1424</v>
      </c>
      <c r="AN465" t="s">
        <v>1425</v>
      </c>
      <c r="AO465" t="s">
        <v>66</v>
      </c>
      <c r="AP465">
        <v>1</v>
      </c>
      <c r="AQ465" t="s">
        <v>1426</v>
      </c>
      <c r="AR465" t="s">
        <v>1427</v>
      </c>
      <c r="AS465" t="s">
        <v>66</v>
      </c>
      <c r="AT465" t="s">
        <v>66</v>
      </c>
    </row>
    <row r="466" spans="1:46" x14ac:dyDescent="0.15">
      <c r="A466" t="s">
        <v>1448</v>
      </c>
      <c r="B466" t="s">
        <v>1334</v>
      </c>
      <c r="C466" t="s">
        <v>1335</v>
      </c>
      <c r="D466">
        <v>51</v>
      </c>
      <c r="E466" t="s">
        <v>1336</v>
      </c>
      <c r="F466" t="s">
        <v>718</v>
      </c>
      <c r="G466" t="s">
        <v>51</v>
      </c>
      <c r="H466" t="s">
        <v>1337</v>
      </c>
      <c r="I466" t="s">
        <v>53</v>
      </c>
      <c r="J466" t="s">
        <v>721</v>
      </c>
      <c r="K466" t="s">
        <v>1338</v>
      </c>
      <c r="L466" t="s">
        <v>16</v>
      </c>
      <c r="M466" t="s">
        <v>19</v>
      </c>
      <c r="N466">
        <v>3306</v>
      </c>
      <c r="O466">
        <v>195</v>
      </c>
      <c r="P466">
        <v>0</v>
      </c>
      <c r="Q466" t="s">
        <v>934</v>
      </c>
      <c r="R466" t="s">
        <v>393</v>
      </c>
      <c r="S466" t="s">
        <v>935</v>
      </c>
      <c r="T466" t="s">
        <v>1449</v>
      </c>
      <c r="U466" t="s">
        <v>60</v>
      </c>
      <c r="V466" t="s">
        <v>61</v>
      </c>
      <c r="W466">
        <v>3</v>
      </c>
      <c r="X466">
        <v>9.5812499999999995E-2</v>
      </c>
      <c r="Y466" t="s">
        <v>230</v>
      </c>
      <c r="Z466" t="s">
        <v>395</v>
      </c>
      <c r="AA466">
        <v>2</v>
      </c>
      <c r="AB466" t="s">
        <v>1340</v>
      </c>
      <c r="AC466" t="s">
        <v>1341</v>
      </c>
      <c r="AD466" t="s">
        <v>1342</v>
      </c>
      <c r="AE466" t="s">
        <v>1343</v>
      </c>
      <c r="AF466" t="s">
        <v>1344</v>
      </c>
      <c r="AG466" t="s">
        <v>66</v>
      </c>
      <c r="AH466" t="s">
        <v>66</v>
      </c>
      <c r="AI466" t="s">
        <v>66</v>
      </c>
      <c r="AJ466" t="s">
        <v>66</v>
      </c>
      <c r="AK466">
        <v>1</v>
      </c>
      <c r="AL466" t="s">
        <v>1423</v>
      </c>
      <c r="AM466" t="s">
        <v>1424</v>
      </c>
      <c r="AN466" t="s">
        <v>1425</v>
      </c>
      <c r="AO466" t="s">
        <v>66</v>
      </c>
      <c r="AP466">
        <v>1</v>
      </c>
      <c r="AQ466" t="s">
        <v>1426</v>
      </c>
      <c r="AR466" t="s">
        <v>1427</v>
      </c>
      <c r="AS466" t="s">
        <v>66</v>
      </c>
      <c r="AT466" t="s">
        <v>66</v>
      </c>
    </row>
    <row r="467" spans="1:46" x14ac:dyDescent="0.15">
      <c r="A467" t="s">
        <v>1450</v>
      </c>
      <c r="B467" t="s">
        <v>1334</v>
      </c>
      <c r="C467" t="s">
        <v>1335</v>
      </c>
      <c r="D467">
        <v>52</v>
      </c>
      <c r="E467" t="s">
        <v>1336</v>
      </c>
      <c r="F467" t="s">
        <v>718</v>
      </c>
      <c r="G467" t="s">
        <v>51</v>
      </c>
      <c r="H467" t="s">
        <v>1337</v>
      </c>
      <c r="I467" t="s">
        <v>53</v>
      </c>
      <c r="J467" t="s">
        <v>721</v>
      </c>
      <c r="K467" t="s">
        <v>1338</v>
      </c>
      <c r="L467" t="s">
        <v>16</v>
      </c>
      <c r="M467" t="s">
        <v>19</v>
      </c>
      <c r="N467">
        <v>3362</v>
      </c>
      <c r="O467">
        <v>198</v>
      </c>
      <c r="P467">
        <v>0</v>
      </c>
      <c r="Q467" t="s">
        <v>938</v>
      </c>
      <c r="R467" t="s">
        <v>399</v>
      </c>
      <c r="S467" t="s">
        <v>939</v>
      </c>
      <c r="T467" t="s">
        <v>1451</v>
      </c>
      <c r="U467" t="s">
        <v>60</v>
      </c>
      <c r="V467" t="s">
        <v>61</v>
      </c>
      <c r="W467">
        <v>3</v>
      </c>
      <c r="X467">
        <v>9.5812499999999995E-2</v>
      </c>
      <c r="Y467" t="s">
        <v>401</v>
      </c>
      <c r="Z467" t="s">
        <v>402</v>
      </c>
      <c r="AA467">
        <v>2</v>
      </c>
      <c r="AB467" t="s">
        <v>1340</v>
      </c>
      <c r="AC467" t="s">
        <v>1341</v>
      </c>
      <c r="AD467" t="s">
        <v>1342</v>
      </c>
      <c r="AE467" t="s">
        <v>1343</v>
      </c>
      <c r="AF467" t="s">
        <v>1344</v>
      </c>
      <c r="AG467" t="s">
        <v>66</v>
      </c>
      <c r="AH467" t="s">
        <v>66</v>
      </c>
      <c r="AI467" t="s">
        <v>66</v>
      </c>
      <c r="AJ467" t="s">
        <v>66</v>
      </c>
      <c r="AK467">
        <v>1</v>
      </c>
      <c r="AL467" t="s">
        <v>1423</v>
      </c>
      <c r="AM467" t="s">
        <v>1424</v>
      </c>
      <c r="AN467" t="s">
        <v>1425</v>
      </c>
      <c r="AO467" t="s">
        <v>66</v>
      </c>
      <c r="AP467">
        <v>1</v>
      </c>
      <c r="AQ467" t="s">
        <v>1426</v>
      </c>
      <c r="AR467" t="s">
        <v>1427</v>
      </c>
      <c r="AS467" t="s">
        <v>66</v>
      </c>
      <c r="AT467" t="s">
        <v>66</v>
      </c>
    </row>
    <row r="468" spans="1:46" x14ac:dyDescent="0.15">
      <c r="A468" t="s">
        <v>1452</v>
      </c>
      <c r="B468" t="s">
        <v>1334</v>
      </c>
      <c r="C468" t="s">
        <v>1335</v>
      </c>
      <c r="D468">
        <v>53</v>
      </c>
      <c r="E468" t="s">
        <v>1336</v>
      </c>
      <c r="F468" t="s">
        <v>718</v>
      </c>
      <c r="G468" t="s">
        <v>51</v>
      </c>
      <c r="H468" t="s">
        <v>1337</v>
      </c>
      <c r="I468" t="s">
        <v>53</v>
      </c>
      <c r="J468" t="s">
        <v>721</v>
      </c>
      <c r="K468" t="s">
        <v>1338</v>
      </c>
      <c r="L468" t="s">
        <v>16</v>
      </c>
      <c r="M468" t="s">
        <v>19</v>
      </c>
      <c r="N468">
        <v>3418</v>
      </c>
      <c r="O468">
        <v>201</v>
      </c>
      <c r="P468">
        <v>0</v>
      </c>
      <c r="Q468" t="s">
        <v>942</v>
      </c>
      <c r="R468" t="s">
        <v>406</v>
      </c>
      <c r="S468" t="s">
        <v>943</v>
      </c>
      <c r="T468" t="s">
        <v>1453</v>
      </c>
      <c r="U468" t="s">
        <v>60</v>
      </c>
      <c r="V468" t="s">
        <v>61</v>
      </c>
      <c r="W468">
        <v>3</v>
      </c>
      <c r="X468">
        <v>9.5812499999999995E-2</v>
      </c>
      <c r="Y468" t="s">
        <v>236</v>
      </c>
      <c r="Z468" t="s">
        <v>408</v>
      </c>
      <c r="AA468">
        <v>2</v>
      </c>
      <c r="AB468" t="s">
        <v>1340</v>
      </c>
      <c r="AC468" t="s">
        <v>1341</v>
      </c>
      <c r="AD468" t="s">
        <v>1342</v>
      </c>
      <c r="AE468" t="s">
        <v>1343</v>
      </c>
      <c r="AF468" t="s">
        <v>1344</v>
      </c>
      <c r="AG468" t="s">
        <v>66</v>
      </c>
      <c r="AH468" t="s">
        <v>66</v>
      </c>
      <c r="AI468" t="s">
        <v>66</v>
      </c>
      <c r="AJ468" t="s">
        <v>66</v>
      </c>
      <c r="AK468">
        <v>1</v>
      </c>
      <c r="AL468" t="s">
        <v>1423</v>
      </c>
      <c r="AM468" t="s">
        <v>1424</v>
      </c>
      <c r="AN468" t="s">
        <v>1425</v>
      </c>
      <c r="AO468" t="s">
        <v>66</v>
      </c>
      <c r="AP468">
        <v>1</v>
      </c>
      <c r="AQ468" t="s">
        <v>1426</v>
      </c>
      <c r="AR468" t="s">
        <v>1427</v>
      </c>
      <c r="AS468" t="s">
        <v>66</v>
      </c>
      <c r="AT468" t="s">
        <v>66</v>
      </c>
    </row>
    <row r="469" spans="1:46" x14ac:dyDescent="0.15">
      <c r="A469" t="s">
        <v>1454</v>
      </c>
      <c r="B469" t="s">
        <v>1334</v>
      </c>
      <c r="C469" t="s">
        <v>1335</v>
      </c>
      <c r="D469">
        <v>54</v>
      </c>
      <c r="E469" t="s">
        <v>1336</v>
      </c>
      <c r="F469" t="s">
        <v>718</v>
      </c>
      <c r="G469" t="s">
        <v>51</v>
      </c>
      <c r="H469" t="s">
        <v>1337</v>
      </c>
      <c r="I469" t="s">
        <v>53</v>
      </c>
      <c r="J469" t="s">
        <v>721</v>
      </c>
      <c r="K469" t="s">
        <v>1338</v>
      </c>
      <c r="L469" t="s">
        <v>16</v>
      </c>
      <c r="M469" t="s">
        <v>19</v>
      </c>
      <c r="N469">
        <v>3474</v>
      </c>
      <c r="O469">
        <v>205</v>
      </c>
      <c r="P469">
        <v>0</v>
      </c>
      <c r="Q469" t="s">
        <v>946</v>
      </c>
      <c r="R469" t="s">
        <v>412</v>
      </c>
      <c r="S469" t="s">
        <v>947</v>
      </c>
      <c r="T469" t="s">
        <v>1455</v>
      </c>
      <c r="U469" t="s">
        <v>60</v>
      </c>
      <c r="V469" t="s">
        <v>61</v>
      </c>
      <c r="W469">
        <v>3</v>
      </c>
      <c r="X469">
        <v>9.5812499999999995E-2</v>
      </c>
      <c r="Y469" t="s">
        <v>414</v>
      </c>
      <c r="Z469" t="s">
        <v>415</v>
      </c>
      <c r="AA469">
        <v>2</v>
      </c>
      <c r="AB469" t="s">
        <v>1340</v>
      </c>
      <c r="AC469" t="s">
        <v>1341</v>
      </c>
      <c r="AD469" t="s">
        <v>1342</v>
      </c>
      <c r="AE469" t="s">
        <v>1343</v>
      </c>
      <c r="AF469" t="s">
        <v>1344</v>
      </c>
      <c r="AG469" t="s">
        <v>66</v>
      </c>
      <c r="AH469" t="s">
        <v>66</v>
      </c>
      <c r="AI469" t="s">
        <v>66</v>
      </c>
      <c r="AJ469" t="s">
        <v>66</v>
      </c>
      <c r="AK469">
        <v>1</v>
      </c>
      <c r="AL469" t="s">
        <v>1423</v>
      </c>
      <c r="AM469" t="s">
        <v>1424</v>
      </c>
      <c r="AN469" t="s">
        <v>1425</v>
      </c>
      <c r="AO469" t="s">
        <v>66</v>
      </c>
      <c r="AP469">
        <v>1</v>
      </c>
      <c r="AQ469" t="s">
        <v>1426</v>
      </c>
      <c r="AR469" t="s">
        <v>1427</v>
      </c>
      <c r="AS469" t="s">
        <v>66</v>
      </c>
      <c r="AT469" t="s">
        <v>66</v>
      </c>
    </row>
    <row r="470" spans="1:46" x14ac:dyDescent="0.15">
      <c r="A470" t="s">
        <v>1456</v>
      </c>
      <c r="B470" t="s">
        <v>1334</v>
      </c>
      <c r="C470" t="s">
        <v>1335</v>
      </c>
      <c r="D470">
        <v>55</v>
      </c>
      <c r="E470" t="s">
        <v>1336</v>
      </c>
      <c r="F470" t="s">
        <v>718</v>
      </c>
      <c r="G470" t="s">
        <v>51</v>
      </c>
      <c r="H470" t="s">
        <v>1337</v>
      </c>
      <c r="I470" t="s">
        <v>53</v>
      </c>
      <c r="J470" t="s">
        <v>721</v>
      </c>
      <c r="K470" t="s">
        <v>1338</v>
      </c>
      <c r="L470" t="s">
        <v>16</v>
      </c>
      <c r="M470" t="s">
        <v>19</v>
      </c>
      <c r="N470">
        <v>3531</v>
      </c>
      <c r="O470">
        <v>208</v>
      </c>
      <c r="P470">
        <v>0</v>
      </c>
      <c r="Q470" t="s">
        <v>950</v>
      </c>
      <c r="R470" t="s">
        <v>419</v>
      </c>
      <c r="S470" t="s">
        <v>951</v>
      </c>
      <c r="T470" t="s">
        <v>1457</v>
      </c>
      <c r="U470" t="s">
        <v>60</v>
      </c>
      <c r="V470" t="s">
        <v>61</v>
      </c>
      <c r="W470">
        <v>3</v>
      </c>
      <c r="X470">
        <v>9.5812499999999995E-2</v>
      </c>
      <c r="Y470" t="s">
        <v>243</v>
      </c>
      <c r="Z470" t="s">
        <v>421</v>
      </c>
      <c r="AA470">
        <v>2</v>
      </c>
      <c r="AB470" t="s">
        <v>1340</v>
      </c>
      <c r="AC470" t="s">
        <v>1341</v>
      </c>
      <c r="AD470" t="s">
        <v>1342</v>
      </c>
      <c r="AE470" t="s">
        <v>1343</v>
      </c>
      <c r="AF470" t="s">
        <v>1344</v>
      </c>
      <c r="AG470" t="s">
        <v>66</v>
      </c>
      <c r="AH470" t="s">
        <v>66</v>
      </c>
      <c r="AI470" t="s">
        <v>66</v>
      </c>
      <c r="AJ470" t="s">
        <v>66</v>
      </c>
      <c r="AK470">
        <v>1</v>
      </c>
      <c r="AL470" t="s">
        <v>1423</v>
      </c>
      <c r="AM470" t="s">
        <v>1424</v>
      </c>
      <c r="AN470" t="s">
        <v>1425</v>
      </c>
      <c r="AO470" t="s">
        <v>66</v>
      </c>
      <c r="AP470">
        <v>1</v>
      </c>
      <c r="AQ470" t="s">
        <v>1426</v>
      </c>
      <c r="AR470" t="s">
        <v>1427</v>
      </c>
      <c r="AS470" t="s">
        <v>66</v>
      </c>
      <c r="AT470" t="s">
        <v>66</v>
      </c>
    </row>
    <row r="471" spans="1:46" x14ac:dyDescent="0.15">
      <c r="A471" t="s">
        <v>1458</v>
      </c>
      <c r="B471" t="s">
        <v>1334</v>
      </c>
      <c r="C471" t="s">
        <v>1335</v>
      </c>
      <c r="D471">
        <v>56</v>
      </c>
      <c r="E471" t="s">
        <v>1336</v>
      </c>
      <c r="F471" t="s">
        <v>718</v>
      </c>
      <c r="G471" t="s">
        <v>51</v>
      </c>
      <c r="H471" t="s">
        <v>1337</v>
      </c>
      <c r="I471" t="s">
        <v>53</v>
      </c>
      <c r="J471" t="s">
        <v>721</v>
      </c>
      <c r="K471" t="s">
        <v>1338</v>
      </c>
      <c r="L471" t="s">
        <v>16</v>
      </c>
      <c r="M471" t="s">
        <v>19</v>
      </c>
      <c r="N471">
        <v>3587</v>
      </c>
      <c r="O471">
        <v>211</v>
      </c>
      <c r="P471">
        <v>0</v>
      </c>
      <c r="Q471" t="s">
        <v>954</v>
      </c>
      <c r="R471" t="s">
        <v>425</v>
      </c>
      <c r="S471" t="s">
        <v>955</v>
      </c>
      <c r="T471" t="s">
        <v>1459</v>
      </c>
      <c r="U471" t="s">
        <v>60</v>
      </c>
      <c r="V471" t="s">
        <v>61</v>
      </c>
      <c r="W471">
        <v>3</v>
      </c>
      <c r="X471">
        <v>9.5812499999999995E-2</v>
      </c>
      <c r="Y471" t="s">
        <v>427</v>
      </c>
      <c r="Z471" t="s">
        <v>428</v>
      </c>
      <c r="AA471">
        <v>2</v>
      </c>
      <c r="AB471" t="s">
        <v>1340</v>
      </c>
      <c r="AC471" t="s">
        <v>1341</v>
      </c>
      <c r="AD471" t="s">
        <v>1342</v>
      </c>
      <c r="AE471" t="s">
        <v>1343</v>
      </c>
      <c r="AF471" t="s">
        <v>1344</v>
      </c>
      <c r="AG471" t="s">
        <v>66</v>
      </c>
      <c r="AH471" t="s">
        <v>66</v>
      </c>
      <c r="AI471" t="s">
        <v>66</v>
      </c>
      <c r="AJ471" t="s">
        <v>66</v>
      </c>
      <c r="AK471">
        <v>1</v>
      </c>
      <c r="AL471" t="s">
        <v>1423</v>
      </c>
      <c r="AM471" t="s">
        <v>1424</v>
      </c>
      <c r="AN471" t="s">
        <v>1425</v>
      </c>
      <c r="AO471" t="s">
        <v>66</v>
      </c>
      <c r="AP471">
        <v>1</v>
      </c>
      <c r="AQ471" t="s">
        <v>1426</v>
      </c>
      <c r="AR471" t="s">
        <v>1427</v>
      </c>
      <c r="AS471" t="s">
        <v>66</v>
      </c>
      <c r="AT471" t="s">
        <v>66</v>
      </c>
    </row>
    <row r="472" spans="1:46" x14ac:dyDescent="0.15">
      <c r="A472" t="s">
        <v>1460</v>
      </c>
      <c r="B472" t="s">
        <v>1334</v>
      </c>
      <c r="C472" t="s">
        <v>1335</v>
      </c>
      <c r="D472">
        <v>57</v>
      </c>
      <c r="E472" t="s">
        <v>1336</v>
      </c>
      <c r="F472" t="s">
        <v>718</v>
      </c>
      <c r="G472" t="s">
        <v>51</v>
      </c>
      <c r="H472" t="s">
        <v>1337</v>
      </c>
      <c r="I472" t="s">
        <v>53</v>
      </c>
      <c r="J472" t="s">
        <v>721</v>
      </c>
      <c r="K472" t="s">
        <v>1338</v>
      </c>
      <c r="L472" t="s">
        <v>16</v>
      </c>
      <c r="M472" t="s">
        <v>19</v>
      </c>
      <c r="N472">
        <v>3643</v>
      </c>
      <c r="O472">
        <v>215</v>
      </c>
      <c r="P472">
        <v>0</v>
      </c>
      <c r="Q472" t="s">
        <v>958</v>
      </c>
      <c r="R472" t="s">
        <v>432</v>
      </c>
      <c r="S472" t="s">
        <v>959</v>
      </c>
      <c r="T472" t="s">
        <v>1461</v>
      </c>
      <c r="U472" t="s">
        <v>60</v>
      </c>
      <c r="V472" t="s">
        <v>61</v>
      </c>
      <c r="W472">
        <v>3</v>
      </c>
      <c r="X472">
        <v>9.5812499999999995E-2</v>
      </c>
      <c r="Y472" t="s">
        <v>249</v>
      </c>
      <c r="Z472" t="s">
        <v>434</v>
      </c>
      <c r="AA472">
        <v>2</v>
      </c>
      <c r="AB472" t="s">
        <v>1340</v>
      </c>
      <c r="AC472" t="s">
        <v>1341</v>
      </c>
      <c r="AD472" t="s">
        <v>1342</v>
      </c>
      <c r="AE472" t="s">
        <v>1343</v>
      </c>
      <c r="AF472" t="s">
        <v>1344</v>
      </c>
      <c r="AG472" t="s">
        <v>66</v>
      </c>
      <c r="AH472" t="s">
        <v>66</v>
      </c>
      <c r="AI472" t="s">
        <v>66</v>
      </c>
      <c r="AJ472" t="s">
        <v>66</v>
      </c>
      <c r="AK472">
        <v>1</v>
      </c>
      <c r="AL472" t="s">
        <v>1423</v>
      </c>
      <c r="AM472" t="s">
        <v>1424</v>
      </c>
      <c r="AN472" t="s">
        <v>1425</v>
      </c>
      <c r="AO472" t="s">
        <v>66</v>
      </c>
      <c r="AP472">
        <v>1</v>
      </c>
      <c r="AQ472" t="s">
        <v>1426</v>
      </c>
      <c r="AR472" t="s">
        <v>1427</v>
      </c>
      <c r="AS472" t="s">
        <v>66</v>
      </c>
      <c r="AT472" t="s">
        <v>66</v>
      </c>
    </row>
    <row r="473" spans="1:46" x14ac:dyDescent="0.15">
      <c r="A473" t="s">
        <v>1462</v>
      </c>
      <c r="B473" t="s">
        <v>1334</v>
      </c>
      <c r="C473" t="s">
        <v>1335</v>
      </c>
      <c r="D473">
        <v>58</v>
      </c>
      <c r="E473" t="s">
        <v>1336</v>
      </c>
      <c r="F473" t="s">
        <v>718</v>
      </c>
      <c r="G473" t="s">
        <v>51</v>
      </c>
      <c r="H473" t="s">
        <v>1337</v>
      </c>
      <c r="I473" t="s">
        <v>53</v>
      </c>
      <c r="J473" t="s">
        <v>721</v>
      </c>
      <c r="K473" t="s">
        <v>1338</v>
      </c>
      <c r="L473" t="s">
        <v>16</v>
      </c>
      <c r="M473" t="s">
        <v>19</v>
      </c>
      <c r="N473">
        <v>3699</v>
      </c>
      <c r="O473">
        <v>218</v>
      </c>
      <c r="P473">
        <v>0</v>
      </c>
      <c r="Q473" t="s">
        <v>962</v>
      </c>
      <c r="R473" t="s">
        <v>438</v>
      </c>
      <c r="S473" t="s">
        <v>963</v>
      </c>
      <c r="T473" t="s">
        <v>1463</v>
      </c>
      <c r="U473" t="s">
        <v>60</v>
      </c>
      <c r="V473" t="s">
        <v>61</v>
      </c>
      <c r="W473">
        <v>3</v>
      </c>
      <c r="X473">
        <v>9.5812499999999995E-2</v>
      </c>
      <c r="Y473" t="s">
        <v>440</v>
      </c>
      <c r="Z473" t="s">
        <v>441</v>
      </c>
      <c r="AA473">
        <v>2</v>
      </c>
      <c r="AB473" t="s">
        <v>1340</v>
      </c>
      <c r="AC473" t="s">
        <v>1341</v>
      </c>
      <c r="AD473" t="s">
        <v>1342</v>
      </c>
      <c r="AE473" t="s">
        <v>1343</v>
      </c>
      <c r="AF473" t="s">
        <v>1344</v>
      </c>
      <c r="AG473" t="s">
        <v>66</v>
      </c>
      <c r="AH473" t="s">
        <v>66</v>
      </c>
      <c r="AI473" t="s">
        <v>66</v>
      </c>
      <c r="AJ473" t="s">
        <v>66</v>
      </c>
      <c r="AK473">
        <v>1</v>
      </c>
      <c r="AL473" t="s">
        <v>1423</v>
      </c>
      <c r="AM473" t="s">
        <v>1424</v>
      </c>
      <c r="AN473" t="s">
        <v>1425</v>
      </c>
      <c r="AO473" t="s">
        <v>66</v>
      </c>
      <c r="AP473">
        <v>1</v>
      </c>
      <c r="AQ473" t="s">
        <v>1426</v>
      </c>
      <c r="AR473" t="s">
        <v>1427</v>
      </c>
      <c r="AS473" t="s">
        <v>66</v>
      </c>
      <c r="AT473" t="s">
        <v>66</v>
      </c>
    </row>
    <row r="474" spans="1:46" x14ac:dyDescent="0.15">
      <c r="A474" t="s">
        <v>1464</v>
      </c>
      <c r="B474" t="s">
        <v>1334</v>
      </c>
      <c r="C474" t="s">
        <v>1335</v>
      </c>
      <c r="D474">
        <v>59</v>
      </c>
      <c r="E474" t="s">
        <v>1336</v>
      </c>
      <c r="F474" t="s">
        <v>718</v>
      </c>
      <c r="G474" t="s">
        <v>51</v>
      </c>
      <c r="H474" t="s">
        <v>1337</v>
      </c>
      <c r="I474" t="s">
        <v>53</v>
      </c>
      <c r="J474" t="s">
        <v>721</v>
      </c>
      <c r="K474" t="s">
        <v>1338</v>
      </c>
      <c r="L474" t="s">
        <v>16</v>
      </c>
      <c r="M474" t="s">
        <v>19</v>
      </c>
      <c r="N474">
        <v>3755</v>
      </c>
      <c r="O474">
        <v>221</v>
      </c>
      <c r="P474">
        <v>0</v>
      </c>
      <c r="Q474" t="s">
        <v>966</v>
      </c>
      <c r="R474" t="s">
        <v>445</v>
      </c>
      <c r="S474" t="s">
        <v>967</v>
      </c>
      <c r="T474" t="s">
        <v>1465</v>
      </c>
      <c r="U474" t="s">
        <v>60</v>
      </c>
      <c r="V474" t="s">
        <v>61</v>
      </c>
      <c r="W474">
        <v>3</v>
      </c>
      <c r="X474">
        <v>9.5812499999999995E-2</v>
      </c>
      <c r="Y474" t="s">
        <v>256</v>
      </c>
      <c r="Z474" t="s">
        <v>447</v>
      </c>
      <c r="AA474">
        <v>2</v>
      </c>
      <c r="AB474" t="s">
        <v>1340</v>
      </c>
      <c r="AC474" t="s">
        <v>1341</v>
      </c>
      <c r="AD474" t="s">
        <v>1342</v>
      </c>
      <c r="AE474" t="s">
        <v>1343</v>
      </c>
      <c r="AF474" t="s">
        <v>1344</v>
      </c>
      <c r="AG474" t="s">
        <v>66</v>
      </c>
      <c r="AH474" t="s">
        <v>66</v>
      </c>
      <c r="AI474" t="s">
        <v>66</v>
      </c>
      <c r="AJ474" t="s">
        <v>66</v>
      </c>
      <c r="AK474">
        <v>1</v>
      </c>
      <c r="AL474" t="s">
        <v>1423</v>
      </c>
      <c r="AM474" t="s">
        <v>1424</v>
      </c>
      <c r="AN474" t="s">
        <v>1425</v>
      </c>
      <c r="AO474" t="s">
        <v>66</v>
      </c>
      <c r="AP474">
        <v>1</v>
      </c>
      <c r="AQ474" t="s">
        <v>1426</v>
      </c>
      <c r="AR474" t="s">
        <v>1427</v>
      </c>
      <c r="AS474" t="s">
        <v>66</v>
      </c>
      <c r="AT474" t="s">
        <v>66</v>
      </c>
    </row>
    <row r="475" spans="1:46" x14ac:dyDescent="0.15">
      <c r="A475" t="s">
        <v>1466</v>
      </c>
      <c r="B475" t="s">
        <v>1334</v>
      </c>
      <c r="C475" t="s">
        <v>1335</v>
      </c>
      <c r="D475">
        <v>60</v>
      </c>
      <c r="E475" t="s">
        <v>1336</v>
      </c>
      <c r="F475" t="s">
        <v>718</v>
      </c>
      <c r="G475" t="s">
        <v>51</v>
      </c>
      <c r="H475" t="s">
        <v>1337</v>
      </c>
      <c r="I475" t="s">
        <v>53</v>
      </c>
      <c r="J475" t="s">
        <v>721</v>
      </c>
      <c r="K475" t="s">
        <v>1338</v>
      </c>
      <c r="L475" t="s">
        <v>16</v>
      </c>
      <c r="M475" t="s">
        <v>19</v>
      </c>
      <c r="N475">
        <v>3811</v>
      </c>
      <c r="O475">
        <v>225</v>
      </c>
      <c r="P475">
        <v>0</v>
      </c>
      <c r="Q475" t="s">
        <v>970</v>
      </c>
      <c r="R475" t="s">
        <v>451</v>
      </c>
      <c r="S475" t="s">
        <v>971</v>
      </c>
      <c r="T475" t="s">
        <v>1467</v>
      </c>
      <c r="U475" t="s">
        <v>60</v>
      </c>
      <c r="V475" t="s">
        <v>61</v>
      </c>
      <c r="W475">
        <v>3</v>
      </c>
      <c r="X475">
        <v>9.5812499999999995E-2</v>
      </c>
      <c r="Y475" t="s">
        <v>453</v>
      </c>
      <c r="Z475" t="s">
        <v>454</v>
      </c>
      <c r="AA475">
        <v>2</v>
      </c>
      <c r="AB475" t="s">
        <v>1340</v>
      </c>
      <c r="AC475" t="s">
        <v>1341</v>
      </c>
      <c r="AD475" t="s">
        <v>1342</v>
      </c>
      <c r="AE475" t="s">
        <v>1343</v>
      </c>
      <c r="AF475" t="s">
        <v>1344</v>
      </c>
      <c r="AG475" t="s">
        <v>66</v>
      </c>
      <c r="AH475" t="s">
        <v>66</v>
      </c>
      <c r="AI475" t="s">
        <v>66</v>
      </c>
      <c r="AJ475" t="s">
        <v>66</v>
      </c>
      <c r="AK475">
        <v>1</v>
      </c>
      <c r="AL475" t="s">
        <v>1423</v>
      </c>
      <c r="AM475" t="s">
        <v>1424</v>
      </c>
      <c r="AN475" t="s">
        <v>1425</v>
      </c>
      <c r="AO475" t="s">
        <v>66</v>
      </c>
      <c r="AP475">
        <v>1</v>
      </c>
      <c r="AQ475" t="s">
        <v>1426</v>
      </c>
      <c r="AR475" t="s">
        <v>1427</v>
      </c>
      <c r="AS475" t="s">
        <v>66</v>
      </c>
      <c r="AT475" t="s">
        <v>66</v>
      </c>
    </row>
    <row r="476" spans="1:46" x14ac:dyDescent="0.15">
      <c r="A476" t="s">
        <v>1466</v>
      </c>
      <c r="B476" t="s">
        <v>1334</v>
      </c>
      <c r="C476" t="s">
        <v>1335</v>
      </c>
      <c r="D476">
        <v>60</v>
      </c>
      <c r="E476" t="s">
        <v>1336</v>
      </c>
      <c r="F476" t="s">
        <v>718</v>
      </c>
      <c r="G476" t="s">
        <v>51</v>
      </c>
      <c r="H476" t="s">
        <v>1337</v>
      </c>
      <c r="I476" t="s">
        <v>53</v>
      </c>
      <c r="J476" t="s">
        <v>721</v>
      </c>
      <c r="K476" t="s">
        <v>1338</v>
      </c>
      <c r="L476" t="s">
        <v>16</v>
      </c>
      <c r="M476" t="s">
        <v>19</v>
      </c>
      <c r="N476">
        <v>3811</v>
      </c>
      <c r="O476">
        <v>225</v>
      </c>
      <c r="P476">
        <v>0</v>
      </c>
      <c r="Q476" t="s">
        <v>970</v>
      </c>
      <c r="R476" t="s">
        <v>451</v>
      </c>
      <c r="S476" t="s">
        <v>971</v>
      </c>
      <c r="T476" t="s">
        <v>1467</v>
      </c>
      <c r="U476" t="s">
        <v>60</v>
      </c>
      <c r="V476" t="s">
        <v>61</v>
      </c>
      <c r="W476">
        <v>3</v>
      </c>
      <c r="X476">
        <v>9.5812499999999995E-2</v>
      </c>
      <c r="Y476" t="s">
        <v>453</v>
      </c>
      <c r="Z476" t="s">
        <v>454</v>
      </c>
      <c r="AA476">
        <v>3</v>
      </c>
      <c r="AB476" t="s">
        <v>1340</v>
      </c>
      <c r="AC476" t="s">
        <v>1341</v>
      </c>
      <c r="AD476" t="s">
        <v>1342</v>
      </c>
      <c r="AE476" t="s">
        <v>1343</v>
      </c>
      <c r="AF476" t="s">
        <v>1344</v>
      </c>
      <c r="AG476" t="s">
        <v>889</v>
      </c>
      <c r="AH476" t="s">
        <v>806</v>
      </c>
      <c r="AI476" t="s">
        <v>889</v>
      </c>
      <c r="AJ476" t="s">
        <v>66</v>
      </c>
      <c r="AK476">
        <v>1</v>
      </c>
      <c r="AL476" t="s">
        <v>1423</v>
      </c>
      <c r="AM476" t="s">
        <v>1424</v>
      </c>
      <c r="AN476" t="s">
        <v>1425</v>
      </c>
      <c r="AO476" t="s">
        <v>66</v>
      </c>
      <c r="AP476">
        <v>1</v>
      </c>
      <c r="AQ476" t="s">
        <v>1426</v>
      </c>
      <c r="AR476" t="s">
        <v>1427</v>
      </c>
      <c r="AS476" t="s">
        <v>1468</v>
      </c>
      <c r="AT476" t="s">
        <v>66</v>
      </c>
    </row>
    <row r="477" spans="1:46" x14ac:dyDescent="0.15">
      <c r="A477" t="s">
        <v>1469</v>
      </c>
      <c r="B477" t="s">
        <v>1334</v>
      </c>
      <c r="C477" t="s">
        <v>1335</v>
      </c>
      <c r="D477">
        <v>61</v>
      </c>
      <c r="E477" t="s">
        <v>1336</v>
      </c>
      <c r="F477" t="s">
        <v>718</v>
      </c>
      <c r="G477" t="s">
        <v>51</v>
      </c>
      <c r="H477" t="s">
        <v>1337</v>
      </c>
      <c r="I477" t="s">
        <v>53</v>
      </c>
      <c r="J477" t="s">
        <v>721</v>
      </c>
      <c r="K477" t="s">
        <v>1338</v>
      </c>
      <c r="L477" t="s">
        <v>16</v>
      </c>
      <c r="M477" t="s">
        <v>19</v>
      </c>
      <c r="N477">
        <v>3867</v>
      </c>
      <c r="O477">
        <v>228</v>
      </c>
      <c r="P477">
        <v>0</v>
      </c>
      <c r="Q477" t="s">
        <v>975</v>
      </c>
      <c r="R477" t="s">
        <v>463</v>
      </c>
      <c r="S477" t="s">
        <v>976</v>
      </c>
      <c r="T477" t="s">
        <v>1470</v>
      </c>
      <c r="U477" t="s">
        <v>60</v>
      </c>
      <c r="V477" t="s">
        <v>61</v>
      </c>
      <c r="W477">
        <v>3</v>
      </c>
      <c r="X477">
        <v>9.5812499999999995E-2</v>
      </c>
      <c r="Y477" t="s">
        <v>262</v>
      </c>
      <c r="Z477" t="s">
        <v>465</v>
      </c>
      <c r="AA477">
        <v>3</v>
      </c>
      <c r="AB477" t="s">
        <v>1340</v>
      </c>
      <c r="AC477" t="s">
        <v>1341</v>
      </c>
      <c r="AD477" t="s">
        <v>1342</v>
      </c>
      <c r="AE477" t="s">
        <v>1343</v>
      </c>
      <c r="AF477" t="s">
        <v>1344</v>
      </c>
      <c r="AG477" t="s">
        <v>889</v>
      </c>
      <c r="AH477" t="s">
        <v>806</v>
      </c>
      <c r="AI477" t="s">
        <v>889</v>
      </c>
      <c r="AJ477" t="s">
        <v>66</v>
      </c>
      <c r="AK477">
        <v>1</v>
      </c>
      <c r="AL477" t="s">
        <v>1423</v>
      </c>
      <c r="AM477" t="s">
        <v>1424</v>
      </c>
      <c r="AN477" t="s">
        <v>1425</v>
      </c>
      <c r="AO477" t="s">
        <v>66</v>
      </c>
      <c r="AP477">
        <v>1</v>
      </c>
      <c r="AQ477" t="s">
        <v>1426</v>
      </c>
      <c r="AR477" t="s">
        <v>1427</v>
      </c>
      <c r="AS477" t="s">
        <v>1468</v>
      </c>
      <c r="AT477" t="s">
        <v>66</v>
      </c>
    </row>
    <row r="478" spans="1:46" x14ac:dyDescent="0.15">
      <c r="A478" t="s">
        <v>1471</v>
      </c>
      <c r="B478" t="s">
        <v>1334</v>
      </c>
      <c r="C478" t="s">
        <v>1335</v>
      </c>
      <c r="D478">
        <v>62</v>
      </c>
      <c r="E478" t="s">
        <v>1336</v>
      </c>
      <c r="F478" t="s">
        <v>718</v>
      </c>
      <c r="G478" t="s">
        <v>51</v>
      </c>
      <c r="H478" t="s">
        <v>1337</v>
      </c>
      <c r="I478" t="s">
        <v>53</v>
      </c>
      <c r="J478" t="s">
        <v>721</v>
      </c>
      <c r="K478" t="s">
        <v>1338</v>
      </c>
      <c r="L478" t="s">
        <v>16</v>
      </c>
      <c r="M478" t="s">
        <v>19</v>
      </c>
      <c r="N478">
        <v>3923</v>
      </c>
      <c r="O478">
        <v>231</v>
      </c>
      <c r="P478">
        <v>0</v>
      </c>
      <c r="Q478" t="s">
        <v>979</v>
      </c>
      <c r="R478" t="s">
        <v>469</v>
      </c>
      <c r="S478" t="s">
        <v>980</v>
      </c>
      <c r="T478" t="s">
        <v>1472</v>
      </c>
      <c r="U478" t="s">
        <v>60</v>
      </c>
      <c r="V478" t="s">
        <v>61</v>
      </c>
      <c r="W478">
        <v>3</v>
      </c>
      <c r="X478">
        <v>9.5812499999999995E-2</v>
      </c>
      <c r="Y478" t="s">
        <v>471</v>
      </c>
      <c r="Z478" t="s">
        <v>472</v>
      </c>
      <c r="AA478">
        <v>3</v>
      </c>
      <c r="AB478" t="s">
        <v>1340</v>
      </c>
      <c r="AC478" t="s">
        <v>1341</v>
      </c>
      <c r="AD478" t="s">
        <v>1342</v>
      </c>
      <c r="AE478" t="s">
        <v>1343</v>
      </c>
      <c r="AF478" t="s">
        <v>1344</v>
      </c>
      <c r="AG478" t="s">
        <v>889</v>
      </c>
      <c r="AH478" t="s">
        <v>806</v>
      </c>
      <c r="AI478" t="s">
        <v>889</v>
      </c>
      <c r="AJ478" t="s">
        <v>66</v>
      </c>
      <c r="AK478">
        <v>1</v>
      </c>
      <c r="AL478" t="s">
        <v>1423</v>
      </c>
      <c r="AM478" t="s">
        <v>1424</v>
      </c>
      <c r="AN478" t="s">
        <v>1425</v>
      </c>
      <c r="AO478" t="s">
        <v>66</v>
      </c>
      <c r="AP478">
        <v>1</v>
      </c>
      <c r="AQ478" t="s">
        <v>1426</v>
      </c>
      <c r="AR478" t="s">
        <v>1427</v>
      </c>
      <c r="AS478" t="s">
        <v>1468</v>
      </c>
      <c r="AT478" t="s">
        <v>66</v>
      </c>
    </row>
    <row r="479" spans="1:46" x14ac:dyDescent="0.15">
      <c r="A479" t="s">
        <v>1473</v>
      </c>
      <c r="B479" t="s">
        <v>1334</v>
      </c>
      <c r="C479" t="s">
        <v>1335</v>
      </c>
      <c r="D479">
        <v>63</v>
      </c>
      <c r="E479" t="s">
        <v>1336</v>
      </c>
      <c r="F479" t="s">
        <v>718</v>
      </c>
      <c r="G479" t="s">
        <v>51</v>
      </c>
      <c r="H479" t="s">
        <v>1337</v>
      </c>
      <c r="I479" t="s">
        <v>53</v>
      </c>
      <c r="J479" t="s">
        <v>721</v>
      </c>
      <c r="K479" t="s">
        <v>1338</v>
      </c>
      <c r="L479" t="s">
        <v>16</v>
      </c>
      <c r="M479" t="s">
        <v>19</v>
      </c>
      <c r="N479">
        <v>3980</v>
      </c>
      <c r="O479">
        <v>234</v>
      </c>
      <c r="P479">
        <v>0</v>
      </c>
      <c r="Q479" t="s">
        <v>983</v>
      </c>
      <c r="R479" t="s">
        <v>476</v>
      </c>
      <c r="S479" t="s">
        <v>984</v>
      </c>
      <c r="T479" t="s">
        <v>1474</v>
      </c>
      <c r="U479" t="s">
        <v>60</v>
      </c>
      <c r="V479" t="s">
        <v>61</v>
      </c>
      <c r="W479">
        <v>3</v>
      </c>
      <c r="X479">
        <v>9.5812499999999995E-2</v>
      </c>
      <c r="Y479" t="s">
        <v>269</v>
      </c>
      <c r="Z479" t="s">
        <v>478</v>
      </c>
      <c r="AA479">
        <v>3</v>
      </c>
      <c r="AB479" t="s">
        <v>1340</v>
      </c>
      <c r="AC479" t="s">
        <v>1341</v>
      </c>
      <c r="AD479" t="s">
        <v>1342</v>
      </c>
      <c r="AE479" t="s">
        <v>1343</v>
      </c>
      <c r="AF479" t="s">
        <v>1344</v>
      </c>
      <c r="AG479" t="s">
        <v>889</v>
      </c>
      <c r="AH479" t="s">
        <v>806</v>
      </c>
      <c r="AI479" t="s">
        <v>889</v>
      </c>
      <c r="AJ479" t="s">
        <v>66</v>
      </c>
      <c r="AK479">
        <v>1</v>
      </c>
      <c r="AL479" t="s">
        <v>1423</v>
      </c>
      <c r="AM479" t="s">
        <v>1424</v>
      </c>
      <c r="AN479" t="s">
        <v>1425</v>
      </c>
      <c r="AO479" t="s">
        <v>66</v>
      </c>
      <c r="AP479">
        <v>1</v>
      </c>
      <c r="AQ479" t="s">
        <v>1426</v>
      </c>
      <c r="AR479" t="s">
        <v>1427</v>
      </c>
      <c r="AS479" t="s">
        <v>1468</v>
      </c>
      <c r="AT479" t="s">
        <v>66</v>
      </c>
    </row>
    <row r="480" spans="1:46" x14ac:dyDescent="0.15">
      <c r="A480" t="s">
        <v>1475</v>
      </c>
      <c r="B480" t="s">
        <v>1334</v>
      </c>
      <c r="C480" t="s">
        <v>1335</v>
      </c>
      <c r="D480">
        <v>64</v>
      </c>
      <c r="E480" t="s">
        <v>1336</v>
      </c>
      <c r="F480" t="s">
        <v>718</v>
      </c>
      <c r="G480" t="s">
        <v>51</v>
      </c>
      <c r="H480" t="s">
        <v>1337</v>
      </c>
      <c r="I480" t="s">
        <v>53</v>
      </c>
      <c r="J480" t="s">
        <v>721</v>
      </c>
      <c r="K480" t="s">
        <v>1338</v>
      </c>
      <c r="L480" t="s">
        <v>16</v>
      </c>
      <c r="M480" t="s">
        <v>19</v>
      </c>
      <c r="N480">
        <v>4036</v>
      </c>
      <c r="O480">
        <v>238</v>
      </c>
      <c r="P480">
        <v>0</v>
      </c>
      <c r="Q480" t="s">
        <v>987</v>
      </c>
      <c r="R480" t="s">
        <v>482</v>
      </c>
      <c r="S480" t="s">
        <v>988</v>
      </c>
      <c r="T480" t="s">
        <v>1476</v>
      </c>
      <c r="U480" t="s">
        <v>60</v>
      </c>
      <c r="V480" t="s">
        <v>61</v>
      </c>
      <c r="W480">
        <v>3</v>
      </c>
      <c r="X480">
        <v>9.5812499999999995E-2</v>
      </c>
      <c r="Y480" t="s">
        <v>484</v>
      </c>
      <c r="Z480" t="s">
        <v>485</v>
      </c>
      <c r="AA480">
        <v>3</v>
      </c>
      <c r="AB480" t="s">
        <v>1340</v>
      </c>
      <c r="AC480" t="s">
        <v>1341</v>
      </c>
      <c r="AD480" t="s">
        <v>1342</v>
      </c>
      <c r="AE480" t="s">
        <v>1343</v>
      </c>
      <c r="AF480" t="s">
        <v>1344</v>
      </c>
      <c r="AG480" t="s">
        <v>889</v>
      </c>
      <c r="AH480" t="s">
        <v>806</v>
      </c>
      <c r="AI480" t="s">
        <v>889</v>
      </c>
      <c r="AJ480" t="s">
        <v>66</v>
      </c>
      <c r="AK480">
        <v>1</v>
      </c>
      <c r="AL480" t="s">
        <v>1423</v>
      </c>
      <c r="AM480" t="s">
        <v>1424</v>
      </c>
      <c r="AN480" t="s">
        <v>1425</v>
      </c>
      <c r="AO480" t="s">
        <v>66</v>
      </c>
      <c r="AP480">
        <v>1</v>
      </c>
      <c r="AQ480" t="s">
        <v>1426</v>
      </c>
      <c r="AR480" t="s">
        <v>1427</v>
      </c>
      <c r="AS480" t="s">
        <v>1468</v>
      </c>
      <c r="AT480" t="s">
        <v>66</v>
      </c>
    </row>
    <row r="481" spans="1:46" x14ac:dyDescent="0.15">
      <c r="A481" t="s">
        <v>1477</v>
      </c>
      <c r="B481" t="s">
        <v>1334</v>
      </c>
      <c r="C481" t="s">
        <v>1335</v>
      </c>
      <c r="D481">
        <v>65</v>
      </c>
      <c r="E481" t="s">
        <v>1336</v>
      </c>
      <c r="F481" t="s">
        <v>718</v>
      </c>
      <c r="G481" t="s">
        <v>51</v>
      </c>
      <c r="H481" t="s">
        <v>1337</v>
      </c>
      <c r="I481" t="s">
        <v>53</v>
      </c>
      <c r="J481" t="s">
        <v>721</v>
      </c>
      <c r="K481" t="s">
        <v>1338</v>
      </c>
      <c r="L481" t="s">
        <v>16</v>
      </c>
      <c r="M481" t="s">
        <v>19</v>
      </c>
      <c r="N481">
        <v>4092</v>
      </c>
      <c r="O481">
        <v>241</v>
      </c>
      <c r="P481">
        <v>0</v>
      </c>
      <c r="Q481" t="s">
        <v>991</v>
      </c>
      <c r="R481" t="s">
        <v>489</v>
      </c>
      <c r="S481" t="s">
        <v>992</v>
      </c>
      <c r="T481" t="s">
        <v>1478</v>
      </c>
      <c r="U481" t="s">
        <v>60</v>
      </c>
      <c r="V481" t="s">
        <v>61</v>
      </c>
      <c r="W481">
        <v>3</v>
      </c>
      <c r="X481">
        <v>9.5812499999999995E-2</v>
      </c>
      <c r="Y481" t="s">
        <v>275</v>
      </c>
      <c r="Z481" t="s">
        <v>491</v>
      </c>
      <c r="AA481">
        <v>3</v>
      </c>
      <c r="AB481" t="s">
        <v>1340</v>
      </c>
      <c r="AC481" t="s">
        <v>1341</v>
      </c>
      <c r="AD481" t="s">
        <v>1342</v>
      </c>
      <c r="AE481" t="s">
        <v>1343</v>
      </c>
      <c r="AF481" t="s">
        <v>1344</v>
      </c>
      <c r="AG481" t="s">
        <v>889</v>
      </c>
      <c r="AH481" t="s">
        <v>806</v>
      </c>
      <c r="AI481" t="s">
        <v>889</v>
      </c>
      <c r="AJ481" t="s">
        <v>66</v>
      </c>
      <c r="AK481">
        <v>1</v>
      </c>
      <c r="AL481" t="s">
        <v>1423</v>
      </c>
      <c r="AM481" t="s">
        <v>1424</v>
      </c>
      <c r="AN481" t="s">
        <v>1425</v>
      </c>
      <c r="AO481" t="s">
        <v>66</v>
      </c>
      <c r="AP481">
        <v>1</v>
      </c>
      <c r="AQ481" t="s">
        <v>1426</v>
      </c>
      <c r="AR481" t="s">
        <v>1427</v>
      </c>
      <c r="AS481" t="s">
        <v>1468</v>
      </c>
      <c r="AT481" t="s">
        <v>66</v>
      </c>
    </row>
    <row r="482" spans="1:46" x14ac:dyDescent="0.15">
      <c r="A482" t="s">
        <v>1479</v>
      </c>
      <c r="B482" t="s">
        <v>1334</v>
      </c>
      <c r="C482" t="s">
        <v>1335</v>
      </c>
      <c r="D482">
        <v>66</v>
      </c>
      <c r="E482" t="s">
        <v>1336</v>
      </c>
      <c r="F482" t="s">
        <v>718</v>
      </c>
      <c r="G482" t="s">
        <v>51</v>
      </c>
      <c r="H482" t="s">
        <v>1337</v>
      </c>
      <c r="I482" t="s">
        <v>53</v>
      </c>
      <c r="J482" t="s">
        <v>721</v>
      </c>
      <c r="K482" t="s">
        <v>1338</v>
      </c>
      <c r="L482" t="s">
        <v>16</v>
      </c>
      <c r="M482" t="s">
        <v>19</v>
      </c>
      <c r="N482">
        <v>4148</v>
      </c>
      <c r="O482">
        <v>244</v>
      </c>
      <c r="P482">
        <v>0</v>
      </c>
      <c r="Q482" t="s">
        <v>995</v>
      </c>
      <c r="R482" t="s">
        <v>495</v>
      </c>
      <c r="S482" t="s">
        <v>996</v>
      </c>
      <c r="T482" t="s">
        <v>1480</v>
      </c>
      <c r="U482" t="s">
        <v>60</v>
      </c>
      <c r="V482" t="s">
        <v>61</v>
      </c>
      <c r="W482">
        <v>3</v>
      </c>
      <c r="X482">
        <v>9.5812499999999995E-2</v>
      </c>
      <c r="Y482" t="s">
        <v>497</v>
      </c>
      <c r="Z482" t="s">
        <v>498</v>
      </c>
      <c r="AA482">
        <v>3</v>
      </c>
      <c r="AB482" t="s">
        <v>1340</v>
      </c>
      <c r="AC482" t="s">
        <v>1341</v>
      </c>
      <c r="AD482" t="s">
        <v>1342</v>
      </c>
      <c r="AE482" t="s">
        <v>1343</v>
      </c>
      <c r="AF482" t="s">
        <v>1344</v>
      </c>
      <c r="AG482" t="s">
        <v>889</v>
      </c>
      <c r="AH482" t="s">
        <v>806</v>
      </c>
      <c r="AI482" t="s">
        <v>889</v>
      </c>
      <c r="AJ482" t="s">
        <v>66</v>
      </c>
      <c r="AK482">
        <v>1</v>
      </c>
      <c r="AL482" t="s">
        <v>1423</v>
      </c>
      <c r="AM482" t="s">
        <v>1424</v>
      </c>
      <c r="AN482" t="s">
        <v>1425</v>
      </c>
      <c r="AO482" t="s">
        <v>66</v>
      </c>
      <c r="AP482">
        <v>1</v>
      </c>
      <c r="AQ482" t="s">
        <v>1426</v>
      </c>
      <c r="AR482" t="s">
        <v>1427</v>
      </c>
      <c r="AS482" t="s">
        <v>1468</v>
      </c>
      <c r="AT482" t="s">
        <v>66</v>
      </c>
    </row>
    <row r="483" spans="1:46" x14ac:dyDescent="0.15">
      <c r="A483" t="s">
        <v>1481</v>
      </c>
      <c r="B483" t="s">
        <v>1334</v>
      </c>
      <c r="C483" t="s">
        <v>1335</v>
      </c>
      <c r="D483">
        <v>67</v>
      </c>
      <c r="E483" t="s">
        <v>1336</v>
      </c>
      <c r="F483" t="s">
        <v>718</v>
      </c>
      <c r="G483" t="s">
        <v>51</v>
      </c>
      <c r="H483" t="s">
        <v>1337</v>
      </c>
      <c r="I483" t="s">
        <v>53</v>
      </c>
      <c r="J483" t="s">
        <v>721</v>
      </c>
      <c r="K483" t="s">
        <v>1338</v>
      </c>
      <c r="L483" t="s">
        <v>16</v>
      </c>
      <c r="M483" t="s">
        <v>19</v>
      </c>
      <c r="N483">
        <v>4204</v>
      </c>
      <c r="O483">
        <v>248</v>
      </c>
      <c r="P483">
        <v>0</v>
      </c>
      <c r="Q483" t="s">
        <v>999</v>
      </c>
      <c r="R483" t="s">
        <v>502</v>
      </c>
      <c r="S483" t="s">
        <v>1000</v>
      </c>
      <c r="T483" t="s">
        <v>1482</v>
      </c>
      <c r="U483" t="s">
        <v>60</v>
      </c>
      <c r="V483" t="s">
        <v>61</v>
      </c>
      <c r="W483">
        <v>3</v>
      </c>
      <c r="X483">
        <v>9.5812499999999995E-2</v>
      </c>
      <c r="Y483" t="s">
        <v>282</v>
      </c>
      <c r="Z483" t="s">
        <v>504</v>
      </c>
      <c r="AA483">
        <v>3</v>
      </c>
      <c r="AB483" t="s">
        <v>1340</v>
      </c>
      <c r="AC483" t="s">
        <v>1341</v>
      </c>
      <c r="AD483" t="s">
        <v>1342</v>
      </c>
      <c r="AE483" t="s">
        <v>1343</v>
      </c>
      <c r="AF483" t="s">
        <v>1344</v>
      </c>
      <c r="AG483" t="s">
        <v>889</v>
      </c>
      <c r="AH483" t="s">
        <v>806</v>
      </c>
      <c r="AI483" t="s">
        <v>889</v>
      </c>
      <c r="AJ483" t="s">
        <v>66</v>
      </c>
      <c r="AK483">
        <v>1</v>
      </c>
      <c r="AL483" t="s">
        <v>1423</v>
      </c>
      <c r="AM483" t="s">
        <v>1424</v>
      </c>
      <c r="AN483" t="s">
        <v>1425</v>
      </c>
      <c r="AO483" t="s">
        <v>66</v>
      </c>
      <c r="AP483">
        <v>1</v>
      </c>
      <c r="AQ483" t="s">
        <v>1426</v>
      </c>
      <c r="AR483" t="s">
        <v>1427</v>
      </c>
      <c r="AS483" t="s">
        <v>1468</v>
      </c>
      <c r="AT483" t="s">
        <v>66</v>
      </c>
    </row>
    <row r="484" spans="1:46" x14ac:dyDescent="0.15">
      <c r="A484" t="s">
        <v>1483</v>
      </c>
      <c r="B484" t="s">
        <v>1334</v>
      </c>
      <c r="C484" t="s">
        <v>1335</v>
      </c>
      <c r="D484">
        <v>68</v>
      </c>
      <c r="E484" t="s">
        <v>1336</v>
      </c>
      <c r="F484" t="s">
        <v>718</v>
      </c>
      <c r="G484" t="s">
        <v>51</v>
      </c>
      <c r="H484" t="s">
        <v>1337</v>
      </c>
      <c r="I484" t="s">
        <v>53</v>
      </c>
      <c r="J484" t="s">
        <v>721</v>
      </c>
      <c r="K484" t="s">
        <v>1338</v>
      </c>
      <c r="L484" t="s">
        <v>16</v>
      </c>
      <c r="M484" t="s">
        <v>19</v>
      </c>
      <c r="N484">
        <v>4260</v>
      </c>
      <c r="O484">
        <v>251</v>
      </c>
      <c r="P484">
        <v>0</v>
      </c>
      <c r="Q484" t="s">
        <v>1003</v>
      </c>
      <c r="R484" t="s">
        <v>508</v>
      </c>
      <c r="S484" t="s">
        <v>1004</v>
      </c>
      <c r="T484" t="s">
        <v>1484</v>
      </c>
      <c r="U484" t="s">
        <v>60</v>
      </c>
      <c r="V484" t="s">
        <v>61</v>
      </c>
      <c r="W484">
        <v>3</v>
      </c>
      <c r="X484">
        <v>9.5812499999999995E-2</v>
      </c>
      <c r="Y484" t="s">
        <v>510</v>
      </c>
      <c r="Z484" t="s">
        <v>511</v>
      </c>
      <c r="AA484">
        <v>3</v>
      </c>
      <c r="AB484" t="s">
        <v>1340</v>
      </c>
      <c r="AC484" t="s">
        <v>1341</v>
      </c>
      <c r="AD484" t="s">
        <v>1342</v>
      </c>
      <c r="AE484" t="s">
        <v>1343</v>
      </c>
      <c r="AF484" t="s">
        <v>1344</v>
      </c>
      <c r="AG484" t="s">
        <v>889</v>
      </c>
      <c r="AH484" t="s">
        <v>806</v>
      </c>
      <c r="AI484" t="s">
        <v>889</v>
      </c>
      <c r="AJ484" t="s">
        <v>66</v>
      </c>
      <c r="AK484">
        <v>1</v>
      </c>
      <c r="AL484" t="s">
        <v>1423</v>
      </c>
      <c r="AM484" t="s">
        <v>1424</v>
      </c>
      <c r="AN484" t="s">
        <v>1425</v>
      </c>
      <c r="AO484" t="s">
        <v>66</v>
      </c>
      <c r="AP484">
        <v>1</v>
      </c>
      <c r="AQ484" t="s">
        <v>1426</v>
      </c>
      <c r="AR484" t="s">
        <v>1427</v>
      </c>
      <c r="AS484" t="s">
        <v>1468</v>
      </c>
      <c r="AT484" t="s">
        <v>66</v>
      </c>
    </row>
    <row r="485" spans="1:46" x14ac:dyDescent="0.15">
      <c r="A485" t="s">
        <v>1485</v>
      </c>
      <c r="B485" t="s">
        <v>1334</v>
      </c>
      <c r="C485" t="s">
        <v>1335</v>
      </c>
      <c r="D485">
        <v>69</v>
      </c>
      <c r="E485" t="s">
        <v>1336</v>
      </c>
      <c r="F485" t="s">
        <v>718</v>
      </c>
      <c r="G485" t="s">
        <v>51</v>
      </c>
      <c r="H485" t="s">
        <v>1337</v>
      </c>
      <c r="I485" t="s">
        <v>53</v>
      </c>
      <c r="J485" t="s">
        <v>721</v>
      </c>
      <c r="K485" t="s">
        <v>1338</v>
      </c>
      <c r="L485" t="s">
        <v>16</v>
      </c>
      <c r="M485" t="s">
        <v>19</v>
      </c>
      <c r="N485">
        <v>4316</v>
      </c>
      <c r="O485">
        <v>254</v>
      </c>
      <c r="P485">
        <v>0</v>
      </c>
      <c r="Q485" t="s">
        <v>1007</v>
      </c>
      <c r="R485" t="s">
        <v>515</v>
      </c>
      <c r="S485" t="s">
        <v>1008</v>
      </c>
      <c r="T485" t="s">
        <v>1486</v>
      </c>
      <c r="U485" t="s">
        <v>60</v>
      </c>
      <c r="V485" t="s">
        <v>61</v>
      </c>
      <c r="W485">
        <v>3</v>
      </c>
      <c r="X485">
        <v>9.5812499999999995E-2</v>
      </c>
      <c r="Y485" t="s">
        <v>288</v>
      </c>
      <c r="Z485" t="s">
        <v>517</v>
      </c>
      <c r="AA485">
        <v>3</v>
      </c>
      <c r="AB485" t="s">
        <v>1340</v>
      </c>
      <c r="AC485" t="s">
        <v>1341</v>
      </c>
      <c r="AD485" t="s">
        <v>1342</v>
      </c>
      <c r="AE485" t="s">
        <v>1343</v>
      </c>
      <c r="AF485" t="s">
        <v>1344</v>
      </c>
      <c r="AG485" t="s">
        <v>889</v>
      </c>
      <c r="AH485" t="s">
        <v>806</v>
      </c>
      <c r="AI485" t="s">
        <v>889</v>
      </c>
      <c r="AJ485" t="s">
        <v>66</v>
      </c>
      <c r="AK485">
        <v>1</v>
      </c>
      <c r="AL485" t="s">
        <v>1423</v>
      </c>
      <c r="AM485" t="s">
        <v>1424</v>
      </c>
      <c r="AN485" t="s">
        <v>1425</v>
      </c>
      <c r="AO485" t="s">
        <v>66</v>
      </c>
      <c r="AP485">
        <v>1</v>
      </c>
      <c r="AQ485" t="s">
        <v>1426</v>
      </c>
      <c r="AR485" t="s">
        <v>1427</v>
      </c>
      <c r="AS485" t="s">
        <v>1468</v>
      </c>
      <c r="AT485" t="s">
        <v>66</v>
      </c>
    </row>
    <row r="486" spans="1:46" x14ac:dyDescent="0.15">
      <c r="A486" t="s">
        <v>1487</v>
      </c>
      <c r="B486" t="s">
        <v>1334</v>
      </c>
      <c r="C486" t="s">
        <v>1335</v>
      </c>
      <c r="D486">
        <v>70</v>
      </c>
      <c r="E486" t="s">
        <v>1336</v>
      </c>
      <c r="F486" t="s">
        <v>718</v>
      </c>
      <c r="G486" t="s">
        <v>51</v>
      </c>
      <c r="H486" t="s">
        <v>1337</v>
      </c>
      <c r="I486" t="s">
        <v>53</v>
      </c>
      <c r="J486" t="s">
        <v>721</v>
      </c>
      <c r="K486" t="s">
        <v>1338</v>
      </c>
      <c r="L486" t="s">
        <v>16</v>
      </c>
      <c r="M486" t="s">
        <v>19</v>
      </c>
      <c r="N486">
        <v>4372</v>
      </c>
      <c r="O486">
        <v>258</v>
      </c>
      <c r="P486">
        <v>0</v>
      </c>
      <c r="Q486" t="s">
        <v>1011</v>
      </c>
      <c r="R486" t="s">
        <v>521</v>
      </c>
      <c r="S486" t="s">
        <v>1012</v>
      </c>
      <c r="T486" t="s">
        <v>1488</v>
      </c>
      <c r="U486" t="s">
        <v>60</v>
      </c>
      <c r="V486" t="s">
        <v>61</v>
      </c>
      <c r="W486">
        <v>3</v>
      </c>
      <c r="X486">
        <v>9.5812499999999995E-2</v>
      </c>
      <c r="Y486" t="s">
        <v>523</v>
      </c>
      <c r="Z486" t="s">
        <v>524</v>
      </c>
      <c r="AA486">
        <v>3</v>
      </c>
      <c r="AB486" t="s">
        <v>1340</v>
      </c>
      <c r="AC486" t="s">
        <v>1341</v>
      </c>
      <c r="AD486" t="s">
        <v>1342</v>
      </c>
      <c r="AE486" t="s">
        <v>1343</v>
      </c>
      <c r="AF486" t="s">
        <v>1344</v>
      </c>
      <c r="AG486" t="s">
        <v>889</v>
      </c>
      <c r="AH486" t="s">
        <v>806</v>
      </c>
      <c r="AI486" t="s">
        <v>889</v>
      </c>
      <c r="AJ486" t="s">
        <v>66</v>
      </c>
      <c r="AK486">
        <v>1</v>
      </c>
      <c r="AL486" t="s">
        <v>1423</v>
      </c>
      <c r="AM486" t="s">
        <v>1424</v>
      </c>
      <c r="AN486" t="s">
        <v>1425</v>
      </c>
      <c r="AO486" t="s">
        <v>66</v>
      </c>
      <c r="AP486">
        <v>1</v>
      </c>
      <c r="AQ486" t="s">
        <v>1426</v>
      </c>
      <c r="AR486" t="s">
        <v>1427</v>
      </c>
      <c r="AS486" t="s">
        <v>1468</v>
      </c>
      <c r="AT486" t="s">
        <v>66</v>
      </c>
    </row>
    <row r="487" spans="1:46" x14ac:dyDescent="0.15">
      <c r="A487" t="s">
        <v>1489</v>
      </c>
      <c r="B487" t="s">
        <v>1334</v>
      </c>
      <c r="C487" t="s">
        <v>1335</v>
      </c>
      <c r="D487">
        <v>71</v>
      </c>
      <c r="E487" t="s">
        <v>1336</v>
      </c>
      <c r="F487" t="s">
        <v>718</v>
      </c>
      <c r="G487" t="s">
        <v>51</v>
      </c>
      <c r="H487" t="s">
        <v>1337</v>
      </c>
      <c r="I487" t="s">
        <v>53</v>
      </c>
      <c r="J487" t="s">
        <v>721</v>
      </c>
      <c r="K487" t="s">
        <v>1338</v>
      </c>
      <c r="L487" t="s">
        <v>16</v>
      </c>
      <c r="M487" t="s">
        <v>19</v>
      </c>
      <c r="N487">
        <v>4429</v>
      </c>
      <c r="O487">
        <v>261</v>
      </c>
      <c r="P487">
        <v>0</v>
      </c>
      <c r="Q487" t="s">
        <v>1015</v>
      </c>
      <c r="R487" t="s">
        <v>528</v>
      </c>
      <c r="S487" t="s">
        <v>1016</v>
      </c>
      <c r="T487" t="s">
        <v>1490</v>
      </c>
      <c r="U487" t="s">
        <v>60</v>
      </c>
      <c r="V487" t="s">
        <v>61</v>
      </c>
      <c r="W487">
        <v>3</v>
      </c>
      <c r="X487">
        <v>9.5812499999999995E-2</v>
      </c>
      <c r="Y487" t="s">
        <v>295</v>
      </c>
      <c r="Z487" t="s">
        <v>530</v>
      </c>
      <c r="AA487">
        <v>3</v>
      </c>
      <c r="AB487" t="s">
        <v>1340</v>
      </c>
      <c r="AC487" t="s">
        <v>1341</v>
      </c>
      <c r="AD487" t="s">
        <v>1342</v>
      </c>
      <c r="AE487" t="s">
        <v>1343</v>
      </c>
      <c r="AF487" t="s">
        <v>1344</v>
      </c>
      <c r="AG487" t="s">
        <v>889</v>
      </c>
      <c r="AH487" t="s">
        <v>806</v>
      </c>
      <c r="AI487" t="s">
        <v>889</v>
      </c>
      <c r="AJ487" t="s">
        <v>66</v>
      </c>
      <c r="AK487">
        <v>1</v>
      </c>
      <c r="AL487" t="s">
        <v>1423</v>
      </c>
      <c r="AM487" t="s">
        <v>1424</v>
      </c>
      <c r="AN487" t="s">
        <v>1425</v>
      </c>
      <c r="AO487" t="s">
        <v>66</v>
      </c>
      <c r="AP487">
        <v>1</v>
      </c>
      <c r="AQ487" t="s">
        <v>1426</v>
      </c>
      <c r="AR487" t="s">
        <v>1427</v>
      </c>
      <c r="AS487" t="s">
        <v>1468</v>
      </c>
      <c r="AT487" t="s">
        <v>66</v>
      </c>
    </row>
    <row r="488" spans="1:46" x14ac:dyDescent="0.15">
      <c r="A488" t="s">
        <v>1491</v>
      </c>
      <c r="B488" t="s">
        <v>1334</v>
      </c>
      <c r="C488" t="s">
        <v>1335</v>
      </c>
      <c r="D488">
        <v>72</v>
      </c>
      <c r="E488" t="s">
        <v>1336</v>
      </c>
      <c r="F488" t="s">
        <v>718</v>
      </c>
      <c r="G488" t="s">
        <v>51</v>
      </c>
      <c r="H488" t="s">
        <v>1337</v>
      </c>
      <c r="I488" t="s">
        <v>53</v>
      </c>
      <c r="J488" t="s">
        <v>721</v>
      </c>
      <c r="K488" t="s">
        <v>1338</v>
      </c>
      <c r="L488" t="s">
        <v>16</v>
      </c>
      <c r="M488" t="s">
        <v>19</v>
      </c>
      <c r="N488">
        <v>4485</v>
      </c>
      <c r="O488">
        <v>264</v>
      </c>
      <c r="P488">
        <v>0</v>
      </c>
      <c r="Q488" t="s">
        <v>1019</v>
      </c>
      <c r="R488" t="s">
        <v>534</v>
      </c>
      <c r="S488" t="s">
        <v>1020</v>
      </c>
      <c r="T488" t="s">
        <v>1492</v>
      </c>
      <c r="U488" t="s">
        <v>60</v>
      </c>
      <c r="V488" t="s">
        <v>61</v>
      </c>
      <c r="W488">
        <v>3</v>
      </c>
      <c r="X488">
        <v>9.5812499999999995E-2</v>
      </c>
      <c r="Y488" t="s">
        <v>536</v>
      </c>
      <c r="Z488" t="s">
        <v>537</v>
      </c>
      <c r="AA488">
        <v>3</v>
      </c>
      <c r="AB488" t="s">
        <v>1340</v>
      </c>
      <c r="AC488" t="s">
        <v>1341</v>
      </c>
      <c r="AD488" t="s">
        <v>1342</v>
      </c>
      <c r="AE488" t="s">
        <v>1343</v>
      </c>
      <c r="AF488" t="s">
        <v>1344</v>
      </c>
      <c r="AG488" t="s">
        <v>889</v>
      </c>
      <c r="AH488" t="s">
        <v>806</v>
      </c>
      <c r="AI488" t="s">
        <v>889</v>
      </c>
      <c r="AJ488" t="s">
        <v>66</v>
      </c>
      <c r="AK488">
        <v>1</v>
      </c>
      <c r="AL488" t="s">
        <v>1423</v>
      </c>
      <c r="AM488" t="s">
        <v>1424</v>
      </c>
      <c r="AN488" t="s">
        <v>1425</v>
      </c>
      <c r="AO488" t="s">
        <v>66</v>
      </c>
      <c r="AP488">
        <v>1</v>
      </c>
      <c r="AQ488" t="s">
        <v>1426</v>
      </c>
      <c r="AR488" t="s">
        <v>1427</v>
      </c>
      <c r="AS488" t="s">
        <v>1468</v>
      </c>
      <c r="AT488" t="s">
        <v>66</v>
      </c>
    </row>
    <row r="489" spans="1:46" x14ac:dyDescent="0.15">
      <c r="A489" t="s">
        <v>1493</v>
      </c>
      <c r="B489" t="s">
        <v>1334</v>
      </c>
      <c r="C489" t="s">
        <v>1335</v>
      </c>
      <c r="D489">
        <v>73</v>
      </c>
      <c r="E489" t="s">
        <v>1336</v>
      </c>
      <c r="F489" t="s">
        <v>718</v>
      </c>
      <c r="G489" t="s">
        <v>51</v>
      </c>
      <c r="H489" t="s">
        <v>1337</v>
      </c>
      <c r="I489" t="s">
        <v>53</v>
      </c>
      <c r="J489" t="s">
        <v>721</v>
      </c>
      <c r="K489" t="s">
        <v>1338</v>
      </c>
      <c r="L489" t="s">
        <v>16</v>
      </c>
      <c r="M489" t="s">
        <v>19</v>
      </c>
      <c r="N489">
        <v>4541</v>
      </c>
      <c r="O489">
        <v>267</v>
      </c>
      <c r="P489">
        <v>0</v>
      </c>
      <c r="Q489" t="s">
        <v>1023</v>
      </c>
      <c r="R489" t="s">
        <v>541</v>
      </c>
      <c r="S489" t="s">
        <v>1024</v>
      </c>
      <c r="T489" t="s">
        <v>1494</v>
      </c>
      <c r="U489" t="s">
        <v>60</v>
      </c>
      <c r="V489" t="s">
        <v>61</v>
      </c>
      <c r="W489">
        <v>3</v>
      </c>
      <c r="X489">
        <v>9.5812499999999995E-2</v>
      </c>
      <c r="Y489" t="s">
        <v>301</v>
      </c>
      <c r="Z489" t="s">
        <v>543</v>
      </c>
      <c r="AA489">
        <v>3</v>
      </c>
      <c r="AB489" t="s">
        <v>1340</v>
      </c>
      <c r="AC489" t="s">
        <v>1341</v>
      </c>
      <c r="AD489" t="s">
        <v>1342</v>
      </c>
      <c r="AE489" t="s">
        <v>1343</v>
      </c>
      <c r="AF489" t="s">
        <v>1344</v>
      </c>
      <c r="AG489" t="s">
        <v>889</v>
      </c>
      <c r="AH489" t="s">
        <v>806</v>
      </c>
      <c r="AI489" t="s">
        <v>889</v>
      </c>
      <c r="AJ489" t="s">
        <v>66</v>
      </c>
      <c r="AK489">
        <v>1</v>
      </c>
      <c r="AL489" t="s">
        <v>1423</v>
      </c>
      <c r="AM489" t="s">
        <v>1424</v>
      </c>
      <c r="AN489" t="s">
        <v>1425</v>
      </c>
      <c r="AO489" t="s">
        <v>66</v>
      </c>
      <c r="AP489">
        <v>1</v>
      </c>
      <c r="AQ489" t="s">
        <v>1426</v>
      </c>
      <c r="AR489" t="s">
        <v>1427</v>
      </c>
      <c r="AS489" t="s">
        <v>1468</v>
      </c>
      <c r="AT489" t="s">
        <v>66</v>
      </c>
    </row>
    <row r="490" spans="1:46" x14ac:dyDescent="0.15">
      <c r="A490" t="s">
        <v>1495</v>
      </c>
      <c r="B490" t="s">
        <v>1334</v>
      </c>
      <c r="C490" t="s">
        <v>1335</v>
      </c>
      <c r="D490">
        <v>74</v>
      </c>
      <c r="E490" t="s">
        <v>1336</v>
      </c>
      <c r="F490" t="s">
        <v>718</v>
      </c>
      <c r="G490" t="s">
        <v>51</v>
      </c>
      <c r="H490" t="s">
        <v>1337</v>
      </c>
      <c r="I490" t="s">
        <v>53</v>
      </c>
      <c r="J490" t="s">
        <v>721</v>
      </c>
      <c r="K490" t="s">
        <v>1338</v>
      </c>
      <c r="L490" t="s">
        <v>16</v>
      </c>
      <c r="M490" t="s">
        <v>19</v>
      </c>
      <c r="N490">
        <v>4597</v>
      </c>
      <c r="O490">
        <v>271</v>
      </c>
      <c r="P490">
        <v>0</v>
      </c>
      <c r="Q490" t="s">
        <v>1027</v>
      </c>
      <c r="R490" t="s">
        <v>547</v>
      </c>
      <c r="S490" t="s">
        <v>1028</v>
      </c>
      <c r="T490" t="s">
        <v>1496</v>
      </c>
      <c r="U490" t="s">
        <v>60</v>
      </c>
      <c r="V490" t="s">
        <v>61</v>
      </c>
      <c r="W490">
        <v>3</v>
      </c>
      <c r="X490">
        <v>9.5812499999999995E-2</v>
      </c>
      <c r="Y490" t="s">
        <v>549</v>
      </c>
      <c r="Z490" t="s">
        <v>550</v>
      </c>
      <c r="AA490">
        <v>3</v>
      </c>
      <c r="AB490" t="s">
        <v>1340</v>
      </c>
      <c r="AC490" t="s">
        <v>1341</v>
      </c>
      <c r="AD490" t="s">
        <v>1342</v>
      </c>
      <c r="AE490" t="s">
        <v>1343</v>
      </c>
      <c r="AF490" t="s">
        <v>1344</v>
      </c>
      <c r="AG490" t="s">
        <v>889</v>
      </c>
      <c r="AH490" t="s">
        <v>806</v>
      </c>
      <c r="AI490" t="s">
        <v>889</v>
      </c>
      <c r="AJ490" t="s">
        <v>66</v>
      </c>
      <c r="AK490">
        <v>1</v>
      </c>
      <c r="AL490" t="s">
        <v>1423</v>
      </c>
      <c r="AM490" t="s">
        <v>1424</v>
      </c>
      <c r="AN490" t="s">
        <v>1425</v>
      </c>
      <c r="AO490" t="s">
        <v>66</v>
      </c>
      <c r="AP490">
        <v>1</v>
      </c>
      <c r="AQ490" t="s">
        <v>1426</v>
      </c>
      <c r="AR490" t="s">
        <v>1427</v>
      </c>
      <c r="AS490" t="s">
        <v>1468</v>
      </c>
      <c r="AT490" t="s">
        <v>66</v>
      </c>
    </row>
    <row r="491" spans="1:46" x14ac:dyDescent="0.15">
      <c r="A491" t="s">
        <v>1497</v>
      </c>
      <c r="B491" t="s">
        <v>1334</v>
      </c>
      <c r="C491" t="s">
        <v>1335</v>
      </c>
      <c r="D491">
        <v>75</v>
      </c>
      <c r="E491" t="s">
        <v>1336</v>
      </c>
      <c r="F491" t="s">
        <v>718</v>
      </c>
      <c r="G491" t="s">
        <v>51</v>
      </c>
      <c r="H491" t="s">
        <v>1337</v>
      </c>
      <c r="I491" t="s">
        <v>53</v>
      </c>
      <c r="J491" t="s">
        <v>721</v>
      </c>
      <c r="K491" t="s">
        <v>1338</v>
      </c>
      <c r="L491" t="s">
        <v>16</v>
      </c>
      <c r="M491" t="s">
        <v>19</v>
      </c>
      <c r="N491">
        <v>4653</v>
      </c>
      <c r="O491">
        <v>274</v>
      </c>
      <c r="P491">
        <v>0</v>
      </c>
      <c r="Q491" t="s">
        <v>1031</v>
      </c>
      <c r="R491" t="s">
        <v>554</v>
      </c>
      <c r="S491" t="s">
        <v>1032</v>
      </c>
      <c r="T491" t="s">
        <v>1498</v>
      </c>
      <c r="U491" t="s">
        <v>60</v>
      </c>
      <c r="V491" t="s">
        <v>61</v>
      </c>
      <c r="W491">
        <v>3</v>
      </c>
      <c r="X491">
        <v>9.5812499999999995E-2</v>
      </c>
      <c r="Y491" t="s">
        <v>308</v>
      </c>
      <c r="Z491" t="s">
        <v>556</v>
      </c>
      <c r="AA491">
        <v>3</v>
      </c>
      <c r="AB491" t="s">
        <v>1340</v>
      </c>
      <c r="AC491" t="s">
        <v>1341</v>
      </c>
      <c r="AD491" t="s">
        <v>1342</v>
      </c>
      <c r="AE491" t="s">
        <v>1343</v>
      </c>
      <c r="AF491" t="s">
        <v>1344</v>
      </c>
      <c r="AG491" t="s">
        <v>889</v>
      </c>
      <c r="AH491" t="s">
        <v>806</v>
      </c>
      <c r="AI491" t="s">
        <v>889</v>
      </c>
      <c r="AJ491" t="s">
        <v>66</v>
      </c>
      <c r="AK491">
        <v>1</v>
      </c>
      <c r="AL491" t="s">
        <v>1423</v>
      </c>
      <c r="AM491" t="s">
        <v>1424</v>
      </c>
      <c r="AN491" t="s">
        <v>1425</v>
      </c>
      <c r="AO491" t="s">
        <v>66</v>
      </c>
      <c r="AP491">
        <v>1</v>
      </c>
      <c r="AQ491" t="s">
        <v>1426</v>
      </c>
      <c r="AR491" t="s">
        <v>1427</v>
      </c>
      <c r="AS491" t="s">
        <v>1468</v>
      </c>
      <c r="AT491" t="s">
        <v>66</v>
      </c>
    </row>
    <row r="492" spans="1:46" x14ac:dyDescent="0.15">
      <c r="A492" t="s">
        <v>1499</v>
      </c>
      <c r="B492" t="s">
        <v>1334</v>
      </c>
      <c r="C492" t="s">
        <v>1335</v>
      </c>
      <c r="D492">
        <v>76</v>
      </c>
      <c r="E492" t="s">
        <v>1336</v>
      </c>
      <c r="F492" t="s">
        <v>718</v>
      </c>
      <c r="G492" t="s">
        <v>51</v>
      </c>
      <c r="H492" t="s">
        <v>1337</v>
      </c>
      <c r="I492" t="s">
        <v>53</v>
      </c>
      <c r="J492" t="s">
        <v>721</v>
      </c>
      <c r="K492" t="s">
        <v>1338</v>
      </c>
      <c r="L492" t="s">
        <v>16</v>
      </c>
      <c r="M492" t="s">
        <v>19</v>
      </c>
      <c r="N492">
        <v>4709</v>
      </c>
      <c r="O492">
        <v>277</v>
      </c>
      <c r="P492">
        <v>0</v>
      </c>
      <c r="Q492" t="s">
        <v>1035</v>
      </c>
      <c r="R492" t="s">
        <v>560</v>
      </c>
      <c r="S492" t="s">
        <v>1036</v>
      </c>
      <c r="T492" t="s">
        <v>1500</v>
      </c>
      <c r="U492" t="s">
        <v>60</v>
      </c>
      <c r="V492" t="s">
        <v>61</v>
      </c>
      <c r="W492">
        <v>3</v>
      </c>
      <c r="X492">
        <v>9.5812499999999995E-2</v>
      </c>
      <c r="Y492" t="s">
        <v>562</v>
      </c>
      <c r="Z492" t="s">
        <v>563</v>
      </c>
      <c r="AA492">
        <v>3</v>
      </c>
      <c r="AB492" t="s">
        <v>1340</v>
      </c>
      <c r="AC492" t="s">
        <v>1341</v>
      </c>
      <c r="AD492" t="s">
        <v>1342</v>
      </c>
      <c r="AE492" t="s">
        <v>1343</v>
      </c>
      <c r="AF492" t="s">
        <v>1344</v>
      </c>
      <c r="AG492" t="s">
        <v>889</v>
      </c>
      <c r="AH492" t="s">
        <v>806</v>
      </c>
      <c r="AI492" t="s">
        <v>889</v>
      </c>
      <c r="AJ492" t="s">
        <v>66</v>
      </c>
      <c r="AK492">
        <v>1</v>
      </c>
      <c r="AL492" t="s">
        <v>1423</v>
      </c>
      <c r="AM492" t="s">
        <v>1424</v>
      </c>
      <c r="AN492" t="s">
        <v>1425</v>
      </c>
      <c r="AO492" t="s">
        <v>66</v>
      </c>
      <c r="AP492">
        <v>1</v>
      </c>
      <c r="AQ492" t="s">
        <v>1426</v>
      </c>
      <c r="AR492" t="s">
        <v>1427</v>
      </c>
      <c r="AS492" t="s">
        <v>1468</v>
      </c>
      <c r="AT492" t="s">
        <v>66</v>
      </c>
    </row>
    <row r="493" spans="1:46" x14ac:dyDescent="0.15">
      <c r="A493" t="s">
        <v>1501</v>
      </c>
      <c r="B493" t="s">
        <v>1334</v>
      </c>
      <c r="C493" t="s">
        <v>1335</v>
      </c>
      <c r="D493">
        <v>77</v>
      </c>
      <c r="E493" t="s">
        <v>1336</v>
      </c>
      <c r="F493" t="s">
        <v>718</v>
      </c>
      <c r="G493" t="s">
        <v>51</v>
      </c>
      <c r="H493" t="s">
        <v>1337</v>
      </c>
      <c r="I493" t="s">
        <v>53</v>
      </c>
      <c r="J493" t="s">
        <v>721</v>
      </c>
      <c r="K493" t="s">
        <v>1338</v>
      </c>
      <c r="L493" t="s">
        <v>16</v>
      </c>
      <c r="M493" t="s">
        <v>19</v>
      </c>
      <c r="N493">
        <v>4765</v>
      </c>
      <c r="O493">
        <v>281</v>
      </c>
      <c r="P493">
        <v>0</v>
      </c>
      <c r="Q493" t="s">
        <v>1039</v>
      </c>
      <c r="R493" t="s">
        <v>567</v>
      </c>
      <c r="S493" t="s">
        <v>1040</v>
      </c>
      <c r="T493" t="s">
        <v>1502</v>
      </c>
      <c r="U493" t="s">
        <v>60</v>
      </c>
      <c r="V493" t="s">
        <v>61</v>
      </c>
      <c r="W493">
        <v>3</v>
      </c>
      <c r="X493">
        <v>9.5812499999999995E-2</v>
      </c>
      <c r="Y493" t="s">
        <v>314</v>
      </c>
      <c r="Z493" t="s">
        <v>569</v>
      </c>
      <c r="AA493">
        <v>3</v>
      </c>
      <c r="AB493" t="s">
        <v>1340</v>
      </c>
      <c r="AC493" t="s">
        <v>1341</v>
      </c>
      <c r="AD493" t="s">
        <v>1342</v>
      </c>
      <c r="AE493" t="s">
        <v>1343</v>
      </c>
      <c r="AF493" t="s">
        <v>1344</v>
      </c>
      <c r="AG493" t="s">
        <v>889</v>
      </c>
      <c r="AH493" t="s">
        <v>806</v>
      </c>
      <c r="AI493" t="s">
        <v>889</v>
      </c>
      <c r="AJ493" t="s">
        <v>66</v>
      </c>
      <c r="AK493">
        <v>1</v>
      </c>
      <c r="AL493" t="s">
        <v>1423</v>
      </c>
      <c r="AM493" t="s">
        <v>1424</v>
      </c>
      <c r="AN493" t="s">
        <v>1425</v>
      </c>
      <c r="AO493" t="s">
        <v>66</v>
      </c>
      <c r="AP493">
        <v>1</v>
      </c>
      <c r="AQ493" t="s">
        <v>1426</v>
      </c>
      <c r="AR493" t="s">
        <v>1427</v>
      </c>
      <c r="AS493" t="s">
        <v>1468</v>
      </c>
      <c r="AT493" t="s">
        <v>66</v>
      </c>
    </row>
    <row r="494" spans="1:46" x14ac:dyDescent="0.15">
      <c r="A494" t="s">
        <v>1503</v>
      </c>
      <c r="B494" t="s">
        <v>1334</v>
      </c>
      <c r="C494" t="s">
        <v>1335</v>
      </c>
      <c r="D494">
        <v>78</v>
      </c>
      <c r="E494" t="s">
        <v>1336</v>
      </c>
      <c r="F494" t="s">
        <v>718</v>
      </c>
      <c r="G494" t="s">
        <v>51</v>
      </c>
      <c r="H494" t="s">
        <v>1337</v>
      </c>
      <c r="I494" t="s">
        <v>53</v>
      </c>
      <c r="J494" t="s">
        <v>721</v>
      </c>
      <c r="K494" t="s">
        <v>1338</v>
      </c>
      <c r="L494" t="s">
        <v>16</v>
      </c>
      <c r="M494" t="s">
        <v>19</v>
      </c>
      <c r="N494">
        <v>4821</v>
      </c>
      <c r="O494">
        <v>284</v>
      </c>
      <c r="P494">
        <v>0</v>
      </c>
      <c r="Q494" t="s">
        <v>1043</v>
      </c>
      <c r="R494" t="s">
        <v>573</v>
      </c>
      <c r="S494" t="s">
        <v>1044</v>
      </c>
      <c r="T494" t="s">
        <v>1504</v>
      </c>
      <c r="U494" t="s">
        <v>60</v>
      </c>
      <c r="V494" t="s">
        <v>61</v>
      </c>
      <c r="W494">
        <v>3</v>
      </c>
      <c r="X494">
        <v>9.5812499999999995E-2</v>
      </c>
      <c r="Y494" t="s">
        <v>575</v>
      </c>
      <c r="Z494" t="s">
        <v>576</v>
      </c>
      <c r="AA494">
        <v>3</v>
      </c>
      <c r="AB494" t="s">
        <v>1340</v>
      </c>
      <c r="AC494" t="s">
        <v>1341</v>
      </c>
      <c r="AD494" t="s">
        <v>1342</v>
      </c>
      <c r="AE494" t="s">
        <v>1343</v>
      </c>
      <c r="AF494" t="s">
        <v>1344</v>
      </c>
      <c r="AG494" t="s">
        <v>889</v>
      </c>
      <c r="AH494" t="s">
        <v>806</v>
      </c>
      <c r="AI494" t="s">
        <v>889</v>
      </c>
      <c r="AJ494" t="s">
        <v>66</v>
      </c>
      <c r="AK494">
        <v>1</v>
      </c>
      <c r="AL494" t="s">
        <v>1423</v>
      </c>
      <c r="AM494" t="s">
        <v>1424</v>
      </c>
      <c r="AN494" t="s">
        <v>1425</v>
      </c>
      <c r="AO494" t="s">
        <v>66</v>
      </c>
      <c r="AP494">
        <v>1</v>
      </c>
      <c r="AQ494" t="s">
        <v>1426</v>
      </c>
      <c r="AR494" t="s">
        <v>1427</v>
      </c>
      <c r="AS494" t="s">
        <v>1468</v>
      </c>
      <c r="AT494" t="s">
        <v>66</v>
      </c>
    </row>
    <row r="495" spans="1:46" x14ac:dyDescent="0.15">
      <c r="A495" t="s">
        <v>1505</v>
      </c>
      <c r="B495" t="s">
        <v>1334</v>
      </c>
      <c r="C495" t="s">
        <v>1335</v>
      </c>
      <c r="D495">
        <v>79</v>
      </c>
      <c r="E495" t="s">
        <v>1336</v>
      </c>
      <c r="F495" t="s">
        <v>718</v>
      </c>
      <c r="G495" t="s">
        <v>51</v>
      </c>
      <c r="H495" t="s">
        <v>1337</v>
      </c>
      <c r="I495" t="s">
        <v>53</v>
      </c>
      <c r="J495" t="s">
        <v>721</v>
      </c>
      <c r="K495" t="s">
        <v>1338</v>
      </c>
      <c r="L495" t="s">
        <v>16</v>
      </c>
      <c r="M495" t="s">
        <v>19</v>
      </c>
      <c r="N495">
        <v>4878</v>
      </c>
      <c r="O495">
        <v>287</v>
      </c>
      <c r="P495">
        <v>0</v>
      </c>
      <c r="Q495" t="s">
        <v>1047</v>
      </c>
      <c r="R495" t="s">
        <v>580</v>
      </c>
      <c r="S495" t="s">
        <v>1048</v>
      </c>
      <c r="T495" t="s">
        <v>1506</v>
      </c>
      <c r="U495" t="s">
        <v>60</v>
      </c>
      <c r="V495" t="s">
        <v>61</v>
      </c>
      <c r="W495">
        <v>3</v>
      </c>
      <c r="X495">
        <v>9.5812499999999995E-2</v>
      </c>
      <c r="Y495" t="s">
        <v>321</v>
      </c>
      <c r="Z495" t="s">
        <v>582</v>
      </c>
      <c r="AA495">
        <v>3</v>
      </c>
      <c r="AB495" t="s">
        <v>1340</v>
      </c>
      <c r="AC495" t="s">
        <v>1341</v>
      </c>
      <c r="AD495" t="s">
        <v>1342</v>
      </c>
      <c r="AE495" t="s">
        <v>1343</v>
      </c>
      <c r="AF495" t="s">
        <v>1344</v>
      </c>
      <c r="AG495" t="s">
        <v>889</v>
      </c>
      <c r="AH495" t="s">
        <v>806</v>
      </c>
      <c r="AI495" t="s">
        <v>889</v>
      </c>
      <c r="AJ495" t="s">
        <v>66</v>
      </c>
      <c r="AK495">
        <v>1</v>
      </c>
      <c r="AL495" t="s">
        <v>1423</v>
      </c>
      <c r="AM495" t="s">
        <v>1424</v>
      </c>
      <c r="AN495" t="s">
        <v>1425</v>
      </c>
      <c r="AO495" t="s">
        <v>66</v>
      </c>
      <c r="AP495">
        <v>1</v>
      </c>
      <c r="AQ495" t="s">
        <v>1426</v>
      </c>
      <c r="AR495" t="s">
        <v>1427</v>
      </c>
      <c r="AS495" t="s">
        <v>1468</v>
      </c>
      <c r="AT495" t="s">
        <v>66</v>
      </c>
    </row>
    <row r="496" spans="1:46" x14ac:dyDescent="0.15">
      <c r="A496" t="s">
        <v>1507</v>
      </c>
      <c r="B496" t="s">
        <v>1334</v>
      </c>
      <c r="C496" t="s">
        <v>1335</v>
      </c>
      <c r="D496">
        <v>80</v>
      </c>
      <c r="E496" t="s">
        <v>1336</v>
      </c>
      <c r="F496" t="s">
        <v>718</v>
      </c>
      <c r="G496" t="s">
        <v>51</v>
      </c>
      <c r="H496" t="s">
        <v>1337</v>
      </c>
      <c r="I496" t="s">
        <v>53</v>
      </c>
      <c r="J496" t="s">
        <v>721</v>
      </c>
      <c r="K496" t="s">
        <v>1338</v>
      </c>
      <c r="L496" t="s">
        <v>16</v>
      </c>
      <c r="M496" t="s">
        <v>19</v>
      </c>
      <c r="N496">
        <v>4934</v>
      </c>
      <c r="O496">
        <v>291</v>
      </c>
      <c r="P496">
        <v>0</v>
      </c>
      <c r="Q496" t="s">
        <v>1051</v>
      </c>
      <c r="R496" t="s">
        <v>586</v>
      </c>
      <c r="S496" t="s">
        <v>1052</v>
      </c>
      <c r="T496" t="s">
        <v>1508</v>
      </c>
      <c r="U496" t="s">
        <v>60</v>
      </c>
      <c r="V496" t="s">
        <v>61</v>
      </c>
      <c r="W496">
        <v>3</v>
      </c>
      <c r="X496">
        <v>9.5812499999999995E-2</v>
      </c>
      <c r="Y496" t="s">
        <v>588</v>
      </c>
      <c r="Z496" t="s">
        <v>589</v>
      </c>
      <c r="AA496">
        <v>3</v>
      </c>
      <c r="AB496" t="s">
        <v>1340</v>
      </c>
      <c r="AC496" t="s">
        <v>1341</v>
      </c>
      <c r="AD496" t="s">
        <v>1342</v>
      </c>
      <c r="AE496" t="s">
        <v>1343</v>
      </c>
      <c r="AF496" t="s">
        <v>1344</v>
      </c>
      <c r="AG496" t="s">
        <v>889</v>
      </c>
      <c r="AH496" t="s">
        <v>806</v>
      </c>
      <c r="AI496" t="s">
        <v>889</v>
      </c>
      <c r="AJ496" t="s">
        <v>66</v>
      </c>
      <c r="AK496">
        <v>1</v>
      </c>
      <c r="AL496" t="s">
        <v>1423</v>
      </c>
      <c r="AM496" t="s">
        <v>1424</v>
      </c>
      <c r="AN496" t="s">
        <v>1425</v>
      </c>
      <c r="AO496" t="s">
        <v>66</v>
      </c>
      <c r="AP496">
        <v>1</v>
      </c>
      <c r="AQ496" t="s">
        <v>1426</v>
      </c>
      <c r="AR496" t="s">
        <v>1427</v>
      </c>
      <c r="AS496" t="s">
        <v>1468</v>
      </c>
      <c r="AT496" t="s">
        <v>66</v>
      </c>
    </row>
    <row r="497" spans="1:46" x14ac:dyDescent="0.15">
      <c r="A497" t="s">
        <v>1507</v>
      </c>
      <c r="B497" t="s">
        <v>1334</v>
      </c>
      <c r="C497" t="s">
        <v>1335</v>
      </c>
      <c r="D497">
        <v>80</v>
      </c>
      <c r="E497" t="s">
        <v>1336</v>
      </c>
      <c r="F497" t="s">
        <v>718</v>
      </c>
      <c r="G497" t="s">
        <v>51</v>
      </c>
      <c r="H497" t="s">
        <v>1337</v>
      </c>
      <c r="I497" t="s">
        <v>53</v>
      </c>
      <c r="J497" t="s">
        <v>721</v>
      </c>
      <c r="K497" t="s">
        <v>1338</v>
      </c>
      <c r="L497" t="s">
        <v>16</v>
      </c>
      <c r="M497" t="s">
        <v>19</v>
      </c>
      <c r="N497">
        <v>4934</v>
      </c>
      <c r="O497">
        <v>291</v>
      </c>
      <c r="P497">
        <v>0</v>
      </c>
      <c r="Q497" t="s">
        <v>1051</v>
      </c>
      <c r="R497" t="s">
        <v>586</v>
      </c>
      <c r="S497" t="s">
        <v>1052</v>
      </c>
      <c r="T497" t="s">
        <v>1508</v>
      </c>
      <c r="U497" t="s">
        <v>60</v>
      </c>
      <c r="V497" t="s">
        <v>61</v>
      </c>
      <c r="W497">
        <v>3</v>
      </c>
      <c r="X497">
        <v>9.5812499999999995E-2</v>
      </c>
      <c r="Y497" t="s">
        <v>588</v>
      </c>
      <c r="Z497" t="s">
        <v>589</v>
      </c>
      <c r="AA497">
        <v>4</v>
      </c>
      <c r="AB497" t="s">
        <v>1340</v>
      </c>
      <c r="AC497" t="s">
        <v>1341</v>
      </c>
      <c r="AD497" t="s">
        <v>1342</v>
      </c>
      <c r="AE497" t="s">
        <v>1343</v>
      </c>
      <c r="AF497" t="s">
        <v>1344</v>
      </c>
      <c r="AG497" t="s">
        <v>889</v>
      </c>
      <c r="AH497" t="s">
        <v>806</v>
      </c>
      <c r="AI497" t="s">
        <v>889</v>
      </c>
      <c r="AJ497" t="s">
        <v>1054</v>
      </c>
      <c r="AK497">
        <v>1</v>
      </c>
      <c r="AL497" t="s">
        <v>1423</v>
      </c>
      <c r="AM497" t="s">
        <v>1424</v>
      </c>
      <c r="AN497" t="s">
        <v>1425</v>
      </c>
      <c r="AO497" t="s">
        <v>66</v>
      </c>
      <c r="AP497">
        <v>1</v>
      </c>
      <c r="AQ497" t="s">
        <v>1426</v>
      </c>
      <c r="AR497" t="s">
        <v>1427</v>
      </c>
      <c r="AS497" t="s">
        <v>1468</v>
      </c>
      <c r="AT497" t="s">
        <v>66</v>
      </c>
    </row>
    <row r="498" spans="1:46" x14ac:dyDescent="0.15">
      <c r="A498" t="s">
        <v>1509</v>
      </c>
      <c r="B498" t="s">
        <v>1334</v>
      </c>
      <c r="C498" t="s">
        <v>1335</v>
      </c>
      <c r="D498">
        <v>81</v>
      </c>
      <c r="E498" t="s">
        <v>1336</v>
      </c>
      <c r="F498" t="s">
        <v>718</v>
      </c>
      <c r="G498" t="s">
        <v>51</v>
      </c>
      <c r="H498" t="s">
        <v>1337</v>
      </c>
      <c r="I498" t="s">
        <v>53</v>
      </c>
      <c r="J498" t="s">
        <v>721</v>
      </c>
      <c r="K498" t="s">
        <v>1338</v>
      </c>
      <c r="L498" t="s">
        <v>16</v>
      </c>
      <c r="M498" t="s">
        <v>19</v>
      </c>
      <c r="N498">
        <v>4990</v>
      </c>
      <c r="O498">
        <v>294</v>
      </c>
      <c r="P498">
        <v>0</v>
      </c>
      <c r="Q498" t="s">
        <v>1056</v>
      </c>
      <c r="R498" t="s">
        <v>594</v>
      </c>
      <c r="S498" t="s">
        <v>1057</v>
      </c>
      <c r="T498" t="s">
        <v>1510</v>
      </c>
      <c r="U498" t="s">
        <v>60</v>
      </c>
      <c r="V498" t="s">
        <v>61</v>
      </c>
      <c r="W498">
        <v>3</v>
      </c>
      <c r="X498">
        <v>9.5812499999999995E-2</v>
      </c>
      <c r="Y498" t="s">
        <v>330</v>
      </c>
      <c r="Z498" t="s">
        <v>596</v>
      </c>
      <c r="AA498">
        <v>4</v>
      </c>
      <c r="AB498" t="s">
        <v>1340</v>
      </c>
      <c r="AC498" t="s">
        <v>1341</v>
      </c>
      <c r="AD498" t="s">
        <v>1342</v>
      </c>
      <c r="AE498" t="s">
        <v>1343</v>
      </c>
      <c r="AF498" t="s">
        <v>1344</v>
      </c>
      <c r="AG498" t="s">
        <v>889</v>
      </c>
      <c r="AH498" t="s">
        <v>806</v>
      </c>
      <c r="AI498" t="s">
        <v>889</v>
      </c>
      <c r="AJ498" t="s">
        <v>1054</v>
      </c>
      <c r="AK498">
        <v>1</v>
      </c>
      <c r="AL498" t="s">
        <v>1423</v>
      </c>
      <c r="AM498" t="s">
        <v>1424</v>
      </c>
      <c r="AN498" t="s">
        <v>1425</v>
      </c>
      <c r="AO498" t="s">
        <v>66</v>
      </c>
      <c r="AP498">
        <v>1</v>
      </c>
      <c r="AQ498" t="s">
        <v>1426</v>
      </c>
      <c r="AR498" t="s">
        <v>1427</v>
      </c>
      <c r="AS498" t="s">
        <v>1468</v>
      </c>
      <c r="AT498" t="s">
        <v>66</v>
      </c>
    </row>
    <row r="499" spans="1:46" x14ac:dyDescent="0.15">
      <c r="A499" t="s">
        <v>1511</v>
      </c>
      <c r="B499" t="s">
        <v>1334</v>
      </c>
      <c r="C499" t="s">
        <v>1335</v>
      </c>
      <c r="D499">
        <v>82</v>
      </c>
      <c r="E499" t="s">
        <v>1336</v>
      </c>
      <c r="F499" t="s">
        <v>718</v>
      </c>
      <c r="G499" t="s">
        <v>51</v>
      </c>
      <c r="H499" t="s">
        <v>1337</v>
      </c>
      <c r="I499" t="s">
        <v>53</v>
      </c>
      <c r="J499" t="s">
        <v>721</v>
      </c>
      <c r="K499" t="s">
        <v>1338</v>
      </c>
      <c r="L499" t="s">
        <v>16</v>
      </c>
      <c r="M499" t="s">
        <v>19</v>
      </c>
      <c r="N499">
        <v>5046</v>
      </c>
      <c r="O499">
        <v>297</v>
      </c>
      <c r="P499">
        <v>0</v>
      </c>
      <c r="Q499" t="s">
        <v>1060</v>
      </c>
      <c r="R499" t="s">
        <v>600</v>
      </c>
      <c r="S499" t="s">
        <v>1061</v>
      </c>
      <c r="T499" t="s">
        <v>1512</v>
      </c>
      <c r="U499" t="s">
        <v>60</v>
      </c>
      <c r="V499" t="s">
        <v>61</v>
      </c>
      <c r="W499">
        <v>3</v>
      </c>
      <c r="X499">
        <v>9.5812499999999995E-2</v>
      </c>
      <c r="Y499" t="s">
        <v>602</v>
      </c>
      <c r="Z499" t="s">
        <v>603</v>
      </c>
      <c r="AA499">
        <v>4</v>
      </c>
      <c r="AB499" t="s">
        <v>1340</v>
      </c>
      <c r="AC499" t="s">
        <v>1341</v>
      </c>
      <c r="AD499" t="s">
        <v>1342</v>
      </c>
      <c r="AE499" t="s">
        <v>1343</v>
      </c>
      <c r="AF499" t="s">
        <v>1344</v>
      </c>
      <c r="AG499" t="s">
        <v>889</v>
      </c>
      <c r="AH499" t="s">
        <v>806</v>
      </c>
      <c r="AI499" t="s">
        <v>889</v>
      </c>
      <c r="AJ499" t="s">
        <v>1054</v>
      </c>
      <c r="AK499">
        <v>1</v>
      </c>
      <c r="AL499" t="s">
        <v>1423</v>
      </c>
      <c r="AM499" t="s">
        <v>1424</v>
      </c>
      <c r="AN499" t="s">
        <v>1425</v>
      </c>
      <c r="AO499" t="s">
        <v>66</v>
      </c>
      <c r="AP499">
        <v>1</v>
      </c>
      <c r="AQ499" t="s">
        <v>1426</v>
      </c>
      <c r="AR499" t="s">
        <v>1427</v>
      </c>
      <c r="AS499" t="s">
        <v>1468</v>
      </c>
      <c r="AT499" t="s">
        <v>66</v>
      </c>
    </row>
    <row r="500" spans="1:46" x14ac:dyDescent="0.15">
      <c r="A500" t="s">
        <v>1513</v>
      </c>
      <c r="B500" t="s">
        <v>1334</v>
      </c>
      <c r="C500" t="s">
        <v>1335</v>
      </c>
      <c r="D500">
        <v>83</v>
      </c>
      <c r="E500" t="s">
        <v>1336</v>
      </c>
      <c r="F500" t="s">
        <v>718</v>
      </c>
      <c r="G500" t="s">
        <v>51</v>
      </c>
      <c r="H500" t="s">
        <v>1337</v>
      </c>
      <c r="I500" t="s">
        <v>53</v>
      </c>
      <c r="J500" t="s">
        <v>721</v>
      </c>
      <c r="K500" t="s">
        <v>1338</v>
      </c>
      <c r="L500" t="s">
        <v>16</v>
      </c>
      <c r="M500" t="s">
        <v>19</v>
      </c>
      <c r="N500">
        <v>5102</v>
      </c>
      <c r="O500">
        <v>300</v>
      </c>
      <c r="P500">
        <v>0</v>
      </c>
      <c r="Q500" t="s">
        <v>1064</v>
      </c>
      <c r="R500" t="s">
        <v>607</v>
      </c>
      <c r="S500" t="s">
        <v>1065</v>
      </c>
      <c r="T500" t="s">
        <v>1514</v>
      </c>
      <c r="U500" t="s">
        <v>60</v>
      </c>
      <c r="V500" t="s">
        <v>61</v>
      </c>
      <c r="W500">
        <v>3</v>
      </c>
      <c r="X500">
        <v>9.5812499999999995E-2</v>
      </c>
      <c r="Y500" t="s">
        <v>337</v>
      </c>
      <c r="Z500" t="s">
        <v>609</v>
      </c>
      <c r="AA500">
        <v>4</v>
      </c>
      <c r="AB500" t="s">
        <v>1340</v>
      </c>
      <c r="AC500" t="s">
        <v>1341</v>
      </c>
      <c r="AD500" t="s">
        <v>1342</v>
      </c>
      <c r="AE500" t="s">
        <v>1343</v>
      </c>
      <c r="AF500" t="s">
        <v>1344</v>
      </c>
      <c r="AG500" t="s">
        <v>889</v>
      </c>
      <c r="AH500" t="s">
        <v>806</v>
      </c>
      <c r="AI500" t="s">
        <v>889</v>
      </c>
      <c r="AJ500" t="s">
        <v>1054</v>
      </c>
      <c r="AK500">
        <v>1</v>
      </c>
      <c r="AL500" t="s">
        <v>1423</v>
      </c>
      <c r="AM500" t="s">
        <v>1424</v>
      </c>
      <c r="AN500" t="s">
        <v>1425</v>
      </c>
      <c r="AO500" t="s">
        <v>66</v>
      </c>
      <c r="AP500">
        <v>1</v>
      </c>
      <c r="AQ500" t="s">
        <v>1426</v>
      </c>
      <c r="AR500" t="s">
        <v>1427</v>
      </c>
      <c r="AS500" t="s">
        <v>1468</v>
      </c>
      <c r="AT500" t="s">
        <v>66</v>
      </c>
    </row>
    <row r="501" spans="1:46" x14ac:dyDescent="0.15">
      <c r="A501" t="s">
        <v>1515</v>
      </c>
      <c r="B501" t="s">
        <v>1334</v>
      </c>
      <c r="C501" t="s">
        <v>1335</v>
      </c>
      <c r="D501">
        <v>84</v>
      </c>
      <c r="E501" t="s">
        <v>1336</v>
      </c>
      <c r="F501" t="s">
        <v>718</v>
      </c>
      <c r="G501" t="s">
        <v>51</v>
      </c>
      <c r="H501" t="s">
        <v>1337</v>
      </c>
      <c r="I501" t="s">
        <v>53</v>
      </c>
      <c r="J501" t="s">
        <v>721</v>
      </c>
      <c r="K501" t="s">
        <v>1338</v>
      </c>
      <c r="L501" t="s">
        <v>16</v>
      </c>
      <c r="M501" t="s">
        <v>19</v>
      </c>
      <c r="N501">
        <v>5158</v>
      </c>
      <c r="O501">
        <v>304</v>
      </c>
      <c r="P501">
        <v>0</v>
      </c>
      <c r="Q501" t="s">
        <v>1068</v>
      </c>
      <c r="R501" t="s">
        <v>613</v>
      </c>
      <c r="S501" t="s">
        <v>1069</v>
      </c>
      <c r="T501" t="s">
        <v>1516</v>
      </c>
      <c r="U501" t="s">
        <v>60</v>
      </c>
      <c r="V501" t="s">
        <v>61</v>
      </c>
      <c r="W501">
        <v>3</v>
      </c>
      <c r="X501">
        <v>9.5812499999999995E-2</v>
      </c>
      <c r="Y501" t="s">
        <v>615</v>
      </c>
      <c r="Z501" t="s">
        <v>616</v>
      </c>
      <c r="AA501">
        <v>4</v>
      </c>
      <c r="AB501" t="s">
        <v>1340</v>
      </c>
      <c r="AC501" t="s">
        <v>1341</v>
      </c>
      <c r="AD501" t="s">
        <v>1342</v>
      </c>
      <c r="AE501" t="s">
        <v>1343</v>
      </c>
      <c r="AF501" t="s">
        <v>1344</v>
      </c>
      <c r="AG501" t="s">
        <v>889</v>
      </c>
      <c r="AH501" t="s">
        <v>806</v>
      </c>
      <c r="AI501" t="s">
        <v>889</v>
      </c>
      <c r="AJ501" t="s">
        <v>1054</v>
      </c>
      <c r="AK501">
        <v>1</v>
      </c>
      <c r="AL501" t="s">
        <v>1423</v>
      </c>
      <c r="AM501" t="s">
        <v>1424</v>
      </c>
      <c r="AN501" t="s">
        <v>1425</v>
      </c>
      <c r="AO501" t="s">
        <v>66</v>
      </c>
      <c r="AP501">
        <v>1</v>
      </c>
      <c r="AQ501" t="s">
        <v>1426</v>
      </c>
      <c r="AR501" t="s">
        <v>1427</v>
      </c>
      <c r="AS501" t="s">
        <v>1468</v>
      </c>
      <c r="AT501" t="s">
        <v>66</v>
      </c>
    </row>
    <row r="502" spans="1:46" x14ac:dyDescent="0.15">
      <c r="A502" t="s">
        <v>1517</v>
      </c>
      <c r="B502" t="s">
        <v>1334</v>
      </c>
      <c r="C502" t="s">
        <v>1335</v>
      </c>
      <c r="D502">
        <v>85</v>
      </c>
      <c r="E502" t="s">
        <v>1336</v>
      </c>
      <c r="F502" t="s">
        <v>718</v>
      </c>
      <c r="G502" t="s">
        <v>51</v>
      </c>
      <c r="H502" t="s">
        <v>1337</v>
      </c>
      <c r="I502" t="s">
        <v>53</v>
      </c>
      <c r="J502" t="s">
        <v>721</v>
      </c>
      <c r="K502" t="s">
        <v>1338</v>
      </c>
      <c r="L502" t="s">
        <v>16</v>
      </c>
      <c r="M502" t="s">
        <v>19</v>
      </c>
      <c r="N502">
        <v>5214</v>
      </c>
      <c r="O502">
        <v>307</v>
      </c>
      <c r="P502">
        <v>0</v>
      </c>
      <c r="Q502" t="s">
        <v>1072</v>
      </c>
      <c r="R502" t="s">
        <v>620</v>
      </c>
      <c r="S502" t="s">
        <v>1073</v>
      </c>
      <c r="T502" t="s">
        <v>1518</v>
      </c>
      <c r="U502" t="s">
        <v>60</v>
      </c>
      <c r="V502" t="s">
        <v>61</v>
      </c>
      <c r="W502">
        <v>3</v>
      </c>
      <c r="X502">
        <v>9.5812499999999995E-2</v>
      </c>
      <c r="Y502" t="s">
        <v>343</v>
      </c>
      <c r="Z502" t="s">
        <v>622</v>
      </c>
      <c r="AA502">
        <v>4</v>
      </c>
      <c r="AB502" t="s">
        <v>1340</v>
      </c>
      <c r="AC502" t="s">
        <v>1341</v>
      </c>
      <c r="AD502" t="s">
        <v>1342</v>
      </c>
      <c r="AE502" t="s">
        <v>1343</v>
      </c>
      <c r="AF502" t="s">
        <v>1344</v>
      </c>
      <c r="AG502" t="s">
        <v>889</v>
      </c>
      <c r="AH502" t="s">
        <v>806</v>
      </c>
      <c r="AI502" t="s">
        <v>889</v>
      </c>
      <c r="AJ502" t="s">
        <v>1054</v>
      </c>
      <c r="AK502">
        <v>1</v>
      </c>
      <c r="AL502" t="s">
        <v>1423</v>
      </c>
      <c r="AM502" t="s">
        <v>1424</v>
      </c>
      <c r="AN502" t="s">
        <v>1425</v>
      </c>
      <c r="AO502" t="s">
        <v>66</v>
      </c>
      <c r="AP502">
        <v>1</v>
      </c>
      <c r="AQ502" t="s">
        <v>1426</v>
      </c>
      <c r="AR502" t="s">
        <v>1427</v>
      </c>
      <c r="AS502" t="s">
        <v>1468</v>
      </c>
      <c r="AT502" t="s">
        <v>66</v>
      </c>
    </row>
    <row r="503" spans="1:46" x14ac:dyDescent="0.15">
      <c r="A503" t="s">
        <v>1519</v>
      </c>
      <c r="B503" t="s">
        <v>1334</v>
      </c>
      <c r="C503" t="s">
        <v>1335</v>
      </c>
      <c r="D503">
        <v>86</v>
      </c>
      <c r="E503" t="s">
        <v>1336</v>
      </c>
      <c r="F503" t="s">
        <v>718</v>
      </c>
      <c r="G503" t="s">
        <v>51</v>
      </c>
      <c r="H503" t="s">
        <v>1337</v>
      </c>
      <c r="I503" t="s">
        <v>53</v>
      </c>
      <c r="J503" t="s">
        <v>721</v>
      </c>
      <c r="K503" t="s">
        <v>1338</v>
      </c>
      <c r="L503" t="s">
        <v>16</v>
      </c>
      <c r="M503" t="s">
        <v>19</v>
      </c>
      <c r="N503">
        <v>5270</v>
      </c>
      <c r="O503">
        <v>310</v>
      </c>
      <c r="P503">
        <v>0</v>
      </c>
      <c r="Q503" t="s">
        <v>1076</v>
      </c>
      <c r="R503" t="s">
        <v>626</v>
      </c>
      <c r="S503" t="s">
        <v>1077</v>
      </c>
      <c r="T503" t="s">
        <v>1520</v>
      </c>
      <c r="U503" t="s">
        <v>60</v>
      </c>
      <c r="V503" t="s">
        <v>61</v>
      </c>
      <c r="W503">
        <v>3</v>
      </c>
      <c r="X503">
        <v>9.5812499999999995E-2</v>
      </c>
      <c r="Y503" t="s">
        <v>628</v>
      </c>
      <c r="Z503" t="s">
        <v>629</v>
      </c>
      <c r="AA503">
        <v>4</v>
      </c>
      <c r="AB503" t="s">
        <v>1340</v>
      </c>
      <c r="AC503" t="s">
        <v>1341</v>
      </c>
      <c r="AD503" t="s">
        <v>1342</v>
      </c>
      <c r="AE503" t="s">
        <v>1343</v>
      </c>
      <c r="AF503" t="s">
        <v>1344</v>
      </c>
      <c r="AG503" t="s">
        <v>889</v>
      </c>
      <c r="AH503" t="s">
        <v>806</v>
      </c>
      <c r="AI503" t="s">
        <v>889</v>
      </c>
      <c r="AJ503" t="s">
        <v>1054</v>
      </c>
      <c r="AK503">
        <v>1</v>
      </c>
      <c r="AL503" t="s">
        <v>1423</v>
      </c>
      <c r="AM503" t="s">
        <v>1424</v>
      </c>
      <c r="AN503" t="s">
        <v>1425</v>
      </c>
      <c r="AO503" t="s">
        <v>66</v>
      </c>
      <c r="AP503">
        <v>1</v>
      </c>
      <c r="AQ503" t="s">
        <v>1426</v>
      </c>
      <c r="AR503" t="s">
        <v>1427</v>
      </c>
      <c r="AS503" t="s">
        <v>1468</v>
      </c>
      <c r="AT503" t="s">
        <v>66</v>
      </c>
    </row>
    <row r="504" spans="1:46" x14ac:dyDescent="0.15">
      <c r="A504" t="s">
        <v>1521</v>
      </c>
      <c r="B504" t="s">
        <v>1334</v>
      </c>
      <c r="C504" t="s">
        <v>1335</v>
      </c>
      <c r="D504">
        <v>87</v>
      </c>
      <c r="E504" t="s">
        <v>1336</v>
      </c>
      <c r="F504" t="s">
        <v>718</v>
      </c>
      <c r="G504" t="s">
        <v>51</v>
      </c>
      <c r="H504" t="s">
        <v>1337</v>
      </c>
      <c r="I504" t="s">
        <v>53</v>
      </c>
      <c r="J504" t="s">
        <v>721</v>
      </c>
      <c r="K504" t="s">
        <v>1338</v>
      </c>
      <c r="L504" t="s">
        <v>16</v>
      </c>
      <c r="M504" t="s">
        <v>19</v>
      </c>
      <c r="N504">
        <v>5327</v>
      </c>
      <c r="O504">
        <v>314</v>
      </c>
      <c r="P504">
        <v>0</v>
      </c>
      <c r="Q504" t="s">
        <v>1080</v>
      </c>
      <c r="R504" t="s">
        <v>633</v>
      </c>
      <c r="S504" t="s">
        <v>1081</v>
      </c>
      <c r="T504" t="s">
        <v>1522</v>
      </c>
      <c r="U504" t="s">
        <v>60</v>
      </c>
      <c r="V504" t="s">
        <v>61</v>
      </c>
      <c r="W504">
        <v>3</v>
      </c>
      <c r="X504">
        <v>9.5812499999999995E-2</v>
      </c>
      <c r="Y504" t="s">
        <v>350</v>
      </c>
      <c r="Z504" t="s">
        <v>635</v>
      </c>
      <c r="AA504">
        <v>4</v>
      </c>
      <c r="AB504" t="s">
        <v>1340</v>
      </c>
      <c r="AC504" t="s">
        <v>1341</v>
      </c>
      <c r="AD504" t="s">
        <v>1342</v>
      </c>
      <c r="AE504" t="s">
        <v>1343</v>
      </c>
      <c r="AF504" t="s">
        <v>1344</v>
      </c>
      <c r="AG504" t="s">
        <v>889</v>
      </c>
      <c r="AH504" t="s">
        <v>806</v>
      </c>
      <c r="AI504" t="s">
        <v>889</v>
      </c>
      <c r="AJ504" t="s">
        <v>1054</v>
      </c>
      <c r="AK504">
        <v>1</v>
      </c>
      <c r="AL504" t="s">
        <v>1423</v>
      </c>
      <c r="AM504" t="s">
        <v>1424</v>
      </c>
      <c r="AN504" t="s">
        <v>1425</v>
      </c>
      <c r="AO504" t="s">
        <v>66</v>
      </c>
      <c r="AP504">
        <v>1</v>
      </c>
      <c r="AQ504" t="s">
        <v>1426</v>
      </c>
      <c r="AR504" t="s">
        <v>1427</v>
      </c>
      <c r="AS504" t="s">
        <v>1468</v>
      </c>
      <c r="AT504" t="s">
        <v>66</v>
      </c>
    </row>
    <row r="505" spans="1:46" x14ac:dyDescent="0.15">
      <c r="A505" t="s">
        <v>1523</v>
      </c>
      <c r="B505" t="s">
        <v>1334</v>
      </c>
      <c r="C505" t="s">
        <v>1335</v>
      </c>
      <c r="D505">
        <v>88</v>
      </c>
      <c r="E505" t="s">
        <v>1336</v>
      </c>
      <c r="F505" t="s">
        <v>718</v>
      </c>
      <c r="G505" t="s">
        <v>51</v>
      </c>
      <c r="H505" t="s">
        <v>1337</v>
      </c>
      <c r="I505" t="s">
        <v>53</v>
      </c>
      <c r="J505" t="s">
        <v>721</v>
      </c>
      <c r="K505" t="s">
        <v>1338</v>
      </c>
      <c r="L505" t="s">
        <v>16</v>
      </c>
      <c r="M505" t="s">
        <v>19</v>
      </c>
      <c r="N505">
        <v>5383</v>
      </c>
      <c r="O505">
        <v>317</v>
      </c>
      <c r="P505">
        <v>0</v>
      </c>
      <c r="Q505" t="s">
        <v>1084</v>
      </c>
      <c r="R505" t="s">
        <v>639</v>
      </c>
      <c r="S505" t="s">
        <v>1085</v>
      </c>
      <c r="T505" t="s">
        <v>1524</v>
      </c>
      <c r="U505" t="s">
        <v>60</v>
      </c>
      <c r="V505" t="s">
        <v>61</v>
      </c>
      <c r="W505">
        <v>3</v>
      </c>
      <c r="X505">
        <v>9.5812499999999995E-2</v>
      </c>
      <c r="Y505" t="s">
        <v>641</v>
      </c>
      <c r="Z505" t="s">
        <v>642</v>
      </c>
      <c r="AA505">
        <v>4</v>
      </c>
      <c r="AB505" t="s">
        <v>1340</v>
      </c>
      <c r="AC505" t="s">
        <v>1341</v>
      </c>
      <c r="AD505" t="s">
        <v>1342</v>
      </c>
      <c r="AE505" t="s">
        <v>1343</v>
      </c>
      <c r="AF505" t="s">
        <v>1344</v>
      </c>
      <c r="AG505" t="s">
        <v>889</v>
      </c>
      <c r="AH505" t="s">
        <v>806</v>
      </c>
      <c r="AI505" t="s">
        <v>889</v>
      </c>
      <c r="AJ505" t="s">
        <v>1054</v>
      </c>
      <c r="AK505">
        <v>1</v>
      </c>
      <c r="AL505" t="s">
        <v>1423</v>
      </c>
      <c r="AM505" t="s">
        <v>1424</v>
      </c>
      <c r="AN505" t="s">
        <v>1425</v>
      </c>
      <c r="AO505" t="s">
        <v>66</v>
      </c>
      <c r="AP505">
        <v>1</v>
      </c>
      <c r="AQ505" t="s">
        <v>1426</v>
      </c>
      <c r="AR505" t="s">
        <v>1427</v>
      </c>
      <c r="AS505" t="s">
        <v>1468</v>
      </c>
      <c r="AT505" t="s">
        <v>66</v>
      </c>
    </row>
    <row r="506" spans="1:46" x14ac:dyDescent="0.15">
      <c r="A506" t="s">
        <v>1525</v>
      </c>
      <c r="B506" t="s">
        <v>1334</v>
      </c>
      <c r="C506" t="s">
        <v>1335</v>
      </c>
      <c r="D506">
        <v>89</v>
      </c>
      <c r="E506" t="s">
        <v>1336</v>
      </c>
      <c r="F506" t="s">
        <v>718</v>
      </c>
      <c r="G506" t="s">
        <v>51</v>
      </c>
      <c r="H506" t="s">
        <v>1337</v>
      </c>
      <c r="I506" t="s">
        <v>53</v>
      </c>
      <c r="J506" t="s">
        <v>721</v>
      </c>
      <c r="K506" t="s">
        <v>1338</v>
      </c>
      <c r="L506" t="s">
        <v>16</v>
      </c>
      <c r="M506" t="s">
        <v>19</v>
      </c>
      <c r="N506">
        <v>5439</v>
      </c>
      <c r="O506">
        <v>320</v>
      </c>
      <c r="P506">
        <v>0</v>
      </c>
      <c r="Q506" t="s">
        <v>1088</v>
      </c>
      <c r="R506" t="s">
        <v>646</v>
      </c>
      <c r="S506" t="s">
        <v>1089</v>
      </c>
      <c r="T506" t="s">
        <v>1526</v>
      </c>
      <c r="U506" t="s">
        <v>60</v>
      </c>
      <c r="V506" t="s">
        <v>61</v>
      </c>
      <c r="W506">
        <v>3</v>
      </c>
      <c r="X506">
        <v>9.5812499999999995E-2</v>
      </c>
      <c r="Y506" t="s">
        <v>356</v>
      </c>
      <c r="Z506" t="s">
        <v>648</v>
      </c>
      <c r="AA506">
        <v>4</v>
      </c>
      <c r="AB506" t="s">
        <v>1340</v>
      </c>
      <c r="AC506" t="s">
        <v>1341</v>
      </c>
      <c r="AD506" t="s">
        <v>1342</v>
      </c>
      <c r="AE506" t="s">
        <v>1343</v>
      </c>
      <c r="AF506" t="s">
        <v>1344</v>
      </c>
      <c r="AG506" t="s">
        <v>889</v>
      </c>
      <c r="AH506" t="s">
        <v>806</v>
      </c>
      <c r="AI506" t="s">
        <v>889</v>
      </c>
      <c r="AJ506" t="s">
        <v>1054</v>
      </c>
      <c r="AK506">
        <v>1</v>
      </c>
      <c r="AL506" t="s">
        <v>1423</v>
      </c>
      <c r="AM506" t="s">
        <v>1424</v>
      </c>
      <c r="AN506" t="s">
        <v>1425</v>
      </c>
      <c r="AO506" t="s">
        <v>66</v>
      </c>
      <c r="AP506">
        <v>1</v>
      </c>
      <c r="AQ506" t="s">
        <v>1426</v>
      </c>
      <c r="AR506" t="s">
        <v>1427</v>
      </c>
      <c r="AS506" t="s">
        <v>1468</v>
      </c>
      <c r="AT506" t="s">
        <v>66</v>
      </c>
    </row>
    <row r="507" spans="1:46" x14ac:dyDescent="0.15">
      <c r="A507" t="s">
        <v>1527</v>
      </c>
      <c r="B507" t="s">
        <v>1334</v>
      </c>
      <c r="C507" t="s">
        <v>1335</v>
      </c>
      <c r="D507">
        <v>90</v>
      </c>
      <c r="E507" t="s">
        <v>1336</v>
      </c>
      <c r="F507" t="s">
        <v>718</v>
      </c>
      <c r="G507" t="s">
        <v>51</v>
      </c>
      <c r="H507" t="s">
        <v>1337</v>
      </c>
      <c r="I507" t="s">
        <v>53</v>
      </c>
      <c r="J507" t="s">
        <v>721</v>
      </c>
      <c r="K507" t="s">
        <v>1338</v>
      </c>
      <c r="L507" t="s">
        <v>16</v>
      </c>
      <c r="M507" t="s">
        <v>19</v>
      </c>
      <c r="N507">
        <v>5495</v>
      </c>
      <c r="O507">
        <v>323</v>
      </c>
      <c r="P507">
        <v>0</v>
      </c>
      <c r="Q507" t="s">
        <v>1092</v>
      </c>
      <c r="R507" t="s">
        <v>652</v>
      </c>
      <c r="S507" t="s">
        <v>1093</v>
      </c>
      <c r="T507" t="s">
        <v>1528</v>
      </c>
      <c r="U507" t="s">
        <v>60</v>
      </c>
      <c r="V507" t="s">
        <v>61</v>
      </c>
      <c r="W507">
        <v>3</v>
      </c>
      <c r="X507">
        <v>9.5812499999999995E-2</v>
      </c>
      <c r="Y507" t="s">
        <v>654</v>
      </c>
      <c r="Z507" t="s">
        <v>655</v>
      </c>
      <c r="AA507">
        <v>4</v>
      </c>
      <c r="AB507" t="s">
        <v>1340</v>
      </c>
      <c r="AC507" t="s">
        <v>1341</v>
      </c>
      <c r="AD507" t="s">
        <v>1342</v>
      </c>
      <c r="AE507" t="s">
        <v>1343</v>
      </c>
      <c r="AF507" t="s">
        <v>1344</v>
      </c>
      <c r="AG507" t="s">
        <v>889</v>
      </c>
      <c r="AH507" t="s">
        <v>806</v>
      </c>
      <c r="AI507" t="s">
        <v>889</v>
      </c>
      <c r="AJ507" t="s">
        <v>1054</v>
      </c>
      <c r="AK507">
        <v>1</v>
      </c>
      <c r="AL507" t="s">
        <v>1423</v>
      </c>
      <c r="AM507" t="s">
        <v>1424</v>
      </c>
      <c r="AN507" t="s">
        <v>1425</v>
      </c>
      <c r="AO507" t="s">
        <v>66</v>
      </c>
      <c r="AP507">
        <v>1</v>
      </c>
      <c r="AQ507" t="s">
        <v>1426</v>
      </c>
      <c r="AR507" t="s">
        <v>1427</v>
      </c>
      <c r="AS507" t="s">
        <v>1468</v>
      </c>
      <c r="AT507" t="s">
        <v>66</v>
      </c>
    </row>
    <row r="508" spans="1:46" x14ac:dyDescent="0.15">
      <c r="A508" t="s">
        <v>1529</v>
      </c>
      <c r="B508" t="s">
        <v>1334</v>
      </c>
      <c r="C508" t="s">
        <v>1335</v>
      </c>
      <c r="D508">
        <v>91</v>
      </c>
      <c r="E508" t="s">
        <v>1336</v>
      </c>
      <c r="F508" t="s">
        <v>718</v>
      </c>
      <c r="G508" t="s">
        <v>51</v>
      </c>
      <c r="H508" t="s">
        <v>1337</v>
      </c>
      <c r="I508" t="s">
        <v>53</v>
      </c>
      <c r="J508" t="s">
        <v>721</v>
      </c>
      <c r="K508" t="s">
        <v>1338</v>
      </c>
      <c r="L508" t="s">
        <v>16</v>
      </c>
      <c r="M508" t="s">
        <v>19</v>
      </c>
      <c r="N508">
        <v>5551</v>
      </c>
      <c r="O508">
        <v>327</v>
      </c>
      <c r="P508">
        <v>0</v>
      </c>
      <c r="Q508" t="s">
        <v>1096</v>
      </c>
      <c r="R508" t="s">
        <v>659</v>
      </c>
      <c r="S508" t="s">
        <v>1097</v>
      </c>
      <c r="T508" t="s">
        <v>1530</v>
      </c>
      <c r="U508" t="s">
        <v>60</v>
      </c>
      <c r="V508" t="s">
        <v>61</v>
      </c>
      <c r="W508">
        <v>3</v>
      </c>
      <c r="X508">
        <v>9.5812499999999995E-2</v>
      </c>
      <c r="Y508" t="s">
        <v>363</v>
      </c>
      <c r="Z508" t="s">
        <v>661</v>
      </c>
      <c r="AA508">
        <v>4</v>
      </c>
      <c r="AB508" t="s">
        <v>1340</v>
      </c>
      <c r="AC508" t="s">
        <v>1341</v>
      </c>
      <c r="AD508" t="s">
        <v>1342</v>
      </c>
      <c r="AE508" t="s">
        <v>1343</v>
      </c>
      <c r="AF508" t="s">
        <v>1344</v>
      </c>
      <c r="AG508" t="s">
        <v>889</v>
      </c>
      <c r="AH508" t="s">
        <v>806</v>
      </c>
      <c r="AI508" t="s">
        <v>889</v>
      </c>
      <c r="AJ508" t="s">
        <v>1054</v>
      </c>
      <c r="AK508">
        <v>1</v>
      </c>
      <c r="AL508" t="s">
        <v>1423</v>
      </c>
      <c r="AM508" t="s">
        <v>1424</v>
      </c>
      <c r="AN508" t="s">
        <v>1425</v>
      </c>
      <c r="AO508" t="s">
        <v>66</v>
      </c>
      <c r="AP508">
        <v>1</v>
      </c>
      <c r="AQ508" t="s">
        <v>1426</v>
      </c>
      <c r="AR508" t="s">
        <v>1427</v>
      </c>
      <c r="AS508" t="s">
        <v>1468</v>
      </c>
      <c r="AT508" t="s">
        <v>66</v>
      </c>
    </row>
    <row r="509" spans="1:46" x14ac:dyDescent="0.15">
      <c r="A509" t="s">
        <v>1531</v>
      </c>
      <c r="B509" t="s">
        <v>1334</v>
      </c>
      <c r="C509" t="s">
        <v>1335</v>
      </c>
      <c r="D509">
        <v>92</v>
      </c>
      <c r="E509" t="s">
        <v>1336</v>
      </c>
      <c r="F509" t="s">
        <v>718</v>
      </c>
      <c r="G509" t="s">
        <v>51</v>
      </c>
      <c r="H509" t="s">
        <v>1337</v>
      </c>
      <c r="I509" t="s">
        <v>53</v>
      </c>
      <c r="J509" t="s">
        <v>721</v>
      </c>
      <c r="K509" t="s">
        <v>1338</v>
      </c>
      <c r="L509" t="s">
        <v>16</v>
      </c>
      <c r="M509" t="s">
        <v>19</v>
      </c>
      <c r="N509">
        <v>5607</v>
      </c>
      <c r="O509">
        <v>330</v>
      </c>
      <c r="P509">
        <v>0</v>
      </c>
      <c r="Q509" t="s">
        <v>1100</v>
      </c>
      <c r="R509" t="s">
        <v>665</v>
      </c>
      <c r="S509" t="s">
        <v>1101</v>
      </c>
      <c r="T509" t="s">
        <v>1532</v>
      </c>
      <c r="U509" t="s">
        <v>60</v>
      </c>
      <c r="V509" t="s">
        <v>61</v>
      </c>
      <c r="W509">
        <v>3</v>
      </c>
      <c r="X509">
        <v>9.5812499999999995E-2</v>
      </c>
      <c r="Y509" t="s">
        <v>667</v>
      </c>
      <c r="Z509" t="s">
        <v>668</v>
      </c>
      <c r="AA509">
        <v>4</v>
      </c>
      <c r="AB509" t="s">
        <v>1340</v>
      </c>
      <c r="AC509" t="s">
        <v>1341</v>
      </c>
      <c r="AD509" t="s">
        <v>1342</v>
      </c>
      <c r="AE509" t="s">
        <v>1343</v>
      </c>
      <c r="AF509" t="s">
        <v>1344</v>
      </c>
      <c r="AG509" t="s">
        <v>889</v>
      </c>
      <c r="AH509" t="s">
        <v>806</v>
      </c>
      <c r="AI509" t="s">
        <v>889</v>
      </c>
      <c r="AJ509" t="s">
        <v>1054</v>
      </c>
      <c r="AK509">
        <v>1</v>
      </c>
      <c r="AL509" t="s">
        <v>1423</v>
      </c>
      <c r="AM509" t="s">
        <v>1424</v>
      </c>
      <c r="AN509" t="s">
        <v>1425</v>
      </c>
      <c r="AO509" t="s">
        <v>66</v>
      </c>
      <c r="AP509">
        <v>1</v>
      </c>
      <c r="AQ509" t="s">
        <v>1426</v>
      </c>
      <c r="AR509" t="s">
        <v>1427</v>
      </c>
      <c r="AS509" t="s">
        <v>1468</v>
      </c>
      <c r="AT509" t="s">
        <v>66</v>
      </c>
    </row>
    <row r="510" spans="1:46" x14ac:dyDescent="0.15">
      <c r="A510" t="s">
        <v>1533</v>
      </c>
      <c r="B510" t="s">
        <v>1334</v>
      </c>
      <c r="C510" t="s">
        <v>1335</v>
      </c>
      <c r="D510">
        <v>93</v>
      </c>
      <c r="E510" t="s">
        <v>1336</v>
      </c>
      <c r="F510" t="s">
        <v>718</v>
      </c>
      <c r="G510" t="s">
        <v>51</v>
      </c>
      <c r="H510" t="s">
        <v>1337</v>
      </c>
      <c r="I510" t="s">
        <v>53</v>
      </c>
      <c r="J510" t="s">
        <v>721</v>
      </c>
      <c r="K510" t="s">
        <v>1338</v>
      </c>
      <c r="L510" t="s">
        <v>16</v>
      </c>
      <c r="M510" t="s">
        <v>19</v>
      </c>
      <c r="N510">
        <v>5663</v>
      </c>
      <c r="O510">
        <v>333</v>
      </c>
      <c r="P510">
        <v>0</v>
      </c>
      <c r="Q510" t="s">
        <v>1104</v>
      </c>
      <c r="R510" t="s">
        <v>672</v>
      </c>
      <c r="S510" t="s">
        <v>1105</v>
      </c>
      <c r="T510" t="s">
        <v>1534</v>
      </c>
      <c r="U510" t="s">
        <v>60</v>
      </c>
      <c r="V510" t="s">
        <v>61</v>
      </c>
      <c r="W510">
        <v>3</v>
      </c>
      <c r="X510">
        <v>9.5812499999999995E-2</v>
      </c>
      <c r="Y510" t="s">
        <v>369</v>
      </c>
      <c r="Z510" t="s">
        <v>674</v>
      </c>
      <c r="AA510">
        <v>4</v>
      </c>
      <c r="AB510" t="s">
        <v>1340</v>
      </c>
      <c r="AC510" t="s">
        <v>1341</v>
      </c>
      <c r="AD510" t="s">
        <v>1342</v>
      </c>
      <c r="AE510" t="s">
        <v>1343</v>
      </c>
      <c r="AF510" t="s">
        <v>1344</v>
      </c>
      <c r="AG510" t="s">
        <v>889</v>
      </c>
      <c r="AH510" t="s">
        <v>806</v>
      </c>
      <c r="AI510" t="s">
        <v>889</v>
      </c>
      <c r="AJ510" t="s">
        <v>1054</v>
      </c>
      <c r="AK510">
        <v>1</v>
      </c>
      <c r="AL510" t="s">
        <v>1423</v>
      </c>
      <c r="AM510" t="s">
        <v>1424</v>
      </c>
      <c r="AN510" t="s">
        <v>1425</v>
      </c>
      <c r="AO510" t="s">
        <v>66</v>
      </c>
      <c r="AP510">
        <v>1</v>
      </c>
      <c r="AQ510" t="s">
        <v>1426</v>
      </c>
      <c r="AR510" t="s">
        <v>1427</v>
      </c>
      <c r="AS510" t="s">
        <v>1468</v>
      </c>
      <c r="AT510" t="s">
        <v>66</v>
      </c>
    </row>
    <row r="511" spans="1:46" x14ac:dyDescent="0.15">
      <c r="A511" t="s">
        <v>1535</v>
      </c>
      <c r="B511" t="s">
        <v>1334</v>
      </c>
      <c r="C511" t="s">
        <v>1335</v>
      </c>
      <c r="D511">
        <v>94</v>
      </c>
      <c r="E511" t="s">
        <v>1336</v>
      </c>
      <c r="F511" t="s">
        <v>718</v>
      </c>
      <c r="G511" t="s">
        <v>51</v>
      </c>
      <c r="H511" t="s">
        <v>1337</v>
      </c>
      <c r="I511" t="s">
        <v>53</v>
      </c>
      <c r="J511" t="s">
        <v>721</v>
      </c>
      <c r="K511" t="s">
        <v>1338</v>
      </c>
      <c r="L511" t="s">
        <v>16</v>
      </c>
      <c r="M511" t="s">
        <v>19</v>
      </c>
      <c r="N511">
        <v>5719</v>
      </c>
      <c r="O511">
        <v>337</v>
      </c>
      <c r="P511">
        <v>0</v>
      </c>
      <c r="Q511" t="s">
        <v>1108</v>
      </c>
      <c r="R511" t="s">
        <v>678</v>
      </c>
      <c r="S511" t="s">
        <v>1109</v>
      </c>
      <c r="T511" t="s">
        <v>1536</v>
      </c>
      <c r="U511" t="s">
        <v>60</v>
      </c>
      <c r="V511" t="s">
        <v>61</v>
      </c>
      <c r="W511">
        <v>3</v>
      </c>
      <c r="X511">
        <v>9.5812499999999995E-2</v>
      </c>
      <c r="Y511" t="s">
        <v>680</v>
      </c>
      <c r="Z511" t="s">
        <v>681</v>
      </c>
      <c r="AA511">
        <v>4</v>
      </c>
      <c r="AB511" t="s">
        <v>1340</v>
      </c>
      <c r="AC511" t="s">
        <v>1341</v>
      </c>
      <c r="AD511" t="s">
        <v>1342</v>
      </c>
      <c r="AE511" t="s">
        <v>1343</v>
      </c>
      <c r="AF511" t="s">
        <v>1344</v>
      </c>
      <c r="AG511" t="s">
        <v>889</v>
      </c>
      <c r="AH511" t="s">
        <v>806</v>
      </c>
      <c r="AI511" t="s">
        <v>889</v>
      </c>
      <c r="AJ511" t="s">
        <v>1054</v>
      </c>
      <c r="AK511">
        <v>1</v>
      </c>
      <c r="AL511" t="s">
        <v>1423</v>
      </c>
      <c r="AM511" t="s">
        <v>1424</v>
      </c>
      <c r="AN511" t="s">
        <v>1425</v>
      </c>
      <c r="AO511" t="s">
        <v>66</v>
      </c>
      <c r="AP511">
        <v>1</v>
      </c>
      <c r="AQ511" t="s">
        <v>1426</v>
      </c>
      <c r="AR511" t="s">
        <v>1427</v>
      </c>
      <c r="AS511" t="s">
        <v>1468</v>
      </c>
      <c r="AT511" t="s">
        <v>66</v>
      </c>
    </row>
    <row r="512" spans="1:46" x14ac:dyDescent="0.15">
      <c r="A512" t="s">
        <v>1537</v>
      </c>
      <c r="B512" t="s">
        <v>1334</v>
      </c>
      <c r="C512" t="s">
        <v>1335</v>
      </c>
      <c r="D512">
        <v>95</v>
      </c>
      <c r="E512" t="s">
        <v>1336</v>
      </c>
      <c r="F512" t="s">
        <v>718</v>
      </c>
      <c r="G512" t="s">
        <v>51</v>
      </c>
      <c r="H512" t="s">
        <v>1337</v>
      </c>
      <c r="I512" t="s">
        <v>53</v>
      </c>
      <c r="J512" t="s">
        <v>721</v>
      </c>
      <c r="K512" t="s">
        <v>1338</v>
      </c>
      <c r="L512" t="s">
        <v>16</v>
      </c>
      <c r="M512" t="s">
        <v>19</v>
      </c>
      <c r="N512">
        <v>5776</v>
      </c>
      <c r="O512">
        <v>340</v>
      </c>
      <c r="P512">
        <v>0</v>
      </c>
      <c r="Q512" t="s">
        <v>1112</v>
      </c>
      <c r="R512" t="s">
        <v>685</v>
      </c>
      <c r="S512" t="s">
        <v>1113</v>
      </c>
      <c r="T512" t="s">
        <v>1538</v>
      </c>
      <c r="U512" t="s">
        <v>60</v>
      </c>
      <c r="V512" t="s">
        <v>61</v>
      </c>
      <c r="W512">
        <v>3</v>
      </c>
      <c r="X512">
        <v>9.5812499999999995E-2</v>
      </c>
      <c r="Y512" t="s">
        <v>376</v>
      </c>
      <c r="Z512" t="s">
        <v>687</v>
      </c>
      <c r="AA512">
        <v>4</v>
      </c>
      <c r="AB512" t="s">
        <v>1340</v>
      </c>
      <c r="AC512" t="s">
        <v>1341</v>
      </c>
      <c r="AD512" t="s">
        <v>1342</v>
      </c>
      <c r="AE512" t="s">
        <v>1343</v>
      </c>
      <c r="AF512" t="s">
        <v>1344</v>
      </c>
      <c r="AG512" t="s">
        <v>889</v>
      </c>
      <c r="AH512" t="s">
        <v>806</v>
      </c>
      <c r="AI512" t="s">
        <v>889</v>
      </c>
      <c r="AJ512" t="s">
        <v>1054</v>
      </c>
      <c r="AK512">
        <v>1</v>
      </c>
      <c r="AL512" t="s">
        <v>1423</v>
      </c>
      <c r="AM512" t="s">
        <v>1424</v>
      </c>
      <c r="AN512" t="s">
        <v>1425</v>
      </c>
      <c r="AO512" t="s">
        <v>66</v>
      </c>
      <c r="AP512">
        <v>1</v>
      </c>
      <c r="AQ512" t="s">
        <v>1426</v>
      </c>
      <c r="AR512" t="s">
        <v>1427</v>
      </c>
      <c r="AS512" t="s">
        <v>1468</v>
      </c>
      <c r="AT512" t="s">
        <v>66</v>
      </c>
    </row>
    <row r="513" spans="1:46" x14ac:dyDescent="0.15">
      <c r="A513" t="s">
        <v>1539</v>
      </c>
      <c r="B513" t="s">
        <v>1334</v>
      </c>
      <c r="C513" t="s">
        <v>1335</v>
      </c>
      <c r="D513">
        <v>96</v>
      </c>
      <c r="E513" t="s">
        <v>1336</v>
      </c>
      <c r="F513" t="s">
        <v>718</v>
      </c>
      <c r="G513" t="s">
        <v>51</v>
      </c>
      <c r="H513" t="s">
        <v>1337</v>
      </c>
      <c r="I513" t="s">
        <v>53</v>
      </c>
      <c r="J513" t="s">
        <v>721</v>
      </c>
      <c r="K513" t="s">
        <v>1338</v>
      </c>
      <c r="L513" t="s">
        <v>16</v>
      </c>
      <c r="M513" t="s">
        <v>19</v>
      </c>
      <c r="N513">
        <v>5832</v>
      </c>
      <c r="O513">
        <v>343</v>
      </c>
      <c r="P513">
        <v>0</v>
      </c>
      <c r="Q513" t="s">
        <v>1116</v>
      </c>
      <c r="R513" t="s">
        <v>691</v>
      </c>
      <c r="S513" t="s">
        <v>1117</v>
      </c>
      <c r="T513" t="s">
        <v>1540</v>
      </c>
      <c r="U513" t="s">
        <v>60</v>
      </c>
      <c r="V513" t="s">
        <v>61</v>
      </c>
      <c r="W513">
        <v>3</v>
      </c>
      <c r="X513">
        <v>9.5812499999999995E-2</v>
      </c>
      <c r="Y513" t="s">
        <v>693</v>
      </c>
      <c r="Z513" t="s">
        <v>694</v>
      </c>
      <c r="AA513">
        <v>4</v>
      </c>
      <c r="AB513" t="s">
        <v>1340</v>
      </c>
      <c r="AC513" t="s">
        <v>1341</v>
      </c>
      <c r="AD513" t="s">
        <v>1342</v>
      </c>
      <c r="AE513" t="s">
        <v>1343</v>
      </c>
      <c r="AF513" t="s">
        <v>1344</v>
      </c>
      <c r="AG513" t="s">
        <v>889</v>
      </c>
      <c r="AH513" t="s">
        <v>806</v>
      </c>
      <c r="AI513" t="s">
        <v>889</v>
      </c>
      <c r="AJ513" t="s">
        <v>1054</v>
      </c>
      <c r="AK513">
        <v>1</v>
      </c>
      <c r="AL513" t="s">
        <v>1423</v>
      </c>
      <c r="AM513" t="s">
        <v>1424</v>
      </c>
      <c r="AN513" t="s">
        <v>1425</v>
      </c>
      <c r="AO513" t="s">
        <v>66</v>
      </c>
      <c r="AP513">
        <v>1</v>
      </c>
      <c r="AQ513" t="s">
        <v>1426</v>
      </c>
      <c r="AR513" t="s">
        <v>1427</v>
      </c>
      <c r="AS513" t="s">
        <v>1468</v>
      </c>
      <c r="AT513" t="s">
        <v>66</v>
      </c>
    </row>
    <row r="514" spans="1:46" x14ac:dyDescent="0.15">
      <c r="A514" t="s">
        <v>1541</v>
      </c>
      <c r="B514" t="s">
        <v>1334</v>
      </c>
      <c r="C514" t="s">
        <v>1335</v>
      </c>
      <c r="D514">
        <v>97</v>
      </c>
      <c r="E514" t="s">
        <v>1336</v>
      </c>
      <c r="F514" t="s">
        <v>718</v>
      </c>
      <c r="G514" t="s">
        <v>51</v>
      </c>
      <c r="H514" t="s">
        <v>1337</v>
      </c>
      <c r="I514" t="s">
        <v>53</v>
      </c>
      <c r="J514" t="s">
        <v>721</v>
      </c>
      <c r="K514" t="s">
        <v>1338</v>
      </c>
      <c r="L514" t="s">
        <v>16</v>
      </c>
      <c r="M514" t="s">
        <v>19</v>
      </c>
      <c r="N514">
        <v>5888</v>
      </c>
      <c r="O514">
        <v>347</v>
      </c>
      <c r="P514">
        <v>0</v>
      </c>
      <c r="Q514" t="s">
        <v>1120</v>
      </c>
      <c r="R514" t="s">
        <v>698</v>
      </c>
      <c r="S514" t="s">
        <v>1121</v>
      </c>
      <c r="T514" t="s">
        <v>1542</v>
      </c>
      <c r="U514" t="s">
        <v>60</v>
      </c>
      <c r="V514" t="s">
        <v>61</v>
      </c>
      <c r="W514">
        <v>3</v>
      </c>
      <c r="X514">
        <v>9.5812499999999995E-2</v>
      </c>
      <c r="Y514" t="s">
        <v>382</v>
      </c>
      <c r="Z514" t="s">
        <v>700</v>
      </c>
      <c r="AA514">
        <v>4</v>
      </c>
      <c r="AB514" t="s">
        <v>1340</v>
      </c>
      <c r="AC514" t="s">
        <v>1341</v>
      </c>
      <c r="AD514" t="s">
        <v>1342</v>
      </c>
      <c r="AE514" t="s">
        <v>1343</v>
      </c>
      <c r="AF514" t="s">
        <v>1344</v>
      </c>
      <c r="AG514" t="s">
        <v>889</v>
      </c>
      <c r="AH514" t="s">
        <v>806</v>
      </c>
      <c r="AI514" t="s">
        <v>889</v>
      </c>
      <c r="AJ514" t="s">
        <v>1054</v>
      </c>
      <c r="AK514">
        <v>1</v>
      </c>
      <c r="AL514" t="s">
        <v>1423</v>
      </c>
      <c r="AM514" t="s">
        <v>1424</v>
      </c>
      <c r="AN514" t="s">
        <v>1425</v>
      </c>
      <c r="AO514" t="s">
        <v>66</v>
      </c>
      <c r="AP514">
        <v>1</v>
      </c>
      <c r="AQ514" t="s">
        <v>1426</v>
      </c>
      <c r="AR514" t="s">
        <v>1427</v>
      </c>
      <c r="AS514" t="s">
        <v>1468</v>
      </c>
      <c r="AT514" t="s">
        <v>66</v>
      </c>
    </row>
    <row r="515" spans="1:46" x14ac:dyDescent="0.15">
      <c r="A515" t="s">
        <v>1543</v>
      </c>
      <c r="B515" t="s">
        <v>1334</v>
      </c>
      <c r="C515" t="s">
        <v>1335</v>
      </c>
      <c r="D515">
        <v>98</v>
      </c>
      <c r="E515" t="s">
        <v>1336</v>
      </c>
      <c r="F515" t="s">
        <v>718</v>
      </c>
      <c r="G515" t="s">
        <v>51</v>
      </c>
      <c r="H515" t="s">
        <v>1337</v>
      </c>
      <c r="I515" t="s">
        <v>53</v>
      </c>
      <c r="J515" t="s">
        <v>721</v>
      </c>
      <c r="K515" t="s">
        <v>1338</v>
      </c>
      <c r="L515" t="s">
        <v>16</v>
      </c>
      <c r="M515" t="s">
        <v>19</v>
      </c>
      <c r="N515">
        <v>5944</v>
      </c>
      <c r="O515">
        <v>350</v>
      </c>
      <c r="P515">
        <v>0</v>
      </c>
      <c r="Q515" t="s">
        <v>1124</v>
      </c>
      <c r="R515" t="s">
        <v>704</v>
      </c>
      <c r="S515" t="s">
        <v>1125</v>
      </c>
      <c r="T515" t="s">
        <v>1544</v>
      </c>
      <c r="U515" t="s">
        <v>60</v>
      </c>
      <c r="V515" t="s">
        <v>61</v>
      </c>
      <c r="W515">
        <v>3</v>
      </c>
      <c r="X515">
        <v>9.5812499999999995E-2</v>
      </c>
      <c r="Y515" t="s">
        <v>706</v>
      </c>
      <c r="Z515" t="s">
        <v>707</v>
      </c>
      <c r="AA515">
        <v>4</v>
      </c>
      <c r="AB515" t="s">
        <v>1340</v>
      </c>
      <c r="AC515" t="s">
        <v>1341</v>
      </c>
      <c r="AD515" t="s">
        <v>1342</v>
      </c>
      <c r="AE515" t="s">
        <v>1343</v>
      </c>
      <c r="AF515" t="s">
        <v>1344</v>
      </c>
      <c r="AG515" t="s">
        <v>889</v>
      </c>
      <c r="AH515" t="s">
        <v>806</v>
      </c>
      <c r="AI515" t="s">
        <v>889</v>
      </c>
      <c r="AJ515" t="s">
        <v>1054</v>
      </c>
      <c r="AK515">
        <v>1</v>
      </c>
      <c r="AL515" t="s">
        <v>1423</v>
      </c>
      <c r="AM515" t="s">
        <v>1424</v>
      </c>
      <c r="AN515" t="s">
        <v>1425</v>
      </c>
      <c r="AO515" t="s">
        <v>66</v>
      </c>
      <c r="AP515">
        <v>1</v>
      </c>
      <c r="AQ515" t="s">
        <v>1426</v>
      </c>
      <c r="AR515" t="s">
        <v>1427</v>
      </c>
      <c r="AS515" t="s">
        <v>1468</v>
      </c>
      <c r="AT515" t="s">
        <v>66</v>
      </c>
    </row>
    <row r="516" spans="1:46" x14ac:dyDescent="0.15">
      <c r="A516" t="s">
        <v>1545</v>
      </c>
      <c r="B516" t="s">
        <v>1334</v>
      </c>
      <c r="C516" t="s">
        <v>1335</v>
      </c>
      <c r="D516">
        <v>99</v>
      </c>
      <c r="E516" t="s">
        <v>1336</v>
      </c>
      <c r="F516" t="s">
        <v>718</v>
      </c>
      <c r="G516" t="s">
        <v>51</v>
      </c>
      <c r="H516" t="s">
        <v>1337</v>
      </c>
      <c r="I516" t="s">
        <v>53</v>
      </c>
      <c r="J516" t="s">
        <v>721</v>
      </c>
      <c r="K516" t="s">
        <v>1338</v>
      </c>
      <c r="L516" t="s">
        <v>16</v>
      </c>
      <c r="M516" t="s">
        <v>19</v>
      </c>
      <c r="N516">
        <v>6000</v>
      </c>
      <c r="O516">
        <v>353</v>
      </c>
      <c r="P516">
        <v>0</v>
      </c>
      <c r="Q516" t="s">
        <v>1128</v>
      </c>
      <c r="R516" t="s">
        <v>711</v>
      </c>
      <c r="S516" t="s">
        <v>1129</v>
      </c>
      <c r="T516" t="s">
        <v>1546</v>
      </c>
      <c r="U516" t="s">
        <v>60</v>
      </c>
      <c r="V516" t="s">
        <v>61</v>
      </c>
      <c r="W516">
        <v>3</v>
      </c>
      <c r="X516">
        <v>9.5812499999999995E-2</v>
      </c>
      <c r="Y516" t="s">
        <v>389</v>
      </c>
      <c r="Z516" t="s">
        <v>713</v>
      </c>
      <c r="AA516">
        <v>4</v>
      </c>
      <c r="AB516" t="s">
        <v>1340</v>
      </c>
      <c r="AC516" t="s">
        <v>1341</v>
      </c>
      <c r="AD516" t="s">
        <v>1342</v>
      </c>
      <c r="AE516" t="s">
        <v>1343</v>
      </c>
      <c r="AF516" t="s">
        <v>1344</v>
      </c>
      <c r="AG516" t="s">
        <v>889</v>
      </c>
      <c r="AH516" t="s">
        <v>806</v>
      </c>
      <c r="AI516" t="s">
        <v>889</v>
      </c>
      <c r="AJ516" t="s">
        <v>1054</v>
      </c>
      <c r="AK516">
        <v>1</v>
      </c>
      <c r="AL516" t="s">
        <v>1423</v>
      </c>
      <c r="AM516" t="s">
        <v>1424</v>
      </c>
      <c r="AN516" t="s">
        <v>1425</v>
      </c>
      <c r="AO516" t="s">
        <v>66</v>
      </c>
      <c r="AP516">
        <v>1</v>
      </c>
      <c r="AQ516" t="s">
        <v>1426</v>
      </c>
      <c r="AR516" t="s">
        <v>1427</v>
      </c>
      <c r="AS516" t="s">
        <v>1468</v>
      </c>
      <c r="AT516" t="s">
        <v>66</v>
      </c>
    </row>
    <row r="517" spans="1:46" x14ac:dyDescent="0.15">
      <c r="A517" t="s">
        <v>1547</v>
      </c>
      <c r="B517" t="s">
        <v>1548</v>
      </c>
      <c r="C517" t="s">
        <v>1549</v>
      </c>
      <c r="D517">
        <v>1</v>
      </c>
      <c r="E517" t="s">
        <v>1550</v>
      </c>
      <c r="F517" t="s">
        <v>1551</v>
      </c>
      <c r="G517" t="s">
        <v>51</v>
      </c>
      <c r="H517" t="s">
        <v>1552</v>
      </c>
      <c r="I517" t="s">
        <v>1553</v>
      </c>
      <c r="J517" t="s">
        <v>1554</v>
      </c>
      <c r="K517" t="s">
        <v>1555</v>
      </c>
      <c r="L517" t="s">
        <v>18</v>
      </c>
      <c r="M517" t="s">
        <v>19</v>
      </c>
      <c r="N517">
        <v>500</v>
      </c>
      <c r="O517">
        <v>30</v>
      </c>
      <c r="P517">
        <v>0</v>
      </c>
      <c r="Q517" t="s">
        <v>1556</v>
      </c>
      <c r="R517" t="s">
        <v>1557</v>
      </c>
      <c r="S517" t="s">
        <v>722</v>
      </c>
      <c r="T517" t="s">
        <v>1339</v>
      </c>
      <c r="U517" t="s">
        <v>60</v>
      </c>
      <c r="V517" t="s">
        <v>61</v>
      </c>
      <c r="W517">
        <v>10</v>
      </c>
      <c r="X517">
        <v>0.13125000000000001</v>
      </c>
      <c r="Y517" t="s">
        <v>62</v>
      </c>
      <c r="Z517" t="s">
        <v>62</v>
      </c>
      <c r="AA517">
        <v>0</v>
      </c>
      <c r="AB517" t="s">
        <v>1558</v>
      </c>
      <c r="AC517" t="s">
        <v>1559</v>
      </c>
      <c r="AD517" t="s">
        <v>1560</v>
      </c>
      <c r="AE517" t="s">
        <v>1561</v>
      </c>
      <c r="AF517" t="s">
        <v>1562</v>
      </c>
      <c r="AG517" t="s">
        <v>66</v>
      </c>
      <c r="AH517" t="s">
        <v>66</v>
      </c>
      <c r="AI517" t="s">
        <v>66</v>
      </c>
      <c r="AJ517" t="s">
        <v>66</v>
      </c>
      <c r="AK517">
        <v>1</v>
      </c>
      <c r="AL517" t="s">
        <v>66</v>
      </c>
      <c r="AM517" t="s">
        <v>66</v>
      </c>
      <c r="AN517" t="s">
        <v>66</v>
      </c>
      <c r="AO517" t="s">
        <v>66</v>
      </c>
      <c r="AP517">
        <v>1</v>
      </c>
      <c r="AQ517" t="s">
        <v>66</v>
      </c>
      <c r="AR517" t="s">
        <v>66</v>
      </c>
      <c r="AS517" t="s">
        <v>66</v>
      </c>
      <c r="AT517" t="s">
        <v>66</v>
      </c>
    </row>
    <row r="518" spans="1:46" x14ac:dyDescent="0.15">
      <c r="A518" t="s">
        <v>1563</v>
      </c>
      <c r="B518" t="s">
        <v>1548</v>
      </c>
      <c r="C518" t="s">
        <v>1549</v>
      </c>
      <c r="D518">
        <v>2</v>
      </c>
      <c r="E518" t="s">
        <v>1550</v>
      </c>
      <c r="F518" t="s">
        <v>1551</v>
      </c>
      <c r="G518" t="s">
        <v>51</v>
      </c>
      <c r="H518" t="s">
        <v>1552</v>
      </c>
      <c r="I518" t="s">
        <v>1553</v>
      </c>
      <c r="J518" t="s">
        <v>1554</v>
      </c>
      <c r="K518" t="s">
        <v>1555</v>
      </c>
      <c r="L518" t="s">
        <v>18</v>
      </c>
      <c r="M518" t="s">
        <v>19</v>
      </c>
      <c r="N518">
        <v>556</v>
      </c>
      <c r="O518">
        <v>33</v>
      </c>
      <c r="P518">
        <v>0</v>
      </c>
      <c r="Q518" t="s">
        <v>1564</v>
      </c>
      <c r="R518" t="s">
        <v>1565</v>
      </c>
      <c r="S518" t="s">
        <v>1566</v>
      </c>
      <c r="T518" t="s">
        <v>1567</v>
      </c>
      <c r="U518" t="s">
        <v>60</v>
      </c>
      <c r="V518" t="s">
        <v>61</v>
      </c>
      <c r="W518">
        <v>10</v>
      </c>
      <c r="X518">
        <v>0.13125000000000001</v>
      </c>
      <c r="Y518" t="s">
        <v>72</v>
      </c>
      <c r="Z518" t="s">
        <v>73</v>
      </c>
      <c r="AA518">
        <v>0</v>
      </c>
      <c r="AB518" t="s">
        <v>1558</v>
      </c>
      <c r="AC518" t="s">
        <v>1559</v>
      </c>
      <c r="AD518" t="s">
        <v>1560</v>
      </c>
      <c r="AE518" t="s">
        <v>1561</v>
      </c>
      <c r="AF518" t="s">
        <v>1562</v>
      </c>
      <c r="AG518" t="s">
        <v>66</v>
      </c>
      <c r="AH518" t="s">
        <v>66</v>
      </c>
      <c r="AI518" t="s">
        <v>66</v>
      </c>
      <c r="AJ518" t="s">
        <v>66</v>
      </c>
      <c r="AK518">
        <v>1</v>
      </c>
      <c r="AL518" t="s">
        <v>66</v>
      </c>
      <c r="AM518" t="s">
        <v>66</v>
      </c>
      <c r="AN518" t="s">
        <v>66</v>
      </c>
      <c r="AO518" t="s">
        <v>66</v>
      </c>
      <c r="AP518">
        <v>1</v>
      </c>
      <c r="AQ518" t="s">
        <v>66</v>
      </c>
      <c r="AR518" t="s">
        <v>66</v>
      </c>
      <c r="AS518" t="s">
        <v>66</v>
      </c>
      <c r="AT518" t="s">
        <v>66</v>
      </c>
    </row>
    <row r="519" spans="1:46" x14ac:dyDescent="0.15">
      <c r="A519" t="s">
        <v>1568</v>
      </c>
      <c r="B519" t="s">
        <v>1548</v>
      </c>
      <c r="C519" t="s">
        <v>1549</v>
      </c>
      <c r="D519">
        <v>3</v>
      </c>
      <c r="E519" t="s">
        <v>1550</v>
      </c>
      <c r="F519" t="s">
        <v>1551</v>
      </c>
      <c r="G519" t="s">
        <v>51</v>
      </c>
      <c r="H519" t="s">
        <v>1552</v>
      </c>
      <c r="I519" t="s">
        <v>1553</v>
      </c>
      <c r="J519" t="s">
        <v>1554</v>
      </c>
      <c r="K519" t="s">
        <v>1555</v>
      </c>
      <c r="L519" t="s">
        <v>18</v>
      </c>
      <c r="M519" t="s">
        <v>19</v>
      </c>
      <c r="N519">
        <v>612</v>
      </c>
      <c r="O519">
        <v>36</v>
      </c>
      <c r="P519">
        <v>0</v>
      </c>
      <c r="Q519" t="s">
        <v>1569</v>
      </c>
      <c r="R519" t="s">
        <v>1570</v>
      </c>
      <c r="S519" t="s">
        <v>1571</v>
      </c>
      <c r="T519" t="s">
        <v>1572</v>
      </c>
      <c r="U519" t="s">
        <v>60</v>
      </c>
      <c r="V519" t="s">
        <v>61</v>
      </c>
      <c r="W519">
        <v>10</v>
      </c>
      <c r="X519">
        <v>0.13125000000000001</v>
      </c>
      <c r="Y519" t="s">
        <v>73</v>
      </c>
      <c r="Z519" t="s">
        <v>79</v>
      </c>
      <c r="AA519">
        <v>0</v>
      </c>
      <c r="AB519" t="s">
        <v>1558</v>
      </c>
      <c r="AC519" t="s">
        <v>1559</v>
      </c>
      <c r="AD519" t="s">
        <v>1560</v>
      </c>
      <c r="AE519" t="s">
        <v>1561</v>
      </c>
      <c r="AF519" t="s">
        <v>1562</v>
      </c>
      <c r="AG519" t="s">
        <v>66</v>
      </c>
      <c r="AH519" t="s">
        <v>66</v>
      </c>
      <c r="AI519" t="s">
        <v>66</v>
      </c>
      <c r="AJ519" t="s">
        <v>66</v>
      </c>
      <c r="AK519">
        <v>1</v>
      </c>
      <c r="AL519" t="s">
        <v>66</v>
      </c>
      <c r="AM519" t="s">
        <v>66</v>
      </c>
      <c r="AN519" t="s">
        <v>66</v>
      </c>
      <c r="AO519" t="s">
        <v>66</v>
      </c>
      <c r="AP519">
        <v>1</v>
      </c>
      <c r="AQ519" t="s">
        <v>66</v>
      </c>
      <c r="AR519" t="s">
        <v>66</v>
      </c>
      <c r="AS519" t="s">
        <v>66</v>
      </c>
      <c r="AT519" t="s">
        <v>66</v>
      </c>
    </row>
    <row r="520" spans="1:46" x14ac:dyDescent="0.15">
      <c r="A520" t="s">
        <v>1573</v>
      </c>
      <c r="B520" t="s">
        <v>1548</v>
      </c>
      <c r="C520" t="s">
        <v>1549</v>
      </c>
      <c r="D520">
        <v>4</v>
      </c>
      <c r="E520" t="s">
        <v>1550</v>
      </c>
      <c r="F520" t="s">
        <v>1551</v>
      </c>
      <c r="G520" t="s">
        <v>51</v>
      </c>
      <c r="H520" t="s">
        <v>1552</v>
      </c>
      <c r="I520" t="s">
        <v>1553</v>
      </c>
      <c r="J520" t="s">
        <v>1554</v>
      </c>
      <c r="K520" t="s">
        <v>1555</v>
      </c>
      <c r="L520" t="s">
        <v>18</v>
      </c>
      <c r="M520" t="s">
        <v>19</v>
      </c>
      <c r="N520">
        <v>668</v>
      </c>
      <c r="O520">
        <v>39</v>
      </c>
      <c r="P520">
        <v>0</v>
      </c>
      <c r="Q520" t="s">
        <v>1574</v>
      </c>
      <c r="R520" t="s">
        <v>1575</v>
      </c>
      <c r="S520" t="s">
        <v>1576</v>
      </c>
      <c r="T520" t="s">
        <v>1577</v>
      </c>
      <c r="U520" t="s">
        <v>60</v>
      </c>
      <c r="V520" t="s">
        <v>61</v>
      </c>
      <c r="W520">
        <v>10</v>
      </c>
      <c r="X520">
        <v>0.13125000000000001</v>
      </c>
      <c r="Y520" t="s">
        <v>85</v>
      </c>
      <c r="Z520" t="s">
        <v>86</v>
      </c>
      <c r="AA520">
        <v>0</v>
      </c>
      <c r="AB520" t="s">
        <v>1558</v>
      </c>
      <c r="AC520" t="s">
        <v>1559</v>
      </c>
      <c r="AD520" t="s">
        <v>1560</v>
      </c>
      <c r="AE520" t="s">
        <v>1561</v>
      </c>
      <c r="AF520" t="s">
        <v>1562</v>
      </c>
      <c r="AG520" t="s">
        <v>66</v>
      </c>
      <c r="AH520" t="s">
        <v>66</v>
      </c>
      <c r="AI520" t="s">
        <v>66</v>
      </c>
      <c r="AJ520" t="s">
        <v>66</v>
      </c>
      <c r="AK520">
        <v>1</v>
      </c>
      <c r="AL520" t="s">
        <v>66</v>
      </c>
      <c r="AM520" t="s">
        <v>66</v>
      </c>
      <c r="AN520" t="s">
        <v>66</v>
      </c>
      <c r="AO520" t="s">
        <v>66</v>
      </c>
      <c r="AP520">
        <v>1</v>
      </c>
      <c r="AQ520" t="s">
        <v>66</v>
      </c>
      <c r="AR520" t="s">
        <v>66</v>
      </c>
      <c r="AS520" t="s">
        <v>66</v>
      </c>
      <c r="AT520" t="s">
        <v>66</v>
      </c>
    </row>
    <row r="521" spans="1:46" x14ac:dyDescent="0.15">
      <c r="A521" t="s">
        <v>1578</v>
      </c>
      <c r="B521" t="s">
        <v>1548</v>
      </c>
      <c r="C521" t="s">
        <v>1549</v>
      </c>
      <c r="D521">
        <v>5</v>
      </c>
      <c r="E521" t="s">
        <v>1550</v>
      </c>
      <c r="F521" t="s">
        <v>1551</v>
      </c>
      <c r="G521" t="s">
        <v>51</v>
      </c>
      <c r="H521" t="s">
        <v>1552</v>
      </c>
      <c r="I521" t="s">
        <v>1553</v>
      </c>
      <c r="J521" t="s">
        <v>1554</v>
      </c>
      <c r="K521" t="s">
        <v>1555</v>
      </c>
      <c r="L521" t="s">
        <v>18</v>
      </c>
      <c r="M521" t="s">
        <v>19</v>
      </c>
      <c r="N521">
        <v>724</v>
      </c>
      <c r="O521">
        <v>42</v>
      </c>
      <c r="P521">
        <v>0</v>
      </c>
      <c r="Q521" t="s">
        <v>1579</v>
      </c>
      <c r="R521" t="s">
        <v>1580</v>
      </c>
      <c r="S521" t="s">
        <v>1581</v>
      </c>
      <c r="T521" t="s">
        <v>1582</v>
      </c>
      <c r="U521" t="s">
        <v>60</v>
      </c>
      <c r="V521" t="s">
        <v>61</v>
      </c>
      <c r="W521">
        <v>10</v>
      </c>
      <c r="X521">
        <v>0.13125000000000001</v>
      </c>
      <c r="Y521" t="s">
        <v>79</v>
      </c>
      <c r="Z521" t="s">
        <v>92</v>
      </c>
      <c r="AA521">
        <v>0</v>
      </c>
      <c r="AB521" t="s">
        <v>1558</v>
      </c>
      <c r="AC521" t="s">
        <v>1559</v>
      </c>
      <c r="AD521" t="s">
        <v>1560</v>
      </c>
      <c r="AE521" t="s">
        <v>1561</v>
      </c>
      <c r="AF521" t="s">
        <v>1562</v>
      </c>
      <c r="AG521" t="s">
        <v>66</v>
      </c>
      <c r="AH521" t="s">
        <v>66</v>
      </c>
      <c r="AI521" t="s">
        <v>66</v>
      </c>
      <c r="AJ521" t="s">
        <v>66</v>
      </c>
      <c r="AK521">
        <v>1</v>
      </c>
      <c r="AL521" t="s">
        <v>66</v>
      </c>
      <c r="AM521" t="s">
        <v>66</v>
      </c>
      <c r="AN521" t="s">
        <v>66</v>
      </c>
      <c r="AO521" t="s">
        <v>66</v>
      </c>
      <c r="AP521">
        <v>1</v>
      </c>
      <c r="AQ521" t="s">
        <v>66</v>
      </c>
      <c r="AR521" t="s">
        <v>66</v>
      </c>
      <c r="AS521" t="s">
        <v>66</v>
      </c>
      <c r="AT521" t="s">
        <v>66</v>
      </c>
    </row>
    <row r="522" spans="1:46" x14ac:dyDescent="0.15">
      <c r="A522" t="s">
        <v>1583</v>
      </c>
      <c r="B522" t="s">
        <v>1548</v>
      </c>
      <c r="C522" t="s">
        <v>1549</v>
      </c>
      <c r="D522">
        <v>6</v>
      </c>
      <c r="E522" t="s">
        <v>1550</v>
      </c>
      <c r="F522" t="s">
        <v>1551</v>
      </c>
      <c r="G522" t="s">
        <v>51</v>
      </c>
      <c r="H522" t="s">
        <v>1552</v>
      </c>
      <c r="I522" t="s">
        <v>1553</v>
      </c>
      <c r="J522" t="s">
        <v>1554</v>
      </c>
      <c r="K522" t="s">
        <v>1555</v>
      </c>
      <c r="L522" t="s">
        <v>18</v>
      </c>
      <c r="M522" t="s">
        <v>19</v>
      </c>
      <c r="N522">
        <v>781</v>
      </c>
      <c r="O522">
        <v>45</v>
      </c>
      <c r="P522">
        <v>0</v>
      </c>
      <c r="Q522" t="s">
        <v>1584</v>
      </c>
      <c r="R522" t="s">
        <v>1585</v>
      </c>
      <c r="S522" t="s">
        <v>1586</v>
      </c>
      <c r="T522" t="s">
        <v>1587</v>
      </c>
      <c r="U522" t="s">
        <v>60</v>
      </c>
      <c r="V522" t="s">
        <v>61</v>
      </c>
      <c r="W522">
        <v>10</v>
      </c>
      <c r="X522">
        <v>0.13125000000000001</v>
      </c>
      <c r="Y522" t="s">
        <v>98</v>
      </c>
      <c r="Z522" t="s">
        <v>99</v>
      </c>
      <c r="AA522">
        <v>0</v>
      </c>
      <c r="AB522" t="s">
        <v>1558</v>
      </c>
      <c r="AC522" t="s">
        <v>1559</v>
      </c>
      <c r="AD522" t="s">
        <v>1560</v>
      </c>
      <c r="AE522" t="s">
        <v>1561</v>
      </c>
      <c r="AF522" t="s">
        <v>1562</v>
      </c>
      <c r="AG522" t="s">
        <v>66</v>
      </c>
      <c r="AH522" t="s">
        <v>66</v>
      </c>
      <c r="AI522" t="s">
        <v>66</v>
      </c>
      <c r="AJ522" t="s">
        <v>66</v>
      </c>
      <c r="AK522">
        <v>1</v>
      </c>
      <c r="AL522" t="s">
        <v>66</v>
      </c>
      <c r="AM522" t="s">
        <v>66</v>
      </c>
      <c r="AN522" t="s">
        <v>66</v>
      </c>
      <c r="AO522" t="s">
        <v>66</v>
      </c>
      <c r="AP522">
        <v>1</v>
      </c>
      <c r="AQ522" t="s">
        <v>66</v>
      </c>
      <c r="AR522" t="s">
        <v>66</v>
      </c>
      <c r="AS522" t="s">
        <v>66</v>
      </c>
      <c r="AT522" t="s">
        <v>66</v>
      </c>
    </row>
    <row r="523" spans="1:46" x14ac:dyDescent="0.15">
      <c r="A523" t="s">
        <v>1588</v>
      </c>
      <c r="B523" t="s">
        <v>1548</v>
      </c>
      <c r="C523" t="s">
        <v>1549</v>
      </c>
      <c r="D523">
        <v>7</v>
      </c>
      <c r="E523" t="s">
        <v>1550</v>
      </c>
      <c r="F523" t="s">
        <v>1551</v>
      </c>
      <c r="G523" t="s">
        <v>51</v>
      </c>
      <c r="H523" t="s">
        <v>1552</v>
      </c>
      <c r="I523" t="s">
        <v>1553</v>
      </c>
      <c r="J523" t="s">
        <v>1554</v>
      </c>
      <c r="K523" t="s">
        <v>1555</v>
      </c>
      <c r="L523" t="s">
        <v>18</v>
      </c>
      <c r="M523" t="s">
        <v>19</v>
      </c>
      <c r="N523">
        <v>837</v>
      </c>
      <c r="O523">
        <v>48</v>
      </c>
      <c r="P523">
        <v>0</v>
      </c>
      <c r="Q523" t="s">
        <v>1589</v>
      </c>
      <c r="R523" t="s">
        <v>1590</v>
      </c>
      <c r="S523" t="s">
        <v>1591</v>
      </c>
      <c r="T523" t="s">
        <v>1592</v>
      </c>
      <c r="U523" t="s">
        <v>60</v>
      </c>
      <c r="V523" t="s">
        <v>61</v>
      </c>
      <c r="W523">
        <v>10</v>
      </c>
      <c r="X523">
        <v>0.13125000000000001</v>
      </c>
      <c r="Y523" t="s">
        <v>86</v>
      </c>
      <c r="Z523" t="s">
        <v>105</v>
      </c>
      <c r="AA523">
        <v>0</v>
      </c>
      <c r="AB523" t="s">
        <v>1558</v>
      </c>
      <c r="AC523" t="s">
        <v>1559</v>
      </c>
      <c r="AD523" t="s">
        <v>1560</v>
      </c>
      <c r="AE523" t="s">
        <v>1561</v>
      </c>
      <c r="AF523" t="s">
        <v>1562</v>
      </c>
      <c r="AG523" t="s">
        <v>66</v>
      </c>
      <c r="AH523" t="s">
        <v>66</v>
      </c>
      <c r="AI523" t="s">
        <v>66</v>
      </c>
      <c r="AJ523" t="s">
        <v>66</v>
      </c>
      <c r="AK523">
        <v>1</v>
      </c>
      <c r="AL523" t="s">
        <v>66</v>
      </c>
      <c r="AM523" t="s">
        <v>66</v>
      </c>
      <c r="AN523" t="s">
        <v>66</v>
      </c>
      <c r="AO523" t="s">
        <v>66</v>
      </c>
      <c r="AP523">
        <v>1</v>
      </c>
      <c r="AQ523" t="s">
        <v>66</v>
      </c>
      <c r="AR523" t="s">
        <v>66</v>
      </c>
      <c r="AS523" t="s">
        <v>66</v>
      </c>
      <c r="AT523" t="s">
        <v>66</v>
      </c>
    </row>
    <row r="524" spans="1:46" x14ac:dyDescent="0.15">
      <c r="A524" t="s">
        <v>1593</v>
      </c>
      <c r="B524" t="s">
        <v>1548</v>
      </c>
      <c r="C524" t="s">
        <v>1549</v>
      </c>
      <c r="D524">
        <v>8</v>
      </c>
      <c r="E524" t="s">
        <v>1550</v>
      </c>
      <c r="F524" t="s">
        <v>1551</v>
      </c>
      <c r="G524" t="s">
        <v>51</v>
      </c>
      <c r="H524" t="s">
        <v>1552</v>
      </c>
      <c r="I524" t="s">
        <v>1553</v>
      </c>
      <c r="J524" t="s">
        <v>1554</v>
      </c>
      <c r="K524" t="s">
        <v>1555</v>
      </c>
      <c r="L524" t="s">
        <v>18</v>
      </c>
      <c r="M524" t="s">
        <v>19</v>
      </c>
      <c r="N524">
        <v>893</v>
      </c>
      <c r="O524">
        <v>51</v>
      </c>
      <c r="P524">
        <v>0</v>
      </c>
      <c r="Q524" t="s">
        <v>1594</v>
      </c>
      <c r="R524" t="s">
        <v>1595</v>
      </c>
      <c r="S524" t="s">
        <v>1596</v>
      </c>
      <c r="T524" t="s">
        <v>1597</v>
      </c>
      <c r="U524" t="s">
        <v>60</v>
      </c>
      <c r="V524" t="s">
        <v>61</v>
      </c>
      <c r="W524">
        <v>10</v>
      </c>
      <c r="X524">
        <v>0.13125000000000001</v>
      </c>
      <c r="Y524" t="s">
        <v>111</v>
      </c>
      <c r="Z524" t="s">
        <v>112</v>
      </c>
      <c r="AA524">
        <v>0</v>
      </c>
      <c r="AB524" t="s">
        <v>1558</v>
      </c>
      <c r="AC524" t="s">
        <v>1559</v>
      </c>
      <c r="AD524" t="s">
        <v>1560</v>
      </c>
      <c r="AE524" t="s">
        <v>1561</v>
      </c>
      <c r="AF524" t="s">
        <v>1562</v>
      </c>
      <c r="AG524" t="s">
        <v>66</v>
      </c>
      <c r="AH524" t="s">
        <v>66</v>
      </c>
      <c r="AI524" t="s">
        <v>66</v>
      </c>
      <c r="AJ524" t="s">
        <v>66</v>
      </c>
      <c r="AK524">
        <v>1</v>
      </c>
      <c r="AL524" t="s">
        <v>66</v>
      </c>
      <c r="AM524" t="s">
        <v>66</v>
      </c>
      <c r="AN524" t="s">
        <v>66</v>
      </c>
      <c r="AO524" t="s">
        <v>66</v>
      </c>
      <c r="AP524">
        <v>1</v>
      </c>
      <c r="AQ524" t="s">
        <v>66</v>
      </c>
      <c r="AR524" t="s">
        <v>66</v>
      </c>
      <c r="AS524" t="s">
        <v>66</v>
      </c>
      <c r="AT524" t="s">
        <v>66</v>
      </c>
    </row>
    <row r="525" spans="1:46" x14ac:dyDescent="0.15">
      <c r="A525" t="s">
        <v>1598</v>
      </c>
      <c r="B525" t="s">
        <v>1548</v>
      </c>
      <c r="C525" t="s">
        <v>1549</v>
      </c>
      <c r="D525">
        <v>9</v>
      </c>
      <c r="E525" t="s">
        <v>1550</v>
      </c>
      <c r="F525" t="s">
        <v>1551</v>
      </c>
      <c r="G525" t="s">
        <v>51</v>
      </c>
      <c r="H525" t="s">
        <v>1552</v>
      </c>
      <c r="I525" t="s">
        <v>1553</v>
      </c>
      <c r="J525" t="s">
        <v>1554</v>
      </c>
      <c r="K525" t="s">
        <v>1555</v>
      </c>
      <c r="L525" t="s">
        <v>18</v>
      </c>
      <c r="M525" t="s">
        <v>19</v>
      </c>
      <c r="N525">
        <v>949</v>
      </c>
      <c r="O525">
        <v>55</v>
      </c>
      <c r="P525">
        <v>0</v>
      </c>
      <c r="Q525" t="s">
        <v>1599</v>
      </c>
      <c r="R525" t="s">
        <v>1600</v>
      </c>
      <c r="S525" t="s">
        <v>1601</v>
      </c>
      <c r="T525" t="s">
        <v>1602</v>
      </c>
      <c r="U525" t="s">
        <v>60</v>
      </c>
      <c r="V525" t="s">
        <v>61</v>
      </c>
      <c r="W525">
        <v>10</v>
      </c>
      <c r="X525">
        <v>0.13125000000000001</v>
      </c>
      <c r="Y525" t="s">
        <v>92</v>
      </c>
      <c r="Z525" t="s">
        <v>118</v>
      </c>
      <c r="AA525">
        <v>0</v>
      </c>
      <c r="AB525" t="s">
        <v>1558</v>
      </c>
      <c r="AC525" t="s">
        <v>1559</v>
      </c>
      <c r="AD525" t="s">
        <v>1560</v>
      </c>
      <c r="AE525" t="s">
        <v>1561</v>
      </c>
      <c r="AF525" t="s">
        <v>1562</v>
      </c>
      <c r="AG525" t="s">
        <v>66</v>
      </c>
      <c r="AH525" t="s">
        <v>66</v>
      </c>
      <c r="AI525" t="s">
        <v>66</v>
      </c>
      <c r="AJ525" t="s">
        <v>66</v>
      </c>
      <c r="AK525">
        <v>1</v>
      </c>
      <c r="AL525" t="s">
        <v>66</v>
      </c>
      <c r="AM525" t="s">
        <v>66</v>
      </c>
      <c r="AN525" t="s">
        <v>66</v>
      </c>
      <c r="AO525" t="s">
        <v>66</v>
      </c>
      <c r="AP525">
        <v>1</v>
      </c>
      <c r="AQ525" t="s">
        <v>66</v>
      </c>
      <c r="AR525" t="s">
        <v>66</v>
      </c>
      <c r="AS525" t="s">
        <v>66</v>
      </c>
      <c r="AT525" t="s">
        <v>66</v>
      </c>
    </row>
    <row r="526" spans="1:46" x14ac:dyDescent="0.15">
      <c r="A526" t="s">
        <v>1603</v>
      </c>
      <c r="B526" t="s">
        <v>1548</v>
      </c>
      <c r="C526" t="s">
        <v>1549</v>
      </c>
      <c r="D526">
        <v>10</v>
      </c>
      <c r="E526" t="s">
        <v>1550</v>
      </c>
      <c r="F526" t="s">
        <v>1551</v>
      </c>
      <c r="G526" t="s">
        <v>51</v>
      </c>
      <c r="H526" t="s">
        <v>1552</v>
      </c>
      <c r="I526" t="s">
        <v>1553</v>
      </c>
      <c r="J526" t="s">
        <v>1554</v>
      </c>
      <c r="K526" t="s">
        <v>1555</v>
      </c>
      <c r="L526" t="s">
        <v>18</v>
      </c>
      <c r="M526" t="s">
        <v>19</v>
      </c>
      <c r="N526">
        <v>1005</v>
      </c>
      <c r="O526">
        <v>58</v>
      </c>
      <c r="P526">
        <v>0</v>
      </c>
      <c r="Q526" t="s">
        <v>1604</v>
      </c>
      <c r="R526" t="s">
        <v>1605</v>
      </c>
      <c r="S526" t="s">
        <v>1606</v>
      </c>
      <c r="T526" t="s">
        <v>1607</v>
      </c>
      <c r="U526" t="s">
        <v>60</v>
      </c>
      <c r="V526" t="s">
        <v>61</v>
      </c>
      <c r="W526">
        <v>10</v>
      </c>
      <c r="X526">
        <v>0.13125000000000001</v>
      </c>
      <c r="Y526" t="s">
        <v>124</v>
      </c>
      <c r="Z526" t="s">
        <v>125</v>
      </c>
      <c r="AA526">
        <v>0</v>
      </c>
      <c r="AB526" t="s">
        <v>1558</v>
      </c>
      <c r="AC526" t="s">
        <v>1559</v>
      </c>
      <c r="AD526" t="s">
        <v>1560</v>
      </c>
      <c r="AE526" t="s">
        <v>1561</v>
      </c>
      <c r="AF526" t="s">
        <v>1562</v>
      </c>
      <c r="AG526" t="s">
        <v>66</v>
      </c>
      <c r="AH526" t="s">
        <v>66</v>
      </c>
      <c r="AI526" t="s">
        <v>66</v>
      </c>
      <c r="AJ526" t="s">
        <v>66</v>
      </c>
      <c r="AK526">
        <v>1</v>
      </c>
      <c r="AL526" t="s">
        <v>66</v>
      </c>
      <c r="AM526" t="s">
        <v>66</v>
      </c>
      <c r="AN526" t="s">
        <v>66</v>
      </c>
      <c r="AO526" t="s">
        <v>66</v>
      </c>
      <c r="AP526">
        <v>1</v>
      </c>
      <c r="AQ526" t="s">
        <v>66</v>
      </c>
      <c r="AR526" t="s">
        <v>66</v>
      </c>
      <c r="AS526" t="s">
        <v>66</v>
      </c>
      <c r="AT526" t="s">
        <v>66</v>
      </c>
    </row>
    <row r="527" spans="1:46" x14ac:dyDescent="0.15">
      <c r="A527" t="s">
        <v>1608</v>
      </c>
      <c r="B527" t="s">
        <v>1548</v>
      </c>
      <c r="C527" t="s">
        <v>1549</v>
      </c>
      <c r="D527">
        <v>11</v>
      </c>
      <c r="E527" t="s">
        <v>1550</v>
      </c>
      <c r="F527" t="s">
        <v>1551</v>
      </c>
      <c r="G527" t="s">
        <v>51</v>
      </c>
      <c r="H527" t="s">
        <v>1552</v>
      </c>
      <c r="I527" t="s">
        <v>1553</v>
      </c>
      <c r="J527" t="s">
        <v>1554</v>
      </c>
      <c r="K527" t="s">
        <v>1555</v>
      </c>
      <c r="L527" t="s">
        <v>18</v>
      </c>
      <c r="M527" t="s">
        <v>19</v>
      </c>
      <c r="N527">
        <v>1061</v>
      </c>
      <c r="O527">
        <v>61</v>
      </c>
      <c r="P527">
        <v>0</v>
      </c>
      <c r="Q527" t="s">
        <v>1609</v>
      </c>
      <c r="R527" t="s">
        <v>1610</v>
      </c>
      <c r="S527" t="s">
        <v>1611</v>
      </c>
      <c r="T527" t="s">
        <v>1612</v>
      </c>
      <c r="U527" t="s">
        <v>60</v>
      </c>
      <c r="V527" t="s">
        <v>61</v>
      </c>
      <c r="W527">
        <v>10</v>
      </c>
      <c r="X527">
        <v>0.13125000000000001</v>
      </c>
      <c r="Y527" t="s">
        <v>99</v>
      </c>
      <c r="Z527" t="s">
        <v>131</v>
      </c>
      <c r="AA527">
        <v>0</v>
      </c>
      <c r="AB527" t="s">
        <v>1558</v>
      </c>
      <c r="AC527" t="s">
        <v>1559</v>
      </c>
      <c r="AD527" t="s">
        <v>1560</v>
      </c>
      <c r="AE527" t="s">
        <v>1561</v>
      </c>
      <c r="AF527" t="s">
        <v>1562</v>
      </c>
      <c r="AG527" t="s">
        <v>66</v>
      </c>
      <c r="AH527" t="s">
        <v>66</v>
      </c>
      <c r="AI527" t="s">
        <v>66</v>
      </c>
      <c r="AJ527" t="s">
        <v>66</v>
      </c>
      <c r="AK527">
        <v>1</v>
      </c>
      <c r="AL527" t="s">
        <v>66</v>
      </c>
      <c r="AM527" t="s">
        <v>66</v>
      </c>
      <c r="AN527" t="s">
        <v>66</v>
      </c>
      <c r="AO527" t="s">
        <v>66</v>
      </c>
      <c r="AP527">
        <v>1</v>
      </c>
      <c r="AQ527" t="s">
        <v>66</v>
      </c>
      <c r="AR527" t="s">
        <v>66</v>
      </c>
      <c r="AS527" t="s">
        <v>66</v>
      </c>
      <c r="AT527" t="s">
        <v>66</v>
      </c>
    </row>
    <row r="528" spans="1:46" x14ac:dyDescent="0.15">
      <c r="A528" t="s">
        <v>1613</v>
      </c>
      <c r="B528" t="s">
        <v>1548</v>
      </c>
      <c r="C528" t="s">
        <v>1549</v>
      </c>
      <c r="D528">
        <v>12</v>
      </c>
      <c r="E528" t="s">
        <v>1550</v>
      </c>
      <c r="F528" t="s">
        <v>1551</v>
      </c>
      <c r="G528" t="s">
        <v>51</v>
      </c>
      <c r="H528" t="s">
        <v>1552</v>
      </c>
      <c r="I528" t="s">
        <v>1553</v>
      </c>
      <c r="J528" t="s">
        <v>1554</v>
      </c>
      <c r="K528" t="s">
        <v>1555</v>
      </c>
      <c r="L528" t="s">
        <v>18</v>
      </c>
      <c r="M528" t="s">
        <v>19</v>
      </c>
      <c r="N528">
        <v>1117</v>
      </c>
      <c r="O528">
        <v>64</v>
      </c>
      <c r="P528">
        <v>0</v>
      </c>
      <c r="Q528" t="s">
        <v>1614</v>
      </c>
      <c r="R528" t="s">
        <v>1615</v>
      </c>
      <c r="S528" t="s">
        <v>1616</v>
      </c>
      <c r="T528" t="s">
        <v>1617</v>
      </c>
      <c r="U528" t="s">
        <v>60</v>
      </c>
      <c r="V528" t="s">
        <v>61</v>
      </c>
      <c r="W528">
        <v>10</v>
      </c>
      <c r="X528">
        <v>0.13125000000000001</v>
      </c>
      <c r="Y528" t="s">
        <v>137</v>
      </c>
      <c r="Z528" t="s">
        <v>138</v>
      </c>
      <c r="AA528">
        <v>0</v>
      </c>
      <c r="AB528" t="s">
        <v>1558</v>
      </c>
      <c r="AC528" t="s">
        <v>1559</v>
      </c>
      <c r="AD528" t="s">
        <v>1560</v>
      </c>
      <c r="AE528" t="s">
        <v>1561</v>
      </c>
      <c r="AF528" t="s">
        <v>1562</v>
      </c>
      <c r="AG528" t="s">
        <v>66</v>
      </c>
      <c r="AH528" t="s">
        <v>66</v>
      </c>
      <c r="AI528" t="s">
        <v>66</v>
      </c>
      <c r="AJ528" t="s">
        <v>66</v>
      </c>
      <c r="AK528">
        <v>1</v>
      </c>
      <c r="AL528" t="s">
        <v>66</v>
      </c>
      <c r="AM528" t="s">
        <v>66</v>
      </c>
      <c r="AN528" t="s">
        <v>66</v>
      </c>
      <c r="AO528" t="s">
        <v>66</v>
      </c>
      <c r="AP528">
        <v>1</v>
      </c>
      <c r="AQ528" t="s">
        <v>66</v>
      </c>
      <c r="AR528" t="s">
        <v>66</v>
      </c>
      <c r="AS528" t="s">
        <v>66</v>
      </c>
      <c r="AT528" t="s">
        <v>66</v>
      </c>
    </row>
    <row r="529" spans="1:46" x14ac:dyDescent="0.15">
      <c r="A529" t="s">
        <v>1618</v>
      </c>
      <c r="B529" t="s">
        <v>1548</v>
      </c>
      <c r="C529" t="s">
        <v>1549</v>
      </c>
      <c r="D529">
        <v>13</v>
      </c>
      <c r="E529" t="s">
        <v>1550</v>
      </c>
      <c r="F529" t="s">
        <v>1551</v>
      </c>
      <c r="G529" t="s">
        <v>51</v>
      </c>
      <c r="H529" t="s">
        <v>1552</v>
      </c>
      <c r="I529" t="s">
        <v>1553</v>
      </c>
      <c r="J529" t="s">
        <v>1554</v>
      </c>
      <c r="K529" t="s">
        <v>1555</v>
      </c>
      <c r="L529" t="s">
        <v>18</v>
      </c>
      <c r="M529" t="s">
        <v>19</v>
      </c>
      <c r="N529">
        <v>1173</v>
      </c>
      <c r="O529">
        <v>67</v>
      </c>
      <c r="P529">
        <v>0</v>
      </c>
      <c r="Q529" t="s">
        <v>1619</v>
      </c>
      <c r="R529" t="s">
        <v>1620</v>
      </c>
      <c r="S529" t="s">
        <v>1621</v>
      </c>
      <c r="T529" t="s">
        <v>1622</v>
      </c>
      <c r="U529" t="s">
        <v>60</v>
      </c>
      <c r="V529" t="s">
        <v>61</v>
      </c>
      <c r="W529">
        <v>10</v>
      </c>
      <c r="X529">
        <v>0.13125000000000001</v>
      </c>
      <c r="Y529" t="s">
        <v>105</v>
      </c>
      <c r="Z529" t="s">
        <v>144</v>
      </c>
      <c r="AA529">
        <v>0</v>
      </c>
      <c r="AB529" t="s">
        <v>1558</v>
      </c>
      <c r="AC529" t="s">
        <v>1559</v>
      </c>
      <c r="AD529" t="s">
        <v>1560</v>
      </c>
      <c r="AE529" t="s">
        <v>1561</v>
      </c>
      <c r="AF529" t="s">
        <v>1562</v>
      </c>
      <c r="AG529" t="s">
        <v>66</v>
      </c>
      <c r="AH529" t="s">
        <v>66</v>
      </c>
      <c r="AI529" t="s">
        <v>66</v>
      </c>
      <c r="AJ529" t="s">
        <v>66</v>
      </c>
      <c r="AK529">
        <v>1</v>
      </c>
      <c r="AL529" t="s">
        <v>66</v>
      </c>
      <c r="AM529" t="s">
        <v>66</v>
      </c>
      <c r="AN529" t="s">
        <v>66</v>
      </c>
      <c r="AO529" t="s">
        <v>66</v>
      </c>
      <c r="AP529">
        <v>1</v>
      </c>
      <c r="AQ529" t="s">
        <v>66</v>
      </c>
      <c r="AR529" t="s">
        <v>66</v>
      </c>
      <c r="AS529" t="s">
        <v>66</v>
      </c>
      <c r="AT529" t="s">
        <v>66</v>
      </c>
    </row>
    <row r="530" spans="1:46" x14ac:dyDescent="0.15">
      <c r="A530" t="s">
        <v>1623</v>
      </c>
      <c r="B530" t="s">
        <v>1548</v>
      </c>
      <c r="C530" t="s">
        <v>1549</v>
      </c>
      <c r="D530">
        <v>14</v>
      </c>
      <c r="E530" t="s">
        <v>1550</v>
      </c>
      <c r="F530" t="s">
        <v>1551</v>
      </c>
      <c r="G530" t="s">
        <v>51</v>
      </c>
      <c r="H530" t="s">
        <v>1552</v>
      </c>
      <c r="I530" t="s">
        <v>1553</v>
      </c>
      <c r="J530" t="s">
        <v>1554</v>
      </c>
      <c r="K530" t="s">
        <v>1555</v>
      </c>
      <c r="L530" t="s">
        <v>18</v>
      </c>
      <c r="M530" t="s">
        <v>19</v>
      </c>
      <c r="N530">
        <v>1230</v>
      </c>
      <c r="O530">
        <v>70</v>
      </c>
      <c r="P530">
        <v>0</v>
      </c>
      <c r="Q530" t="s">
        <v>1624</v>
      </c>
      <c r="R530" t="s">
        <v>1625</v>
      </c>
      <c r="S530" t="s">
        <v>1626</v>
      </c>
      <c r="T530" t="s">
        <v>1627</v>
      </c>
      <c r="U530" t="s">
        <v>60</v>
      </c>
      <c r="V530" t="s">
        <v>61</v>
      </c>
      <c r="W530">
        <v>10</v>
      </c>
      <c r="X530">
        <v>0.13125000000000001</v>
      </c>
      <c r="Y530" t="s">
        <v>150</v>
      </c>
      <c r="Z530" t="s">
        <v>151</v>
      </c>
      <c r="AA530">
        <v>0</v>
      </c>
      <c r="AB530" t="s">
        <v>1558</v>
      </c>
      <c r="AC530" t="s">
        <v>1559</v>
      </c>
      <c r="AD530" t="s">
        <v>1560</v>
      </c>
      <c r="AE530" t="s">
        <v>1561</v>
      </c>
      <c r="AF530" t="s">
        <v>1562</v>
      </c>
      <c r="AG530" t="s">
        <v>66</v>
      </c>
      <c r="AH530" t="s">
        <v>66</v>
      </c>
      <c r="AI530" t="s">
        <v>66</v>
      </c>
      <c r="AJ530" t="s">
        <v>66</v>
      </c>
      <c r="AK530">
        <v>1</v>
      </c>
      <c r="AL530" t="s">
        <v>66</v>
      </c>
      <c r="AM530" t="s">
        <v>66</v>
      </c>
      <c r="AN530" t="s">
        <v>66</v>
      </c>
      <c r="AO530" t="s">
        <v>66</v>
      </c>
      <c r="AP530">
        <v>1</v>
      </c>
      <c r="AQ530" t="s">
        <v>66</v>
      </c>
      <c r="AR530" t="s">
        <v>66</v>
      </c>
      <c r="AS530" t="s">
        <v>66</v>
      </c>
      <c r="AT530" t="s">
        <v>66</v>
      </c>
    </row>
    <row r="531" spans="1:46" x14ac:dyDescent="0.15">
      <c r="A531" t="s">
        <v>1628</v>
      </c>
      <c r="B531" t="s">
        <v>1548</v>
      </c>
      <c r="C531" t="s">
        <v>1549</v>
      </c>
      <c r="D531">
        <v>15</v>
      </c>
      <c r="E531" t="s">
        <v>1550</v>
      </c>
      <c r="F531" t="s">
        <v>1551</v>
      </c>
      <c r="G531" t="s">
        <v>51</v>
      </c>
      <c r="H531" t="s">
        <v>1552</v>
      </c>
      <c r="I531" t="s">
        <v>1553</v>
      </c>
      <c r="J531" t="s">
        <v>1554</v>
      </c>
      <c r="K531" t="s">
        <v>1555</v>
      </c>
      <c r="L531" t="s">
        <v>18</v>
      </c>
      <c r="M531" t="s">
        <v>19</v>
      </c>
      <c r="N531">
        <v>1286</v>
      </c>
      <c r="O531">
        <v>73</v>
      </c>
      <c r="P531">
        <v>0</v>
      </c>
      <c r="Q531" t="s">
        <v>1629</v>
      </c>
      <c r="R531" t="s">
        <v>1630</v>
      </c>
      <c r="S531" t="s">
        <v>1631</v>
      </c>
      <c r="T531" t="s">
        <v>1632</v>
      </c>
      <c r="U531" t="s">
        <v>60</v>
      </c>
      <c r="V531" t="s">
        <v>61</v>
      </c>
      <c r="W531">
        <v>10</v>
      </c>
      <c r="X531">
        <v>0.13125000000000001</v>
      </c>
      <c r="Y531" t="s">
        <v>112</v>
      </c>
      <c r="Z531" t="s">
        <v>157</v>
      </c>
      <c r="AA531">
        <v>0</v>
      </c>
      <c r="AB531" t="s">
        <v>1558</v>
      </c>
      <c r="AC531" t="s">
        <v>1559</v>
      </c>
      <c r="AD531" t="s">
        <v>1560</v>
      </c>
      <c r="AE531" t="s">
        <v>1561</v>
      </c>
      <c r="AF531" t="s">
        <v>1562</v>
      </c>
      <c r="AG531" t="s">
        <v>66</v>
      </c>
      <c r="AH531" t="s">
        <v>66</v>
      </c>
      <c r="AI531" t="s">
        <v>66</v>
      </c>
      <c r="AJ531" t="s">
        <v>66</v>
      </c>
      <c r="AK531">
        <v>1</v>
      </c>
      <c r="AL531" t="s">
        <v>66</v>
      </c>
      <c r="AM531" t="s">
        <v>66</v>
      </c>
      <c r="AN531" t="s">
        <v>66</v>
      </c>
      <c r="AO531" t="s">
        <v>66</v>
      </c>
      <c r="AP531">
        <v>1</v>
      </c>
      <c r="AQ531" t="s">
        <v>66</v>
      </c>
      <c r="AR531" t="s">
        <v>66</v>
      </c>
      <c r="AS531" t="s">
        <v>66</v>
      </c>
      <c r="AT531" t="s">
        <v>66</v>
      </c>
    </row>
    <row r="532" spans="1:46" x14ac:dyDescent="0.15">
      <c r="A532" t="s">
        <v>1633</v>
      </c>
      <c r="B532" t="s">
        <v>1548</v>
      </c>
      <c r="C532" t="s">
        <v>1549</v>
      </c>
      <c r="D532">
        <v>16</v>
      </c>
      <c r="E532" t="s">
        <v>1550</v>
      </c>
      <c r="F532" t="s">
        <v>1551</v>
      </c>
      <c r="G532" t="s">
        <v>51</v>
      </c>
      <c r="H532" t="s">
        <v>1552</v>
      </c>
      <c r="I532" t="s">
        <v>1553</v>
      </c>
      <c r="J532" t="s">
        <v>1554</v>
      </c>
      <c r="K532" t="s">
        <v>1555</v>
      </c>
      <c r="L532" t="s">
        <v>18</v>
      </c>
      <c r="M532" t="s">
        <v>19</v>
      </c>
      <c r="N532">
        <v>1342</v>
      </c>
      <c r="O532">
        <v>76</v>
      </c>
      <c r="P532">
        <v>0</v>
      </c>
      <c r="Q532" t="s">
        <v>1634</v>
      </c>
      <c r="R532" t="s">
        <v>1635</v>
      </c>
      <c r="S532" t="s">
        <v>1636</v>
      </c>
      <c r="T532" t="s">
        <v>1637</v>
      </c>
      <c r="U532" t="s">
        <v>60</v>
      </c>
      <c r="V532" t="s">
        <v>61</v>
      </c>
      <c r="W532">
        <v>10</v>
      </c>
      <c r="X532">
        <v>0.13125000000000001</v>
      </c>
      <c r="Y532" t="s">
        <v>163</v>
      </c>
      <c r="Z532" t="s">
        <v>164</v>
      </c>
      <c r="AA532">
        <v>0</v>
      </c>
      <c r="AB532" t="s">
        <v>1558</v>
      </c>
      <c r="AC532" t="s">
        <v>1559</v>
      </c>
      <c r="AD532" t="s">
        <v>1560</v>
      </c>
      <c r="AE532" t="s">
        <v>1561</v>
      </c>
      <c r="AF532" t="s">
        <v>1562</v>
      </c>
      <c r="AG532" t="s">
        <v>66</v>
      </c>
      <c r="AH532" t="s">
        <v>66</v>
      </c>
      <c r="AI532" t="s">
        <v>66</v>
      </c>
      <c r="AJ532" t="s">
        <v>66</v>
      </c>
      <c r="AK532">
        <v>1</v>
      </c>
      <c r="AL532" t="s">
        <v>66</v>
      </c>
      <c r="AM532" t="s">
        <v>66</v>
      </c>
      <c r="AN532" t="s">
        <v>66</v>
      </c>
      <c r="AO532" t="s">
        <v>66</v>
      </c>
      <c r="AP532">
        <v>1</v>
      </c>
      <c r="AQ532" t="s">
        <v>66</v>
      </c>
      <c r="AR532" t="s">
        <v>66</v>
      </c>
      <c r="AS532" t="s">
        <v>66</v>
      </c>
      <c r="AT532" t="s">
        <v>66</v>
      </c>
    </row>
    <row r="533" spans="1:46" x14ac:dyDescent="0.15">
      <c r="A533" t="s">
        <v>1638</v>
      </c>
      <c r="B533" t="s">
        <v>1548</v>
      </c>
      <c r="C533" t="s">
        <v>1549</v>
      </c>
      <c r="D533">
        <v>17</v>
      </c>
      <c r="E533" t="s">
        <v>1550</v>
      </c>
      <c r="F533" t="s">
        <v>1551</v>
      </c>
      <c r="G533" t="s">
        <v>51</v>
      </c>
      <c r="H533" t="s">
        <v>1552</v>
      </c>
      <c r="I533" t="s">
        <v>1553</v>
      </c>
      <c r="J533" t="s">
        <v>1554</v>
      </c>
      <c r="K533" t="s">
        <v>1555</v>
      </c>
      <c r="L533" t="s">
        <v>18</v>
      </c>
      <c r="M533" t="s">
        <v>19</v>
      </c>
      <c r="N533">
        <v>1398</v>
      </c>
      <c r="O533">
        <v>79</v>
      </c>
      <c r="P533">
        <v>0</v>
      </c>
      <c r="Q533" t="s">
        <v>1639</v>
      </c>
      <c r="R533" t="s">
        <v>1640</v>
      </c>
      <c r="S533" t="s">
        <v>1641</v>
      </c>
      <c r="T533" t="s">
        <v>1642</v>
      </c>
      <c r="U533" t="s">
        <v>60</v>
      </c>
      <c r="V533" t="s">
        <v>61</v>
      </c>
      <c r="W533">
        <v>10</v>
      </c>
      <c r="X533">
        <v>0.13125000000000001</v>
      </c>
      <c r="Y533" t="s">
        <v>118</v>
      </c>
      <c r="Z533" t="s">
        <v>170</v>
      </c>
      <c r="AA533">
        <v>0</v>
      </c>
      <c r="AB533" t="s">
        <v>1558</v>
      </c>
      <c r="AC533" t="s">
        <v>1559</v>
      </c>
      <c r="AD533" t="s">
        <v>1560</v>
      </c>
      <c r="AE533" t="s">
        <v>1561</v>
      </c>
      <c r="AF533" t="s">
        <v>1562</v>
      </c>
      <c r="AG533" t="s">
        <v>66</v>
      </c>
      <c r="AH533" t="s">
        <v>66</v>
      </c>
      <c r="AI533" t="s">
        <v>66</v>
      </c>
      <c r="AJ533" t="s">
        <v>66</v>
      </c>
      <c r="AK533">
        <v>1</v>
      </c>
      <c r="AL533" t="s">
        <v>66</v>
      </c>
      <c r="AM533" t="s">
        <v>66</v>
      </c>
      <c r="AN533" t="s">
        <v>66</v>
      </c>
      <c r="AO533" t="s">
        <v>66</v>
      </c>
      <c r="AP533">
        <v>1</v>
      </c>
      <c r="AQ533" t="s">
        <v>66</v>
      </c>
      <c r="AR533" t="s">
        <v>66</v>
      </c>
      <c r="AS533" t="s">
        <v>66</v>
      </c>
      <c r="AT533" t="s">
        <v>66</v>
      </c>
    </row>
    <row r="534" spans="1:46" x14ac:dyDescent="0.15">
      <c r="A534" t="s">
        <v>1643</v>
      </c>
      <c r="B534" t="s">
        <v>1548</v>
      </c>
      <c r="C534" t="s">
        <v>1549</v>
      </c>
      <c r="D534">
        <v>18</v>
      </c>
      <c r="E534" t="s">
        <v>1550</v>
      </c>
      <c r="F534" t="s">
        <v>1551</v>
      </c>
      <c r="G534" t="s">
        <v>51</v>
      </c>
      <c r="H534" t="s">
        <v>1552</v>
      </c>
      <c r="I534" t="s">
        <v>1553</v>
      </c>
      <c r="J534" t="s">
        <v>1554</v>
      </c>
      <c r="K534" t="s">
        <v>1555</v>
      </c>
      <c r="L534" t="s">
        <v>18</v>
      </c>
      <c r="M534" t="s">
        <v>19</v>
      </c>
      <c r="N534">
        <v>1454</v>
      </c>
      <c r="O534">
        <v>82</v>
      </c>
      <c r="P534">
        <v>0</v>
      </c>
      <c r="Q534" t="s">
        <v>1644</v>
      </c>
      <c r="R534" t="s">
        <v>1645</v>
      </c>
      <c r="S534" t="s">
        <v>1646</v>
      </c>
      <c r="T534" t="s">
        <v>1647</v>
      </c>
      <c r="U534" t="s">
        <v>60</v>
      </c>
      <c r="V534" t="s">
        <v>61</v>
      </c>
      <c r="W534">
        <v>10</v>
      </c>
      <c r="X534">
        <v>0.13125000000000001</v>
      </c>
      <c r="Y534" t="s">
        <v>176</v>
      </c>
      <c r="Z534" t="s">
        <v>177</v>
      </c>
      <c r="AA534">
        <v>0</v>
      </c>
      <c r="AB534" t="s">
        <v>1558</v>
      </c>
      <c r="AC534" t="s">
        <v>1559</v>
      </c>
      <c r="AD534" t="s">
        <v>1560</v>
      </c>
      <c r="AE534" t="s">
        <v>1561</v>
      </c>
      <c r="AF534" t="s">
        <v>1562</v>
      </c>
      <c r="AG534" t="s">
        <v>66</v>
      </c>
      <c r="AH534" t="s">
        <v>66</v>
      </c>
      <c r="AI534" t="s">
        <v>66</v>
      </c>
      <c r="AJ534" t="s">
        <v>66</v>
      </c>
      <c r="AK534">
        <v>1</v>
      </c>
      <c r="AL534" t="s">
        <v>66</v>
      </c>
      <c r="AM534" t="s">
        <v>66</v>
      </c>
      <c r="AN534" t="s">
        <v>66</v>
      </c>
      <c r="AO534" t="s">
        <v>66</v>
      </c>
      <c r="AP534">
        <v>1</v>
      </c>
      <c r="AQ534" t="s">
        <v>66</v>
      </c>
      <c r="AR534" t="s">
        <v>66</v>
      </c>
      <c r="AS534" t="s">
        <v>66</v>
      </c>
      <c r="AT534" t="s">
        <v>66</v>
      </c>
    </row>
    <row r="535" spans="1:46" x14ac:dyDescent="0.15">
      <c r="A535" t="s">
        <v>1648</v>
      </c>
      <c r="B535" t="s">
        <v>1548</v>
      </c>
      <c r="C535" t="s">
        <v>1549</v>
      </c>
      <c r="D535">
        <v>19</v>
      </c>
      <c r="E535" t="s">
        <v>1550</v>
      </c>
      <c r="F535" t="s">
        <v>1551</v>
      </c>
      <c r="G535" t="s">
        <v>51</v>
      </c>
      <c r="H535" t="s">
        <v>1552</v>
      </c>
      <c r="I535" t="s">
        <v>1553</v>
      </c>
      <c r="J535" t="s">
        <v>1554</v>
      </c>
      <c r="K535" t="s">
        <v>1555</v>
      </c>
      <c r="L535" t="s">
        <v>18</v>
      </c>
      <c r="M535" t="s">
        <v>19</v>
      </c>
      <c r="N535">
        <v>1510</v>
      </c>
      <c r="O535">
        <v>85</v>
      </c>
      <c r="P535">
        <v>0</v>
      </c>
      <c r="Q535" t="s">
        <v>1649</v>
      </c>
      <c r="R535" t="s">
        <v>1650</v>
      </c>
      <c r="S535" t="s">
        <v>1651</v>
      </c>
      <c r="T535" t="s">
        <v>1652</v>
      </c>
      <c r="U535" t="s">
        <v>60</v>
      </c>
      <c r="V535" t="s">
        <v>61</v>
      </c>
      <c r="W535">
        <v>10</v>
      </c>
      <c r="X535">
        <v>0.13125000000000001</v>
      </c>
      <c r="Y535" t="s">
        <v>125</v>
      </c>
      <c r="Z535" t="s">
        <v>183</v>
      </c>
      <c r="AA535">
        <v>0</v>
      </c>
      <c r="AB535" t="s">
        <v>1558</v>
      </c>
      <c r="AC535" t="s">
        <v>1559</v>
      </c>
      <c r="AD535" t="s">
        <v>1560</v>
      </c>
      <c r="AE535" t="s">
        <v>1561</v>
      </c>
      <c r="AF535" t="s">
        <v>1562</v>
      </c>
      <c r="AG535" t="s">
        <v>66</v>
      </c>
      <c r="AH535" t="s">
        <v>66</v>
      </c>
      <c r="AI535" t="s">
        <v>66</v>
      </c>
      <c r="AJ535" t="s">
        <v>66</v>
      </c>
      <c r="AK535">
        <v>1</v>
      </c>
      <c r="AL535" t="s">
        <v>66</v>
      </c>
      <c r="AM535" t="s">
        <v>66</v>
      </c>
      <c r="AN535" t="s">
        <v>66</v>
      </c>
      <c r="AO535" t="s">
        <v>66</v>
      </c>
      <c r="AP535">
        <v>1</v>
      </c>
      <c r="AQ535" t="s">
        <v>66</v>
      </c>
      <c r="AR535" t="s">
        <v>66</v>
      </c>
      <c r="AS535" t="s">
        <v>66</v>
      </c>
      <c r="AT535" t="s">
        <v>66</v>
      </c>
    </row>
    <row r="536" spans="1:46" x14ac:dyDescent="0.15">
      <c r="A536" t="s">
        <v>1653</v>
      </c>
      <c r="B536" t="s">
        <v>1548</v>
      </c>
      <c r="C536" t="s">
        <v>1549</v>
      </c>
      <c r="D536">
        <v>20</v>
      </c>
      <c r="E536" t="s">
        <v>1550</v>
      </c>
      <c r="F536" t="s">
        <v>1551</v>
      </c>
      <c r="G536" t="s">
        <v>51</v>
      </c>
      <c r="H536" t="s">
        <v>1552</v>
      </c>
      <c r="I536" t="s">
        <v>1553</v>
      </c>
      <c r="J536" t="s">
        <v>1554</v>
      </c>
      <c r="K536" t="s">
        <v>1555</v>
      </c>
      <c r="L536" t="s">
        <v>18</v>
      </c>
      <c r="M536" t="s">
        <v>19</v>
      </c>
      <c r="N536">
        <v>1566</v>
      </c>
      <c r="O536">
        <v>88</v>
      </c>
      <c r="P536">
        <v>0</v>
      </c>
      <c r="Q536" t="s">
        <v>1654</v>
      </c>
      <c r="R536" t="s">
        <v>1655</v>
      </c>
      <c r="S536" t="s">
        <v>1656</v>
      </c>
      <c r="T536" t="s">
        <v>1657</v>
      </c>
      <c r="U536" t="s">
        <v>60</v>
      </c>
      <c r="V536" t="s">
        <v>61</v>
      </c>
      <c r="W536">
        <v>10</v>
      </c>
      <c r="X536">
        <v>0.13125000000000001</v>
      </c>
      <c r="Y536" t="s">
        <v>189</v>
      </c>
      <c r="Z536" t="s">
        <v>190</v>
      </c>
      <c r="AA536">
        <v>0</v>
      </c>
      <c r="AB536" t="s">
        <v>1558</v>
      </c>
      <c r="AC536" t="s">
        <v>1559</v>
      </c>
      <c r="AD536" t="s">
        <v>1560</v>
      </c>
      <c r="AE536" t="s">
        <v>1561</v>
      </c>
      <c r="AF536" t="s">
        <v>1562</v>
      </c>
      <c r="AG536" t="s">
        <v>66</v>
      </c>
      <c r="AH536" t="s">
        <v>66</v>
      </c>
      <c r="AI536" t="s">
        <v>66</v>
      </c>
      <c r="AJ536" t="s">
        <v>66</v>
      </c>
      <c r="AK536">
        <v>1</v>
      </c>
      <c r="AL536" t="s">
        <v>66</v>
      </c>
      <c r="AM536" t="s">
        <v>66</v>
      </c>
      <c r="AN536" t="s">
        <v>66</v>
      </c>
      <c r="AO536" t="s">
        <v>66</v>
      </c>
      <c r="AP536">
        <v>1</v>
      </c>
      <c r="AQ536" t="s">
        <v>66</v>
      </c>
      <c r="AR536" t="s">
        <v>66</v>
      </c>
      <c r="AS536" t="s">
        <v>66</v>
      </c>
      <c r="AT536" t="s">
        <v>66</v>
      </c>
    </row>
    <row r="537" spans="1:46" x14ac:dyDescent="0.15">
      <c r="A537" t="s">
        <v>1653</v>
      </c>
      <c r="B537" t="s">
        <v>1548</v>
      </c>
      <c r="C537" t="s">
        <v>1549</v>
      </c>
      <c r="D537">
        <v>20</v>
      </c>
      <c r="E537" t="s">
        <v>1550</v>
      </c>
      <c r="F537" t="s">
        <v>1551</v>
      </c>
      <c r="G537" t="s">
        <v>51</v>
      </c>
      <c r="H537" t="s">
        <v>1552</v>
      </c>
      <c r="I537" t="s">
        <v>1553</v>
      </c>
      <c r="J537" t="s">
        <v>1554</v>
      </c>
      <c r="K537" t="s">
        <v>1555</v>
      </c>
      <c r="L537" t="s">
        <v>18</v>
      </c>
      <c r="M537" t="s">
        <v>19</v>
      </c>
      <c r="N537">
        <v>1566</v>
      </c>
      <c r="O537">
        <v>88</v>
      </c>
      <c r="P537">
        <v>0</v>
      </c>
      <c r="Q537" t="s">
        <v>1654</v>
      </c>
      <c r="R537" t="s">
        <v>1655</v>
      </c>
      <c r="S537" t="s">
        <v>1656</v>
      </c>
      <c r="T537" t="s">
        <v>1657</v>
      </c>
      <c r="U537" t="s">
        <v>60</v>
      </c>
      <c r="V537" t="s">
        <v>61</v>
      </c>
      <c r="W537">
        <v>10</v>
      </c>
      <c r="X537">
        <v>0.13125000000000001</v>
      </c>
      <c r="Y537" t="s">
        <v>189</v>
      </c>
      <c r="Z537" t="s">
        <v>190</v>
      </c>
      <c r="AA537">
        <v>1</v>
      </c>
      <c r="AB537" t="s">
        <v>1558</v>
      </c>
      <c r="AC537" t="s">
        <v>1559</v>
      </c>
      <c r="AD537" t="s">
        <v>1560</v>
      </c>
      <c r="AE537" t="s">
        <v>1561</v>
      </c>
      <c r="AF537" t="s">
        <v>1562</v>
      </c>
      <c r="AG537" t="s">
        <v>66</v>
      </c>
      <c r="AH537" t="s">
        <v>66</v>
      </c>
      <c r="AI537" t="s">
        <v>66</v>
      </c>
      <c r="AJ537" t="s">
        <v>66</v>
      </c>
      <c r="AK537">
        <v>1</v>
      </c>
      <c r="AL537" t="s">
        <v>66</v>
      </c>
      <c r="AM537" t="s">
        <v>66</v>
      </c>
      <c r="AN537" t="s">
        <v>66</v>
      </c>
      <c r="AO537" t="s">
        <v>66</v>
      </c>
      <c r="AP537">
        <v>1</v>
      </c>
      <c r="AQ537" t="s">
        <v>66</v>
      </c>
      <c r="AR537" t="s">
        <v>66</v>
      </c>
      <c r="AS537" t="s">
        <v>66</v>
      </c>
      <c r="AT537" t="s">
        <v>66</v>
      </c>
    </row>
    <row r="538" spans="1:46" x14ac:dyDescent="0.15">
      <c r="A538" t="s">
        <v>1658</v>
      </c>
      <c r="B538" t="s">
        <v>1548</v>
      </c>
      <c r="C538" t="s">
        <v>1549</v>
      </c>
      <c r="D538">
        <v>21</v>
      </c>
      <c r="E538" t="s">
        <v>1550</v>
      </c>
      <c r="F538" t="s">
        <v>1551</v>
      </c>
      <c r="G538" t="s">
        <v>51</v>
      </c>
      <c r="H538" t="s">
        <v>1552</v>
      </c>
      <c r="I538" t="s">
        <v>1553</v>
      </c>
      <c r="J538" t="s">
        <v>1554</v>
      </c>
      <c r="K538" t="s">
        <v>1555</v>
      </c>
      <c r="L538" t="s">
        <v>18</v>
      </c>
      <c r="M538" t="s">
        <v>19</v>
      </c>
      <c r="N538">
        <v>1622</v>
      </c>
      <c r="O538">
        <v>91</v>
      </c>
      <c r="P538">
        <v>0</v>
      </c>
      <c r="Q538" t="s">
        <v>1659</v>
      </c>
      <c r="R538" t="s">
        <v>1660</v>
      </c>
      <c r="S538" t="s">
        <v>1661</v>
      </c>
      <c r="T538" t="s">
        <v>1662</v>
      </c>
      <c r="U538" t="s">
        <v>60</v>
      </c>
      <c r="V538" t="s">
        <v>61</v>
      </c>
      <c r="W538">
        <v>10</v>
      </c>
      <c r="X538">
        <v>0.13125000000000001</v>
      </c>
      <c r="Y538" t="s">
        <v>131</v>
      </c>
      <c r="Z538" t="s">
        <v>197</v>
      </c>
      <c r="AA538">
        <v>1</v>
      </c>
      <c r="AB538" t="s">
        <v>1558</v>
      </c>
      <c r="AC538" t="s">
        <v>1559</v>
      </c>
      <c r="AD538" t="s">
        <v>1560</v>
      </c>
      <c r="AE538" t="s">
        <v>1561</v>
      </c>
      <c r="AF538" t="s">
        <v>1562</v>
      </c>
      <c r="AG538" t="s">
        <v>66</v>
      </c>
      <c r="AH538" t="s">
        <v>66</v>
      </c>
      <c r="AI538" t="s">
        <v>66</v>
      </c>
      <c r="AJ538" t="s">
        <v>66</v>
      </c>
      <c r="AK538">
        <v>1</v>
      </c>
      <c r="AL538" t="s">
        <v>66</v>
      </c>
      <c r="AM538" t="s">
        <v>66</v>
      </c>
      <c r="AN538" t="s">
        <v>66</v>
      </c>
      <c r="AO538" t="s">
        <v>66</v>
      </c>
      <c r="AP538">
        <v>1</v>
      </c>
      <c r="AQ538" t="s">
        <v>66</v>
      </c>
      <c r="AR538" t="s">
        <v>66</v>
      </c>
      <c r="AS538" t="s">
        <v>66</v>
      </c>
      <c r="AT538" t="s">
        <v>66</v>
      </c>
    </row>
    <row r="539" spans="1:46" x14ac:dyDescent="0.15">
      <c r="A539" t="s">
        <v>1663</v>
      </c>
      <c r="B539" t="s">
        <v>1548</v>
      </c>
      <c r="C539" t="s">
        <v>1549</v>
      </c>
      <c r="D539">
        <v>22</v>
      </c>
      <c r="E539" t="s">
        <v>1550</v>
      </c>
      <c r="F539" t="s">
        <v>1551</v>
      </c>
      <c r="G539" t="s">
        <v>51</v>
      </c>
      <c r="H539" t="s">
        <v>1552</v>
      </c>
      <c r="I539" t="s">
        <v>1553</v>
      </c>
      <c r="J539" t="s">
        <v>1554</v>
      </c>
      <c r="K539" t="s">
        <v>1555</v>
      </c>
      <c r="L539" t="s">
        <v>18</v>
      </c>
      <c r="M539" t="s">
        <v>19</v>
      </c>
      <c r="N539">
        <v>1679</v>
      </c>
      <c r="O539">
        <v>94</v>
      </c>
      <c r="P539">
        <v>0</v>
      </c>
      <c r="Q539" t="s">
        <v>1664</v>
      </c>
      <c r="R539" t="s">
        <v>1665</v>
      </c>
      <c r="S539" t="s">
        <v>1666</v>
      </c>
      <c r="T539" t="s">
        <v>1667</v>
      </c>
      <c r="U539" t="s">
        <v>60</v>
      </c>
      <c r="V539" t="s">
        <v>61</v>
      </c>
      <c r="W539">
        <v>10</v>
      </c>
      <c r="X539">
        <v>0.13125000000000001</v>
      </c>
      <c r="Y539" t="s">
        <v>203</v>
      </c>
      <c r="Z539" t="s">
        <v>204</v>
      </c>
      <c r="AA539">
        <v>1</v>
      </c>
      <c r="AB539" t="s">
        <v>1558</v>
      </c>
      <c r="AC539" t="s">
        <v>1559</v>
      </c>
      <c r="AD539" t="s">
        <v>1560</v>
      </c>
      <c r="AE539" t="s">
        <v>1561</v>
      </c>
      <c r="AF539" t="s">
        <v>1562</v>
      </c>
      <c r="AG539" t="s">
        <v>66</v>
      </c>
      <c r="AH539" t="s">
        <v>66</v>
      </c>
      <c r="AI539" t="s">
        <v>66</v>
      </c>
      <c r="AJ539" t="s">
        <v>66</v>
      </c>
      <c r="AK539">
        <v>1</v>
      </c>
      <c r="AL539" t="s">
        <v>66</v>
      </c>
      <c r="AM539" t="s">
        <v>66</v>
      </c>
      <c r="AN539" t="s">
        <v>66</v>
      </c>
      <c r="AO539" t="s">
        <v>66</v>
      </c>
      <c r="AP539">
        <v>1</v>
      </c>
      <c r="AQ539" t="s">
        <v>66</v>
      </c>
      <c r="AR539" t="s">
        <v>66</v>
      </c>
      <c r="AS539" t="s">
        <v>66</v>
      </c>
      <c r="AT539" t="s">
        <v>66</v>
      </c>
    </row>
    <row r="540" spans="1:46" x14ac:dyDescent="0.15">
      <c r="A540" t="s">
        <v>1668</v>
      </c>
      <c r="B540" t="s">
        <v>1548</v>
      </c>
      <c r="C540" t="s">
        <v>1549</v>
      </c>
      <c r="D540">
        <v>23</v>
      </c>
      <c r="E540" t="s">
        <v>1550</v>
      </c>
      <c r="F540" t="s">
        <v>1551</v>
      </c>
      <c r="G540" t="s">
        <v>51</v>
      </c>
      <c r="H540" t="s">
        <v>1552</v>
      </c>
      <c r="I540" t="s">
        <v>1553</v>
      </c>
      <c r="J540" t="s">
        <v>1554</v>
      </c>
      <c r="K540" t="s">
        <v>1555</v>
      </c>
      <c r="L540" t="s">
        <v>18</v>
      </c>
      <c r="M540" t="s">
        <v>19</v>
      </c>
      <c r="N540">
        <v>1735</v>
      </c>
      <c r="O540">
        <v>97</v>
      </c>
      <c r="P540">
        <v>0</v>
      </c>
      <c r="Q540" t="s">
        <v>1669</v>
      </c>
      <c r="R540" t="s">
        <v>1670</v>
      </c>
      <c r="S540" t="s">
        <v>1671</v>
      </c>
      <c r="T540" t="s">
        <v>1672</v>
      </c>
      <c r="U540" t="s">
        <v>60</v>
      </c>
      <c r="V540" t="s">
        <v>61</v>
      </c>
      <c r="W540">
        <v>10</v>
      </c>
      <c r="X540">
        <v>0.13125000000000001</v>
      </c>
      <c r="Y540" t="s">
        <v>138</v>
      </c>
      <c r="Z540" t="s">
        <v>210</v>
      </c>
      <c r="AA540">
        <v>1</v>
      </c>
      <c r="AB540" t="s">
        <v>1558</v>
      </c>
      <c r="AC540" t="s">
        <v>1559</v>
      </c>
      <c r="AD540" t="s">
        <v>1560</v>
      </c>
      <c r="AE540" t="s">
        <v>1561</v>
      </c>
      <c r="AF540" t="s">
        <v>1562</v>
      </c>
      <c r="AG540" t="s">
        <v>66</v>
      </c>
      <c r="AH540" t="s">
        <v>66</v>
      </c>
      <c r="AI540" t="s">
        <v>66</v>
      </c>
      <c r="AJ540" t="s">
        <v>66</v>
      </c>
      <c r="AK540">
        <v>1</v>
      </c>
      <c r="AL540" t="s">
        <v>66</v>
      </c>
      <c r="AM540" t="s">
        <v>66</v>
      </c>
      <c r="AN540" t="s">
        <v>66</v>
      </c>
      <c r="AO540" t="s">
        <v>66</v>
      </c>
      <c r="AP540">
        <v>1</v>
      </c>
      <c r="AQ540" t="s">
        <v>66</v>
      </c>
      <c r="AR540" t="s">
        <v>66</v>
      </c>
      <c r="AS540" t="s">
        <v>66</v>
      </c>
      <c r="AT540" t="s">
        <v>66</v>
      </c>
    </row>
    <row r="541" spans="1:46" x14ac:dyDescent="0.15">
      <c r="A541" t="s">
        <v>1673</v>
      </c>
      <c r="B541" t="s">
        <v>1548</v>
      </c>
      <c r="C541" t="s">
        <v>1549</v>
      </c>
      <c r="D541">
        <v>24</v>
      </c>
      <c r="E541" t="s">
        <v>1550</v>
      </c>
      <c r="F541" t="s">
        <v>1551</v>
      </c>
      <c r="G541" t="s">
        <v>51</v>
      </c>
      <c r="H541" t="s">
        <v>1552</v>
      </c>
      <c r="I541" t="s">
        <v>1553</v>
      </c>
      <c r="J541" t="s">
        <v>1554</v>
      </c>
      <c r="K541" t="s">
        <v>1555</v>
      </c>
      <c r="L541" t="s">
        <v>18</v>
      </c>
      <c r="M541" t="s">
        <v>19</v>
      </c>
      <c r="N541">
        <v>1791</v>
      </c>
      <c r="O541">
        <v>101</v>
      </c>
      <c r="P541">
        <v>0</v>
      </c>
      <c r="Q541" t="s">
        <v>1674</v>
      </c>
      <c r="R541" t="s">
        <v>1675</v>
      </c>
      <c r="S541" t="s">
        <v>1676</v>
      </c>
      <c r="T541" t="s">
        <v>1677</v>
      </c>
      <c r="U541" t="s">
        <v>60</v>
      </c>
      <c r="V541" t="s">
        <v>61</v>
      </c>
      <c r="W541">
        <v>10</v>
      </c>
      <c r="X541">
        <v>0.13125000000000001</v>
      </c>
      <c r="Y541" t="s">
        <v>216</v>
      </c>
      <c r="Z541" t="s">
        <v>217</v>
      </c>
      <c r="AA541">
        <v>1</v>
      </c>
      <c r="AB541" t="s">
        <v>1558</v>
      </c>
      <c r="AC541" t="s">
        <v>1559</v>
      </c>
      <c r="AD541" t="s">
        <v>1560</v>
      </c>
      <c r="AE541" t="s">
        <v>1561</v>
      </c>
      <c r="AF541" t="s">
        <v>1562</v>
      </c>
      <c r="AG541" t="s">
        <v>66</v>
      </c>
      <c r="AH541" t="s">
        <v>66</v>
      </c>
      <c r="AI541" t="s">
        <v>66</v>
      </c>
      <c r="AJ541" t="s">
        <v>66</v>
      </c>
      <c r="AK541">
        <v>1</v>
      </c>
      <c r="AL541" t="s">
        <v>66</v>
      </c>
      <c r="AM541" t="s">
        <v>66</v>
      </c>
      <c r="AN541" t="s">
        <v>66</v>
      </c>
      <c r="AO541" t="s">
        <v>66</v>
      </c>
      <c r="AP541">
        <v>1</v>
      </c>
      <c r="AQ541" t="s">
        <v>66</v>
      </c>
      <c r="AR541" t="s">
        <v>66</v>
      </c>
      <c r="AS541" t="s">
        <v>66</v>
      </c>
      <c r="AT541" t="s">
        <v>66</v>
      </c>
    </row>
    <row r="542" spans="1:46" x14ac:dyDescent="0.15">
      <c r="A542" t="s">
        <v>1678</v>
      </c>
      <c r="B542" t="s">
        <v>1548</v>
      </c>
      <c r="C542" t="s">
        <v>1549</v>
      </c>
      <c r="D542">
        <v>25</v>
      </c>
      <c r="E542" t="s">
        <v>1550</v>
      </c>
      <c r="F542" t="s">
        <v>1551</v>
      </c>
      <c r="G542" t="s">
        <v>51</v>
      </c>
      <c r="H542" t="s">
        <v>1552</v>
      </c>
      <c r="I542" t="s">
        <v>1553</v>
      </c>
      <c r="J542" t="s">
        <v>1554</v>
      </c>
      <c r="K542" t="s">
        <v>1555</v>
      </c>
      <c r="L542" t="s">
        <v>18</v>
      </c>
      <c r="M542" t="s">
        <v>19</v>
      </c>
      <c r="N542">
        <v>1847</v>
      </c>
      <c r="O542">
        <v>104</v>
      </c>
      <c r="P542">
        <v>0</v>
      </c>
      <c r="Q542" t="s">
        <v>1679</v>
      </c>
      <c r="R542" t="s">
        <v>1680</v>
      </c>
      <c r="S542" t="s">
        <v>1681</v>
      </c>
      <c r="T542" t="s">
        <v>1682</v>
      </c>
      <c r="U542" t="s">
        <v>60</v>
      </c>
      <c r="V542" t="s">
        <v>61</v>
      </c>
      <c r="W542">
        <v>10</v>
      </c>
      <c r="X542">
        <v>0.13125000000000001</v>
      </c>
      <c r="Y542" t="s">
        <v>144</v>
      </c>
      <c r="Z542" t="s">
        <v>223</v>
      </c>
      <c r="AA542">
        <v>1</v>
      </c>
      <c r="AB542" t="s">
        <v>1558</v>
      </c>
      <c r="AC542" t="s">
        <v>1559</v>
      </c>
      <c r="AD542" t="s">
        <v>1560</v>
      </c>
      <c r="AE542" t="s">
        <v>1561</v>
      </c>
      <c r="AF542" t="s">
        <v>1562</v>
      </c>
      <c r="AG542" t="s">
        <v>66</v>
      </c>
      <c r="AH542" t="s">
        <v>66</v>
      </c>
      <c r="AI542" t="s">
        <v>66</v>
      </c>
      <c r="AJ542" t="s">
        <v>66</v>
      </c>
      <c r="AK542">
        <v>1</v>
      </c>
      <c r="AL542" t="s">
        <v>66</v>
      </c>
      <c r="AM542" t="s">
        <v>66</v>
      </c>
      <c r="AN542" t="s">
        <v>66</v>
      </c>
      <c r="AO542" t="s">
        <v>66</v>
      </c>
      <c r="AP542">
        <v>1</v>
      </c>
      <c r="AQ542" t="s">
        <v>66</v>
      </c>
      <c r="AR542" t="s">
        <v>66</v>
      </c>
      <c r="AS542" t="s">
        <v>66</v>
      </c>
      <c r="AT542" t="s">
        <v>66</v>
      </c>
    </row>
    <row r="543" spans="1:46" x14ac:dyDescent="0.15">
      <c r="A543" t="s">
        <v>1683</v>
      </c>
      <c r="B543" t="s">
        <v>1548</v>
      </c>
      <c r="C543" t="s">
        <v>1549</v>
      </c>
      <c r="D543">
        <v>26</v>
      </c>
      <c r="E543" t="s">
        <v>1550</v>
      </c>
      <c r="F543" t="s">
        <v>1551</v>
      </c>
      <c r="G543" t="s">
        <v>51</v>
      </c>
      <c r="H543" t="s">
        <v>1552</v>
      </c>
      <c r="I543" t="s">
        <v>1553</v>
      </c>
      <c r="J543" t="s">
        <v>1554</v>
      </c>
      <c r="K543" t="s">
        <v>1555</v>
      </c>
      <c r="L543" t="s">
        <v>18</v>
      </c>
      <c r="M543" t="s">
        <v>19</v>
      </c>
      <c r="N543">
        <v>1903</v>
      </c>
      <c r="O543">
        <v>107</v>
      </c>
      <c r="P543">
        <v>0</v>
      </c>
      <c r="Q543" t="s">
        <v>1684</v>
      </c>
      <c r="R543" t="s">
        <v>1685</v>
      </c>
      <c r="S543" t="s">
        <v>1686</v>
      </c>
      <c r="T543" t="s">
        <v>1687</v>
      </c>
      <c r="U543" t="s">
        <v>60</v>
      </c>
      <c r="V543" t="s">
        <v>61</v>
      </c>
      <c r="W543">
        <v>10</v>
      </c>
      <c r="X543">
        <v>0.13125000000000001</v>
      </c>
      <c r="Y543" t="s">
        <v>229</v>
      </c>
      <c r="Z543" t="s">
        <v>230</v>
      </c>
      <c r="AA543">
        <v>1</v>
      </c>
      <c r="AB543" t="s">
        <v>1558</v>
      </c>
      <c r="AC543" t="s">
        <v>1559</v>
      </c>
      <c r="AD543" t="s">
        <v>1560</v>
      </c>
      <c r="AE543" t="s">
        <v>1561</v>
      </c>
      <c r="AF543" t="s">
        <v>1562</v>
      </c>
      <c r="AG543" t="s">
        <v>66</v>
      </c>
      <c r="AH543" t="s">
        <v>66</v>
      </c>
      <c r="AI543" t="s">
        <v>66</v>
      </c>
      <c r="AJ543" t="s">
        <v>66</v>
      </c>
      <c r="AK543">
        <v>1</v>
      </c>
      <c r="AL543" t="s">
        <v>66</v>
      </c>
      <c r="AM543" t="s">
        <v>66</v>
      </c>
      <c r="AN543" t="s">
        <v>66</v>
      </c>
      <c r="AO543" t="s">
        <v>66</v>
      </c>
      <c r="AP543">
        <v>1</v>
      </c>
      <c r="AQ543" t="s">
        <v>66</v>
      </c>
      <c r="AR543" t="s">
        <v>66</v>
      </c>
      <c r="AS543" t="s">
        <v>66</v>
      </c>
      <c r="AT543" t="s">
        <v>66</v>
      </c>
    </row>
    <row r="544" spans="1:46" x14ac:dyDescent="0.15">
      <c r="A544" t="s">
        <v>1688</v>
      </c>
      <c r="B544" t="s">
        <v>1548</v>
      </c>
      <c r="C544" t="s">
        <v>1549</v>
      </c>
      <c r="D544">
        <v>27</v>
      </c>
      <c r="E544" t="s">
        <v>1550</v>
      </c>
      <c r="F544" t="s">
        <v>1551</v>
      </c>
      <c r="G544" t="s">
        <v>51</v>
      </c>
      <c r="H544" t="s">
        <v>1552</v>
      </c>
      <c r="I544" t="s">
        <v>1553</v>
      </c>
      <c r="J544" t="s">
        <v>1554</v>
      </c>
      <c r="K544" t="s">
        <v>1555</v>
      </c>
      <c r="L544" t="s">
        <v>18</v>
      </c>
      <c r="M544" t="s">
        <v>19</v>
      </c>
      <c r="N544">
        <v>1959</v>
      </c>
      <c r="O544">
        <v>110</v>
      </c>
      <c r="P544">
        <v>0</v>
      </c>
      <c r="Q544" t="s">
        <v>1689</v>
      </c>
      <c r="R544" t="s">
        <v>1690</v>
      </c>
      <c r="S544" t="s">
        <v>1691</v>
      </c>
      <c r="T544" t="s">
        <v>1692</v>
      </c>
      <c r="U544" t="s">
        <v>60</v>
      </c>
      <c r="V544" t="s">
        <v>61</v>
      </c>
      <c r="W544">
        <v>10</v>
      </c>
      <c r="X544">
        <v>0.13125000000000001</v>
      </c>
      <c r="Y544" t="s">
        <v>151</v>
      </c>
      <c r="Z544" t="s">
        <v>236</v>
      </c>
      <c r="AA544">
        <v>1</v>
      </c>
      <c r="AB544" t="s">
        <v>1558</v>
      </c>
      <c r="AC544" t="s">
        <v>1559</v>
      </c>
      <c r="AD544" t="s">
        <v>1560</v>
      </c>
      <c r="AE544" t="s">
        <v>1561</v>
      </c>
      <c r="AF544" t="s">
        <v>1562</v>
      </c>
      <c r="AG544" t="s">
        <v>66</v>
      </c>
      <c r="AH544" t="s">
        <v>66</v>
      </c>
      <c r="AI544" t="s">
        <v>66</v>
      </c>
      <c r="AJ544" t="s">
        <v>66</v>
      </c>
      <c r="AK544">
        <v>1</v>
      </c>
      <c r="AL544" t="s">
        <v>66</v>
      </c>
      <c r="AM544" t="s">
        <v>66</v>
      </c>
      <c r="AN544" t="s">
        <v>66</v>
      </c>
      <c r="AO544" t="s">
        <v>66</v>
      </c>
      <c r="AP544">
        <v>1</v>
      </c>
      <c r="AQ544" t="s">
        <v>66</v>
      </c>
      <c r="AR544" t="s">
        <v>66</v>
      </c>
      <c r="AS544" t="s">
        <v>66</v>
      </c>
      <c r="AT544" t="s">
        <v>66</v>
      </c>
    </row>
    <row r="545" spans="1:46" x14ac:dyDescent="0.15">
      <c r="A545" t="s">
        <v>1693</v>
      </c>
      <c r="B545" t="s">
        <v>1548</v>
      </c>
      <c r="C545" t="s">
        <v>1549</v>
      </c>
      <c r="D545">
        <v>28</v>
      </c>
      <c r="E545" t="s">
        <v>1550</v>
      </c>
      <c r="F545" t="s">
        <v>1551</v>
      </c>
      <c r="G545" t="s">
        <v>51</v>
      </c>
      <c r="H545" t="s">
        <v>1552</v>
      </c>
      <c r="I545" t="s">
        <v>1553</v>
      </c>
      <c r="J545" t="s">
        <v>1554</v>
      </c>
      <c r="K545" t="s">
        <v>1555</v>
      </c>
      <c r="L545" t="s">
        <v>18</v>
      </c>
      <c r="M545" t="s">
        <v>19</v>
      </c>
      <c r="N545">
        <v>2015</v>
      </c>
      <c r="O545">
        <v>113</v>
      </c>
      <c r="P545">
        <v>0</v>
      </c>
      <c r="Q545" t="s">
        <v>1694</v>
      </c>
      <c r="R545" t="s">
        <v>1695</v>
      </c>
      <c r="S545" t="s">
        <v>1696</v>
      </c>
      <c r="T545" t="s">
        <v>1697</v>
      </c>
      <c r="U545" t="s">
        <v>60</v>
      </c>
      <c r="V545" t="s">
        <v>61</v>
      </c>
      <c r="W545">
        <v>10</v>
      </c>
      <c r="X545">
        <v>0.13125000000000001</v>
      </c>
      <c r="Y545" t="s">
        <v>242</v>
      </c>
      <c r="Z545" t="s">
        <v>243</v>
      </c>
      <c r="AA545">
        <v>1</v>
      </c>
      <c r="AB545" t="s">
        <v>1558</v>
      </c>
      <c r="AC545" t="s">
        <v>1559</v>
      </c>
      <c r="AD545" t="s">
        <v>1560</v>
      </c>
      <c r="AE545" t="s">
        <v>1561</v>
      </c>
      <c r="AF545" t="s">
        <v>1562</v>
      </c>
      <c r="AG545" t="s">
        <v>66</v>
      </c>
      <c r="AH545" t="s">
        <v>66</v>
      </c>
      <c r="AI545" t="s">
        <v>66</v>
      </c>
      <c r="AJ545" t="s">
        <v>66</v>
      </c>
      <c r="AK545">
        <v>1</v>
      </c>
      <c r="AL545" t="s">
        <v>66</v>
      </c>
      <c r="AM545" t="s">
        <v>66</v>
      </c>
      <c r="AN545" t="s">
        <v>66</v>
      </c>
      <c r="AO545" t="s">
        <v>66</v>
      </c>
      <c r="AP545">
        <v>1</v>
      </c>
      <c r="AQ545" t="s">
        <v>66</v>
      </c>
      <c r="AR545" t="s">
        <v>66</v>
      </c>
      <c r="AS545" t="s">
        <v>66</v>
      </c>
      <c r="AT545" t="s">
        <v>66</v>
      </c>
    </row>
    <row r="546" spans="1:46" x14ac:dyDescent="0.15">
      <c r="A546" t="s">
        <v>1698</v>
      </c>
      <c r="B546" t="s">
        <v>1548</v>
      </c>
      <c r="C546" t="s">
        <v>1549</v>
      </c>
      <c r="D546">
        <v>29</v>
      </c>
      <c r="E546" t="s">
        <v>1550</v>
      </c>
      <c r="F546" t="s">
        <v>1551</v>
      </c>
      <c r="G546" t="s">
        <v>51</v>
      </c>
      <c r="H546" t="s">
        <v>1552</v>
      </c>
      <c r="I546" t="s">
        <v>1553</v>
      </c>
      <c r="J546" t="s">
        <v>1554</v>
      </c>
      <c r="K546" t="s">
        <v>1555</v>
      </c>
      <c r="L546" t="s">
        <v>18</v>
      </c>
      <c r="M546" t="s">
        <v>19</v>
      </c>
      <c r="N546">
        <v>2071</v>
      </c>
      <c r="O546">
        <v>116</v>
      </c>
      <c r="P546">
        <v>0</v>
      </c>
      <c r="Q546" t="s">
        <v>1699</v>
      </c>
      <c r="R546" t="s">
        <v>1700</v>
      </c>
      <c r="S546" t="s">
        <v>1701</v>
      </c>
      <c r="T546" t="s">
        <v>1702</v>
      </c>
      <c r="U546" t="s">
        <v>60</v>
      </c>
      <c r="V546" t="s">
        <v>61</v>
      </c>
      <c r="W546">
        <v>10</v>
      </c>
      <c r="X546">
        <v>0.13125000000000001</v>
      </c>
      <c r="Y546" t="s">
        <v>157</v>
      </c>
      <c r="Z546" t="s">
        <v>249</v>
      </c>
      <c r="AA546">
        <v>1</v>
      </c>
      <c r="AB546" t="s">
        <v>1558</v>
      </c>
      <c r="AC546" t="s">
        <v>1559</v>
      </c>
      <c r="AD546" t="s">
        <v>1560</v>
      </c>
      <c r="AE546" t="s">
        <v>1561</v>
      </c>
      <c r="AF546" t="s">
        <v>1562</v>
      </c>
      <c r="AG546" t="s">
        <v>66</v>
      </c>
      <c r="AH546" t="s">
        <v>66</v>
      </c>
      <c r="AI546" t="s">
        <v>66</v>
      </c>
      <c r="AJ546" t="s">
        <v>66</v>
      </c>
      <c r="AK546">
        <v>1</v>
      </c>
      <c r="AL546" t="s">
        <v>66</v>
      </c>
      <c r="AM546" t="s">
        <v>66</v>
      </c>
      <c r="AN546" t="s">
        <v>66</v>
      </c>
      <c r="AO546" t="s">
        <v>66</v>
      </c>
      <c r="AP546">
        <v>1</v>
      </c>
      <c r="AQ546" t="s">
        <v>66</v>
      </c>
      <c r="AR546" t="s">
        <v>66</v>
      </c>
      <c r="AS546" t="s">
        <v>66</v>
      </c>
      <c r="AT546" t="s">
        <v>66</v>
      </c>
    </row>
    <row r="547" spans="1:46" x14ac:dyDescent="0.15">
      <c r="A547" t="s">
        <v>1703</v>
      </c>
      <c r="B547" t="s">
        <v>1548</v>
      </c>
      <c r="C547" t="s">
        <v>1549</v>
      </c>
      <c r="D547">
        <v>30</v>
      </c>
      <c r="E547" t="s">
        <v>1550</v>
      </c>
      <c r="F547" t="s">
        <v>1551</v>
      </c>
      <c r="G547" t="s">
        <v>51</v>
      </c>
      <c r="H547" t="s">
        <v>1552</v>
      </c>
      <c r="I547" t="s">
        <v>1553</v>
      </c>
      <c r="J547" t="s">
        <v>1554</v>
      </c>
      <c r="K547" t="s">
        <v>1555</v>
      </c>
      <c r="L547" t="s">
        <v>18</v>
      </c>
      <c r="M547" t="s">
        <v>19</v>
      </c>
      <c r="N547">
        <v>2128</v>
      </c>
      <c r="O547">
        <v>119</v>
      </c>
      <c r="P547">
        <v>0</v>
      </c>
      <c r="Q547" t="s">
        <v>1704</v>
      </c>
      <c r="R547" t="s">
        <v>1705</v>
      </c>
      <c r="S547" t="s">
        <v>1706</v>
      </c>
      <c r="T547" t="s">
        <v>1707</v>
      </c>
      <c r="U547" t="s">
        <v>60</v>
      </c>
      <c r="V547" t="s">
        <v>61</v>
      </c>
      <c r="W547">
        <v>10</v>
      </c>
      <c r="X547">
        <v>0.13125000000000001</v>
      </c>
      <c r="Y547" t="s">
        <v>255</v>
      </c>
      <c r="Z547" t="s">
        <v>256</v>
      </c>
      <c r="AA547">
        <v>1</v>
      </c>
      <c r="AB547" t="s">
        <v>1558</v>
      </c>
      <c r="AC547" t="s">
        <v>1559</v>
      </c>
      <c r="AD547" t="s">
        <v>1560</v>
      </c>
      <c r="AE547" t="s">
        <v>1561</v>
      </c>
      <c r="AF547" t="s">
        <v>1562</v>
      </c>
      <c r="AG547" t="s">
        <v>66</v>
      </c>
      <c r="AH547" t="s">
        <v>66</v>
      </c>
      <c r="AI547" t="s">
        <v>66</v>
      </c>
      <c r="AJ547" t="s">
        <v>66</v>
      </c>
      <c r="AK547">
        <v>1</v>
      </c>
      <c r="AL547" t="s">
        <v>66</v>
      </c>
      <c r="AM547" t="s">
        <v>66</v>
      </c>
      <c r="AN547" t="s">
        <v>66</v>
      </c>
      <c r="AO547" t="s">
        <v>66</v>
      </c>
      <c r="AP547">
        <v>1</v>
      </c>
      <c r="AQ547" t="s">
        <v>66</v>
      </c>
      <c r="AR547" t="s">
        <v>66</v>
      </c>
      <c r="AS547" t="s">
        <v>66</v>
      </c>
      <c r="AT547" t="s">
        <v>66</v>
      </c>
    </row>
    <row r="548" spans="1:46" x14ac:dyDescent="0.15">
      <c r="A548" t="s">
        <v>1708</v>
      </c>
      <c r="B548" t="s">
        <v>1548</v>
      </c>
      <c r="C548" t="s">
        <v>1549</v>
      </c>
      <c r="D548">
        <v>31</v>
      </c>
      <c r="E548" t="s">
        <v>1550</v>
      </c>
      <c r="F548" t="s">
        <v>1551</v>
      </c>
      <c r="G548" t="s">
        <v>51</v>
      </c>
      <c r="H548" t="s">
        <v>1552</v>
      </c>
      <c r="I548" t="s">
        <v>1553</v>
      </c>
      <c r="J548" t="s">
        <v>1554</v>
      </c>
      <c r="K548" t="s">
        <v>1555</v>
      </c>
      <c r="L548" t="s">
        <v>18</v>
      </c>
      <c r="M548" t="s">
        <v>19</v>
      </c>
      <c r="N548">
        <v>2184</v>
      </c>
      <c r="O548">
        <v>122</v>
      </c>
      <c r="P548">
        <v>0</v>
      </c>
      <c r="Q548" t="s">
        <v>1709</v>
      </c>
      <c r="R548" t="s">
        <v>1710</v>
      </c>
      <c r="S548" t="s">
        <v>1711</v>
      </c>
      <c r="T548" t="s">
        <v>1712</v>
      </c>
      <c r="U548" t="s">
        <v>60</v>
      </c>
      <c r="V548" t="s">
        <v>61</v>
      </c>
      <c r="W548">
        <v>10</v>
      </c>
      <c r="X548">
        <v>0.13125000000000001</v>
      </c>
      <c r="Y548" t="s">
        <v>164</v>
      </c>
      <c r="Z548" t="s">
        <v>262</v>
      </c>
      <c r="AA548">
        <v>1</v>
      </c>
      <c r="AB548" t="s">
        <v>1558</v>
      </c>
      <c r="AC548" t="s">
        <v>1559</v>
      </c>
      <c r="AD548" t="s">
        <v>1560</v>
      </c>
      <c r="AE548" t="s">
        <v>1561</v>
      </c>
      <c r="AF548" t="s">
        <v>1562</v>
      </c>
      <c r="AG548" t="s">
        <v>66</v>
      </c>
      <c r="AH548" t="s">
        <v>66</v>
      </c>
      <c r="AI548" t="s">
        <v>66</v>
      </c>
      <c r="AJ548" t="s">
        <v>66</v>
      </c>
      <c r="AK548">
        <v>1</v>
      </c>
      <c r="AL548" t="s">
        <v>66</v>
      </c>
      <c r="AM548" t="s">
        <v>66</v>
      </c>
      <c r="AN548" t="s">
        <v>66</v>
      </c>
      <c r="AO548" t="s">
        <v>66</v>
      </c>
      <c r="AP548">
        <v>1</v>
      </c>
      <c r="AQ548" t="s">
        <v>66</v>
      </c>
      <c r="AR548" t="s">
        <v>66</v>
      </c>
      <c r="AS548" t="s">
        <v>66</v>
      </c>
      <c r="AT548" t="s">
        <v>66</v>
      </c>
    </row>
    <row r="549" spans="1:46" x14ac:dyDescent="0.15">
      <c r="A549" t="s">
        <v>1713</v>
      </c>
      <c r="B549" t="s">
        <v>1548</v>
      </c>
      <c r="C549" t="s">
        <v>1549</v>
      </c>
      <c r="D549">
        <v>32</v>
      </c>
      <c r="E549" t="s">
        <v>1550</v>
      </c>
      <c r="F549" t="s">
        <v>1551</v>
      </c>
      <c r="G549" t="s">
        <v>51</v>
      </c>
      <c r="H549" t="s">
        <v>1552</v>
      </c>
      <c r="I549" t="s">
        <v>1553</v>
      </c>
      <c r="J549" t="s">
        <v>1554</v>
      </c>
      <c r="K549" t="s">
        <v>1555</v>
      </c>
      <c r="L549" t="s">
        <v>18</v>
      </c>
      <c r="M549" t="s">
        <v>19</v>
      </c>
      <c r="N549">
        <v>2240</v>
      </c>
      <c r="O549">
        <v>125</v>
      </c>
      <c r="P549">
        <v>0</v>
      </c>
      <c r="Q549" t="s">
        <v>1714</v>
      </c>
      <c r="R549" t="s">
        <v>1715</v>
      </c>
      <c r="S549" t="s">
        <v>1716</v>
      </c>
      <c r="T549" t="s">
        <v>1717</v>
      </c>
      <c r="U549" t="s">
        <v>60</v>
      </c>
      <c r="V549" t="s">
        <v>61</v>
      </c>
      <c r="W549">
        <v>10</v>
      </c>
      <c r="X549">
        <v>0.13125000000000001</v>
      </c>
      <c r="Y549" t="s">
        <v>268</v>
      </c>
      <c r="Z549" t="s">
        <v>269</v>
      </c>
      <c r="AA549">
        <v>1</v>
      </c>
      <c r="AB549" t="s">
        <v>1558</v>
      </c>
      <c r="AC549" t="s">
        <v>1559</v>
      </c>
      <c r="AD549" t="s">
        <v>1560</v>
      </c>
      <c r="AE549" t="s">
        <v>1561</v>
      </c>
      <c r="AF549" t="s">
        <v>1562</v>
      </c>
      <c r="AG549" t="s">
        <v>66</v>
      </c>
      <c r="AH549" t="s">
        <v>66</v>
      </c>
      <c r="AI549" t="s">
        <v>66</v>
      </c>
      <c r="AJ549" t="s">
        <v>66</v>
      </c>
      <c r="AK549">
        <v>1</v>
      </c>
      <c r="AL549" t="s">
        <v>66</v>
      </c>
      <c r="AM549" t="s">
        <v>66</v>
      </c>
      <c r="AN549" t="s">
        <v>66</v>
      </c>
      <c r="AO549" t="s">
        <v>66</v>
      </c>
      <c r="AP549">
        <v>1</v>
      </c>
      <c r="AQ549" t="s">
        <v>66</v>
      </c>
      <c r="AR549" t="s">
        <v>66</v>
      </c>
      <c r="AS549" t="s">
        <v>66</v>
      </c>
      <c r="AT549" t="s">
        <v>66</v>
      </c>
    </row>
    <row r="550" spans="1:46" x14ac:dyDescent="0.15">
      <c r="A550" t="s">
        <v>1718</v>
      </c>
      <c r="B550" t="s">
        <v>1548</v>
      </c>
      <c r="C550" t="s">
        <v>1549</v>
      </c>
      <c r="D550">
        <v>33</v>
      </c>
      <c r="E550" t="s">
        <v>1550</v>
      </c>
      <c r="F550" t="s">
        <v>1551</v>
      </c>
      <c r="G550" t="s">
        <v>51</v>
      </c>
      <c r="H550" t="s">
        <v>1552</v>
      </c>
      <c r="I550" t="s">
        <v>1553</v>
      </c>
      <c r="J550" t="s">
        <v>1554</v>
      </c>
      <c r="K550" t="s">
        <v>1555</v>
      </c>
      <c r="L550" t="s">
        <v>18</v>
      </c>
      <c r="M550" t="s">
        <v>19</v>
      </c>
      <c r="N550">
        <v>2296</v>
      </c>
      <c r="O550">
        <v>128</v>
      </c>
      <c r="P550">
        <v>0</v>
      </c>
      <c r="Q550" t="s">
        <v>1719</v>
      </c>
      <c r="R550" t="s">
        <v>1720</v>
      </c>
      <c r="S550" t="s">
        <v>1721</v>
      </c>
      <c r="T550" t="s">
        <v>1722</v>
      </c>
      <c r="U550" t="s">
        <v>60</v>
      </c>
      <c r="V550" t="s">
        <v>61</v>
      </c>
      <c r="W550">
        <v>10</v>
      </c>
      <c r="X550">
        <v>0.13125000000000001</v>
      </c>
      <c r="Y550" t="s">
        <v>170</v>
      </c>
      <c r="Z550" t="s">
        <v>275</v>
      </c>
      <c r="AA550">
        <v>1</v>
      </c>
      <c r="AB550" t="s">
        <v>1558</v>
      </c>
      <c r="AC550" t="s">
        <v>1559</v>
      </c>
      <c r="AD550" t="s">
        <v>1560</v>
      </c>
      <c r="AE550" t="s">
        <v>1561</v>
      </c>
      <c r="AF550" t="s">
        <v>1562</v>
      </c>
      <c r="AG550" t="s">
        <v>66</v>
      </c>
      <c r="AH550" t="s">
        <v>66</v>
      </c>
      <c r="AI550" t="s">
        <v>66</v>
      </c>
      <c r="AJ550" t="s">
        <v>66</v>
      </c>
      <c r="AK550">
        <v>1</v>
      </c>
      <c r="AL550" t="s">
        <v>66</v>
      </c>
      <c r="AM550" t="s">
        <v>66</v>
      </c>
      <c r="AN550" t="s">
        <v>66</v>
      </c>
      <c r="AO550" t="s">
        <v>66</v>
      </c>
      <c r="AP550">
        <v>1</v>
      </c>
      <c r="AQ550" t="s">
        <v>66</v>
      </c>
      <c r="AR550" t="s">
        <v>66</v>
      </c>
      <c r="AS550" t="s">
        <v>66</v>
      </c>
      <c r="AT550" t="s">
        <v>66</v>
      </c>
    </row>
    <row r="551" spans="1:46" x14ac:dyDescent="0.15">
      <c r="A551" t="s">
        <v>1723</v>
      </c>
      <c r="B551" t="s">
        <v>1548</v>
      </c>
      <c r="C551" t="s">
        <v>1549</v>
      </c>
      <c r="D551">
        <v>34</v>
      </c>
      <c r="E551" t="s">
        <v>1550</v>
      </c>
      <c r="F551" t="s">
        <v>1551</v>
      </c>
      <c r="G551" t="s">
        <v>51</v>
      </c>
      <c r="H551" t="s">
        <v>1552</v>
      </c>
      <c r="I551" t="s">
        <v>1553</v>
      </c>
      <c r="J551" t="s">
        <v>1554</v>
      </c>
      <c r="K551" t="s">
        <v>1555</v>
      </c>
      <c r="L551" t="s">
        <v>18</v>
      </c>
      <c r="M551" t="s">
        <v>19</v>
      </c>
      <c r="N551">
        <v>2352</v>
      </c>
      <c r="O551">
        <v>131</v>
      </c>
      <c r="P551">
        <v>0</v>
      </c>
      <c r="Q551" t="s">
        <v>1724</v>
      </c>
      <c r="R551" t="s">
        <v>1725</v>
      </c>
      <c r="S551" t="s">
        <v>1726</v>
      </c>
      <c r="T551" t="s">
        <v>1727</v>
      </c>
      <c r="U551" t="s">
        <v>60</v>
      </c>
      <c r="V551" t="s">
        <v>61</v>
      </c>
      <c r="W551">
        <v>10</v>
      </c>
      <c r="X551">
        <v>0.13125000000000001</v>
      </c>
      <c r="Y551" t="s">
        <v>281</v>
      </c>
      <c r="Z551" t="s">
        <v>282</v>
      </c>
      <c r="AA551">
        <v>1</v>
      </c>
      <c r="AB551" t="s">
        <v>1558</v>
      </c>
      <c r="AC551" t="s">
        <v>1559</v>
      </c>
      <c r="AD551" t="s">
        <v>1560</v>
      </c>
      <c r="AE551" t="s">
        <v>1561</v>
      </c>
      <c r="AF551" t="s">
        <v>1562</v>
      </c>
      <c r="AG551" t="s">
        <v>66</v>
      </c>
      <c r="AH551" t="s">
        <v>66</v>
      </c>
      <c r="AI551" t="s">
        <v>66</v>
      </c>
      <c r="AJ551" t="s">
        <v>66</v>
      </c>
      <c r="AK551">
        <v>1</v>
      </c>
      <c r="AL551" t="s">
        <v>66</v>
      </c>
      <c r="AM551" t="s">
        <v>66</v>
      </c>
      <c r="AN551" t="s">
        <v>66</v>
      </c>
      <c r="AO551" t="s">
        <v>66</v>
      </c>
      <c r="AP551">
        <v>1</v>
      </c>
      <c r="AQ551" t="s">
        <v>66</v>
      </c>
      <c r="AR551" t="s">
        <v>66</v>
      </c>
      <c r="AS551" t="s">
        <v>66</v>
      </c>
      <c r="AT551" t="s">
        <v>66</v>
      </c>
    </row>
    <row r="552" spans="1:46" x14ac:dyDescent="0.15">
      <c r="A552" t="s">
        <v>1728</v>
      </c>
      <c r="B552" t="s">
        <v>1548</v>
      </c>
      <c r="C552" t="s">
        <v>1549</v>
      </c>
      <c r="D552">
        <v>35</v>
      </c>
      <c r="E552" t="s">
        <v>1550</v>
      </c>
      <c r="F552" t="s">
        <v>1551</v>
      </c>
      <c r="G552" t="s">
        <v>51</v>
      </c>
      <c r="H552" t="s">
        <v>1552</v>
      </c>
      <c r="I552" t="s">
        <v>1553</v>
      </c>
      <c r="J552" t="s">
        <v>1554</v>
      </c>
      <c r="K552" t="s">
        <v>1555</v>
      </c>
      <c r="L552" t="s">
        <v>18</v>
      </c>
      <c r="M552" t="s">
        <v>19</v>
      </c>
      <c r="N552">
        <v>2408</v>
      </c>
      <c r="O552">
        <v>134</v>
      </c>
      <c r="P552">
        <v>0</v>
      </c>
      <c r="Q552" t="s">
        <v>1729</v>
      </c>
      <c r="R552" t="s">
        <v>1730</v>
      </c>
      <c r="S552" t="s">
        <v>1731</v>
      </c>
      <c r="T552" t="s">
        <v>1732</v>
      </c>
      <c r="U552" t="s">
        <v>60</v>
      </c>
      <c r="V552" t="s">
        <v>61</v>
      </c>
      <c r="W552">
        <v>10</v>
      </c>
      <c r="X552">
        <v>0.13125000000000001</v>
      </c>
      <c r="Y552" t="s">
        <v>177</v>
      </c>
      <c r="Z552" t="s">
        <v>288</v>
      </c>
      <c r="AA552">
        <v>1</v>
      </c>
      <c r="AB552" t="s">
        <v>1558</v>
      </c>
      <c r="AC552" t="s">
        <v>1559</v>
      </c>
      <c r="AD552" t="s">
        <v>1560</v>
      </c>
      <c r="AE552" t="s">
        <v>1561</v>
      </c>
      <c r="AF552" t="s">
        <v>1562</v>
      </c>
      <c r="AG552" t="s">
        <v>66</v>
      </c>
      <c r="AH552" t="s">
        <v>66</v>
      </c>
      <c r="AI552" t="s">
        <v>66</v>
      </c>
      <c r="AJ552" t="s">
        <v>66</v>
      </c>
      <c r="AK552">
        <v>1</v>
      </c>
      <c r="AL552" t="s">
        <v>66</v>
      </c>
      <c r="AM552" t="s">
        <v>66</v>
      </c>
      <c r="AN552" t="s">
        <v>66</v>
      </c>
      <c r="AO552" t="s">
        <v>66</v>
      </c>
      <c r="AP552">
        <v>1</v>
      </c>
      <c r="AQ552" t="s">
        <v>66</v>
      </c>
      <c r="AR552" t="s">
        <v>66</v>
      </c>
      <c r="AS552" t="s">
        <v>66</v>
      </c>
      <c r="AT552" t="s">
        <v>66</v>
      </c>
    </row>
    <row r="553" spans="1:46" x14ac:dyDescent="0.15">
      <c r="A553" t="s">
        <v>1733</v>
      </c>
      <c r="B553" t="s">
        <v>1548</v>
      </c>
      <c r="C553" t="s">
        <v>1549</v>
      </c>
      <c r="D553">
        <v>36</v>
      </c>
      <c r="E553" t="s">
        <v>1550</v>
      </c>
      <c r="F553" t="s">
        <v>1551</v>
      </c>
      <c r="G553" t="s">
        <v>51</v>
      </c>
      <c r="H553" t="s">
        <v>1552</v>
      </c>
      <c r="I553" t="s">
        <v>1553</v>
      </c>
      <c r="J553" t="s">
        <v>1554</v>
      </c>
      <c r="K553" t="s">
        <v>1555</v>
      </c>
      <c r="L553" t="s">
        <v>18</v>
      </c>
      <c r="M553" t="s">
        <v>19</v>
      </c>
      <c r="N553">
        <v>2464</v>
      </c>
      <c r="O553">
        <v>137</v>
      </c>
      <c r="P553">
        <v>0</v>
      </c>
      <c r="Q553" t="s">
        <v>1734</v>
      </c>
      <c r="R553" t="s">
        <v>1735</v>
      </c>
      <c r="S553" t="s">
        <v>1736</v>
      </c>
      <c r="T553" t="s">
        <v>1737</v>
      </c>
      <c r="U553" t="s">
        <v>60</v>
      </c>
      <c r="V553" t="s">
        <v>61</v>
      </c>
      <c r="W553">
        <v>10</v>
      </c>
      <c r="X553">
        <v>0.13125000000000001</v>
      </c>
      <c r="Y553" t="s">
        <v>294</v>
      </c>
      <c r="Z553" t="s">
        <v>295</v>
      </c>
      <c r="AA553">
        <v>1</v>
      </c>
      <c r="AB553" t="s">
        <v>1558</v>
      </c>
      <c r="AC553" t="s">
        <v>1559</v>
      </c>
      <c r="AD553" t="s">
        <v>1560</v>
      </c>
      <c r="AE553" t="s">
        <v>1561</v>
      </c>
      <c r="AF553" t="s">
        <v>1562</v>
      </c>
      <c r="AG553" t="s">
        <v>66</v>
      </c>
      <c r="AH553" t="s">
        <v>66</v>
      </c>
      <c r="AI553" t="s">
        <v>66</v>
      </c>
      <c r="AJ553" t="s">
        <v>66</v>
      </c>
      <c r="AK553">
        <v>1</v>
      </c>
      <c r="AL553" t="s">
        <v>66</v>
      </c>
      <c r="AM553" t="s">
        <v>66</v>
      </c>
      <c r="AN553" t="s">
        <v>66</v>
      </c>
      <c r="AO553" t="s">
        <v>66</v>
      </c>
      <c r="AP553">
        <v>1</v>
      </c>
      <c r="AQ553" t="s">
        <v>66</v>
      </c>
      <c r="AR553" t="s">
        <v>66</v>
      </c>
      <c r="AS553" t="s">
        <v>66</v>
      </c>
      <c r="AT553" t="s">
        <v>66</v>
      </c>
    </row>
    <row r="554" spans="1:46" x14ac:dyDescent="0.15">
      <c r="A554" t="s">
        <v>1738</v>
      </c>
      <c r="B554" t="s">
        <v>1548</v>
      </c>
      <c r="C554" t="s">
        <v>1549</v>
      </c>
      <c r="D554">
        <v>37</v>
      </c>
      <c r="E554" t="s">
        <v>1550</v>
      </c>
      <c r="F554" t="s">
        <v>1551</v>
      </c>
      <c r="G554" t="s">
        <v>51</v>
      </c>
      <c r="H554" t="s">
        <v>1552</v>
      </c>
      <c r="I554" t="s">
        <v>1553</v>
      </c>
      <c r="J554" t="s">
        <v>1554</v>
      </c>
      <c r="K554" t="s">
        <v>1555</v>
      </c>
      <c r="L554" t="s">
        <v>18</v>
      </c>
      <c r="M554" t="s">
        <v>19</v>
      </c>
      <c r="N554">
        <v>2520</v>
      </c>
      <c r="O554">
        <v>140</v>
      </c>
      <c r="P554">
        <v>0</v>
      </c>
      <c r="Q554" t="s">
        <v>1739</v>
      </c>
      <c r="R554" t="s">
        <v>1740</v>
      </c>
      <c r="S554" t="s">
        <v>1741</v>
      </c>
      <c r="T554" t="s">
        <v>1742</v>
      </c>
      <c r="U554" t="s">
        <v>60</v>
      </c>
      <c r="V554" t="s">
        <v>61</v>
      </c>
      <c r="W554">
        <v>10</v>
      </c>
      <c r="X554">
        <v>0.13125000000000001</v>
      </c>
      <c r="Y554" t="s">
        <v>183</v>
      </c>
      <c r="Z554" t="s">
        <v>301</v>
      </c>
      <c r="AA554">
        <v>1</v>
      </c>
      <c r="AB554" t="s">
        <v>1558</v>
      </c>
      <c r="AC554" t="s">
        <v>1559</v>
      </c>
      <c r="AD554" t="s">
        <v>1560</v>
      </c>
      <c r="AE554" t="s">
        <v>1561</v>
      </c>
      <c r="AF554" t="s">
        <v>1562</v>
      </c>
      <c r="AG554" t="s">
        <v>66</v>
      </c>
      <c r="AH554" t="s">
        <v>66</v>
      </c>
      <c r="AI554" t="s">
        <v>66</v>
      </c>
      <c r="AJ554" t="s">
        <v>66</v>
      </c>
      <c r="AK554">
        <v>1</v>
      </c>
      <c r="AL554" t="s">
        <v>66</v>
      </c>
      <c r="AM554" t="s">
        <v>66</v>
      </c>
      <c r="AN554" t="s">
        <v>66</v>
      </c>
      <c r="AO554" t="s">
        <v>66</v>
      </c>
      <c r="AP554">
        <v>1</v>
      </c>
      <c r="AQ554" t="s">
        <v>66</v>
      </c>
      <c r="AR554" t="s">
        <v>66</v>
      </c>
      <c r="AS554" t="s">
        <v>66</v>
      </c>
      <c r="AT554" t="s">
        <v>66</v>
      </c>
    </row>
    <row r="555" spans="1:46" x14ac:dyDescent="0.15">
      <c r="A555" t="s">
        <v>1743</v>
      </c>
      <c r="B555" t="s">
        <v>1548</v>
      </c>
      <c r="C555" t="s">
        <v>1549</v>
      </c>
      <c r="D555">
        <v>38</v>
      </c>
      <c r="E555" t="s">
        <v>1550</v>
      </c>
      <c r="F555" t="s">
        <v>1551</v>
      </c>
      <c r="G555" t="s">
        <v>51</v>
      </c>
      <c r="H555" t="s">
        <v>1552</v>
      </c>
      <c r="I555" t="s">
        <v>1553</v>
      </c>
      <c r="J555" t="s">
        <v>1554</v>
      </c>
      <c r="K555" t="s">
        <v>1555</v>
      </c>
      <c r="L555" t="s">
        <v>18</v>
      </c>
      <c r="M555" t="s">
        <v>19</v>
      </c>
      <c r="N555">
        <v>2577</v>
      </c>
      <c r="O555">
        <v>143</v>
      </c>
      <c r="P555">
        <v>0</v>
      </c>
      <c r="Q555" t="s">
        <v>1744</v>
      </c>
      <c r="R555" t="s">
        <v>1745</v>
      </c>
      <c r="S555" t="s">
        <v>1746</v>
      </c>
      <c r="T555" t="s">
        <v>1747</v>
      </c>
      <c r="U555" t="s">
        <v>60</v>
      </c>
      <c r="V555" t="s">
        <v>61</v>
      </c>
      <c r="W555">
        <v>10</v>
      </c>
      <c r="X555">
        <v>0.13125000000000001</v>
      </c>
      <c r="Y555" t="s">
        <v>307</v>
      </c>
      <c r="Z555" t="s">
        <v>308</v>
      </c>
      <c r="AA555">
        <v>1</v>
      </c>
      <c r="AB555" t="s">
        <v>1558</v>
      </c>
      <c r="AC555" t="s">
        <v>1559</v>
      </c>
      <c r="AD555" t="s">
        <v>1560</v>
      </c>
      <c r="AE555" t="s">
        <v>1561</v>
      </c>
      <c r="AF555" t="s">
        <v>1562</v>
      </c>
      <c r="AG555" t="s">
        <v>66</v>
      </c>
      <c r="AH555" t="s">
        <v>66</v>
      </c>
      <c r="AI555" t="s">
        <v>66</v>
      </c>
      <c r="AJ555" t="s">
        <v>66</v>
      </c>
      <c r="AK555">
        <v>1</v>
      </c>
      <c r="AL555" t="s">
        <v>66</v>
      </c>
      <c r="AM555" t="s">
        <v>66</v>
      </c>
      <c r="AN555" t="s">
        <v>66</v>
      </c>
      <c r="AO555" t="s">
        <v>66</v>
      </c>
      <c r="AP555">
        <v>1</v>
      </c>
      <c r="AQ555" t="s">
        <v>66</v>
      </c>
      <c r="AR555" t="s">
        <v>66</v>
      </c>
      <c r="AS555" t="s">
        <v>66</v>
      </c>
      <c r="AT555" t="s">
        <v>66</v>
      </c>
    </row>
    <row r="556" spans="1:46" x14ac:dyDescent="0.15">
      <c r="A556" t="s">
        <v>1748</v>
      </c>
      <c r="B556" t="s">
        <v>1548</v>
      </c>
      <c r="C556" t="s">
        <v>1549</v>
      </c>
      <c r="D556">
        <v>39</v>
      </c>
      <c r="E556" t="s">
        <v>1550</v>
      </c>
      <c r="F556" t="s">
        <v>1551</v>
      </c>
      <c r="G556" t="s">
        <v>51</v>
      </c>
      <c r="H556" t="s">
        <v>1552</v>
      </c>
      <c r="I556" t="s">
        <v>1553</v>
      </c>
      <c r="J556" t="s">
        <v>1554</v>
      </c>
      <c r="K556" t="s">
        <v>1555</v>
      </c>
      <c r="L556" t="s">
        <v>18</v>
      </c>
      <c r="M556" t="s">
        <v>19</v>
      </c>
      <c r="N556">
        <v>2633</v>
      </c>
      <c r="O556">
        <v>147</v>
      </c>
      <c r="P556">
        <v>0</v>
      </c>
      <c r="Q556" t="s">
        <v>1749</v>
      </c>
      <c r="R556" t="s">
        <v>1750</v>
      </c>
      <c r="S556" t="s">
        <v>1751</v>
      </c>
      <c r="T556" t="s">
        <v>1752</v>
      </c>
      <c r="U556" t="s">
        <v>60</v>
      </c>
      <c r="V556" t="s">
        <v>61</v>
      </c>
      <c r="W556">
        <v>10</v>
      </c>
      <c r="X556">
        <v>0.13125000000000001</v>
      </c>
      <c r="Y556" t="s">
        <v>190</v>
      </c>
      <c r="Z556" t="s">
        <v>314</v>
      </c>
      <c r="AA556">
        <v>1</v>
      </c>
      <c r="AB556" t="s">
        <v>1558</v>
      </c>
      <c r="AC556" t="s">
        <v>1559</v>
      </c>
      <c r="AD556" t="s">
        <v>1560</v>
      </c>
      <c r="AE556" t="s">
        <v>1561</v>
      </c>
      <c r="AF556" t="s">
        <v>1562</v>
      </c>
      <c r="AG556" t="s">
        <v>66</v>
      </c>
      <c r="AH556" t="s">
        <v>66</v>
      </c>
      <c r="AI556" t="s">
        <v>66</v>
      </c>
      <c r="AJ556" t="s">
        <v>66</v>
      </c>
      <c r="AK556">
        <v>1</v>
      </c>
      <c r="AL556" t="s">
        <v>66</v>
      </c>
      <c r="AM556" t="s">
        <v>66</v>
      </c>
      <c r="AN556" t="s">
        <v>66</v>
      </c>
      <c r="AO556" t="s">
        <v>66</v>
      </c>
      <c r="AP556">
        <v>1</v>
      </c>
      <c r="AQ556" t="s">
        <v>66</v>
      </c>
      <c r="AR556" t="s">
        <v>66</v>
      </c>
      <c r="AS556" t="s">
        <v>66</v>
      </c>
      <c r="AT556" t="s">
        <v>66</v>
      </c>
    </row>
    <row r="557" spans="1:46" x14ac:dyDescent="0.15">
      <c r="A557" t="s">
        <v>1753</v>
      </c>
      <c r="B557" t="s">
        <v>1548</v>
      </c>
      <c r="C557" t="s">
        <v>1549</v>
      </c>
      <c r="D557">
        <v>40</v>
      </c>
      <c r="E557" t="s">
        <v>1550</v>
      </c>
      <c r="F557" t="s">
        <v>1551</v>
      </c>
      <c r="G557" t="s">
        <v>51</v>
      </c>
      <c r="H557" t="s">
        <v>1552</v>
      </c>
      <c r="I557" t="s">
        <v>1553</v>
      </c>
      <c r="J557" t="s">
        <v>1554</v>
      </c>
      <c r="K557" t="s">
        <v>1555</v>
      </c>
      <c r="L557" t="s">
        <v>18</v>
      </c>
      <c r="M557" t="s">
        <v>19</v>
      </c>
      <c r="N557">
        <v>2689</v>
      </c>
      <c r="O557">
        <v>150</v>
      </c>
      <c r="P557">
        <v>0</v>
      </c>
      <c r="Q557" t="s">
        <v>1754</v>
      </c>
      <c r="R557" t="s">
        <v>1755</v>
      </c>
      <c r="S557" t="s">
        <v>1756</v>
      </c>
      <c r="T557" t="s">
        <v>1757</v>
      </c>
      <c r="U557" t="s">
        <v>60</v>
      </c>
      <c r="V557" t="s">
        <v>61</v>
      </c>
      <c r="W557">
        <v>10</v>
      </c>
      <c r="X557">
        <v>0.13125000000000001</v>
      </c>
      <c r="Y557" t="s">
        <v>320</v>
      </c>
      <c r="Z557" t="s">
        <v>321</v>
      </c>
      <c r="AA557">
        <v>1</v>
      </c>
      <c r="AB557" t="s">
        <v>1558</v>
      </c>
      <c r="AC557" t="s">
        <v>1559</v>
      </c>
      <c r="AD557" t="s">
        <v>1560</v>
      </c>
      <c r="AE557" t="s">
        <v>1561</v>
      </c>
      <c r="AF557" t="s">
        <v>1562</v>
      </c>
      <c r="AG557" t="s">
        <v>66</v>
      </c>
      <c r="AH557" t="s">
        <v>66</v>
      </c>
      <c r="AI557" t="s">
        <v>66</v>
      </c>
      <c r="AJ557" t="s">
        <v>66</v>
      </c>
      <c r="AK557">
        <v>1</v>
      </c>
      <c r="AL557" t="s">
        <v>66</v>
      </c>
      <c r="AM557" t="s">
        <v>66</v>
      </c>
      <c r="AN557" t="s">
        <v>66</v>
      </c>
      <c r="AO557" t="s">
        <v>66</v>
      </c>
      <c r="AP557">
        <v>1</v>
      </c>
      <c r="AQ557" t="s">
        <v>66</v>
      </c>
      <c r="AR557" t="s">
        <v>66</v>
      </c>
      <c r="AS557" t="s">
        <v>66</v>
      </c>
      <c r="AT557" t="s">
        <v>66</v>
      </c>
    </row>
    <row r="558" spans="1:46" x14ac:dyDescent="0.15">
      <c r="A558" t="s">
        <v>1753</v>
      </c>
      <c r="B558" t="s">
        <v>1548</v>
      </c>
      <c r="C558" t="s">
        <v>1549</v>
      </c>
      <c r="D558">
        <v>40</v>
      </c>
      <c r="E558" t="s">
        <v>1550</v>
      </c>
      <c r="F558" t="s">
        <v>1551</v>
      </c>
      <c r="G558" t="s">
        <v>51</v>
      </c>
      <c r="H558" t="s">
        <v>1552</v>
      </c>
      <c r="I558" t="s">
        <v>1553</v>
      </c>
      <c r="J558" t="s">
        <v>1554</v>
      </c>
      <c r="K558" t="s">
        <v>1555</v>
      </c>
      <c r="L558" t="s">
        <v>18</v>
      </c>
      <c r="M558" t="s">
        <v>19</v>
      </c>
      <c r="N558">
        <v>2689</v>
      </c>
      <c r="O558">
        <v>150</v>
      </c>
      <c r="P558">
        <v>0</v>
      </c>
      <c r="Q558" t="s">
        <v>1754</v>
      </c>
      <c r="R558" t="s">
        <v>1755</v>
      </c>
      <c r="S558" t="s">
        <v>1756</v>
      </c>
      <c r="T558" t="s">
        <v>1757</v>
      </c>
      <c r="U558" t="s">
        <v>60</v>
      </c>
      <c r="V558" t="s">
        <v>61</v>
      </c>
      <c r="W558">
        <v>10</v>
      </c>
      <c r="X558">
        <v>0.13125000000000001</v>
      </c>
      <c r="Y558" t="s">
        <v>320</v>
      </c>
      <c r="Z558" t="s">
        <v>321</v>
      </c>
      <c r="AA558">
        <v>2</v>
      </c>
      <c r="AB558" t="s">
        <v>1558</v>
      </c>
      <c r="AC558" t="s">
        <v>1559</v>
      </c>
      <c r="AD558" t="s">
        <v>1560</v>
      </c>
      <c r="AE558" t="s">
        <v>1561</v>
      </c>
      <c r="AF558" t="s">
        <v>1562</v>
      </c>
      <c r="AG558" t="s">
        <v>66</v>
      </c>
      <c r="AH558" t="s">
        <v>66</v>
      </c>
      <c r="AI558" t="s">
        <v>66</v>
      </c>
      <c r="AJ558" t="s">
        <v>66</v>
      </c>
      <c r="AK558">
        <v>1</v>
      </c>
      <c r="AL558" t="s">
        <v>66</v>
      </c>
      <c r="AM558" t="s">
        <v>66</v>
      </c>
      <c r="AN558" t="s">
        <v>66</v>
      </c>
      <c r="AO558" t="s">
        <v>66</v>
      </c>
      <c r="AP558">
        <v>1</v>
      </c>
      <c r="AQ558" t="s">
        <v>66</v>
      </c>
      <c r="AR558" t="s">
        <v>66</v>
      </c>
      <c r="AS558" t="s">
        <v>66</v>
      </c>
      <c r="AT558" t="s">
        <v>66</v>
      </c>
    </row>
    <row r="559" spans="1:46" x14ac:dyDescent="0.15">
      <c r="A559" t="s">
        <v>1758</v>
      </c>
      <c r="B559" t="s">
        <v>1548</v>
      </c>
      <c r="C559" t="s">
        <v>1549</v>
      </c>
      <c r="D559">
        <v>41</v>
      </c>
      <c r="E559" t="s">
        <v>1550</v>
      </c>
      <c r="F559" t="s">
        <v>1551</v>
      </c>
      <c r="G559" t="s">
        <v>51</v>
      </c>
      <c r="H559" t="s">
        <v>1552</v>
      </c>
      <c r="I559" t="s">
        <v>1553</v>
      </c>
      <c r="J559" t="s">
        <v>1554</v>
      </c>
      <c r="K559" t="s">
        <v>1555</v>
      </c>
      <c r="L559" t="s">
        <v>18</v>
      </c>
      <c r="M559" t="s">
        <v>19</v>
      </c>
      <c r="N559">
        <v>2745</v>
      </c>
      <c r="O559">
        <v>153</v>
      </c>
      <c r="P559">
        <v>0</v>
      </c>
      <c r="Q559" t="s">
        <v>1759</v>
      </c>
      <c r="R559" t="s">
        <v>1760</v>
      </c>
      <c r="S559" t="s">
        <v>1761</v>
      </c>
      <c r="T559" t="s">
        <v>1762</v>
      </c>
      <c r="U559" t="s">
        <v>60</v>
      </c>
      <c r="V559" t="s">
        <v>61</v>
      </c>
      <c r="W559">
        <v>10</v>
      </c>
      <c r="X559">
        <v>0.13125000000000001</v>
      </c>
      <c r="Y559" t="s">
        <v>197</v>
      </c>
      <c r="Z559" t="s">
        <v>330</v>
      </c>
      <c r="AA559">
        <v>2</v>
      </c>
      <c r="AB559" t="s">
        <v>1558</v>
      </c>
      <c r="AC559" t="s">
        <v>1559</v>
      </c>
      <c r="AD559" t="s">
        <v>1560</v>
      </c>
      <c r="AE559" t="s">
        <v>1561</v>
      </c>
      <c r="AF559" t="s">
        <v>1562</v>
      </c>
      <c r="AG559" t="s">
        <v>66</v>
      </c>
      <c r="AH559" t="s">
        <v>66</v>
      </c>
      <c r="AI559" t="s">
        <v>66</v>
      </c>
      <c r="AJ559" t="s">
        <v>66</v>
      </c>
      <c r="AK559">
        <v>1</v>
      </c>
      <c r="AL559" t="s">
        <v>66</v>
      </c>
      <c r="AM559" t="s">
        <v>66</v>
      </c>
      <c r="AN559" t="s">
        <v>66</v>
      </c>
      <c r="AO559" t="s">
        <v>66</v>
      </c>
      <c r="AP559">
        <v>1</v>
      </c>
      <c r="AQ559" t="s">
        <v>66</v>
      </c>
      <c r="AR559" t="s">
        <v>66</v>
      </c>
      <c r="AS559" t="s">
        <v>66</v>
      </c>
      <c r="AT559" t="s">
        <v>66</v>
      </c>
    </row>
    <row r="560" spans="1:46" x14ac:dyDescent="0.15">
      <c r="A560" t="s">
        <v>1763</v>
      </c>
      <c r="B560" t="s">
        <v>1548</v>
      </c>
      <c r="C560" t="s">
        <v>1549</v>
      </c>
      <c r="D560">
        <v>42</v>
      </c>
      <c r="E560" t="s">
        <v>1550</v>
      </c>
      <c r="F560" t="s">
        <v>1551</v>
      </c>
      <c r="G560" t="s">
        <v>51</v>
      </c>
      <c r="H560" t="s">
        <v>1552</v>
      </c>
      <c r="I560" t="s">
        <v>1553</v>
      </c>
      <c r="J560" t="s">
        <v>1554</v>
      </c>
      <c r="K560" t="s">
        <v>1555</v>
      </c>
      <c r="L560" t="s">
        <v>18</v>
      </c>
      <c r="M560" t="s">
        <v>19</v>
      </c>
      <c r="N560">
        <v>2801</v>
      </c>
      <c r="O560">
        <v>156</v>
      </c>
      <c r="P560">
        <v>0</v>
      </c>
      <c r="Q560" t="s">
        <v>1764</v>
      </c>
      <c r="R560" t="s">
        <v>1765</v>
      </c>
      <c r="S560" t="s">
        <v>1766</v>
      </c>
      <c r="T560" t="s">
        <v>1767</v>
      </c>
      <c r="U560" t="s">
        <v>60</v>
      </c>
      <c r="V560" t="s">
        <v>61</v>
      </c>
      <c r="W560">
        <v>10</v>
      </c>
      <c r="X560">
        <v>0.13125000000000001</v>
      </c>
      <c r="Y560" t="s">
        <v>336</v>
      </c>
      <c r="Z560" t="s">
        <v>337</v>
      </c>
      <c r="AA560">
        <v>2</v>
      </c>
      <c r="AB560" t="s">
        <v>1558</v>
      </c>
      <c r="AC560" t="s">
        <v>1559</v>
      </c>
      <c r="AD560" t="s">
        <v>1560</v>
      </c>
      <c r="AE560" t="s">
        <v>1561</v>
      </c>
      <c r="AF560" t="s">
        <v>1562</v>
      </c>
      <c r="AG560" t="s">
        <v>66</v>
      </c>
      <c r="AH560" t="s">
        <v>66</v>
      </c>
      <c r="AI560" t="s">
        <v>66</v>
      </c>
      <c r="AJ560" t="s">
        <v>66</v>
      </c>
      <c r="AK560">
        <v>1</v>
      </c>
      <c r="AL560" t="s">
        <v>66</v>
      </c>
      <c r="AM560" t="s">
        <v>66</v>
      </c>
      <c r="AN560" t="s">
        <v>66</v>
      </c>
      <c r="AO560" t="s">
        <v>66</v>
      </c>
      <c r="AP560">
        <v>1</v>
      </c>
      <c r="AQ560" t="s">
        <v>66</v>
      </c>
      <c r="AR560" t="s">
        <v>66</v>
      </c>
      <c r="AS560" t="s">
        <v>66</v>
      </c>
      <c r="AT560" t="s">
        <v>66</v>
      </c>
    </row>
    <row r="561" spans="1:46" x14ac:dyDescent="0.15">
      <c r="A561" t="s">
        <v>1768</v>
      </c>
      <c r="B561" t="s">
        <v>1548</v>
      </c>
      <c r="C561" t="s">
        <v>1549</v>
      </c>
      <c r="D561">
        <v>43</v>
      </c>
      <c r="E561" t="s">
        <v>1550</v>
      </c>
      <c r="F561" t="s">
        <v>1551</v>
      </c>
      <c r="G561" t="s">
        <v>51</v>
      </c>
      <c r="H561" t="s">
        <v>1552</v>
      </c>
      <c r="I561" t="s">
        <v>1553</v>
      </c>
      <c r="J561" t="s">
        <v>1554</v>
      </c>
      <c r="K561" t="s">
        <v>1555</v>
      </c>
      <c r="L561" t="s">
        <v>18</v>
      </c>
      <c r="M561" t="s">
        <v>19</v>
      </c>
      <c r="N561">
        <v>2857</v>
      </c>
      <c r="O561">
        <v>159</v>
      </c>
      <c r="P561">
        <v>0</v>
      </c>
      <c r="Q561" t="s">
        <v>1769</v>
      </c>
      <c r="R561" t="s">
        <v>1770</v>
      </c>
      <c r="S561" t="s">
        <v>1771</v>
      </c>
      <c r="T561" t="s">
        <v>1772</v>
      </c>
      <c r="U561" t="s">
        <v>60</v>
      </c>
      <c r="V561" t="s">
        <v>61</v>
      </c>
      <c r="W561">
        <v>10</v>
      </c>
      <c r="X561">
        <v>0.13125000000000001</v>
      </c>
      <c r="Y561" t="s">
        <v>204</v>
      </c>
      <c r="Z561" t="s">
        <v>343</v>
      </c>
      <c r="AA561">
        <v>2</v>
      </c>
      <c r="AB561" t="s">
        <v>1558</v>
      </c>
      <c r="AC561" t="s">
        <v>1559</v>
      </c>
      <c r="AD561" t="s">
        <v>1560</v>
      </c>
      <c r="AE561" t="s">
        <v>1561</v>
      </c>
      <c r="AF561" t="s">
        <v>1562</v>
      </c>
      <c r="AG561" t="s">
        <v>66</v>
      </c>
      <c r="AH561" t="s">
        <v>66</v>
      </c>
      <c r="AI561" t="s">
        <v>66</v>
      </c>
      <c r="AJ561" t="s">
        <v>66</v>
      </c>
      <c r="AK561">
        <v>1</v>
      </c>
      <c r="AL561" t="s">
        <v>66</v>
      </c>
      <c r="AM561" t="s">
        <v>66</v>
      </c>
      <c r="AN561" t="s">
        <v>66</v>
      </c>
      <c r="AO561" t="s">
        <v>66</v>
      </c>
      <c r="AP561">
        <v>1</v>
      </c>
      <c r="AQ561" t="s">
        <v>66</v>
      </c>
      <c r="AR561" t="s">
        <v>66</v>
      </c>
      <c r="AS561" t="s">
        <v>66</v>
      </c>
      <c r="AT561" t="s">
        <v>66</v>
      </c>
    </row>
    <row r="562" spans="1:46" x14ac:dyDescent="0.15">
      <c r="A562" t="s">
        <v>1773</v>
      </c>
      <c r="B562" t="s">
        <v>1548</v>
      </c>
      <c r="C562" t="s">
        <v>1549</v>
      </c>
      <c r="D562">
        <v>44</v>
      </c>
      <c r="E562" t="s">
        <v>1550</v>
      </c>
      <c r="F562" t="s">
        <v>1551</v>
      </c>
      <c r="G562" t="s">
        <v>51</v>
      </c>
      <c r="H562" t="s">
        <v>1552</v>
      </c>
      <c r="I562" t="s">
        <v>1553</v>
      </c>
      <c r="J562" t="s">
        <v>1554</v>
      </c>
      <c r="K562" t="s">
        <v>1555</v>
      </c>
      <c r="L562" t="s">
        <v>18</v>
      </c>
      <c r="M562" t="s">
        <v>19</v>
      </c>
      <c r="N562">
        <v>2913</v>
      </c>
      <c r="O562">
        <v>162</v>
      </c>
      <c r="P562">
        <v>0</v>
      </c>
      <c r="Q562" t="s">
        <v>1774</v>
      </c>
      <c r="R562" t="s">
        <v>1775</v>
      </c>
      <c r="S562" t="s">
        <v>1776</v>
      </c>
      <c r="T562" t="s">
        <v>1777</v>
      </c>
      <c r="U562" t="s">
        <v>60</v>
      </c>
      <c r="V562" t="s">
        <v>61</v>
      </c>
      <c r="W562">
        <v>10</v>
      </c>
      <c r="X562">
        <v>0.13125000000000001</v>
      </c>
      <c r="Y562" t="s">
        <v>349</v>
      </c>
      <c r="Z562" t="s">
        <v>350</v>
      </c>
      <c r="AA562">
        <v>2</v>
      </c>
      <c r="AB562" t="s">
        <v>1558</v>
      </c>
      <c r="AC562" t="s">
        <v>1559</v>
      </c>
      <c r="AD562" t="s">
        <v>1560</v>
      </c>
      <c r="AE562" t="s">
        <v>1561</v>
      </c>
      <c r="AF562" t="s">
        <v>1562</v>
      </c>
      <c r="AG562" t="s">
        <v>66</v>
      </c>
      <c r="AH562" t="s">
        <v>66</v>
      </c>
      <c r="AI562" t="s">
        <v>66</v>
      </c>
      <c r="AJ562" t="s">
        <v>66</v>
      </c>
      <c r="AK562">
        <v>1</v>
      </c>
      <c r="AL562" t="s">
        <v>66</v>
      </c>
      <c r="AM562" t="s">
        <v>66</v>
      </c>
      <c r="AN562" t="s">
        <v>66</v>
      </c>
      <c r="AO562" t="s">
        <v>66</v>
      </c>
      <c r="AP562">
        <v>1</v>
      </c>
      <c r="AQ562" t="s">
        <v>66</v>
      </c>
      <c r="AR562" t="s">
        <v>66</v>
      </c>
      <c r="AS562" t="s">
        <v>66</v>
      </c>
      <c r="AT562" t="s">
        <v>66</v>
      </c>
    </row>
    <row r="563" spans="1:46" x14ac:dyDescent="0.15">
      <c r="A563" t="s">
        <v>1778</v>
      </c>
      <c r="B563" t="s">
        <v>1548</v>
      </c>
      <c r="C563" t="s">
        <v>1549</v>
      </c>
      <c r="D563">
        <v>45</v>
      </c>
      <c r="E563" t="s">
        <v>1550</v>
      </c>
      <c r="F563" t="s">
        <v>1551</v>
      </c>
      <c r="G563" t="s">
        <v>51</v>
      </c>
      <c r="H563" t="s">
        <v>1552</v>
      </c>
      <c r="I563" t="s">
        <v>1553</v>
      </c>
      <c r="J563" t="s">
        <v>1554</v>
      </c>
      <c r="K563" t="s">
        <v>1555</v>
      </c>
      <c r="L563" t="s">
        <v>18</v>
      </c>
      <c r="M563" t="s">
        <v>19</v>
      </c>
      <c r="N563">
        <v>2969</v>
      </c>
      <c r="O563">
        <v>165</v>
      </c>
      <c r="P563">
        <v>0</v>
      </c>
      <c r="Q563" t="s">
        <v>1779</v>
      </c>
      <c r="R563" t="s">
        <v>1780</v>
      </c>
      <c r="S563" t="s">
        <v>1781</v>
      </c>
      <c r="T563" t="s">
        <v>1782</v>
      </c>
      <c r="U563" t="s">
        <v>60</v>
      </c>
      <c r="V563" t="s">
        <v>61</v>
      </c>
      <c r="W563">
        <v>10</v>
      </c>
      <c r="X563">
        <v>0.13125000000000001</v>
      </c>
      <c r="Y563" t="s">
        <v>210</v>
      </c>
      <c r="Z563" t="s">
        <v>356</v>
      </c>
      <c r="AA563">
        <v>2</v>
      </c>
      <c r="AB563" t="s">
        <v>1558</v>
      </c>
      <c r="AC563" t="s">
        <v>1559</v>
      </c>
      <c r="AD563" t="s">
        <v>1560</v>
      </c>
      <c r="AE563" t="s">
        <v>1561</v>
      </c>
      <c r="AF563" t="s">
        <v>1562</v>
      </c>
      <c r="AG563" t="s">
        <v>66</v>
      </c>
      <c r="AH563" t="s">
        <v>66</v>
      </c>
      <c r="AI563" t="s">
        <v>66</v>
      </c>
      <c r="AJ563" t="s">
        <v>66</v>
      </c>
      <c r="AK563">
        <v>1</v>
      </c>
      <c r="AL563" t="s">
        <v>66</v>
      </c>
      <c r="AM563" t="s">
        <v>66</v>
      </c>
      <c r="AN563" t="s">
        <v>66</v>
      </c>
      <c r="AO563" t="s">
        <v>66</v>
      </c>
      <c r="AP563">
        <v>1</v>
      </c>
      <c r="AQ563" t="s">
        <v>66</v>
      </c>
      <c r="AR563" t="s">
        <v>66</v>
      </c>
      <c r="AS563" t="s">
        <v>66</v>
      </c>
      <c r="AT563" t="s">
        <v>66</v>
      </c>
    </row>
    <row r="564" spans="1:46" x14ac:dyDescent="0.15">
      <c r="A564" t="s">
        <v>1783</v>
      </c>
      <c r="B564" t="s">
        <v>1548</v>
      </c>
      <c r="C564" t="s">
        <v>1549</v>
      </c>
      <c r="D564">
        <v>46</v>
      </c>
      <c r="E564" t="s">
        <v>1550</v>
      </c>
      <c r="F564" t="s">
        <v>1551</v>
      </c>
      <c r="G564" t="s">
        <v>51</v>
      </c>
      <c r="H564" t="s">
        <v>1552</v>
      </c>
      <c r="I564" t="s">
        <v>1553</v>
      </c>
      <c r="J564" t="s">
        <v>1554</v>
      </c>
      <c r="K564" t="s">
        <v>1555</v>
      </c>
      <c r="L564" t="s">
        <v>18</v>
      </c>
      <c r="M564" t="s">
        <v>19</v>
      </c>
      <c r="N564">
        <v>3026</v>
      </c>
      <c r="O564">
        <v>168</v>
      </c>
      <c r="P564">
        <v>0</v>
      </c>
      <c r="Q564" t="s">
        <v>1784</v>
      </c>
      <c r="R564" t="s">
        <v>1785</v>
      </c>
      <c r="S564" t="s">
        <v>1786</v>
      </c>
      <c r="T564" t="s">
        <v>1787</v>
      </c>
      <c r="U564" t="s">
        <v>60</v>
      </c>
      <c r="V564" t="s">
        <v>61</v>
      </c>
      <c r="W564">
        <v>10</v>
      </c>
      <c r="X564">
        <v>0.13125000000000001</v>
      </c>
      <c r="Y564" t="s">
        <v>362</v>
      </c>
      <c r="Z564" t="s">
        <v>363</v>
      </c>
      <c r="AA564">
        <v>2</v>
      </c>
      <c r="AB564" t="s">
        <v>1558</v>
      </c>
      <c r="AC564" t="s">
        <v>1559</v>
      </c>
      <c r="AD564" t="s">
        <v>1560</v>
      </c>
      <c r="AE564" t="s">
        <v>1561</v>
      </c>
      <c r="AF564" t="s">
        <v>1562</v>
      </c>
      <c r="AG564" t="s">
        <v>66</v>
      </c>
      <c r="AH564" t="s">
        <v>66</v>
      </c>
      <c r="AI564" t="s">
        <v>66</v>
      </c>
      <c r="AJ564" t="s">
        <v>66</v>
      </c>
      <c r="AK564">
        <v>1</v>
      </c>
      <c r="AL564" t="s">
        <v>66</v>
      </c>
      <c r="AM564" t="s">
        <v>66</v>
      </c>
      <c r="AN564" t="s">
        <v>66</v>
      </c>
      <c r="AO564" t="s">
        <v>66</v>
      </c>
      <c r="AP564">
        <v>1</v>
      </c>
      <c r="AQ564" t="s">
        <v>66</v>
      </c>
      <c r="AR564" t="s">
        <v>66</v>
      </c>
      <c r="AS564" t="s">
        <v>66</v>
      </c>
      <c r="AT564" t="s">
        <v>66</v>
      </c>
    </row>
    <row r="565" spans="1:46" x14ac:dyDescent="0.15">
      <c r="A565" t="s">
        <v>1788</v>
      </c>
      <c r="B565" t="s">
        <v>1548</v>
      </c>
      <c r="C565" t="s">
        <v>1549</v>
      </c>
      <c r="D565">
        <v>47</v>
      </c>
      <c r="E565" t="s">
        <v>1550</v>
      </c>
      <c r="F565" t="s">
        <v>1551</v>
      </c>
      <c r="G565" t="s">
        <v>51</v>
      </c>
      <c r="H565" t="s">
        <v>1552</v>
      </c>
      <c r="I565" t="s">
        <v>1553</v>
      </c>
      <c r="J565" t="s">
        <v>1554</v>
      </c>
      <c r="K565" t="s">
        <v>1555</v>
      </c>
      <c r="L565" t="s">
        <v>18</v>
      </c>
      <c r="M565" t="s">
        <v>19</v>
      </c>
      <c r="N565">
        <v>3082</v>
      </c>
      <c r="O565">
        <v>171</v>
      </c>
      <c r="P565">
        <v>0</v>
      </c>
      <c r="Q565" t="s">
        <v>1789</v>
      </c>
      <c r="R565" t="s">
        <v>1790</v>
      </c>
      <c r="S565" t="s">
        <v>1791</v>
      </c>
      <c r="T565" t="s">
        <v>1792</v>
      </c>
      <c r="U565" t="s">
        <v>60</v>
      </c>
      <c r="V565" t="s">
        <v>61</v>
      </c>
      <c r="W565">
        <v>10</v>
      </c>
      <c r="X565">
        <v>0.13125000000000001</v>
      </c>
      <c r="Y565" t="s">
        <v>217</v>
      </c>
      <c r="Z565" t="s">
        <v>369</v>
      </c>
      <c r="AA565">
        <v>2</v>
      </c>
      <c r="AB565" t="s">
        <v>1558</v>
      </c>
      <c r="AC565" t="s">
        <v>1559</v>
      </c>
      <c r="AD565" t="s">
        <v>1560</v>
      </c>
      <c r="AE565" t="s">
        <v>1561</v>
      </c>
      <c r="AF565" t="s">
        <v>1562</v>
      </c>
      <c r="AG565" t="s">
        <v>66</v>
      </c>
      <c r="AH565" t="s">
        <v>66</v>
      </c>
      <c r="AI565" t="s">
        <v>66</v>
      </c>
      <c r="AJ565" t="s">
        <v>66</v>
      </c>
      <c r="AK565">
        <v>1</v>
      </c>
      <c r="AL565" t="s">
        <v>66</v>
      </c>
      <c r="AM565" t="s">
        <v>66</v>
      </c>
      <c r="AN565" t="s">
        <v>66</v>
      </c>
      <c r="AO565" t="s">
        <v>66</v>
      </c>
      <c r="AP565">
        <v>1</v>
      </c>
      <c r="AQ565" t="s">
        <v>66</v>
      </c>
      <c r="AR565" t="s">
        <v>66</v>
      </c>
      <c r="AS565" t="s">
        <v>66</v>
      </c>
      <c r="AT565" t="s">
        <v>66</v>
      </c>
    </row>
    <row r="566" spans="1:46" x14ac:dyDescent="0.15">
      <c r="A566" t="s">
        <v>1793</v>
      </c>
      <c r="B566" t="s">
        <v>1548</v>
      </c>
      <c r="C566" t="s">
        <v>1549</v>
      </c>
      <c r="D566">
        <v>48</v>
      </c>
      <c r="E566" t="s">
        <v>1550</v>
      </c>
      <c r="F566" t="s">
        <v>1551</v>
      </c>
      <c r="G566" t="s">
        <v>51</v>
      </c>
      <c r="H566" t="s">
        <v>1552</v>
      </c>
      <c r="I566" t="s">
        <v>1553</v>
      </c>
      <c r="J566" t="s">
        <v>1554</v>
      </c>
      <c r="K566" t="s">
        <v>1555</v>
      </c>
      <c r="L566" t="s">
        <v>18</v>
      </c>
      <c r="M566" t="s">
        <v>19</v>
      </c>
      <c r="N566">
        <v>3138</v>
      </c>
      <c r="O566">
        <v>174</v>
      </c>
      <c r="P566">
        <v>0</v>
      </c>
      <c r="Q566" t="s">
        <v>1794</v>
      </c>
      <c r="R566" t="s">
        <v>1795</v>
      </c>
      <c r="S566" t="s">
        <v>1796</v>
      </c>
      <c r="T566" t="s">
        <v>1797</v>
      </c>
      <c r="U566" t="s">
        <v>60</v>
      </c>
      <c r="V566" t="s">
        <v>61</v>
      </c>
      <c r="W566">
        <v>10</v>
      </c>
      <c r="X566">
        <v>0.13125000000000001</v>
      </c>
      <c r="Y566" t="s">
        <v>375</v>
      </c>
      <c r="Z566" t="s">
        <v>376</v>
      </c>
      <c r="AA566">
        <v>2</v>
      </c>
      <c r="AB566" t="s">
        <v>1558</v>
      </c>
      <c r="AC566" t="s">
        <v>1559</v>
      </c>
      <c r="AD566" t="s">
        <v>1560</v>
      </c>
      <c r="AE566" t="s">
        <v>1561</v>
      </c>
      <c r="AF566" t="s">
        <v>1562</v>
      </c>
      <c r="AG566" t="s">
        <v>66</v>
      </c>
      <c r="AH566" t="s">
        <v>66</v>
      </c>
      <c r="AI566" t="s">
        <v>66</v>
      </c>
      <c r="AJ566" t="s">
        <v>66</v>
      </c>
      <c r="AK566">
        <v>1</v>
      </c>
      <c r="AL566" t="s">
        <v>66</v>
      </c>
      <c r="AM566" t="s">
        <v>66</v>
      </c>
      <c r="AN566" t="s">
        <v>66</v>
      </c>
      <c r="AO566" t="s">
        <v>66</v>
      </c>
      <c r="AP566">
        <v>1</v>
      </c>
      <c r="AQ566" t="s">
        <v>66</v>
      </c>
      <c r="AR566" t="s">
        <v>66</v>
      </c>
      <c r="AS566" t="s">
        <v>66</v>
      </c>
      <c r="AT566" t="s">
        <v>66</v>
      </c>
    </row>
    <row r="567" spans="1:46" x14ac:dyDescent="0.15">
      <c r="A567" t="s">
        <v>1798</v>
      </c>
      <c r="B567" t="s">
        <v>1548</v>
      </c>
      <c r="C567" t="s">
        <v>1549</v>
      </c>
      <c r="D567">
        <v>49</v>
      </c>
      <c r="E567" t="s">
        <v>1550</v>
      </c>
      <c r="F567" t="s">
        <v>1551</v>
      </c>
      <c r="G567" t="s">
        <v>51</v>
      </c>
      <c r="H567" t="s">
        <v>1552</v>
      </c>
      <c r="I567" t="s">
        <v>1553</v>
      </c>
      <c r="J567" t="s">
        <v>1554</v>
      </c>
      <c r="K567" t="s">
        <v>1555</v>
      </c>
      <c r="L567" t="s">
        <v>18</v>
      </c>
      <c r="M567" t="s">
        <v>19</v>
      </c>
      <c r="N567">
        <v>3194</v>
      </c>
      <c r="O567">
        <v>177</v>
      </c>
      <c r="P567">
        <v>0</v>
      </c>
      <c r="Q567" t="s">
        <v>1799</v>
      </c>
      <c r="R567" t="s">
        <v>1800</v>
      </c>
      <c r="S567" t="s">
        <v>1801</v>
      </c>
      <c r="T567" t="s">
        <v>1802</v>
      </c>
      <c r="U567" t="s">
        <v>60</v>
      </c>
      <c r="V567" t="s">
        <v>61</v>
      </c>
      <c r="W567">
        <v>10</v>
      </c>
      <c r="X567">
        <v>0.13125000000000001</v>
      </c>
      <c r="Y567" t="s">
        <v>223</v>
      </c>
      <c r="Z567" t="s">
        <v>382</v>
      </c>
      <c r="AA567">
        <v>2</v>
      </c>
      <c r="AB567" t="s">
        <v>1558</v>
      </c>
      <c r="AC567" t="s">
        <v>1559</v>
      </c>
      <c r="AD567" t="s">
        <v>1560</v>
      </c>
      <c r="AE567" t="s">
        <v>1561</v>
      </c>
      <c r="AF567" t="s">
        <v>1562</v>
      </c>
      <c r="AG567" t="s">
        <v>66</v>
      </c>
      <c r="AH567" t="s">
        <v>66</v>
      </c>
      <c r="AI567" t="s">
        <v>66</v>
      </c>
      <c r="AJ567" t="s">
        <v>66</v>
      </c>
      <c r="AK567">
        <v>1</v>
      </c>
      <c r="AL567" t="s">
        <v>66</v>
      </c>
      <c r="AM567" t="s">
        <v>66</v>
      </c>
      <c r="AN567" t="s">
        <v>66</v>
      </c>
      <c r="AO567" t="s">
        <v>66</v>
      </c>
      <c r="AP567">
        <v>1</v>
      </c>
      <c r="AQ567" t="s">
        <v>66</v>
      </c>
      <c r="AR567" t="s">
        <v>66</v>
      </c>
      <c r="AS567" t="s">
        <v>66</v>
      </c>
      <c r="AT567" t="s">
        <v>66</v>
      </c>
    </row>
    <row r="568" spans="1:46" x14ac:dyDescent="0.15">
      <c r="A568" t="s">
        <v>1803</v>
      </c>
      <c r="B568" t="s">
        <v>1548</v>
      </c>
      <c r="C568" t="s">
        <v>1549</v>
      </c>
      <c r="D568">
        <v>50</v>
      </c>
      <c r="E568" t="s">
        <v>1550</v>
      </c>
      <c r="F568" t="s">
        <v>1551</v>
      </c>
      <c r="G568" t="s">
        <v>51</v>
      </c>
      <c r="H568" t="s">
        <v>1552</v>
      </c>
      <c r="I568" t="s">
        <v>1553</v>
      </c>
      <c r="J568" t="s">
        <v>1554</v>
      </c>
      <c r="K568" t="s">
        <v>1555</v>
      </c>
      <c r="L568" t="s">
        <v>18</v>
      </c>
      <c r="M568" t="s">
        <v>19</v>
      </c>
      <c r="N568">
        <v>3250</v>
      </c>
      <c r="O568">
        <v>180</v>
      </c>
      <c r="P568">
        <v>0</v>
      </c>
      <c r="Q568" t="s">
        <v>1804</v>
      </c>
      <c r="R568" t="s">
        <v>1805</v>
      </c>
      <c r="S568" t="s">
        <v>1806</v>
      </c>
      <c r="T568" t="s">
        <v>1807</v>
      </c>
      <c r="U568" t="s">
        <v>60</v>
      </c>
      <c r="V568" t="s">
        <v>61</v>
      </c>
      <c r="W568">
        <v>10</v>
      </c>
      <c r="X568">
        <v>0.13125000000000001</v>
      </c>
      <c r="Y568" t="s">
        <v>388</v>
      </c>
      <c r="Z568" t="s">
        <v>389</v>
      </c>
      <c r="AA568">
        <v>2</v>
      </c>
      <c r="AB568" t="s">
        <v>1558</v>
      </c>
      <c r="AC568" t="s">
        <v>1559</v>
      </c>
      <c r="AD568" t="s">
        <v>1560</v>
      </c>
      <c r="AE568" t="s">
        <v>1561</v>
      </c>
      <c r="AF568" t="s">
        <v>1562</v>
      </c>
      <c r="AG568" t="s">
        <v>66</v>
      </c>
      <c r="AH568" t="s">
        <v>66</v>
      </c>
      <c r="AI568" t="s">
        <v>66</v>
      </c>
      <c r="AJ568" t="s">
        <v>66</v>
      </c>
      <c r="AK568">
        <v>1</v>
      </c>
      <c r="AL568" t="s">
        <v>66</v>
      </c>
      <c r="AM568" t="s">
        <v>66</v>
      </c>
      <c r="AN568" t="s">
        <v>66</v>
      </c>
      <c r="AO568" t="s">
        <v>66</v>
      </c>
      <c r="AP568">
        <v>1</v>
      </c>
      <c r="AQ568" t="s">
        <v>66</v>
      </c>
      <c r="AR568" t="s">
        <v>66</v>
      </c>
      <c r="AS568" t="s">
        <v>66</v>
      </c>
      <c r="AT568" t="s">
        <v>66</v>
      </c>
    </row>
    <row r="569" spans="1:46" x14ac:dyDescent="0.15">
      <c r="A569" t="s">
        <v>1808</v>
      </c>
      <c r="B569" t="s">
        <v>1548</v>
      </c>
      <c r="C569" t="s">
        <v>1549</v>
      </c>
      <c r="D569">
        <v>51</v>
      </c>
      <c r="E569" t="s">
        <v>1550</v>
      </c>
      <c r="F569" t="s">
        <v>1551</v>
      </c>
      <c r="G569" t="s">
        <v>51</v>
      </c>
      <c r="H569" t="s">
        <v>1552</v>
      </c>
      <c r="I569" t="s">
        <v>1553</v>
      </c>
      <c r="J569" t="s">
        <v>1554</v>
      </c>
      <c r="K569" t="s">
        <v>1555</v>
      </c>
      <c r="L569" t="s">
        <v>18</v>
      </c>
      <c r="M569" t="s">
        <v>19</v>
      </c>
      <c r="N569">
        <v>3306</v>
      </c>
      <c r="O569">
        <v>183</v>
      </c>
      <c r="P569">
        <v>0</v>
      </c>
      <c r="Q569" t="s">
        <v>1809</v>
      </c>
      <c r="R569" t="s">
        <v>1810</v>
      </c>
      <c r="S569" t="s">
        <v>1811</v>
      </c>
      <c r="T569" t="s">
        <v>1812</v>
      </c>
      <c r="U569" t="s">
        <v>60</v>
      </c>
      <c r="V569" t="s">
        <v>61</v>
      </c>
      <c r="W569">
        <v>10</v>
      </c>
      <c r="X569">
        <v>0.13125000000000001</v>
      </c>
      <c r="Y569" t="s">
        <v>230</v>
      </c>
      <c r="Z569" t="s">
        <v>395</v>
      </c>
      <c r="AA569">
        <v>2</v>
      </c>
      <c r="AB569" t="s">
        <v>1558</v>
      </c>
      <c r="AC569" t="s">
        <v>1559</v>
      </c>
      <c r="AD569" t="s">
        <v>1560</v>
      </c>
      <c r="AE569" t="s">
        <v>1561</v>
      </c>
      <c r="AF569" t="s">
        <v>1562</v>
      </c>
      <c r="AG569" t="s">
        <v>66</v>
      </c>
      <c r="AH569" t="s">
        <v>66</v>
      </c>
      <c r="AI569" t="s">
        <v>66</v>
      </c>
      <c r="AJ569" t="s">
        <v>66</v>
      </c>
      <c r="AK569">
        <v>1</v>
      </c>
      <c r="AL569" t="s">
        <v>66</v>
      </c>
      <c r="AM569" t="s">
        <v>66</v>
      </c>
      <c r="AN569" t="s">
        <v>66</v>
      </c>
      <c r="AO569" t="s">
        <v>66</v>
      </c>
      <c r="AP569">
        <v>1</v>
      </c>
      <c r="AQ569" t="s">
        <v>66</v>
      </c>
      <c r="AR569" t="s">
        <v>66</v>
      </c>
      <c r="AS569" t="s">
        <v>66</v>
      </c>
      <c r="AT569" t="s">
        <v>66</v>
      </c>
    </row>
    <row r="570" spans="1:46" x14ac:dyDescent="0.15">
      <c r="A570" t="s">
        <v>1813</v>
      </c>
      <c r="B570" t="s">
        <v>1548</v>
      </c>
      <c r="C570" t="s">
        <v>1549</v>
      </c>
      <c r="D570">
        <v>52</v>
      </c>
      <c r="E570" t="s">
        <v>1550</v>
      </c>
      <c r="F570" t="s">
        <v>1551</v>
      </c>
      <c r="G570" t="s">
        <v>51</v>
      </c>
      <c r="H570" t="s">
        <v>1552</v>
      </c>
      <c r="I570" t="s">
        <v>1553</v>
      </c>
      <c r="J570" t="s">
        <v>1554</v>
      </c>
      <c r="K570" t="s">
        <v>1555</v>
      </c>
      <c r="L570" t="s">
        <v>18</v>
      </c>
      <c r="M570" t="s">
        <v>19</v>
      </c>
      <c r="N570">
        <v>3362</v>
      </c>
      <c r="O570">
        <v>186</v>
      </c>
      <c r="P570">
        <v>0</v>
      </c>
      <c r="Q570" t="s">
        <v>1814</v>
      </c>
      <c r="R570" t="s">
        <v>1815</v>
      </c>
      <c r="S570" t="s">
        <v>1816</v>
      </c>
      <c r="T570" t="s">
        <v>1817</v>
      </c>
      <c r="U570" t="s">
        <v>60</v>
      </c>
      <c r="V570" t="s">
        <v>61</v>
      </c>
      <c r="W570">
        <v>10</v>
      </c>
      <c r="X570">
        <v>0.13125000000000001</v>
      </c>
      <c r="Y570" t="s">
        <v>401</v>
      </c>
      <c r="Z570" t="s">
        <v>402</v>
      </c>
      <c r="AA570">
        <v>2</v>
      </c>
      <c r="AB570" t="s">
        <v>1558</v>
      </c>
      <c r="AC570" t="s">
        <v>1559</v>
      </c>
      <c r="AD570" t="s">
        <v>1560</v>
      </c>
      <c r="AE570" t="s">
        <v>1561</v>
      </c>
      <c r="AF570" t="s">
        <v>1562</v>
      </c>
      <c r="AG570" t="s">
        <v>66</v>
      </c>
      <c r="AH570" t="s">
        <v>66</v>
      </c>
      <c r="AI570" t="s">
        <v>66</v>
      </c>
      <c r="AJ570" t="s">
        <v>66</v>
      </c>
      <c r="AK570">
        <v>1</v>
      </c>
      <c r="AL570" t="s">
        <v>66</v>
      </c>
      <c r="AM570" t="s">
        <v>66</v>
      </c>
      <c r="AN570" t="s">
        <v>66</v>
      </c>
      <c r="AO570" t="s">
        <v>66</v>
      </c>
      <c r="AP570">
        <v>1</v>
      </c>
      <c r="AQ570" t="s">
        <v>66</v>
      </c>
      <c r="AR570" t="s">
        <v>66</v>
      </c>
      <c r="AS570" t="s">
        <v>66</v>
      </c>
      <c r="AT570" t="s">
        <v>66</v>
      </c>
    </row>
    <row r="571" spans="1:46" x14ac:dyDescent="0.15">
      <c r="A571" t="s">
        <v>1818</v>
      </c>
      <c r="B571" t="s">
        <v>1548</v>
      </c>
      <c r="C571" t="s">
        <v>1549</v>
      </c>
      <c r="D571">
        <v>53</v>
      </c>
      <c r="E571" t="s">
        <v>1550</v>
      </c>
      <c r="F571" t="s">
        <v>1551</v>
      </c>
      <c r="G571" t="s">
        <v>51</v>
      </c>
      <c r="H571" t="s">
        <v>1552</v>
      </c>
      <c r="I571" t="s">
        <v>1553</v>
      </c>
      <c r="J571" t="s">
        <v>1554</v>
      </c>
      <c r="K571" t="s">
        <v>1555</v>
      </c>
      <c r="L571" t="s">
        <v>18</v>
      </c>
      <c r="M571" t="s">
        <v>19</v>
      </c>
      <c r="N571">
        <v>3418</v>
      </c>
      <c r="O571">
        <v>189</v>
      </c>
      <c r="P571">
        <v>0</v>
      </c>
      <c r="Q571" t="s">
        <v>1819</v>
      </c>
      <c r="R571" t="s">
        <v>1820</v>
      </c>
      <c r="S571" t="s">
        <v>1821</v>
      </c>
      <c r="T571" t="s">
        <v>1822</v>
      </c>
      <c r="U571" t="s">
        <v>60</v>
      </c>
      <c r="V571" t="s">
        <v>61</v>
      </c>
      <c r="W571">
        <v>10</v>
      </c>
      <c r="X571">
        <v>0.13125000000000001</v>
      </c>
      <c r="Y571" t="s">
        <v>236</v>
      </c>
      <c r="Z571" t="s">
        <v>408</v>
      </c>
      <c r="AA571">
        <v>2</v>
      </c>
      <c r="AB571" t="s">
        <v>1558</v>
      </c>
      <c r="AC571" t="s">
        <v>1559</v>
      </c>
      <c r="AD571" t="s">
        <v>1560</v>
      </c>
      <c r="AE571" t="s">
        <v>1561</v>
      </c>
      <c r="AF571" t="s">
        <v>1562</v>
      </c>
      <c r="AG571" t="s">
        <v>66</v>
      </c>
      <c r="AH571" t="s">
        <v>66</v>
      </c>
      <c r="AI571" t="s">
        <v>66</v>
      </c>
      <c r="AJ571" t="s">
        <v>66</v>
      </c>
      <c r="AK571">
        <v>1</v>
      </c>
      <c r="AL571" t="s">
        <v>66</v>
      </c>
      <c r="AM571" t="s">
        <v>66</v>
      </c>
      <c r="AN571" t="s">
        <v>66</v>
      </c>
      <c r="AO571" t="s">
        <v>66</v>
      </c>
      <c r="AP571">
        <v>1</v>
      </c>
      <c r="AQ571" t="s">
        <v>66</v>
      </c>
      <c r="AR571" t="s">
        <v>66</v>
      </c>
      <c r="AS571" t="s">
        <v>66</v>
      </c>
      <c r="AT571" t="s">
        <v>66</v>
      </c>
    </row>
    <row r="572" spans="1:46" x14ac:dyDescent="0.15">
      <c r="A572" t="s">
        <v>1823</v>
      </c>
      <c r="B572" t="s">
        <v>1548</v>
      </c>
      <c r="C572" t="s">
        <v>1549</v>
      </c>
      <c r="D572">
        <v>54</v>
      </c>
      <c r="E572" t="s">
        <v>1550</v>
      </c>
      <c r="F572" t="s">
        <v>1551</v>
      </c>
      <c r="G572" t="s">
        <v>51</v>
      </c>
      <c r="H572" t="s">
        <v>1552</v>
      </c>
      <c r="I572" t="s">
        <v>1553</v>
      </c>
      <c r="J572" t="s">
        <v>1554</v>
      </c>
      <c r="K572" t="s">
        <v>1555</v>
      </c>
      <c r="L572" t="s">
        <v>18</v>
      </c>
      <c r="M572" t="s">
        <v>19</v>
      </c>
      <c r="N572">
        <v>3474</v>
      </c>
      <c r="O572">
        <v>193</v>
      </c>
      <c r="P572">
        <v>0</v>
      </c>
      <c r="Q572" t="s">
        <v>1824</v>
      </c>
      <c r="R572" t="s">
        <v>1825</v>
      </c>
      <c r="S572" t="s">
        <v>1826</v>
      </c>
      <c r="T572" t="s">
        <v>1827</v>
      </c>
      <c r="U572" t="s">
        <v>60</v>
      </c>
      <c r="V572" t="s">
        <v>61</v>
      </c>
      <c r="W572">
        <v>10</v>
      </c>
      <c r="X572">
        <v>0.13125000000000001</v>
      </c>
      <c r="Y572" t="s">
        <v>414</v>
      </c>
      <c r="Z572" t="s">
        <v>415</v>
      </c>
      <c r="AA572">
        <v>2</v>
      </c>
      <c r="AB572" t="s">
        <v>1558</v>
      </c>
      <c r="AC572" t="s">
        <v>1559</v>
      </c>
      <c r="AD572" t="s">
        <v>1560</v>
      </c>
      <c r="AE572" t="s">
        <v>1561</v>
      </c>
      <c r="AF572" t="s">
        <v>1562</v>
      </c>
      <c r="AG572" t="s">
        <v>66</v>
      </c>
      <c r="AH572" t="s">
        <v>66</v>
      </c>
      <c r="AI572" t="s">
        <v>66</v>
      </c>
      <c r="AJ572" t="s">
        <v>66</v>
      </c>
      <c r="AK572">
        <v>1</v>
      </c>
      <c r="AL572" t="s">
        <v>66</v>
      </c>
      <c r="AM572" t="s">
        <v>66</v>
      </c>
      <c r="AN572" t="s">
        <v>66</v>
      </c>
      <c r="AO572" t="s">
        <v>66</v>
      </c>
      <c r="AP572">
        <v>1</v>
      </c>
      <c r="AQ572" t="s">
        <v>66</v>
      </c>
      <c r="AR572" t="s">
        <v>66</v>
      </c>
      <c r="AS572" t="s">
        <v>66</v>
      </c>
      <c r="AT572" t="s">
        <v>66</v>
      </c>
    </row>
    <row r="573" spans="1:46" x14ac:dyDescent="0.15">
      <c r="A573" t="s">
        <v>1828</v>
      </c>
      <c r="B573" t="s">
        <v>1548</v>
      </c>
      <c r="C573" t="s">
        <v>1549</v>
      </c>
      <c r="D573">
        <v>55</v>
      </c>
      <c r="E573" t="s">
        <v>1550</v>
      </c>
      <c r="F573" t="s">
        <v>1551</v>
      </c>
      <c r="G573" t="s">
        <v>51</v>
      </c>
      <c r="H573" t="s">
        <v>1552</v>
      </c>
      <c r="I573" t="s">
        <v>1553</v>
      </c>
      <c r="J573" t="s">
        <v>1554</v>
      </c>
      <c r="K573" t="s">
        <v>1555</v>
      </c>
      <c r="L573" t="s">
        <v>18</v>
      </c>
      <c r="M573" t="s">
        <v>19</v>
      </c>
      <c r="N573">
        <v>3531</v>
      </c>
      <c r="O573">
        <v>196</v>
      </c>
      <c r="P573">
        <v>0</v>
      </c>
      <c r="Q573" t="s">
        <v>1829</v>
      </c>
      <c r="R573" t="s">
        <v>1830</v>
      </c>
      <c r="S573" t="s">
        <v>1831</v>
      </c>
      <c r="T573" t="s">
        <v>1832</v>
      </c>
      <c r="U573" t="s">
        <v>60</v>
      </c>
      <c r="V573" t="s">
        <v>61</v>
      </c>
      <c r="W573">
        <v>10</v>
      </c>
      <c r="X573">
        <v>0.13125000000000001</v>
      </c>
      <c r="Y573" t="s">
        <v>243</v>
      </c>
      <c r="Z573" t="s">
        <v>421</v>
      </c>
      <c r="AA573">
        <v>2</v>
      </c>
      <c r="AB573" t="s">
        <v>1558</v>
      </c>
      <c r="AC573" t="s">
        <v>1559</v>
      </c>
      <c r="AD573" t="s">
        <v>1560</v>
      </c>
      <c r="AE573" t="s">
        <v>1561</v>
      </c>
      <c r="AF573" t="s">
        <v>1562</v>
      </c>
      <c r="AG573" t="s">
        <v>66</v>
      </c>
      <c r="AH573" t="s">
        <v>66</v>
      </c>
      <c r="AI573" t="s">
        <v>66</v>
      </c>
      <c r="AJ573" t="s">
        <v>66</v>
      </c>
      <c r="AK573">
        <v>1</v>
      </c>
      <c r="AL573" t="s">
        <v>66</v>
      </c>
      <c r="AM573" t="s">
        <v>66</v>
      </c>
      <c r="AN573" t="s">
        <v>66</v>
      </c>
      <c r="AO573" t="s">
        <v>66</v>
      </c>
      <c r="AP573">
        <v>1</v>
      </c>
      <c r="AQ573" t="s">
        <v>66</v>
      </c>
      <c r="AR573" t="s">
        <v>66</v>
      </c>
      <c r="AS573" t="s">
        <v>66</v>
      </c>
      <c r="AT573" t="s">
        <v>66</v>
      </c>
    </row>
    <row r="574" spans="1:46" x14ac:dyDescent="0.15">
      <c r="A574" t="s">
        <v>1833</v>
      </c>
      <c r="B574" t="s">
        <v>1548</v>
      </c>
      <c r="C574" t="s">
        <v>1549</v>
      </c>
      <c r="D574">
        <v>56</v>
      </c>
      <c r="E574" t="s">
        <v>1550</v>
      </c>
      <c r="F574" t="s">
        <v>1551</v>
      </c>
      <c r="G574" t="s">
        <v>51</v>
      </c>
      <c r="H574" t="s">
        <v>1552</v>
      </c>
      <c r="I574" t="s">
        <v>1553</v>
      </c>
      <c r="J574" t="s">
        <v>1554</v>
      </c>
      <c r="K574" t="s">
        <v>1555</v>
      </c>
      <c r="L574" t="s">
        <v>18</v>
      </c>
      <c r="M574" t="s">
        <v>19</v>
      </c>
      <c r="N574">
        <v>3587</v>
      </c>
      <c r="O574">
        <v>199</v>
      </c>
      <c r="P574">
        <v>0</v>
      </c>
      <c r="Q574" t="s">
        <v>1834</v>
      </c>
      <c r="R574" t="s">
        <v>1835</v>
      </c>
      <c r="S574" t="s">
        <v>1836</v>
      </c>
      <c r="T574" t="s">
        <v>1837</v>
      </c>
      <c r="U574" t="s">
        <v>60</v>
      </c>
      <c r="V574" t="s">
        <v>61</v>
      </c>
      <c r="W574">
        <v>10</v>
      </c>
      <c r="X574">
        <v>0.13125000000000001</v>
      </c>
      <c r="Y574" t="s">
        <v>427</v>
      </c>
      <c r="Z574" t="s">
        <v>428</v>
      </c>
      <c r="AA574">
        <v>2</v>
      </c>
      <c r="AB574" t="s">
        <v>1558</v>
      </c>
      <c r="AC574" t="s">
        <v>1559</v>
      </c>
      <c r="AD574" t="s">
        <v>1560</v>
      </c>
      <c r="AE574" t="s">
        <v>1561</v>
      </c>
      <c r="AF574" t="s">
        <v>1562</v>
      </c>
      <c r="AG574" t="s">
        <v>66</v>
      </c>
      <c r="AH574" t="s">
        <v>66</v>
      </c>
      <c r="AI574" t="s">
        <v>66</v>
      </c>
      <c r="AJ574" t="s">
        <v>66</v>
      </c>
      <c r="AK574">
        <v>1</v>
      </c>
      <c r="AL574" t="s">
        <v>66</v>
      </c>
      <c r="AM574" t="s">
        <v>66</v>
      </c>
      <c r="AN574" t="s">
        <v>66</v>
      </c>
      <c r="AO574" t="s">
        <v>66</v>
      </c>
      <c r="AP574">
        <v>1</v>
      </c>
      <c r="AQ574" t="s">
        <v>66</v>
      </c>
      <c r="AR574" t="s">
        <v>66</v>
      </c>
      <c r="AS574" t="s">
        <v>66</v>
      </c>
      <c r="AT574" t="s">
        <v>66</v>
      </c>
    </row>
    <row r="575" spans="1:46" x14ac:dyDescent="0.15">
      <c r="A575" t="s">
        <v>1838</v>
      </c>
      <c r="B575" t="s">
        <v>1548</v>
      </c>
      <c r="C575" t="s">
        <v>1549</v>
      </c>
      <c r="D575">
        <v>57</v>
      </c>
      <c r="E575" t="s">
        <v>1550</v>
      </c>
      <c r="F575" t="s">
        <v>1551</v>
      </c>
      <c r="G575" t="s">
        <v>51</v>
      </c>
      <c r="H575" t="s">
        <v>1552</v>
      </c>
      <c r="I575" t="s">
        <v>1553</v>
      </c>
      <c r="J575" t="s">
        <v>1554</v>
      </c>
      <c r="K575" t="s">
        <v>1555</v>
      </c>
      <c r="L575" t="s">
        <v>18</v>
      </c>
      <c r="M575" t="s">
        <v>19</v>
      </c>
      <c r="N575">
        <v>3643</v>
      </c>
      <c r="O575">
        <v>202</v>
      </c>
      <c r="P575">
        <v>0</v>
      </c>
      <c r="Q575" t="s">
        <v>1839</v>
      </c>
      <c r="R575" t="s">
        <v>1840</v>
      </c>
      <c r="S575" t="s">
        <v>1841</v>
      </c>
      <c r="T575" t="s">
        <v>1842</v>
      </c>
      <c r="U575" t="s">
        <v>60</v>
      </c>
      <c r="V575" t="s">
        <v>61</v>
      </c>
      <c r="W575">
        <v>10</v>
      </c>
      <c r="X575">
        <v>0.13125000000000001</v>
      </c>
      <c r="Y575" t="s">
        <v>249</v>
      </c>
      <c r="Z575" t="s">
        <v>434</v>
      </c>
      <c r="AA575">
        <v>2</v>
      </c>
      <c r="AB575" t="s">
        <v>1558</v>
      </c>
      <c r="AC575" t="s">
        <v>1559</v>
      </c>
      <c r="AD575" t="s">
        <v>1560</v>
      </c>
      <c r="AE575" t="s">
        <v>1561</v>
      </c>
      <c r="AF575" t="s">
        <v>1562</v>
      </c>
      <c r="AG575" t="s">
        <v>66</v>
      </c>
      <c r="AH575" t="s">
        <v>66</v>
      </c>
      <c r="AI575" t="s">
        <v>66</v>
      </c>
      <c r="AJ575" t="s">
        <v>66</v>
      </c>
      <c r="AK575">
        <v>1</v>
      </c>
      <c r="AL575" t="s">
        <v>66</v>
      </c>
      <c r="AM575" t="s">
        <v>66</v>
      </c>
      <c r="AN575" t="s">
        <v>66</v>
      </c>
      <c r="AO575" t="s">
        <v>66</v>
      </c>
      <c r="AP575">
        <v>1</v>
      </c>
      <c r="AQ575" t="s">
        <v>66</v>
      </c>
      <c r="AR575" t="s">
        <v>66</v>
      </c>
      <c r="AS575" t="s">
        <v>66</v>
      </c>
      <c r="AT575" t="s">
        <v>66</v>
      </c>
    </row>
    <row r="576" spans="1:46" x14ac:dyDescent="0.15">
      <c r="A576" t="s">
        <v>1843</v>
      </c>
      <c r="B576" t="s">
        <v>1548</v>
      </c>
      <c r="C576" t="s">
        <v>1549</v>
      </c>
      <c r="D576">
        <v>58</v>
      </c>
      <c r="E576" t="s">
        <v>1550</v>
      </c>
      <c r="F576" t="s">
        <v>1551</v>
      </c>
      <c r="G576" t="s">
        <v>51</v>
      </c>
      <c r="H576" t="s">
        <v>1552</v>
      </c>
      <c r="I576" t="s">
        <v>1553</v>
      </c>
      <c r="J576" t="s">
        <v>1554</v>
      </c>
      <c r="K576" t="s">
        <v>1555</v>
      </c>
      <c r="L576" t="s">
        <v>18</v>
      </c>
      <c r="M576" t="s">
        <v>19</v>
      </c>
      <c r="N576">
        <v>3699</v>
      </c>
      <c r="O576">
        <v>205</v>
      </c>
      <c r="P576">
        <v>0</v>
      </c>
      <c r="Q576" t="s">
        <v>1844</v>
      </c>
      <c r="R576" t="s">
        <v>1845</v>
      </c>
      <c r="S576" t="s">
        <v>1846</v>
      </c>
      <c r="T576" t="s">
        <v>1847</v>
      </c>
      <c r="U576" t="s">
        <v>60</v>
      </c>
      <c r="V576" t="s">
        <v>61</v>
      </c>
      <c r="W576">
        <v>10</v>
      </c>
      <c r="X576">
        <v>0.13125000000000001</v>
      </c>
      <c r="Y576" t="s">
        <v>440</v>
      </c>
      <c r="Z576" t="s">
        <v>441</v>
      </c>
      <c r="AA576">
        <v>2</v>
      </c>
      <c r="AB576" t="s">
        <v>1558</v>
      </c>
      <c r="AC576" t="s">
        <v>1559</v>
      </c>
      <c r="AD576" t="s">
        <v>1560</v>
      </c>
      <c r="AE576" t="s">
        <v>1561</v>
      </c>
      <c r="AF576" t="s">
        <v>1562</v>
      </c>
      <c r="AG576" t="s">
        <v>66</v>
      </c>
      <c r="AH576" t="s">
        <v>66</v>
      </c>
      <c r="AI576" t="s">
        <v>66</v>
      </c>
      <c r="AJ576" t="s">
        <v>66</v>
      </c>
      <c r="AK576">
        <v>1</v>
      </c>
      <c r="AL576" t="s">
        <v>66</v>
      </c>
      <c r="AM576" t="s">
        <v>66</v>
      </c>
      <c r="AN576" t="s">
        <v>66</v>
      </c>
      <c r="AO576" t="s">
        <v>66</v>
      </c>
      <c r="AP576">
        <v>1</v>
      </c>
      <c r="AQ576" t="s">
        <v>66</v>
      </c>
      <c r="AR576" t="s">
        <v>66</v>
      </c>
      <c r="AS576" t="s">
        <v>66</v>
      </c>
      <c r="AT576" t="s">
        <v>66</v>
      </c>
    </row>
    <row r="577" spans="1:46" x14ac:dyDescent="0.15">
      <c r="A577" t="s">
        <v>1848</v>
      </c>
      <c r="B577" t="s">
        <v>1548</v>
      </c>
      <c r="C577" t="s">
        <v>1549</v>
      </c>
      <c r="D577">
        <v>59</v>
      </c>
      <c r="E577" t="s">
        <v>1550</v>
      </c>
      <c r="F577" t="s">
        <v>1551</v>
      </c>
      <c r="G577" t="s">
        <v>51</v>
      </c>
      <c r="H577" t="s">
        <v>1552</v>
      </c>
      <c r="I577" t="s">
        <v>1553</v>
      </c>
      <c r="J577" t="s">
        <v>1554</v>
      </c>
      <c r="K577" t="s">
        <v>1555</v>
      </c>
      <c r="L577" t="s">
        <v>18</v>
      </c>
      <c r="M577" t="s">
        <v>19</v>
      </c>
      <c r="N577">
        <v>3755</v>
      </c>
      <c r="O577">
        <v>208</v>
      </c>
      <c r="P577">
        <v>0</v>
      </c>
      <c r="Q577" t="s">
        <v>1849</v>
      </c>
      <c r="R577" t="s">
        <v>1850</v>
      </c>
      <c r="S577" t="s">
        <v>1851</v>
      </c>
      <c r="T577" t="s">
        <v>1852</v>
      </c>
      <c r="U577" t="s">
        <v>60</v>
      </c>
      <c r="V577" t="s">
        <v>61</v>
      </c>
      <c r="W577">
        <v>10</v>
      </c>
      <c r="X577">
        <v>0.13125000000000001</v>
      </c>
      <c r="Y577" t="s">
        <v>256</v>
      </c>
      <c r="Z577" t="s">
        <v>447</v>
      </c>
      <c r="AA577">
        <v>2</v>
      </c>
      <c r="AB577" t="s">
        <v>1558</v>
      </c>
      <c r="AC577" t="s">
        <v>1559</v>
      </c>
      <c r="AD577" t="s">
        <v>1560</v>
      </c>
      <c r="AE577" t="s">
        <v>1561</v>
      </c>
      <c r="AF577" t="s">
        <v>1562</v>
      </c>
      <c r="AG577" t="s">
        <v>66</v>
      </c>
      <c r="AH577" t="s">
        <v>66</v>
      </c>
      <c r="AI577" t="s">
        <v>66</v>
      </c>
      <c r="AJ577" t="s">
        <v>66</v>
      </c>
      <c r="AK577">
        <v>1</v>
      </c>
      <c r="AL577" t="s">
        <v>66</v>
      </c>
      <c r="AM577" t="s">
        <v>66</v>
      </c>
      <c r="AN577" t="s">
        <v>66</v>
      </c>
      <c r="AO577" t="s">
        <v>66</v>
      </c>
      <c r="AP577">
        <v>1</v>
      </c>
      <c r="AQ577" t="s">
        <v>66</v>
      </c>
      <c r="AR577" t="s">
        <v>66</v>
      </c>
      <c r="AS577" t="s">
        <v>66</v>
      </c>
      <c r="AT577" t="s">
        <v>66</v>
      </c>
    </row>
    <row r="578" spans="1:46" x14ac:dyDescent="0.15">
      <c r="A578" t="s">
        <v>1853</v>
      </c>
      <c r="B578" t="s">
        <v>1548</v>
      </c>
      <c r="C578" t="s">
        <v>1549</v>
      </c>
      <c r="D578">
        <v>60</v>
      </c>
      <c r="E578" t="s">
        <v>1550</v>
      </c>
      <c r="F578" t="s">
        <v>1551</v>
      </c>
      <c r="G578" t="s">
        <v>51</v>
      </c>
      <c r="H578" t="s">
        <v>1552</v>
      </c>
      <c r="I578" t="s">
        <v>1553</v>
      </c>
      <c r="J578" t="s">
        <v>1554</v>
      </c>
      <c r="K578" t="s">
        <v>1555</v>
      </c>
      <c r="L578" t="s">
        <v>18</v>
      </c>
      <c r="M578" t="s">
        <v>19</v>
      </c>
      <c r="N578">
        <v>3811</v>
      </c>
      <c r="O578">
        <v>211</v>
      </c>
      <c r="P578">
        <v>0</v>
      </c>
      <c r="Q578" t="s">
        <v>291</v>
      </c>
      <c r="R578" t="s">
        <v>1854</v>
      </c>
      <c r="S578" t="s">
        <v>1855</v>
      </c>
      <c r="T578" t="s">
        <v>1856</v>
      </c>
      <c r="U578" t="s">
        <v>60</v>
      </c>
      <c r="V578" t="s">
        <v>61</v>
      </c>
      <c r="W578">
        <v>10</v>
      </c>
      <c r="X578">
        <v>0.13125000000000001</v>
      </c>
      <c r="Y578" t="s">
        <v>453</v>
      </c>
      <c r="Z578" t="s">
        <v>454</v>
      </c>
      <c r="AA578">
        <v>2</v>
      </c>
      <c r="AB578" t="s">
        <v>1558</v>
      </c>
      <c r="AC578" t="s">
        <v>1559</v>
      </c>
      <c r="AD578" t="s">
        <v>1560</v>
      </c>
      <c r="AE578" t="s">
        <v>1561</v>
      </c>
      <c r="AF578" t="s">
        <v>1562</v>
      </c>
      <c r="AG578" t="s">
        <v>66</v>
      </c>
      <c r="AH578" t="s">
        <v>66</v>
      </c>
      <c r="AI578" t="s">
        <v>66</v>
      </c>
      <c r="AJ578" t="s">
        <v>66</v>
      </c>
      <c r="AK578">
        <v>1</v>
      </c>
      <c r="AL578" t="s">
        <v>66</v>
      </c>
      <c r="AM578" t="s">
        <v>66</v>
      </c>
      <c r="AN578" t="s">
        <v>66</v>
      </c>
      <c r="AO578" t="s">
        <v>66</v>
      </c>
      <c r="AP578">
        <v>1</v>
      </c>
      <c r="AQ578" t="s">
        <v>66</v>
      </c>
      <c r="AR578" t="s">
        <v>66</v>
      </c>
      <c r="AS578" t="s">
        <v>66</v>
      </c>
      <c r="AT578" t="s">
        <v>66</v>
      </c>
    </row>
    <row r="579" spans="1:46" x14ac:dyDescent="0.15">
      <c r="A579" t="s">
        <v>1853</v>
      </c>
      <c r="B579" t="s">
        <v>1548</v>
      </c>
      <c r="C579" t="s">
        <v>1549</v>
      </c>
      <c r="D579">
        <v>60</v>
      </c>
      <c r="E579" t="s">
        <v>1550</v>
      </c>
      <c r="F579" t="s">
        <v>1551</v>
      </c>
      <c r="G579" t="s">
        <v>51</v>
      </c>
      <c r="H579" t="s">
        <v>1552</v>
      </c>
      <c r="I579" t="s">
        <v>1553</v>
      </c>
      <c r="J579" t="s">
        <v>1554</v>
      </c>
      <c r="K579" t="s">
        <v>1555</v>
      </c>
      <c r="L579" t="s">
        <v>18</v>
      </c>
      <c r="M579" t="s">
        <v>19</v>
      </c>
      <c r="N579">
        <v>3811</v>
      </c>
      <c r="O579">
        <v>211</v>
      </c>
      <c r="P579">
        <v>0</v>
      </c>
      <c r="Q579" t="s">
        <v>291</v>
      </c>
      <c r="R579" t="s">
        <v>1854</v>
      </c>
      <c r="S579" t="s">
        <v>1855</v>
      </c>
      <c r="T579" t="s">
        <v>1856</v>
      </c>
      <c r="U579" t="s">
        <v>60</v>
      </c>
      <c r="V579" t="s">
        <v>61</v>
      </c>
      <c r="W579">
        <v>10</v>
      </c>
      <c r="X579">
        <v>0.13125000000000001</v>
      </c>
      <c r="Y579" t="s">
        <v>453</v>
      </c>
      <c r="Z579" t="s">
        <v>454</v>
      </c>
      <c r="AA579">
        <v>3</v>
      </c>
      <c r="AB579" t="s">
        <v>1558</v>
      </c>
      <c r="AC579" t="s">
        <v>1559</v>
      </c>
      <c r="AD579" t="s">
        <v>1560</v>
      </c>
      <c r="AE579" t="s">
        <v>1561</v>
      </c>
      <c r="AF579" t="s">
        <v>1562</v>
      </c>
      <c r="AG579" t="s">
        <v>1857</v>
      </c>
      <c r="AH579" t="s">
        <v>66</v>
      </c>
      <c r="AI579" t="s">
        <v>66</v>
      </c>
      <c r="AJ579" t="s">
        <v>66</v>
      </c>
      <c r="AK579">
        <v>1</v>
      </c>
      <c r="AL579" t="s">
        <v>1858</v>
      </c>
      <c r="AM579" t="s">
        <v>1859</v>
      </c>
      <c r="AN579" t="s">
        <v>66</v>
      </c>
      <c r="AO579" t="s">
        <v>66</v>
      </c>
      <c r="AP579">
        <v>1</v>
      </c>
      <c r="AQ579" t="s">
        <v>1860</v>
      </c>
      <c r="AR579" t="s">
        <v>1861</v>
      </c>
      <c r="AS579" t="s">
        <v>1862</v>
      </c>
      <c r="AT579" t="s">
        <v>66</v>
      </c>
    </row>
    <row r="580" spans="1:46" x14ac:dyDescent="0.15">
      <c r="A580" t="s">
        <v>1863</v>
      </c>
      <c r="B580" t="s">
        <v>1548</v>
      </c>
      <c r="C580" t="s">
        <v>1549</v>
      </c>
      <c r="D580">
        <v>61</v>
      </c>
      <c r="E580" t="s">
        <v>1550</v>
      </c>
      <c r="F580" t="s">
        <v>1551</v>
      </c>
      <c r="G580" t="s">
        <v>51</v>
      </c>
      <c r="H580" t="s">
        <v>1552</v>
      </c>
      <c r="I580" t="s">
        <v>1553</v>
      </c>
      <c r="J580" t="s">
        <v>1554</v>
      </c>
      <c r="K580" t="s">
        <v>1555</v>
      </c>
      <c r="L580" t="s">
        <v>18</v>
      </c>
      <c r="M580" t="s">
        <v>19</v>
      </c>
      <c r="N580">
        <v>3867</v>
      </c>
      <c r="O580">
        <v>214</v>
      </c>
      <c r="P580">
        <v>0</v>
      </c>
      <c r="Q580" t="s">
        <v>1864</v>
      </c>
      <c r="R580" t="s">
        <v>1865</v>
      </c>
      <c r="S580" t="s">
        <v>1866</v>
      </c>
      <c r="T580" t="s">
        <v>1867</v>
      </c>
      <c r="U580" t="s">
        <v>60</v>
      </c>
      <c r="V580" t="s">
        <v>61</v>
      </c>
      <c r="W580">
        <v>10</v>
      </c>
      <c r="X580">
        <v>0.13125000000000001</v>
      </c>
      <c r="Y580" t="s">
        <v>262</v>
      </c>
      <c r="Z580" t="s">
        <v>465</v>
      </c>
      <c r="AA580">
        <v>3</v>
      </c>
      <c r="AB580" t="s">
        <v>1558</v>
      </c>
      <c r="AC580" t="s">
        <v>1559</v>
      </c>
      <c r="AD580" t="s">
        <v>1560</v>
      </c>
      <c r="AE580" t="s">
        <v>1561</v>
      </c>
      <c r="AF580" t="s">
        <v>1562</v>
      </c>
      <c r="AG580" t="s">
        <v>1857</v>
      </c>
      <c r="AH580" t="s">
        <v>66</v>
      </c>
      <c r="AI580" t="s">
        <v>66</v>
      </c>
      <c r="AJ580" t="s">
        <v>66</v>
      </c>
      <c r="AK580">
        <v>1</v>
      </c>
      <c r="AL580" t="s">
        <v>1858</v>
      </c>
      <c r="AM580" t="s">
        <v>1859</v>
      </c>
      <c r="AN580" t="s">
        <v>66</v>
      </c>
      <c r="AO580" t="s">
        <v>66</v>
      </c>
      <c r="AP580">
        <v>1</v>
      </c>
      <c r="AQ580" t="s">
        <v>1860</v>
      </c>
      <c r="AR580" t="s">
        <v>1861</v>
      </c>
      <c r="AS580" t="s">
        <v>1862</v>
      </c>
      <c r="AT580" t="s">
        <v>66</v>
      </c>
    </row>
    <row r="581" spans="1:46" x14ac:dyDescent="0.15">
      <c r="A581" t="s">
        <v>1868</v>
      </c>
      <c r="B581" t="s">
        <v>1548</v>
      </c>
      <c r="C581" t="s">
        <v>1549</v>
      </c>
      <c r="D581">
        <v>62</v>
      </c>
      <c r="E581" t="s">
        <v>1550</v>
      </c>
      <c r="F581" t="s">
        <v>1551</v>
      </c>
      <c r="G581" t="s">
        <v>51</v>
      </c>
      <c r="H581" t="s">
        <v>1552</v>
      </c>
      <c r="I581" t="s">
        <v>1553</v>
      </c>
      <c r="J581" t="s">
        <v>1554</v>
      </c>
      <c r="K581" t="s">
        <v>1555</v>
      </c>
      <c r="L581" t="s">
        <v>18</v>
      </c>
      <c r="M581" t="s">
        <v>19</v>
      </c>
      <c r="N581">
        <v>3923</v>
      </c>
      <c r="O581">
        <v>217</v>
      </c>
      <c r="P581">
        <v>0</v>
      </c>
      <c r="Q581" t="s">
        <v>1869</v>
      </c>
      <c r="R581" t="s">
        <v>1870</v>
      </c>
      <c r="S581" t="s">
        <v>1871</v>
      </c>
      <c r="T581" t="s">
        <v>1872</v>
      </c>
      <c r="U581" t="s">
        <v>60</v>
      </c>
      <c r="V581" t="s">
        <v>61</v>
      </c>
      <c r="W581">
        <v>10</v>
      </c>
      <c r="X581">
        <v>0.13125000000000001</v>
      </c>
      <c r="Y581" t="s">
        <v>471</v>
      </c>
      <c r="Z581" t="s">
        <v>472</v>
      </c>
      <c r="AA581">
        <v>3</v>
      </c>
      <c r="AB581" t="s">
        <v>1558</v>
      </c>
      <c r="AC581" t="s">
        <v>1559</v>
      </c>
      <c r="AD581" t="s">
        <v>1560</v>
      </c>
      <c r="AE581" t="s">
        <v>1561</v>
      </c>
      <c r="AF581" t="s">
        <v>1562</v>
      </c>
      <c r="AG581" t="s">
        <v>1857</v>
      </c>
      <c r="AH581" t="s">
        <v>66</v>
      </c>
      <c r="AI581" t="s">
        <v>66</v>
      </c>
      <c r="AJ581" t="s">
        <v>66</v>
      </c>
      <c r="AK581">
        <v>1</v>
      </c>
      <c r="AL581" t="s">
        <v>1858</v>
      </c>
      <c r="AM581" t="s">
        <v>1859</v>
      </c>
      <c r="AN581" t="s">
        <v>66</v>
      </c>
      <c r="AO581" t="s">
        <v>66</v>
      </c>
      <c r="AP581">
        <v>1</v>
      </c>
      <c r="AQ581" t="s">
        <v>1860</v>
      </c>
      <c r="AR581" t="s">
        <v>1861</v>
      </c>
      <c r="AS581" t="s">
        <v>1862</v>
      </c>
      <c r="AT581" t="s">
        <v>66</v>
      </c>
    </row>
    <row r="582" spans="1:46" x14ac:dyDescent="0.15">
      <c r="A582" t="s">
        <v>1873</v>
      </c>
      <c r="B582" t="s">
        <v>1548</v>
      </c>
      <c r="C582" t="s">
        <v>1549</v>
      </c>
      <c r="D582">
        <v>63</v>
      </c>
      <c r="E582" t="s">
        <v>1550</v>
      </c>
      <c r="F582" t="s">
        <v>1551</v>
      </c>
      <c r="G582" t="s">
        <v>51</v>
      </c>
      <c r="H582" t="s">
        <v>1552</v>
      </c>
      <c r="I582" t="s">
        <v>1553</v>
      </c>
      <c r="J582" t="s">
        <v>1554</v>
      </c>
      <c r="K582" t="s">
        <v>1555</v>
      </c>
      <c r="L582" t="s">
        <v>18</v>
      </c>
      <c r="M582" t="s">
        <v>19</v>
      </c>
      <c r="N582">
        <v>3980</v>
      </c>
      <c r="O582">
        <v>220</v>
      </c>
      <c r="P582">
        <v>0</v>
      </c>
      <c r="Q582" t="s">
        <v>1874</v>
      </c>
      <c r="R582" t="s">
        <v>1875</v>
      </c>
      <c r="S582" t="s">
        <v>1876</v>
      </c>
      <c r="T582" t="s">
        <v>1877</v>
      </c>
      <c r="U582" t="s">
        <v>60</v>
      </c>
      <c r="V582" t="s">
        <v>61</v>
      </c>
      <c r="W582">
        <v>10</v>
      </c>
      <c r="X582">
        <v>0.13125000000000001</v>
      </c>
      <c r="Y582" t="s">
        <v>269</v>
      </c>
      <c r="Z582" t="s">
        <v>478</v>
      </c>
      <c r="AA582">
        <v>3</v>
      </c>
      <c r="AB582" t="s">
        <v>1558</v>
      </c>
      <c r="AC582" t="s">
        <v>1559</v>
      </c>
      <c r="AD582" t="s">
        <v>1560</v>
      </c>
      <c r="AE582" t="s">
        <v>1561</v>
      </c>
      <c r="AF582" t="s">
        <v>1562</v>
      </c>
      <c r="AG582" t="s">
        <v>1857</v>
      </c>
      <c r="AH582" t="s">
        <v>66</v>
      </c>
      <c r="AI582" t="s">
        <v>66</v>
      </c>
      <c r="AJ582" t="s">
        <v>66</v>
      </c>
      <c r="AK582">
        <v>1</v>
      </c>
      <c r="AL582" t="s">
        <v>1858</v>
      </c>
      <c r="AM582" t="s">
        <v>1859</v>
      </c>
      <c r="AN582" t="s">
        <v>66</v>
      </c>
      <c r="AO582" t="s">
        <v>66</v>
      </c>
      <c r="AP582">
        <v>1</v>
      </c>
      <c r="AQ582" t="s">
        <v>1860</v>
      </c>
      <c r="AR582" t="s">
        <v>1861</v>
      </c>
      <c r="AS582" t="s">
        <v>1862</v>
      </c>
      <c r="AT582" t="s">
        <v>66</v>
      </c>
    </row>
    <row r="583" spans="1:46" x14ac:dyDescent="0.15">
      <c r="A583" t="s">
        <v>1878</v>
      </c>
      <c r="B583" t="s">
        <v>1548</v>
      </c>
      <c r="C583" t="s">
        <v>1549</v>
      </c>
      <c r="D583">
        <v>64</v>
      </c>
      <c r="E583" t="s">
        <v>1550</v>
      </c>
      <c r="F583" t="s">
        <v>1551</v>
      </c>
      <c r="G583" t="s">
        <v>51</v>
      </c>
      <c r="H583" t="s">
        <v>1552</v>
      </c>
      <c r="I583" t="s">
        <v>1553</v>
      </c>
      <c r="J583" t="s">
        <v>1554</v>
      </c>
      <c r="K583" t="s">
        <v>1555</v>
      </c>
      <c r="L583" t="s">
        <v>18</v>
      </c>
      <c r="M583" t="s">
        <v>19</v>
      </c>
      <c r="N583">
        <v>4036</v>
      </c>
      <c r="O583">
        <v>223</v>
      </c>
      <c r="P583">
        <v>0</v>
      </c>
      <c r="Q583" t="s">
        <v>1879</v>
      </c>
      <c r="R583" t="s">
        <v>1880</v>
      </c>
      <c r="S583" t="s">
        <v>1881</v>
      </c>
      <c r="T583" t="s">
        <v>1882</v>
      </c>
      <c r="U583" t="s">
        <v>60</v>
      </c>
      <c r="V583" t="s">
        <v>61</v>
      </c>
      <c r="W583">
        <v>10</v>
      </c>
      <c r="X583">
        <v>0.13125000000000001</v>
      </c>
      <c r="Y583" t="s">
        <v>484</v>
      </c>
      <c r="Z583" t="s">
        <v>485</v>
      </c>
      <c r="AA583">
        <v>3</v>
      </c>
      <c r="AB583" t="s">
        <v>1558</v>
      </c>
      <c r="AC583" t="s">
        <v>1559</v>
      </c>
      <c r="AD583" t="s">
        <v>1560</v>
      </c>
      <c r="AE583" t="s">
        <v>1561</v>
      </c>
      <c r="AF583" t="s">
        <v>1562</v>
      </c>
      <c r="AG583" t="s">
        <v>1857</v>
      </c>
      <c r="AH583" t="s">
        <v>66</v>
      </c>
      <c r="AI583" t="s">
        <v>66</v>
      </c>
      <c r="AJ583" t="s">
        <v>66</v>
      </c>
      <c r="AK583">
        <v>1</v>
      </c>
      <c r="AL583" t="s">
        <v>1858</v>
      </c>
      <c r="AM583" t="s">
        <v>1859</v>
      </c>
      <c r="AN583" t="s">
        <v>66</v>
      </c>
      <c r="AO583" t="s">
        <v>66</v>
      </c>
      <c r="AP583">
        <v>1</v>
      </c>
      <c r="AQ583" t="s">
        <v>1860</v>
      </c>
      <c r="AR583" t="s">
        <v>1861</v>
      </c>
      <c r="AS583" t="s">
        <v>1862</v>
      </c>
      <c r="AT583" t="s">
        <v>66</v>
      </c>
    </row>
    <row r="584" spans="1:46" x14ac:dyDescent="0.15">
      <c r="A584" t="s">
        <v>1883</v>
      </c>
      <c r="B584" t="s">
        <v>1548</v>
      </c>
      <c r="C584" t="s">
        <v>1549</v>
      </c>
      <c r="D584">
        <v>65</v>
      </c>
      <c r="E584" t="s">
        <v>1550</v>
      </c>
      <c r="F584" t="s">
        <v>1551</v>
      </c>
      <c r="G584" t="s">
        <v>51</v>
      </c>
      <c r="H584" t="s">
        <v>1552</v>
      </c>
      <c r="I584" t="s">
        <v>1553</v>
      </c>
      <c r="J584" t="s">
        <v>1554</v>
      </c>
      <c r="K584" t="s">
        <v>1555</v>
      </c>
      <c r="L584" t="s">
        <v>18</v>
      </c>
      <c r="M584" t="s">
        <v>19</v>
      </c>
      <c r="N584">
        <v>4092</v>
      </c>
      <c r="O584">
        <v>226</v>
      </c>
      <c r="P584">
        <v>0</v>
      </c>
      <c r="Q584" t="s">
        <v>1884</v>
      </c>
      <c r="R584" t="s">
        <v>1885</v>
      </c>
      <c r="S584" t="s">
        <v>1886</v>
      </c>
      <c r="T584" t="s">
        <v>1887</v>
      </c>
      <c r="U584" t="s">
        <v>60</v>
      </c>
      <c r="V584" t="s">
        <v>61</v>
      </c>
      <c r="W584">
        <v>10</v>
      </c>
      <c r="X584">
        <v>0.13125000000000001</v>
      </c>
      <c r="Y584" t="s">
        <v>275</v>
      </c>
      <c r="Z584" t="s">
        <v>491</v>
      </c>
      <c r="AA584">
        <v>3</v>
      </c>
      <c r="AB584" t="s">
        <v>1558</v>
      </c>
      <c r="AC584" t="s">
        <v>1559</v>
      </c>
      <c r="AD584" t="s">
        <v>1560</v>
      </c>
      <c r="AE584" t="s">
        <v>1561</v>
      </c>
      <c r="AF584" t="s">
        <v>1562</v>
      </c>
      <c r="AG584" t="s">
        <v>1857</v>
      </c>
      <c r="AH584" t="s">
        <v>66</v>
      </c>
      <c r="AI584" t="s">
        <v>66</v>
      </c>
      <c r="AJ584" t="s">
        <v>66</v>
      </c>
      <c r="AK584">
        <v>1</v>
      </c>
      <c r="AL584" t="s">
        <v>1858</v>
      </c>
      <c r="AM584" t="s">
        <v>1859</v>
      </c>
      <c r="AN584" t="s">
        <v>66</v>
      </c>
      <c r="AO584" t="s">
        <v>66</v>
      </c>
      <c r="AP584">
        <v>1</v>
      </c>
      <c r="AQ584" t="s">
        <v>1860</v>
      </c>
      <c r="AR584" t="s">
        <v>1861</v>
      </c>
      <c r="AS584" t="s">
        <v>1862</v>
      </c>
      <c r="AT584" t="s">
        <v>66</v>
      </c>
    </row>
    <row r="585" spans="1:46" x14ac:dyDescent="0.15">
      <c r="A585" t="s">
        <v>1888</v>
      </c>
      <c r="B585" t="s">
        <v>1548</v>
      </c>
      <c r="C585" t="s">
        <v>1549</v>
      </c>
      <c r="D585">
        <v>66</v>
      </c>
      <c r="E585" t="s">
        <v>1550</v>
      </c>
      <c r="F585" t="s">
        <v>1551</v>
      </c>
      <c r="G585" t="s">
        <v>51</v>
      </c>
      <c r="H585" t="s">
        <v>1552</v>
      </c>
      <c r="I585" t="s">
        <v>1553</v>
      </c>
      <c r="J585" t="s">
        <v>1554</v>
      </c>
      <c r="K585" t="s">
        <v>1555</v>
      </c>
      <c r="L585" t="s">
        <v>18</v>
      </c>
      <c r="M585" t="s">
        <v>19</v>
      </c>
      <c r="N585">
        <v>4148</v>
      </c>
      <c r="O585">
        <v>229</v>
      </c>
      <c r="P585">
        <v>0</v>
      </c>
      <c r="Q585" t="s">
        <v>1889</v>
      </c>
      <c r="R585" t="s">
        <v>1890</v>
      </c>
      <c r="S585" t="s">
        <v>1891</v>
      </c>
      <c r="T585" t="s">
        <v>1892</v>
      </c>
      <c r="U585" t="s">
        <v>60</v>
      </c>
      <c r="V585" t="s">
        <v>61</v>
      </c>
      <c r="W585">
        <v>10</v>
      </c>
      <c r="X585">
        <v>0.13125000000000001</v>
      </c>
      <c r="Y585" t="s">
        <v>497</v>
      </c>
      <c r="Z585" t="s">
        <v>498</v>
      </c>
      <c r="AA585">
        <v>3</v>
      </c>
      <c r="AB585" t="s">
        <v>1558</v>
      </c>
      <c r="AC585" t="s">
        <v>1559</v>
      </c>
      <c r="AD585" t="s">
        <v>1560</v>
      </c>
      <c r="AE585" t="s">
        <v>1561</v>
      </c>
      <c r="AF585" t="s">
        <v>1562</v>
      </c>
      <c r="AG585" t="s">
        <v>1857</v>
      </c>
      <c r="AH585" t="s">
        <v>66</v>
      </c>
      <c r="AI585" t="s">
        <v>66</v>
      </c>
      <c r="AJ585" t="s">
        <v>66</v>
      </c>
      <c r="AK585">
        <v>1</v>
      </c>
      <c r="AL585" t="s">
        <v>1858</v>
      </c>
      <c r="AM585" t="s">
        <v>1859</v>
      </c>
      <c r="AN585" t="s">
        <v>66</v>
      </c>
      <c r="AO585" t="s">
        <v>66</v>
      </c>
      <c r="AP585">
        <v>1</v>
      </c>
      <c r="AQ585" t="s">
        <v>1860</v>
      </c>
      <c r="AR585" t="s">
        <v>1861</v>
      </c>
      <c r="AS585" t="s">
        <v>1862</v>
      </c>
      <c r="AT585" t="s">
        <v>66</v>
      </c>
    </row>
    <row r="586" spans="1:46" x14ac:dyDescent="0.15">
      <c r="A586" t="s">
        <v>1893</v>
      </c>
      <c r="B586" t="s">
        <v>1548</v>
      </c>
      <c r="C586" t="s">
        <v>1549</v>
      </c>
      <c r="D586">
        <v>67</v>
      </c>
      <c r="E586" t="s">
        <v>1550</v>
      </c>
      <c r="F586" t="s">
        <v>1551</v>
      </c>
      <c r="G586" t="s">
        <v>51</v>
      </c>
      <c r="H586" t="s">
        <v>1552</v>
      </c>
      <c r="I586" t="s">
        <v>1553</v>
      </c>
      <c r="J586" t="s">
        <v>1554</v>
      </c>
      <c r="K586" t="s">
        <v>1555</v>
      </c>
      <c r="L586" t="s">
        <v>18</v>
      </c>
      <c r="M586" t="s">
        <v>19</v>
      </c>
      <c r="N586">
        <v>4204</v>
      </c>
      <c r="O586">
        <v>232</v>
      </c>
      <c r="P586">
        <v>0</v>
      </c>
      <c r="Q586" t="s">
        <v>1894</v>
      </c>
      <c r="R586" t="s">
        <v>1895</v>
      </c>
      <c r="S586" t="s">
        <v>1896</v>
      </c>
      <c r="T586" t="s">
        <v>1897</v>
      </c>
      <c r="U586" t="s">
        <v>60</v>
      </c>
      <c r="V586" t="s">
        <v>61</v>
      </c>
      <c r="W586">
        <v>10</v>
      </c>
      <c r="X586">
        <v>0.13125000000000001</v>
      </c>
      <c r="Y586" t="s">
        <v>282</v>
      </c>
      <c r="Z586" t="s">
        <v>504</v>
      </c>
      <c r="AA586">
        <v>3</v>
      </c>
      <c r="AB586" t="s">
        <v>1558</v>
      </c>
      <c r="AC586" t="s">
        <v>1559</v>
      </c>
      <c r="AD586" t="s">
        <v>1560</v>
      </c>
      <c r="AE586" t="s">
        <v>1561</v>
      </c>
      <c r="AF586" t="s">
        <v>1562</v>
      </c>
      <c r="AG586" t="s">
        <v>1857</v>
      </c>
      <c r="AH586" t="s">
        <v>66</v>
      </c>
      <c r="AI586" t="s">
        <v>66</v>
      </c>
      <c r="AJ586" t="s">
        <v>66</v>
      </c>
      <c r="AK586">
        <v>1</v>
      </c>
      <c r="AL586" t="s">
        <v>1858</v>
      </c>
      <c r="AM586" t="s">
        <v>1859</v>
      </c>
      <c r="AN586" t="s">
        <v>66</v>
      </c>
      <c r="AO586" t="s">
        <v>66</v>
      </c>
      <c r="AP586">
        <v>1</v>
      </c>
      <c r="AQ586" t="s">
        <v>1860</v>
      </c>
      <c r="AR586" t="s">
        <v>1861</v>
      </c>
      <c r="AS586" t="s">
        <v>1862</v>
      </c>
      <c r="AT586" t="s">
        <v>66</v>
      </c>
    </row>
    <row r="587" spans="1:46" x14ac:dyDescent="0.15">
      <c r="A587" t="s">
        <v>1898</v>
      </c>
      <c r="B587" t="s">
        <v>1548</v>
      </c>
      <c r="C587" t="s">
        <v>1549</v>
      </c>
      <c r="D587">
        <v>68</v>
      </c>
      <c r="E587" t="s">
        <v>1550</v>
      </c>
      <c r="F587" t="s">
        <v>1551</v>
      </c>
      <c r="G587" t="s">
        <v>51</v>
      </c>
      <c r="H587" t="s">
        <v>1552</v>
      </c>
      <c r="I587" t="s">
        <v>1553</v>
      </c>
      <c r="J587" t="s">
        <v>1554</v>
      </c>
      <c r="K587" t="s">
        <v>1555</v>
      </c>
      <c r="L587" t="s">
        <v>18</v>
      </c>
      <c r="M587" t="s">
        <v>19</v>
      </c>
      <c r="N587">
        <v>4260</v>
      </c>
      <c r="O587">
        <v>235</v>
      </c>
      <c r="P587">
        <v>0</v>
      </c>
      <c r="Q587" t="s">
        <v>433</v>
      </c>
      <c r="R587" t="s">
        <v>1899</v>
      </c>
      <c r="S587" t="s">
        <v>1900</v>
      </c>
      <c r="T587" t="s">
        <v>1901</v>
      </c>
      <c r="U587" t="s">
        <v>60</v>
      </c>
      <c r="V587" t="s">
        <v>61</v>
      </c>
      <c r="W587">
        <v>10</v>
      </c>
      <c r="X587">
        <v>0.13125000000000001</v>
      </c>
      <c r="Y587" t="s">
        <v>510</v>
      </c>
      <c r="Z587" t="s">
        <v>511</v>
      </c>
      <c r="AA587">
        <v>3</v>
      </c>
      <c r="AB587" t="s">
        <v>1558</v>
      </c>
      <c r="AC587" t="s">
        <v>1559</v>
      </c>
      <c r="AD587" t="s">
        <v>1560</v>
      </c>
      <c r="AE587" t="s">
        <v>1561</v>
      </c>
      <c r="AF587" t="s">
        <v>1562</v>
      </c>
      <c r="AG587" t="s">
        <v>1857</v>
      </c>
      <c r="AH587" t="s">
        <v>66</v>
      </c>
      <c r="AI587" t="s">
        <v>66</v>
      </c>
      <c r="AJ587" t="s">
        <v>66</v>
      </c>
      <c r="AK587">
        <v>1</v>
      </c>
      <c r="AL587" t="s">
        <v>1858</v>
      </c>
      <c r="AM587" t="s">
        <v>1859</v>
      </c>
      <c r="AN587" t="s">
        <v>66</v>
      </c>
      <c r="AO587" t="s">
        <v>66</v>
      </c>
      <c r="AP587">
        <v>1</v>
      </c>
      <c r="AQ587" t="s">
        <v>1860</v>
      </c>
      <c r="AR587" t="s">
        <v>1861</v>
      </c>
      <c r="AS587" t="s">
        <v>1862</v>
      </c>
      <c r="AT587" t="s">
        <v>66</v>
      </c>
    </row>
    <row r="588" spans="1:46" x14ac:dyDescent="0.15">
      <c r="A588" t="s">
        <v>1902</v>
      </c>
      <c r="B588" t="s">
        <v>1548</v>
      </c>
      <c r="C588" t="s">
        <v>1549</v>
      </c>
      <c r="D588">
        <v>69</v>
      </c>
      <c r="E588" t="s">
        <v>1550</v>
      </c>
      <c r="F588" t="s">
        <v>1551</v>
      </c>
      <c r="G588" t="s">
        <v>51</v>
      </c>
      <c r="H588" t="s">
        <v>1552</v>
      </c>
      <c r="I588" t="s">
        <v>1553</v>
      </c>
      <c r="J588" t="s">
        <v>1554</v>
      </c>
      <c r="K588" t="s">
        <v>1555</v>
      </c>
      <c r="L588" t="s">
        <v>18</v>
      </c>
      <c r="M588" t="s">
        <v>19</v>
      </c>
      <c r="N588">
        <v>4316</v>
      </c>
      <c r="O588">
        <v>238</v>
      </c>
      <c r="P588">
        <v>0</v>
      </c>
      <c r="Q588" t="s">
        <v>1903</v>
      </c>
      <c r="R588" t="s">
        <v>1904</v>
      </c>
      <c r="S588" t="s">
        <v>1905</v>
      </c>
      <c r="T588" t="s">
        <v>1906</v>
      </c>
      <c r="U588" t="s">
        <v>60</v>
      </c>
      <c r="V588" t="s">
        <v>61</v>
      </c>
      <c r="W588">
        <v>10</v>
      </c>
      <c r="X588">
        <v>0.13125000000000001</v>
      </c>
      <c r="Y588" t="s">
        <v>288</v>
      </c>
      <c r="Z588" t="s">
        <v>517</v>
      </c>
      <c r="AA588">
        <v>3</v>
      </c>
      <c r="AB588" t="s">
        <v>1558</v>
      </c>
      <c r="AC588" t="s">
        <v>1559</v>
      </c>
      <c r="AD588" t="s">
        <v>1560</v>
      </c>
      <c r="AE588" t="s">
        <v>1561</v>
      </c>
      <c r="AF588" t="s">
        <v>1562</v>
      </c>
      <c r="AG588" t="s">
        <v>1857</v>
      </c>
      <c r="AH588" t="s">
        <v>66</v>
      </c>
      <c r="AI588" t="s">
        <v>66</v>
      </c>
      <c r="AJ588" t="s">
        <v>66</v>
      </c>
      <c r="AK588">
        <v>1</v>
      </c>
      <c r="AL588" t="s">
        <v>1858</v>
      </c>
      <c r="AM588" t="s">
        <v>1859</v>
      </c>
      <c r="AN588" t="s">
        <v>66</v>
      </c>
      <c r="AO588" t="s">
        <v>66</v>
      </c>
      <c r="AP588">
        <v>1</v>
      </c>
      <c r="AQ588" t="s">
        <v>1860</v>
      </c>
      <c r="AR588" t="s">
        <v>1861</v>
      </c>
      <c r="AS588" t="s">
        <v>1862</v>
      </c>
      <c r="AT588" t="s">
        <v>66</v>
      </c>
    </row>
    <row r="589" spans="1:46" x14ac:dyDescent="0.15">
      <c r="A589" t="s">
        <v>1907</v>
      </c>
      <c r="B589" t="s">
        <v>1548</v>
      </c>
      <c r="C589" t="s">
        <v>1549</v>
      </c>
      <c r="D589">
        <v>70</v>
      </c>
      <c r="E589" t="s">
        <v>1550</v>
      </c>
      <c r="F589" t="s">
        <v>1551</v>
      </c>
      <c r="G589" t="s">
        <v>51</v>
      </c>
      <c r="H589" t="s">
        <v>1552</v>
      </c>
      <c r="I589" t="s">
        <v>1553</v>
      </c>
      <c r="J589" t="s">
        <v>1554</v>
      </c>
      <c r="K589" t="s">
        <v>1555</v>
      </c>
      <c r="L589" t="s">
        <v>18</v>
      </c>
      <c r="M589" t="s">
        <v>19</v>
      </c>
      <c r="N589">
        <v>4372</v>
      </c>
      <c r="O589">
        <v>242</v>
      </c>
      <c r="P589">
        <v>0</v>
      </c>
      <c r="Q589" t="s">
        <v>1908</v>
      </c>
      <c r="R589" t="s">
        <v>1909</v>
      </c>
      <c r="S589" t="s">
        <v>1910</v>
      </c>
      <c r="T589" t="s">
        <v>1911</v>
      </c>
      <c r="U589" t="s">
        <v>60</v>
      </c>
      <c r="V589" t="s">
        <v>61</v>
      </c>
      <c r="W589">
        <v>10</v>
      </c>
      <c r="X589">
        <v>0.13125000000000001</v>
      </c>
      <c r="Y589" t="s">
        <v>523</v>
      </c>
      <c r="Z589" t="s">
        <v>524</v>
      </c>
      <c r="AA589">
        <v>3</v>
      </c>
      <c r="AB589" t="s">
        <v>1558</v>
      </c>
      <c r="AC589" t="s">
        <v>1559</v>
      </c>
      <c r="AD589" t="s">
        <v>1560</v>
      </c>
      <c r="AE589" t="s">
        <v>1561</v>
      </c>
      <c r="AF589" t="s">
        <v>1562</v>
      </c>
      <c r="AG589" t="s">
        <v>1857</v>
      </c>
      <c r="AH589" t="s">
        <v>66</v>
      </c>
      <c r="AI589" t="s">
        <v>66</v>
      </c>
      <c r="AJ589" t="s">
        <v>66</v>
      </c>
      <c r="AK589">
        <v>1</v>
      </c>
      <c r="AL589" t="s">
        <v>1858</v>
      </c>
      <c r="AM589" t="s">
        <v>1859</v>
      </c>
      <c r="AN589" t="s">
        <v>66</v>
      </c>
      <c r="AO589" t="s">
        <v>66</v>
      </c>
      <c r="AP589">
        <v>1</v>
      </c>
      <c r="AQ589" t="s">
        <v>1860</v>
      </c>
      <c r="AR589" t="s">
        <v>1861</v>
      </c>
      <c r="AS589" t="s">
        <v>1862</v>
      </c>
      <c r="AT589" t="s">
        <v>66</v>
      </c>
    </row>
    <row r="590" spans="1:46" x14ac:dyDescent="0.15">
      <c r="A590" t="s">
        <v>1912</v>
      </c>
      <c r="B590" t="s">
        <v>1548</v>
      </c>
      <c r="C590" t="s">
        <v>1549</v>
      </c>
      <c r="D590">
        <v>71</v>
      </c>
      <c r="E590" t="s">
        <v>1550</v>
      </c>
      <c r="F590" t="s">
        <v>1551</v>
      </c>
      <c r="G590" t="s">
        <v>51</v>
      </c>
      <c r="H590" t="s">
        <v>1552</v>
      </c>
      <c r="I590" t="s">
        <v>1553</v>
      </c>
      <c r="J590" t="s">
        <v>1554</v>
      </c>
      <c r="K590" t="s">
        <v>1555</v>
      </c>
      <c r="L590" t="s">
        <v>18</v>
      </c>
      <c r="M590" t="s">
        <v>19</v>
      </c>
      <c r="N590">
        <v>4429</v>
      </c>
      <c r="O590">
        <v>245</v>
      </c>
      <c r="P590">
        <v>0</v>
      </c>
      <c r="Q590" t="s">
        <v>1913</v>
      </c>
      <c r="R590" t="s">
        <v>1914</v>
      </c>
      <c r="S590" t="s">
        <v>1915</v>
      </c>
      <c r="T590" t="s">
        <v>1916</v>
      </c>
      <c r="U590" t="s">
        <v>60</v>
      </c>
      <c r="V590" t="s">
        <v>61</v>
      </c>
      <c r="W590">
        <v>10</v>
      </c>
      <c r="X590">
        <v>0.13125000000000001</v>
      </c>
      <c r="Y590" t="s">
        <v>295</v>
      </c>
      <c r="Z590" t="s">
        <v>530</v>
      </c>
      <c r="AA590">
        <v>3</v>
      </c>
      <c r="AB590" t="s">
        <v>1558</v>
      </c>
      <c r="AC590" t="s">
        <v>1559</v>
      </c>
      <c r="AD590" t="s">
        <v>1560</v>
      </c>
      <c r="AE590" t="s">
        <v>1561</v>
      </c>
      <c r="AF590" t="s">
        <v>1562</v>
      </c>
      <c r="AG590" t="s">
        <v>1857</v>
      </c>
      <c r="AH590" t="s">
        <v>66</v>
      </c>
      <c r="AI590" t="s">
        <v>66</v>
      </c>
      <c r="AJ590" t="s">
        <v>66</v>
      </c>
      <c r="AK590">
        <v>1</v>
      </c>
      <c r="AL590" t="s">
        <v>1858</v>
      </c>
      <c r="AM590" t="s">
        <v>1859</v>
      </c>
      <c r="AN590" t="s">
        <v>66</v>
      </c>
      <c r="AO590" t="s">
        <v>66</v>
      </c>
      <c r="AP590">
        <v>1</v>
      </c>
      <c r="AQ590" t="s">
        <v>1860</v>
      </c>
      <c r="AR590" t="s">
        <v>1861</v>
      </c>
      <c r="AS590" t="s">
        <v>1862</v>
      </c>
      <c r="AT590" t="s">
        <v>66</v>
      </c>
    </row>
    <row r="591" spans="1:46" x14ac:dyDescent="0.15">
      <c r="A591" t="s">
        <v>1917</v>
      </c>
      <c r="B591" t="s">
        <v>1548</v>
      </c>
      <c r="C591" t="s">
        <v>1549</v>
      </c>
      <c r="D591">
        <v>72</v>
      </c>
      <c r="E591" t="s">
        <v>1550</v>
      </c>
      <c r="F591" t="s">
        <v>1551</v>
      </c>
      <c r="G591" t="s">
        <v>51</v>
      </c>
      <c r="H591" t="s">
        <v>1552</v>
      </c>
      <c r="I591" t="s">
        <v>1553</v>
      </c>
      <c r="J591" t="s">
        <v>1554</v>
      </c>
      <c r="K591" t="s">
        <v>1555</v>
      </c>
      <c r="L591" t="s">
        <v>18</v>
      </c>
      <c r="M591" t="s">
        <v>19</v>
      </c>
      <c r="N591">
        <v>4485</v>
      </c>
      <c r="O591">
        <v>248</v>
      </c>
      <c r="P591">
        <v>0</v>
      </c>
      <c r="Q591" t="s">
        <v>1918</v>
      </c>
      <c r="R591" t="s">
        <v>1919</v>
      </c>
      <c r="S591" t="s">
        <v>1920</v>
      </c>
      <c r="T591" t="s">
        <v>1921</v>
      </c>
      <c r="U591" t="s">
        <v>60</v>
      </c>
      <c r="V591" t="s">
        <v>61</v>
      </c>
      <c r="W591">
        <v>10</v>
      </c>
      <c r="X591">
        <v>0.13125000000000001</v>
      </c>
      <c r="Y591" t="s">
        <v>536</v>
      </c>
      <c r="Z591" t="s">
        <v>537</v>
      </c>
      <c r="AA591">
        <v>3</v>
      </c>
      <c r="AB591" t="s">
        <v>1558</v>
      </c>
      <c r="AC591" t="s">
        <v>1559</v>
      </c>
      <c r="AD591" t="s">
        <v>1560</v>
      </c>
      <c r="AE591" t="s">
        <v>1561</v>
      </c>
      <c r="AF591" t="s">
        <v>1562</v>
      </c>
      <c r="AG591" t="s">
        <v>1857</v>
      </c>
      <c r="AH591" t="s">
        <v>66</v>
      </c>
      <c r="AI591" t="s">
        <v>66</v>
      </c>
      <c r="AJ591" t="s">
        <v>66</v>
      </c>
      <c r="AK591">
        <v>1</v>
      </c>
      <c r="AL591" t="s">
        <v>1858</v>
      </c>
      <c r="AM591" t="s">
        <v>1859</v>
      </c>
      <c r="AN591" t="s">
        <v>66</v>
      </c>
      <c r="AO591" t="s">
        <v>66</v>
      </c>
      <c r="AP591">
        <v>1</v>
      </c>
      <c r="AQ591" t="s">
        <v>1860</v>
      </c>
      <c r="AR591" t="s">
        <v>1861</v>
      </c>
      <c r="AS591" t="s">
        <v>1862</v>
      </c>
      <c r="AT591" t="s">
        <v>66</v>
      </c>
    </row>
    <row r="592" spans="1:46" x14ac:dyDescent="0.15">
      <c r="A592" t="s">
        <v>1922</v>
      </c>
      <c r="B592" t="s">
        <v>1548</v>
      </c>
      <c r="C592" t="s">
        <v>1549</v>
      </c>
      <c r="D592">
        <v>73</v>
      </c>
      <c r="E592" t="s">
        <v>1550</v>
      </c>
      <c r="F592" t="s">
        <v>1551</v>
      </c>
      <c r="G592" t="s">
        <v>51</v>
      </c>
      <c r="H592" t="s">
        <v>1552</v>
      </c>
      <c r="I592" t="s">
        <v>1553</v>
      </c>
      <c r="J592" t="s">
        <v>1554</v>
      </c>
      <c r="K592" t="s">
        <v>1555</v>
      </c>
      <c r="L592" t="s">
        <v>18</v>
      </c>
      <c r="M592" t="s">
        <v>19</v>
      </c>
      <c r="N592">
        <v>4541</v>
      </c>
      <c r="O592">
        <v>251</v>
      </c>
      <c r="P592">
        <v>0</v>
      </c>
      <c r="Q592" t="s">
        <v>1923</v>
      </c>
      <c r="R592" t="s">
        <v>1924</v>
      </c>
      <c r="S592" t="s">
        <v>1925</v>
      </c>
      <c r="T592" t="s">
        <v>1926</v>
      </c>
      <c r="U592" t="s">
        <v>60</v>
      </c>
      <c r="V592" t="s">
        <v>61</v>
      </c>
      <c r="W592">
        <v>10</v>
      </c>
      <c r="X592">
        <v>0.13125000000000001</v>
      </c>
      <c r="Y592" t="s">
        <v>301</v>
      </c>
      <c r="Z592" t="s">
        <v>543</v>
      </c>
      <c r="AA592">
        <v>3</v>
      </c>
      <c r="AB592" t="s">
        <v>1558</v>
      </c>
      <c r="AC592" t="s">
        <v>1559</v>
      </c>
      <c r="AD592" t="s">
        <v>1560</v>
      </c>
      <c r="AE592" t="s">
        <v>1561</v>
      </c>
      <c r="AF592" t="s">
        <v>1562</v>
      </c>
      <c r="AG592" t="s">
        <v>1857</v>
      </c>
      <c r="AH592" t="s">
        <v>66</v>
      </c>
      <c r="AI592" t="s">
        <v>66</v>
      </c>
      <c r="AJ592" t="s">
        <v>66</v>
      </c>
      <c r="AK592">
        <v>1</v>
      </c>
      <c r="AL592" t="s">
        <v>1858</v>
      </c>
      <c r="AM592" t="s">
        <v>1859</v>
      </c>
      <c r="AN592" t="s">
        <v>66</v>
      </c>
      <c r="AO592" t="s">
        <v>66</v>
      </c>
      <c r="AP592">
        <v>1</v>
      </c>
      <c r="AQ592" t="s">
        <v>1860</v>
      </c>
      <c r="AR592" t="s">
        <v>1861</v>
      </c>
      <c r="AS592" t="s">
        <v>1862</v>
      </c>
      <c r="AT592" t="s">
        <v>66</v>
      </c>
    </row>
    <row r="593" spans="1:46" x14ac:dyDescent="0.15">
      <c r="A593" t="s">
        <v>1927</v>
      </c>
      <c r="B593" t="s">
        <v>1548</v>
      </c>
      <c r="C593" t="s">
        <v>1549</v>
      </c>
      <c r="D593">
        <v>74</v>
      </c>
      <c r="E593" t="s">
        <v>1550</v>
      </c>
      <c r="F593" t="s">
        <v>1551</v>
      </c>
      <c r="G593" t="s">
        <v>51</v>
      </c>
      <c r="H593" t="s">
        <v>1552</v>
      </c>
      <c r="I593" t="s">
        <v>1553</v>
      </c>
      <c r="J593" t="s">
        <v>1554</v>
      </c>
      <c r="K593" t="s">
        <v>1555</v>
      </c>
      <c r="L593" t="s">
        <v>18</v>
      </c>
      <c r="M593" t="s">
        <v>19</v>
      </c>
      <c r="N593">
        <v>4597</v>
      </c>
      <c r="O593">
        <v>254</v>
      </c>
      <c r="P593">
        <v>0</v>
      </c>
      <c r="Q593" t="s">
        <v>1928</v>
      </c>
      <c r="R593" t="s">
        <v>1929</v>
      </c>
      <c r="S593" t="s">
        <v>1930</v>
      </c>
      <c r="T593" t="s">
        <v>1931</v>
      </c>
      <c r="U593" t="s">
        <v>60</v>
      </c>
      <c r="V593" t="s">
        <v>61</v>
      </c>
      <c r="W593">
        <v>10</v>
      </c>
      <c r="X593">
        <v>0.13125000000000001</v>
      </c>
      <c r="Y593" t="s">
        <v>549</v>
      </c>
      <c r="Z593" t="s">
        <v>550</v>
      </c>
      <c r="AA593">
        <v>3</v>
      </c>
      <c r="AB593" t="s">
        <v>1558</v>
      </c>
      <c r="AC593" t="s">
        <v>1559</v>
      </c>
      <c r="AD593" t="s">
        <v>1560</v>
      </c>
      <c r="AE593" t="s">
        <v>1561</v>
      </c>
      <c r="AF593" t="s">
        <v>1562</v>
      </c>
      <c r="AG593" t="s">
        <v>1857</v>
      </c>
      <c r="AH593" t="s">
        <v>66</v>
      </c>
      <c r="AI593" t="s">
        <v>66</v>
      </c>
      <c r="AJ593" t="s">
        <v>66</v>
      </c>
      <c r="AK593">
        <v>1</v>
      </c>
      <c r="AL593" t="s">
        <v>1858</v>
      </c>
      <c r="AM593" t="s">
        <v>1859</v>
      </c>
      <c r="AN593" t="s">
        <v>66</v>
      </c>
      <c r="AO593" t="s">
        <v>66</v>
      </c>
      <c r="AP593">
        <v>1</v>
      </c>
      <c r="AQ593" t="s">
        <v>1860</v>
      </c>
      <c r="AR593" t="s">
        <v>1861</v>
      </c>
      <c r="AS593" t="s">
        <v>1862</v>
      </c>
      <c r="AT593" t="s">
        <v>66</v>
      </c>
    </row>
    <row r="594" spans="1:46" x14ac:dyDescent="0.15">
      <c r="A594" t="s">
        <v>1932</v>
      </c>
      <c r="B594" t="s">
        <v>1548</v>
      </c>
      <c r="C594" t="s">
        <v>1549</v>
      </c>
      <c r="D594">
        <v>75</v>
      </c>
      <c r="E594" t="s">
        <v>1550</v>
      </c>
      <c r="F594" t="s">
        <v>1551</v>
      </c>
      <c r="G594" t="s">
        <v>51</v>
      </c>
      <c r="H594" t="s">
        <v>1552</v>
      </c>
      <c r="I594" t="s">
        <v>1553</v>
      </c>
      <c r="J594" t="s">
        <v>1554</v>
      </c>
      <c r="K594" t="s">
        <v>1555</v>
      </c>
      <c r="L594" t="s">
        <v>18</v>
      </c>
      <c r="M594" t="s">
        <v>19</v>
      </c>
      <c r="N594">
        <v>4653</v>
      </c>
      <c r="O594">
        <v>257</v>
      </c>
      <c r="P594">
        <v>0</v>
      </c>
      <c r="Q594" t="s">
        <v>1933</v>
      </c>
      <c r="R594" t="s">
        <v>1934</v>
      </c>
      <c r="S594" t="s">
        <v>1935</v>
      </c>
      <c r="T594" t="s">
        <v>1936</v>
      </c>
      <c r="U594" t="s">
        <v>60</v>
      </c>
      <c r="V594" t="s">
        <v>61</v>
      </c>
      <c r="W594">
        <v>10</v>
      </c>
      <c r="X594">
        <v>0.13125000000000001</v>
      </c>
      <c r="Y594" t="s">
        <v>308</v>
      </c>
      <c r="Z594" t="s">
        <v>556</v>
      </c>
      <c r="AA594">
        <v>3</v>
      </c>
      <c r="AB594" t="s">
        <v>1558</v>
      </c>
      <c r="AC594" t="s">
        <v>1559</v>
      </c>
      <c r="AD594" t="s">
        <v>1560</v>
      </c>
      <c r="AE594" t="s">
        <v>1561</v>
      </c>
      <c r="AF594" t="s">
        <v>1562</v>
      </c>
      <c r="AG594" t="s">
        <v>1857</v>
      </c>
      <c r="AH594" t="s">
        <v>66</v>
      </c>
      <c r="AI594" t="s">
        <v>66</v>
      </c>
      <c r="AJ594" t="s">
        <v>66</v>
      </c>
      <c r="AK594">
        <v>1</v>
      </c>
      <c r="AL594" t="s">
        <v>1858</v>
      </c>
      <c r="AM594" t="s">
        <v>1859</v>
      </c>
      <c r="AN594" t="s">
        <v>66</v>
      </c>
      <c r="AO594" t="s">
        <v>66</v>
      </c>
      <c r="AP594">
        <v>1</v>
      </c>
      <c r="AQ594" t="s">
        <v>1860</v>
      </c>
      <c r="AR594" t="s">
        <v>1861</v>
      </c>
      <c r="AS594" t="s">
        <v>1862</v>
      </c>
      <c r="AT594" t="s">
        <v>66</v>
      </c>
    </row>
    <row r="595" spans="1:46" x14ac:dyDescent="0.15">
      <c r="A595" t="s">
        <v>1937</v>
      </c>
      <c r="B595" t="s">
        <v>1548</v>
      </c>
      <c r="C595" t="s">
        <v>1549</v>
      </c>
      <c r="D595">
        <v>76</v>
      </c>
      <c r="E595" t="s">
        <v>1550</v>
      </c>
      <c r="F595" t="s">
        <v>1551</v>
      </c>
      <c r="G595" t="s">
        <v>51</v>
      </c>
      <c r="H595" t="s">
        <v>1552</v>
      </c>
      <c r="I595" t="s">
        <v>1553</v>
      </c>
      <c r="J595" t="s">
        <v>1554</v>
      </c>
      <c r="K595" t="s">
        <v>1555</v>
      </c>
      <c r="L595" t="s">
        <v>18</v>
      </c>
      <c r="M595" t="s">
        <v>19</v>
      </c>
      <c r="N595">
        <v>4709</v>
      </c>
      <c r="O595">
        <v>260</v>
      </c>
      <c r="P595">
        <v>0</v>
      </c>
      <c r="Q595" t="s">
        <v>1938</v>
      </c>
      <c r="R595" t="s">
        <v>1939</v>
      </c>
      <c r="S595" t="s">
        <v>1940</v>
      </c>
      <c r="T595" t="s">
        <v>1941</v>
      </c>
      <c r="U595" t="s">
        <v>60</v>
      </c>
      <c r="V595" t="s">
        <v>61</v>
      </c>
      <c r="W595">
        <v>10</v>
      </c>
      <c r="X595">
        <v>0.13125000000000001</v>
      </c>
      <c r="Y595" t="s">
        <v>562</v>
      </c>
      <c r="Z595" t="s">
        <v>563</v>
      </c>
      <c r="AA595">
        <v>3</v>
      </c>
      <c r="AB595" t="s">
        <v>1558</v>
      </c>
      <c r="AC595" t="s">
        <v>1559</v>
      </c>
      <c r="AD595" t="s">
        <v>1560</v>
      </c>
      <c r="AE595" t="s">
        <v>1561</v>
      </c>
      <c r="AF595" t="s">
        <v>1562</v>
      </c>
      <c r="AG595" t="s">
        <v>1857</v>
      </c>
      <c r="AH595" t="s">
        <v>66</v>
      </c>
      <c r="AI595" t="s">
        <v>66</v>
      </c>
      <c r="AJ595" t="s">
        <v>66</v>
      </c>
      <c r="AK595">
        <v>1</v>
      </c>
      <c r="AL595" t="s">
        <v>1858</v>
      </c>
      <c r="AM595" t="s">
        <v>1859</v>
      </c>
      <c r="AN595" t="s">
        <v>66</v>
      </c>
      <c r="AO595" t="s">
        <v>66</v>
      </c>
      <c r="AP595">
        <v>1</v>
      </c>
      <c r="AQ595" t="s">
        <v>1860</v>
      </c>
      <c r="AR595" t="s">
        <v>1861</v>
      </c>
      <c r="AS595" t="s">
        <v>1862</v>
      </c>
      <c r="AT595" t="s">
        <v>66</v>
      </c>
    </row>
    <row r="596" spans="1:46" x14ac:dyDescent="0.15">
      <c r="A596" t="s">
        <v>1942</v>
      </c>
      <c r="B596" t="s">
        <v>1548</v>
      </c>
      <c r="C596" t="s">
        <v>1549</v>
      </c>
      <c r="D596">
        <v>77</v>
      </c>
      <c r="E596" t="s">
        <v>1550</v>
      </c>
      <c r="F596" t="s">
        <v>1551</v>
      </c>
      <c r="G596" t="s">
        <v>51</v>
      </c>
      <c r="H596" t="s">
        <v>1552</v>
      </c>
      <c r="I596" t="s">
        <v>1553</v>
      </c>
      <c r="J596" t="s">
        <v>1554</v>
      </c>
      <c r="K596" t="s">
        <v>1555</v>
      </c>
      <c r="L596" t="s">
        <v>18</v>
      </c>
      <c r="M596" t="s">
        <v>19</v>
      </c>
      <c r="N596">
        <v>4765</v>
      </c>
      <c r="O596">
        <v>263</v>
      </c>
      <c r="P596">
        <v>0</v>
      </c>
      <c r="Q596" t="s">
        <v>1943</v>
      </c>
      <c r="R596" t="s">
        <v>1944</v>
      </c>
      <c r="S596" t="s">
        <v>1945</v>
      </c>
      <c r="T596" t="s">
        <v>1946</v>
      </c>
      <c r="U596" t="s">
        <v>60</v>
      </c>
      <c r="V596" t="s">
        <v>61</v>
      </c>
      <c r="W596">
        <v>10</v>
      </c>
      <c r="X596">
        <v>0.13125000000000001</v>
      </c>
      <c r="Y596" t="s">
        <v>314</v>
      </c>
      <c r="Z596" t="s">
        <v>569</v>
      </c>
      <c r="AA596">
        <v>3</v>
      </c>
      <c r="AB596" t="s">
        <v>1558</v>
      </c>
      <c r="AC596" t="s">
        <v>1559</v>
      </c>
      <c r="AD596" t="s">
        <v>1560</v>
      </c>
      <c r="AE596" t="s">
        <v>1561</v>
      </c>
      <c r="AF596" t="s">
        <v>1562</v>
      </c>
      <c r="AG596" t="s">
        <v>1857</v>
      </c>
      <c r="AH596" t="s">
        <v>66</v>
      </c>
      <c r="AI596" t="s">
        <v>66</v>
      </c>
      <c r="AJ596" t="s">
        <v>66</v>
      </c>
      <c r="AK596">
        <v>1</v>
      </c>
      <c r="AL596" t="s">
        <v>1858</v>
      </c>
      <c r="AM596" t="s">
        <v>1859</v>
      </c>
      <c r="AN596" t="s">
        <v>66</v>
      </c>
      <c r="AO596" t="s">
        <v>66</v>
      </c>
      <c r="AP596">
        <v>1</v>
      </c>
      <c r="AQ596" t="s">
        <v>1860</v>
      </c>
      <c r="AR596" t="s">
        <v>1861</v>
      </c>
      <c r="AS596" t="s">
        <v>1862</v>
      </c>
      <c r="AT596" t="s">
        <v>66</v>
      </c>
    </row>
    <row r="597" spans="1:46" x14ac:dyDescent="0.15">
      <c r="A597" t="s">
        <v>1947</v>
      </c>
      <c r="B597" t="s">
        <v>1548</v>
      </c>
      <c r="C597" t="s">
        <v>1549</v>
      </c>
      <c r="D597">
        <v>78</v>
      </c>
      <c r="E597" t="s">
        <v>1550</v>
      </c>
      <c r="F597" t="s">
        <v>1551</v>
      </c>
      <c r="G597" t="s">
        <v>51</v>
      </c>
      <c r="H597" t="s">
        <v>1552</v>
      </c>
      <c r="I597" t="s">
        <v>1553</v>
      </c>
      <c r="J597" t="s">
        <v>1554</v>
      </c>
      <c r="K597" t="s">
        <v>1555</v>
      </c>
      <c r="L597" t="s">
        <v>18</v>
      </c>
      <c r="M597" t="s">
        <v>19</v>
      </c>
      <c r="N597">
        <v>4821</v>
      </c>
      <c r="O597">
        <v>266</v>
      </c>
      <c r="P597">
        <v>0</v>
      </c>
      <c r="Q597" t="s">
        <v>1948</v>
      </c>
      <c r="R597" t="s">
        <v>1949</v>
      </c>
      <c r="S597" t="s">
        <v>1950</v>
      </c>
      <c r="T597" t="s">
        <v>1951</v>
      </c>
      <c r="U597" t="s">
        <v>60</v>
      </c>
      <c r="V597" t="s">
        <v>61</v>
      </c>
      <c r="W597">
        <v>10</v>
      </c>
      <c r="X597">
        <v>0.13125000000000001</v>
      </c>
      <c r="Y597" t="s">
        <v>575</v>
      </c>
      <c r="Z597" t="s">
        <v>576</v>
      </c>
      <c r="AA597">
        <v>3</v>
      </c>
      <c r="AB597" t="s">
        <v>1558</v>
      </c>
      <c r="AC597" t="s">
        <v>1559</v>
      </c>
      <c r="AD597" t="s">
        <v>1560</v>
      </c>
      <c r="AE597" t="s">
        <v>1561</v>
      </c>
      <c r="AF597" t="s">
        <v>1562</v>
      </c>
      <c r="AG597" t="s">
        <v>1857</v>
      </c>
      <c r="AH597" t="s">
        <v>66</v>
      </c>
      <c r="AI597" t="s">
        <v>66</v>
      </c>
      <c r="AJ597" t="s">
        <v>66</v>
      </c>
      <c r="AK597">
        <v>1</v>
      </c>
      <c r="AL597" t="s">
        <v>1858</v>
      </c>
      <c r="AM597" t="s">
        <v>1859</v>
      </c>
      <c r="AN597" t="s">
        <v>66</v>
      </c>
      <c r="AO597" t="s">
        <v>66</v>
      </c>
      <c r="AP597">
        <v>1</v>
      </c>
      <c r="AQ597" t="s">
        <v>1860</v>
      </c>
      <c r="AR597" t="s">
        <v>1861</v>
      </c>
      <c r="AS597" t="s">
        <v>1862</v>
      </c>
      <c r="AT597" t="s">
        <v>66</v>
      </c>
    </row>
    <row r="598" spans="1:46" x14ac:dyDescent="0.15">
      <c r="A598" t="s">
        <v>1952</v>
      </c>
      <c r="B598" t="s">
        <v>1548</v>
      </c>
      <c r="C598" t="s">
        <v>1549</v>
      </c>
      <c r="D598">
        <v>79</v>
      </c>
      <c r="E598" t="s">
        <v>1550</v>
      </c>
      <c r="F598" t="s">
        <v>1551</v>
      </c>
      <c r="G598" t="s">
        <v>51</v>
      </c>
      <c r="H598" t="s">
        <v>1552</v>
      </c>
      <c r="I598" t="s">
        <v>1553</v>
      </c>
      <c r="J598" t="s">
        <v>1554</v>
      </c>
      <c r="K598" t="s">
        <v>1555</v>
      </c>
      <c r="L598" t="s">
        <v>18</v>
      </c>
      <c r="M598" t="s">
        <v>19</v>
      </c>
      <c r="N598">
        <v>4878</v>
      </c>
      <c r="O598">
        <v>269</v>
      </c>
      <c r="P598">
        <v>0</v>
      </c>
      <c r="Q598" t="s">
        <v>1953</v>
      </c>
      <c r="R598" t="s">
        <v>1954</v>
      </c>
      <c r="S598" t="s">
        <v>1955</v>
      </c>
      <c r="T598" t="s">
        <v>1956</v>
      </c>
      <c r="U598" t="s">
        <v>60</v>
      </c>
      <c r="V598" t="s">
        <v>61</v>
      </c>
      <c r="W598">
        <v>10</v>
      </c>
      <c r="X598">
        <v>0.13125000000000001</v>
      </c>
      <c r="Y598" t="s">
        <v>321</v>
      </c>
      <c r="Z598" t="s">
        <v>582</v>
      </c>
      <c r="AA598">
        <v>3</v>
      </c>
      <c r="AB598" t="s">
        <v>1558</v>
      </c>
      <c r="AC598" t="s">
        <v>1559</v>
      </c>
      <c r="AD598" t="s">
        <v>1560</v>
      </c>
      <c r="AE598" t="s">
        <v>1561</v>
      </c>
      <c r="AF598" t="s">
        <v>1562</v>
      </c>
      <c r="AG598" t="s">
        <v>1857</v>
      </c>
      <c r="AH598" t="s">
        <v>66</v>
      </c>
      <c r="AI598" t="s">
        <v>66</v>
      </c>
      <c r="AJ598" t="s">
        <v>66</v>
      </c>
      <c r="AK598">
        <v>1</v>
      </c>
      <c r="AL598" t="s">
        <v>1858</v>
      </c>
      <c r="AM598" t="s">
        <v>1859</v>
      </c>
      <c r="AN598" t="s">
        <v>66</v>
      </c>
      <c r="AO598" t="s">
        <v>66</v>
      </c>
      <c r="AP598">
        <v>1</v>
      </c>
      <c r="AQ598" t="s">
        <v>1860</v>
      </c>
      <c r="AR598" t="s">
        <v>1861</v>
      </c>
      <c r="AS598" t="s">
        <v>1862</v>
      </c>
      <c r="AT598" t="s">
        <v>66</v>
      </c>
    </row>
    <row r="599" spans="1:46" x14ac:dyDescent="0.15">
      <c r="A599" t="s">
        <v>1957</v>
      </c>
      <c r="B599" t="s">
        <v>1548</v>
      </c>
      <c r="C599" t="s">
        <v>1549</v>
      </c>
      <c r="D599">
        <v>80</v>
      </c>
      <c r="E599" t="s">
        <v>1550</v>
      </c>
      <c r="F599" t="s">
        <v>1551</v>
      </c>
      <c r="G599" t="s">
        <v>51</v>
      </c>
      <c r="H599" t="s">
        <v>1552</v>
      </c>
      <c r="I599" t="s">
        <v>1553</v>
      </c>
      <c r="J599" t="s">
        <v>1554</v>
      </c>
      <c r="K599" t="s">
        <v>1555</v>
      </c>
      <c r="L599" t="s">
        <v>18</v>
      </c>
      <c r="M599" t="s">
        <v>19</v>
      </c>
      <c r="N599">
        <v>4934</v>
      </c>
      <c r="O599">
        <v>272</v>
      </c>
      <c r="P599">
        <v>0</v>
      </c>
      <c r="Q599" t="s">
        <v>1958</v>
      </c>
      <c r="R599" t="s">
        <v>1959</v>
      </c>
      <c r="S599" t="s">
        <v>1960</v>
      </c>
      <c r="T599" t="s">
        <v>1961</v>
      </c>
      <c r="U599" t="s">
        <v>60</v>
      </c>
      <c r="V599" t="s">
        <v>61</v>
      </c>
      <c r="W599">
        <v>10</v>
      </c>
      <c r="X599">
        <v>0.13125000000000001</v>
      </c>
      <c r="Y599" t="s">
        <v>588</v>
      </c>
      <c r="Z599" t="s">
        <v>589</v>
      </c>
      <c r="AA599">
        <v>3</v>
      </c>
      <c r="AB599" t="s">
        <v>1558</v>
      </c>
      <c r="AC599" t="s">
        <v>1559</v>
      </c>
      <c r="AD599" t="s">
        <v>1560</v>
      </c>
      <c r="AE599" t="s">
        <v>1561</v>
      </c>
      <c r="AF599" t="s">
        <v>1562</v>
      </c>
      <c r="AG599" t="s">
        <v>1857</v>
      </c>
      <c r="AH599" t="s">
        <v>66</v>
      </c>
      <c r="AI599" t="s">
        <v>66</v>
      </c>
      <c r="AJ599" t="s">
        <v>66</v>
      </c>
      <c r="AK599">
        <v>1</v>
      </c>
      <c r="AL599" t="s">
        <v>1858</v>
      </c>
      <c r="AM599" t="s">
        <v>1859</v>
      </c>
      <c r="AN599" t="s">
        <v>66</v>
      </c>
      <c r="AO599" t="s">
        <v>66</v>
      </c>
      <c r="AP599">
        <v>1</v>
      </c>
      <c r="AQ599" t="s">
        <v>1860</v>
      </c>
      <c r="AR599" t="s">
        <v>1861</v>
      </c>
      <c r="AS599" t="s">
        <v>1862</v>
      </c>
      <c r="AT599" t="s">
        <v>66</v>
      </c>
    </row>
    <row r="600" spans="1:46" x14ac:dyDescent="0.15">
      <c r="A600" t="s">
        <v>1957</v>
      </c>
      <c r="B600" t="s">
        <v>1548</v>
      </c>
      <c r="C600" t="s">
        <v>1549</v>
      </c>
      <c r="D600">
        <v>80</v>
      </c>
      <c r="E600" t="s">
        <v>1550</v>
      </c>
      <c r="F600" t="s">
        <v>1551</v>
      </c>
      <c r="G600" t="s">
        <v>51</v>
      </c>
      <c r="H600" t="s">
        <v>1552</v>
      </c>
      <c r="I600" t="s">
        <v>1553</v>
      </c>
      <c r="J600" t="s">
        <v>1554</v>
      </c>
      <c r="K600" t="s">
        <v>1555</v>
      </c>
      <c r="L600" t="s">
        <v>18</v>
      </c>
      <c r="M600" t="s">
        <v>19</v>
      </c>
      <c r="N600">
        <v>4934</v>
      </c>
      <c r="O600">
        <v>272</v>
      </c>
      <c r="P600">
        <v>0</v>
      </c>
      <c r="Q600" t="s">
        <v>1958</v>
      </c>
      <c r="R600" t="s">
        <v>1959</v>
      </c>
      <c r="S600" t="s">
        <v>1960</v>
      </c>
      <c r="T600" t="s">
        <v>1961</v>
      </c>
      <c r="U600" t="s">
        <v>60</v>
      </c>
      <c r="V600" t="s">
        <v>61</v>
      </c>
      <c r="W600">
        <v>10</v>
      </c>
      <c r="X600">
        <v>0.13125000000000001</v>
      </c>
      <c r="Y600" t="s">
        <v>588</v>
      </c>
      <c r="Z600" t="s">
        <v>589</v>
      </c>
      <c r="AA600">
        <v>4</v>
      </c>
      <c r="AB600" t="s">
        <v>1558</v>
      </c>
      <c r="AC600" t="s">
        <v>1559</v>
      </c>
      <c r="AD600" t="s">
        <v>1560</v>
      </c>
      <c r="AE600" t="s">
        <v>1561</v>
      </c>
      <c r="AF600" t="s">
        <v>1562</v>
      </c>
      <c r="AG600" t="s">
        <v>1857</v>
      </c>
      <c r="AH600" t="s">
        <v>1962</v>
      </c>
      <c r="AI600" t="s">
        <v>1963</v>
      </c>
      <c r="AJ600" t="s">
        <v>1857</v>
      </c>
      <c r="AK600">
        <v>1</v>
      </c>
      <c r="AL600" t="s">
        <v>1858</v>
      </c>
      <c r="AM600" t="s">
        <v>1859</v>
      </c>
      <c r="AN600" t="s">
        <v>66</v>
      </c>
      <c r="AO600" t="s">
        <v>66</v>
      </c>
      <c r="AP600">
        <v>1</v>
      </c>
      <c r="AQ600" t="s">
        <v>1860</v>
      </c>
      <c r="AR600" t="s">
        <v>1861</v>
      </c>
      <c r="AS600" t="s">
        <v>1862</v>
      </c>
      <c r="AT600" t="s">
        <v>66</v>
      </c>
    </row>
    <row r="601" spans="1:46" x14ac:dyDescent="0.15">
      <c r="A601" t="s">
        <v>1964</v>
      </c>
      <c r="B601" t="s">
        <v>1548</v>
      </c>
      <c r="C601" t="s">
        <v>1549</v>
      </c>
      <c r="D601">
        <v>81</v>
      </c>
      <c r="E601" t="s">
        <v>1550</v>
      </c>
      <c r="F601" t="s">
        <v>1551</v>
      </c>
      <c r="G601" t="s">
        <v>51</v>
      </c>
      <c r="H601" t="s">
        <v>1552</v>
      </c>
      <c r="I601" t="s">
        <v>1553</v>
      </c>
      <c r="J601" t="s">
        <v>1554</v>
      </c>
      <c r="K601" t="s">
        <v>1555</v>
      </c>
      <c r="L601" t="s">
        <v>18</v>
      </c>
      <c r="M601" t="s">
        <v>19</v>
      </c>
      <c r="N601">
        <v>4990</v>
      </c>
      <c r="O601">
        <v>275</v>
      </c>
      <c r="P601">
        <v>0</v>
      </c>
      <c r="Q601" t="s">
        <v>1965</v>
      </c>
      <c r="R601" t="s">
        <v>1966</v>
      </c>
      <c r="S601" t="s">
        <v>1967</v>
      </c>
      <c r="T601" t="s">
        <v>1968</v>
      </c>
      <c r="U601" t="s">
        <v>60</v>
      </c>
      <c r="V601" t="s">
        <v>61</v>
      </c>
      <c r="W601">
        <v>10</v>
      </c>
      <c r="X601">
        <v>0.13125000000000001</v>
      </c>
      <c r="Y601" t="s">
        <v>330</v>
      </c>
      <c r="Z601" t="s">
        <v>596</v>
      </c>
      <c r="AA601">
        <v>4</v>
      </c>
      <c r="AB601" t="s">
        <v>1558</v>
      </c>
      <c r="AC601" t="s">
        <v>1559</v>
      </c>
      <c r="AD601" t="s">
        <v>1560</v>
      </c>
      <c r="AE601" t="s">
        <v>1561</v>
      </c>
      <c r="AF601" t="s">
        <v>1562</v>
      </c>
      <c r="AG601" t="s">
        <v>1857</v>
      </c>
      <c r="AH601" t="s">
        <v>1962</v>
      </c>
      <c r="AI601" t="s">
        <v>1963</v>
      </c>
      <c r="AJ601" t="s">
        <v>1857</v>
      </c>
      <c r="AK601">
        <v>1</v>
      </c>
      <c r="AL601" t="s">
        <v>1858</v>
      </c>
      <c r="AM601" t="s">
        <v>1859</v>
      </c>
      <c r="AN601" t="s">
        <v>66</v>
      </c>
      <c r="AO601" t="s">
        <v>66</v>
      </c>
      <c r="AP601">
        <v>1</v>
      </c>
      <c r="AQ601" t="s">
        <v>1860</v>
      </c>
      <c r="AR601" t="s">
        <v>1861</v>
      </c>
      <c r="AS601" t="s">
        <v>1862</v>
      </c>
      <c r="AT601" t="s">
        <v>66</v>
      </c>
    </row>
    <row r="602" spans="1:46" x14ac:dyDescent="0.15">
      <c r="A602" t="s">
        <v>1969</v>
      </c>
      <c r="B602" t="s">
        <v>1548</v>
      </c>
      <c r="C602" t="s">
        <v>1549</v>
      </c>
      <c r="D602">
        <v>82</v>
      </c>
      <c r="E602" t="s">
        <v>1550</v>
      </c>
      <c r="F602" t="s">
        <v>1551</v>
      </c>
      <c r="G602" t="s">
        <v>51</v>
      </c>
      <c r="H602" t="s">
        <v>1552</v>
      </c>
      <c r="I602" t="s">
        <v>1553</v>
      </c>
      <c r="J602" t="s">
        <v>1554</v>
      </c>
      <c r="K602" t="s">
        <v>1555</v>
      </c>
      <c r="L602" t="s">
        <v>18</v>
      </c>
      <c r="M602" t="s">
        <v>19</v>
      </c>
      <c r="N602">
        <v>5046</v>
      </c>
      <c r="O602">
        <v>278</v>
      </c>
      <c r="P602">
        <v>0</v>
      </c>
      <c r="Q602" t="s">
        <v>1970</v>
      </c>
      <c r="R602" t="s">
        <v>1971</v>
      </c>
      <c r="S602" t="s">
        <v>1972</v>
      </c>
      <c r="T602" t="s">
        <v>1973</v>
      </c>
      <c r="U602" t="s">
        <v>60</v>
      </c>
      <c r="V602" t="s">
        <v>61</v>
      </c>
      <c r="W602">
        <v>10</v>
      </c>
      <c r="X602">
        <v>0.13125000000000001</v>
      </c>
      <c r="Y602" t="s">
        <v>602</v>
      </c>
      <c r="Z602" t="s">
        <v>603</v>
      </c>
      <c r="AA602">
        <v>4</v>
      </c>
      <c r="AB602" t="s">
        <v>1558</v>
      </c>
      <c r="AC602" t="s">
        <v>1559</v>
      </c>
      <c r="AD602" t="s">
        <v>1560</v>
      </c>
      <c r="AE602" t="s">
        <v>1561</v>
      </c>
      <c r="AF602" t="s">
        <v>1562</v>
      </c>
      <c r="AG602" t="s">
        <v>1857</v>
      </c>
      <c r="AH602" t="s">
        <v>1962</v>
      </c>
      <c r="AI602" t="s">
        <v>1963</v>
      </c>
      <c r="AJ602" t="s">
        <v>1857</v>
      </c>
      <c r="AK602">
        <v>1</v>
      </c>
      <c r="AL602" t="s">
        <v>1858</v>
      </c>
      <c r="AM602" t="s">
        <v>1859</v>
      </c>
      <c r="AN602" t="s">
        <v>66</v>
      </c>
      <c r="AO602" t="s">
        <v>66</v>
      </c>
      <c r="AP602">
        <v>1</v>
      </c>
      <c r="AQ602" t="s">
        <v>1860</v>
      </c>
      <c r="AR602" t="s">
        <v>1861</v>
      </c>
      <c r="AS602" t="s">
        <v>1862</v>
      </c>
      <c r="AT602" t="s">
        <v>66</v>
      </c>
    </row>
    <row r="603" spans="1:46" x14ac:dyDescent="0.15">
      <c r="A603" t="s">
        <v>1974</v>
      </c>
      <c r="B603" t="s">
        <v>1548</v>
      </c>
      <c r="C603" t="s">
        <v>1549</v>
      </c>
      <c r="D603">
        <v>83</v>
      </c>
      <c r="E603" t="s">
        <v>1550</v>
      </c>
      <c r="F603" t="s">
        <v>1551</v>
      </c>
      <c r="G603" t="s">
        <v>51</v>
      </c>
      <c r="H603" t="s">
        <v>1552</v>
      </c>
      <c r="I603" t="s">
        <v>1553</v>
      </c>
      <c r="J603" t="s">
        <v>1554</v>
      </c>
      <c r="K603" t="s">
        <v>1555</v>
      </c>
      <c r="L603" t="s">
        <v>18</v>
      </c>
      <c r="M603" t="s">
        <v>19</v>
      </c>
      <c r="N603">
        <v>5102</v>
      </c>
      <c r="O603">
        <v>281</v>
      </c>
      <c r="P603">
        <v>0</v>
      </c>
      <c r="Q603" t="s">
        <v>1975</v>
      </c>
      <c r="R603" t="s">
        <v>1976</v>
      </c>
      <c r="S603" t="s">
        <v>1977</v>
      </c>
      <c r="T603" t="s">
        <v>1978</v>
      </c>
      <c r="U603" t="s">
        <v>60</v>
      </c>
      <c r="V603" t="s">
        <v>61</v>
      </c>
      <c r="W603">
        <v>10</v>
      </c>
      <c r="X603">
        <v>0.13125000000000001</v>
      </c>
      <c r="Y603" t="s">
        <v>337</v>
      </c>
      <c r="Z603" t="s">
        <v>609</v>
      </c>
      <c r="AA603">
        <v>4</v>
      </c>
      <c r="AB603" t="s">
        <v>1558</v>
      </c>
      <c r="AC603" t="s">
        <v>1559</v>
      </c>
      <c r="AD603" t="s">
        <v>1560</v>
      </c>
      <c r="AE603" t="s">
        <v>1561</v>
      </c>
      <c r="AF603" t="s">
        <v>1562</v>
      </c>
      <c r="AG603" t="s">
        <v>1857</v>
      </c>
      <c r="AH603" t="s">
        <v>1962</v>
      </c>
      <c r="AI603" t="s">
        <v>1963</v>
      </c>
      <c r="AJ603" t="s">
        <v>1857</v>
      </c>
      <c r="AK603">
        <v>1</v>
      </c>
      <c r="AL603" t="s">
        <v>1858</v>
      </c>
      <c r="AM603" t="s">
        <v>1859</v>
      </c>
      <c r="AN603" t="s">
        <v>66</v>
      </c>
      <c r="AO603" t="s">
        <v>66</v>
      </c>
      <c r="AP603">
        <v>1</v>
      </c>
      <c r="AQ603" t="s">
        <v>1860</v>
      </c>
      <c r="AR603" t="s">
        <v>1861</v>
      </c>
      <c r="AS603" t="s">
        <v>1862</v>
      </c>
      <c r="AT603" t="s">
        <v>66</v>
      </c>
    </row>
    <row r="604" spans="1:46" x14ac:dyDescent="0.15">
      <c r="A604" t="s">
        <v>1979</v>
      </c>
      <c r="B604" t="s">
        <v>1548</v>
      </c>
      <c r="C604" t="s">
        <v>1549</v>
      </c>
      <c r="D604">
        <v>84</v>
      </c>
      <c r="E604" t="s">
        <v>1550</v>
      </c>
      <c r="F604" t="s">
        <v>1551</v>
      </c>
      <c r="G604" t="s">
        <v>51</v>
      </c>
      <c r="H604" t="s">
        <v>1552</v>
      </c>
      <c r="I604" t="s">
        <v>1553</v>
      </c>
      <c r="J604" t="s">
        <v>1554</v>
      </c>
      <c r="K604" t="s">
        <v>1555</v>
      </c>
      <c r="L604" t="s">
        <v>18</v>
      </c>
      <c r="M604" t="s">
        <v>19</v>
      </c>
      <c r="N604">
        <v>5158</v>
      </c>
      <c r="O604">
        <v>284</v>
      </c>
      <c r="P604">
        <v>0</v>
      </c>
      <c r="Q604" t="s">
        <v>1980</v>
      </c>
      <c r="R604" t="s">
        <v>1981</v>
      </c>
      <c r="S604" t="s">
        <v>1982</v>
      </c>
      <c r="T604" t="s">
        <v>1983</v>
      </c>
      <c r="U604" t="s">
        <v>60</v>
      </c>
      <c r="V604" t="s">
        <v>61</v>
      </c>
      <c r="W604">
        <v>10</v>
      </c>
      <c r="X604">
        <v>0.13125000000000001</v>
      </c>
      <c r="Y604" t="s">
        <v>615</v>
      </c>
      <c r="Z604" t="s">
        <v>616</v>
      </c>
      <c r="AA604">
        <v>4</v>
      </c>
      <c r="AB604" t="s">
        <v>1558</v>
      </c>
      <c r="AC604" t="s">
        <v>1559</v>
      </c>
      <c r="AD604" t="s">
        <v>1560</v>
      </c>
      <c r="AE604" t="s">
        <v>1561</v>
      </c>
      <c r="AF604" t="s">
        <v>1562</v>
      </c>
      <c r="AG604" t="s">
        <v>1857</v>
      </c>
      <c r="AH604" t="s">
        <v>1962</v>
      </c>
      <c r="AI604" t="s">
        <v>1963</v>
      </c>
      <c r="AJ604" t="s">
        <v>1857</v>
      </c>
      <c r="AK604">
        <v>1</v>
      </c>
      <c r="AL604" t="s">
        <v>1858</v>
      </c>
      <c r="AM604" t="s">
        <v>1859</v>
      </c>
      <c r="AN604" t="s">
        <v>66</v>
      </c>
      <c r="AO604" t="s">
        <v>66</v>
      </c>
      <c r="AP604">
        <v>1</v>
      </c>
      <c r="AQ604" t="s">
        <v>1860</v>
      </c>
      <c r="AR604" t="s">
        <v>1861</v>
      </c>
      <c r="AS604" t="s">
        <v>1862</v>
      </c>
      <c r="AT604" t="s">
        <v>66</v>
      </c>
    </row>
    <row r="605" spans="1:46" x14ac:dyDescent="0.15">
      <c r="A605" t="s">
        <v>1984</v>
      </c>
      <c r="B605" t="s">
        <v>1548</v>
      </c>
      <c r="C605" t="s">
        <v>1549</v>
      </c>
      <c r="D605">
        <v>85</v>
      </c>
      <c r="E605" t="s">
        <v>1550</v>
      </c>
      <c r="F605" t="s">
        <v>1551</v>
      </c>
      <c r="G605" t="s">
        <v>51</v>
      </c>
      <c r="H605" t="s">
        <v>1552</v>
      </c>
      <c r="I605" t="s">
        <v>1553</v>
      </c>
      <c r="J605" t="s">
        <v>1554</v>
      </c>
      <c r="K605" t="s">
        <v>1555</v>
      </c>
      <c r="L605" t="s">
        <v>18</v>
      </c>
      <c r="M605" t="s">
        <v>19</v>
      </c>
      <c r="N605">
        <v>5214</v>
      </c>
      <c r="O605">
        <v>288</v>
      </c>
      <c r="P605">
        <v>0</v>
      </c>
      <c r="Q605" t="s">
        <v>1985</v>
      </c>
      <c r="R605" t="s">
        <v>1986</v>
      </c>
      <c r="S605" t="s">
        <v>1987</v>
      </c>
      <c r="T605" t="s">
        <v>1988</v>
      </c>
      <c r="U605" t="s">
        <v>60</v>
      </c>
      <c r="V605" t="s">
        <v>61</v>
      </c>
      <c r="W605">
        <v>10</v>
      </c>
      <c r="X605">
        <v>0.13125000000000001</v>
      </c>
      <c r="Y605" t="s">
        <v>343</v>
      </c>
      <c r="Z605" t="s">
        <v>622</v>
      </c>
      <c r="AA605">
        <v>4</v>
      </c>
      <c r="AB605" t="s">
        <v>1558</v>
      </c>
      <c r="AC605" t="s">
        <v>1559</v>
      </c>
      <c r="AD605" t="s">
        <v>1560</v>
      </c>
      <c r="AE605" t="s">
        <v>1561</v>
      </c>
      <c r="AF605" t="s">
        <v>1562</v>
      </c>
      <c r="AG605" t="s">
        <v>1857</v>
      </c>
      <c r="AH605" t="s">
        <v>1962</v>
      </c>
      <c r="AI605" t="s">
        <v>1963</v>
      </c>
      <c r="AJ605" t="s">
        <v>1857</v>
      </c>
      <c r="AK605">
        <v>1</v>
      </c>
      <c r="AL605" t="s">
        <v>1858</v>
      </c>
      <c r="AM605" t="s">
        <v>1859</v>
      </c>
      <c r="AN605" t="s">
        <v>66</v>
      </c>
      <c r="AO605" t="s">
        <v>66</v>
      </c>
      <c r="AP605">
        <v>1</v>
      </c>
      <c r="AQ605" t="s">
        <v>1860</v>
      </c>
      <c r="AR605" t="s">
        <v>1861</v>
      </c>
      <c r="AS605" t="s">
        <v>1862</v>
      </c>
      <c r="AT605" t="s">
        <v>66</v>
      </c>
    </row>
    <row r="606" spans="1:46" x14ac:dyDescent="0.15">
      <c r="A606" t="s">
        <v>1989</v>
      </c>
      <c r="B606" t="s">
        <v>1548</v>
      </c>
      <c r="C606" t="s">
        <v>1549</v>
      </c>
      <c r="D606">
        <v>86</v>
      </c>
      <c r="E606" t="s">
        <v>1550</v>
      </c>
      <c r="F606" t="s">
        <v>1551</v>
      </c>
      <c r="G606" t="s">
        <v>51</v>
      </c>
      <c r="H606" t="s">
        <v>1552</v>
      </c>
      <c r="I606" t="s">
        <v>1553</v>
      </c>
      <c r="J606" t="s">
        <v>1554</v>
      </c>
      <c r="K606" t="s">
        <v>1555</v>
      </c>
      <c r="L606" t="s">
        <v>18</v>
      </c>
      <c r="M606" t="s">
        <v>19</v>
      </c>
      <c r="N606">
        <v>5270</v>
      </c>
      <c r="O606">
        <v>291</v>
      </c>
      <c r="P606">
        <v>0</v>
      </c>
      <c r="Q606" t="s">
        <v>1990</v>
      </c>
      <c r="R606" t="s">
        <v>1991</v>
      </c>
      <c r="S606" t="s">
        <v>1992</v>
      </c>
      <c r="T606" t="s">
        <v>1993</v>
      </c>
      <c r="U606" t="s">
        <v>60</v>
      </c>
      <c r="V606" t="s">
        <v>61</v>
      </c>
      <c r="W606">
        <v>10</v>
      </c>
      <c r="X606">
        <v>0.13125000000000001</v>
      </c>
      <c r="Y606" t="s">
        <v>628</v>
      </c>
      <c r="Z606" t="s">
        <v>629</v>
      </c>
      <c r="AA606">
        <v>4</v>
      </c>
      <c r="AB606" t="s">
        <v>1558</v>
      </c>
      <c r="AC606" t="s">
        <v>1559</v>
      </c>
      <c r="AD606" t="s">
        <v>1560</v>
      </c>
      <c r="AE606" t="s">
        <v>1561</v>
      </c>
      <c r="AF606" t="s">
        <v>1562</v>
      </c>
      <c r="AG606" t="s">
        <v>1857</v>
      </c>
      <c r="AH606" t="s">
        <v>1962</v>
      </c>
      <c r="AI606" t="s">
        <v>1963</v>
      </c>
      <c r="AJ606" t="s">
        <v>1857</v>
      </c>
      <c r="AK606">
        <v>1</v>
      </c>
      <c r="AL606" t="s">
        <v>1858</v>
      </c>
      <c r="AM606" t="s">
        <v>1859</v>
      </c>
      <c r="AN606" t="s">
        <v>66</v>
      </c>
      <c r="AO606" t="s">
        <v>66</v>
      </c>
      <c r="AP606">
        <v>1</v>
      </c>
      <c r="AQ606" t="s">
        <v>1860</v>
      </c>
      <c r="AR606" t="s">
        <v>1861</v>
      </c>
      <c r="AS606" t="s">
        <v>1862</v>
      </c>
      <c r="AT606" t="s">
        <v>66</v>
      </c>
    </row>
    <row r="607" spans="1:46" x14ac:dyDescent="0.15">
      <c r="A607" t="s">
        <v>1994</v>
      </c>
      <c r="B607" t="s">
        <v>1548</v>
      </c>
      <c r="C607" t="s">
        <v>1549</v>
      </c>
      <c r="D607">
        <v>87</v>
      </c>
      <c r="E607" t="s">
        <v>1550</v>
      </c>
      <c r="F607" t="s">
        <v>1551</v>
      </c>
      <c r="G607" t="s">
        <v>51</v>
      </c>
      <c r="H607" t="s">
        <v>1552</v>
      </c>
      <c r="I607" t="s">
        <v>1553</v>
      </c>
      <c r="J607" t="s">
        <v>1554</v>
      </c>
      <c r="K607" t="s">
        <v>1555</v>
      </c>
      <c r="L607" t="s">
        <v>18</v>
      </c>
      <c r="M607" t="s">
        <v>19</v>
      </c>
      <c r="N607">
        <v>5327</v>
      </c>
      <c r="O607">
        <v>294</v>
      </c>
      <c r="P607">
        <v>0</v>
      </c>
      <c r="Q607" t="s">
        <v>1995</v>
      </c>
      <c r="R607" t="s">
        <v>1996</v>
      </c>
      <c r="S607" t="s">
        <v>1997</v>
      </c>
      <c r="T607" t="s">
        <v>1998</v>
      </c>
      <c r="U607" t="s">
        <v>60</v>
      </c>
      <c r="V607" t="s">
        <v>61</v>
      </c>
      <c r="W607">
        <v>10</v>
      </c>
      <c r="X607">
        <v>0.13125000000000001</v>
      </c>
      <c r="Y607" t="s">
        <v>350</v>
      </c>
      <c r="Z607" t="s">
        <v>635</v>
      </c>
      <c r="AA607">
        <v>4</v>
      </c>
      <c r="AB607" t="s">
        <v>1558</v>
      </c>
      <c r="AC607" t="s">
        <v>1559</v>
      </c>
      <c r="AD607" t="s">
        <v>1560</v>
      </c>
      <c r="AE607" t="s">
        <v>1561</v>
      </c>
      <c r="AF607" t="s">
        <v>1562</v>
      </c>
      <c r="AG607" t="s">
        <v>1857</v>
      </c>
      <c r="AH607" t="s">
        <v>1962</v>
      </c>
      <c r="AI607" t="s">
        <v>1963</v>
      </c>
      <c r="AJ607" t="s">
        <v>1857</v>
      </c>
      <c r="AK607">
        <v>1</v>
      </c>
      <c r="AL607" t="s">
        <v>1858</v>
      </c>
      <c r="AM607" t="s">
        <v>1859</v>
      </c>
      <c r="AN607" t="s">
        <v>66</v>
      </c>
      <c r="AO607" t="s">
        <v>66</v>
      </c>
      <c r="AP607">
        <v>1</v>
      </c>
      <c r="AQ607" t="s">
        <v>1860</v>
      </c>
      <c r="AR607" t="s">
        <v>1861</v>
      </c>
      <c r="AS607" t="s">
        <v>1862</v>
      </c>
      <c r="AT607" t="s">
        <v>66</v>
      </c>
    </row>
    <row r="608" spans="1:46" x14ac:dyDescent="0.15">
      <c r="A608" t="s">
        <v>1999</v>
      </c>
      <c r="B608" t="s">
        <v>1548</v>
      </c>
      <c r="C608" t="s">
        <v>1549</v>
      </c>
      <c r="D608">
        <v>88</v>
      </c>
      <c r="E608" t="s">
        <v>1550</v>
      </c>
      <c r="F608" t="s">
        <v>1551</v>
      </c>
      <c r="G608" t="s">
        <v>51</v>
      </c>
      <c r="H608" t="s">
        <v>1552</v>
      </c>
      <c r="I608" t="s">
        <v>1553</v>
      </c>
      <c r="J608" t="s">
        <v>1554</v>
      </c>
      <c r="K608" t="s">
        <v>1555</v>
      </c>
      <c r="L608" t="s">
        <v>18</v>
      </c>
      <c r="M608" t="s">
        <v>19</v>
      </c>
      <c r="N608">
        <v>5383</v>
      </c>
      <c r="O608">
        <v>297</v>
      </c>
      <c r="P608">
        <v>0</v>
      </c>
      <c r="Q608" t="s">
        <v>2000</v>
      </c>
      <c r="R608" t="s">
        <v>2001</v>
      </c>
      <c r="S608" t="s">
        <v>2002</v>
      </c>
      <c r="T608" t="s">
        <v>2003</v>
      </c>
      <c r="U608" t="s">
        <v>60</v>
      </c>
      <c r="V608" t="s">
        <v>61</v>
      </c>
      <c r="W608">
        <v>10</v>
      </c>
      <c r="X608">
        <v>0.13125000000000001</v>
      </c>
      <c r="Y608" t="s">
        <v>641</v>
      </c>
      <c r="Z608" t="s">
        <v>642</v>
      </c>
      <c r="AA608">
        <v>4</v>
      </c>
      <c r="AB608" t="s">
        <v>1558</v>
      </c>
      <c r="AC608" t="s">
        <v>1559</v>
      </c>
      <c r="AD608" t="s">
        <v>1560</v>
      </c>
      <c r="AE608" t="s">
        <v>1561</v>
      </c>
      <c r="AF608" t="s">
        <v>1562</v>
      </c>
      <c r="AG608" t="s">
        <v>1857</v>
      </c>
      <c r="AH608" t="s">
        <v>1962</v>
      </c>
      <c r="AI608" t="s">
        <v>1963</v>
      </c>
      <c r="AJ608" t="s">
        <v>1857</v>
      </c>
      <c r="AK608">
        <v>1</v>
      </c>
      <c r="AL608" t="s">
        <v>1858</v>
      </c>
      <c r="AM608" t="s">
        <v>1859</v>
      </c>
      <c r="AN608" t="s">
        <v>66</v>
      </c>
      <c r="AO608" t="s">
        <v>66</v>
      </c>
      <c r="AP608">
        <v>1</v>
      </c>
      <c r="AQ608" t="s">
        <v>1860</v>
      </c>
      <c r="AR608" t="s">
        <v>1861</v>
      </c>
      <c r="AS608" t="s">
        <v>1862</v>
      </c>
      <c r="AT608" t="s">
        <v>66</v>
      </c>
    </row>
    <row r="609" spans="1:46" x14ac:dyDescent="0.15">
      <c r="A609" t="s">
        <v>2004</v>
      </c>
      <c r="B609" t="s">
        <v>1548</v>
      </c>
      <c r="C609" t="s">
        <v>1549</v>
      </c>
      <c r="D609">
        <v>89</v>
      </c>
      <c r="E609" t="s">
        <v>1550</v>
      </c>
      <c r="F609" t="s">
        <v>1551</v>
      </c>
      <c r="G609" t="s">
        <v>51</v>
      </c>
      <c r="H609" t="s">
        <v>1552</v>
      </c>
      <c r="I609" t="s">
        <v>1553</v>
      </c>
      <c r="J609" t="s">
        <v>1554</v>
      </c>
      <c r="K609" t="s">
        <v>1555</v>
      </c>
      <c r="L609" t="s">
        <v>18</v>
      </c>
      <c r="M609" t="s">
        <v>19</v>
      </c>
      <c r="N609">
        <v>5439</v>
      </c>
      <c r="O609">
        <v>300</v>
      </c>
      <c r="P609">
        <v>0</v>
      </c>
      <c r="Q609" t="s">
        <v>555</v>
      </c>
      <c r="R609" t="s">
        <v>2005</v>
      </c>
      <c r="S609" t="s">
        <v>2006</v>
      </c>
      <c r="T609" t="s">
        <v>2007</v>
      </c>
      <c r="U609" t="s">
        <v>60</v>
      </c>
      <c r="V609" t="s">
        <v>61</v>
      </c>
      <c r="W609">
        <v>10</v>
      </c>
      <c r="X609">
        <v>0.13125000000000001</v>
      </c>
      <c r="Y609" t="s">
        <v>356</v>
      </c>
      <c r="Z609" t="s">
        <v>648</v>
      </c>
      <c r="AA609">
        <v>4</v>
      </c>
      <c r="AB609" t="s">
        <v>1558</v>
      </c>
      <c r="AC609" t="s">
        <v>1559</v>
      </c>
      <c r="AD609" t="s">
        <v>1560</v>
      </c>
      <c r="AE609" t="s">
        <v>1561</v>
      </c>
      <c r="AF609" t="s">
        <v>1562</v>
      </c>
      <c r="AG609" t="s">
        <v>1857</v>
      </c>
      <c r="AH609" t="s">
        <v>1962</v>
      </c>
      <c r="AI609" t="s">
        <v>1963</v>
      </c>
      <c r="AJ609" t="s">
        <v>1857</v>
      </c>
      <c r="AK609">
        <v>1</v>
      </c>
      <c r="AL609" t="s">
        <v>1858</v>
      </c>
      <c r="AM609" t="s">
        <v>1859</v>
      </c>
      <c r="AN609" t="s">
        <v>66</v>
      </c>
      <c r="AO609" t="s">
        <v>66</v>
      </c>
      <c r="AP609">
        <v>1</v>
      </c>
      <c r="AQ609" t="s">
        <v>1860</v>
      </c>
      <c r="AR609" t="s">
        <v>1861</v>
      </c>
      <c r="AS609" t="s">
        <v>1862</v>
      </c>
      <c r="AT609" t="s">
        <v>66</v>
      </c>
    </row>
    <row r="610" spans="1:46" x14ac:dyDescent="0.15">
      <c r="A610" t="s">
        <v>2008</v>
      </c>
      <c r="B610" t="s">
        <v>1548</v>
      </c>
      <c r="C610" t="s">
        <v>1549</v>
      </c>
      <c r="D610">
        <v>90</v>
      </c>
      <c r="E610" t="s">
        <v>1550</v>
      </c>
      <c r="F610" t="s">
        <v>1551</v>
      </c>
      <c r="G610" t="s">
        <v>51</v>
      </c>
      <c r="H610" t="s">
        <v>1552</v>
      </c>
      <c r="I610" t="s">
        <v>1553</v>
      </c>
      <c r="J610" t="s">
        <v>1554</v>
      </c>
      <c r="K610" t="s">
        <v>1555</v>
      </c>
      <c r="L610" t="s">
        <v>18</v>
      </c>
      <c r="M610" t="s">
        <v>19</v>
      </c>
      <c r="N610">
        <v>5495</v>
      </c>
      <c r="O610">
        <v>303</v>
      </c>
      <c r="P610">
        <v>0</v>
      </c>
      <c r="Q610" t="s">
        <v>2009</v>
      </c>
      <c r="R610" t="s">
        <v>2010</v>
      </c>
      <c r="S610" t="s">
        <v>2011</v>
      </c>
      <c r="T610" t="s">
        <v>2012</v>
      </c>
      <c r="U610" t="s">
        <v>60</v>
      </c>
      <c r="V610" t="s">
        <v>61</v>
      </c>
      <c r="W610">
        <v>10</v>
      </c>
      <c r="X610">
        <v>0.13125000000000001</v>
      </c>
      <c r="Y610" t="s">
        <v>654</v>
      </c>
      <c r="Z610" t="s">
        <v>655</v>
      </c>
      <c r="AA610">
        <v>4</v>
      </c>
      <c r="AB610" t="s">
        <v>1558</v>
      </c>
      <c r="AC610" t="s">
        <v>1559</v>
      </c>
      <c r="AD610" t="s">
        <v>1560</v>
      </c>
      <c r="AE610" t="s">
        <v>1561</v>
      </c>
      <c r="AF610" t="s">
        <v>1562</v>
      </c>
      <c r="AG610" t="s">
        <v>1857</v>
      </c>
      <c r="AH610" t="s">
        <v>1962</v>
      </c>
      <c r="AI610" t="s">
        <v>1963</v>
      </c>
      <c r="AJ610" t="s">
        <v>1857</v>
      </c>
      <c r="AK610">
        <v>1</v>
      </c>
      <c r="AL610" t="s">
        <v>1858</v>
      </c>
      <c r="AM610" t="s">
        <v>1859</v>
      </c>
      <c r="AN610" t="s">
        <v>66</v>
      </c>
      <c r="AO610" t="s">
        <v>66</v>
      </c>
      <c r="AP610">
        <v>1</v>
      </c>
      <c r="AQ610" t="s">
        <v>1860</v>
      </c>
      <c r="AR610" t="s">
        <v>1861</v>
      </c>
      <c r="AS610" t="s">
        <v>1862</v>
      </c>
      <c r="AT610" t="s">
        <v>66</v>
      </c>
    </row>
    <row r="611" spans="1:46" x14ac:dyDescent="0.15">
      <c r="A611" t="s">
        <v>2013</v>
      </c>
      <c r="B611" t="s">
        <v>1548</v>
      </c>
      <c r="C611" t="s">
        <v>1549</v>
      </c>
      <c r="D611">
        <v>91</v>
      </c>
      <c r="E611" t="s">
        <v>1550</v>
      </c>
      <c r="F611" t="s">
        <v>1551</v>
      </c>
      <c r="G611" t="s">
        <v>51</v>
      </c>
      <c r="H611" t="s">
        <v>1552</v>
      </c>
      <c r="I611" t="s">
        <v>1553</v>
      </c>
      <c r="J611" t="s">
        <v>1554</v>
      </c>
      <c r="K611" t="s">
        <v>1555</v>
      </c>
      <c r="L611" t="s">
        <v>18</v>
      </c>
      <c r="M611" t="s">
        <v>19</v>
      </c>
      <c r="N611">
        <v>5551</v>
      </c>
      <c r="O611">
        <v>306</v>
      </c>
      <c r="P611">
        <v>0</v>
      </c>
      <c r="Q611" t="s">
        <v>2014</v>
      </c>
      <c r="R611" t="s">
        <v>2015</v>
      </c>
      <c r="S611" t="s">
        <v>2016</v>
      </c>
      <c r="T611" t="s">
        <v>2017</v>
      </c>
      <c r="U611" t="s">
        <v>60</v>
      </c>
      <c r="V611" t="s">
        <v>61</v>
      </c>
      <c r="W611">
        <v>10</v>
      </c>
      <c r="X611">
        <v>0.13125000000000001</v>
      </c>
      <c r="Y611" t="s">
        <v>363</v>
      </c>
      <c r="Z611" t="s">
        <v>661</v>
      </c>
      <c r="AA611">
        <v>4</v>
      </c>
      <c r="AB611" t="s">
        <v>1558</v>
      </c>
      <c r="AC611" t="s">
        <v>1559</v>
      </c>
      <c r="AD611" t="s">
        <v>1560</v>
      </c>
      <c r="AE611" t="s">
        <v>1561</v>
      </c>
      <c r="AF611" t="s">
        <v>1562</v>
      </c>
      <c r="AG611" t="s">
        <v>1857</v>
      </c>
      <c r="AH611" t="s">
        <v>1962</v>
      </c>
      <c r="AI611" t="s">
        <v>1963</v>
      </c>
      <c r="AJ611" t="s">
        <v>1857</v>
      </c>
      <c r="AK611">
        <v>1</v>
      </c>
      <c r="AL611" t="s">
        <v>1858</v>
      </c>
      <c r="AM611" t="s">
        <v>1859</v>
      </c>
      <c r="AN611" t="s">
        <v>66</v>
      </c>
      <c r="AO611" t="s">
        <v>66</v>
      </c>
      <c r="AP611">
        <v>1</v>
      </c>
      <c r="AQ611" t="s">
        <v>1860</v>
      </c>
      <c r="AR611" t="s">
        <v>1861</v>
      </c>
      <c r="AS611" t="s">
        <v>1862</v>
      </c>
      <c r="AT611" t="s">
        <v>66</v>
      </c>
    </row>
    <row r="612" spans="1:46" x14ac:dyDescent="0.15">
      <c r="A612" t="s">
        <v>2018</v>
      </c>
      <c r="B612" t="s">
        <v>1548</v>
      </c>
      <c r="C612" t="s">
        <v>1549</v>
      </c>
      <c r="D612">
        <v>92</v>
      </c>
      <c r="E612" t="s">
        <v>1550</v>
      </c>
      <c r="F612" t="s">
        <v>1551</v>
      </c>
      <c r="G612" t="s">
        <v>51</v>
      </c>
      <c r="H612" t="s">
        <v>1552</v>
      </c>
      <c r="I612" t="s">
        <v>1553</v>
      </c>
      <c r="J612" t="s">
        <v>1554</v>
      </c>
      <c r="K612" t="s">
        <v>1555</v>
      </c>
      <c r="L612" t="s">
        <v>18</v>
      </c>
      <c r="M612" t="s">
        <v>19</v>
      </c>
      <c r="N612">
        <v>5607</v>
      </c>
      <c r="O612">
        <v>309</v>
      </c>
      <c r="P612">
        <v>0</v>
      </c>
      <c r="Q612" t="s">
        <v>2019</v>
      </c>
      <c r="R612" t="s">
        <v>2020</v>
      </c>
      <c r="S612" t="s">
        <v>2021</v>
      </c>
      <c r="T612" t="s">
        <v>2022</v>
      </c>
      <c r="U612" t="s">
        <v>60</v>
      </c>
      <c r="V612" t="s">
        <v>61</v>
      </c>
      <c r="W612">
        <v>10</v>
      </c>
      <c r="X612">
        <v>0.13125000000000001</v>
      </c>
      <c r="Y612" t="s">
        <v>667</v>
      </c>
      <c r="Z612" t="s">
        <v>668</v>
      </c>
      <c r="AA612">
        <v>4</v>
      </c>
      <c r="AB612" t="s">
        <v>1558</v>
      </c>
      <c r="AC612" t="s">
        <v>1559</v>
      </c>
      <c r="AD612" t="s">
        <v>1560</v>
      </c>
      <c r="AE612" t="s">
        <v>1561</v>
      </c>
      <c r="AF612" t="s">
        <v>1562</v>
      </c>
      <c r="AG612" t="s">
        <v>1857</v>
      </c>
      <c r="AH612" t="s">
        <v>1962</v>
      </c>
      <c r="AI612" t="s">
        <v>1963</v>
      </c>
      <c r="AJ612" t="s">
        <v>1857</v>
      </c>
      <c r="AK612">
        <v>1</v>
      </c>
      <c r="AL612" t="s">
        <v>1858</v>
      </c>
      <c r="AM612" t="s">
        <v>1859</v>
      </c>
      <c r="AN612" t="s">
        <v>66</v>
      </c>
      <c r="AO612" t="s">
        <v>66</v>
      </c>
      <c r="AP612">
        <v>1</v>
      </c>
      <c r="AQ612" t="s">
        <v>1860</v>
      </c>
      <c r="AR612" t="s">
        <v>1861</v>
      </c>
      <c r="AS612" t="s">
        <v>1862</v>
      </c>
      <c r="AT612" t="s">
        <v>66</v>
      </c>
    </row>
    <row r="613" spans="1:46" x14ac:dyDescent="0.15">
      <c r="A613" t="s">
        <v>2023</v>
      </c>
      <c r="B613" t="s">
        <v>1548</v>
      </c>
      <c r="C613" t="s">
        <v>1549</v>
      </c>
      <c r="D613">
        <v>93</v>
      </c>
      <c r="E613" t="s">
        <v>1550</v>
      </c>
      <c r="F613" t="s">
        <v>1551</v>
      </c>
      <c r="G613" t="s">
        <v>51</v>
      </c>
      <c r="H613" t="s">
        <v>1552</v>
      </c>
      <c r="I613" t="s">
        <v>1553</v>
      </c>
      <c r="J613" t="s">
        <v>1554</v>
      </c>
      <c r="K613" t="s">
        <v>1555</v>
      </c>
      <c r="L613" t="s">
        <v>18</v>
      </c>
      <c r="M613" t="s">
        <v>19</v>
      </c>
      <c r="N613">
        <v>5663</v>
      </c>
      <c r="O613">
        <v>312</v>
      </c>
      <c r="P613">
        <v>0</v>
      </c>
      <c r="Q613" t="s">
        <v>2024</v>
      </c>
      <c r="R613" t="s">
        <v>2025</v>
      </c>
      <c r="S613" t="s">
        <v>2026</v>
      </c>
      <c r="T613" t="s">
        <v>2027</v>
      </c>
      <c r="U613" t="s">
        <v>60</v>
      </c>
      <c r="V613" t="s">
        <v>61</v>
      </c>
      <c r="W613">
        <v>10</v>
      </c>
      <c r="X613">
        <v>0.13125000000000001</v>
      </c>
      <c r="Y613" t="s">
        <v>369</v>
      </c>
      <c r="Z613" t="s">
        <v>674</v>
      </c>
      <c r="AA613">
        <v>4</v>
      </c>
      <c r="AB613" t="s">
        <v>1558</v>
      </c>
      <c r="AC613" t="s">
        <v>1559</v>
      </c>
      <c r="AD613" t="s">
        <v>1560</v>
      </c>
      <c r="AE613" t="s">
        <v>1561</v>
      </c>
      <c r="AF613" t="s">
        <v>1562</v>
      </c>
      <c r="AG613" t="s">
        <v>1857</v>
      </c>
      <c r="AH613" t="s">
        <v>1962</v>
      </c>
      <c r="AI613" t="s">
        <v>1963</v>
      </c>
      <c r="AJ613" t="s">
        <v>1857</v>
      </c>
      <c r="AK613">
        <v>1</v>
      </c>
      <c r="AL613" t="s">
        <v>1858</v>
      </c>
      <c r="AM613" t="s">
        <v>1859</v>
      </c>
      <c r="AN613" t="s">
        <v>66</v>
      </c>
      <c r="AO613" t="s">
        <v>66</v>
      </c>
      <c r="AP613">
        <v>1</v>
      </c>
      <c r="AQ613" t="s">
        <v>1860</v>
      </c>
      <c r="AR613" t="s">
        <v>1861</v>
      </c>
      <c r="AS613" t="s">
        <v>1862</v>
      </c>
      <c r="AT613" t="s">
        <v>66</v>
      </c>
    </row>
    <row r="614" spans="1:46" x14ac:dyDescent="0.15">
      <c r="A614" t="s">
        <v>2028</v>
      </c>
      <c r="B614" t="s">
        <v>1548</v>
      </c>
      <c r="C614" t="s">
        <v>1549</v>
      </c>
      <c r="D614">
        <v>94</v>
      </c>
      <c r="E614" t="s">
        <v>1550</v>
      </c>
      <c r="F614" t="s">
        <v>1551</v>
      </c>
      <c r="G614" t="s">
        <v>51</v>
      </c>
      <c r="H614" t="s">
        <v>1552</v>
      </c>
      <c r="I614" t="s">
        <v>1553</v>
      </c>
      <c r="J614" t="s">
        <v>1554</v>
      </c>
      <c r="K614" t="s">
        <v>1555</v>
      </c>
      <c r="L614" t="s">
        <v>18</v>
      </c>
      <c r="M614" t="s">
        <v>19</v>
      </c>
      <c r="N614">
        <v>5719</v>
      </c>
      <c r="O614">
        <v>315</v>
      </c>
      <c r="P614">
        <v>0</v>
      </c>
      <c r="Q614" t="s">
        <v>2029</v>
      </c>
      <c r="R614" t="s">
        <v>2030</v>
      </c>
      <c r="S614" t="s">
        <v>2031</v>
      </c>
      <c r="T614" t="s">
        <v>2032</v>
      </c>
      <c r="U614" t="s">
        <v>60</v>
      </c>
      <c r="V614" t="s">
        <v>61</v>
      </c>
      <c r="W614">
        <v>10</v>
      </c>
      <c r="X614">
        <v>0.13125000000000001</v>
      </c>
      <c r="Y614" t="s">
        <v>680</v>
      </c>
      <c r="Z614" t="s">
        <v>681</v>
      </c>
      <c r="AA614">
        <v>4</v>
      </c>
      <c r="AB614" t="s">
        <v>1558</v>
      </c>
      <c r="AC614" t="s">
        <v>1559</v>
      </c>
      <c r="AD614" t="s">
        <v>1560</v>
      </c>
      <c r="AE614" t="s">
        <v>1561</v>
      </c>
      <c r="AF614" t="s">
        <v>1562</v>
      </c>
      <c r="AG614" t="s">
        <v>1857</v>
      </c>
      <c r="AH614" t="s">
        <v>1962</v>
      </c>
      <c r="AI614" t="s">
        <v>1963</v>
      </c>
      <c r="AJ614" t="s">
        <v>1857</v>
      </c>
      <c r="AK614">
        <v>1</v>
      </c>
      <c r="AL614" t="s">
        <v>1858</v>
      </c>
      <c r="AM614" t="s">
        <v>1859</v>
      </c>
      <c r="AN614" t="s">
        <v>66</v>
      </c>
      <c r="AO614" t="s">
        <v>66</v>
      </c>
      <c r="AP614">
        <v>1</v>
      </c>
      <c r="AQ614" t="s">
        <v>1860</v>
      </c>
      <c r="AR614" t="s">
        <v>1861</v>
      </c>
      <c r="AS614" t="s">
        <v>1862</v>
      </c>
      <c r="AT614" t="s">
        <v>66</v>
      </c>
    </row>
    <row r="615" spans="1:46" x14ac:dyDescent="0.15">
      <c r="A615" t="s">
        <v>2033</v>
      </c>
      <c r="B615" t="s">
        <v>1548</v>
      </c>
      <c r="C615" t="s">
        <v>1549</v>
      </c>
      <c r="D615">
        <v>95</v>
      </c>
      <c r="E615" t="s">
        <v>1550</v>
      </c>
      <c r="F615" t="s">
        <v>1551</v>
      </c>
      <c r="G615" t="s">
        <v>51</v>
      </c>
      <c r="H615" t="s">
        <v>1552</v>
      </c>
      <c r="I615" t="s">
        <v>1553</v>
      </c>
      <c r="J615" t="s">
        <v>1554</v>
      </c>
      <c r="K615" t="s">
        <v>1555</v>
      </c>
      <c r="L615" t="s">
        <v>18</v>
      </c>
      <c r="M615" t="s">
        <v>19</v>
      </c>
      <c r="N615">
        <v>5776</v>
      </c>
      <c r="O615">
        <v>318</v>
      </c>
      <c r="P615">
        <v>0</v>
      </c>
      <c r="Q615" t="s">
        <v>2034</v>
      </c>
      <c r="R615" t="s">
        <v>2035</v>
      </c>
      <c r="S615" t="s">
        <v>2036</v>
      </c>
      <c r="T615" t="s">
        <v>2037</v>
      </c>
      <c r="U615" t="s">
        <v>60</v>
      </c>
      <c r="V615" t="s">
        <v>61</v>
      </c>
      <c r="W615">
        <v>10</v>
      </c>
      <c r="X615">
        <v>0.13125000000000001</v>
      </c>
      <c r="Y615" t="s">
        <v>376</v>
      </c>
      <c r="Z615" t="s">
        <v>687</v>
      </c>
      <c r="AA615">
        <v>4</v>
      </c>
      <c r="AB615" t="s">
        <v>1558</v>
      </c>
      <c r="AC615" t="s">
        <v>1559</v>
      </c>
      <c r="AD615" t="s">
        <v>1560</v>
      </c>
      <c r="AE615" t="s">
        <v>1561</v>
      </c>
      <c r="AF615" t="s">
        <v>1562</v>
      </c>
      <c r="AG615" t="s">
        <v>1857</v>
      </c>
      <c r="AH615" t="s">
        <v>1962</v>
      </c>
      <c r="AI615" t="s">
        <v>1963</v>
      </c>
      <c r="AJ615" t="s">
        <v>1857</v>
      </c>
      <c r="AK615">
        <v>1</v>
      </c>
      <c r="AL615" t="s">
        <v>1858</v>
      </c>
      <c r="AM615" t="s">
        <v>1859</v>
      </c>
      <c r="AN615" t="s">
        <v>66</v>
      </c>
      <c r="AO615" t="s">
        <v>66</v>
      </c>
      <c r="AP615">
        <v>1</v>
      </c>
      <c r="AQ615" t="s">
        <v>1860</v>
      </c>
      <c r="AR615" t="s">
        <v>1861</v>
      </c>
      <c r="AS615" t="s">
        <v>1862</v>
      </c>
      <c r="AT615" t="s">
        <v>66</v>
      </c>
    </row>
    <row r="616" spans="1:46" x14ac:dyDescent="0.15">
      <c r="A616" t="s">
        <v>2038</v>
      </c>
      <c r="B616" t="s">
        <v>1548</v>
      </c>
      <c r="C616" t="s">
        <v>1549</v>
      </c>
      <c r="D616">
        <v>96</v>
      </c>
      <c r="E616" t="s">
        <v>1550</v>
      </c>
      <c r="F616" t="s">
        <v>1551</v>
      </c>
      <c r="G616" t="s">
        <v>51</v>
      </c>
      <c r="H616" t="s">
        <v>1552</v>
      </c>
      <c r="I616" t="s">
        <v>1553</v>
      </c>
      <c r="J616" t="s">
        <v>1554</v>
      </c>
      <c r="K616" t="s">
        <v>1555</v>
      </c>
      <c r="L616" t="s">
        <v>18</v>
      </c>
      <c r="M616" t="s">
        <v>19</v>
      </c>
      <c r="N616">
        <v>5832</v>
      </c>
      <c r="O616">
        <v>321</v>
      </c>
      <c r="P616">
        <v>0</v>
      </c>
      <c r="Q616" t="s">
        <v>595</v>
      </c>
      <c r="R616" t="s">
        <v>2039</v>
      </c>
      <c r="S616" t="s">
        <v>2040</v>
      </c>
      <c r="T616" t="s">
        <v>2041</v>
      </c>
      <c r="U616" t="s">
        <v>60</v>
      </c>
      <c r="V616" t="s">
        <v>61</v>
      </c>
      <c r="W616">
        <v>10</v>
      </c>
      <c r="X616">
        <v>0.13125000000000001</v>
      </c>
      <c r="Y616" t="s">
        <v>693</v>
      </c>
      <c r="Z616" t="s">
        <v>694</v>
      </c>
      <c r="AA616">
        <v>4</v>
      </c>
      <c r="AB616" t="s">
        <v>1558</v>
      </c>
      <c r="AC616" t="s">
        <v>1559</v>
      </c>
      <c r="AD616" t="s">
        <v>1560</v>
      </c>
      <c r="AE616" t="s">
        <v>1561</v>
      </c>
      <c r="AF616" t="s">
        <v>1562</v>
      </c>
      <c r="AG616" t="s">
        <v>1857</v>
      </c>
      <c r="AH616" t="s">
        <v>1962</v>
      </c>
      <c r="AI616" t="s">
        <v>1963</v>
      </c>
      <c r="AJ616" t="s">
        <v>1857</v>
      </c>
      <c r="AK616">
        <v>1</v>
      </c>
      <c r="AL616" t="s">
        <v>1858</v>
      </c>
      <c r="AM616" t="s">
        <v>1859</v>
      </c>
      <c r="AN616" t="s">
        <v>66</v>
      </c>
      <c r="AO616" t="s">
        <v>66</v>
      </c>
      <c r="AP616">
        <v>1</v>
      </c>
      <c r="AQ616" t="s">
        <v>1860</v>
      </c>
      <c r="AR616" t="s">
        <v>1861</v>
      </c>
      <c r="AS616" t="s">
        <v>1862</v>
      </c>
      <c r="AT616" t="s">
        <v>66</v>
      </c>
    </row>
    <row r="617" spans="1:46" x14ac:dyDescent="0.15">
      <c r="A617" t="s">
        <v>2042</v>
      </c>
      <c r="B617" t="s">
        <v>1548</v>
      </c>
      <c r="C617" t="s">
        <v>1549</v>
      </c>
      <c r="D617">
        <v>97</v>
      </c>
      <c r="E617" t="s">
        <v>1550</v>
      </c>
      <c r="F617" t="s">
        <v>1551</v>
      </c>
      <c r="G617" t="s">
        <v>51</v>
      </c>
      <c r="H617" t="s">
        <v>1552</v>
      </c>
      <c r="I617" t="s">
        <v>1553</v>
      </c>
      <c r="J617" t="s">
        <v>1554</v>
      </c>
      <c r="K617" t="s">
        <v>1555</v>
      </c>
      <c r="L617" t="s">
        <v>18</v>
      </c>
      <c r="M617" t="s">
        <v>19</v>
      </c>
      <c r="N617">
        <v>5888</v>
      </c>
      <c r="O617">
        <v>324</v>
      </c>
      <c r="P617">
        <v>0</v>
      </c>
      <c r="Q617" t="s">
        <v>2043</v>
      </c>
      <c r="R617" t="s">
        <v>2044</v>
      </c>
      <c r="S617" t="s">
        <v>2045</v>
      </c>
      <c r="T617" t="s">
        <v>2046</v>
      </c>
      <c r="U617" t="s">
        <v>60</v>
      </c>
      <c r="V617" t="s">
        <v>61</v>
      </c>
      <c r="W617">
        <v>10</v>
      </c>
      <c r="X617">
        <v>0.13125000000000001</v>
      </c>
      <c r="Y617" t="s">
        <v>382</v>
      </c>
      <c r="Z617" t="s">
        <v>700</v>
      </c>
      <c r="AA617">
        <v>4</v>
      </c>
      <c r="AB617" t="s">
        <v>1558</v>
      </c>
      <c r="AC617" t="s">
        <v>1559</v>
      </c>
      <c r="AD617" t="s">
        <v>1560</v>
      </c>
      <c r="AE617" t="s">
        <v>1561</v>
      </c>
      <c r="AF617" t="s">
        <v>1562</v>
      </c>
      <c r="AG617" t="s">
        <v>1857</v>
      </c>
      <c r="AH617" t="s">
        <v>1962</v>
      </c>
      <c r="AI617" t="s">
        <v>1963</v>
      </c>
      <c r="AJ617" t="s">
        <v>1857</v>
      </c>
      <c r="AK617">
        <v>1</v>
      </c>
      <c r="AL617" t="s">
        <v>1858</v>
      </c>
      <c r="AM617" t="s">
        <v>1859</v>
      </c>
      <c r="AN617" t="s">
        <v>66</v>
      </c>
      <c r="AO617" t="s">
        <v>66</v>
      </c>
      <c r="AP617">
        <v>1</v>
      </c>
      <c r="AQ617" t="s">
        <v>1860</v>
      </c>
      <c r="AR617" t="s">
        <v>1861</v>
      </c>
      <c r="AS617" t="s">
        <v>1862</v>
      </c>
      <c r="AT617" t="s">
        <v>66</v>
      </c>
    </row>
    <row r="618" spans="1:46" x14ac:dyDescent="0.15">
      <c r="A618" t="s">
        <v>2047</v>
      </c>
      <c r="B618" t="s">
        <v>1548</v>
      </c>
      <c r="C618" t="s">
        <v>1549</v>
      </c>
      <c r="D618">
        <v>98</v>
      </c>
      <c r="E618" t="s">
        <v>1550</v>
      </c>
      <c r="F618" t="s">
        <v>1551</v>
      </c>
      <c r="G618" t="s">
        <v>51</v>
      </c>
      <c r="H618" t="s">
        <v>1552</v>
      </c>
      <c r="I618" t="s">
        <v>1553</v>
      </c>
      <c r="J618" t="s">
        <v>1554</v>
      </c>
      <c r="K618" t="s">
        <v>1555</v>
      </c>
      <c r="L618" t="s">
        <v>18</v>
      </c>
      <c r="M618" t="s">
        <v>19</v>
      </c>
      <c r="N618">
        <v>5944</v>
      </c>
      <c r="O618">
        <v>327</v>
      </c>
      <c r="P618">
        <v>0</v>
      </c>
      <c r="Q618" t="s">
        <v>2048</v>
      </c>
      <c r="R618" t="s">
        <v>2049</v>
      </c>
      <c r="S618" t="s">
        <v>2050</v>
      </c>
      <c r="T618" t="s">
        <v>2051</v>
      </c>
      <c r="U618" t="s">
        <v>60</v>
      </c>
      <c r="V618" t="s">
        <v>61</v>
      </c>
      <c r="W618">
        <v>10</v>
      </c>
      <c r="X618">
        <v>0.13125000000000001</v>
      </c>
      <c r="Y618" t="s">
        <v>706</v>
      </c>
      <c r="Z618" t="s">
        <v>707</v>
      </c>
      <c r="AA618">
        <v>4</v>
      </c>
      <c r="AB618" t="s">
        <v>1558</v>
      </c>
      <c r="AC618" t="s">
        <v>1559</v>
      </c>
      <c r="AD618" t="s">
        <v>1560</v>
      </c>
      <c r="AE618" t="s">
        <v>1561</v>
      </c>
      <c r="AF618" t="s">
        <v>1562</v>
      </c>
      <c r="AG618" t="s">
        <v>1857</v>
      </c>
      <c r="AH618" t="s">
        <v>1962</v>
      </c>
      <c r="AI618" t="s">
        <v>1963</v>
      </c>
      <c r="AJ618" t="s">
        <v>1857</v>
      </c>
      <c r="AK618">
        <v>1</v>
      </c>
      <c r="AL618" t="s">
        <v>1858</v>
      </c>
      <c r="AM618" t="s">
        <v>1859</v>
      </c>
      <c r="AN618" t="s">
        <v>66</v>
      </c>
      <c r="AO618" t="s">
        <v>66</v>
      </c>
      <c r="AP618">
        <v>1</v>
      </c>
      <c r="AQ618" t="s">
        <v>1860</v>
      </c>
      <c r="AR618" t="s">
        <v>1861</v>
      </c>
      <c r="AS618" t="s">
        <v>1862</v>
      </c>
      <c r="AT618" t="s">
        <v>66</v>
      </c>
    </row>
    <row r="619" spans="1:46" x14ac:dyDescent="0.15">
      <c r="A619" t="s">
        <v>2052</v>
      </c>
      <c r="B619" t="s">
        <v>1548</v>
      </c>
      <c r="C619" t="s">
        <v>1549</v>
      </c>
      <c r="D619">
        <v>99</v>
      </c>
      <c r="E619" t="s">
        <v>1550</v>
      </c>
      <c r="F619" t="s">
        <v>1551</v>
      </c>
      <c r="G619" t="s">
        <v>51</v>
      </c>
      <c r="H619" t="s">
        <v>1552</v>
      </c>
      <c r="I619" t="s">
        <v>1553</v>
      </c>
      <c r="J619" t="s">
        <v>1554</v>
      </c>
      <c r="K619" t="s">
        <v>1555</v>
      </c>
      <c r="L619" t="s">
        <v>18</v>
      </c>
      <c r="M619" t="s">
        <v>19</v>
      </c>
      <c r="N619">
        <v>6000</v>
      </c>
      <c r="O619">
        <v>330</v>
      </c>
      <c r="P619">
        <v>0</v>
      </c>
      <c r="Q619" t="s">
        <v>2053</v>
      </c>
      <c r="R619" t="s">
        <v>2054</v>
      </c>
      <c r="S619" t="s">
        <v>2055</v>
      </c>
      <c r="T619" t="s">
        <v>2056</v>
      </c>
      <c r="U619" t="s">
        <v>60</v>
      </c>
      <c r="V619" t="s">
        <v>61</v>
      </c>
      <c r="W619">
        <v>10</v>
      </c>
      <c r="X619">
        <v>0.13125000000000001</v>
      </c>
      <c r="Y619" t="s">
        <v>389</v>
      </c>
      <c r="Z619" t="s">
        <v>713</v>
      </c>
      <c r="AA619">
        <v>4</v>
      </c>
      <c r="AB619" t="s">
        <v>1558</v>
      </c>
      <c r="AC619" t="s">
        <v>1559</v>
      </c>
      <c r="AD619" t="s">
        <v>1560</v>
      </c>
      <c r="AE619" t="s">
        <v>1561</v>
      </c>
      <c r="AF619" t="s">
        <v>1562</v>
      </c>
      <c r="AG619" t="s">
        <v>1857</v>
      </c>
      <c r="AH619" t="s">
        <v>1962</v>
      </c>
      <c r="AI619" t="s">
        <v>1963</v>
      </c>
      <c r="AJ619" t="s">
        <v>1857</v>
      </c>
      <c r="AK619">
        <v>1</v>
      </c>
      <c r="AL619" t="s">
        <v>1858</v>
      </c>
      <c r="AM619" t="s">
        <v>1859</v>
      </c>
      <c r="AN619" t="s">
        <v>66</v>
      </c>
      <c r="AO619" t="s">
        <v>66</v>
      </c>
      <c r="AP619">
        <v>1</v>
      </c>
      <c r="AQ619" t="s">
        <v>1860</v>
      </c>
      <c r="AR619" t="s">
        <v>1861</v>
      </c>
      <c r="AS619" t="s">
        <v>1862</v>
      </c>
      <c r="AT619" t="s">
        <v>66</v>
      </c>
    </row>
    <row r="620" spans="1:46" x14ac:dyDescent="0.15">
      <c r="A620" t="s">
        <v>2057</v>
      </c>
      <c r="B620" t="s">
        <v>2058</v>
      </c>
      <c r="C620" t="s">
        <v>2059</v>
      </c>
      <c r="D620">
        <v>1</v>
      </c>
      <c r="E620" t="s">
        <v>2060</v>
      </c>
      <c r="F620" t="s">
        <v>50</v>
      </c>
      <c r="G620" t="s">
        <v>51</v>
      </c>
      <c r="H620" t="s">
        <v>2061</v>
      </c>
      <c r="I620" t="s">
        <v>1553</v>
      </c>
      <c r="J620" t="s">
        <v>54</v>
      </c>
      <c r="K620" t="s">
        <v>55</v>
      </c>
      <c r="L620" t="s">
        <v>17</v>
      </c>
      <c r="M620" t="s">
        <v>16</v>
      </c>
      <c r="N620">
        <v>500</v>
      </c>
      <c r="O620">
        <v>30</v>
      </c>
      <c r="P620">
        <v>0</v>
      </c>
      <c r="Q620" t="s">
        <v>2062</v>
      </c>
      <c r="R620" t="s">
        <v>2063</v>
      </c>
      <c r="S620" t="s">
        <v>2064</v>
      </c>
      <c r="T620" t="s">
        <v>2065</v>
      </c>
      <c r="U620" t="s">
        <v>60</v>
      </c>
      <c r="V620" t="s">
        <v>61</v>
      </c>
      <c r="W620">
        <v>3</v>
      </c>
      <c r="X620">
        <v>0.14000000000000001</v>
      </c>
      <c r="Y620" t="s">
        <v>62</v>
      </c>
      <c r="Z620" t="s">
        <v>62</v>
      </c>
      <c r="AA620">
        <v>0</v>
      </c>
      <c r="AB620" t="s">
        <v>2066</v>
      </c>
      <c r="AC620" t="s">
        <v>2067</v>
      </c>
      <c r="AD620" t="s">
        <v>2068</v>
      </c>
      <c r="AE620" t="s">
        <v>2069</v>
      </c>
      <c r="AF620" t="s">
        <v>2070</v>
      </c>
      <c r="AG620" t="s">
        <v>66</v>
      </c>
      <c r="AH620" t="s">
        <v>66</v>
      </c>
      <c r="AI620" t="s">
        <v>66</v>
      </c>
      <c r="AJ620" t="s">
        <v>66</v>
      </c>
      <c r="AK620">
        <v>1</v>
      </c>
      <c r="AL620" t="s">
        <v>66</v>
      </c>
      <c r="AM620" t="s">
        <v>66</v>
      </c>
      <c r="AN620" t="s">
        <v>66</v>
      </c>
      <c r="AO620" t="s">
        <v>66</v>
      </c>
      <c r="AP620">
        <v>1</v>
      </c>
      <c r="AQ620" t="s">
        <v>66</v>
      </c>
      <c r="AR620" t="s">
        <v>66</v>
      </c>
      <c r="AS620" t="s">
        <v>66</v>
      </c>
      <c r="AT620" t="s">
        <v>66</v>
      </c>
    </row>
    <row r="621" spans="1:46" x14ac:dyDescent="0.15">
      <c r="A621" t="s">
        <v>2071</v>
      </c>
      <c r="B621" t="s">
        <v>2058</v>
      </c>
      <c r="C621" t="s">
        <v>2059</v>
      </c>
      <c r="D621">
        <v>2</v>
      </c>
      <c r="E621" t="s">
        <v>2060</v>
      </c>
      <c r="F621" t="s">
        <v>50</v>
      </c>
      <c r="G621" t="s">
        <v>51</v>
      </c>
      <c r="H621" t="s">
        <v>2061</v>
      </c>
      <c r="I621" t="s">
        <v>1553</v>
      </c>
      <c r="J621" t="s">
        <v>54</v>
      </c>
      <c r="K621" t="s">
        <v>55</v>
      </c>
      <c r="L621" t="s">
        <v>17</v>
      </c>
      <c r="M621" t="s">
        <v>16</v>
      </c>
      <c r="N621">
        <v>556</v>
      </c>
      <c r="O621">
        <v>33</v>
      </c>
      <c r="P621">
        <v>0</v>
      </c>
      <c r="Q621" t="s">
        <v>2072</v>
      </c>
      <c r="R621" t="s">
        <v>2073</v>
      </c>
      <c r="S621" t="s">
        <v>2074</v>
      </c>
      <c r="T621" t="s">
        <v>2075</v>
      </c>
      <c r="U621" t="s">
        <v>60</v>
      </c>
      <c r="V621" t="s">
        <v>61</v>
      </c>
      <c r="W621">
        <v>3</v>
      </c>
      <c r="X621">
        <v>0.14000000000000001</v>
      </c>
      <c r="Y621" t="s">
        <v>72</v>
      </c>
      <c r="Z621" t="s">
        <v>73</v>
      </c>
      <c r="AA621">
        <v>0</v>
      </c>
      <c r="AB621" t="s">
        <v>2066</v>
      </c>
      <c r="AC621" t="s">
        <v>2067</v>
      </c>
      <c r="AD621" t="s">
        <v>2068</v>
      </c>
      <c r="AE621" t="s">
        <v>2069</v>
      </c>
      <c r="AF621" t="s">
        <v>2070</v>
      </c>
      <c r="AG621" t="s">
        <v>66</v>
      </c>
      <c r="AH621" t="s">
        <v>66</v>
      </c>
      <c r="AI621" t="s">
        <v>66</v>
      </c>
      <c r="AJ621" t="s">
        <v>66</v>
      </c>
      <c r="AK621">
        <v>1</v>
      </c>
      <c r="AL621" t="s">
        <v>66</v>
      </c>
      <c r="AM621" t="s">
        <v>66</v>
      </c>
      <c r="AN621" t="s">
        <v>66</v>
      </c>
      <c r="AO621" t="s">
        <v>66</v>
      </c>
      <c r="AP621">
        <v>1</v>
      </c>
      <c r="AQ621" t="s">
        <v>66</v>
      </c>
      <c r="AR621" t="s">
        <v>66</v>
      </c>
      <c r="AS621" t="s">
        <v>66</v>
      </c>
      <c r="AT621" t="s">
        <v>66</v>
      </c>
    </row>
    <row r="622" spans="1:46" x14ac:dyDescent="0.15">
      <c r="A622" t="s">
        <v>2076</v>
      </c>
      <c r="B622" t="s">
        <v>2058</v>
      </c>
      <c r="C622" t="s">
        <v>2059</v>
      </c>
      <c r="D622">
        <v>3</v>
      </c>
      <c r="E622" t="s">
        <v>2060</v>
      </c>
      <c r="F622" t="s">
        <v>50</v>
      </c>
      <c r="G622" t="s">
        <v>51</v>
      </c>
      <c r="H622" t="s">
        <v>2061</v>
      </c>
      <c r="I622" t="s">
        <v>1553</v>
      </c>
      <c r="J622" t="s">
        <v>54</v>
      </c>
      <c r="K622" t="s">
        <v>55</v>
      </c>
      <c r="L622" t="s">
        <v>17</v>
      </c>
      <c r="M622" t="s">
        <v>16</v>
      </c>
      <c r="N622">
        <v>612</v>
      </c>
      <c r="O622">
        <v>36</v>
      </c>
      <c r="P622">
        <v>0</v>
      </c>
      <c r="Q622" t="s">
        <v>2077</v>
      </c>
      <c r="R622" t="s">
        <v>2078</v>
      </c>
      <c r="S622" t="s">
        <v>2079</v>
      </c>
      <c r="T622" t="s">
        <v>2080</v>
      </c>
      <c r="U622" t="s">
        <v>60</v>
      </c>
      <c r="V622" t="s">
        <v>61</v>
      </c>
      <c r="W622">
        <v>3</v>
      </c>
      <c r="X622">
        <v>0.14000000000000001</v>
      </c>
      <c r="Y622" t="s">
        <v>73</v>
      </c>
      <c r="Z622" t="s">
        <v>79</v>
      </c>
      <c r="AA622">
        <v>0</v>
      </c>
      <c r="AB622" t="s">
        <v>2066</v>
      </c>
      <c r="AC622" t="s">
        <v>2067</v>
      </c>
      <c r="AD622" t="s">
        <v>2068</v>
      </c>
      <c r="AE622" t="s">
        <v>2069</v>
      </c>
      <c r="AF622" t="s">
        <v>2070</v>
      </c>
      <c r="AG622" t="s">
        <v>66</v>
      </c>
      <c r="AH622" t="s">
        <v>66</v>
      </c>
      <c r="AI622" t="s">
        <v>66</v>
      </c>
      <c r="AJ622" t="s">
        <v>66</v>
      </c>
      <c r="AK622">
        <v>1</v>
      </c>
      <c r="AL622" t="s">
        <v>66</v>
      </c>
      <c r="AM622" t="s">
        <v>66</v>
      </c>
      <c r="AN622" t="s">
        <v>66</v>
      </c>
      <c r="AO622" t="s">
        <v>66</v>
      </c>
      <c r="AP622">
        <v>1</v>
      </c>
      <c r="AQ622" t="s">
        <v>66</v>
      </c>
      <c r="AR622" t="s">
        <v>66</v>
      </c>
      <c r="AS622" t="s">
        <v>66</v>
      </c>
      <c r="AT622" t="s">
        <v>66</v>
      </c>
    </row>
    <row r="623" spans="1:46" x14ac:dyDescent="0.15">
      <c r="A623" t="s">
        <v>2081</v>
      </c>
      <c r="B623" t="s">
        <v>2058</v>
      </c>
      <c r="C623" t="s">
        <v>2059</v>
      </c>
      <c r="D623">
        <v>4</v>
      </c>
      <c r="E623" t="s">
        <v>2060</v>
      </c>
      <c r="F623" t="s">
        <v>50</v>
      </c>
      <c r="G623" t="s">
        <v>51</v>
      </c>
      <c r="H623" t="s">
        <v>2061</v>
      </c>
      <c r="I623" t="s">
        <v>1553</v>
      </c>
      <c r="J623" t="s">
        <v>54</v>
      </c>
      <c r="K623" t="s">
        <v>55</v>
      </c>
      <c r="L623" t="s">
        <v>17</v>
      </c>
      <c r="M623" t="s">
        <v>16</v>
      </c>
      <c r="N623">
        <v>668</v>
      </c>
      <c r="O623">
        <v>39</v>
      </c>
      <c r="P623">
        <v>0</v>
      </c>
      <c r="Q623" t="s">
        <v>2082</v>
      </c>
      <c r="R623" t="s">
        <v>2083</v>
      </c>
      <c r="S623" t="s">
        <v>2084</v>
      </c>
      <c r="T623" t="s">
        <v>2085</v>
      </c>
      <c r="U623" t="s">
        <v>60</v>
      </c>
      <c r="V623" t="s">
        <v>61</v>
      </c>
      <c r="W623">
        <v>3</v>
      </c>
      <c r="X623">
        <v>0.14000000000000001</v>
      </c>
      <c r="Y623" t="s">
        <v>85</v>
      </c>
      <c r="Z623" t="s">
        <v>86</v>
      </c>
      <c r="AA623">
        <v>0</v>
      </c>
      <c r="AB623" t="s">
        <v>2066</v>
      </c>
      <c r="AC623" t="s">
        <v>2067</v>
      </c>
      <c r="AD623" t="s">
        <v>2068</v>
      </c>
      <c r="AE623" t="s">
        <v>2069</v>
      </c>
      <c r="AF623" t="s">
        <v>2070</v>
      </c>
      <c r="AG623" t="s">
        <v>66</v>
      </c>
      <c r="AH623" t="s">
        <v>66</v>
      </c>
      <c r="AI623" t="s">
        <v>66</v>
      </c>
      <c r="AJ623" t="s">
        <v>66</v>
      </c>
      <c r="AK623">
        <v>1</v>
      </c>
      <c r="AL623" t="s">
        <v>66</v>
      </c>
      <c r="AM623" t="s">
        <v>66</v>
      </c>
      <c r="AN623" t="s">
        <v>66</v>
      </c>
      <c r="AO623" t="s">
        <v>66</v>
      </c>
      <c r="AP623">
        <v>1</v>
      </c>
      <c r="AQ623" t="s">
        <v>66</v>
      </c>
      <c r="AR623" t="s">
        <v>66</v>
      </c>
      <c r="AS623" t="s">
        <v>66</v>
      </c>
      <c r="AT623" t="s">
        <v>66</v>
      </c>
    </row>
    <row r="624" spans="1:46" x14ac:dyDescent="0.15">
      <c r="A624" t="s">
        <v>2086</v>
      </c>
      <c r="B624" t="s">
        <v>2058</v>
      </c>
      <c r="C624" t="s">
        <v>2059</v>
      </c>
      <c r="D624">
        <v>5</v>
      </c>
      <c r="E624" t="s">
        <v>2060</v>
      </c>
      <c r="F624" t="s">
        <v>50</v>
      </c>
      <c r="G624" t="s">
        <v>51</v>
      </c>
      <c r="H624" t="s">
        <v>2061</v>
      </c>
      <c r="I624" t="s">
        <v>1553</v>
      </c>
      <c r="J624" t="s">
        <v>54</v>
      </c>
      <c r="K624" t="s">
        <v>55</v>
      </c>
      <c r="L624" t="s">
        <v>17</v>
      </c>
      <c r="M624" t="s">
        <v>16</v>
      </c>
      <c r="N624">
        <v>724</v>
      </c>
      <c r="O624">
        <v>42</v>
      </c>
      <c r="P624">
        <v>0</v>
      </c>
      <c r="Q624" t="s">
        <v>2087</v>
      </c>
      <c r="R624" t="s">
        <v>2088</v>
      </c>
      <c r="S624" t="s">
        <v>2089</v>
      </c>
      <c r="T624" t="s">
        <v>2090</v>
      </c>
      <c r="U624" t="s">
        <v>60</v>
      </c>
      <c r="V624" t="s">
        <v>61</v>
      </c>
      <c r="W624">
        <v>3</v>
      </c>
      <c r="X624">
        <v>0.14000000000000001</v>
      </c>
      <c r="Y624" t="s">
        <v>79</v>
      </c>
      <c r="Z624" t="s">
        <v>92</v>
      </c>
      <c r="AA624">
        <v>0</v>
      </c>
      <c r="AB624" t="s">
        <v>2066</v>
      </c>
      <c r="AC624" t="s">
        <v>2067</v>
      </c>
      <c r="AD624" t="s">
        <v>2068</v>
      </c>
      <c r="AE624" t="s">
        <v>2069</v>
      </c>
      <c r="AF624" t="s">
        <v>2070</v>
      </c>
      <c r="AG624" t="s">
        <v>66</v>
      </c>
      <c r="AH624" t="s">
        <v>66</v>
      </c>
      <c r="AI624" t="s">
        <v>66</v>
      </c>
      <c r="AJ624" t="s">
        <v>66</v>
      </c>
      <c r="AK624">
        <v>1</v>
      </c>
      <c r="AL624" t="s">
        <v>66</v>
      </c>
      <c r="AM624" t="s">
        <v>66</v>
      </c>
      <c r="AN624" t="s">
        <v>66</v>
      </c>
      <c r="AO624" t="s">
        <v>66</v>
      </c>
      <c r="AP624">
        <v>1</v>
      </c>
      <c r="AQ624" t="s">
        <v>66</v>
      </c>
      <c r="AR624" t="s">
        <v>66</v>
      </c>
      <c r="AS624" t="s">
        <v>66</v>
      </c>
      <c r="AT624" t="s">
        <v>66</v>
      </c>
    </row>
    <row r="625" spans="1:46" x14ac:dyDescent="0.15">
      <c r="A625" t="s">
        <v>2091</v>
      </c>
      <c r="B625" t="s">
        <v>2058</v>
      </c>
      <c r="C625" t="s">
        <v>2059</v>
      </c>
      <c r="D625">
        <v>6</v>
      </c>
      <c r="E625" t="s">
        <v>2060</v>
      </c>
      <c r="F625" t="s">
        <v>50</v>
      </c>
      <c r="G625" t="s">
        <v>51</v>
      </c>
      <c r="H625" t="s">
        <v>2061</v>
      </c>
      <c r="I625" t="s">
        <v>1553</v>
      </c>
      <c r="J625" t="s">
        <v>54</v>
      </c>
      <c r="K625" t="s">
        <v>55</v>
      </c>
      <c r="L625" t="s">
        <v>17</v>
      </c>
      <c r="M625" t="s">
        <v>16</v>
      </c>
      <c r="N625">
        <v>781</v>
      </c>
      <c r="O625">
        <v>45</v>
      </c>
      <c r="P625">
        <v>0</v>
      </c>
      <c r="Q625" t="s">
        <v>2092</v>
      </c>
      <c r="R625" t="s">
        <v>2093</v>
      </c>
      <c r="S625" t="s">
        <v>2094</v>
      </c>
      <c r="T625" t="s">
        <v>2095</v>
      </c>
      <c r="U625" t="s">
        <v>60</v>
      </c>
      <c r="V625" t="s">
        <v>61</v>
      </c>
      <c r="W625">
        <v>3</v>
      </c>
      <c r="X625">
        <v>0.14000000000000001</v>
      </c>
      <c r="Y625" t="s">
        <v>98</v>
      </c>
      <c r="Z625" t="s">
        <v>99</v>
      </c>
      <c r="AA625">
        <v>0</v>
      </c>
      <c r="AB625" t="s">
        <v>2066</v>
      </c>
      <c r="AC625" t="s">
        <v>2067</v>
      </c>
      <c r="AD625" t="s">
        <v>2068</v>
      </c>
      <c r="AE625" t="s">
        <v>2069</v>
      </c>
      <c r="AF625" t="s">
        <v>2070</v>
      </c>
      <c r="AG625" t="s">
        <v>66</v>
      </c>
      <c r="AH625" t="s">
        <v>66</v>
      </c>
      <c r="AI625" t="s">
        <v>66</v>
      </c>
      <c r="AJ625" t="s">
        <v>66</v>
      </c>
      <c r="AK625">
        <v>1</v>
      </c>
      <c r="AL625" t="s">
        <v>66</v>
      </c>
      <c r="AM625" t="s">
        <v>66</v>
      </c>
      <c r="AN625" t="s">
        <v>66</v>
      </c>
      <c r="AO625" t="s">
        <v>66</v>
      </c>
      <c r="AP625">
        <v>1</v>
      </c>
      <c r="AQ625" t="s">
        <v>66</v>
      </c>
      <c r="AR625" t="s">
        <v>66</v>
      </c>
      <c r="AS625" t="s">
        <v>66</v>
      </c>
      <c r="AT625" t="s">
        <v>66</v>
      </c>
    </row>
    <row r="626" spans="1:46" x14ac:dyDescent="0.15">
      <c r="A626" t="s">
        <v>2096</v>
      </c>
      <c r="B626" t="s">
        <v>2058</v>
      </c>
      <c r="C626" t="s">
        <v>2059</v>
      </c>
      <c r="D626">
        <v>7</v>
      </c>
      <c r="E626" t="s">
        <v>2060</v>
      </c>
      <c r="F626" t="s">
        <v>50</v>
      </c>
      <c r="G626" t="s">
        <v>51</v>
      </c>
      <c r="H626" t="s">
        <v>2061</v>
      </c>
      <c r="I626" t="s">
        <v>1553</v>
      </c>
      <c r="J626" t="s">
        <v>54</v>
      </c>
      <c r="K626" t="s">
        <v>55</v>
      </c>
      <c r="L626" t="s">
        <v>17</v>
      </c>
      <c r="M626" t="s">
        <v>16</v>
      </c>
      <c r="N626">
        <v>837</v>
      </c>
      <c r="O626">
        <v>48</v>
      </c>
      <c r="P626">
        <v>0</v>
      </c>
      <c r="Q626" t="s">
        <v>2097</v>
      </c>
      <c r="R626" t="s">
        <v>2098</v>
      </c>
      <c r="S626" t="s">
        <v>2099</v>
      </c>
      <c r="T626" t="s">
        <v>2100</v>
      </c>
      <c r="U626" t="s">
        <v>60</v>
      </c>
      <c r="V626" t="s">
        <v>61</v>
      </c>
      <c r="W626">
        <v>3</v>
      </c>
      <c r="X626">
        <v>0.14000000000000001</v>
      </c>
      <c r="Y626" t="s">
        <v>86</v>
      </c>
      <c r="Z626" t="s">
        <v>105</v>
      </c>
      <c r="AA626">
        <v>0</v>
      </c>
      <c r="AB626" t="s">
        <v>2066</v>
      </c>
      <c r="AC626" t="s">
        <v>2067</v>
      </c>
      <c r="AD626" t="s">
        <v>2068</v>
      </c>
      <c r="AE626" t="s">
        <v>2069</v>
      </c>
      <c r="AF626" t="s">
        <v>2070</v>
      </c>
      <c r="AG626" t="s">
        <v>66</v>
      </c>
      <c r="AH626" t="s">
        <v>66</v>
      </c>
      <c r="AI626" t="s">
        <v>66</v>
      </c>
      <c r="AJ626" t="s">
        <v>66</v>
      </c>
      <c r="AK626">
        <v>1</v>
      </c>
      <c r="AL626" t="s">
        <v>66</v>
      </c>
      <c r="AM626" t="s">
        <v>66</v>
      </c>
      <c r="AN626" t="s">
        <v>66</v>
      </c>
      <c r="AO626" t="s">
        <v>66</v>
      </c>
      <c r="AP626">
        <v>1</v>
      </c>
      <c r="AQ626" t="s">
        <v>66</v>
      </c>
      <c r="AR626" t="s">
        <v>66</v>
      </c>
      <c r="AS626" t="s">
        <v>66</v>
      </c>
      <c r="AT626" t="s">
        <v>66</v>
      </c>
    </row>
    <row r="627" spans="1:46" x14ac:dyDescent="0.15">
      <c r="A627" t="s">
        <v>2101</v>
      </c>
      <c r="B627" t="s">
        <v>2058</v>
      </c>
      <c r="C627" t="s">
        <v>2059</v>
      </c>
      <c r="D627">
        <v>8</v>
      </c>
      <c r="E627" t="s">
        <v>2060</v>
      </c>
      <c r="F627" t="s">
        <v>50</v>
      </c>
      <c r="G627" t="s">
        <v>51</v>
      </c>
      <c r="H627" t="s">
        <v>2061</v>
      </c>
      <c r="I627" t="s">
        <v>1553</v>
      </c>
      <c r="J627" t="s">
        <v>54</v>
      </c>
      <c r="K627" t="s">
        <v>55</v>
      </c>
      <c r="L627" t="s">
        <v>17</v>
      </c>
      <c r="M627" t="s">
        <v>16</v>
      </c>
      <c r="N627">
        <v>893</v>
      </c>
      <c r="O627">
        <v>51</v>
      </c>
      <c r="P627">
        <v>0</v>
      </c>
      <c r="Q627" t="s">
        <v>2102</v>
      </c>
      <c r="R627" t="s">
        <v>2103</v>
      </c>
      <c r="S627" t="s">
        <v>2104</v>
      </c>
      <c r="T627" t="s">
        <v>2105</v>
      </c>
      <c r="U627" t="s">
        <v>60</v>
      </c>
      <c r="V627" t="s">
        <v>61</v>
      </c>
      <c r="W627">
        <v>3</v>
      </c>
      <c r="X627">
        <v>0.14000000000000001</v>
      </c>
      <c r="Y627" t="s">
        <v>111</v>
      </c>
      <c r="Z627" t="s">
        <v>112</v>
      </c>
      <c r="AA627">
        <v>0</v>
      </c>
      <c r="AB627" t="s">
        <v>2066</v>
      </c>
      <c r="AC627" t="s">
        <v>2067</v>
      </c>
      <c r="AD627" t="s">
        <v>2068</v>
      </c>
      <c r="AE627" t="s">
        <v>2069</v>
      </c>
      <c r="AF627" t="s">
        <v>2070</v>
      </c>
      <c r="AG627" t="s">
        <v>66</v>
      </c>
      <c r="AH627" t="s">
        <v>66</v>
      </c>
      <c r="AI627" t="s">
        <v>66</v>
      </c>
      <c r="AJ627" t="s">
        <v>66</v>
      </c>
      <c r="AK627">
        <v>1</v>
      </c>
      <c r="AL627" t="s">
        <v>66</v>
      </c>
      <c r="AM627" t="s">
        <v>66</v>
      </c>
      <c r="AN627" t="s">
        <v>66</v>
      </c>
      <c r="AO627" t="s">
        <v>66</v>
      </c>
      <c r="AP627">
        <v>1</v>
      </c>
      <c r="AQ627" t="s">
        <v>66</v>
      </c>
      <c r="AR627" t="s">
        <v>66</v>
      </c>
      <c r="AS627" t="s">
        <v>66</v>
      </c>
      <c r="AT627" t="s">
        <v>66</v>
      </c>
    </row>
    <row r="628" spans="1:46" x14ac:dyDescent="0.15">
      <c r="A628" t="s">
        <v>2106</v>
      </c>
      <c r="B628" t="s">
        <v>2058</v>
      </c>
      <c r="C628" t="s">
        <v>2059</v>
      </c>
      <c r="D628">
        <v>9</v>
      </c>
      <c r="E628" t="s">
        <v>2060</v>
      </c>
      <c r="F628" t="s">
        <v>50</v>
      </c>
      <c r="G628" t="s">
        <v>51</v>
      </c>
      <c r="H628" t="s">
        <v>2061</v>
      </c>
      <c r="I628" t="s">
        <v>1553</v>
      </c>
      <c r="J628" t="s">
        <v>54</v>
      </c>
      <c r="K628" t="s">
        <v>55</v>
      </c>
      <c r="L628" t="s">
        <v>17</v>
      </c>
      <c r="M628" t="s">
        <v>16</v>
      </c>
      <c r="N628">
        <v>949</v>
      </c>
      <c r="O628">
        <v>54</v>
      </c>
      <c r="P628">
        <v>0</v>
      </c>
      <c r="Q628" t="s">
        <v>2107</v>
      </c>
      <c r="R628" t="s">
        <v>2108</v>
      </c>
      <c r="S628" t="s">
        <v>2109</v>
      </c>
      <c r="T628" t="s">
        <v>2110</v>
      </c>
      <c r="U628" t="s">
        <v>60</v>
      </c>
      <c r="V628" t="s">
        <v>61</v>
      </c>
      <c r="W628">
        <v>3</v>
      </c>
      <c r="X628">
        <v>0.14000000000000001</v>
      </c>
      <c r="Y628" t="s">
        <v>92</v>
      </c>
      <c r="Z628" t="s">
        <v>118</v>
      </c>
      <c r="AA628">
        <v>0</v>
      </c>
      <c r="AB628" t="s">
        <v>2066</v>
      </c>
      <c r="AC628" t="s">
        <v>2067</v>
      </c>
      <c r="AD628" t="s">
        <v>2068</v>
      </c>
      <c r="AE628" t="s">
        <v>2069</v>
      </c>
      <c r="AF628" t="s">
        <v>2070</v>
      </c>
      <c r="AG628" t="s">
        <v>66</v>
      </c>
      <c r="AH628" t="s">
        <v>66</v>
      </c>
      <c r="AI628" t="s">
        <v>66</v>
      </c>
      <c r="AJ628" t="s">
        <v>66</v>
      </c>
      <c r="AK628">
        <v>1</v>
      </c>
      <c r="AL628" t="s">
        <v>66</v>
      </c>
      <c r="AM628" t="s">
        <v>66</v>
      </c>
      <c r="AN628" t="s">
        <v>66</v>
      </c>
      <c r="AO628" t="s">
        <v>66</v>
      </c>
      <c r="AP628">
        <v>1</v>
      </c>
      <c r="AQ628" t="s">
        <v>66</v>
      </c>
      <c r="AR628" t="s">
        <v>66</v>
      </c>
      <c r="AS628" t="s">
        <v>66</v>
      </c>
      <c r="AT628" t="s">
        <v>66</v>
      </c>
    </row>
    <row r="629" spans="1:46" x14ac:dyDescent="0.15">
      <c r="A629" t="s">
        <v>2111</v>
      </c>
      <c r="B629" t="s">
        <v>2058</v>
      </c>
      <c r="C629" t="s">
        <v>2059</v>
      </c>
      <c r="D629">
        <v>10</v>
      </c>
      <c r="E629" t="s">
        <v>2060</v>
      </c>
      <c r="F629" t="s">
        <v>50</v>
      </c>
      <c r="G629" t="s">
        <v>51</v>
      </c>
      <c r="H629" t="s">
        <v>2061</v>
      </c>
      <c r="I629" t="s">
        <v>1553</v>
      </c>
      <c r="J629" t="s">
        <v>54</v>
      </c>
      <c r="K629" t="s">
        <v>55</v>
      </c>
      <c r="L629" t="s">
        <v>17</v>
      </c>
      <c r="M629" t="s">
        <v>16</v>
      </c>
      <c r="N629">
        <v>1005</v>
      </c>
      <c r="O629">
        <v>57</v>
      </c>
      <c r="P629">
        <v>0</v>
      </c>
      <c r="Q629" t="s">
        <v>2112</v>
      </c>
      <c r="R629" t="s">
        <v>2113</v>
      </c>
      <c r="S629" t="s">
        <v>2114</v>
      </c>
      <c r="T629" t="s">
        <v>2115</v>
      </c>
      <c r="U629" t="s">
        <v>60</v>
      </c>
      <c r="V629" t="s">
        <v>61</v>
      </c>
      <c r="W629">
        <v>3</v>
      </c>
      <c r="X629">
        <v>0.14000000000000001</v>
      </c>
      <c r="Y629" t="s">
        <v>124</v>
      </c>
      <c r="Z629" t="s">
        <v>125</v>
      </c>
      <c r="AA629">
        <v>0</v>
      </c>
      <c r="AB629" t="s">
        <v>2066</v>
      </c>
      <c r="AC629" t="s">
        <v>2067</v>
      </c>
      <c r="AD629" t="s">
        <v>2068</v>
      </c>
      <c r="AE629" t="s">
        <v>2069</v>
      </c>
      <c r="AF629" t="s">
        <v>2070</v>
      </c>
      <c r="AG629" t="s">
        <v>66</v>
      </c>
      <c r="AH629" t="s">
        <v>66</v>
      </c>
      <c r="AI629" t="s">
        <v>66</v>
      </c>
      <c r="AJ629" t="s">
        <v>66</v>
      </c>
      <c r="AK629">
        <v>1</v>
      </c>
      <c r="AL629" t="s">
        <v>66</v>
      </c>
      <c r="AM629" t="s">
        <v>66</v>
      </c>
      <c r="AN629" t="s">
        <v>66</v>
      </c>
      <c r="AO629" t="s">
        <v>66</v>
      </c>
      <c r="AP629">
        <v>1</v>
      </c>
      <c r="AQ629" t="s">
        <v>66</v>
      </c>
      <c r="AR629" t="s">
        <v>66</v>
      </c>
      <c r="AS629" t="s">
        <v>66</v>
      </c>
      <c r="AT629" t="s">
        <v>66</v>
      </c>
    </row>
    <row r="630" spans="1:46" x14ac:dyDescent="0.15">
      <c r="A630" t="s">
        <v>2116</v>
      </c>
      <c r="B630" t="s">
        <v>2058</v>
      </c>
      <c r="C630" t="s">
        <v>2059</v>
      </c>
      <c r="D630">
        <v>11</v>
      </c>
      <c r="E630" t="s">
        <v>2060</v>
      </c>
      <c r="F630" t="s">
        <v>50</v>
      </c>
      <c r="G630" t="s">
        <v>51</v>
      </c>
      <c r="H630" t="s">
        <v>2061</v>
      </c>
      <c r="I630" t="s">
        <v>1553</v>
      </c>
      <c r="J630" t="s">
        <v>54</v>
      </c>
      <c r="K630" t="s">
        <v>55</v>
      </c>
      <c r="L630" t="s">
        <v>17</v>
      </c>
      <c r="M630" t="s">
        <v>16</v>
      </c>
      <c r="N630">
        <v>1061</v>
      </c>
      <c r="O630">
        <v>60</v>
      </c>
      <c r="P630">
        <v>0</v>
      </c>
      <c r="Q630" t="s">
        <v>2117</v>
      </c>
      <c r="R630" t="s">
        <v>2118</v>
      </c>
      <c r="S630" t="s">
        <v>2119</v>
      </c>
      <c r="T630" t="s">
        <v>2120</v>
      </c>
      <c r="U630" t="s">
        <v>60</v>
      </c>
      <c r="V630" t="s">
        <v>61</v>
      </c>
      <c r="W630">
        <v>3</v>
      </c>
      <c r="X630">
        <v>0.14000000000000001</v>
      </c>
      <c r="Y630" t="s">
        <v>99</v>
      </c>
      <c r="Z630" t="s">
        <v>131</v>
      </c>
      <c r="AA630">
        <v>0</v>
      </c>
      <c r="AB630" t="s">
        <v>2066</v>
      </c>
      <c r="AC630" t="s">
        <v>2067</v>
      </c>
      <c r="AD630" t="s">
        <v>2068</v>
      </c>
      <c r="AE630" t="s">
        <v>2069</v>
      </c>
      <c r="AF630" t="s">
        <v>2070</v>
      </c>
      <c r="AG630" t="s">
        <v>66</v>
      </c>
      <c r="AH630" t="s">
        <v>66</v>
      </c>
      <c r="AI630" t="s">
        <v>66</v>
      </c>
      <c r="AJ630" t="s">
        <v>66</v>
      </c>
      <c r="AK630">
        <v>1</v>
      </c>
      <c r="AL630" t="s">
        <v>66</v>
      </c>
      <c r="AM630" t="s">
        <v>66</v>
      </c>
      <c r="AN630" t="s">
        <v>66</v>
      </c>
      <c r="AO630" t="s">
        <v>66</v>
      </c>
      <c r="AP630">
        <v>1</v>
      </c>
      <c r="AQ630" t="s">
        <v>66</v>
      </c>
      <c r="AR630" t="s">
        <v>66</v>
      </c>
      <c r="AS630" t="s">
        <v>66</v>
      </c>
      <c r="AT630" t="s">
        <v>66</v>
      </c>
    </row>
    <row r="631" spans="1:46" x14ac:dyDescent="0.15">
      <c r="A631" t="s">
        <v>2121</v>
      </c>
      <c r="B631" t="s">
        <v>2058</v>
      </c>
      <c r="C631" t="s">
        <v>2059</v>
      </c>
      <c r="D631">
        <v>12</v>
      </c>
      <c r="E631" t="s">
        <v>2060</v>
      </c>
      <c r="F631" t="s">
        <v>50</v>
      </c>
      <c r="G631" t="s">
        <v>51</v>
      </c>
      <c r="H631" t="s">
        <v>2061</v>
      </c>
      <c r="I631" t="s">
        <v>1553</v>
      </c>
      <c r="J631" t="s">
        <v>54</v>
      </c>
      <c r="K631" t="s">
        <v>55</v>
      </c>
      <c r="L631" t="s">
        <v>17</v>
      </c>
      <c r="M631" t="s">
        <v>16</v>
      </c>
      <c r="N631">
        <v>1117</v>
      </c>
      <c r="O631">
        <v>63</v>
      </c>
      <c r="P631">
        <v>0</v>
      </c>
      <c r="Q631" t="s">
        <v>2122</v>
      </c>
      <c r="R631" t="s">
        <v>2123</v>
      </c>
      <c r="S631" t="s">
        <v>2124</v>
      </c>
      <c r="T631" t="s">
        <v>2125</v>
      </c>
      <c r="U631" t="s">
        <v>60</v>
      </c>
      <c r="V631" t="s">
        <v>61</v>
      </c>
      <c r="W631">
        <v>3</v>
      </c>
      <c r="X631">
        <v>0.14000000000000001</v>
      </c>
      <c r="Y631" t="s">
        <v>137</v>
      </c>
      <c r="Z631" t="s">
        <v>138</v>
      </c>
      <c r="AA631">
        <v>0</v>
      </c>
      <c r="AB631" t="s">
        <v>2066</v>
      </c>
      <c r="AC631" t="s">
        <v>2067</v>
      </c>
      <c r="AD631" t="s">
        <v>2068</v>
      </c>
      <c r="AE631" t="s">
        <v>2069</v>
      </c>
      <c r="AF631" t="s">
        <v>2070</v>
      </c>
      <c r="AG631" t="s">
        <v>66</v>
      </c>
      <c r="AH631" t="s">
        <v>66</v>
      </c>
      <c r="AI631" t="s">
        <v>66</v>
      </c>
      <c r="AJ631" t="s">
        <v>66</v>
      </c>
      <c r="AK631">
        <v>1</v>
      </c>
      <c r="AL631" t="s">
        <v>66</v>
      </c>
      <c r="AM631" t="s">
        <v>66</v>
      </c>
      <c r="AN631" t="s">
        <v>66</v>
      </c>
      <c r="AO631" t="s">
        <v>66</v>
      </c>
      <c r="AP631">
        <v>1</v>
      </c>
      <c r="AQ631" t="s">
        <v>66</v>
      </c>
      <c r="AR631" t="s">
        <v>66</v>
      </c>
      <c r="AS631" t="s">
        <v>66</v>
      </c>
      <c r="AT631" t="s">
        <v>66</v>
      </c>
    </row>
    <row r="632" spans="1:46" x14ac:dyDescent="0.15">
      <c r="A632" t="s">
        <v>2126</v>
      </c>
      <c r="B632" t="s">
        <v>2058</v>
      </c>
      <c r="C632" t="s">
        <v>2059</v>
      </c>
      <c r="D632">
        <v>13</v>
      </c>
      <c r="E632" t="s">
        <v>2060</v>
      </c>
      <c r="F632" t="s">
        <v>50</v>
      </c>
      <c r="G632" t="s">
        <v>51</v>
      </c>
      <c r="H632" t="s">
        <v>2061</v>
      </c>
      <c r="I632" t="s">
        <v>1553</v>
      </c>
      <c r="J632" t="s">
        <v>54</v>
      </c>
      <c r="K632" t="s">
        <v>55</v>
      </c>
      <c r="L632" t="s">
        <v>17</v>
      </c>
      <c r="M632" t="s">
        <v>16</v>
      </c>
      <c r="N632">
        <v>1173</v>
      </c>
      <c r="O632">
        <v>66</v>
      </c>
      <c r="P632">
        <v>0</v>
      </c>
      <c r="Q632" t="s">
        <v>2127</v>
      </c>
      <c r="R632" t="s">
        <v>2128</v>
      </c>
      <c r="S632" t="s">
        <v>2129</v>
      </c>
      <c r="T632" t="s">
        <v>2130</v>
      </c>
      <c r="U632" t="s">
        <v>60</v>
      </c>
      <c r="V632" t="s">
        <v>61</v>
      </c>
      <c r="W632">
        <v>3</v>
      </c>
      <c r="X632">
        <v>0.14000000000000001</v>
      </c>
      <c r="Y632" t="s">
        <v>105</v>
      </c>
      <c r="Z632" t="s">
        <v>144</v>
      </c>
      <c r="AA632">
        <v>0</v>
      </c>
      <c r="AB632" t="s">
        <v>2066</v>
      </c>
      <c r="AC632" t="s">
        <v>2067</v>
      </c>
      <c r="AD632" t="s">
        <v>2068</v>
      </c>
      <c r="AE632" t="s">
        <v>2069</v>
      </c>
      <c r="AF632" t="s">
        <v>2070</v>
      </c>
      <c r="AG632" t="s">
        <v>66</v>
      </c>
      <c r="AH632" t="s">
        <v>66</v>
      </c>
      <c r="AI632" t="s">
        <v>66</v>
      </c>
      <c r="AJ632" t="s">
        <v>66</v>
      </c>
      <c r="AK632">
        <v>1</v>
      </c>
      <c r="AL632" t="s">
        <v>66</v>
      </c>
      <c r="AM632" t="s">
        <v>66</v>
      </c>
      <c r="AN632" t="s">
        <v>66</v>
      </c>
      <c r="AO632" t="s">
        <v>66</v>
      </c>
      <c r="AP632">
        <v>1</v>
      </c>
      <c r="AQ632" t="s">
        <v>66</v>
      </c>
      <c r="AR632" t="s">
        <v>66</v>
      </c>
      <c r="AS632" t="s">
        <v>66</v>
      </c>
      <c r="AT632" t="s">
        <v>66</v>
      </c>
    </row>
    <row r="633" spans="1:46" x14ac:dyDescent="0.15">
      <c r="A633" t="s">
        <v>2131</v>
      </c>
      <c r="B633" t="s">
        <v>2058</v>
      </c>
      <c r="C633" t="s">
        <v>2059</v>
      </c>
      <c r="D633">
        <v>14</v>
      </c>
      <c r="E633" t="s">
        <v>2060</v>
      </c>
      <c r="F633" t="s">
        <v>50</v>
      </c>
      <c r="G633" t="s">
        <v>51</v>
      </c>
      <c r="H633" t="s">
        <v>2061</v>
      </c>
      <c r="I633" t="s">
        <v>1553</v>
      </c>
      <c r="J633" t="s">
        <v>54</v>
      </c>
      <c r="K633" t="s">
        <v>55</v>
      </c>
      <c r="L633" t="s">
        <v>17</v>
      </c>
      <c r="M633" t="s">
        <v>16</v>
      </c>
      <c r="N633">
        <v>1230</v>
      </c>
      <c r="O633">
        <v>69</v>
      </c>
      <c r="P633">
        <v>0</v>
      </c>
      <c r="Q633" t="s">
        <v>2132</v>
      </c>
      <c r="R633" t="s">
        <v>2133</v>
      </c>
      <c r="S633" t="s">
        <v>2134</v>
      </c>
      <c r="T633" t="s">
        <v>2135</v>
      </c>
      <c r="U633" t="s">
        <v>60</v>
      </c>
      <c r="V633" t="s">
        <v>61</v>
      </c>
      <c r="W633">
        <v>3</v>
      </c>
      <c r="X633">
        <v>0.14000000000000001</v>
      </c>
      <c r="Y633" t="s">
        <v>150</v>
      </c>
      <c r="Z633" t="s">
        <v>151</v>
      </c>
      <c r="AA633">
        <v>0</v>
      </c>
      <c r="AB633" t="s">
        <v>2066</v>
      </c>
      <c r="AC633" t="s">
        <v>2067</v>
      </c>
      <c r="AD633" t="s">
        <v>2068</v>
      </c>
      <c r="AE633" t="s">
        <v>2069</v>
      </c>
      <c r="AF633" t="s">
        <v>2070</v>
      </c>
      <c r="AG633" t="s">
        <v>66</v>
      </c>
      <c r="AH633" t="s">
        <v>66</v>
      </c>
      <c r="AI633" t="s">
        <v>66</v>
      </c>
      <c r="AJ633" t="s">
        <v>66</v>
      </c>
      <c r="AK633">
        <v>1</v>
      </c>
      <c r="AL633" t="s">
        <v>66</v>
      </c>
      <c r="AM633" t="s">
        <v>66</v>
      </c>
      <c r="AN633" t="s">
        <v>66</v>
      </c>
      <c r="AO633" t="s">
        <v>66</v>
      </c>
      <c r="AP633">
        <v>1</v>
      </c>
      <c r="AQ633" t="s">
        <v>66</v>
      </c>
      <c r="AR633" t="s">
        <v>66</v>
      </c>
      <c r="AS633" t="s">
        <v>66</v>
      </c>
      <c r="AT633" t="s">
        <v>66</v>
      </c>
    </row>
    <row r="634" spans="1:46" x14ac:dyDescent="0.15">
      <c r="A634" t="s">
        <v>2136</v>
      </c>
      <c r="B634" t="s">
        <v>2058</v>
      </c>
      <c r="C634" t="s">
        <v>2059</v>
      </c>
      <c r="D634">
        <v>15</v>
      </c>
      <c r="E634" t="s">
        <v>2060</v>
      </c>
      <c r="F634" t="s">
        <v>50</v>
      </c>
      <c r="G634" t="s">
        <v>51</v>
      </c>
      <c r="H634" t="s">
        <v>2061</v>
      </c>
      <c r="I634" t="s">
        <v>1553</v>
      </c>
      <c r="J634" t="s">
        <v>54</v>
      </c>
      <c r="K634" t="s">
        <v>55</v>
      </c>
      <c r="L634" t="s">
        <v>17</v>
      </c>
      <c r="M634" t="s">
        <v>16</v>
      </c>
      <c r="N634">
        <v>1286</v>
      </c>
      <c r="O634">
        <v>72</v>
      </c>
      <c r="P634">
        <v>0</v>
      </c>
      <c r="Q634" t="s">
        <v>2137</v>
      </c>
      <c r="R634" t="s">
        <v>2138</v>
      </c>
      <c r="S634" t="s">
        <v>2139</v>
      </c>
      <c r="T634" t="s">
        <v>2140</v>
      </c>
      <c r="U634" t="s">
        <v>60</v>
      </c>
      <c r="V634" t="s">
        <v>61</v>
      </c>
      <c r="W634">
        <v>3</v>
      </c>
      <c r="X634">
        <v>0.14000000000000001</v>
      </c>
      <c r="Y634" t="s">
        <v>112</v>
      </c>
      <c r="Z634" t="s">
        <v>157</v>
      </c>
      <c r="AA634">
        <v>0</v>
      </c>
      <c r="AB634" t="s">
        <v>2066</v>
      </c>
      <c r="AC634" t="s">
        <v>2067</v>
      </c>
      <c r="AD634" t="s">
        <v>2068</v>
      </c>
      <c r="AE634" t="s">
        <v>2069</v>
      </c>
      <c r="AF634" t="s">
        <v>2070</v>
      </c>
      <c r="AG634" t="s">
        <v>66</v>
      </c>
      <c r="AH634" t="s">
        <v>66</v>
      </c>
      <c r="AI634" t="s">
        <v>66</v>
      </c>
      <c r="AJ634" t="s">
        <v>66</v>
      </c>
      <c r="AK634">
        <v>1</v>
      </c>
      <c r="AL634" t="s">
        <v>66</v>
      </c>
      <c r="AM634" t="s">
        <v>66</v>
      </c>
      <c r="AN634" t="s">
        <v>66</v>
      </c>
      <c r="AO634" t="s">
        <v>66</v>
      </c>
      <c r="AP634">
        <v>1</v>
      </c>
      <c r="AQ634" t="s">
        <v>66</v>
      </c>
      <c r="AR634" t="s">
        <v>66</v>
      </c>
      <c r="AS634" t="s">
        <v>66</v>
      </c>
      <c r="AT634" t="s">
        <v>66</v>
      </c>
    </row>
    <row r="635" spans="1:46" x14ac:dyDescent="0.15">
      <c r="A635" t="s">
        <v>2141</v>
      </c>
      <c r="B635" t="s">
        <v>2058</v>
      </c>
      <c r="C635" t="s">
        <v>2059</v>
      </c>
      <c r="D635">
        <v>16</v>
      </c>
      <c r="E635" t="s">
        <v>2060</v>
      </c>
      <c r="F635" t="s">
        <v>50</v>
      </c>
      <c r="G635" t="s">
        <v>51</v>
      </c>
      <c r="H635" t="s">
        <v>2061</v>
      </c>
      <c r="I635" t="s">
        <v>1553</v>
      </c>
      <c r="J635" t="s">
        <v>54</v>
      </c>
      <c r="K635" t="s">
        <v>55</v>
      </c>
      <c r="L635" t="s">
        <v>17</v>
      </c>
      <c r="M635" t="s">
        <v>16</v>
      </c>
      <c r="N635">
        <v>1342</v>
      </c>
      <c r="O635">
        <v>75</v>
      </c>
      <c r="P635">
        <v>0</v>
      </c>
      <c r="Q635" t="s">
        <v>2142</v>
      </c>
      <c r="R635" t="s">
        <v>2143</v>
      </c>
      <c r="S635" t="s">
        <v>2144</v>
      </c>
      <c r="T635" t="s">
        <v>2145</v>
      </c>
      <c r="U635" t="s">
        <v>60</v>
      </c>
      <c r="V635" t="s">
        <v>61</v>
      </c>
      <c r="W635">
        <v>3</v>
      </c>
      <c r="X635">
        <v>0.14000000000000001</v>
      </c>
      <c r="Y635" t="s">
        <v>163</v>
      </c>
      <c r="Z635" t="s">
        <v>164</v>
      </c>
      <c r="AA635">
        <v>0</v>
      </c>
      <c r="AB635" t="s">
        <v>2066</v>
      </c>
      <c r="AC635" t="s">
        <v>2067</v>
      </c>
      <c r="AD635" t="s">
        <v>2068</v>
      </c>
      <c r="AE635" t="s">
        <v>2069</v>
      </c>
      <c r="AF635" t="s">
        <v>2070</v>
      </c>
      <c r="AG635" t="s">
        <v>66</v>
      </c>
      <c r="AH635" t="s">
        <v>66</v>
      </c>
      <c r="AI635" t="s">
        <v>66</v>
      </c>
      <c r="AJ635" t="s">
        <v>66</v>
      </c>
      <c r="AK635">
        <v>1</v>
      </c>
      <c r="AL635" t="s">
        <v>66</v>
      </c>
      <c r="AM635" t="s">
        <v>66</v>
      </c>
      <c r="AN635" t="s">
        <v>66</v>
      </c>
      <c r="AO635" t="s">
        <v>66</v>
      </c>
      <c r="AP635">
        <v>1</v>
      </c>
      <c r="AQ635" t="s">
        <v>66</v>
      </c>
      <c r="AR635" t="s">
        <v>66</v>
      </c>
      <c r="AS635" t="s">
        <v>66</v>
      </c>
      <c r="AT635" t="s">
        <v>66</v>
      </c>
    </row>
    <row r="636" spans="1:46" x14ac:dyDescent="0.15">
      <c r="A636" t="s">
        <v>2146</v>
      </c>
      <c r="B636" t="s">
        <v>2058</v>
      </c>
      <c r="C636" t="s">
        <v>2059</v>
      </c>
      <c r="D636">
        <v>17</v>
      </c>
      <c r="E636" t="s">
        <v>2060</v>
      </c>
      <c r="F636" t="s">
        <v>50</v>
      </c>
      <c r="G636" t="s">
        <v>51</v>
      </c>
      <c r="H636" t="s">
        <v>2061</v>
      </c>
      <c r="I636" t="s">
        <v>1553</v>
      </c>
      <c r="J636" t="s">
        <v>54</v>
      </c>
      <c r="K636" t="s">
        <v>55</v>
      </c>
      <c r="L636" t="s">
        <v>17</v>
      </c>
      <c r="M636" t="s">
        <v>16</v>
      </c>
      <c r="N636">
        <v>1398</v>
      </c>
      <c r="O636">
        <v>78</v>
      </c>
      <c r="P636">
        <v>0</v>
      </c>
      <c r="Q636" t="s">
        <v>2147</v>
      </c>
      <c r="R636" t="s">
        <v>2148</v>
      </c>
      <c r="S636" t="s">
        <v>2149</v>
      </c>
      <c r="T636" t="s">
        <v>2150</v>
      </c>
      <c r="U636" t="s">
        <v>60</v>
      </c>
      <c r="V636" t="s">
        <v>61</v>
      </c>
      <c r="W636">
        <v>3</v>
      </c>
      <c r="X636">
        <v>0.14000000000000001</v>
      </c>
      <c r="Y636" t="s">
        <v>118</v>
      </c>
      <c r="Z636" t="s">
        <v>170</v>
      </c>
      <c r="AA636">
        <v>0</v>
      </c>
      <c r="AB636" t="s">
        <v>2066</v>
      </c>
      <c r="AC636" t="s">
        <v>2067</v>
      </c>
      <c r="AD636" t="s">
        <v>2068</v>
      </c>
      <c r="AE636" t="s">
        <v>2069</v>
      </c>
      <c r="AF636" t="s">
        <v>2070</v>
      </c>
      <c r="AG636" t="s">
        <v>66</v>
      </c>
      <c r="AH636" t="s">
        <v>66</v>
      </c>
      <c r="AI636" t="s">
        <v>66</v>
      </c>
      <c r="AJ636" t="s">
        <v>66</v>
      </c>
      <c r="AK636">
        <v>1</v>
      </c>
      <c r="AL636" t="s">
        <v>66</v>
      </c>
      <c r="AM636" t="s">
        <v>66</v>
      </c>
      <c r="AN636" t="s">
        <v>66</v>
      </c>
      <c r="AO636" t="s">
        <v>66</v>
      </c>
      <c r="AP636">
        <v>1</v>
      </c>
      <c r="AQ636" t="s">
        <v>66</v>
      </c>
      <c r="AR636" t="s">
        <v>66</v>
      </c>
      <c r="AS636" t="s">
        <v>66</v>
      </c>
      <c r="AT636" t="s">
        <v>66</v>
      </c>
    </row>
    <row r="637" spans="1:46" x14ac:dyDescent="0.15">
      <c r="A637" t="s">
        <v>2151</v>
      </c>
      <c r="B637" t="s">
        <v>2058</v>
      </c>
      <c r="C637" t="s">
        <v>2059</v>
      </c>
      <c r="D637">
        <v>18</v>
      </c>
      <c r="E637" t="s">
        <v>2060</v>
      </c>
      <c r="F637" t="s">
        <v>50</v>
      </c>
      <c r="G637" t="s">
        <v>51</v>
      </c>
      <c r="H637" t="s">
        <v>2061</v>
      </c>
      <c r="I637" t="s">
        <v>1553</v>
      </c>
      <c r="J637" t="s">
        <v>54</v>
      </c>
      <c r="K637" t="s">
        <v>55</v>
      </c>
      <c r="L637" t="s">
        <v>17</v>
      </c>
      <c r="M637" t="s">
        <v>16</v>
      </c>
      <c r="N637">
        <v>1454</v>
      </c>
      <c r="O637">
        <v>81</v>
      </c>
      <c r="P637">
        <v>0</v>
      </c>
      <c r="Q637" t="s">
        <v>2152</v>
      </c>
      <c r="R637" t="s">
        <v>2153</v>
      </c>
      <c r="S637" t="s">
        <v>2154</v>
      </c>
      <c r="T637" t="s">
        <v>2155</v>
      </c>
      <c r="U637" t="s">
        <v>60</v>
      </c>
      <c r="V637" t="s">
        <v>61</v>
      </c>
      <c r="W637">
        <v>3</v>
      </c>
      <c r="X637">
        <v>0.14000000000000001</v>
      </c>
      <c r="Y637" t="s">
        <v>176</v>
      </c>
      <c r="Z637" t="s">
        <v>177</v>
      </c>
      <c r="AA637">
        <v>0</v>
      </c>
      <c r="AB637" t="s">
        <v>2066</v>
      </c>
      <c r="AC637" t="s">
        <v>2067</v>
      </c>
      <c r="AD637" t="s">
        <v>2068</v>
      </c>
      <c r="AE637" t="s">
        <v>2069</v>
      </c>
      <c r="AF637" t="s">
        <v>2070</v>
      </c>
      <c r="AG637" t="s">
        <v>66</v>
      </c>
      <c r="AH637" t="s">
        <v>66</v>
      </c>
      <c r="AI637" t="s">
        <v>66</v>
      </c>
      <c r="AJ637" t="s">
        <v>66</v>
      </c>
      <c r="AK637">
        <v>1</v>
      </c>
      <c r="AL637" t="s">
        <v>66</v>
      </c>
      <c r="AM637" t="s">
        <v>66</v>
      </c>
      <c r="AN637" t="s">
        <v>66</v>
      </c>
      <c r="AO637" t="s">
        <v>66</v>
      </c>
      <c r="AP637">
        <v>1</v>
      </c>
      <c r="AQ637" t="s">
        <v>66</v>
      </c>
      <c r="AR637" t="s">
        <v>66</v>
      </c>
      <c r="AS637" t="s">
        <v>66</v>
      </c>
      <c r="AT637" t="s">
        <v>66</v>
      </c>
    </row>
    <row r="638" spans="1:46" x14ac:dyDescent="0.15">
      <c r="A638" t="s">
        <v>2156</v>
      </c>
      <c r="B638" t="s">
        <v>2058</v>
      </c>
      <c r="C638" t="s">
        <v>2059</v>
      </c>
      <c r="D638">
        <v>19</v>
      </c>
      <c r="E638" t="s">
        <v>2060</v>
      </c>
      <c r="F638" t="s">
        <v>50</v>
      </c>
      <c r="G638" t="s">
        <v>51</v>
      </c>
      <c r="H638" t="s">
        <v>2061</v>
      </c>
      <c r="I638" t="s">
        <v>1553</v>
      </c>
      <c r="J638" t="s">
        <v>54</v>
      </c>
      <c r="K638" t="s">
        <v>55</v>
      </c>
      <c r="L638" t="s">
        <v>17</v>
      </c>
      <c r="M638" t="s">
        <v>16</v>
      </c>
      <c r="N638">
        <v>1510</v>
      </c>
      <c r="O638">
        <v>84</v>
      </c>
      <c r="P638">
        <v>0</v>
      </c>
      <c r="Q638" t="s">
        <v>2157</v>
      </c>
      <c r="R638" t="s">
        <v>2158</v>
      </c>
      <c r="S638" t="s">
        <v>2159</v>
      </c>
      <c r="T638" t="s">
        <v>2160</v>
      </c>
      <c r="U638" t="s">
        <v>60</v>
      </c>
      <c r="V638" t="s">
        <v>61</v>
      </c>
      <c r="W638">
        <v>3</v>
      </c>
      <c r="X638">
        <v>0.14000000000000001</v>
      </c>
      <c r="Y638" t="s">
        <v>125</v>
      </c>
      <c r="Z638" t="s">
        <v>183</v>
      </c>
      <c r="AA638">
        <v>0</v>
      </c>
      <c r="AB638" t="s">
        <v>2066</v>
      </c>
      <c r="AC638" t="s">
        <v>2067</v>
      </c>
      <c r="AD638" t="s">
        <v>2068</v>
      </c>
      <c r="AE638" t="s">
        <v>2069</v>
      </c>
      <c r="AF638" t="s">
        <v>2070</v>
      </c>
      <c r="AG638" t="s">
        <v>66</v>
      </c>
      <c r="AH638" t="s">
        <v>66</v>
      </c>
      <c r="AI638" t="s">
        <v>66</v>
      </c>
      <c r="AJ638" t="s">
        <v>66</v>
      </c>
      <c r="AK638">
        <v>1</v>
      </c>
      <c r="AL638" t="s">
        <v>66</v>
      </c>
      <c r="AM638" t="s">
        <v>66</v>
      </c>
      <c r="AN638" t="s">
        <v>66</v>
      </c>
      <c r="AO638" t="s">
        <v>66</v>
      </c>
      <c r="AP638">
        <v>1</v>
      </c>
      <c r="AQ638" t="s">
        <v>66</v>
      </c>
      <c r="AR638" t="s">
        <v>66</v>
      </c>
      <c r="AS638" t="s">
        <v>66</v>
      </c>
      <c r="AT638" t="s">
        <v>66</v>
      </c>
    </row>
    <row r="639" spans="1:46" x14ac:dyDescent="0.15">
      <c r="A639" t="s">
        <v>2161</v>
      </c>
      <c r="B639" t="s">
        <v>2058</v>
      </c>
      <c r="C639" t="s">
        <v>2059</v>
      </c>
      <c r="D639">
        <v>20</v>
      </c>
      <c r="E639" t="s">
        <v>2060</v>
      </c>
      <c r="F639" t="s">
        <v>50</v>
      </c>
      <c r="G639" t="s">
        <v>51</v>
      </c>
      <c r="H639" t="s">
        <v>2061</v>
      </c>
      <c r="I639" t="s">
        <v>1553</v>
      </c>
      <c r="J639" t="s">
        <v>54</v>
      </c>
      <c r="K639" t="s">
        <v>55</v>
      </c>
      <c r="L639" t="s">
        <v>17</v>
      </c>
      <c r="M639" t="s">
        <v>16</v>
      </c>
      <c r="N639">
        <v>1566</v>
      </c>
      <c r="O639">
        <v>87</v>
      </c>
      <c r="P639">
        <v>0</v>
      </c>
      <c r="Q639" t="s">
        <v>2162</v>
      </c>
      <c r="R639" t="s">
        <v>2163</v>
      </c>
      <c r="S639" t="s">
        <v>2164</v>
      </c>
      <c r="T639" t="s">
        <v>2165</v>
      </c>
      <c r="U639" t="s">
        <v>60</v>
      </c>
      <c r="V639" t="s">
        <v>61</v>
      </c>
      <c r="W639">
        <v>3</v>
      </c>
      <c r="X639">
        <v>0.14000000000000001</v>
      </c>
      <c r="Y639" t="s">
        <v>189</v>
      </c>
      <c r="Z639" t="s">
        <v>190</v>
      </c>
      <c r="AA639">
        <v>0</v>
      </c>
      <c r="AB639" t="s">
        <v>2066</v>
      </c>
      <c r="AC639" t="s">
        <v>2067</v>
      </c>
      <c r="AD639" t="s">
        <v>2068</v>
      </c>
      <c r="AE639" t="s">
        <v>2069</v>
      </c>
      <c r="AF639" t="s">
        <v>2070</v>
      </c>
      <c r="AG639" t="s">
        <v>66</v>
      </c>
      <c r="AH639" t="s">
        <v>66</v>
      </c>
      <c r="AI639" t="s">
        <v>66</v>
      </c>
      <c r="AJ639" t="s">
        <v>66</v>
      </c>
      <c r="AK639">
        <v>1</v>
      </c>
      <c r="AL639" t="s">
        <v>66</v>
      </c>
      <c r="AM639" t="s">
        <v>66</v>
      </c>
      <c r="AN639" t="s">
        <v>66</v>
      </c>
      <c r="AO639" t="s">
        <v>66</v>
      </c>
      <c r="AP639">
        <v>1</v>
      </c>
      <c r="AQ639" t="s">
        <v>66</v>
      </c>
      <c r="AR639" t="s">
        <v>66</v>
      </c>
      <c r="AS639" t="s">
        <v>66</v>
      </c>
      <c r="AT639" t="s">
        <v>66</v>
      </c>
    </row>
    <row r="640" spans="1:46" x14ac:dyDescent="0.15">
      <c r="A640" t="s">
        <v>2161</v>
      </c>
      <c r="B640" t="s">
        <v>2058</v>
      </c>
      <c r="C640" t="s">
        <v>2059</v>
      </c>
      <c r="D640">
        <v>20</v>
      </c>
      <c r="E640" t="s">
        <v>2060</v>
      </c>
      <c r="F640" t="s">
        <v>50</v>
      </c>
      <c r="G640" t="s">
        <v>51</v>
      </c>
      <c r="H640" t="s">
        <v>2061</v>
      </c>
      <c r="I640" t="s">
        <v>1553</v>
      </c>
      <c r="J640" t="s">
        <v>54</v>
      </c>
      <c r="K640" t="s">
        <v>55</v>
      </c>
      <c r="L640" t="s">
        <v>17</v>
      </c>
      <c r="M640" t="s">
        <v>16</v>
      </c>
      <c r="N640">
        <v>1566</v>
      </c>
      <c r="O640">
        <v>87</v>
      </c>
      <c r="P640">
        <v>0</v>
      </c>
      <c r="Q640" t="s">
        <v>2162</v>
      </c>
      <c r="R640" t="s">
        <v>2163</v>
      </c>
      <c r="S640" t="s">
        <v>2164</v>
      </c>
      <c r="T640" t="s">
        <v>2165</v>
      </c>
      <c r="U640" t="s">
        <v>60</v>
      </c>
      <c r="V640" t="s">
        <v>61</v>
      </c>
      <c r="W640">
        <v>3</v>
      </c>
      <c r="X640">
        <v>0.14000000000000001</v>
      </c>
      <c r="Y640" t="s">
        <v>189</v>
      </c>
      <c r="Z640" t="s">
        <v>190</v>
      </c>
      <c r="AA640">
        <v>1</v>
      </c>
      <c r="AB640" t="s">
        <v>2066</v>
      </c>
      <c r="AC640" t="s">
        <v>2067</v>
      </c>
      <c r="AD640" t="s">
        <v>2068</v>
      </c>
      <c r="AE640" t="s">
        <v>2069</v>
      </c>
      <c r="AF640" t="s">
        <v>2070</v>
      </c>
      <c r="AG640" t="s">
        <v>66</v>
      </c>
      <c r="AH640" t="s">
        <v>66</v>
      </c>
      <c r="AI640" t="s">
        <v>66</v>
      </c>
      <c r="AJ640" t="s">
        <v>66</v>
      </c>
      <c r="AK640">
        <v>1</v>
      </c>
      <c r="AL640" t="s">
        <v>2166</v>
      </c>
      <c r="AM640" t="s">
        <v>2167</v>
      </c>
      <c r="AN640" t="s">
        <v>66</v>
      </c>
      <c r="AO640" t="s">
        <v>66</v>
      </c>
      <c r="AP640">
        <v>1</v>
      </c>
      <c r="AQ640" t="s">
        <v>66</v>
      </c>
      <c r="AR640" t="s">
        <v>66</v>
      </c>
      <c r="AS640" t="s">
        <v>66</v>
      </c>
      <c r="AT640" t="s">
        <v>66</v>
      </c>
    </row>
    <row r="641" spans="1:46" x14ac:dyDescent="0.15">
      <c r="A641" t="s">
        <v>2168</v>
      </c>
      <c r="B641" t="s">
        <v>2058</v>
      </c>
      <c r="C641" t="s">
        <v>2059</v>
      </c>
      <c r="D641">
        <v>21</v>
      </c>
      <c r="E641" t="s">
        <v>2060</v>
      </c>
      <c r="F641" t="s">
        <v>50</v>
      </c>
      <c r="G641" t="s">
        <v>51</v>
      </c>
      <c r="H641" t="s">
        <v>2061</v>
      </c>
      <c r="I641" t="s">
        <v>1553</v>
      </c>
      <c r="J641" t="s">
        <v>54</v>
      </c>
      <c r="K641" t="s">
        <v>55</v>
      </c>
      <c r="L641" t="s">
        <v>17</v>
      </c>
      <c r="M641" t="s">
        <v>16</v>
      </c>
      <c r="N641">
        <v>1622</v>
      </c>
      <c r="O641">
        <v>90</v>
      </c>
      <c r="P641">
        <v>0</v>
      </c>
      <c r="Q641" t="s">
        <v>2169</v>
      </c>
      <c r="R641" t="s">
        <v>2170</v>
      </c>
      <c r="S641" t="s">
        <v>2171</v>
      </c>
      <c r="T641" t="s">
        <v>2172</v>
      </c>
      <c r="U641" t="s">
        <v>60</v>
      </c>
      <c r="V641" t="s">
        <v>61</v>
      </c>
      <c r="W641">
        <v>3</v>
      </c>
      <c r="X641">
        <v>0.14000000000000001</v>
      </c>
      <c r="Y641" t="s">
        <v>131</v>
      </c>
      <c r="Z641" t="s">
        <v>197</v>
      </c>
      <c r="AA641">
        <v>1</v>
      </c>
      <c r="AB641" t="s">
        <v>2066</v>
      </c>
      <c r="AC641" t="s">
        <v>2067</v>
      </c>
      <c r="AD641" t="s">
        <v>2068</v>
      </c>
      <c r="AE641" t="s">
        <v>2069</v>
      </c>
      <c r="AF641" t="s">
        <v>2070</v>
      </c>
      <c r="AG641" t="s">
        <v>66</v>
      </c>
      <c r="AH641" t="s">
        <v>66</v>
      </c>
      <c r="AI641" t="s">
        <v>66</v>
      </c>
      <c r="AJ641" t="s">
        <v>66</v>
      </c>
      <c r="AK641">
        <v>1</v>
      </c>
      <c r="AL641" t="s">
        <v>2166</v>
      </c>
      <c r="AM641" t="s">
        <v>2167</v>
      </c>
      <c r="AN641" t="s">
        <v>66</v>
      </c>
      <c r="AO641" t="s">
        <v>66</v>
      </c>
      <c r="AP641">
        <v>1</v>
      </c>
      <c r="AQ641" t="s">
        <v>66</v>
      </c>
      <c r="AR641" t="s">
        <v>66</v>
      </c>
      <c r="AS641" t="s">
        <v>66</v>
      </c>
      <c r="AT641" t="s">
        <v>66</v>
      </c>
    </row>
    <row r="642" spans="1:46" x14ac:dyDescent="0.15">
      <c r="A642" t="s">
        <v>2173</v>
      </c>
      <c r="B642" t="s">
        <v>2058</v>
      </c>
      <c r="C642" t="s">
        <v>2059</v>
      </c>
      <c r="D642">
        <v>22</v>
      </c>
      <c r="E642" t="s">
        <v>2060</v>
      </c>
      <c r="F642" t="s">
        <v>50</v>
      </c>
      <c r="G642" t="s">
        <v>51</v>
      </c>
      <c r="H642" t="s">
        <v>2061</v>
      </c>
      <c r="I642" t="s">
        <v>1553</v>
      </c>
      <c r="J642" t="s">
        <v>54</v>
      </c>
      <c r="K642" t="s">
        <v>55</v>
      </c>
      <c r="L642" t="s">
        <v>17</v>
      </c>
      <c r="M642" t="s">
        <v>16</v>
      </c>
      <c r="N642">
        <v>1679</v>
      </c>
      <c r="O642">
        <v>93</v>
      </c>
      <c r="P642">
        <v>0</v>
      </c>
      <c r="Q642" t="s">
        <v>2174</v>
      </c>
      <c r="R642" t="s">
        <v>2175</v>
      </c>
      <c r="S642" t="s">
        <v>2176</v>
      </c>
      <c r="T642" t="s">
        <v>2177</v>
      </c>
      <c r="U642" t="s">
        <v>60</v>
      </c>
      <c r="V642" t="s">
        <v>61</v>
      </c>
      <c r="W642">
        <v>3</v>
      </c>
      <c r="X642">
        <v>0.14000000000000001</v>
      </c>
      <c r="Y642" t="s">
        <v>203</v>
      </c>
      <c r="Z642" t="s">
        <v>204</v>
      </c>
      <c r="AA642">
        <v>1</v>
      </c>
      <c r="AB642" t="s">
        <v>2066</v>
      </c>
      <c r="AC642" t="s">
        <v>2067</v>
      </c>
      <c r="AD642" t="s">
        <v>2068</v>
      </c>
      <c r="AE642" t="s">
        <v>2069</v>
      </c>
      <c r="AF642" t="s">
        <v>2070</v>
      </c>
      <c r="AG642" t="s">
        <v>66</v>
      </c>
      <c r="AH642" t="s">
        <v>66</v>
      </c>
      <c r="AI642" t="s">
        <v>66</v>
      </c>
      <c r="AJ642" t="s">
        <v>66</v>
      </c>
      <c r="AK642">
        <v>1</v>
      </c>
      <c r="AL642" t="s">
        <v>2166</v>
      </c>
      <c r="AM642" t="s">
        <v>2167</v>
      </c>
      <c r="AN642" t="s">
        <v>66</v>
      </c>
      <c r="AO642" t="s">
        <v>66</v>
      </c>
      <c r="AP642">
        <v>1</v>
      </c>
      <c r="AQ642" t="s">
        <v>66</v>
      </c>
      <c r="AR642" t="s">
        <v>66</v>
      </c>
      <c r="AS642" t="s">
        <v>66</v>
      </c>
      <c r="AT642" t="s">
        <v>66</v>
      </c>
    </row>
    <row r="643" spans="1:46" x14ac:dyDescent="0.15">
      <c r="A643" t="s">
        <v>2178</v>
      </c>
      <c r="B643" t="s">
        <v>2058</v>
      </c>
      <c r="C643" t="s">
        <v>2059</v>
      </c>
      <c r="D643">
        <v>23</v>
      </c>
      <c r="E643" t="s">
        <v>2060</v>
      </c>
      <c r="F643" t="s">
        <v>50</v>
      </c>
      <c r="G643" t="s">
        <v>51</v>
      </c>
      <c r="H643" t="s">
        <v>2061</v>
      </c>
      <c r="I643" t="s">
        <v>1553</v>
      </c>
      <c r="J643" t="s">
        <v>54</v>
      </c>
      <c r="K643" t="s">
        <v>55</v>
      </c>
      <c r="L643" t="s">
        <v>17</v>
      </c>
      <c r="M643" t="s">
        <v>16</v>
      </c>
      <c r="N643">
        <v>1735</v>
      </c>
      <c r="O643">
        <v>96</v>
      </c>
      <c r="P643">
        <v>0</v>
      </c>
      <c r="Q643" t="s">
        <v>2179</v>
      </c>
      <c r="R643" t="s">
        <v>2180</v>
      </c>
      <c r="S643" t="s">
        <v>2181</v>
      </c>
      <c r="T643" t="s">
        <v>2182</v>
      </c>
      <c r="U643" t="s">
        <v>60</v>
      </c>
      <c r="V643" t="s">
        <v>61</v>
      </c>
      <c r="W643">
        <v>3</v>
      </c>
      <c r="X643">
        <v>0.14000000000000001</v>
      </c>
      <c r="Y643" t="s">
        <v>138</v>
      </c>
      <c r="Z643" t="s">
        <v>210</v>
      </c>
      <c r="AA643">
        <v>1</v>
      </c>
      <c r="AB643" t="s">
        <v>2066</v>
      </c>
      <c r="AC643" t="s">
        <v>2067</v>
      </c>
      <c r="AD643" t="s">
        <v>2068</v>
      </c>
      <c r="AE643" t="s">
        <v>2069</v>
      </c>
      <c r="AF643" t="s">
        <v>2070</v>
      </c>
      <c r="AG643" t="s">
        <v>66</v>
      </c>
      <c r="AH643" t="s">
        <v>66</v>
      </c>
      <c r="AI643" t="s">
        <v>66</v>
      </c>
      <c r="AJ643" t="s">
        <v>66</v>
      </c>
      <c r="AK643">
        <v>1</v>
      </c>
      <c r="AL643" t="s">
        <v>2166</v>
      </c>
      <c r="AM643" t="s">
        <v>2167</v>
      </c>
      <c r="AN643" t="s">
        <v>66</v>
      </c>
      <c r="AO643" t="s">
        <v>66</v>
      </c>
      <c r="AP643">
        <v>1</v>
      </c>
      <c r="AQ643" t="s">
        <v>66</v>
      </c>
      <c r="AR643" t="s">
        <v>66</v>
      </c>
      <c r="AS643" t="s">
        <v>66</v>
      </c>
      <c r="AT643" t="s">
        <v>66</v>
      </c>
    </row>
    <row r="644" spans="1:46" x14ac:dyDescent="0.15">
      <c r="A644" t="s">
        <v>2183</v>
      </c>
      <c r="B644" t="s">
        <v>2058</v>
      </c>
      <c r="C644" t="s">
        <v>2059</v>
      </c>
      <c r="D644">
        <v>24</v>
      </c>
      <c r="E644" t="s">
        <v>2060</v>
      </c>
      <c r="F644" t="s">
        <v>50</v>
      </c>
      <c r="G644" t="s">
        <v>51</v>
      </c>
      <c r="H644" t="s">
        <v>2061</v>
      </c>
      <c r="I644" t="s">
        <v>1553</v>
      </c>
      <c r="J644" t="s">
        <v>54</v>
      </c>
      <c r="K644" t="s">
        <v>55</v>
      </c>
      <c r="L644" t="s">
        <v>17</v>
      </c>
      <c r="M644" t="s">
        <v>16</v>
      </c>
      <c r="N644">
        <v>1791</v>
      </c>
      <c r="O644">
        <v>99</v>
      </c>
      <c r="P644">
        <v>0</v>
      </c>
      <c r="Q644" t="s">
        <v>2184</v>
      </c>
      <c r="R644" t="s">
        <v>2185</v>
      </c>
      <c r="S644" t="s">
        <v>2186</v>
      </c>
      <c r="T644" t="s">
        <v>2187</v>
      </c>
      <c r="U644" t="s">
        <v>60</v>
      </c>
      <c r="V644" t="s">
        <v>61</v>
      </c>
      <c r="W644">
        <v>3</v>
      </c>
      <c r="X644">
        <v>0.14000000000000001</v>
      </c>
      <c r="Y644" t="s">
        <v>216</v>
      </c>
      <c r="Z644" t="s">
        <v>217</v>
      </c>
      <c r="AA644">
        <v>1</v>
      </c>
      <c r="AB644" t="s">
        <v>2066</v>
      </c>
      <c r="AC644" t="s">
        <v>2067</v>
      </c>
      <c r="AD644" t="s">
        <v>2068</v>
      </c>
      <c r="AE644" t="s">
        <v>2069</v>
      </c>
      <c r="AF644" t="s">
        <v>2070</v>
      </c>
      <c r="AG644" t="s">
        <v>66</v>
      </c>
      <c r="AH644" t="s">
        <v>66</v>
      </c>
      <c r="AI644" t="s">
        <v>66</v>
      </c>
      <c r="AJ644" t="s">
        <v>66</v>
      </c>
      <c r="AK644">
        <v>1</v>
      </c>
      <c r="AL644" t="s">
        <v>2166</v>
      </c>
      <c r="AM644" t="s">
        <v>2167</v>
      </c>
      <c r="AN644" t="s">
        <v>66</v>
      </c>
      <c r="AO644" t="s">
        <v>66</v>
      </c>
      <c r="AP644">
        <v>1</v>
      </c>
      <c r="AQ644" t="s">
        <v>66</v>
      </c>
      <c r="AR644" t="s">
        <v>66</v>
      </c>
      <c r="AS644" t="s">
        <v>66</v>
      </c>
      <c r="AT644" t="s">
        <v>66</v>
      </c>
    </row>
    <row r="645" spans="1:46" x14ac:dyDescent="0.15">
      <c r="A645" t="s">
        <v>2188</v>
      </c>
      <c r="B645" t="s">
        <v>2058</v>
      </c>
      <c r="C645" t="s">
        <v>2059</v>
      </c>
      <c r="D645">
        <v>25</v>
      </c>
      <c r="E645" t="s">
        <v>2060</v>
      </c>
      <c r="F645" t="s">
        <v>50</v>
      </c>
      <c r="G645" t="s">
        <v>51</v>
      </c>
      <c r="H645" t="s">
        <v>2061</v>
      </c>
      <c r="I645" t="s">
        <v>1553</v>
      </c>
      <c r="J645" t="s">
        <v>54</v>
      </c>
      <c r="K645" t="s">
        <v>55</v>
      </c>
      <c r="L645" t="s">
        <v>17</v>
      </c>
      <c r="M645" t="s">
        <v>16</v>
      </c>
      <c r="N645">
        <v>1847</v>
      </c>
      <c r="O645">
        <v>102</v>
      </c>
      <c r="P645">
        <v>0</v>
      </c>
      <c r="Q645" t="s">
        <v>2189</v>
      </c>
      <c r="R645" t="s">
        <v>2190</v>
      </c>
      <c r="S645" t="s">
        <v>2191</v>
      </c>
      <c r="T645" t="s">
        <v>2192</v>
      </c>
      <c r="U645" t="s">
        <v>60</v>
      </c>
      <c r="V645" t="s">
        <v>61</v>
      </c>
      <c r="W645">
        <v>3</v>
      </c>
      <c r="X645">
        <v>0.14000000000000001</v>
      </c>
      <c r="Y645" t="s">
        <v>144</v>
      </c>
      <c r="Z645" t="s">
        <v>223</v>
      </c>
      <c r="AA645">
        <v>1</v>
      </c>
      <c r="AB645" t="s">
        <v>2066</v>
      </c>
      <c r="AC645" t="s">
        <v>2067</v>
      </c>
      <c r="AD645" t="s">
        <v>2068</v>
      </c>
      <c r="AE645" t="s">
        <v>2069</v>
      </c>
      <c r="AF645" t="s">
        <v>2070</v>
      </c>
      <c r="AG645" t="s">
        <v>66</v>
      </c>
      <c r="AH645" t="s">
        <v>66</v>
      </c>
      <c r="AI645" t="s">
        <v>66</v>
      </c>
      <c r="AJ645" t="s">
        <v>66</v>
      </c>
      <c r="AK645">
        <v>1</v>
      </c>
      <c r="AL645" t="s">
        <v>2166</v>
      </c>
      <c r="AM645" t="s">
        <v>2167</v>
      </c>
      <c r="AN645" t="s">
        <v>66</v>
      </c>
      <c r="AO645" t="s">
        <v>66</v>
      </c>
      <c r="AP645">
        <v>1</v>
      </c>
      <c r="AQ645" t="s">
        <v>66</v>
      </c>
      <c r="AR645" t="s">
        <v>66</v>
      </c>
      <c r="AS645" t="s">
        <v>66</v>
      </c>
      <c r="AT645" t="s">
        <v>66</v>
      </c>
    </row>
    <row r="646" spans="1:46" x14ac:dyDescent="0.15">
      <c r="A646" t="s">
        <v>2193</v>
      </c>
      <c r="B646" t="s">
        <v>2058</v>
      </c>
      <c r="C646" t="s">
        <v>2059</v>
      </c>
      <c r="D646">
        <v>26</v>
      </c>
      <c r="E646" t="s">
        <v>2060</v>
      </c>
      <c r="F646" t="s">
        <v>50</v>
      </c>
      <c r="G646" t="s">
        <v>51</v>
      </c>
      <c r="H646" t="s">
        <v>2061</v>
      </c>
      <c r="I646" t="s">
        <v>1553</v>
      </c>
      <c r="J646" t="s">
        <v>54</v>
      </c>
      <c r="K646" t="s">
        <v>55</v>
      </c>
      <c r="L646" t="s">
        <v>17</v>
      </c>
      <c r="M646" t="s">
        <v>16</v>
      </c>
      <c r="N646">
        <v>1903</v>
      </c>
      <c r="O646">
        <v>105</v>
      </c>
      <c r="P646">
        <v>0</v>
      </c>
      <c r="Q646" t="s">
        <v>2194</v>
      </c>
      <c r="R646" t="s">
        <v>2195</v>
      </c>
      <c r="S646" t="s">
        <v>2196</v>
      </c>
      <c r="T646" t="s">
        <v>2197</v>
      </c>
      <c r="U646" t="s">
        <v>60</v>
      </c>
      <c r="V646" t="s">
        <v>61</v>
      </c>
      <c r="W646">
        <v>3</v>
      </c>
      <c r="X646">
        <v>0.14000000000000001</v>
      </c>
      <c r="Y646" t="s">
        <v>229</v>
      </c>
      <c r="Z646" t="s">
        <v>230</v>
      </c>
      <c r="AA646">
        <v>1</v>
      </c>
      <c r="AB646" t="s">
        <v>2066</v>
      </c>
      <c r="AC646" t="s">
        <v>2067</v>
      </c>
      <c r="AD646" t="s">
        <v>2068</v>
      </c>
      <c r="AE646" t="s">
        <v>2069</v>
      </c>
      <c r="AF646" t="s">
        <v>2070</v>
      </c>
      <c r="AG646" t="s">
        <v>66</v>
      </c>
      <c r="AH646" t="s">
        <v>66</v>
      </c>
      <c r="AI646" t="s">
        <v>66</v>
      </c>
      <c r="AJ646" t="s">
        <v>66</v>
      </c>
      <c r="AK646">
        <v>1</v>
      </c>
      <c r="AL646" t="s">
        <v>2166</v>
      </c>
      <c r="AM646" t="s">
        <v>2167</v>
      </c>
      <c r="AN646" t="s">
        <v>66</v>
      </c>
      <c r="AO646" t="s">
        <v>66</v>
      </c>
      <c r="AP646">
        <v>1</v>
      </c>
      <c r="AQ646" t="s">
        <v>66</v>
      </c>
      <c r="AR646" t="s">
        <v>66</v>
      </c>
      <c r="AS646" t="s">
        <v>66</v>
      </c>
      <c r="AT646" t="s">
        <v>66</v>
      </c>
    </row>
    <row r="647" spans="1:46" x14ac:dyDescent="0.15">
      <c r="A647" t="s">
        <v>2198</v>
      </c>
      <c r="B647" t="s">
        <v>2058</v>
      </c>
      <c r="C647" t="s">
        <v>2059</v>
      </c>
      <c r="D647">
        <v>27</v>
      </c>
      <c r="E647" t="s">
        <v>2060</v>
      </c>
      <c r="F647" t="s">
        <v>50</v>
      </c>
      <c r="G647" t="s">
        <v>51</v>
      </c>
      <c r="H647" t="s">
        <v>2061</v>
      </c>
      <c r="I647" t="s">
        <v>1553</v>
      </c>
      <c r="J647" t="s">
        <v>54</v>
      </c>
      <c r="K647" t="s">
        <v>55</v>
      </c>
      <c r="L647" t="s">
        <v>17</v>
      </c>
      <c r="M647" t="s">
        <v>16</v>
      </c>
      <c r="N647">
        <v>1959</v>
      </c>
      <c r="O647">
        <v>108</v>
      </c>
      <c r="P647">
        <v>0</v>
      </c>
      <c r="Q647" t="s">
        <v>2199</v>
      </c>
      <c r="R647" t="s">
        <v>2200</v>
      </c>
      <c r="S647" t="s">
        <v>2201</v>
      </c>
      <c r="T647" t="s">
        <v>2202</v>
      </c>
      <c r="U647" t="s">
        <v>60</v>
      </c>
      <c r="V647" t="s">
        <v>61</v>
      </c>
      <c r="W647">
        <v>3</v>
      </c>
      <c r="X647">
        <v>0.14000000000000001</v>
      </c>
      <c r="Y647" t="s">
        <v>151</v>
      </c>
      <c r="Z647" t="s">
        <v>236</v>
      </c>
      <c r="AA647">
        <v>1</v>
      </c>
      <c r="AB647" t="s">
        <v>2066</v>
      </c>
      <c r="AC647" t="s">
        <v>2067</v>
      </c>
      <c r="AD647" t="s">
        <v>2068</v>
      </c>
      <c r="AE647" t="s">
        <v>2069</v>
      </c>
      <c r="AF647" t="s">
        <v>2070</v>
      </c>
      <c r="AG647" t="s">
        <v>66</v>
      </c>
      <c r="AH647" t="s">
        <v>66</v>
      </c>
      <c r="AI647" t="s">
        <v>66</v>
      </c>
      <c r="AJ647" t="s">
        <v>66</v>
      </c>
      <c r="AK647">
        <v>1</v>
      </c>
      <c r="AL647" t="s">
        <v>2166</v>
      </c>
      <c r="AM647" t="s">
        <v>2167</v>
      </c>
      <c r="AN647" t="s">
        <v>66</v>
      </c>
      <c r="AO647" t="s">
        <v>66</v>
      </c>
      <c r="AP647">
        <v>1</v>
      </c>
      <c r="AQ647" t="s">
        <v>66</v>
      </c>
      <c r="AR647" t="s">
        <v>66</v>
      </c>
      <c r="AS647" t="s">
        <v>66</v>
      </c>
      <c r="AT647" t="s">
        <v>66</v>
      </c>
    </row>
    <row r="648" spans="1:46" x14ac:dyDescent="0.15">
      <c r="A648" t="s">
        <v>2203</v>
      </c>
      <c r="B648" t="s">
        <v>2058</v>
      </c>
      <c r="C648" t="s">
        <v>2059</v>
      </c>
      <c r="D648">
        <v>28</v>
      </c>
      <c r="E648" t="s">
        <v>2060</v>
      </c>
      <c r="F648" t="s">
        <v>50</v>
      </c>
      <c r="G648" t="s">
        <v>51</v>
      </c>
      <c r="H648" t="s">
        <v>2061</v>
      </c>
      <c r="I648" t="s">
        <v>1553</v>
      </c>
      <c r="J648" t="s">
        <v>54</v>
      </c>
      <c r="K648" t="s">
        <v>55</v>
      </c>
      <c r="L648" t="s">
        <v>17</v>
      </c>
      <c r="M648" t="s">
        <v>16</v>
      </c>
      <c r="N648">
        <v>2015</v>
      </c>
      <c r="O648">
        <v>111</v>
      </c>
      <c r="P648">
        <v>0</v>
      </c>
      <c r="Q648" t="s">
        <v>2204</v>
      </c>
      <c r="R648" t="s">
        <v>2205</v>
      </c>
      <c r="S648" t="s">
        <v>2206</v>
      </c>
      <c r="T648" t="s">
        <v>2207</v>
      </c>
      <c r="U648" t="s">
        <v>60</v>
      </c>
      <c r="V648" t="s">
        <v>61</v>
      </c>
      <c r="W648">
        <v>3</v>
      </c>
      <c r="X648">
        <v>0.14000000000000001</v>
      </c>
      <c r="Y648" t="s">
        <v>242</v>
      </c>
      <c r="Z648" t="s">
        <v>243</v>
      </c>
      <c r="AA648">
        <v>1</v>
      </c>
      <c r="AB648" t="s">
        <v>2066</v>
      </c>
      <c r="AC648" t="s">
        <v>2067</v>
      </c>
      <c r="AD648" t="s">
        <v>2068</v>
      </c>
      <c r="AE648" t="s">
        <v>2069</v>
      </c>
      <c r="AF648" t="s">
        <v>2070</v>
      </c>
      <c r="AG648" t="s">
        <v>66</v>
      </c>
      <c r="AH648" t="s">
        <v>66</v>
      </c>
      <c r="AI648" t="s">
        <v>66</v>
      </c>
      <c r="AJ648" t="s">
        <v>66</v>
      </c>
      <c r="AK648">
        <v>1</v>
      </c>
      <c r="AL648" t="s">
        <v>2166</v>
      </c>
      <c r="AM648" t="s">
        <v>2167</v>
      </c>
      <c r="AN648" t="s">
        <v>66</v>
      </c>
      <c r="AO648" t="s">
        <v>66</v>
      </c>
      <c r="AP648">
        <v>1</v>
      </c>
      <c r="AQ648" t="s">
        <v>66</v>
      </c>
      <c r="AR648" t="s">
        <v>66</v>
      </c>
      <c r="AS648" t="s">
        <v>66</v>
      </c>
      <c r="AT648" t="s">
        <v>66</v>
      </c>
    </row>
    <row r="649" spans="1:46" x14ac:dyDescent="0.15">
      <c r="A649" t="s">
        <v>2208</v>
      </c>
      <c r="B649" t="s">
        <v>2058</v>
      </c>
      <c r="C649" t="s">
        <v>2059</v>
      </c>
      <c r="D649">
        <v>29</v>
      </c>
      <c r="E649" t="s">
        <v>2060</v>
      </c>
      <c r="F649" t="s">
        <v>50</v>
      </c>
      <c r="G649" t="s">
        <v>51</v>
      </c>
      <c r="H649" t="s">
        <v>2061</v>
      </c>
      <c r="I649" t="s">
        <v>1553</v>
      </c>
      <c r="J649" t="s">
        <v>54</v>
      </c>
      <c r="K649" t="s">
        <v>55</v>
      </c>
      <c r="L649" t="s">
        <v>17</v>
      </c>
      <c r="M649" t="s">
        <v>16</v>
      </c>
      <c r="N649">
        <v>2071</v>
      </c>
      <c r="O649">
        <v>114</v>
      </c>
      <c r="P649">
        <v>0</v>
      </c>
      <c r="Q649" t="s">
        <v>2209</v>
      </c>
      <c r="R649" t="s">
        <v>2210</v>
      </c>
      <c r="S649" t="s">
        <v>2211</v>
      </c>
      <c r="T649" t="s">
        <v>2212</v>
      </c>
      <c r="U649" t="s">
        <v>60</v>
      </c>
      <c r="V649" t="s">
        <v>61</v>
      </c>
      <c r="W649">
        <v>3</v>
      </c>
      <c r="X649">
        <v>0.14000000000000001</v>
      </c>
      <c r="Y649" t="s">
        <v>157</v>
      </c>
      <c r="Z649" t="s">
        <v>249</v>
      </c>
      <c r="AA649">
        <v>1</v>
      </c>
      <c r="AB649" t="s">
        <v>2066</v>
      </c>
      <c r="AC649" t="s">
        <v>2067</v>
      </c>
      <c r="AD649" t="s">
        <v>2068</v>
      </c>
      <c r="AE649" t="s">
        <v>2069</v>
      </c>
      <c r="AF649" t="s">
        <v>2070</v>
      </c>
      <c r="AG649" t="s">
        <v>66</v>
      </c>
      <c r="AH649" t="s">
        <v>66</v>
      </c>
      <c r="AI649" t="s">
        <v>66</v>
      </c>
      <c r="AJ649" t="s">
        <v>66</v>
      </c>
      <c r="AK649">
        <v>1</v>
      </c>
      <c r="AL649" t="s">
        <v>2166</v>
      </c>
      <c r="AM649" t="s">
        <v>2167</v>
      </c>
      <c r="AN649" t="s">
        <v>66</v>
      </c>
      <c r="AO649" t="s">
        <v>66</v>
      </c>
      <c r="AP649">
        <v>1</v>
      </c>
      <c r="AQ649" t="s">
        <v>66</v>
      </c>
      <c r="AR649" t="s">
        <v>66</v>
      </c>
      <c r="AS649" t="s">
        <v>66</v>
      </c>
      <c r="AT649" t="s">
        <v>66</v>
      </c>
    </row>
    <row r="650" spans="1:46" x14ac:dyDescent="0.15">
      <c r="A650" t="s">
        <v>2213</v>
      </c>
      <c r="B650" t="s">
        <v>2058</v>
      </c>
      <c r="C650" t="s">
        <v>2059</v>
      </c>
      <c r="D650">
        <v>30</v>
      </c>
      <c r="E650" t="s">
        <v>2060</v>
      </c>
      <c r="F650" t="s">
        <v>50</v>
      </c>
      <c r="G650" t="s">
        <v>51</v>
      </c>
      <c r="H650" t="s">
        <v>2061</v>
      </c>
      <c r="I650" t="s">
        <v>1553</v>
      </c>
      <c r="J650" t="s">
        <v>54</v>
      </c>
      <c r="K650" t="s">
        <v>55</v>
      </c>
      <c r="L650" t="s">
        <v>17</v>
      </c>
      <c r="M650" t="s">
        <v>16</v>
      </c>
      <c r="N650">
        <v>2128</v>
      </c>
      <c r="O650">
        <v>117</v>
      </c>
      <c r="P650">
        <v>0</v>
      </c>
      <c r="Q650" t="s">
        <v>2214</v>
      </c>
      <c r="R650" t="s">
        <v>2215</v>
      </c>
      <c r="S650" t="s">
        <v>2216</v>
      </c>
      <c r="T650" t="s">
        <v>2217</v>
      </c>
      <c r="U650" t="s">
        <v>60</v>
      </c>
      <c r="V650" t="s">
        <v>61</v>
      </c>
      <c r="W650">
        <v>3</v>
      </c>
      <c r="X650">
        <v>0.14000000000000001</v>
      </c>
      <c r="Y650" t="s">
        <v>255</v>
      </c>
      <c r="Z650" t="s">
        <v>256</v>
      </c>
      <c r="AA650">
        <v>1</v>
      </c>
      <c r="AB650" t="s">
        <v>2066</v>
      </c>
      <c r="AC650" t="s">
        <v>2067</v>
      </c>
      <c r="AD650" t="s">
        <v>2068</v>
      </c>
      <c r="AE650" t="s">
        <v>2069</v>
      </c>
      <c r="AF650" t="s">
        <v>2070</v>
      </c>
      <c r="AG650" t="s">
        <v>66</v>
      </c>
      <c r="AH650" t="s">
        <v>66</v>
      </c>
      <c r="AI650" t="s">
        <v>66</v>
      </c>
      <c r="AJ650" t="s">
        <v>66</v>
      </c>
      <c r="AK650">
        <v>1</v>
      </c>
      <c r="AL650" t="s">
        <v>2166</v>
      </c>
      <c r="AM650" t="s">
        <v>2167</v>
      </c>
      <c r="AN650" t="s">
        <v>66</v>
      </c>
      <c r="AO650" t="s">
        <v>66</v>
      </c>
      <c r="AP650">
        <v>1</v>
      </c>
      <c r="AQ650" t="s">
        <v>66</v>
      </c>
      <c r="AR650" t="s">
        <v>66</v>
      </c>
      <c r="AS650" t="s">
        <v>66</v>
      </c>
      <c r="AT650" t="s">
        <v>66</v>
      </c>
    </row>
    <row r="651" spans="1:46" x14ac:dyDescent="0.15">
      <c r="A651" t="s">
        <v>2218</v>
      </c>
      <c r="B651" t="s">
        <v>2058</v>
      </c>
      <c r="C651" t="s">
        <v>2059</v>
      </c>
      <c r="D651">
        <v>31</v>
      </c>
      <c r="E651" t="s">
        <v>2060</v>
      </c>
      <c r="F651" t="s">
        <v>50</v>
      </c>
      <c r="G651" t="s">
        <v>51</v>
      </c>
      <c r="H651" t="s">
        <v>2061</v>
      </c>
      <c r="I651" t="s">
        <v>1553</v>
      </c>
      <c r="J651" t="s">
        <v>54</v>
      </c>
      <c r="K651" t="s">
        <v>55</v>
      </c>
      <c r="L651" t="s">
        <v>17</v>
      </c>
      <c r="M651" t="s">
        <v>16</v>
      </c>
      <c r="N651">
        <v>2184</v>
      </c>
      <c r="O651">
        <v>120</v>
      </c>
      <c r="P651">
        <v>0</v>
      </c>
      <c r="Q651" t="s">
        <v>2219</v>
      </c>
      <c r="R651" t="s">
        <v>2220</v>
      </c>
      <c r="S651" t="s">
        <v>2221</v>
      </c>
      <c r="T651" t="s">
        <v>2222</v>
      </c>
      <c r="U651" t="s">
        <v>60</v>
      </c>
      <c r="V651" t="s">
        <v>61</v>
      </c>
      <c r="W651">
        <v>3</v>
      </c>
      <c r="X651">
        <v>0.14000000000000001</v>
      </c>
      <c r="Y651" t="s">
        <v>164</v>
      </c>
      <c r="Z651" t="s">
        <v>262</v>
      </c>
      <c r="AA651">
        <v>1</v>
      </c>
      <c r="AB651" t="s">
        <v>2066</v>
      </c>
      <c r="AC651" t="s">
        <v>2067</v>
      </c>
      <c r="AD651" t="s">
        <v>2068</v>
      </c>
      <c r="AE651" t="s">
        <v>2069</v>
      </c>
      <c r="AF651" t="s">
        <v>2070</v>
      </c>
      <c r="AG651" t="s">
        <v>66</v>
      </c>
      <c r="AH651" t="s">
        <v>66</v>
      </c>
      <c r="AI651" t="s">
        <v>66</v>
      </c>
      <c r="AJ651" t="s">
        <v>66</v>
      </c>
      <c r="AK651">
        <v>1</v>
      </c>
      <c r="AL651" t="s">
        <v>2166</v>
      </c>
      <c r="AM651" t="s">
        <v>2167</v>
      </c>
      <c r="AN651" t="s">
        <v>66</v>
      </c>
      <c r="AO651" t="s">
        <v>66</v>
      </c>
      <c r="AP651">
        <v>1</v>
      </c>
      <c r="AQ651" t="s">
        <v>66</v>
      </c>
      <c r="AR651" t="s">
        <v>66</v>
      </c>
      <c r="AS651" t="s">
        <v>66</v>
      </c>
      <c r="AT651" t="s">
        <v>66</v>
      </c>
    </row>
    <row r="652" spans="1:46" x14ac:dyDescent="0.15">
      <c r="A652" t="s">
        <v>2223</v>
      </c>
      <c r="B652" t="s">
        <v>2058</v>
      </c>
      <c r="C652" t="s">
        <v>2059</v>
      </c>
      <c r="D652">
        <v>32</v>
      </c>
      <c r="E652" t="s">
        <v>2060</v>
      </c>
      <c r="F652" t="s">
        <v>50</v>
      </c>
      <c r="G652" t="s">
        <v>51</v>
      </c>
      <c r="H652" t="s">
        <v>2061</v>
      </c>
      <c r="I652" t="s">
        <v>1553</v>
      </c>
      <c r="J652" t="s">
        <v>54</v>
      </c>
      <c r="K652" t="s">
        <v>55</v>
      </c>
      <c r="L652" t="s">
        <v>17</v>
      </c>
      <c r="M652" t="s">
        <v>16</v>
      </c>
      <c r="N652">
        <v>2240</v>
      </c>
      <c r="O652">
        <v>123</v>
      </c>
      <c r="P652">
        <v>0</v>
      </c>
      <c r="Q652" t="s">
        <v>2224</v>
      </c>
      <c r="R652" t="s">
        <v>2225</v>
      </c>
      <c r="S652" t="s">
        <v>2226</v>
      </c>
      <c r="T652" t="s">
        <v>2227</v>
      </c>
      <c r="U652" t="s">
        <v>60</v>
      </c>
      <c r="V652" t="s">
        <v>61</v>
      </c>
      <c r="W652">
        <v>3</v>
      </c>
      <c r="X652">
        <v>0.14000000000000001</v>
      </c>
      <c r="Y652" t="s">
        <v>268</v>
      </c>
      <c r="Z652" t="s">
        <v>269</v>
      </c>
      <c r="AA652">
        <v>1</v>
      </c>
      <c r="AB652" t="s">
        <v>2066</v>
      </c>
      <c r="AC652" t="s">
        <v>2067</v>
      </c>
      <c r="AD652" t="s">
        <v>2068</v>
      </c>
      <c r="AE652" t="s">
        <v>2069</v>
      </c>
      <c r="AF652" t="s">
        <v>2070</v>
      </c>
      <c r="AG652" t="s">
        <v>66</v>
      </c>
      <c r="AH652" t="s">
        <v>66</v>
      </c>
      <c r="AI652" t="s">
        <v>66</v>
      </c>
      <c r="AJ652" t="s">
        <v>66</v>
      </c>
      <c r="AK652">
        <v>1</v>
      </c>
      <c r="AL652" t="s">
        <v>2166</v>
      </c>
      <c r="AM652" t="s">
        <v>2167</v>
      </c>
      <c r="AN652" t="s">
        <v>66</v>
      </c>
      <c r="AO652" t="s">
        <v>66</v>
      </c>
      <c r="AP652">
        <v>1</v>
      </c>
      <c r="AQ652" t="s">
        <v>66</v>
      </c>
      <c r="AR652" t="s">
        <v>66</v>
      </c>
      <c r="AS652" t="s">
        <v>66</v>
      </c>
      <c r="AT652" t="s">
        <v>66</v>
      </c>
    </row>
    <row r="653" spans="1:46" x14ac:dyDescent="0.15">
      <c r="A653" t="s">
        <v>2228</v>
      </c>
      <c r="B653" t="s">
        <v>2058</v>
      </c>
      <c r="C653" t="s">
        <v>2059</v>
      </c>
      <c r="D653">
        <v>33</v>
      </c>
      <c r="E653" t="s">
        <v>2060</v>
      </c>
      <c r="F653" t="s">
        <v>50</v>
      </c>
      <c r="G653" t="s">
        <v>51</v>
      </c>
      <c r="H653" t="s">
        <v>2061</v>
      </c>
      <c r="I653" t="s">
        <v>1553</v>
      </c>
      <c r="J653" t="s">
        <v>54</v>
      </c>
      <c r="K653" t="s">
        <v>55</v>
      </c>
      <c r="L653" t="s">
        <v>17</v>
      </c>
      <c r="M653" t="s">
        <v>16</v>
      </c>
      <c r="N653">
        <v>2296</v>
      </c>
      <c r="O653">
        <v>126</v>
      </c>
      <c r="P653">
        <v>0</v>
      </c>
      <c r="Q653" t="s">
        <v>2229</v>
      </c>
      <c r="R653" t="s">
        <v>2230</v>
      </c>
      <c r="S653" t="s">
        <v>2231</v>
      </c>
      <c r="T653" t="s">
        <v>2232</v>
      </c>
      <c r="U653" t="s">
        <v>60</v>
      </c>
      <c r="V653" t="s">
        <v>61</v>
      </c>
      <c r="W653">
        <v>3</v>
      </c>
      <c r="X653">
        <v>0.14000000000000001</v>
      </c>
      <c r="Y653" t="s">
        <v>170</v>
      </c>
      <c r="Z653" t="s">
        <v>275</v>
      </c>
      <c r="AA653">
        <v>1</v>
      </c>
      <c r="AB653" t="s">
        <v>2066</v>
      </c>
      <c r="AC653" t="s">
        <v>2067</v>
      </c>
      <c r="AD653" t="s">
        <v>2068</v>
      </c>
      <c r="AE653" t="s">
        <v>2069</v>
      </c>
      <c r="AF653" t="s">
        <v>2070</v>
      </c>
      <c r="AG653" t="s">
        <v>66</v>
      </c>
      <c r="AH653" t="s">
        <v>66</v>
      </c>
      <c r="AI653" t="s">
        <v>66</v>
      </c>
      <c r="AJ653" t="s">
        <v>66</v>
      </c>
      <c r="AK653">
        <v>1</v>
      </c>
      <c r="AL653" t="s">
        <v>2166</v>
      </c>
      <c r="AM653" t="s">
        <v>2167</v>
      </c>
      <c r="AN653" t="s">
        <v>66</v>
      </c>
      <c r="AO653" t="s">
        <v>66</v>
      </c>
      <c r="AP653">
        <v>1</v>
      </c>
      <c r="AQ653" t="s">
        <v>66</v>
      </c>
      <c r="AR653" t="s">
        <v>66</v>
      </c>
      <c r="AS653" t="s">
        <v>66</v>
      </c>
      <c r="AT653" t="s">
        <v>66</v>
      </c>
    </row>
    <row r="654" spans="1:46" x14ac:dyDescent="0.15">
      <c r="A654" t="s">
        <v>2233</v>
      </c>
      <c r="B654" t="s">
        <v>2058</v>
      </c>
      <c r="C654" t="s">
        <v>2059</v>
      </c>
      <c r="D654">
        <v>34</v>
      </c>
      <c r="E654" t="s">
        <v>2060</v>
      </c>
      <c r="F654" t="s">
        <v>50</v>
      </c>
      <c r="G654" t="s">
        <v>51</v>
      </c>
      <c r="H654" t="s">
        <v>2061</v>
      </c>
      <c r="I654" t="s">
        <v>1553</v>
      </c>
      <c r="J654" t="s">
        <v>54</v>
      </c>
      <c r="K654" t="s">
        <v>55</v>
      </c>
      <c r="L654" t="s">
        <v>17</v>
      </c>
      <c r="M654" t="s">
        <v>16</v>
      </c>
      <c r="N654">
        <v>2352</v>
      </c>
      <c r="O654">
        <v>129</v>
      </c>
      <c r="P654">
        <v>0</v>
      </c>
      <c r="Q654" t="s">
        <v>2234</v>
      </c>
      <c r="R654" t="s">
        <v>2235</v>
      </c>
      <c r="S654" t="s">
        <v>2236</v>
      </c>
      <c r="T654" t="s">
        <v>2237</v>
      </c>
      <c r="U654" t="s">
        <v>60</v>
      </c>
      <c r="V654" t="s">
        <v>61</v>
      </c>
      <c r="W654">
        <v>3</v>
      </c>
      <c r="X654">
        <v>0.14000000000000001</v>
      </c>
      <c r="Y654" t="s">
        <v>281</v>
      </c>
      <c r="Z654" t="s">
        <v>282</v>
      </c>
      <c r="AA654">
        <v>1</v>
      </c>
      <c r="AB654" t="s">
        <v>2066</v>
      </c>
      <c r="AC654" t="s">
        <v>2067</v>
      </c>
      <c r="AD654" t="s">
        <v>2068</v>
      </c>
      <c r="AE654" t="s">
        <v>2069</v>
      </c>
      <c r="AF654" t="s">
        <v>2070</v>
      </c>
      <c r="AG654" t="s">
        <v>66</v>
      </c>
      <c r="AH654" t="s">
        <v>66</v>
      </c>
      <c r="AI654" t="s">
        <v>66</v>
      </c>
      <c r="AJ654" t="s">
        <v>66</v>
      </c>
      <c r="AK654">
        <v>1</v>
      </c>
      <c r="AL654" t="s">
        <v>2166</v>
      </c>
      <c r="AM654" t="s">
        <v>2167</v>
      </c>
      <c r="AN654" t="s">
        <v>66</v>
      </c>
      <c r="AO654" t="s">
        <v>66</v>
      </c>
      <c r="AP654">
        <v>1</v>
      </c>
      <c r="AQ654" t="s">
        <v>66</v>
      </c>
      <c r="AR654" t="s">
        <v>66</v>
      </c>
      <c r="AS654" t="s">
        <v>66</v>
      </c>
      <c r="AT654" t="s">
        <v>66</v>
      </c>
    </row>
    <row r="655" spans="1:46" x14ac:dyDescent="0.15">
      <c r="A655" t="s">
        <v>2238</v>
      </c>
      <c r="B655" t="s">
        <v>2058</v>
      </c>
      <c r="C655" t="s">
        <v>2059</v>
      </c>
      <c r="D655">
        <v>35</v>
      </c>
      <c r="E655" t="s">
        <v>2060</v>
      </c>
      <c r="F655" t="s">
        <v>50</v>
      </c>
      <c r="G655" t="s">
        <v>51</v>
      </c>
      <c r="H655" t="s">
        <v>2061</v>
      </c>
      <c r="I655" t="s">
        <v>1553</v>
      </c>
      <c r="J655" t="s">
        <v>54</v>
      </c>
      <c r="K655" t="s">
        <v>55</v>
      </c>
      <c r="L655" t="s">
        <v>17</v>
      </c>
      <c r="M655" t="s">
        <v>16</v>
      </c>
      <c r="N655">
        <v>2408</v>
      </c>
      <c r="O655">
        <v>132</v>
      </c>
      <c r="P655">
        <v>0</v>
      </c>
      <c r="Q655" t="s">
        <v>2239</v>
      </c>
      <c r="R655" t="s">
        <v>2240</v>
      </c>
      <c r="S655" t="s">
        <v>2241</v>
      </c>
      <c r="T655" t="s">
        <v>2242</v>
      </c>
      <c r="U655" t="s">
        <v>60</v>
      </c>
      <c r="V655" t="s">
        <v>61</v>
      </c>
      <c r="W655">
        <v>3</v>
      </c>
      <c r="X655">
        <v>0.14000000000000001</v>
      </c>
      <c r="Y655" t="s">
        <v>177</v>
      </c>
      <c r="Z655" t="s">
        <v>288</v>
      </c>
      <c r="AA655">
        <v>1</v>
      </c>
      <c r="AB655" t="s">
        <v>2066</v>
      </c>
      <c r="AC655" t="s">
        <v>2067</v>
      </c>
      <c r="AD655" t="s">
        <v>2068</v>
      </c>
      <c r="AE655" t="s">
        <v>2069</v>
      </c>
      <c r="AF655" t="s">
        <v>2070</v>
      </c>
      <c r="AG655" t="s">
        <v>66</v>
      </c>
      <c r="AH655" t="s">
        <v>66</v>
      </c>
      <c r="AI655" t="s">
        <v>66</v>
      </c>
      <c r="AJ655" t="s">
        <v>66</v>
      </c>
      <c r="AK655">
        <v>1</v>
      </c>
      <c r="AL655" t="s">
        <v>2166</v>
      </c>
      <c r="AM655" t="s">
        <v>2167</v>
      </c>
      <c r="AN655" t="s">
        <v>66</v>
      </c>
      <c r="AO655" t="s">
        <v>66</v>
      </c>
      <c r="AP655">
        <v>1</v>
      </c>
      <c r="AQ655" t="s">
        <v>66</v>
      </c>
      <c r="AR655" t="s">
        <v>66</v>
      </c>
      <c r="AS655" t="s">
        <v>66</v>
      </c>
      <c r="AT655" t="s">
        <v>66</v>
      </c>
    </row>
    <row r="656" spans="1:46" x14ac:dyDescent="0.15">
      <c r="A656" t="s">
        <v>2243</v>
      </c>
      <c r="B656" t="s">
        <v>2058</v>
      </c>
      <c r="C656" t="s">
        <v>2059</v>
      </c>
      <c r="D656">
        <v>36</v>
      </c>
      <c r="E656" t="s">
        <v>2060</v>
      </c>
      <c r="F656" t="s">
        <v>50</v>
      </c>
      <c r="G656" t="s">
        <v>51</v>
      </c>
      <c r="H656" t="s">
        <v>2061</v>
      </c>
      <c r="I656" t="s">
        <v>1553</v>
      </c>
      <c r="J656" t="s">
        <v>54</v>
      </c>
      <c r="K656" t="s">
        <v>55</v>
      </c>
      <c r="L656" t="s">
        <v>17</v>
      </c>
      <c r="M656" t="s">
        <v>16</v>
      </c>
      <c r="N656">
        <v>2464</v>
      </c>
      <c r="O656">
        <v>135</v>
      </c>
      <c r="P656">
        <v>0</v>
      </c>
      <c r="Q656" t="s">
        <v>2244</v>
      </c>
      <c r="R656" t="s">
        <v>2245</v>
      </c>
      <c r="S656" t="s">
        <v>2246</v>
      </c>
      <c r="T656" t="s">
        <v>2247</v>
      </c>
      <c r="U656" t="s">
        <v>60</v>
      </c>
      <c r="V656" t="s">
        <v>61</v>
      </c>
      <c r="W656">
        <v>3</v>
      </c>
      <c r="X656">
        <v>0.14000000000000001</v>
      </c>
      <c r="Y656" t="s">
        <v>294</v>
      </c>
      <c r="Z656" t="s">
        <v>295</v>
      </c>
      <c r="AA656">
        <v>1</v>
      </c>
      <c r="AB656" t="s">
        <v>2066</v>
      </c>
      <c r="AC656" t="s">
        <v>2067</v>
      </c>
      <c r="AD656" t="s">
        <v>2068</v>
      </c>
      <c r="AE656" t="s">
        <v>2069</v>
      </c>
      <c r="AF656" t="s">
        <v>2070</v>
      </c>
      <c r="AG656" t="s">
        <v>66</v>
      </c>
      <c r="AH656" t="s">
        <v>66</v>
      </c>
      <c r="AI656" t="s">
        <v>66</v>
      </c>
      <c r="AJ656" t="s">
        <v>66</v>
      </c>
      <c r="AK656">
        <v>1</v>
      </c>
      <c r="AL656" t="s">
        <v>2166</v>
      </c>
      <c r="AM656" t="s">
        <v>2167</v>
      </c>
      <c r="AN656" t="s">
        <v>66</v>
      </c>
      <c r="AO656" t="s">
        <v>66</v>
      </c>
      <c r="AP656">
        <v>1</v>
      </c>
      <c r="AQ656" t="s">
        <v>66</v>
      </c>
      <c r="AR656" t="s">
        <v>66</v>
      </c>
      <c r="AS656" t="s">
        <v>66</v>
      </c>
      <c r="AT656" t="s">
        <v>66</v>
      </c>
    </row>
    <row r="657" spans="1:46" x14ac:dyDescent="0.15">
      <c r="A657" t="s">
        <v>2248</v>
      </c>
      <c r="B657" t="s">
        <v>2058</v>
      </c>
      <c r="C657" t="s">
        <v>2059</v>
      </c>
      <c r="D657">
        <v>37</v>
      </c>
      <c r="E657" t="s">
        <v>2060</v>
      </c>
      <c r="F657" t="s">
        <v>50</v>
      </c>
      <c r="G657" t="s">
        <v>51</v>
      </c>
      <c r="H657" t="s">
        <v>2061</v>
      </c>
      <c r="I657" t="s">
        <v>1553</v>
      </c>
      <c r="J657" t="s">
        <v>54</v>
      </c>
      <c r="K657" t="s">
        <v>55</v>
      </c>
      <c r="L657" t="s">
        <v>17</v>
      </c>
      <c r="M657" t="s">
        <v>16</v>
      </c>
      <c r="N657">
        <v>2520</v>
      </c>
      <c r="O657">
        <v>138</v>
      </c>
      <c r="P657">
        <v>0</v>
      </c>
      <c r="Q657" t="s">
        <v>2249</v>
      </c>
      <c r="R657" t="s">
        <v>2250</v>
      </c>
      <c r="S657" t="s">
        <v>2251</v>
      </c>
      <c r="T657" t="s">
        <v>2252</v>
      </c>
      <c r="U657" t="s">
        <v>60</v>
      </c>
      <c r="V657" t="s">
        <v>61</v>
      </c>
      <c r="W657">
        <v>3</v>
      </c>
      <c r="X657">
        <v>0.14000000000000001</v>
      </c>
      <c r="Y657" t="s">
        <v>183</v>
      </c>
      <c r="Z657" t="s">
        <v>301</v>
      </c>
      <c r="AA657">
        <v>1</v>
      </c>
      <c r="AB657" t="s">
        <v>2066</v>
      </c>
      <c r="AC657" t="s">
        <v>2067</v>
      </c>
      <c r="AD657" t="s">
        <v>2068</v>
      </c>
      <c r="AE657" t="s">
        <v>2069</v>
      </c>
      <c r="AF657" t="s">
        <v>2070</v>
      </c>
      <c r="AG657" t="s">
        <v>66</v>
      </c>
      <c r="AH657" t="s">
        <v>66</v>
      </c>
      <c r="AI657" t="s">
        <v>66</v>
      </c>
      <c r="AJ657" t="s">
        <v>66</v>
      </c>
      <c r="AK657">
        <v>1</v>
      </c>
      <c r="AL657" t="s">
        <v>2166</v>
      </c>
      <c r="AM657" t="s">
        <v>2167</v>
      </c>
      <c r="AN657" t="s">
        <v>66</v>
      </c>
      <c r="AO657" t="s">
        <v>66</v>
      </c>
      <c r="AP657">
        <v>1</v>
      </c>
      <c r="AQ657" t="s">
        <v>66</v>
      </c>
      <c r="AR657" t="s">
        <v>66</v>
      </c>
      <c r="AS657" t="s">
        <v>66</v>
      </c>
      <c r="AT657" t="s">
        <v>66</v>
      </c>
    </row>
    <row r="658" spans="1:46" x14ac:dyDescent="0.15">
      <c r="A658" t="s">
        <v>2253</v>
      </c>
      <c r="B658" t="s">
        <v>2058</v>
      </c>
      <c r="C658" t="s">
        <v>2059</v>
      </c>
      <c r="D658">
        <v>38</v>
      </c>
      <c r="E658" t="s">
        <v>2060</v>
      </c>
      <c r="F658" t="s">
        <v>50</v>
      </c>
      <c r="G658" t="s">
        <v>51</v>
      </c>
      <c r="H658" t="s">
        <v>2061</v>
      </c>
      <c r="I658" t="s">
        <v>1553</v>
      </c>
      <c r="J658" t="s">
        <v>54</v>
      </c>
      <c r="K658" t="s">
        <v>55</v>
      </c>
      <c r="L658" t="s">
        <v>17</v>
      </c>
      <c r="M658" t="s">
        <v>16</v>
      </c>
      <c r="N658">
        <v>2577</v>
      </c>
      <c r="O658">
        <v>141</v>
      </c>
      <c r="P658">
        <v>0</v>
      </c>
      <c r="Q658" t="s">
        <v>2254</v>
      </c>
      <c r="R658" t="s">
        <v>2255</v>
      </c>
      <c r="S658" t="s">
        <v>2256</v>
      </c>
      <c r="T658" t="s">
        <v>2257</v>
      </c>
      <c r="U658" t="s">
        <v>60</v>
      </c>
      <c r="V658" t="s">
        <v>61</v>
      </c>
      <c r="W658">
        <v>3</v>
      </c>
      <c r="X658">
        <v>0.14000000000000001</v>
      </c>
      <c r="Y658" t="s">
        <v>307</v>
      </c>
      <c r="Z658" t="s">
        <v>308</v>
      </c>
      <c r="AA658">
        <v>1</v>
      </c>
      <c r="AB658" t="s">
        <v>2066</v>
      </c>
      <c r="AC658" t="s">
        <v>2067</v>
      </c>
      <c r="AD658" t="s">
        <v>2068</v>
      </c>
      <c r="AE658" t="s">
        <v>2069</v>
      </c>
      <c r="AF658" t="s">
        <v>2070</v>
      </c>
      <c r="AG658" t="s">
        <v>66</v>
      </c>
      <c r="AH658" t="s">
        <v>66</v>
      </c>
      <c r="AI658" t="s">
        <v>66</v>
      </c>
      <c r="AJ658" t="s">
        <v>66</v>
      </c>
      <c r="AK658">
        <v>1</v>
      </c>
      <c r="AL658" t="s">
        <v>2166</v>
      </c>
      <c r="AM658" t="s">
        <v>2167</v>
      </c>
      <c r="AN658" t="s">
        <v>66</v>
      </c>
      <c r="AO658" t="s">
        <v>66</v>
      </c>
      <c r="AP658">
        <v>1</v>
      </c>
      <c r="AQ658" t="s">
        <v>66</v>
      </c>
      <c r="AR658" t="s">
        <v>66</v>
      </c>
      <c r="AS658" t="s">
        <v>66</v>
      </c>
      <c r="AT658" t="s">
        <v>66</v>
      </c>
    </row>
    <row r="659" spans="1:46" x14ac:dyDescent="0.15">
      <c r="A659" t="s">
        <v>2258</v>
      </c>
      <c r="B659" t="s">
        <v>2058</v>
      </c>
      <c r="C659" t="s">
        <v>2059</v>
      </c>
      <c r="D659">
        <v>39</v>
      </c>
      <c r="E659" t="s">
        <v>2060</v>
      </c>
      <c r="F659" t="s">
        <v>50</v>
      </c>
      <c r="G659" t="s">
        <v>51</v>
      </c>
      <c r="H659" t="s">
        <v>2061</v>
      </c>
      <c r="I659" t="s">
        <v>1553</v>
      </c>
      <c r="J659" t="s">
        <v>54</v>
      </c>
      <c r="K659" t="s">
        <v>55</v>
      </c>
      <c r="L659" t="s">
        <v>17</v>
      </c>
      <c r="M659" t="s">
        <v>16</v>
      </c>
      <c r="N659">
        <v>2633</v>
      </c>
      <c r="O659">
        <v>144</v>
      </c>
      <c r="P659">
        <v>0</v>
      </c>
      <c r="Q659" t="s">
        <v>2259</v>
      </c>
      <c r="R659" t="s">
        <v>2260</v>
      </c>
      <c r="S659" t="s">
        <v>2261</v>
      </c>
      <c r="T659" t="s">
        <v>2262</v>
      </c>
      <c r="U659" t="s">
        <v>60</v>
      </c>
      <c r="V659" t="s">
        <v>61</v>
      </c>
      <c r="W659">
        <v>3</v>
      </c>
      <c r="X659">
        <v>0.14000000000000001</v>
      </c>
      <c r="Y659" t="s">
        <v>190</v>
      </c>
      <c r="Z659" t="s">
        <v>314</v>
      </c>
      <c r="AA659">
        <v>1</v>
      </c>
      <c r="AB659" t="s">
        <v>2066</v>
      </c>
      <c r="AC659" t="s">
        <v>2067</v>
      </c>
      <c r="AD659" t="s">
        <v>2068</v>
      </c>
      <c r="AE659" t="s">
        <v>2069</v>
      </c>
      <c r="AF659" t="s">
        <v>2070</v>
      </c>
      <c r="AG659" t="s">
        <v>66</v>
      </c>
      <c r="AH659" t="s">
        <v>66</v>
      </c>
      <c r="AI659" t="s">
        <v>66</v>
      </c>
      <c r="AJ659" t="s">
        <v>66</v>
      </c>
      <c r="AK659">
        <v>1</v>
      </c>
      <c r="AL659" t="s">
        <v>2166</v>
      </c>
      <c r="AM659" t="s">
        <v>2167</v>
      </c>
      <c r="AN659" t="s">
        <v>66</v>
      </c>
      <c r="AO659" t="s">
        <v>66</v>
      </c>
      <c r="AP659">
        <v>1</v>
      </c>
      <c r="AQ659" t="s">
        <v>66</v>
      </c>
      <c r="AR659" t="s">
        <v>66</v>
      </c>
      <c r="AS659" t="s">
        <v>66</v>
      </c>
      <c r="AT659" t="s">
        <v>66</v>
      </c>
    </row>
    <row r="660" spans="1:46" x14ac:dyDescent="0.15">
      <c r="A660" t="s">
        <v>2263</v>
      </c>
      <c r="B660" t="s">
        <v>2058</v>
      </c>
      <c r="C660" t="s">
        <v>2059</v>
      </c>
      <c r="D660">
        <v>40</v>
      </c>
      <c r="E660" t="s">
        <v>2060</v>
      </c>
      <c r="F660" t="s">
        <v>50</v>
      </c>
      <c r="G660" t="s">
        <v>51</v>
      </c>
      <c r="H660" t="s">
        <v>2061</v>
      </c>
      <c r="I660" t="s">
        <v>1553</v>
      </c>
      <c r="J660" t="s">
        <v>54</v>
      </c>
      <c r="K660" t="s">
        <v>55</v>
      </c>
      <c r="L660" t="s">
        <v>17</v>
      </c>
      <c r="M660" t="s">
        <v>16</v>
      </c>
      <c r="N660">
        <v>2689</v>
      </c>
      <c r="O660">
        <v>147</v>
      </c>
      <c r="P660">
        <v>0</v>
      </c>
      <c r="Q660" t="s">
        <v>2264</v>
      </c>
      <c r="R660" t="s">
        <v>2265</v>
      </c>
      <c r="S660" t="s">
        <v>2266</v>
      </c>
      <c r="T660" t="s">
        <v>2267</v>
      </c>
      <c r="U660" t="s">
        <v>60</v>
      </c>
      <c r="V660" t="s">
        <v>61</v>
      </c>
      <c r="W660">
        <v>3</v>
      </c>
      <c r="X660">
        <v>0.14000000000000001</v>
      </c>
      <c r="Y660" t="s">
        <v>320</v>
      </c>
      <c r="Z660" t="s">
        <v>321</v>
      </c>
      <c r="AA660">
        <v>1</v>
      </c>
      <c r="AB660" t="s">
        <v>2066</v>
      </c>
      <c r="AC660" t="s">
        <v>2067</v>
      </c>
      <c r="AD660" t="s">
        <v>2068</v>
      </c>
      <c r="AE660" t="s">
        <v>2069</v>
      </c>
      <c r="AF660" t="s">
        <v>2070</v>
      </c>
      <c r="AG660" t="s">
        <v>66</v>
      </c>
      <c r="AH660" t="s">
        <v>66</v>
      </c>
      <c r="AI660" t="s">
        <v>66</v>
      </c>
      <c r="AJ660" t="s">
        <v>66</v>
      </c>
      <c r="AK660">
        <v>1</v>
      </c>
      <c r="AL660" t="s">
        <v>2166</v>
      </c>
      <c r="AM660" t="s">
        <v>2167</v>
      </c>
      <c r="AN660" t="s">
        <v>66</v>
      </c>
      <c r="AO660" t="s">
        <v>66</v>
      </c>
      <c r="AP660">
        <v>1</v>
      </c>
      <c r="AQ660" t="s">
        <v>66</v>
      </c>
      <c r="AR660" t="s">
        <v>66</v>
      </c>
      <c r="AS660" t="s">
        <v>66</v>
      </c>
      <c r="AT660" t="s">
        <v>66</v>
      </c>
    </row>
    <row r="661" spans="1:46" x14ac:dyDescent="0.15">
      <c r="A661" t="s">
        <v>2263</v>
      </c>
      <c r="B661" t="s">
        <v>2058</v>
      </c>
      <c r="C661" t="s">
        <v>2059</v>
      </c>
      <c r="D661">
        <v>40</v>
      </c>
      <c r="E661" t="s">
        <v>2060</v>
      </c>
      <c r="F661" t="s">
        <v>50</v>
      </c>
      <c r="G661" t="s">
        <v>51</v>
      </c>
      <c r="H661" t="s">
        <v>2061</v>
      </c>
      <c r="I661" t="s">
        <v>1553</v>
      </c>
      <c r="J661" t="s">
        <v>54</v>
      </c>
      <c r="K661" t="s">
        <v>55</v>
      </c>
      <c r="L661" t="s">
        <v>17</v>
      </c>
      <c r="M661" t="s">
        <v>16</v>
      </c>
      <c r="N661">
        <v>2689</v>
      </c>
      <c r="O661">
        <v>147</v>
      </c>
      <c r="P661">
        <v>0</v>
      </c>
      <c r="Q661" t="s">
        <v>2264</v>
      </c>
      <c r="R661" t="s">
        <v>2265</v>
      </c>
      <c r="S661" t="s">
        <v>2266</v>
      </c>
      <c r="T661" t="s">
        <v>2267</v>
      </c>
      <c r="U661" t="s">
        <v>60</v>
      </c>
      <c r="V661" t="s">
        <v>61</v>
      </c>
      <c r="W661">
        <v>3</v>
      </c>
      <c r="X661">
        <v>0.14000000000000001</v>
      </c>
      <c r="Y661" t="s">
        <v>320</v>
      </c>
      <c r="Z661" t="s">
        <v>321</v>
      </c>
      <c r="AA661">
        <v>2</v>
      </c>
      <c r="AB661" t="s">
        <v>2066</v>
      </c>
      <c r="AC661" t="s">
        <v>2067</v>
      </c>
      <c r="AD661" t="s">
        <v>2068</v>
      </c>
      <c r="AE661" t="s">
        <v>2069</v>
      </c>
      <c r="AF661" t="s">
        <v>2070</v>
      </c>
      <c r="AG661" t="s">
        <v>66</v>
      </c>
      <c r="AH661" t="s">
        <v>66</v>
      </c>
      <c r="AI661" t="s">
        <v>66</v>
      </c>
      <c r="AJ661" t="s">
        <v>66</v>
      </c>
      <c r="AK661">
        <v>1</v>
      </c>
      <c r="AL661" t="s">
        <v>2166</v>
      </c>
      <c r="AM661" t="s">
        <v>2167</v>
      </c>
      <c r="AN661" t="s">
        <v>2268</v>
      </c>
      <c r="AO661" t="s">
        <v>66</v>
      </c>
      <c r="AP661">
        <v>1</v>
      </c>
      <c r="AQ661" t="s">
        <v>2269</v>
      </c>
      <c r="AR661" t="s">
        <v>2270</v>
      </c>
      <c r="AS661" t="s">
        <v>66</v>
      </c>
      <c r="AT661" t="s">
        <v>66</v>
      </c>
    </row>
    <row r="662" spans="1:46" x14ac:dyDescent="0.15">
      <c r="A662" t="s">
        <v>2271</v>
      </c>
      <c r="B662" t="s">
        <v>2058</v>
      </c>
      <c r="C662" t="s">
        <v>2059</v>
      </c>
      <c r="D662">
        <v>41</v>
      </c>
      <c r="E662" t="s">
        <v>2060</v>
      </c>
      <c r="F662" t="s">
        <v>50</v>
      </c>
      <c r="G662" t="s">
        <v>51</v>
      </c>
      <c r="H662" t="s">
        <v>2061</v>
      </c>
      <c r="I662" t="s">
        <v>1553</v>
      </c>
      <c r="J662" t="s">
        <v>54</v>
      </c>
      <c r="K662" t="s">
        <v>55</v>
      </c>
      <c r="L662" t="s">
        <v>17</v>
      </c>
      <c r="M662" t="s">
        <v>16</v>
      </c>
      <c r="N662">
        <v>2745</v>
      </c>
      <c r="O662">
        <v>150</v>
      </c>
      <c r="P662">
        <v>0</v>
      </c>
      <c r="Q662" t="s">
        <v>2272</v>
      </c>
      <c r="R662" t="s">
        <v>2273</v>
      </c>
      <c r="S662" t="s">
        <v>2274</v>
      </c>
      <c r="T662" t="s">
        <v>2275</v>
      </c>
      <c r="U662" t="s">
        <v>60</v>
      </c>
      <c r="V662" t="s">
        <v>61</v>
      </c>
      <c r="W662">
        <v>3</v>
      </c>
      <c r="X662">
        <v>0.14000000000000001</v>
      </c>
      <c r="Y662" t="s">
        <v>197</v>
      </c>
      <c r="Z662" t="s">
        <v>330</v>
      </c>
      <c r="AA662">
        <v>2</v>
      </c>
      <c r="AB662" t="s">
        <v>2066</v>
      </c>
      <c r="AC662" t="s">
        <v>2067</v>
      </c>
      <c r="AD662" t="s">
        <v>2068</v>
      </c>
      <c r="AE662" t="s">
        <v>2069</v>
      </c>
      <c r="AF662" t="s">
        <v>2070</v>
      </c>
      <c r="AG662" t="s">
        <v>66</v>
      </c>
      <c r="AH662" t="s">
        <v>66</v>
      </c>
      <c r="AI662" t="s">
        <v>66</v>
      </c>
      <c r="AJ662" t="s">
        <v>66</v>
      </c>
      <c r="AK662">
        <v>1</v>
      </c>
      <c r="AL662" t="s">
        <v>2166</v>
      </c>
      <c r="AM662" t="s">
        <v>2167</v>
      </c>
      <c r="AN662" t="s">
        <v>2268</v>
      </c>
      <c r="AO662" t="s">
        <v>66</v>
      </c>
      <c r="AP662">
        <v>1</v>
      </c>
      <c r="AQ662" t="s">
        <v>2269</v>
      </c>
      <c r="AR662" t="s">
        <v>2270</v>
      </c>
      <c r="AS662" t="s">
        <v>66</v>
      </c>
      <c r="AT662" t="s">
        <v>66</v>
      </c>
    </row>
    <row r="663" spans="1:46" x14ac:dyDescent="0.15">
      <c r="A663" t="s">
        <v>2276</v>
      </c>
      <c r="B663" t="s">
        <v>2058</v>
      </c>
      <c r="C663" t="s">
        <v>2059</v>
      </c>
      <c r="D663">
        <v>42</v>
      </c>
      <c r="E663" t="s">
        <v>2060</v>
      </c>
      <c r="F663" t="s">
        <v>50</v>
      </c>
      <c r="G663" t="s">
        <v>51</v>
      </c>
      <c r="H663" t="s">
        <v>2061</v>
      </c>
      <c r="I663" t="s">
        <v>1553</v>
      </c>
      <c r="J663" t="s">
        <v>54</v>
      </c>
      <c r="K663" t="s">
        <v>55</v>
      </c>
      <c r="L663" t="s">
        <v>17</v>
      </c>
      <c r="M663" t="s">
        <v>16</v>
      </c>
      <c r="N663">
        <v>2801</v>
      </c>
      <c r="O663">
        <v>153</v>
      </c>
      <c r="P663">
        <v>0</v>
      </c>
      <c r="Q663" t="s">
        <v>2277</v>
      </c>
      <c r="R663" t="s">
        <v>2278</v>
      </c>
      <c r="S663" t="s">
        <v>2279</v>
      </c>
      <c r="T663" t="s">
        <v>2280</v>
      </c>
      <c r="U663" t="s">
        <v>60</v>
      </c>
      <c r="V663" t="s">
        <v>61</v>
      </c>
      <c r="W663">
        <v>3</v>
      </c>
      <c r="X663">
        <v>0.14000000000000001</v>
      </c>
      <c r="Y663" t="s">
        <v>336</v>
      </c>
      <c r="Z663" t="s">
        <v>337</v>
      </c>
      <c r="AA663">
        <v>2</v>
      </c>
      <c r="AB663" t="s">
        <v>2066</v>
      </c>
      <c r="AC663" t="s">
        <v>2067</v>
      </c>
      <c r="AD663" t="s">
        <v>2068</v>
      </c>
      <c r="AE663" t="s">
        <v>2069</v>
      </c>
      <c r="AF663" t="s">
        <v>2070</v>
      </c>
      <c r="AG663" t="s">
        <v>66</v>
      </c>
      <c r="AH663" t="s">
        <v>66</v>
      </c>
      <c r="AI663" t="s">
        <v>66</v>
      </c>
      <c r="AJ663" t="s">
        <v>66</v>
      </c>
      <c r="AK663">
        <v>1</v>
      </c>
      <c r="AL663" t="s">
        <v>2166</v>
      </c>
      <c r="AM663" t="s">
        <v>2167</v>
      </c>
      <c r="AN663" t="s">
        <v>2268</v>
      </c>
      <c r="AO663" t="s">
        <v>66</v>
      </c>
      <c r="AP663">
        <v>1</v>
      </c>
      <c r="AQ663" t="s">
        <v>2269</v>
      </c>
      <c r="AR663" t="s">
        <v>2270</v>
      </c>
      <c r="AS663" t="s">
        <v>66</v>
      </c>
      <c r="AT663" t="s">
        <v>66</v>
      </c>
    </row>
    <row r="664" spans="1:46" x14ac:dyDescent="0.15">
      <c r="A664" t="s">
        <v>2281</v>
      </c>
      <c r="B664" t="s">
        <v>2058</v>
      </c>
      <c r="C664" t="s">
        <v>2059</v>
      </c>
      <c r="D664">
        <v>43</v>
      </c>
      <c r="E664" t="s">
        <v>2060</v>
      </c>
      <c r="F664" t="s">
        <v>50</v>
      </c>
      <c r="G664" t="s">
        <v>51</v>
      </c>
      <c r="H664" t="s">
        <v>2061</v>
      </c>
      <c r="I664" t="s">
        <v>1553</v>
      </c>
      <c r="J664" t="s">
        <v>54</v>
      </c>
      <c r="K664" t="s">
        <v>55</v>
      </c>
      <c r="L664" t="s">
        <v>17</v>
      </c>
      <c r="M664" t="s">
        <v>16</v>
      </c>
      <c r="N664">
        <v>2857</v>
      </c>
      <c r="O664">
        <v>156</v>
      </c>
      <c r="P664">
        <v>0</v>
      </c>
      <c r="Q664" t="s">
        <v>2282</v>
      </c>
      <c r="R664" t="s">
        <v>2283</v>
      </c>
      <c r="S664" t="s">
        <v>2284</v>
      </c>
      <c r="T664" t="s">
        <v>2285</v>
      </c>
      <c r="U664" t="s">
        <v>60</v>
      </c>
      <c r="V664" t="s">
        <v>61</v>
      </c>
      <c r="W664">
        <v>3</v>
      </c>
      <c r="X664">
        <v>0.14000000000000001</v>
      </c>
      <c r="Y664" t="s">
        <v>204</v>
      </c>
      <c r="Z664" t="s">
        <v>343</v>
      </c>
      <c r="AA664">
        <v>2</v>
      </c>
      <c r="AB664" t="s">
        <v>2066</v>
      </c>
      <c r="AC664" t="s">
        <v>2067</v>
      </c>
      <c r="AD664" t="s">
        <v>2068</v>
      </c>
      <c r="AE664" t="s">
        <v>2069</v>
      </c>
      <c r="AF664" t="s">
        <v>2070</v>
      </c>
      <c r="AG664" t="s">
        <v>66</v>
      </c>
      <c r="AH664" t="s">
        <v>66</v>
      </c>
      <c r="AI664" t="s">
        <v>66</v>
      </c>
      <c r="AJ664" t="s">
        <v>66</v>
      </c>
      <c r="AK664">
        <v>1</v>
      </c>
      <c r="AL664" t="s">
        <v>2166</v>
      </c>
      <c r="AM664" t="s">
        <v>2167</v>
      </c>
      <c r="AN664" t="s">
        <v>2268</v>
      </c>
      <c r="AO664" t="s">
        <v>66</v>
      </c>
      <c r="AP664">
        <v>1</v>
      </c>
      <c r="AQ664" t="s">
        <v>2269</v>
      </c>
      <c r="AR664" t="s">
        <v>2270</v>
      </c>
      <c r="AS664" t="s">
        <v>66</v>
      </c>
      <c r="AT664" t="s">
        <v>66</v>
      </c>
    </row>
    <row r="665" spans="1:46" x14ac:dyDescent="0.15">
      <c r="A665" t="s">
        <v>2286</v>
      </c>
      <c r="B665" t="s">
        <v>2058</v>
      </c>
      <c r="C665" t="s">
        <v>2059</v>
      </c>
      <c r="D665">
        <v>44</v>
      </c>
      <c r="E665" t="s">
        <v>2060</v>
      </c>
      <c r="F665" t="s">
        <v>50</v>
      </c>
      <c r="G665" t="s">
        <v>51</v>
      </c>
      <c r="H665" t="s">
        <v>2061</v>
      </c>
      <c r="I665" t="s">
        <v>1553</v>
      </c>
      <c r="J665" t="s">
        <v>54</v>
      </c>
      <c r="K665" t="s">
        <v>55</v>
      </c>
      <c r="L665" t="s">
        <v>17</v>
      </c>
      <c r="M665" t="s">
        <v>16</v>
      </c>
      <c r="N665">
        <v>2913</v>
      </c>
      <c r="O665">
        <v>159</v>
      </c>
      <c r="P665">
        <v>0</v>
      </c>
      <c r="Q665" t="s">
        <v>2287</v>
      </c>
      <c r="R665" t="s">
        <v>2288</v>
      </c>
      <c r="S665" t="s">
        <v>2289</v>
      </c>
      <c r="T665" t="s">
        <v>2290</v>
      </c>
      <c r="U665" t="s">
        <v>60</v>
      </c>
      <c r="V665" t="s">
        <v>61</v>
      </c>
      <c r="W665">
        <v>3</v>
      </c>
      <c r="X665">
        <v>0.14000000000000001</v>
      </c>
      <c r="Y665" t="s">
        <v>349</v>
      </c>
      <c r="Z665" t="s">
        <v>350</v>
      </c>
      <c r="AA665">
        <v>2</v>
      </c>
      <c r="AB665" t="s">
        <v>2066</v>
      </c>
      <c r="AC665" t="s">
        <v>2067</v>
      </c>
      <c r="AD665" t="s">
        <v>2068</v>
      </c>
      <c r="AE665" t="s">
        <v>2069</v>
      </c>
      <c r="AF665" t="s">
        <v>2070</v>
      </c>
      <c r="AG665" t="s">
        <v>66</v>
      </c>
      <c r="AH665" t="s">
        <v>66</v>
      </c>
      <c r="AI665" t="s">
        <v>66</v>
      </c>
      <c r="AJ665" t="s">
        <v>66</v>
      </c>
      <c r="AK665">
        <v>1</v>
      </c>
      <c r="AL665" t="s">
        <v>2166</v>
      </c>
      <c r="AM665" t="s">
        <v>2167</v>
      </c>
      <c r="AN665" t="s">
        <v>2268</v>
      </c>
      <c r="AO665" t="s">
        <v>66</v>
      </c>
      <c r="AP665">
        <v>1</v>
      </c>
      <c r="AQ665" t="s">
        <v>2269</v>
      </c>
      <c r="AR665" t="s">
        <v>2270</v>
      </c>
      <c r="AS665" t="s">
        <v>66</v>
      </c>
      <c r="AT665" t="s">
        <v>66</v>
      </c>
    </row>
    <row r="666" spans="1:46" x14ac:dyDescent="0.15">
      <c r="A666" t="s">
        <v>2291</v>
      </c>
      <c r="B666" t="s">
        <v>2058</v>
      </c>
      <c r="C666" t="s">
        <v>2059</v>
      </c>
      <c r="D666">
        <v>45</v>
      </c>
      <c r="E666" t="s">
        <v>2060</v>
      </c>
      <c r="F666" t="s">
        <v>50</v>
      </c>
      <c r="G666" t="s">
        <v>51</v>
      </c>
      <c r="H666" t="s">
        <v>2061</v>
      </c>
      <c r="I666" t="s">
        <v>1553</v>
      </c>
      <c r="J666" t="s">
        <v>54</v>
      </c>
      <c r="K666" t="s">
        <v>55</v>
      </c>
      <c r="L666" t="s">
        <v>17</v>
      </c>
      <c r="M666" t="s">
        <v>16</v>
      </c>
      <c r="N666">
        <v>2969</v>
      </c>
      <c r="O666">
        <v>162</v>
      </c>
      <c r="P666">
        <v>0</v>
      </c>
      <c r="Q666" t="s">
        <v>2292</v>
      </c>
      <c r="R666" t="s">
        <v>2293</v>
      </c>
      <c r="S666" t="s">
        <v>2294</v>
      </c>
      <c r="T666" t="s">
        <v>2295</v>
      </c>
      <c r="U666" t="s">
        <v>60</v>
      </c>
      <c r="V666" t="s">
        <v>61</v>
      </c>
      <c r="W666">
        <v>3</v>
      </c>
      <c r="X666">
        <v>0.14000000000000001</v>
      </c>
      <c r="Y666" t="s">
        <v>210</v>
      </c>
      <c r="Z666" t="s">
        <v>356</v>
      </c>
      <c r="AA666">
        <v>2</v>
      </c>
      <c r="AB666" t="s">
        <v>2066</v>
      </c>
      <c r="AC666" t="s">
        <v>2067</v>
      </c>
      <c r="AD666" t="s">
        <v>2068</v>
      </c>
      <c r="AE666" t="s">
        <v>2069</v>
      </c>
      <c r="AF666" t="s">
        <v>2070</v>
      </c>
      <c r="AG666" t="s">
        <v>66</v>
      </c>
      <c r="AH666" t="s">
        <v>66</v>
      </c>
      <c r="AI666" t="s">
        <v>66</v>
      </c>
      <c r="AJ666" t="s">
        <v>66</v>
      </c>
      <c r="AK666">
        <v>1</v>
      </c>
      <c r="AL666" t="s">
        <v>2166</v>
      </c>
      <c r="AM666" t="s">
        <v>2167</v>
      </c>
      <c r="AN666" t="s">
        <v>2268</v>
      </c>
      <c r="AO666" t="s">
        <v>66</v>
      </c>
      <c r="AP666">
        <v>1</v>
      </c>
      <c r="AQ666" t="s">
        <v>2269</v>
      </c>
      <c r="AR666" t="s">
        <v>2270</v>
      </c>
      <c r="AS666" t="s">
        <v>66</v>
      </c>
      <c r="AT666" t="s">
        <v>66</v>
      </c>
    </row>
    <row r="667" spans="1:46" x14ac:dyDescent="0.15">
      <c r="A667" t="s">
        <v>2296</v>
      </c>
      <c r="B667" t="s">
        <v>2058</v>
      </c>
      <c r="C667" t="s">
        <v>2059</v>
      </c>
      <c r="D667">
        <v>46</v>
      </c>
      <c r="E667" t="s">
        <v>2060</v>
      </c>
      <c r="F667" t="s">
        <v>50</v>
      </c>
      <c r="G667" t="s">
        <v>51</v>
      </c>
      <c r="H667" t="s">
        <v>2061</v>
      </c>
      <c r="I667" t="s">
        <v>1553</v>
      </c>
      <c r="J667" t="s">
        <v>54</v>
      </c>
      <c r="K667" t="s">
        <v>55</v>
      </c>
      <c r="L667" t="s">
        <v>17</v>
      </c>
      <c r="M667" t="s">
        <v>16</v>
      </c>
      <c r="N667">
        <v>3026</v>
      </c>
      <c r="O667">
        <v>165</v>
      </c>
      <c r="P667">
        <v>0</v>
      </c>
      <c r="Q667" t="s">
        <v>2297</v>
      </c>
      <c r="R667" t="s">
        <v>2298</v>
      </c>
      <c r="S667" t="s">
        <v>2299</v>
      </c>
      <c r="T667" t="s">
        <v>2300</v>
      </c>
      <c r="U667" t="s">
        <v>60</v>
      </c>
      <c r="V667" t="s">
        <v>61</v>
      </c>
      <c r="W667">
        <v>3</v>
      </c>
      <c r="X667">
        <v>0.14000000000000001</v>
      </c>
      <c r="Y667" t="s">
        <v>362</v>
      </c>
      <c r="Z667" t="s">
        <v>363</v>
      </c>
      <c r="AA667">
        <v>2</v>
      </c>
      <c r="AB667" t="s">
        <v>2066</v>
      </c>
      <c r="AC667" t="s">
        <v>2067</v>
      </c>
      <c r="AD667" t="s">
        <v>2068</v>
      </c>
      <c r="AE667" t="s">
        <v>2069</v>
      </c>
      <c r="AF667" t="s">
        <v>2070</v>
      </c>
      <c r="AG667" t="s">
        <v>66</v>
      </c>
      <c r="AH667" t="s">
        <v>66</v>
      </c>
      <c r="AI667" t="s">
        <v>66</v>
      </c>
      <c r="AJ667" t="s">
        <v>66</v>
      </c>
      <c r="AK667">
        <v>1</v>
      </c>
      <c r="AL667" t="s">
        <v>2166</v>
      </c>
      <c r="AM667" t="s">
        <v>2167</v>
      </c>
      <c r="AN667" t="s">
        <v>2268</v>
      </c>
      <c r="AO667" t="s">
        <v>66</v>
      </c>
      <c r="AP667">
        <v>1</v>
      </c>
      <c r="AQ667" t="s">
        <v>2269</v>
      </c>
      <c r="AR667" t="s">
        <v>2270</v>
      </c>
      <c r="AS667" t="s">
        <v>66</v>
      </c>
      <c r="AT667" t="s">
        <v>66</v>
      </c>
    </row>
    <row r="668" spans="1:46" x14ac:dyDescent="0.15">
      <c r="A668" t="s">
        <v>2301</v>
      </c>
      <c r="B668" t="s">
        <v>2058</v>
      </c>
      <c r="C668" t="s">
        <v>2059</v>
      </c>
      <c r="D668">
        <v>47</v>
      </c>
      <c r="E668" t="s">
        <v>2060</v>
      </c>
      <c r="F668" t="s">
        <v>50</v>
      </c>
      <c r="G668" t="s">
        <v>51</v>
      </c>
      <c r="H668" t="s">
        <v>2061</v>
      </c>
      <c r="I668" t="s">
        <v>1553</v>
      </c>
      <c r="J668" t="s">
        <v>54</v>
      </c>
      <c r="K668" t="s">
        <v>55</v>
      </c>
      <c r="L668" t="s">
        <v>17</v>
      </c>
      <c r="M668" t="s">
        <v>16</v>
      </c>
      <c r="N668">
        <v>3082</v>
      </c>
      <c r="O668">
        <v>168</v>
      </c>
      <c r="P668">
        <v>0</v>
      </c>
      <c r="Q668" t="s">
        <v>2302</v>
      </c>
      <c r="R668" t="s">
        <v>2303</v>
      </c>
      <c r="S668" t="s">
        <v>2304</v>
      </c>
      <c r="T668" t="s">
        <v>2305</v>
      </c>
      <c r="U668" t="s">
        <v>60</v>
      </c>
      <c r="V668" t="s">
        <v>61</v>
      </c>
      <c r="W668">
        <v>3</v>
      </c>
      <c r="X668">
        <v>0.14000000000000001</v>
      </c>
      <c r="Y668" t="s">
        <v>217</v>
      </c>
      <c r="Z668" t="s">
        <v>369</v>
      </c>
      <c r="AA668">
        <v>2</v>
      </c>
      <c r="AB668" t="s">
        <v>2066</v>
      </c>
      <c r="AC668" t="s">
        <v>2067</v>
      </c>
      <c r="AD668" t="s">
        <v>2068</v>
      </c>
      <c r="AE668" t="s">
        <v>2069</v>
      </c>
      <c r="AF668" t="s">
        <v>2070</v>
      </c>
      <c r="AG668" t="s">
        <v>66</v>
      </c>
      <c r="AH668" t="s">
        <v>66</v>
      </c>
      <c r="AI668" t="s">
        <v>66</v>
      </c>
      <c r="AJ668" t="s">
        <v>66</v>
      </c>
      <c r="AK668">
        <v>1</v>
      </c>
      <c r="AL668" t="s">
        <v>2166</v>
      </c>
      <c r="AM668" t="s">
        <v>2167</v>
      </c>
      <c r="AN668" t="s">
        <v>2268</v>
      </c>
      <c r="AO668" t="s">
        <v>66</v>
      </c>
      <c r="AP668">
        <v>1</v>
      </c>
      <c r="AQ668" t="s">
        <v>2269</v>
      </c>
      <c r="AR668" t="s">
        <v>2270</v>
      </c>
      <c r="AS668" t="s">
        <v>66</v>
      </c>
      <c r="AT668" t="s">
        <v>66</v>
      </c>
    </row>
    <row r="669" spans="1:46" x14ac:dyDescent="0.15">
      <c r="A669" t="s">
        <v>2306</v>
      </c>
      <c r="B669" t="s">
        <v>2058</v>
      </c>
      <c r="C669" t="s">
        <v>2059</v>
      </c>
      <c r="D669">
        <v>48</v>
      </c>
      <c r="E669" t="s">
        <v>2060</v>
      </c>
      <c r="F669" t="s">
        <v>50</v>
      </c>
      <c r="G669" t="s">
        <v>51</v>
      </c>
      <c r="H669" t="s">
        <v>2061</v>
      </c>
      <c r="I669" t="s">
        <v>1553</v>
      </c>
      <c r="J669" t="s">
        <v>54</v>
      </c>
      <c r="K669" t="s">
        <v>55</v>
      </c>
      <c r="L669" t="s">
        <v>17</v>
      </c>
      <c r="M669" t="s">
        <v>16</v>
      </c>
      <c r="N669">
        <v>3138</v>
      </c>
      <c r="O669">
        <v>171</v>
      </c>
      <c r="P669">
        <v>0</v>
      </c>
      <c r="Q669" t="s">
        <v>2307</v>
      </c>
      <c r="R669" t="s">
        <v>2308</v>
      </c>
      <c r="S669" t="s">
        <v>2309</v>
      </c>
      <c r="T669" t="s">
        <v>2310</v>
      </c>
      <c r="U669" t="s">
        <v>60</v>
      </c>
      <c r="V669" t="s">
        <v>61</v>
      </c>
      <c r="W669">
        <v>3</v>
      </c>
      <c r="X669">
        <v>0.14000000000000001</v>
      </c>
      <c r="Y669" t="s">
        <v>375</v>
      </c>
      <c r="Z669" t="s">
        <v>376</v>
      </c>
      <c r="AA669">
        <v>2</v>
      </c>
      <c r="AB669" t="s">
        <v>2066</v>
      </c>
      <c r="AC669" t="s">
        <v>2067</v>
      </c>
      <c r="AD669" t="s">
        <v>2068</v>
      </c>
      <c r="AE669" t="s">
        <v>2069</v>
      </c>
      <c r="AF669" t="s">
        <v>2070</v>
      </c>
      <c r="AG669" t="s">
        <v>66</v>
      </c>
      <c r="AH669" t="s">
        <v>66</v>
      </c>
      <c r="AI669" t="s">
        <v>66</v>
      </c>
      <c r="AJ669" t="s">
        <v>66</v>
      </c>
      <c r="AK669">
        <v>1</v>
      </c>
      <c r="AL669" t="s">
        <v>2166</v>
      </c>
      <c r="AM669" t="s">
        <v>2167</v>
      </c>
      <c r="AN669" t="s">
        <v>2268</v>
      </c>
      <c r="AO669" t="s">
        <v>66</v>
      </c>
      <c r="AP669">
        <v>1</v>
      </c>
      <c r="AQ669" t="s">
        <v>2269</v>
      </c>
      <c r="AR669" t="s">
        <v>2270</v>
      </c>
      <c r="AS669" t="s">
        <v>66</v>
      </c>
      <c r="AT669" t="s">
        <v>66</v>
      </c>
    </row>
    <row r="670" spans="1:46" x14ac:dyDescent="0.15">
      <c r="A670" t="s">
        <v>2311</v>
      </c>
      <c r="B670" t="s">
        <v>2058</v>
      </c>
      <c r="C670" t="s">
        <v>2059</v>
      </c>
      <c r="D670">
        <v>49</v>
      </c>
      <c r="E670" t="s">
        <v>2060</v>
      </c>
      <c r="F670" t="s">
        <v>50</v>
      </c>
      <c r="G670" t="s">
        <v>51</v>
      </c>
      <c r="H670" t="s">
        <v>2061</v>
      </c>
      <c r="I670" t="s">
        <v>1553</v>
      </c>
      <c r="J670" t="s">
        <v>54</v>
      </c>
      <c r="K670" t="s">
        <v>55</v>
      </c>
      <c r="L670" t="s">
        <v>17</v>
      </c>
      <c r="M670" t="s">
        <v>16</v>
      </c>
      <c r="N670">
        <v>3194</v>
      </c>
      <c r="O670">
        <v>174</v>
      </c>
      <c r="P670">
        <v>0</v>
      </c>
      <c r="Q670" t="s">
        <v>2312</v>
      </c>
      <c r="R670" t="s">
        <v>2313</v>
      </c>
      <c r="S670" t="s">
        <v>2314</v>
      </c>
      <c r="T670" t="s">
        <v>2315</v>
      </c>
      <c r="U670" t="s">
        <v>60</v>
      </c>
      <c r="V670" t="s">
        <v>61</v>
      </c>
      <c r="W670">
        <v>3</v>
      </c>
      <c r="X670">
        <v>0.14000000000000001</v>
      </c>
      <c r="Y670" t="s">
        <v>223</v>
      </c>
      <c r="Z670" t="s">
        <v>382</v>
      </c>
      <c r="AA670">
        <v>2</v>
      </c>
      <c r="AB670" t="s">
        <v>2066</v>
      </c>
      <c r="AC670" t="s">
        <v>2067</v>
      </c>
      <c r="AD670" t="s">
        <v>2068</v>
      </c>
      <c r="AE670" t="s">
        <v>2069</v>
      </c>
      <c r="AF670" t="s">
        <v>2070</v>
      </c>
      <c r="AG670" t="s">
        <v>66</v>
      </c>
      <c r="AH670" t="s">
        <v>66</v>
      </c>
      <c r="AI670" t="s">
        <v>66</v>
      </c>
      <c r="AJ670" t="s">
        <v>66</v>
      </c>
      <c r="AK670">
        <v>1</v>
      </c>
      <c r="AL670" t="s">
        <v>2166</v>
      </c>
      <c r="AM670" t="s">
        <v>2167</v>
      </c>
      <c r="AN670" t="s">
        <v>2268</v>
      </c>
      <c r="AO670" t="s">
        <v>66</v>
      </c>
      <c r="AP670">
        <v>1</v>
      </c>
      <c r="AQ670" t="s">
        <v>2269</v>
      </c>
      <c r="AR670" t="s">
        <v>2270</v>
      </c>
      <c r="AS670" t="s">
        <v>66</v>
      </c>
      <c r="AT670" t="s">
        <v>66</v>
      </c>
    </row>
    <row r="671" spans="1:46" x14ac:dyDescent="0.15">
      <c r="A671" t="s">
        <v>2316</v>
      </c>
      <c r="B671" t="s">
        <v>2058</v>
      </c>
      <c r="C671" t="s">
        <v>2059</v>
      </c>
      <c r="D671">
        <v>50</v>
      </c>
      <c r="E671" t="s">
        <v>2060</v>
      </c>
      <c r="F671" t="s">
        <v>50</v>
      </c>
      <c r="G671" t="s">
        <v>51</v>
      </c>
      <c r="H671" t="s">
        <v>2061</v>
      </c>
      <c r="I671" t="s">
        <v>1553</v>
      </c>
      <c r="J671" t="s">
        <v>54</v>
      </c>
      <c r="K671" t="s">
        <v>55</v>
      </c>
      <c r="L671" t="s">
        <v>17</v>
      </c>
      <c r="M671" t="s">
        <v>16</v>
      </c>
      <c r="N671">
        <v>3250</v>
      </c>
      <c r="O671">
        <v>177</v>
      </c>
      <c r="P671">
        <v>0</v>
      </c>
      <c r="Q671" t="s">
        <v>2317</v>
      </c>
      <c r="R671" t="s">
        <v>2318</v>
      </c>
      <c r="S671" t="s">
        <v>2319</v>
      </c>
      <c r="T671" t="s">
        <v>2320</v>
      </c>
      <c r="U671" t="s">
        <v>60</v>
      </c>
      <c r="V671" t="s">
        <v>61</v>
      </c>
      <c r="W671">
        <v>3</v>
      </c>
      <c r="X671">
        <v>0.14000000000000001</v>
      </c>
      <c r="Y671" t="s">
        <v>388</v>
      </c>
      <c r="Z671" t="s">
        <v>389</v>
      </c>
      <c r="AA671">
        <v>2</v>
      </c>
      <c r="AB671" t="s">
        <v>2066</v>
      </c>
      <c r="AC671" t="s">
        <v>2067</v>
      </c>
      <c r="AD671" t="s">
        <v>2068</v>
      </c>
      <c r="AE671" t="s">
        <v>2069</v>
      </c>
      <c r="AF671" t="s">
        <v>2070</v>
      </c>
      <c r="AG671" t="s">
        <v>66</v>
      </c>
      <c r="AH671" t="s">
        <v>66</v>
      </c>
      <c r="AI671" t="s">
        <v>66</v>
      </c>
      <c r="AJ671" t="s">
        <v>66</v>
      </c>
      <c r="AK671">
        <v>1</v>
      </c>
      <c r="AL671" t="s">
        <v>2166</v>
      </c>
      <c r="AM671" t="s">
        <v>2167</v>
      </c>
      <c r="AN671" t="s">
        <v>2268</v>
      </c>
      <c r="AO671" t="s">
        <v>66</v>
      </c>
      <c r="AP671">
        <v>1</v>
      </c>
      <c r="AQ671" t="s">
        <v>2269</v>
      </c>
      <c r="AR671" t="s">
        <v>2270</v>
      </c>
      <c r="AS671" t="s">
        <v>66</v>
      </c>
      <c r="AT671" t="s">
        <v>66</v>
      </c>
    </row>
    <row r="672" spans="1:46" x14ac:dyDescent="0.15">
      <c r="A672" t="s">
        <v>2321</v>
      </c>
      <c r="B672" t="s">
        <v>2058</v>
      </c>
      <c r="C672" t="s">
        <v>2059</v>
      </c>
      <c r="D672">
        <v>51</v>
      </c>
      <c r="E672" t="s">
        <v>2060</v>
      </c>
      <c r="F672" t="s">
        <v>50</v>
      </c>
      <c r="G672" t="s">
        <v>51</v>
      </c>
      <c r="H672" t="s">
        <v>2061</v>
      </c>
      <c r="I672" t="s">
        <v>1553</v>
      </c>
      <c r="J672" t="s">
        <v>54</v>
      </c>
      <c r="K672" t="s">
        <v>55</v>
      </c>
      <c r="L672" t="s">
        <v>17</v>
      </c>
      <c r="M672" t="s">
        <v>16</v>
      </c>
      <c r="N672">
        <v>3306</v>
      </c>
      <c r="O672">
        <v>180</v>
      </c>
      <c r="P672">
        <v>0</v>
      </c>
      <c r="Q672" t="s">
        <v>2322</v>
      </c>
      <c r="R672" t="s">
        <v>2323</v>
      </c>
      <c r="S672" t="s">
        <v>2324</v>
      </c>
      <c r="T672" t="s">
        <v>2325</v>
      </c>
      <c r="U672" t="s">
        <v>60</v>
      </c>
      <c r="V672" t="s">
        <v>61</v>
      </c>
      <c r="W672">
        <v>3</v>
      </c>
      <c r="X672">
        <v>0.14000000000000001</v>
      </c>
      <c r="Y672" t="s">
        <v>230</v>
      </c>
      <c r="Z672" t="s">
        <v>395</v>
      </c>
      <c r="AA672">
        <v>2</v>
      </c>
      <c r="AB672" t="s">
        <v>2066</v>
      </c>
      <c r="AC672" t="s">
        <v>2067</v>
      </c>
      <c r="AD672" t="s">
        <v>2068</v>
      </c>
      <c r="AE672" t="s">
        <v>2069</v>
      </c>
      <c r="AF672" t="s">
        <v>2070</v>
      </c>
      <c r="AG672" t="s">
        <v>66</v>
      </c>
      <c r="AH672" t="s">
        <v>66</v>
      </c>
      <c r="AI672" t="s">
        <v>66</v>
      </c>
      <c r="AJ672" t="s">
        <v>66</v>
      </c>
      <c r="AK672">
        <v>1</v>
      </c>
      <c r="AL672" t="s">
        <v>2166</v>
      </c>
      <c r="AM672" t="s">
        <v>2167</v>
      </c>
      <c r="AN672" t="s">
        <v>2268</v>
      </c>
      <c r="AO672" t="s">
        <v>66</v>
      </c>
      <c r="AP672">
        <v>1</v>
      </c>
      <c r="AQ672" t="s">
        <v>2269</v>
      </c>
      <c r="AR672" t="s">
        <v>2270</v>
      </c>
      <c r="AS672" t="s">
        <v>66</v>
      </c>
      <c r="AT672" t="s">
        <v>66</v>
      </c>
    </row>
    <row r="673" spans="1:46" x14ac:dyDescent="0.15">
      <c r="A673" t="s">
        <v>2326</v>
      </c>
      <c r="B673" t="s">
        <v>2058</v>
      </c>
      <c r="C673" t="s">
        <v>2059</v>
      </c>
      <c r="D673">
        <v>52</v>
      </c>
      <c r="E673" t="s">
        <v>2060</v>
      </c>
      <c r="F673" t="s">
        <v>50</v>
      </c>
      <c r="G673" t="s">
        <v>51</v>
      </c>
      <c r="H673" t="s">
        <v>2061</v>
      </c>
      <c r="I673" t="s">
        <v>1553</v>
      </c>
      <c r="J673" t="s">
        <v>54</v>
      </c>
      <c r="K673" t="s">
        <v>55</v>
      </c>
      <c r="L673" t="s">
        <v>17</v>
      </c>
      <c r="M673" t="s">
        <v>16</v>
      </c>
      <c r="N673">
        <v>3362</v>
      </c>
      <c r="O673">
        <v>183</v>
      </c>
      <c r="P673">
        <v>0</v>
      </c>
      <c r="Q673" t="s">
        <v>2327</v>
      </c>
      <c r="R673" t="s">
        <v>2328</v>
      </c>
      <c r="S673" t="s">
        <v>2329</v>
      </c>
      <c r="T673" t="s">
        <v>2330</v>
      </c>
      <c r="U673" t="s">
        <v>60</v>
      </c>
      <c r="V673" t="s">
        <v>61</v>
      </c>
      <c r="W673">
        <v>3</v>
      </c>
      <c r="X673">
        <v>0.14000000000000001</v>
      </c>
      <c r="Y673" t="s">
        <v>401</v>
      </c>
      <c r="Z673" t="s">
        <v>402</v>
      </c>
      <c r="AA673">
        <v>2</v>
      </c>
      <c r="AB673" t="s">
        <v>2066</v>
      </c>
      <c r="AC673" t="s">
        <v>2067</v>
      </c>
      <c r="AD673" t="s">
        <v>2068</v>
      </c>
      <c r="AE673" t="s">
        <v>2069</v>
      </c>
      <c r="AF673" t="s">
        <v>2070</v>
      </c>
      <c r="AG673" t="s">
        <v>66</v>
      </c>
      <c r="AH673" t="s">
        <v>66</v>
      </c>
      <c r="AI673" t="s">
        <v>66</v>
      </c>
      <c r="AJ673" t="s">
        <v>66</v>
      </c>
      <c r="AK673">
        <v>1</v>
      </c>
      <c r="AL673" t="s">
        <v>2166</v>
      </c>
      <c r="AM673" t="s">
        <v>2167</v>
      </c>
      <c r="AN673" t="s">
        <v>2268</v>
      </c>
      <c r="AO673" t="s">
        <v>66</v>
      </c>
      <c r="AP673">
        <v>1</v>
      </c>
      <c r="AQ673" t="s">
        <v>2269</v>
      </c>
      <c r="AR673" t="s">
        <v>2270</v>
      </c>
      <c r="AS673" t="s">
        <v>66</v>
      </c>
      <c r="AT673" t="s">
        <v>66</v>
      </c>
    </row>
    <row r="674" spans="1:46" x14ac:dyDescent="0.15">
      <c r="A674" t="s">
        <v>2331</v>
      </c>
      <c r="B674" t="s">
        <v>2058</v>
      </c>
      <c r="C674" t="s">
        <v>2059</v>
      </c>
      <c r="D674">
        <v>53</v>
      </c>
      <c r="E674" t="s">
        <v>2060</v>
      </c>
      <c r="F674" t="s">
        <v>50</v>
      </c>
      <c r="G674" t="s">
        <v>51</v>
      </c>
      <c r="H674" t="s">
        <v>2061</v>
      </c>
      <c r="I674" t="s">
        <v>1553</v>
      </c>
      <c r="J674" t="s">
        <v>54</v>
      </c>
      <c r="K674" t="s">
        <v>55</v>
      </c>
      <c r="L674" t="s">
        <v>17</v>
      </c>
      <c r="M674" t="s">
        <v>16</v>
      </c>
      <c r="N674">
        <v>3418</v>
      </c>
      <c r="O674">
        <v>186</v>
      </c>
      <c r="P674">
        <v>0</v>
      </c>
      <c r="Q674" t="s">
        <v>2332</v>
      </c>
      <c r="R674" t="s">
        <v>2333</v>
      </c>
      <c r="S674" t="s">
        <v>2334</v>
      </c>
      <c r="T674" t="s">
        <v>2335</v>
      </c>
      <c r="U674" t="s">
        <v>60</v>
      </c>
      <c r="V674" t="s">
        <v>61</v>
      </c>
      <c r="W674">
        <v>3</v>
      </c>
      <c r="X674">
        <v>0.14000000000000001</v>
      </c>
      <c r="Y674" t="s">
        <v>236</v>
      </c>
      <c r="Z674" t="s">
        <v>408</v>
      </c>
      <c r="AA674">
        <v>2</v>
      </c>
      <c r="AB674" t="s">
        <v>2066</v>
      </c>
      <c r="AC674" t="s">
        <v>2067</v>
      </c>
      <c r="AD674" t="s">
        <v>2068</v>
      </c>
      <c r="AE674" t="s">
        <v>2069</v>
      </c>
      <c r="AF674" t="s">
        <v>2070</v>
      </c>
      <c r="AG674" t="s">
        <v>66</v>
      </c>
      <c r="AH674" t="s">
        <v>66</v>
      </c>
      <c r="AI674" t="s">
        <v>66</v>
      </c>
      <c r="AJ674" t="s">
        <v>66</v>
      </c>
      <c r="AK674">
        <v>1</v>
      </c>
      <c r="AL674" t="s">
        <v>2166</v>
      </c>
      <c r="AM674" t="s">
        <v>2167</v>
      </c>
      <c r="AN674" t="s">
        <v>2268</v>
      </c>
      <c r="AO674" t="s">
        <v>66</v>
      </c>
      <c r="AP674">
        <v>1</v>
      </c>
      <c r="AQ674" t="s">
        <v>2269</v>
      </c>
      <c r="AR674" t="s">
        <v>2270</v>
      </c>
      <c r="AS674" t="s">
        <v>66</v>
      </c>
      <c r="AT674" t="s">
        <v>66</v>
      </c>
    </row>
    <row r="675" spans="1:46" x14ac:dyDescent="0.15">
      <c r="A675" t="s">
        <v>2336</v>
      </c>
      <c r="B675" t="s">
        <v>2058</v>
      </c>
      <c r="C675" t="s">
        <v>2059</v>
      </c>
      <c r="D675">
        <v>54</v>
      </c>
      <c r="E675" t="s">
        <v>2060</v>
      </c>
      <c r="F675" t="s">
        <v>50</v>
      </c>
      <c r="G675" t="s">
        <v>51</v>
      </c>
      <c r="H675" t="s">
        <v>2061</v>
      </c>
      <c r="I675" t="s">
        <v>1553</v>
      </c>
      <c r="J675" t="s">
        <v>54</v>
      </c>
      <c r="K675" t="s">
        <v>55</v>
      </c>
      <c r="L675" t="s">
        <v>17</v>
      </c>
      <c r="M675" t="s">
        <v>16</v>
      </c>
      <c r="N675">
        <v>3474</v>
      </c>
      <c r="O675">
        <v>189</v>
      </c>
      <c r="P675">
        <v>0</v>
      </c>
      <c r="Q675" t="s">
        <v>2337</v>
      </c>
      <c r="R675" t="s">
        <v>2338</v>
      </c>
      <c r="S675" t="s">
        <v>2339</v>
      </c>
      <c r="T675" t="s">
        <v>2340</v>
      </c>
      <c r="U675" t="s">
        <v>60</v>
      </c>
      <c r="V675" t="s">
        <v>61</v>
      </c>
      <c r="W675">
        <v>3</v>
      </c>
      <c r="X675">
        <v>0.14000000000000001</v>
      </c>
      <c r="Y675" t="s">
        <v>414</v>
      </c>
      <c r="Z675" t="s">
        <v>415</v>
      </c>
      <c r="AA675">
        <v>2</v>
      </c>
      <c r="AB675" t="s">
        <v>2066</v>
      </c>
      <c r="AC675" t="s">
        <v>2067</v>
      </c>
      <c r="AD675" t="s">
        <v>2068</v>
      </c>
      <c r="AE675" t="s">
        <v>2069</v>
      </c>
      <c r="AF675" t="s">
        <v>2070</v>
      </c>
      <c r="AG675" t="s">
        <v>66</v>
      </c>
      <c r="AH675" t="s">
        <v>66</v>
      </c>
      <c r="AI675" t="s">
        <v>66</v>
      </c>
      <c r="AJ675" t="s">
        <v>66</v>
      </c>
      <c r="AK675">
        <v>1</v>
      </c>
      <c r="AL675" t="s">
        <v>2166</v>
      </c>
      <c r="AM675" t="s">
        <v>2167</v>
      </c>
      <c r="AN675" t="s">
        <v>2268</v>
      </c>
      <c r="AO675" t="s">
        <v>66</v>
      </c>
      <c r="AP675">
        <v>1</v>
      </c>
      <c r="AQ675" t="s">
        <v>2269</v>
      </c>
      <c r="AR675" t="s">
        <v>2270</v>
      </c>
      <c r="AS675" t="s">
        <v>66</v>
      </c>
      <c r="AT675" t="s">
        <v>66</v>
      </c>
    </row>
    <row r="676" spans="1:46" x14ac:dyDescent="0.15">
      <c r="A676" t="s">
        <v>2341</v>
      </c>
      <c r="B676" t="s">
        <v>2058</v>
      </c>
      <c r="C676" t="s">
        <v>2059</v>
      </c>
      <c r="D676">
        <v>55</v>
      </c>
      <c r="E676" t="s">
        <v>2060</v>
      </c>
      <c r="F676" t="s">
        <v>50</v>
      </c>
      <c r="G676" t="s">
        <v>51</v>
      </c>
      <c r="H676" t="s">
        <v>2061</v>
      </c>
      <c r="I676" t="s">
        <v>1553</v>
      </c>
      <c r="J676" t="s">
        <v>54</v>
      </c>
      <c r="K676" t="s">
        <v>55</v>
      </c>
      <c r="L676" t="s">
        <v>17</v>
      </c>
      <c r="M676" t="s">
        <v>16</v>
      </c>
      <c r="N676">
        <v>3531</v>
      </c>
      <c r="O676">
        <v>192</v>
      </c>
      <c r="P676">
        <v>0</v>
      </c>
      <c r="Q676" t="s">
        <v>2342</v>
      </c>
      <c r="R676" t="s">
        <v>2343</v>
      </c>
      <c r="S676" t="s">
        <v>2344</v>
      </c>
      <c r="T676" t="s">
        <v>2345</v>
      </c>
      <c r="U676" t="s">
        <v>60</v>
      </c>
      <c r="V676" t="s">
        <v>61</v>
      </c>
      <c r="W676">
        <v>3</v>
      </c>
      <c r="X676">
        <v>0.14000000000000001</v>
      </c>
      <c r="Y676" t="s">
        <v>243</v>
      </c>
      <c r="Z676" t="s">
        <v>421</v>
      </c>
      <c r="AA676">
        <v>2</v>
      </c>
      <c r="AB676" t="s">
        <v>2066</v>
      </c>
      <c r="AC676" t="s">
        <v>2067</v>
      </c>
      <c r="AD676" t="s">
        <v>2068</v>
      </c>
      <c r="AE676" t="s">
        <v>2069</v>
      </c>
      <c r="AF676" t="s">
        <v>2070</v>
      </c>
      <c r="AG676" t="s">
        <v>66</v>
      </c>
      <c r="AH676" t="s">
        <v>66</v>
      </c>
      <c r="AI676" t="s">
        <v>66</v>
      </c>
      <c r="AJ676" t="s">
        <v>66</v>
      </c>
      <c r="AK676">
        <v>1</v>
      </c>
      <c r="AL676" t="s">
        <v>2166</v>
      </c>
      <c r="AM676" t="s">
        <v>2167</v>
      </c>
      <c r="AN676" t="s">
        <v>2268</v>
      </c>
      <c r="AO676" t="s">
        <v>66</v>
      </c>
      <c r="AP676">
        <v>1</v>
      </c>
      <c r="AQ676" t="s">
        <v>2269</v>
      </c>
      <c r="AR676" t="s">
        <v>2270</v>
      </c>
      <c r="AS676" t="s">
        <v>66</v>
      </c>
      <c r="AT676" t="s">
        <v>66</v>
      </c>
    </row>
    <row r="677" spans="1:46" x14ac:dyDescent="0.15">
      <c r="A677" t="s">
        <v>2346</v>
      </c>
      <c r="B677" t="s">
        <v>2058</v>
      </c>
      <c r="C677" t="s">
        <v>2059</v>
      </c>
      <c r="D677">
        <v>56</v>
      </c>
      <c r="E677" t="s">
        <v>2060</v>
      </c>
      <c r="F677" t="s">
        <v>50</v>
      </c>
      <c r="G677" t="s">
        <v>51</v>
      </c>
      <c r="H677" t="s">
        <v>2061</v>
      </c>
      <c r="I677" t="s">
        <v>1553</v>
      </c>
      <c r="J677" t="s">
        <v>54</v>
      </c>
      <c r="K677" t="s">
        <v>55</v>
      </c>
      <c r="L677" t="s">
        <v>17</v>
      </c>
      <c r="M677" t="s">
        <v>16</v>
      </c>
      <c r="N677">
        <v>3587</v>
      </c>
      <c r="O677">
        <v>195</v>
      </c>
      <c r="P677">
        <v>0</v>
      </c>
      <c r="Q677" t="s">
        <v>2347</v>
      </c>
      <c r="R677" t="s">
        <v>2348</v>
      </c>
      <c r="S677" t="s">
        <v>2349</v>
      </c>
      <c r="T677" t="s">
        <v>2350</v>
      </c>
      <c r="U677" t="s">
        <v>60</v>
      </c>
      <c r="V677" t="s">
        <v>61</v>
      </c>
      <c r="W677">
        <v>3</v>
      </c>
      <c r="X677">
        <v>0.14000000000000001</v>
      </c>
      <c r="Y677" t="s">
        <v>427</v>
      </c>
      <c r="Z677" t="s">
        <v>428</v>
      </c>
      <c r="AA677">
        <v>2</v>
      </c>
      <c r="AB677" t="s">
        <v>2066</v>
      </c>
      <c r="AC677" t="s">
        <v>2067</v>
      </c>
      <c r="AD677" t="s">
        <v>2068</v>
      </c>
      <c r="AE677" t="s">
        <v>2069</v>
      </c>
      <c r="AF677" t="s">
        <v>2070</v>
      </c>
      <c r="AG677" t="s">
        <v>66</v>
      </c>
      <c r="AH677" t="s">
        <v>66</v>
      </c>
      <c r="AI677" t="s">
        <v>66</v>
      </c>
      <c r="AJ677" t="s">
        <v>66</v>
      </c>
      <c r="AK677">
        <v>1</v>
      </c>
      <c r="AL677" t="s">
        <v>2166</v>
      </c>
      <c r="AM677" t="s">
        <v>2167</v>
      </c>
      <c r="AN677" t="s">
        <v>2268</v>
      </c>
      <c r="AO677" t="s">
        <v>66</v>
      </c>
      <c r="AP677">
        <v>1</v>
      </c>
      <c r="AQ677" t="s">
        <v>2269</v>
      </c>
      <c r="AR677" t="s">
        <v>2270</v>
      </c>
      <c r="AS677" t="s">
        <v>66</v>
      </c>
      <c r="AT677" t="s">
        <v>66</v>
      </c>
    </row>
    <row r="678" spans="1:46" x14ac:dyDescent="0.15">
      <c r="A678" t="s">
        <v>2351</v>
      </c>
      <c r="B678" t="s">
        <v>2058</v>
      </c>
      <c r="C678" t="s">
        <v>2059</v>
      </c>
      <c r="D678">
        <v>57</v>
      </c>
      <c r="E678" t="s">
        <v>2060</v>
      </c>
      <c r="F678" t="s">
        <v>50</v>
      </c>
      <c r="G678" t="s">
        <v>51</v>
      </c>
      <c r="H678" t="s">
        <v>2061</v>
      </c>
      <c r="I678" t="s">
        <v>1553</v>
      </c>
      <c r="J678" t="s">
        <v>54</v>
      </c>
      <c r="K678" t="s">
        <v>55</v>
      </c>
      <c r="L678" t="s">
        <v>17</v>
      </c>
      <c r="M678" t="s">
        <v>16</v>
      </c>
      <c r="N678">
        <v>3643</v>
      </c>
      <c r="O678">
        <v>198</v>
      </c>
      <c r="P678">
        <v>0</v>
      </c>
      <c r="Q678" t="s">
        <v>2352</v>
      </c>
      <c r="R678" t="s">
        <v>2353</v>
      </c>
      <c r="S678" t="s">
        <v>2354</v>
      </c>
      <c r="T678" t="s">
        <v>2355</v>
      </c>
      <c r="U678" t="s">
        <v>60</v>
      </c>
      <c r="V678" t="s">
        <v>61</v>
      </c>
      <c r="W678">
        <v>3</v>
      </c>
      <c r="X678">
        <v>0.14000000000000001</v>
      </c>
      <c r="Y678" t="s">
        <v>249</v>
      </c>
      <c r="Z678" t="s">
        <v>434</v>
      </c>
      <c r="AA678">
        <v>2</v>
      </c>
      <c r="AB678" t="s">
        <v>2066</v>
      </c>
      <c r="AC678" t="s">
        <v>2067</v>
      </c>
      <c r="AD678" t="s">
        <v>2068</v>
      </c>
      <c r="AE678" t="s">
        <v>2069</v>
      </c>
      <c r="AF678" t="s">
        <v>2070</v>
      </c>
      <c r="AG678" t="s">
        <v>66</v>
      </c>
      <c r="AH678" t="s">
        <v>66</v>
      </c>
      <c r="AI678" t="s">
        <v>66</v>
      </c>
      <c r="AJ678" t="s">
        <v>66</v>
      </c>
      <c r="AK678">
        <v>1</v>
      </c>
      <c r="AL678" t="s">
        <v>2166</v>
      </c>
      <c r="AM678" t="s">
        <v>2167</v>
      </c>
      <c r="AN678" t="s">
        <v>2268</v>
      </c>
      <c r="AO678" t="s">
        <v>66</v>
      </c>
      <c r="AP678">
        <v>1</v>
      </c>
      <c r="AQ678" t="s">
        <v>2269</v>
      </c>
      <c r="AR678" t="s">
        <v>2270</v>
      </c>
      <c r="AS678" t="s">
        <v>66</v>
      </c>
      <c r="AT678" t="s">
        <v>66</v>
      </c>
    </row>
    <row r="679" spans="1:46" x14ac:dyDescent="0.15">
      <c r="A679" t="s">
        <v>2356</v>
      </c>
      <c r="B679" t="s">
        <v>2058</v>
      </c>
      <c r="C679" t="s">
        <v>2059</v>
      </c>
      <c r="D679">
        <v>58</v>
      </c>
      <c r="E679" t="s">
        <v>2060</v>
      </c>
      <c r="F679" t="s">
        <v>50</v>
      </c>
      <c r="G679" t="s">
        <v>51</v>
      </c>
      <c r="H679" t="s">
        <v>2061</v>
      </c>
      <c r="I679" t="s">
        <v>1553</v>
      </c>
      <c r="J679" t="s">
        <v>54</v>
      </c>
      <c r="K679" t="s">
        <v>55</v>
      </c>
      <c r="L679" t="s">
        <v>17</v>
      </c>
      <c r="M679" t="s">
        <v>16</v>
      </c>
      <c r="N679">
        <v>3699</v>
      </c>
      <c r="O679">
        <v>201</v>
      </c>
      <c r="P679">
        <v>0</v>
      </c>
      <c r="Q679" t="s">
        <v>2357</v>
      </c>
      <c r="R679" t="s">
        <v>2358</v>
      </c>
      <c r="S679" t="s">
        <v>2359</v>
      </c>
      <c r="T679" t="s">
        <v>2360</v>
      </c>
      <c r="U679" t="s">
        <v>60</v>
      </c>
      <c r="V679" t="s">
        <v>61</v>
      </c>
      <c r="W679">
        <v>3</v>
      </c>
      <c r="X679">
        <v>0.14000000000000001</v>
      </c>
      <c r="Y679" t="s">
        <v>440</v>
      </c>
      <c r="Z679" t="s">
        <v>441</v>
      </c>
      <c r="AA679">
        <v>2</v>
      </c>
      <c r="AB679" t="s">
        <v>2066</v>
      </c>
      <c r="AC679" t="s">
        <v>2067</v>
      </c>
      <c r="AD679" t="s">
        <v>2068</v>
      </c>
      <c r="AE679" t="s">
        <v>2069</v>
      </c>
      <c r="AF679" t="s">
        <v>2070</v>
      </c>
      <c r="AG679" t="s">
        <v>66</v>
      </c>
      <c r="AH679" t="s">
        <v>66</v>
      </c>
      <c r="AI679" t="s">
        <v>66</v>
      </c>
      <c r="AJ679" t="s">
        <v>66</v>
      </c>
      <c r="AK679">
        <v>1</v>
      </c>
      <c r="AL679" t="s">
        <v>2166</v>
      </c>
      <c r="AM679" t="s">
        <v>2167</v>
      </c>
      <c r="AN679" t="s">
        <v>2268</v>
      </c>
      <c r="AO679" t="s">
        <v>66</v>
      </c>
      <c r="AP679">
        <v>1</v>
      </c>
      <c r="AQ679" t="s">
        <v>2269</v>
      </c>
      <c r="AR679" t="s">
        <v>2270</v>
      </c>
      <c r="AS679" t="s">
        <v>66</v>
      </c>
      <c r="AT679" t="s">
        <v>66</v>
      </c>
    </row>
    <row r="680" spans="1:46" x14ac:dyDescent="0.15">
      <c r="A680" t="s">
        <v>2361</v>
      </c>
      <c r="B680" t="s">
        <v>2058</v>
      </c>
      <c r="C680" t="s">
        <v>2059</v>
      </c>
      <c r="D680">
        <v>59</v>
      </c>
      <c r="E680" t="s">
        <v>2060</v>
      </c>
      <c r="F680" t="s">
        <v>50</v>
      </c>
      <c r="G680" t="s">
        <v>51</v>
      </c>
      <c r="H680" t="s">
        <v>2061</v>
      </c>
      <c r="I680" t="s">
        <v>1553</v>
      </c>
      <c r="J680" t="s">
        <v>54</v>
      </c>
      <c r="K680" t="s">
        <v>55</v>
      </c>
      <c r="L680" t="s">
        <v>17</v>
      </c>
      <c r="M680" t="s">
        <v>16</v>
      </c>
      <c r="N680">
        <v>3755</v>
      </c>
      <c r="O680">
        <v>204</v>
      </c>
      <c r="P680">
        <v>0</v>
      </c>
      <c r="Q680" t="s">
        <v>2362</v>
      </c>
      <c r="R680" t="s">
        <v>2363</v>
      </c>
      <c r="S680" t="s">
        <v>2364</v>
      </c>
      <c r="T680" t="s">
        <v>2365</v>
      </c>
      <c r="U680" t="s">
        <v>60</v>
      </c>
      <c r="V680" t="s">
        <v>61</v>
      </c>
      <c r="W680">
        <v>3</v>
      </c>
      <c r="X680">
        <v>0.14000000000000001</v>
      </c>
      <c r="Y680" t="s">
        <v>256</v>
      </c>
      <c r="Z680" t="s">
        <v>447</v>
      </c>
      <c r="AA680">
        <v>2</v>
      </c>
      <c r="AB680" t="s">
        <v>2066</v>
      </c>
      <c r="AC680" t="s">
        <v>2067</v>
      </c>
      <c r="AD680" t="s">
        <v>2068</v>
      </c>
      <c r="AE680" t="s">
        <v>2069</v>
      </c>
      <c r="AF680" t="s">
        <v>2070</v>
      </c>
      <c r="AG680" t="s">
        <v>66</v>
      </c>
      <c r="AH680" t="s">
        <v>66</v>
      </c>
      <c r="AI680" t="s">
        <v>66</v>
      </c>
      <c r="AJ680" t="s">
        <v>66</v>
      </c>
      <c r="AK680">
        <v>1</v>
      </c>
      <c r="AL680" t="s">
        <v>2166</v>
      </c>
      <c r="AM680" t="s">
        <v>2167</v>
      </c>
      <c r="AN680" t="s">
        <v>2268</v>
      </c>
      <c r="AO680" t="s">
        <v>66</v>
      </c>
      <c r="AP680">
        <v>1</v>
      </c>
      <c r="AQ680" t="s">
        <v>2269</v>
      </c>
      <c r="AR680" t="s">
        <v>2270</v>
      </c>
      <c r="AS680" t="s">
        <v>66</v>
      </c>
      <c r="AT680" t="s">
        <v>66</v>
      </c>
    </row>
    <row r="681" spans="1:46" x14ac:dyDescent="0.15">
      <c r="A681" t="s">
        <v>2366</v>
      </c>
      <c r="B681" t="s">
        <v>2058</v>
      </c>
      <c r="C681" t="s">
        <v>2059</v>
      </c>
      <c r="D681">
        <v>60</v>
      </c>
      <c r="E681" t="s">
        <v>2060</v>
      </c>
      <c r="F681" t="s">
        <v>50</v>
      </c>
      <c r="G681" t="s">
        <v>51</v>
      </c>
      <c r="H681" t="s">
        <v>2061</v>
      </c>
      <c r="I681" t="s">
        <v>1553</v>
      </c>
      <c r="J681" t="s">
        <v>54</v>
      </c>
      <c r="K681" t="s">
        <v>55</v>
      </c>
      <c r="L681" t="s">
        <v>17</v>
      </c>
      <c r="M681" t="s">
        <v>16</v>
      </c>
      <c r="N681">
        <v>3811</v>
      </c>
      <c r="O681">
        <v>207</v>
      </c>
      <c r="P681">
        <v>0</v>
      </c>
      <c r="Q681" t="s">
        <v>2367</v>
      </c>
      <c r="R681" t="s">
        <v>2368</v>
      </c>
      <c r="S681" t="s">
        <v>2369</v>
      </c>
      <c r="T681" t="s">
        <v>2370</v>
      </c>
      <c r="U681" t="s">
        <v>60</v>
      </c>
      <c r="V681" t="s">
        <v>61</v>
      </c>
      <c r="W681">
        <v>3</v>
      </c>
      <c r="X681">
        <v>0.14000000000000001</v>
      </c>
      <c r="Y681" t="s">
        <v>453</v>
      </c>
      <c r="Z681" t="s">
        <v>454</v>
      </c>
      <c r="AA681">
        <v>2</v>
      </c>
      <c r="AB681" t="s">
        <v>2066</v>
      </c>
      <c r="AC681" t="s">
        <v>2067</v>
      </c>
      <c r="AD681" t="s">
        <v>2068</v>
      </c>
      <c r="AE681" t="s">
        <v>2069</v>
      </c>
      <c r="AF681" t="s">
        <v>2070</v>
      </c>
      <c r="AG681" t="s">
        <v>66</v>
      </c>
      <c r="AH681" t="s">
        <v>66</v>
      </c>
      <c r="AI681" t="s">
        <v>66</v>
      </c>
      <c r="AJ681" t="s">
        <v>66</v>
      </c>
      <c r="AK681">
        <v>1</v>
      </c>
      <c r="AL681" t="s">
        <v>2166</v>
      </c>
      <c r="AM681" t="s">
        <v>2167</v>
      </c>
      <c r="AN681" t="s">
        <v>2268</v>
      </c>
      <c r="AO681" t="s">
        <v>66</v>
      </c>
      <c r="AP681">
        <v>1</v>
      </c>
      <c r="AQ681" t="s">
        <v>2269</v>
      </c>
      <c r="AR681" t="s">
        <v>2270</v>
      </c>
      <c r="AS681" t="s">
        <v>66</v>
      </c>
      <c r="AT681" t="s">
        <v>66</v>
      </c>
    </row>
    <row r="682" spans="1:46" x14ac:dyDescent="0.15">
      <c r="A682" t="s">
        <v>2366</v>
      </c>
      <c r="B682" t="s">
        <v>2058</v>
      </c>
      <c r="C682" t="s">
        <v>2059</v>
      </c>
      <c r="D682">
        <v>60</v>
      </c>
      <c r="E682" t="s">
        <v>2060</v>
      </c>
      <c r="F682" t="s">
        <v>50</v>
      </c>
      <c r="G682" t="s">
        <v>51</v>
      </c>
      <c r="H682" t="s">
        <v>2061</v>
      </c>
      <c r="I682" t="s">
        <v>1553</v>
      </c>
      <c r="J682" t="s">
        <v>54</v>
      </c>
      <c r="K682" t="s">
        <v>55</v>
      </c>
      <c r="L682" t="s">
        <v>17</v>
      </c>
      <c r="M682" t="s">
        <v>16</v>
      </c>
      <c r="N682">
        <v>3811</v>
      </c>
      <c r="O682">
        <v>207</v>
      </c>
      <c r="P682">
        <v>0</v>
      </c>
      <c r="Q682" t="s">
        <v>2367</v>
      </c>
      <c r="R682" t="s">
        <v>2368</v>
      </c>
      <c r="S682" t="s">
        <v>2369</v>
      </c>
      <c r="T682" t="s">
        <v>2370</v>
      </c>
      <c r="U682" t="s">
        <v>60</v>
      </c>
      <c r="V682" t="s">
        <v>61</v>
      </c>
      <c r="W682">
        <v>3</v>
      </c>
      <c r="X682">
        <v>0.14000000000000001</v>
      </c>
      <c r="Y682" t="s">
        <v>453</v>
      </c>
      <c r="Z682" t="s">
        <v>454</v>
      </c>
      <c r="AA682">
        <v>3</v>
      </c>
      <c r="AB682" t="s">
        <v>2066</v>
      </c>
      <c r="AC682" t="s">
        <v>2067</v>
      </c>
      <c r="AD682" t="s">
        <v>2068</v>
      </c>
      <c r="AE682" t="s">
        <v>2069</v>
      </c>
      <c r="AF682" t="s">
        <v>2070</v>
      </c>
      <c r="AG682" t="s">
        <v>322</v>
      </c>
      <c r="AH682" t="s">
        <v>191</v>
      </c>
      <c r="AI682" t="s">
        <v>322</v>
      </c>
      <c r="AJ682" t="s">
        <v>66</v>
      </c>
      <c r="AK682">
        <v>1</v>
      </c>
      <c r="AL682" t="s">
        <v>2166</v>
      </c>
      <c r="AM682" t="s">
        <v>2167</v>
      </c>
      <c r="AN682" t="s">
        <v>2268</v>
      </c>
      <c r="AO682" t="s">
        <v>66</v>
      </c>
      <c r="AP682">
        <v>1</v>
      </c>
      <c r="AQ682" t="s">
        <v>2371</v>
      </c>
      <c r="AR682" t="s">
        <v>2270</v>
      </c>
      <c r="AS682" t="s">
        <v>2372</v>
      </c>
      <c r="AT682" t="s">
        <v>66</v>
      </c>
    </row>
    <row r="683" spans="1:46" x14ac:dyDescent="0.15">
      <c r="A683" t="s">
        <v>2373</v>
      </c>
      <c r="B683" t="s">
        <v>2058</v>
      </c>
      <c r="C683" t="s">
        <v>2059</v>
      </c>
      <c r="D683">
        <v>61</v>
      </c>
      <c r="E683" t="s">
        <v>2060</v>
      </c>
      <c r="F683" t="s">
        <v>50</v>
      </c>
      <c r="G683" t="s">
        <v>51</v>
      </c>
      <c r="H683" t="s">
        <v>2061</v>
      </c>
      <c r="I683" t="s">
        <v>1553</v>
      </c>
      <c r="J683" t="s">
        <v>54</v>
      </c>
      <c r="K683" t="s">
        <v>55</v>
      </c>
      <c r="L683" t="s">
        <v>17</v>
      </c>
      <c r="M683" t="s">
        <v>16</v>
      </c>
      <c r="N683">
        <v>3867</v>
      </c>
      <c r="O683">
        <v>210</v>
      </c>
      <c r="P683">
        <v>0</v>
      </c>
      <c r="Q683" t="s">
        <v>2374</v>
      </c>
      <c r="R683" t="s">
        <v>2375</v>
      </c>
      <c r="S683" t="s">
        <v>2376</v>
      </c>
      <c r="T683" t="s">
        <v>2377</v>
      </c>
      <c r="U683" t="s">
        <v>60</v>
      </c>
      <c r="V683" t="s">
        <v>61</v>
      </c>
      <c r="W683">
        <v>3</v>
      </c>
      <c r="X683">
        <v>0.14000000000000001</v>
      </c>
      <c r="Y683" t="s">
        <v>262</v>
      </c>
      <c r="Z683" t="s">
        <v>465</v>
      </c>
      <c r="AA683">
        <v>3</v>
      </c>
      <c r="AB683" t="s">
        <v>2066</v>
      </c>
      <c r="AC683" t="s">
        <v>2067</v>
      </c>
      <c r="AD683" t="s">
        <v>2068</v>
      </c>
      <c r="AE683" t="s">
        <v>2069</v>
      </c>
      <c r="AF683" t="s">
        <v>2070</v>
      </c>
      <c r="AG683" t="s">
        <v>322</v>
      </c>
      <c r="AH683" t="s">
        <v>191</v>
      </c>
      <c r="AI683" t="s">
        <v>322</v>
      </c>
      <c r="AJ683" t="s">
        <v>66</v>
      </c>
      <c r="AK683">
        <v>1</v>
      </c>
      <c r="AL683" t="s">
        <v>2166</v>
      </c>
      <c r="AM683" t="s">
        <v>2167</v>
      </c>
      <c r="AN683" t="s">
        <v>2268</v>
      </c>
      <c r="AO683" t="s">
        <v>66</v>
      </c>
      <c r="AP683">
        <v>1</v>
      </c>
      <c r="AQ683" t="s">
        <v>2371</v>
      </c>
      <c r="AR683" t="s">
        <v>2270</v>
      </c>
      <c r="AS683" t="s">
        <v>2372</v>
      </c>
      <c r="AT683" t="s">
        <v>66</v>
      </c>
    </row>
    <row r="684" spans="1:46" x14ac:dyDescent="0.15">
      <c r="A684" t="s">
        <v>2378</v>
      </c>
      <c r="B684" t="s">
        <v>2058</v>
      </c>
      <c r="C684" t="s">
        <v>2059</v>
      </c>
      <c r="D684">
        <v>62</v>
      </c>
      <c r="E684" t="s">
        <v>2060</v>
      </c>
      <c r="F684" t="s">
        <v>50</v>
      </c>
      <c r="G684" t="s">
        <v>51</v>
      </c>
      <c r="H684" t="s">
        <v>2061</v>
      </c>
      <c r="I684" t="s">
        <v>1553</v>
      </c>
      <c r="J684" t="s">
        <v>54</v>
      </c>
      <c r="K684" t="s">
        <v>55</v>
      </c>
      <c r="L684" t="s">
        <v>17</v>
      </c>
      <c r="M684" t="s">
        <v>16</v>
      </c>
      <c r="N684">
        <v>3923</v>
      </c>
      <c r="O684">
        <v>213</v>
      </c>
      <c r="P684">
        <v>0</v>
      </c>
      <c r="Q684" t="s">
        <v>2379</v>
      </c>
      <c r="R684" t="s">
        <v>2380</v>
      </c>
      <c r="S684" t="s">
        <v>2381</v>
      </c>
      <c r="T684" t="s">
        <v>2382</v>
      </c>
      <c r="U684" t="s">
        <v>60</v>
      </c>
      <c r="V684" t="s">
        <v>61</v>
      </c>
      <c r="W684">
        <v>3</v>
      </c>
      <c r="X684">
        <v>0.14000000000000001</v>
      </c>
      <c r="Y684" t="s">
        <v>471</v>
      </c>
      <c r="Z684" t="s">
        <v>472</v>
      </c>
      <c r="AA684">
        <v>3</v>
      </c>
      <c r="AB684" t="s">
        <v>2066</v>
      </c>
      <c r="AC684" t="s">
        <v>2067</v>
      </c>
      <c r="AD684" t="s">
        <v>2068</v>
      </c>
      <c r="AE684" t="s">
        <v>2069</v>
      </c>
      <c r="AF684" t="s">
        <v>2070</v>
      </c>
      <c r="AG684" t="s">
        <v>322</v>
      </c>
      <c r="AH684" t="s">
        <v>191</v>
      </c>
      <c r="AI684" t="s">
        <v>322</v>
      </c>
      <c r="AJ684" t="s">
        <v>66</v>
      </c>
      <c r="AK684">
        <v>1</v>
      </c>
      <c r="AL684" t="s">
        <v>2166</v>
      </c>
      <c r="AM684" t="s">
        <v>2167</v>
      </c>
      <c r="AN684" t="s">
        <v>2268</v>
      </c>
      <c r="AO684" t="s">
        <v>66</v>
      </c>
      <c r="AP684">
        <v>1</v>
      </c>
      <c r="AQ684" t="s">
        <v>2371</v>
      </c>
      <c r="AR684" t="s">
        <v>2270</v>
      </c>
      <c r="AS684" t="s">
        <v>2372</v>
      </c>
      <c r="AT684" t="s">
        <v>66</v>
      </c>
    </row>
    <row r="685" spans="1:46" x14ac:dyDescent="0.15">
      <c r="A685" t="s">
        <v>2383</v>
      </c>
      <c r="B685" t="s">
        <v>2058</v>
      </c>
      <c r="C685" t="s">
        <v>2059</v>
      </c>
      <c r="D685">
        <v>63</v>
      </c>
      <c r="E685" t="s">
        <v>2060</v>
      </c>
      <c r="F685" t="s">
        <v>50</v>
      </c>
      <c r="G685" t="s">
        <v>51</v>
      </c>
      <c r="H685" t="s">
        <v>2061</v>
      </c>
      <c r="I685" t="s">
        <v>1553</v>
      </c>
      <c r="J685" t="s">
        <v>54</v>
      </c>
      <c r="K685" t="s">
        <v>55</v>
      </c>
      <c r="L685" t="s">
        <v>17</v>
      </c>
      <c r="M685" t="s">
        <v>16</v>
      </c>
      <c r="N685">
        <v>3980</v>
      </c>
      <c r="O685">
        <v>216</v>
      </c>
      <c r="P685">
        <v>0</v>
      </c>
      <c r="Q685" t="s">
        <v>2384</v>
      </c>
      <c r="R685" t="s">
        <v>2385</v>
      </c>
      <c r="S685" t="s">
        <v>2386</v>
      </c>
      <c r="T685" t="s">
        <v>2387</v>
      </c>
      <c r="U685" t="s">
        <v>60</v>
      </c>
      <c r="V685" t="s">
        <v>61</v>
      </c>
      <c r="W685">
        <v>3</v>
      </c>
      <c r="X685">
        <v>0.14000000000000001</v>
      </c>
      <c r="Y685" t="s">
        <v>269</v>
      </c>
      <c r="Z685" t="s">
        <v>478</v>
      </c>
      <c r="AA685">
        <v>3</v>
      </c>
      <c r="AB685" t="s">
        <v>2066</v>
      </c>
      <c r="AC685" t="s">
        <v>2067</v>
      </c>
      <c r="AD685" t="s">
        <v>2068</v>
      </c>
      <c r="AE685" t="s">
        <v>2069</v>
      </c>
      <c r="AF685" t="s">
        <v>2070</v>
      </c>
      <c r="AG685" t="s">
        <v>322</v>
      </c>
      <c r="AH685" t="s">
        <v>191</v>
      </c>
      <c r="AI685" t="s">
        <v>322</v>
      </c>
      <c r="AJ685" t="s">
        <v>66</v>
      </c>
      <c r="AK685">
        <v>1</v>
      </c>
      <c r="AL685" t="s">
        <v>2166</v>
      </c>
      <c r="AM685" t="s">
        <v>2167</v>
      </c>
      <c r="AN685" t="s">
        <v>2268</v>
      </c>
      <c r="AO685" t="s">
        <v>66</v>
      </c>
      <c r="AP685">
        <v>1</v>
      </c>
      <c r="AQ685" t="s">
        <v>2371</v>
      </c>
      <c r="AR685" t="s">
        <v>2270</v>
      </c>
      <c r="AS685" t="s">
        <v>2372</v>
      </c>
      <c r="AT685" t="s">
        <v>66</v>
      </c>
    </row>
    <row r="686" spans="1:46" x14ac:dyDescent="0.15">
      <c r="A686" t="s">
        <v>2388</v>
      </c>
      <c r="B686" t="s">
        <v>2058</v>
      </c>
      <c r="C686" t="s">
        <v>2059</v>
      </c>
      <c r="D686">
        <v>64</v>
      </c>
      <c r="E686" t="s">
        <v>2060</v>
      </c>
      <c r="F686" t="s">
        <v>50</v>
      </c>
      <c r="G686" t="s">
        <v>51</v>
      </c>
      <c r="H686" t="s">
        <v>2061</v>
      </c>
      <c r="I686" t="s">
        <v>1553</v>
      </c>
      <c r="J686" t="s">
        <v>54</v>
      </c>
      <c r="K686" t="s">
        <v>55</v>
      </c>
      <c r="L686" t="s">
        <v>17</v>
      </c>
      <c r="M686" t="s">
        <v>16</v>
      </c>
      <c r="N686">
        <v>4036</v>
      </c>
      <c r="O686">
        <v>219</v>
      </c>
      <c r="P686">
        <v>0</v>
      </c>
      <c r="Q686" t="s">
        <v>2389</v>
      </c>
      <c r="R686" t="s">
        <v>2390</v>
      </c>
      <c r="S686" t="s">
        <v>2391</v>
      </c>
      <c r="T686" t="s">
        <v>2392</v>
      </c>
      <c r="U686" t="s">
        <v>60</v>
      </c>
      <c r="V686" t="s">
        <v>61</v>
      </c>
      <c r="W686">
        <v>3</v>
      </c>
      <c r="X686">
        <v>0.14000000000000001</v>
      </c>
      <c r="Y686" t="s">
        <v>484</v>
      </c>
      <c r="Z686" t="s">
        <v>485</v>
      </c>
      <c r="AA686">
        <v>3</v>
      </c>
      <c r="AB686" t="s">
        <v>2066</v>
      </c>
      <c r="AC686" t="s">
        <v>2067</v>
      </c>
      <c r="AD686" t="s">
        <v>2068</v>
      </c>
      <c r="AE686" t="s">
        <v>2069</v>
      </c>
      <c r="AF686" t="s">
        <v>2070</v>
      </c>
      <c r="AG686" t="s">
        <v>322</v>
      </c>
      <c r="AH686" t="s">
        <v>191</v>
      </c>
      <c r="AI686" t="s">
        <v>322</v>
      </c>
      <c r="AJ686" t="s">
        <v>66</v>
      </c>
      <c r="AK686">
        <v>1</v>
      </c>
      <c r="AL686" t="s">
        <v>2166</v>
      </c>
      <c r="AM686" t="s">
        <v>2167</v>
      </c>
      <c r="AN686" t="s">
        <v>2268</v>
      </c>
      <c r="AO686" t="s">
        <v>66</v>
      </c>
      <c r="AP686">
        <v>1</v>
      </c>
      <c r="AQ686" t="s">
        <v>2371</v>
      </c>
      <c r="AR686" t="s">
        <v>2270</v>
      </c>
      <c r="AS686" t="s">
        <v>2372</v>
      </c>
      <c r="AT686" t="s">
        <v>66</v>
      </c>
    </row>
    <row r="687" spans="1:46" x14ac:dyDescent="0.15">
      <c r="A687" t="s">
        <v>2393</v>
      </c>
      <c r="B687" t="s">
        <v>2058</v>
      </c>
      <c r="C687" t="s">
        <v>2059</v>
      </c>
      <c r="D687">
        <v>65</v>
      </c>
      <c r="E687" t="s">
        <v>2060</v>
      </c>
      <c r="F687" t="s">
        <v>50</v>
      </c>
      <c r="G687" t="s">
        <v>51</v>
      </c>
      <c r="H687" t="s">
        <v>2061</v>
      </c>
      <c r="I687" t="s">
        <v>1553</v>
      </c>
      <c r="J687" t="s">
        <v>54</v>
      </c>
      <c r="K687" t="s">
        <v>55</v>
      </c>
      <c r="L687" t="s">
        <v>17</v>
      </c>
      <c r="M687" t="s">
        <v>16</v>
      </c>
      <c r="N687">
        <v>4092</v>
      </c>
      <c r="O687">
        <v>222</v>
      </c>
      <c r="P687">
        <v>0</v>
      </c>
      <c r="Q687" t="s">
        <v>2394</v>
      </c>
      <c r="R687" t="s">
        <v>2395</v>
      </c>
      <c r="S687" t="s">
        <v>2396</v>
      </c>
      <c r="T687" t="s">
        <v>2397</v>
      </c>
      <c r="U687" t="s">
        <v>60</v>
      </c>
      <c r="V687" t="s">
        <v>61</v>
      </c>
      <c r="W687">
        <v>3</v>
      </c>
      <c r="X687">
        <v>0.14000000000000001</v>
      </c>
      <c r="Y687" t="s">
        <v>275</v>
      </c>
      <c r="Z687" t="s">
        <v>491</v>
      </c>
      <c r="AA687">
        <v>3</v>
      </c>
      <c r="AB687" t="s">
        <v>2066</v>
      </c>
      <c r="AC687" t="s">
        <v>2067</v>
      </c>
      <c r="AD687" t="s">
        <v>2068</v>
      </c>
      <c r="AE687" t="s">
        <v>2069</v>
      </c>
      <c r="AF687" t="s">
        <v>2070</v>
      </c>
      <c r="AG687" t="s">
        <v>322</v>
      </c>
      <c r="AH687" t="s">
        <v>191</v>
      </c>
      <c r="AI687" t="s">
        <v>322</v>
      </c>
      <c r="AJ687" t="s">
        <v>66</v>
      </c>
      <c r="AK687">
        <v>1</v>
      </c>
      <c r="AL687" t="s">
        <v>2166</v>
      </c>
      <c r="AM687" t="s">
        <v>2167</v>
      </c>
      <c r="AN687" t="s">
        <v>2268</v>
      </c>
      <c r="AO687" t="s">
        <v>66</v>
      </c>
      <c r="AP687">
        <v>1</v>
      </c>
      <c r="AQ687" t="s">
        <v>2371</v>
      </c>
      <c r="AR687" t="s">
        <v>2270</v>
      </c>
      <c r="AS687" t="s">
        <v>2372</v>
      </c>
      <c r="AT687" t="s">
        <v>66</v>
      </c>
    </row>
    <row r="688" spans="1:46" x14ac:dyDescent="0.15">
      <c r="A688" t="s">
        <v>2398</v>
      </c>
      <c r="B688" t="s">
        <v>2058</v>
      </c>
      <c r="C688" t="s">
        <v>2059</v>
      </c>
      <c r="D688">
        <v>66</v>
      </c>
      <c r="E688" t="s">
        <v>2060</v>
      </c>
      <c r="F688" t="s">
        <v>50</v>
      </c>
      <c r="G688" t="s">
        <v>51</v>
      </c>
      <c r="H688" t="s">
        <v>2061</v>
      </c>
      <c r="I688" t="s">
        <v>1553</v>
      </c>
      <c r="J688" t="s">
        <v>54</v>
      </c>
      <c r="K688" t="s">
        <v>55</v>
      </c>
      <c r="L688" t="s">
        <v>17</v>
      </c>
      <c r="M688" t="s">
        <v>16</v>
      </c>
      <c r="N688">
        <v>4148</v>
      </c>
      <c r="O688">
        <v>225</v>
      </c>
      <c r="P688">
        <v>0</v>
      </c>
      <c r="Q688" t="s">
        <v>2399</v>
      </c>
      <c r="R688" t="s">
        <v>2400</v>
      </c>
      <c r="S688" t="s">
        <v>2401</v>
      </c>
      <c r="T688" t="s">
        <v>2402</v>
      </c>
      <c r="U688" t="s">
        <v>60</v>
      </c>
      <c r="V688" t="s">
        <v>61</v>
      </c>
      <c r="W688">
        <v>3</v>
      </c>
      <c r="X688">
        <v>0.14000000000000001</v>
      </c>
      <c r="Y688" t="s">
        <v>497</v>
      </c>
      <c r="Z688" t="s">
        <v>498</v>
      </c>
      <c r="AA688">
        <v>3</v>
      </c>
      <c r="AB688" t="s">
        <v>2066</v>
      </c>
      <c r="AC688" t="s">
        <v>2067</v>
      </c>
      <c r="AD688" t="s">
        <v>2068</v>
      </c>
      <c r="AE688" t="s">
        <v>2069</v>
      </c>
      <c r="AF688" t="s">
        <v>2070</v>
      </c>
      <c r="AG688" t="s">
        <v>322</v>
      </c>
      <c r="AH688" t="s">
        <v>191</v>
      </c>
      <c r="AI688" t="s">
        <v>322</v>
      </c>
      <c r="AJ688" t="s">
        <v>66</v>
      </c>
      <c r="AK688">
        <v>1</v>
      </c>
      <c r="AL688" t="s">
        <v>2166</v>
      </c>
      <c r="AM688" t="s">
        <v>2167</v>
      </c>
      <c r="AN688" t="s">
        <v>2268</v>
      </c>
      <c r="AO688" t="s">
        <v>66</v>
      </c>
      <c r="AP688">
        <v>1</v>
      </c>
      <c r="AQ688" t="s">
        <v>2371</v>
      </c>
      <c r="AR688" t="s">
        <v>2270</v>
      </c>
      <c r="AS688" t="s">
        <v>2372</v>
      </c>
      <c r="AT688" t="s">
        <v>66</v>
      </c>
    </row>
    <row r="689" spans="1:46" x14ac:dyDescent="0.15">
      <c r="A689" t="s">
        <v>2403</v>
      </c>
      <c r="B689" t="s">
        <v>2058</v>
      </c>
      <c r="C689" t="s">
        <v>2059</v>
      </c>
      <c r="D689">
        <v>67</v>
      </c>
      <c r="E689" t="s">
        <v>2060</v>
      </c>
      <c r="F689" t="s">
        <v>50</v>
      </c>
      <c r="G689" t="s">
        <v>51</v>
      </c>
      <c r="H689" t="s">
        <v>2061</v>
      </c>
      <c r="I689" t="s">
        <v>1553</v>
      </c>
      <c r="J689" t="s">
        <v>54</v>
      </c>
      <c r="K689" t="s">
        <v>55</v>
      </c>
      <c r="L689" t="s">
        <v>17</v>
      </c>
      <c r="M689" t="s">
        <v>16</v>
      </c>
      <c r="N689">
        <v>4204</v>
      </c>
      <c r="O689">
        <v>228</v>
      </c>
      <c r="P689">
        <v>0</v>
      </c>
      <c r="Q689" t="s">
        <v>2404</v>
      </c>
      <c r="R689" t="s">
        <v>2405</v>
      </c>
      <c r="S689" t="s">
        <v>2406</v>
      </c>
      <c r="T689" t="s">
        <v>2407</v>
      </c>
      <c r="U689" t="s">
        <v>60</v>
      </c>
      <c r="V689" t="s">
        <v>61</v>
      </c>
      <c r="W689">
        <v>3</v>
      </c>
      <c r="X689">
        <v>0.14000000000000001</v>
      </c>
      <c r="Y689" t="s">
        <v>282</v>
      </c>
      <c r="Z689" t="s">
        <v>504</v>
      </c>
      <c r="AA689">
        <v>3</v>
      </c>
      <c r="AB689" t="s">
        <v>2066</v>
      </c>
      <c r="AC689" t="s">
        <v>2067</v>
      </c>
      <c r="AD689" t="s">
        <v>2068</v>
      </c>
      <c r="AE689" t="s">
        <v>2069</v>
      </c>
      <c r="AF689" t="s">
        <v>2070</v>
      </c>
      <c r="AG689" t="s">
        <v>322</v>
      </c>
      <c r="AH689" t="s">
        <v>191</v>
      </c>
      <c r="AI689" t="s">
        <v>322</v>
      </c>
      <c r="AJ689" t="s">
        <v>66</v>
      </c>
      <c r="AK689">
        <v>1</v>
      </c>
      <c r="AL689" t="s">
        <v>2166</v>
      </c>
      <c r="AM689" t="s">
        <v>2167</v>
      </c>
      <c r="AN689" t="s">
        <v>2268</v>
      </c>
      <c r="AO689" t="s">
        <v>66</v>
      </c>
      <c r="AP689">
        <v>1</v>
      </c>
      <c r="AQ689" t="s">
        <v>2371</v>
      </c>
      <c r="AR689" t="s">
        <v>2270</v>
      </c>
      <c r="AS689" t="s">
        <v>2372</v>
      </c>
      <c r="AT689" t="s">
        <v>66</v>
      </c>
    </row>
    <row r="690" spans="1:46" x14ac:dyDescent="0.15">
      <c r="A690" t="s">
        <v>2408</v>
      </c>
      <c r="B690" t="s">
        <v>2058</v>
      </c>
      <c r="C690" t="s">
        <v>2059</v>
      </c>
      <c r="D690">
        <v>68</v>
      </c>
      <c r="E690" t="s">
        <v>2060</v>
      </c>
      <c r="F690" t="s">
        <v>50</v>
      </c>
      <c r="G690" t="s">
        <v>51</v>
      </c>
      <c r="H690" t="s">
        <v>2061</v>
      </c>
      <c r="I690" t="s">
        <v>1553</v>
      </c>
      <c r="J690" t="s">
        <v>54</v>
      </c>
      <c r="K690" t="s">
        <v>55</v>
      </c>
      <c r="L690" t="s">
        <v>17</v>
      </c>
      <c r="M690" t="s">
        <v>16</v>
      </c>
      <c r="N690">
        <v>4260</v>
      </c>
      <c r="O690">
        <v>231</v>
      </c>
      <c r="P690">
        <v>0</v>
      </c>
      <c r="Q690" t="s">
        <v>2409</v>
      </c>
      <c r="R690" t="s">
        <v>2410</v>
      </c>
      <c r="S690" t="s">
        <v>2411</v>
      </c>
      <c r="T690" t="s">
        <v>2412</v>
      </c>
      <c r="U690" t="s">
        <v>60</v>
      </c>
      <c r="V690" t="s">
        <v>61</v>
      </c>
      <c r="W690">
        <v>3</v>
      </c>
      <c r="X690">
        <v>0.14000000000000001</v>
      </c>
      <c r="Y690" t="s">
        <v>510</v>
      </c>
      <c r="Z690" t="s">
        <v>511</v>
      </c>
      <c r="AA690">
        <v>3</v>
      </c>
      <c r="AB690" t="s">
        <v>2066</v>
      </c>
      <c r="AC690" t="s">
        <v>2067</v>
      </c>
      <c r="AD690" t="s">
        <v>2068</v>
      </c>
      <c r="AE690" t="s">
        <v>2069</v>
      </c>
      <c r="AF690" t="s">
        <v>2070</v>
      </c>
      <c r="AG690" t="s">
        <v>322</v>
      </c>
      <c r="AH690" t="s">
        <v>191</v>
      </c>
      <c r="AI690" t="s">
        <v>322</v>
      </c>
      <c r="AJ690" t="s">
        <v>66</v>
      </c>
      <c r="AK690">
        <v>1</v>
      </c>
      <c r="AL690" t="s">
        <v>2166</v>
      </c>
      <c r="AM690" t="s">
        <v>2167</v>
      </c>
      <c r="AN690" t="s">
        <v>2268</v>
      </c>
      <c r="AO690" t="s">
        <v>66</v>
      </c>
      <c r="AP690">
        <v>1</v>
      </c>
      <c r="AQ690" t="s">
        <v>2371</v>
      </c>
      <c r="AR690" t="s">
        <v>2270</v>
      </c>
      <c r="AS690" t="s">
        <v>2372</v>
      </c>
      <c r="AT690" t="s">
        <v>66</v>
      </c>
    </row>
    <row r="691" spans="1:46" x14ac:dyDescent="0.15">
      <c r="A691" t="s">
        <v>2413</v>
      </c>
      <c r="B691" t="s">
        <v>2058</v>
      </c>
      <c r="C691" t="s">
        <v>2059</v>
      </c>
      <c r="D691">
        <v>69</v>
      </c>
      <c r="E691" t="s">
        <v>2060</v>
      </c>
      <c r="F691" t="s">
        <v>50</v>
      </c>
      <c r="G691" t="s">
        <v>51</v>
      </c>
      <c r="H691" t="s">
        <v>2061</v>
      </c>
      <c r="I691" t="s">
        <v>1553</v>
      </c>
      <c r="J691" t="s">
        <v>54</v>
      </c>
      <c r="K691" t="s">
        <v>55</v>
      </c>
      <c r="L691" t="s">
        <v>17</v>
      </c>
      <c r="M691" t="s">
        <v>16</v>
      </c>
      <c r="N691">
        <v>4316</v>
      </c>
      <c r="O691">
        <v>234</v>
      </c>
      <c r="P691">
        <v>0</v>
      </c>
      <c r="Q691" t="s">
        <v>2414</v>
      </c>
      <c r="R691" t="s">
        <v>2415</v>
      </c>
      <c r="S691" t="s">
        <v>2416</v>
      </c>
      <c r="T691" t="s">
        <v>2417</v>
      </c>
      <c r="U691" t="s">
        <v>60</v>
      </c>
      <c r="V691" t="s">
        <v>61</v>
      </c>
      <c r="W691">
        <v>3</v>
      </c>
      <c r="X691">
        <v>0.14000000000000001</v>
      </c>
      <c r="Y691" t="s">
        <v>288</v>
      </c>
      <c r="Z691" t="s">
        <v>517</v>
      </c>
      <c r="AA691">
        <v>3</v>
      </c>
      <c r="AB691" t="s">
        <v>2066</v>
      </c>
      <c r="AC691" t="s">
        <v>2067</v>
      </c>
      <c r="AD691" t="s">
        <v>2068</v>
      </c>
      <c r="AE691" t="s">
        <v>2069</v>
      </c>
      <c r="AF691" t="s">
        <v>2070</v>
      </c>
      <c r="AG691" t="s">
        <v>322</v>
      </c>
      <c r="AH691" t="s">
        <v>191</v>
      </c>
      <c r="AI691" t="s">
        <v>322</v>
      </c>
      <c r="AJ691" t="s">
        <v>66</v>
      </c>
      <c r="AK691">
        <v>1</v>
      </c>
      <c r="AL691" t="s">
        <v>2166</v>
      </c>
      <c r="AM691" t="s">
        <v>2167</v>
      </c>
      <c r="AN691" t="s">
        <v>2268</v>
      </c>
      <c r="AO691" t="s">
        <v>66</v>
      </c>
      <c r="AP691">
        <v>1</v>
      </c>
      <c r="AQ691" t="s">
        <v>2371</v>
      </c>
      <c r="AR691" t="s">
        <v>2270</v>
      </c>
      <c r="AS691" t="s">
        <v>2372</v>
      </c>
      <c r="AT691" t="s">
        <v>66</v>
      </c>
    </row>
    <row r="692" spans="1:46" x14ac:dyDescent="0.15">
      <c r="A692" t="s">
        <v>2418</v>
      </c>
      <c r="B692" t="s">
        <v>2058</v>
      </c>
      <c r="C692" t="s">
        <v>2059</v>
      </c>
      <c r="D692">
        <v>70</v>
      </c>
      <c r="E692" t="s">
        <v>2060</v>
      </c>
      <c r="F692" t="s">
        <v>50</v>
      </c>
      <c r="G692" t="s">
        <v>51</v>
      </c>
      <c r="H692" t="s">
        <v>2061</v>
      </c>
      <c r="I692" t="s">
        <v>1553</v>
      </c>
      <c r="J692" t="s">
        <v>54</v>
      </c>
      <c r="K692" t="s">
        <v>55</v>
      </c>
      <c r="L692" t="s">
        <v>17</v>
      </c>
      <c r="M692" t="s">
        <v>16</v>
      </c>
      <c r="N692">
        <v>4372</v>
      </c>
      <c r="O692">
        <v>237</v>
      </c>
      <c r="P692">
        <v>0</v>
      </c>
      <c r="Q692" t="s">
        <v>2419</v>
      </c>
      <c r="R692" t="s">
        <v>2420</v>
      </c>
      <c r="S692" t="s">
        <v>2421</v>
      </c>
      <c r="T692" t="s">
        <v>2422</v>
      </c>
      <c r="U692" t="s">
        <v>60</v>
      </c>
      <c r="V692" t="s">
        <v>61</v>
      </c>
      <c r="W692">
        <v>3</v>
      </c>
      <c r="X692">
        <v>0.14000000000000001</v>
      </c>
      <c r="Y692" t="s">
        <v>523</v>
      </c>
      <c r="Z692" t="s">
        <v>524</v>
      </c>
      <c r="AA692">
        <v>3</v>
      </c>
      <c r="AB692" t="s">
        <v>2066</v>
      </c>
      <c r="AC692" t="s">
        <v>2067</v>
      </c>
      <c r="AD692" t="s">
        <v>2068</v>
      </c>
      <c r="AE692" t="s">
        <v>2069</v>
      </c>
      <c r="AF692" t="s">
        <v>2070</v>
      </c>
      <c r="AG692" t="s">
        <v>322</v>
      </c>
      <c r="AH692" t="s">
        <v>191</v>
      </c>
      <c r="AI692" t="s">
        <v>322</v>
      </c>
      <c r="AJ692" t="s">
        <v>66</v>
      </c>
      <c r="AK692">
        <v>1</v>
      </c>
      <c r="AL692" t="s">
        <v>2166</v>
      </c>
      <c r="AM692" t="s">
        <v>2167</v>
      </c>
      <c r="AN692" t="s">
        <v>2268</v>
      </c>
      <c r="AO692" t="s">
        <v>66</v>
      </c>
      <c r="AP692">
        <v>1</v>
      </c>
      <c r="AQ692" t="s">
        <v>2371</v>
      </c>
      <c r="AR692" t="s">
        <v>2270</v>
      </c>
      <c r="AS692" t="s">
        <v>2372</v>
      </c>
      <c r="AT692" t="s">
        <v>66</v>
      </c>
    </row>
    <row r="693" spans="1:46" x14ac:dyDescent="0.15">
      <c r="A693" t="s">
        <v>2423</v>
      </c>
      <c r="B693" t="s">
        <v>2058</v>
      </c>
      <c r="C693" t="s">
        <v>2059</v>
      </c>
      <c r="D693">
        <v>71</v>
      </c>
      <c r="E693" t="s">
        <v>2060</v>
      </c>
      <c r="F693" t="s">
        <v>50</v>
      </c>
      <c r="G693" t="s">
        <v>51</v>
      </c>
      <c r="H693" t="s">
        <v>2061</v>
      </c>
      <c r="I693" t="s">
        <v>1553</v>
      </c>
      <c r="J693" t="s">
        <v>54</v>
      </c>
      <c r="K693" t="s">
        <v>55</v>
      </c>
      <c r="L693" t="s">
        <v>17</v>
      </c>
      <c r="M693" t="s">
        <v>16</v>
      </c>
      <c r="N693">
        <v>4429</v>
      </c>
      <c r="O693">
        <v>240</v>
      </c>
      <c r="P693">
        <v>0</v>
      </c>
      <c r="Q693" t="s">
        <v>2424</v>
      </c>
      <c r="R693" t="s">
        <v>2425</v>
      </c>
      <c r="S693" t="s">
        <v>2426</v>
      </c>
      <c r="T693" t="s">
        <v>2427</v>
      </c>
      <c r="U693" t="s">
        <v>60</v>
      </c>
      <c r="V693" t="s">
        <v>61</v>
      </c>
      <c r="W693">
        <v>3</v>
      </c>
      <c r="X693">
        <v>0.14000000000000001</v>
      </c>
      <c r="Y693" t="s">
        <v>295</v>
      </c>
      <c r="Z693" t="s">
        <v>530</v>
      </c>
      <c r="AA693">
        <v>3</v>
      </c>
      <c r="AB693" t="s">
        <v>2066</v>
      </c>
      <c r="AC693" t="s">
        <v>2067</v>
      </c>
      <c r="AD693" t="s">
        <v>2068</v>
      </c>
      <c r="AE693" t="s">
        <v>2069</v>
      </c>
      <c r="AF693" t="s">
        <v>2070</v>
      </c>
      <c r="AG693" t="s">
        <v>322</v>
      </c>
      <c r="AH693" t="s">
        <v>191</v>
      </c>
      <c r="AI693" t="s">
        <v>322</v>
      </c>
      <c r="AJ693" t="s">
        <v>66</v>
      </c>
      <c r="AK693">
        <v>1</v>
      </c>
      <c r="AL693" t="s">
        <v>2166</v>
      </c>
      <c r="AM693" t="s">
        <v>2167</v>
      </c>
      <c r="AN693" t="s">
        <v>2268</v>
      </c>
      <c r="AO693" t="s">
        <v>66</v>
      </c>
      <c r="AP693">
        <v>1</v>
      </c>
      <c r="AQ693" t="s">
        <v>2371</v>
      </c>
      <c r="AR693" t="s">
        <v>2270</v>
      </c>
      <c r="AS693" t="s">
        <v>2372</v>
      </c>
      <c r="AT693" t="s">
        <v>66</v>
      </c>
    </row>
    <row r="694" spans="1:46" x14ac:dyDescent="0.15">
      <c r="A694" t="s">
        <v>2428</v>
      </c>
      <c r="B694" t="s">
        <v>2058</v>
      </c>
      <c r="C694" t="s">
        <v>2059</v>
      </c>
      <c r="D694">
        <v>72</v>
      </c>
      <c r="E694" t="s">
        <v>2060</v>
      </c>
      <c r="F694" t="s">
        <v>50</v>
      </c>
      <c r="G694" t="s">
        <v>51</v>
      </c>
      <c r="H694" t="s">
        <v>2061</v>
      </c>
      <c r="I694" t="s">
        <v>1553</v>
      </c>
      <c r="J694" t="s">
        <v>54</v>
      </c>
      <c r="K694" t="s">
        <v>55</v>
      </c>
      <c r="L694" t="s">
        <v>17</v>
      </c>
      <c r="M694" t="s">
        <v>16</v>
      </c>
      <c r="N694">
        <v>4485</v>
      </c>
      <c r="O694">
        <v>243</v>
      </c>
      <c r="P694">
        <v>0</v>
      </c>
      <c r="Q694" t="s">
        <v>2429</v>
      </c>
      <c r="R694" t="s">
        <v>2430</v>
      </c>
      <c r="S694" t="s">
        <v>2431</v>
      </c>
      <c r="T694" t="s">
        <v>2432</v>
      </c>
      <c r="U694" t="s">
        <v>60</v>
      </c>
      <c r="V694" t="s">
        <v>61</v>
      </c>
      <c r="W694">
        <v>3</v>
      </c>
      <c r="X694">
        <v>0.14000000000000001</v>
      </c>
      <c r="Y694" t="s">
        <v>536</v>
      </c>
      <c r="Z694" t="s">
        <v>537</v>
      </c>
      <c r="AA694">
        <v>3</v>
      </c>
      <c r="AB694" t="s">
        <v>2066</v>
      </c>
      <c r="AC694" t="s">
        <v>2067</v>
      </c>
      <c r="AD694" t="s">
        <v>2068</v>
      </c>
      <c r="AE694" t="s">
        <v>2069</v>
      </c>
      <c r="AF694" t="s">
        <v>2070</v>
      </c>
      <c r="AG694" t="s">
        <v>322</v>
      </c>
      <c r="AH694" t="s">
        <v>191</v>
      </c>
      <c r="AI694" t="s">
        <v>322</v>
      </c>
      <c r="AJ694" t="s">
        <v>66</v>
      </c>
      <c r="AK694">
        <v>1</v>
      </c>
      <c r="AL694" t="s">
        <v>2166</v>
      </c>
      <c r="AM694" t="s">
        <v>2167</v>
      </c>
      <c r="AN694" t="s">
        <v>2268</v>
      </c>
      <c r="AO694" t="s">
        <v>66</v>
      </c>
      <c r="AP694">
        <v>1</v>
      </c>
      <c r="AQ694" t="s">
        <v>2371</v>
      </c>
      <c r="AR694" t="s">
        <v>2270</v>
      </c>
      <c r="AS694" t="s">
        <v>2372</v>
      </c>
      <c r="AT694" t="s">
        <v>66</v>
      </c>
    </row>
    <row r="695" spans="1:46" x14ac:dyDescent="0.15">
      <c r="A695" t="s">
        <v>2433</v>
      </c>
      <c r="B695" t="s">
        <v>2058</v>
      </c>
      <c r="C695" t="s">
        <v>2059</v>
      </c>
      <c r="D695">
        <v>73</v>
      </c>
      <c r="E695" t="s">
        <v>2060</v>
      </c>
      <c r="F695" t="s">
        <v>50</v>
      </c>
      <c r="G695" t="s">
        <v>51</v>
      </c>
      <c r="H695" t="s">
        <v>2061</v>
      </c>
      <c r="I695" t="s">
        <v>1553</v>
      </c>
      <c r="J695" t="s">
        <v>54</v>
      </c>
      <c r="K695" t="s">
        <v>55</v>
      </c>
      <c r="L695" t="s">
        <v>17</v>
      </c>
      <c r="M695" t="s">
        <v>16</v>
      </c>
      <c r="N695">
        <v>4541</v>
      </c>
      <c r="O695">
        <v>246</v>
      </c>
      <c r="P695">
        <v>0</v>
      </c>
      <c r="Q695" t="s">
        <v>2434</v>
      </c>
      <c r="R695" t="s">
        <v>2435</v>
      </c>
      <c r="S695" t="s">
        <v>2436</v>
      </c>
      <c r="T695" t="s">
        <v>2437</v>
      </c>
      <c r="U695" t="s">
        <v>60</v>
      </c>
      <c r="V695" t="s">
        <v>61</v>
      </c>
      <c r="W695">
        <v>3</v>
      </c>
      <c r="X695">
        <v>0.14000000000000001</v>
      </c>
      <c r="Y695" t="s">
        <v>301</v>
      </c>
      <c r="Z695" t="s">
        <v>543</v>
      </c>
      <c r="AA695">
        <v>3</v>
      </c>
      <c r="AB695" t="s">
        <v>2066</v>
      </c>
      <c r="AC695" t="s">
        <v>2067</v>
      </c>
      <c r="AD695" t="s">
        <v>2068</v>
      </c>
      <c r="AE695" t="s">
        <v>2069</v>
      </c>
      <c r="AF695" t="s">
        <v>2070</v>
      </c>
      <c r="AG695" t="s">
        <v>322</v>
      </c>
      <c r="AH695" t="s">
        <v>191</v>
      </c>
      <c r="AI695" t="s">
        <v>322</v>
      </c>
      <c r="AJ695" t="s">
        <v>66</v>
      </c>
      <c r="AK695">
        <v>1</v>
      </c>
      <c r="AL695" t="s">
        <v>2166</v>
      </c>
      <c r="AM695" t="s">
        <v>2167</v>
      </c>
      <c r="AN695" t="s">
        <v>2268</v>
      </c>
      <c r="AO695" t="s">
        <v>66</v>
      </c>
      <c r="AP695">
        <v>1</v>
      </c>
      <c r="AQ695" t="s">
        <v>2371</v>
      </c>
      <c r="AR695" t="s">
        <v>2270</v>
      </c>
      <c r="AS695" t="s">
        <v>2372</v>
      </c>
      <c r="AT695" t="s">
        <v>66</v>
      </c>
    </row>
    <row r="696" spans="1:46" x14ac:dyDescent="0.15">
      <c r="A696" t="s">
        <v>2438</v>
      </c>
      <c r="B696" t="s">
        <v>2058</v>
      </c>
      <c r="C696" t="s">
        <v>2059</v>
      </c>
      <c r="D696">
        <v>74</v>
      </c>
      <c r="E696" t="s">
        <v>2060</v>
      </c>
      <c r="F696" t="s">
        <v>50</v>
      </c>
      <c r="G696" t="s">
        <v>51</v>
      </c>
      <c r="H696" t="s">
        <v>2061</v>
      </c>
      <c r="I696" t="s">
        <v>1553</v>
      </c>
      <c r="J696" t="s">
        <v>54</v>
      </c>
      <c r="K696" t="s">
        <v>55</v>
      </c>
      <c r="L696" t="s">
        <v>17</v>
      </c>
      <c r="M696" t="s">
        <v>16</v>
      </c>
      <c r="N696">
        <v>4597</v>
      </c>
      <c r="O696">
        <v>249</v>
      </c>
      <c r="P696">
        <v>0</v>
      </c>
      <c r="Q696" t="s">
        <v>2439</v>
      </c>
      <c r="R696" t="s">
        <v>2440</v>
      </c>
      <c r="S696" t="s">
        <v>2441</v>
      </c>
      <c r="T696" t="s">
        <v>2442</v>
      </c>
      <c r="U696" t="s">
        <v>60</v>
      </c>
      <c r="V696" t="s">
        <v>61</v>
      </c>
      <c r="W696">
        <v>3</v>
      </c>
      <c r="X696">
        <v>0.14000000000000001</v>
      </c>
      <c r="Y696" t="s">
        <v>549</v>
      </c>
      <c r="Z696" t="s">
        <v>550</v>
      </c>
      <c r="AA696">
        <v>3</v>
      </c>
      <c r="AB696" t="s">
        <v>2066</v>
      </c>
      <c r="AC696" t="s">
        <v>2067</v>
      </c>
      <c r="AD696" t="s">
        <v>2068</v>
      </c>
      <c r="AE696" t="s">
        <v>2069</v>
      </c>
      <c r="AF696" t="s">
        <v>2070</v>
      </c>
      <c r="AG696" t="s">
        <v>322</v>
      </c>
      <c r="AH696" t="s">
        <v>191</v>
      </c>
      <c r="AI696" t="s">
        <v>322</v>
      </c>
      <c r="AJ696" t="s">
        <v>66</v>
      </c>
      <c r="AK696">
        <v>1</v>
      </c>
      <c r="AL696" t="s">
        <v>2166</v>
      </c>
      <c r="AM696" t="s">
        <v>2167</v>
      </c>
      <c r="AN696" t="s">
        <v>2268</v>
      </c>
      <c r="AO696" t="s">
        <v>66</v>
      </c>
      <c r="AP696">
        <v>1</v>
      </c>
      <c r="AQ696" t="s">
        <v>2371</v>
      </c>
      <c r="AR696" t="s">
        <v>2270</v>
      </c>
      <c r="AS696" t="s">
        <v>2372</v>
      </c>
      <c r="AT696" t="s">
        <v>66</v>
      </c>
    </row>
    <row r="697" spans="1:46" x14ac:dyDescent="0.15">
      <c r="A697" t="s">
        <v>2443</v>
      </c>
      <c r="B697" t="s">
        <v>2058</v>
      </c>
      <c r="C697" t="s">
        <v>2059</v>
      </c>
      <c r="D697">
        <v>75</v>
      </c>
      <c r="E697" t="s">
        <v>2060</v>
      </c>
      <c r="F697" t="s">
        <v>50</v>
      </c>
      <c r="G697" t="s">
        <v>51</v>
      </c>
      <c r="H697" t="s">
        <v>2061</v>
      </c>
      <c r="I697" t="s">
        <v>1553</v>
      </c>
      <c r="J697" t="s">
        <v>54</v>
      </c>
      <c r="K697" t="s">
        <v>55</v>
      </c>
      <c r="L697" t="s">
        <v>17</v>
      </c>
      <c r="M697" t="s">
        <v>16</v>
      </c>
      <c r="N697">
        <v>4653</v>
      </c>
      <c r="O697">
        <v>252</v>
      </c>
      <c r="P697">
        <v>0</v>
      </c>
      <c r="Q697" t="s">
        <v>2444</v>
      </c>
      <c r="R697" t="s">
        <v>2445</v>
      </c>
      <c r="S697" t="s">
        <v>2446</v>
      </c>
      <c r="T697" t="s">
        <v>2447</v>
      </c>
      <c r="U697" t="s">
        <v>60</v>
      </c>
      <c r="V697" t="s">
        <v>61</v>
      </c>
      <c r="W697">
        <v>3</v>
      </c>
      <c r="X697">
        <v>0.14000000000000001</v>
      </c>
      <c r="Y697" t="s">
        <v>308</v>
      </c>
      <c r="Z697" t="s">
        <v>556</v>
      </c>
      <c r="AA697">
        <v>3</v>
      </c>
      <c r="AB697" t="s">
        <v>2066</v>
      </c>
      <c r="AC697" t="s">
        <v>2067</v>
      </c>
      <c r="AD697" t="s">
        <v>2068</v>
      </c>
      <c r="AE697" t="s">
        <v>2069</v>
      </c>
      <c r="AF697" t="s">
        <v>2070</v>
      </c>
      <c r="AG697" t="s">
        <v>322</v>
      </c>
      <c r="AH697" t="s">
        <v>191</v>
      </c>
      <c r="AI697" t="s">
        <v>322</v>
      </c>
      <c r="AJ697" t="s">
        <v>66</v>
      </c>
      <c r="AK697">
        <v>1</v>
      </c>
      <c r="AL697" t="s">
        <v>2166</v>
      </c>
      <c r="AM697" t="s">
        <v>2167</v>
      </c>
      <c r="AN697" t="s">
        <v>2268</v>
      </c>
      <c r="AO697" t="s">
        <v>66</v>
      </c>
      <c r="AP697">
        <v>1</v>
      </c>
      <c r="AQ697" t="s">
        <v>2371</v>
      </c>
      <c r="AR697" t="s">
        <v>2270</v>
      </c>
      <c r="AS697" t="s">
        <v>2372</v>
      </c>
      <c r="AT697" t="s">
        <v>66</v>
      </c>
    </row>
    <row r="698" spans="1:46" x14ac:dyDescent="0.15">
      <c r="A698" t="s">
        <v>2448</v>
      </c>
      <c r="B698" t="s">
        <v>2058</v>
      </c>
      <c r="C698" t="s">
        <v>2059</v>
      </c>
      <c r="D698">
        <v>76</v>
      </c>
      <c r="E698" t="s">
        <v>2060</v>
      </c>
      <c r="F698" t="s">
        <v>50</v>
      </c>
      <c r="G698" t="s">
        <v>51</v>
      </c>
      <c r="H698" t="s">
        <v>2061</v>
      </c>
      <c r="I698" t="s">
        <v>1553</v>
      </c>
      <c r="J698" t="s">
        <v>54</v>
      </c>
      <c r="K698" t="s">
        <v>55</v>
      </c>
      <c r="L698" t="s">
        <v>17</v>
      </c>
      <c r="M698" t="s">
        <v>16</v>
      </c>
      <c r="N698">
        <v>4709</v>
      </c>
      <c r="O698">
        <v>255</v>
      </c>
      <c r="P698">
        <v>0</v>
      </c>
      <c r="Q698" t="s">
        <v>2449</v>
      </c>
      <c r="R698" t="s">
        <v>2450</v>
      </c>
      <c r="S698" t="s">
        <v>2451</v>
      </c>
      <c r="T698" t="s">
        <v>2452</v>
      </c>
      <c r="U698" t="s">
        <v>60</v>
      </c>
      <c r="V698" t="s">
        <v>61</v>
      </c>
      <c r="W698">
        <v>3</v>
      </c>
      <c r="X698">
        <v>0.14000000000000001</v>
      </c>
      <c r="Y698" t="s">
        <v>562</v>
      </c>
      <c r="Z698" t="s">
        <v>563</v>
      </c>
      <c r="AA698">
        <v>3</v>
      </c>
      <c r="AB698" t="s">
        <v>2066</v>
      </c>
      <c r="AC698" t="s">
        <v>2067</v>
      </c>
      <c r="AD698" t="s">
        <v>2068</v>
      </c>
      <c r="AE698" t="s">
        <v>2069</v>
      </c>
      <c r="AF698" t="s">
        <v>2070</v>
      </c>
      <c r="AG698" t="s">
        <v>322</v>
      </c>
      <c r="AH698" t="s">
        <v>191</v>
      </c>
      <c r="AI698" t="s">
        <v>322</v>
      </c>
      <c r="AJ698" t="s">
        <v>66</v>
      </c>
      <c r="AK698">
        <v>1</v>
      </c>
      <c r="AL698" t="s">
        <v>2166</v>
      </c>
      <c r="AM698" t="s">
        <v>2167</v>
      </c>
      <c r="AN698" t="s">
        <v>2268</v>
      </c>
      <c r="AO698" t="s">
        <v>66</v>
      </c>
      <c r="AP698">
        <v>1</v>
      </c>
      <c r="AQ698" t="s">
        <v>2371</v>
      </c>
      <c r="AR698" t="s">
        <v>2270</v>
      </c>
      <c r="AS698" t="s">
        <v>2372</v>
      </c>
      <c r="AT698" t="s">
        <v>66</v>
      </c>
    </row>
    <row r="699" spans="1:46" x14ac:dyDescent="0.15">
      <c r="A699" t="s">
        <v>2453</v>
      </c>
      <c r="B699" t="s">
        <v>2058</v>
      </c>
      <c r="C699" t="s">
        <v>2059</v>
      </c>
      <c r="D699">
        <v>77</v>
      </c>
      <c r="E699" t="s">
        <v>2060</v>
      </c>
      <c r="F699" t="s">
        <v>50</v>
      </c>
      <c r="G699" t="s">
        <v>51</v>
      </c>
      <c r="H699" t="s">
        <v>2061</v>
      </c>
      <c r="I699" t="s">
        <v>1553</v>
      </c>
      <c r="J699" t="s">
        <v>54</v>
      </c>
      <c r="K699" t="s">
        <v>55</v>
      </c>
      <c r="L699" t="s">
        <v>17</v>
      </c>
      <c r="M699" t="s">
        <v>16</v>
      </c>
      <c r="N699">
        <v>4765</v>
      </c>
      <c r="O699">
        <v>258</v>
      </c>
      <c r="P699">
        <v>0</v>
      </c>
      <c r="Q699" t="s">
        <v>2454</v>
      </c>
      <c r="R699" t="s">
        <v>2455</v>
      </c>
      <c r="S699" t="s">
        <v>2456</v>
      </c>
      <c r="T699" t="s">
        <v>2457</v>
      </c>
      <c r="U699" t="s">
        <v>60</v>
      </c>
      <c r="V699" t="s">
        <v>61</v>
      </c>
      <c r="W699">
        <v>3</v>
      </c>
      <c r="X699">
        <v>0.14000000000000001</v>
      </c>
      <c r="Y699" t="s">
        <v>314</v>
      </c>
      <c r="Z699" t="s">
        <v>569</v>
      </c>
      <c r="AA699">
        <v>3</v>
      </c>
      <c r="AB699" t="s">
        <v>2066</v>
      </c>
      <c r="AC699" t="s">
        <v>2067</v>
      </c>
      <c r="AD699" t="s">
        <v>2068</v>
      </c>
      <c r="AE699" t="s">
        <v>2069</v>
      </c>
      <c r="AF699" t="s">
        <v>2070</v>
      </c>
      <c r="AG699" t="s">
        <v>322</v>
      </c>
      <c r="AH699" t="s">
        <v>191</v>
      </c>
      <c r="AI699" t="s">
        <v>322</v>
      </c>
      <c r="AJ699" t="s">
        <v>66</v>
      </c>
      <c r="AK699">
        <v>1</v>
      </c>
      <c r="AL699" t="s">
        <v>2166</v>
      </c>
      <c r="AM699" t="s">
        <v>2167</v>
      </c>
      <c r="AN699" t="s">
        <v>2268</v>
      </c>
      <c r="AO699" t="s">
        <v>66</v>
      </c>
      <c r="AP699">
        <v>1</v>
      </c>
      <c r="AQ699" t="s">
        <v>2371</v>
      </c>
      <c r="AR699" t="s">
        <v>2270</v>
      </c>
      <c r="AS699" t="s">
        <v>2372</v>
      </c>
      <c r="AT699" t="s">
        <v>66</v>
      </c>
    </row>
    <row r="700" spans="1:46" x14ac:dyDescent="0.15">
      <c r="A700" t="s">
        <v>2458</v>
      </c>
      <c r="B700" t="s">
        <v>2058</v>
      </c>
      <c r="C700" t="s">
        <v>2059</v>
      </c>
      <c r="D700">
        <v>78</v>
      </c>
      <c r="E700" t="s">
        <v>2060</v>
      </c>
      <c r="F700" t="s">
        <v>50</v>
      </c>
      <c r="G700" t="s">
        <v>51</v>
      </c>
      <c r="H700" t="s">
        <v>2061</v>
      </c>
      <c r="I700" t="s">
        <v>1553</v>
      </c>
      <c r="J700" t="s">
        <v>54</v>
      </c>
      <c r="K700" t="s">
        <v>55</v>
      </c>
      <c r="L700" t="s">
        <v>17</v>
      </c>
      <c r="M700" t="s">
        <v>16</v>
      </c>
      <c r="N700">
        <v>4821</v>
      </c>
      <c r="O700">
        <v>261</v>
      </c>
      <c r="P700">
        <v>0</v>
      </c>
      <c r="Q700" t="s">
        <v>2459</v>
      </c>
      <c r="R700" t="s">
        <v>2460</v>
      </c>
      <c r="S700" t="s">
        <v>2461</v>
      </c>
      <c r="T700" t="s">
        <v>2462</v>
      </c>
      <c r="U700" t="s">
        <v>60</v>
      </c>
      <c r="V700" t="s">
        <v>61</v>
      </c>
      <c r="W700">
        <v>3</v>
      </c>
      <c r="X700">
        <v>0.14000000000000001</v>
      </c>
      <c r="Y700" t="s">
        <v>575</v>
      </c>
      <c r="Z700" t="s">
        <v>576</v>
      </c>
      <c r="AA700">
        <v>3</v>
      </c>
      <c r="AB700" t="s">
        <v>2066</v>
      </c>
      <c r="AC700" t="s">
        <v>2067</v>
      </c>
      <c r="AD700" t="s">
        <v>2068</v>
      </c>
      <c r="AE700" t="s">
        <v>2069</v>
      </c>
      <c r="AF700" t="s">
        <v>2070</v>
      </c>
      <c r="AG700" t="s">
        <v>322</v>
      </c>
      <c r="AH700" t="s">
        <v>191</v>
      </c>
      <c r="AI700" t="s">
        <v>322</v>
      </c>
      <c r="AJ700" t="s">
        <v>66</v>
      </c>
      <c r="AK700">
        <v>1</v>
      </c>
      <c r="AL700" t="s">
        <v>2166</v>
      </c>
      <c r="AM700" t="s">
        <v>2167</v>
      </c>
      <c r="AN700" t="s">
        <v>2268</v>
      </c>
      <c r="AO700" t="s">
        <v>66</v>
      </c>
      <c r="AP700">
        <v>1</v>
      </c>
      <c r="AQ700" t="s">
        <v>2371</v>
      </c>
      <c r="AR700" t="s">
        <v>2270</v>
      </c>
      <c r="AS700" t="s">
        <v>2372</v>
      </c>
      <c r="AT700" t="s">
        <v>66</v>
      </c>
    </row>
    <row r="701" spans="1:46" x14ac:dyDescent="0.15">
      <c r="A701" t="s">
        <v>2463</v>
      </c>
      <c r="B701" t="s">
        <v>2058</v>
      </c>
      <c r="C701" t="s">
        <v>2059</v>
      </c>
      <c r="D701">
        <v>79</v>
      </c>
      <c r="E701" t="s">
        <v>2060</v>
      </c>
      <c r="F701" t="s">
        <v>50</v>
      </c>
      <c r="G701" t="s">
        <v>51</v>
      </c>
      <c r="H701" t="s">
        <v>2061</v>
      </c>
      <c r="I701" t="s">
        <v>1553</v>
      </c>
      <c r="J701" t="s">
        <v>54</v>
      </c>
      <c r="K701" t="s">
        <v>55</v>
      </c>
      <c r="L701" t="s">
        <v>17</v>
      </c>
      <c r="M701" t="s">
        <v>16</v>
      </c>
      <c r="N701">
        <v>4878</v>
      </c>
      <c r="O701">
        <v>264</v>
      </c>
      <c r="P701">
        <v>0</v>
      </c>
      <c r="Q701" t="s">
        <v>2464</v>
      </c>
      <c r="R701" t="s">
        <v>2465</v>
      </c>
      <c r="S701" t="s">
        <v>2466</v>
      </c>
      <c r="T701" t="s">
        <v>2467</v>
      </c>
      <c r="U701" t="s">
        <v>60</v>
      </c>
      <c r="V701" t="s">
        <v>61</v>
      </c>
      <c r="W701">
        <v>3</v>
      </c>
      <c r="X701">
        <v>0.14000000000000001</v>
      </c>
      <c r="Y701" t="s">
        <v>321</v>
      </c>
      <c r="Z701" t="s">
        <v>582</v>
      </c>
      <c r="AA701">
        <v>3</v>
      </c>
      <c r="AB701" t="s">
        <v>2066</v>
      </c>
      <c r="AC701" t="s">
        <v>2067</v>
      </c>
      <c r="AD701" t="s">
        <v>2068</v>
      </c>
      <c r="AE701" t="s">
        <v>2069</v>
      </c>
      <c r="AF701" t="s">
        <v>2070</v>
      </c>
      <c r="AG701" t="s">
        <v>322</v>
      </c>
      <c r="AH701" t="s">
        <v>191</v>
      </c>
      <c r="AI701" t="s">
        <v>322</v>
      </c>
      <c r="AJ701" t="s">
        <v>66</v>
      </c>
      <c r="AK701">
        <v>1</v>
      </c>
      <c r="AL701" t="s">
        <v>2166</v>
      </c>
      <c r="AM701" t="s">
        <v>2167</v>
      </c>
      <c r="AN701" t="s">
        <v>2268</v>
      </c>
      <c r="AO701" t="s">
        <v>66</v>
      </c>
      <c r="AP701">
        <v>1</v>
      </c>
      <c r="AQ701" t="s">
        <v>2371</v>
      </c>
      <c r="AR701" t="s">
        <v>2270</v>
      </c>
      <c r="AS701" t="s">
        <v>2372</v>
      </c>
      <c r="AT701" t="s">
        <v>66</v>
      </c>
    </row>
    <row r="702" spans="1:46" x14ac:dyDescent="0.15">
      <c r="A702" t="s">
        <v>2468</v>
      </c>
      <c r="B702" t="s">
        <v>2058</v>
      </c>
      <c r="C702" t="s">
        <v>2059</v>
      </c>
      <c r="D702">
        <v>80</v>
      </c>
      <c r="E702" t="s">
        <v>2060</v>
      </c>
      <c r="F702" t="s">
        <v>50</v>
      </c>
      <c r="G702" t="s">
        <v>51</v>
      </c>
      <c r="H702" t="s">
        <v>2061</v>
      </c>
      <c r="I702" t="s">
        <v>1553</v>
      </c>
      <c r="J702" t="s">
        <v>54</v>
      </c>
      <c r="K702" t="s">
        <v>55</v>
      </c>
      <c r="L702" t="s">
        <v>17</v>
      </c>
      <c r="M702" t="s">
        <v>16</v>
      </c>
      <c r="N702">
        <v>4934</v>
      </c>
      <c r="O702">
        <v>267</v>
      </c>
      <c r="P702">
        <v>0</v>
      </c>
      <c r="Q702" t="s">
        <v>2469</v>
      </c>
      <c r="R702" t="s">
        <v>2470</v>
      </c>
      <c r="S702" t="s">
        <v>2471</v>
      </c>
      <c r="T702" t="s">
        <v>2472</v>
      </c>
      <c r="U702" t="s">
        <v>60</v>
      </c>
      <c r="V702" t="s">
        <v>61</v>
      </c>
      <c r="W702">
        <v>3</v>
      </c>
      <c r="X702">
        <v>0.14000000000000001</v>
      </c>
      <c r="Y702" t="s">
        <v>588</v>
      </c>
      <c r="Z702" t="s">
        <v>589</v>
      </c>
      <c r="AA702">
        <v>3</v>
      </c>
      <c r="AB702" t="s">
        <v>2066</v>
      </c>
      <c r="AC702" t="s">
        <v>2067</v>
      </c>
      <c r="AD702" t="s">
        <v>2068</v>
      </c>
      <c r="AE702" t="s">
        <v>2069</v>
      </c>
      <c r="AF702" t="s">
        <v>2070</v>
      </c>
      <c r="AG702" t="s">
        <v>322</v>
      </c>
      <c r="AH702" t="s">
        <v>191</v>
      </c>
      <c r="AI702" t="s">
        <v>322</v>
      </c>
      <c r="AJ702" t="s">
        <v>66</v>
      </c>
      <c r="AK702">
        <v>1</v>
      </c>
      <c r="AL702" t="s">
        <v>2166</v>
      </c>
      <c r="AM702" t="s">
        <v>2167</v>
      </c>
      <c r="AN702" t="s">
        <v>2268</v>
      </c>
      <c r="AO702" t="s">
        <v>66</v>
      </c>
      <c r="AP702">
        <v>1</v>
      </c>
      <c r="AQ702" t="s">
        <v>2371</v>
      </c>
      <c r="AR702" t="s">
        <v>2270</v>
      </c>
      <c r="AS702" t="s">
        <v>2372</v>
      </c>
      <c r="AT702" t="s">
        <v>66</v>
      </c>
    </row>
    <row r="703" spans="1:46" x14ac:dyDescent="0.15">
      <c r="A703" t="s">
        <v>2468</v>
      </c>
      <c r="B703" t="s">
        <v>2058</v>
      </c>
      <c r="C703" t="s">
        <v>2059</v>
      </c>
      <c r="D703">
        <v>80</v>
      </c>
      <c r="E703" t="s">
        <v>2060</v>
      </c>
      <c r="F703" t="s">
        <v>50</v>
      </c>
      <c r="G703" t="s">
        <v>51</v>
      </c>
      <c r="H703" t="s">
        <v>2061</v>
      </c>
      <c r="I703" t="s">
        <v>1553</v>
      </c>
      <c r="J703" t="s">
        <v>54</v>
      </c>
      <c r="K703" t="s">
        <v>55</v>
      </c>
      <c r="L703" t="s">
        <v>17</v>
      </c>
      <c r="M703" t="s">
        <v>16</v>
      </c>
      <c r="N703">
        <v>4934</v>
      </c>
      <c r="O703">
        <v>267</v>
      </c>
      <c r="P703">
        <v>0</v>
      </c>
      <c r="Q703" t="s">
        <v>2469</v>
      </c>
      <c r="R703" t="s">
        <v>2470</v>
      </c>
      <c r="S703" t="s">
        <v>2471</v>
      </c>
      <c r="T703" t="s">
        <v>2472</v>
      </c>
      <c r="U703" t="s">
        <v>60</v>
      </c>
      <c r="V703" t="s">
        <v>61</v>
      </c>
      <c r="W703">
        <v>3</v>
      </c>
      <c r="X703">
        <v>0.14000000000000001</v>
      </c>
      <c r="Y703" t="s">
        <v>588</v>
      </c>
      <c r="Z703" t="s">
        <v>589</v>
      </c>
      <c r="AA703">
        <v>4</v>
      </c>
      <c r="AB703" t="s">
        <v>2066</v>
      </c>
      <c r="AC703" t="s">
        <v>2067</v>
      </c>
      <c r="AD703" t="s">
        <v>2068</v>
      </c>
      <c r="AE703" t="s">
        <v>2069</v>
      </c>
      <c r="AF703" t="s">
        <v>2070</v>
      </c>
      <c r="AG703" t="s">
        <v>322</v>
      </c>
      <c r="AH703" t="s">
        <v>191</v>
      </c>
      <c r="AI703" t="s">
        <v>322</v>
      </c>
      <c r="AJ703" t="s">
        <v>590</v>
      </c>
      <c r="AK703">
        <v>1</v>
      </c>
      <c r="AL703" t="s">
        <v>2166</v>
      </c>
      <c r="AM703" t="s">
        <v>2167</v>
      </c>
      <c r="AN703" t="s">
        <v>2268</v>
      </c>
      <c r="AO703" t="s">
        <v>66</v>
      </c>
      <c r="AP703">
        <v>1</v>
      </c>
      <c r="AQ703" t="s">
        <v>2371</v>
      </c>
      <c r="AR703" t="s">
        <v>2270</v>
      </c>
      <c r="AS703" t="s">
        <v>2372</v>
      </c>
      <c r="AT703" t="s">
        <v>66</v>
      </c>
    </row>
    <row r="704" spans="1:46" x14ac:dyDescent="0.15">
      <c r="A704" t="s">
        <v>2473</v>
      </c>
      <c r="B704" t="s">
        <v>2058</v>
      </c>
      <c r="C704" t="s">
        <v>2059</v>
      </c>
      <c r="D704">
        <v>81</v>
      </c>
      <c r="E704" t="s">
        <v>2060</v>
      </c>
      <c r="F704" t="s">
        <v>50</v>
      </c>
      <c r="G704" t="s">
        <v>51</v>
      </c>
      <c r="H704" t="s">
        <v>2061</v>
      </c>
      <c r="I704" t="s">
        <v>1553</v>
      </c>
      <c r="J704" t="s">
        <v>54</v>
      </c>
      <c r="K704" t="s">
        <v>55</v>
      </c>
      <c r="L704" t="s">
        <v>17</v>
      </c>
      <c r="M704" t="s">
        <v>16</v>
      </c>
      <c r="N704">
        <v>4990</v>
      </c>
      <c r="O704">
        <v>270</v>
      </c>
      <c r="P704">
        <v>0</v>
      </c>
      <c r="Q704" t="s">
        <v>2474</v>
      </c>
      <c r="R704" t="s">
        <v>2475</v>
      </c>
      <c r="S704" t="s">
        <v>2476</v>
      </c>
      <c r="T704" t="s">
        <v>2477</v>
      </c>
      <c r="U704" t="s">
        <v>60</v>
      </c>
      <c r="V704" t="s">
        <v>61</v>
      </c>
      <c r="W704">
        <v>3</v>
      </c>
      <c r="X704">
        <v>0.14000000000000001</v>
      </c>
      <c r="Y704" t="s">
        <v>330</v>
      </c>
      <c r="Z704" t="s">
        <v>596</v>
      </c>
      <c r="AA704">
        <v>4</v>
      </c>
      <c r="AB704" t="s">
        <v>2066</v>
      </c>
      <c r="AC704" t="s">
        <v>2067</v>
      </c>
      <c r="AD704" t="s">
        <v>2068</v>
      </c>
      <c r="AE704" t="s">
        <v>2069</v>
      </c>
      <c r="AF704" t="s">
        <v>2070</v>
      </c>
      <c r="AG704" t="s">
        <v>322</v>
      </c>
      <c r="AH704" t="s">
        <v>191</v>
      </c>
      <c r="AI704" t="s">
        <v>322</v>
      </c>
      <c r="AJ704" t="s">
        <v>590</v>
      </c>
      <c r="AK704">
        <v>1</v>
      </c>
      <c r="AL704" t="s">
        <v>2166</v>
      </c>
      <c r="AM704" t="s">
        <v>2167</v>
      </c>
      <c r="AN704" t="s">
        <v>2268</v>
      </c>
      <c r="AO704" t="s">
        <v>66</v>
      </c>
      <c r="AP704">
        <v>1</v>
      </c>
      <c r="AQ704" t="s">
        <v>2371</v>
      </c>
      <c r="AR704" t="s">
        <v>2270</v>
      </c>
      <c r="AS704" t="s">
        <v>2372</v>
      </c>
      <c r="AT704" t="s">
        <v>66</v>
      </c>
    </row>
    <row r="705" spans="1:46" x14ac:dyDescent="0.15">
      <c r="A705" t="s">
        <v>2478</v>
      </c>
      <c r="B705" t="s">
        <v>2058</v>
      </c>
      <c r="C705" t="s">
        <v>2059</v>
      </c>
      <c r="D705">
        <v>82</v>
      </c>
      <c r="E705" t="s">
        <v>2060</v>
      </c>
      <c r="F705" t="s">
        <v>50</v>
      </c>
      <c r="G705" t="s">
        <v>51</v>
      </c>
      <c r="H705" t="s">
        <v>2061</v>
      </c>
      <c r="I705" t="s">
        <v>1553</v>
      </c>
      <c r="J705" t="s">
        <v>54</v>
      </c>
      <c r="K705" t="s">
        <v>55</v>
      </c>
      <c r="L705" t="s">
        <v>17</v>
      </c>
      <c r="M705" t="s">
        <v>16</v>
      </c>
      <c r="N705">
        <v>5046</v>
      </c>
      <c r="O705">
        <v>273</v>
      </c>
      <c r="P705">
        <v>0</v>
      </c>
      <c r="Q705" t="s">
        <v>2479</v>
      </c>
      <c r="R705" t="s">
        <v>2480</v>
      </c>
      <c r="S705" t="s">
        <v>2481</v>
      </c>
      <c r="T705" t="s">
        <v>2482</v>
      </c>
      <c r="U705" t="s">
        <v>60</v>
      </c>
      <c r="V705" t="s">
        <v>61</v>
      </c>
      <c r="W705">
        <v>3</v>
      </c>
      <c r="X705">
        <v>0.14000000000000001</v>
      </c>
      <c r="Y705" t="s">
        <v>602</v>
      </c>
      <c r="Z705" t="s">
        <v>603</v>
      </c>
      <c r="AA705">
        <v>4</v>
      </c>
      <c r="AB705" t="s">
        <v>2066</v>
      </c>
      <c r="AC705" t="s">
        <v>2067</v>
      </c>
      <c r="AD705" t="s">
        <v>2068</v>
      </c>
      <c r="AE705" t="s">
        <v>2069</v>
      </c>
      <c r="AF705" t="s">
        <v>2070</v>
      </c>
      <c r="AG705" t="s">
        <v>322</v>
      </c>
      <c r="AH705" t="s">
        <v>191</v>
      </c>
      <c r="AI705" t="s">
        <v>322</v>
      </c>
      <c r="AJ705" t="s">
        <v>590</v>
      </c>
      <c r="AK705">
        <v>1</v>
      </c>
      <c r="AL705" t="s">
        <v>2166</v>
      </c>
      <c r="AM705" t="s">
        <v>2167</v>
      </c>
      <c r="AN705" t="s">
        <v>2268</v>
      </c>
      <c r="AO705" t="s">
        <v>66</v>
      </c>
      <c r="AP705">
        <v>1</v>
      </c>
      <c r="AQ705" t="s">
        <v>2371</v>
      </c>
      <c r="AR705" t="s">
        <v>2270</v>
      </c>
      <c r="AS705" t="s">
        <v>2372</v>
      </c>
      <c r="AT705" t="s">
        <v>66</v>
      </c>
    </row>
    <row r="706" spans="1:46" x14ac:dyDescent="0.15">
      <c r="A706" t="s">
        <v>2483</v>
      </c>
      <c r="B706" t="s">
        <v>2058</v>
      </c>
      <c r="C706" t="s">
        <v>2059</v>
      </c>
      <c r="D706">
        <v>83</v>
      </c>
      <c r="E706" t="s">
        <v>2060</v>
      </c>
      <c r="F706" t="s">
        <v>50</v>
      </c>
      <c r="G706" t="s">
        <v>51</v>
      </c>
      <c r="H706" t="s">
        <v>2061</v>
      </c>
      <c r="I706" t="s">
        <v>1553</v>
      </c>
      <c r="J706" t="s">
        <v>54</v>
      </c>
      <c r="K706" t="s">
        <v>55</v>
      </c>
      <c r="L706" t="s">
        <v>17</v>
      </c>
      <c r="M706" t="s">
        <v>16</v>
      </c>
      <c r="N706">
        <v>5102</v>
      </c>
      <c r="O706">
        <v>276</v>
      </c>
      <c r="P706">
        <v>0</v>
      </c>
      <c r="Q706" t="s">
        <v>2484</v>
      </c>
      <c r="R706" t="s">
        <v>2485</v>
      </c>
      <c r="S706" t="s">
        <v>2486</v>
      </c>
      <c r="T706" t="s">
        <v>2487</v>
      </c>
      <c r="U706" t="s">
        <v>60</v>
      </c>
      <c r="V706" t="s">
        <v>61</v>
      </c>
      <c r="W706">
        <v>3</v>
      </c>
      <c r="X706">
        <v>0.14000000000000001</v>
      </c>
      <c r="Y706" t="s">
        <v>337</v>
      </c>
      <c r="Z706" t="s">
        <v>609</v>
      </c>
      <c r="AA706">
        <v>4</v>
      </c>
      <c r="AB706" t="s">
        <v>2066</v>
      </c>
      <c r="AC706" t="s">
        <v>2067</v>
      </c>
      <c r="AD706" t="s">
        <v>2068</v>
      </c>
      <c r="AE706" t="s">
        <v>2069</v>
      </c>
      <c r="AF706" t="s">
        <v>2070</v>
      </c>
      <c r="AG706" t="s">
        <v>322</v>
      </c>
      <c r="AH706" t="s">
        <v>191</v>
      </c>
      <c r="AI706" t="s">
        <v>322</v>
      </c>
      <c r="AJ706" t="s">
        <v>590</v>
      </c>
      <c r="AK706">
        <v>1</v>
      </c>
      <c r="AL706" t="s">
        <v>2166</v>
      </c>
      <c r="AM706" t="s">
        <v>2167</v>
      </c>
      <c r="AN706" t="s">
        <v>2268</v>
      </c>
      <c r="AO706" t="s">
        <v>66</v>
      </c>
      <c r="AP706">
        <v>1</v>
      </c>
      <c r="AQ706" t="s">
        <v>2371</v>
      </c>
      <c r="AR706" t="s">
        <v>2270</v>
      </c>
      <c r="AS706" t="s">
        <v>2372</v>
      </c>
      <c r="AT706" t="s">
        <v>66</v>
      </c>
    </row>
    <row r="707" spans="1:46" x14ac:dyDescent="0.15">
      <c r="A707" t="s">
        <v>2488</v>
      </c>
      <c r="B707" t="s">
        <v>2058</v>
      </c>
      <c r="C707" t="s">
        <v>2059</v>
      </c>
      <c r="D707">
        <v>84</v>
      </c>
      <c r="E707" t="s">
        <v>2060</v>
      </c>
      <c r="F707" t="s">
        <v>50</v>
      </c>
      <c r="G707" t="s">
        <v>51</v>
      </c>
      <c r="H707" t="s">
        <v>2061</v>
      </c>
      <c r="I707" t="s">
        <v>1553</v>
      </c>
      <c r="J707" t="s">
        <v>54</v>
      </c>
      <c r="K707" t="s">
        <v>55</v>
      </c>
      <c r="L707" t="s">
        <v>17</v>
      </c>
      <c r="M707" t="s">
        <v>16</v>
      </c>
      <c r="N707">
        <v>5158</v>
      </c>
      <c r="O707">
        <v>279</v>
      </c>
      <c r="P707">
        <v>0</v>
      </c>
      <c r="Q707" t="s">
        <v>2489</v>
      </c>
      <c r="R707" t="s">
        <v>2490</v>
      </c>
      <c r="S707" t="s">
        <v>2491</v>
      </c>
      <c r="T707" t="s">
        <v>2492</v>
      </c>
      <c r="U707" t="s">
        <v>60</v>
      </c>
      <c r="V707" t="s">
        <v>61</v>
      </c>
      <c r="W707">
        <v>3</v>
      </c>
      <c r="X707">
        <v>0.14000000000000001</v>
      </c>
      <c r="Y707" t="s">
        <v>615</v>
      </c>
      <c r="Z707" t="s">
        <v>616</v>
      </c>
      <c r="AA707">
        <v>4</v>
      </c>
      <c r="AB707" t="s">
        <v>2066</v>
      </c>
      <c r="AC707" t="s">
        <v>2067</v>
      </c>
      <c r="AD707" t="s">
        <v>2068</v>
      </c>
      <c r="AE707" t="s">
        <v>2069</v>
      </c>
      <c r="AF707" t="s">
        <v>2070</v>
      </c>
      <c r="AG707" t="s">
        <v>322</v>
      </c>
      <c r="AH707" t="s">
        <v>191</v>
      </c>
      <c r="AI707" t="s">
        <v>322</v>
      </c>
      <c r="AJ707" t="s">
        <v>590</v>
      </c>
      <c r="AK707">
        <v>1</v>
      </c>
      <c r="AL707" t="s">
        <v>2166</v>
      </c>
      <c r="AM707" t="s">
        <v>2167</v>
      </c>
      <c r="AN707" t="s">
        <v>2268</v>
      </c>
      <c r="AO707" t="s">
        <v>66</v>
      </c>
      <c r="AP707">
        <v>1</v>
      </c>
      <c r="AQ707" t="s">
        <v>2371</v>
      </c>
      <c r="AR707" t="s">
        <v>2270</v>
      </c>
      <c r="AS707" t="s">
        <v>2372</v>
      </c>
      <c r="AT707" t="s">
        <v>66</v>
      </c>
    </row>
    <row r="708" spans="1:46" x14ac:dyDescent="0.15">
      <c r="A708" t="s">
        <v>2493</v>
      </c>
      <c r="B708" t="s">
        <v>2058</v>
      </c>
      <c r="C708" t="s">
        <v>2059</v>
      </c>
      <c r="D708">
        <v>85</v>
      </c>
      <c r="E708" t="s">
        <v>2060</v>
      </c>
      <c r="F708" t="s">
        <v>50</v>
      </c>
      <c r="G708" t="s">
        <v>51</v>
      </c>
      <c r="H708" t="s">
        <v>2061</v>
      </c>
      <c r="I708" t="s">
        <v>1553</v>
      </c>
      <c r="J708" t="s">
        <v>54</v>
      </c>
      <c r="K708" t="s">
        <v>55</v>
      </c>
      <c r="L708" t="s">
        <v>17</v>
      </c>
      <c r="M708" t="s">
        <v>16</v>
      </c>
      <c r="N708">
        <v>5214</v>
      </c>
      <c r="O708">
        <v>282</v>
      </c>
      <c r="P708">
        <v>0</v>
      </c>
      <c r="Q708" t="s">
        <v>2494</v>
      </c>
      <c r="R708" t="s">
        <v>2495</v>
      </c>
      <c r="S708" t="s">
        <v>2496</v>
      </c>
      <c r="T708" t="s">
        <v>2497</v>
      </c>
      <c r="U708" t="s">
        <v>60</v>
      </c>
      <c r="V708" t="s">
        <v>61</v>
      </c>
      <c r="W708">
        <v>3</v>
      </c>
      <c r="X708">
        <v>0.14000000000000001</v>
      </c>
      <c r="Y708" t="s">
        <v>343</v>
      </c>
      <c r="Z708" t="s">
        <v>622</v>
      </c>
      <c r="AA708">
        <v>4</v>
      </c>
      <c r="AB708" t="s">
        <v>2066</v>
      </c>
      <c r="AC708" t="s">
        <v>2067</v>
      </c>
      <c r="AD708" t="s">
        <v>2068</v>
      </c>
      <c r="AE708" t="s">
        <v>2069</v>
      </c>
      <c r="AF708" t="s">
        <v>2070</v>
      </c>
      <c r="AG708" t="s">
        <v>322</v>
      </c>
      <c r="AH708" t="s">
        <v>191</v>
      </c>
      <c r="AI708" t="s">
        <v>322</v>
      </c>
      <c r="AJ708" t="s">
        <v>590</v>
      </c>
      <c r="AK708">
        <v>1</v>
      </c>
      <c r="AL708" t="s">
        <v>2166</v>
      </c>
      <c r="AM708" t="s">
        <v>2167</v>
      </c>
      <c r="AN708" t="s">
        <v>2268</v>
      </c>
      <c r="AO708" t="s">
        <v>66</v>
      </c>
      <c r="AP708">
        <v>1</v>
      </c>
      <c r="AQ708" t="s">
        <v>2371</v>
      </c>
      <c r="AR708" t="s">
        <v>2270</v>
      </c>
      <c r="AS708" t="s">
        <v>2372</v>
      </c>
      <c r="AT708" t="s">
        <v>66</v>
      </c>
    </row>
    <row r="709" spans="1:46" x14ac:dyDescent="0.15">
      <c r="A709" t="s">
        <v>2498</v>
      </c>
      <c r="B709" t="s">
        <v>2058</v>
      </c>
      <c r="C709" t="s">
        <v>2059</v>
      </c>
      <c r="D709">
        <v>86</v>
      </c>
      <c r="E709" t="s">
        <v>2060</v>
      </c>
      <c r="F709" t="s">
        <v>50</v>
      </c>
      <c r="G709" t="s">
        <v>51</v>
      </c>
      <c r="H709" t="s">
        <v>2061</v>
      </c>
      <c r="I709" t="s">
        <v>1553</v>
      </c>
      <c r="J709" t="s">
        <v>54</v>
      </c>
      <c r="K709" t="s">
        <v>55</v>
      </c>
      <c r="L709" t="s">
        <v>17</v>
      </c>
      <c r="M709" t="s">
        <v>16</v>
      </c>
      <c r="N709">
        <v>5270</v>
      </c>
      <c r="O709">
        <v>285</v>
      </c>
      <c r="P709">
        <v>0</v>
      </c>
      <c r="Q709" t="s">
        <v>2499</v>
      </c>
      <c r="R709" t="s">
        <v>2500</v>
      </c>
      <c r="S709" t="s">
        <v>2501</v>
      </c>
      <c r="T709" t="s">
        <v>2502</v>
      </c>
      <c r="U709" t="s">
        <v>60</v>
      </c>
      <c r="V709" t="s">
        <v>61</v>
      </c>
      <c r="W709">
        <v>3</v>
      </c>
      <c r="X709">
        <v>0.14000000000000001</v>
      </c>
      <c r="Y709" t="s">
        <v>628</v>
      </c>
      <c r="Z709" t="s">
        <v>629</v>
      </c>
      <c r="AA709">
        <v>4</v>
      </c>
      <c r="AB709" t="s">
        <v>2066</v>
      </c>
      <c r="AC709" t="s">
        <v>2067</v>
      </c>
      <c r="AD709" t="s">
        <v>2068</v>
      </c>
      <c r="AE709" t="s">
        <v>2069</v>
      </c>
      <c r="AF709" t="s">
        <v>2070</v>
      </c>
      <c r="AG709" t="s">
        <v>322</v>
      </c>
      <c r="AH709" t="s">
        <v>191</v>
      </c>
      <c r="AI709" t="s">
        <v>322</v>
      </c>
      <c r="AJ709" t="s">
        <v>590</v>
      </c>
      <c r="AK709">
        <v>1</v>
      </c>
      <c r="AL709" t="s">
        <v>2166</v>
      </c>
      <c r="AM709" t="s">
        <v>2167</v>
      </c>
      <c r="AN709" t="s">
        <v>2268</v>
      </c>
      <c r="AO709" t="s">
        <v>66</v>
      </c>
      <c r="AP709">
        <v>1</v>
      </c>
      <c r="AQ709" t="s">
        <v>2371</v>
      </c>
      <c r="AR709" t="s">
        <v>2270</v>
      </c>
      <c r="AS709" t="s">
        <v>2372</v>
      </c>
      <c r="AT709" t="s">
        <v>66</v>
      </c>
    </row>
    <row r="710" spans="1:46" x14ac:dyDescent="0.15">
      <c r="A710" t="s">
        <v>2503</v>
      </c>
      <c r="B710" t="s">
        <v>2058</v>
      </c>
      <c r="C710" t="s">
        <v>2059</v>
      </c>
      <c r="D710">
        <v>87</v>
      </c>
      <c r="E710" t="s">
        <v>2060</v>
      </c>
      <c r="F710" t="s">
        <v>50</v>
      </c>
      <c r="G710" t="s">
        <v>51</v>
      </c>
      <c r="H710" t="s">
        <v>2061</v>
      </c>
      <c r="I710" t="s">
        <v>1553</v>
      </c>
      <c r="J710" t="s">
        <v>54</v>
      </c>
      <c r="K710" t="s">
        <v>55</v>
      </c>
      <c r="L710" t="s">
        <v>17</v>
      </c>
      <c r="M710" t="s">
        <v>16</v>
      </c>
      <c r="N710">
        <v>5327</v>
      </c>
      <c r="O710">
        <v>288</v>
      </c>
      <c r="P710">
        <v>0</v>
      </c>
      <c r="Q710" t="s">
        <v>2504</v>
      </c>
      <c r="R710" t="s">
        <v>2505</v>
      </c>
      <c r="S710" t="s">
        <v>2506</v>
      </c>
      <c r="T710" t="s">
        <v>2507</v>
      </c>
      <c r="U710" t="s">
        <v>60</v>
      </c>
      <c r="V710" t="s">
        <v>61</v>
      </c>
      <c r="W710">
        <v>3</v>
      </c>
      <c r="X710">
        <v>0.14000000000000001</v>
      </c>
      <c r="Y710" t="s">
        <v>350</v>
      </c>
      <c r="Z710" t="s">
        <v>635</v>
      </c>
      <c r="AA710">
        <v>4</v>
      </c>
      <c r="AB710" t="s">
        <v>2066</v>
      </c>
      <c r="AC710" t="s">
        <v>2067</v>
      </c>
      <c r="AD710" t="s">
        <v>2068</v>
      </c>
      <c r="AE710" t="s">
        <v>2069</v>
      </c>
      <c r="AF710" t="s">
        <v>2070</v>
      </c>
      <c r="AG710" t="s">
        <v>322</v>
      </c>
      <c r="AH710" t="s">
        <v>191</v>
      </c>
      <c r="AI710" t="s">
        <v>322</v>
      </c>
      <c r="AJ710" t="s">
        <v>590</v>
      </c>
      <c r="AK710">
        <v>1</v>
      </c>
      <c r="AL710" t="s">
        <v>2166</v>
      </c>
      <c r="AM710" t="s">
        <v>2167</v>
      </c>
      <c r="AN710" t="s">
        <v>2268</v>
      </c>
      <c r="AO710" t="s">
        <v>66</v>
      </c>
      <c r="AP710">
        <v>1</v>
      </c>
      <c r="AQ710" t="s">
        <v>2371</v>
      </c>
      <c r="AR710" t="s">
        <v>2270</v>
      </c>
      <c r="AS710" t="s">
        <v>2372</v>
      </c>
      <c r="AT710" t="s">
        <v>66</v>
      </c>
    </row>
    <row r="711" spans="1:46" x14ac:dyDescent="0.15">
      <c r="A711" t="s">
        <v>2508</v>
      </c>
      <c r="B711" t="s">
        <v>2058</v>
      </c>
      <c r="C711" t="s">
        <v>2059</v>
      </c>
      <c r="D711">
        <v>88</v>
      </c>
      <c r="E711" t="s">
        <v>2060</v>
      </c>
      <c r="F711" t="s">
        <v>50</v>
      </c>
      <c r="G711" t="s">
        <v>51</v>
      </c>
      <c r="H711" t="s">
        <v>2061</v>
      </c>
      <c r="I711" t="s">
        <v>1553</v>
      </c>
      <c r="J711" t="s">
        <v>54</v>
      </c>
      <c r="K711" t="s">
        <v>55</v>
      </c>
      <c r="L711" t="s">
        <v>17</v>
      </c>
      <c r="M711" t="s">
        <v>16</v>
      </c>
      <c r="N711">
        <v>5383</v>
      </c>
      <c r="O711">
        <v>291</v>
      </c>
      <c r="P711">
        <v>0</v>
      </c>
      <c r="Q711" t="s">
        <v>2509</v>
      </c>
      <c r="R711" t="s">
        <v>2510</v>
      </c>
      <c r="S711" t="s">
        <v>2511</v>
      </c>
      <c r="T711" t="s">
        <v>2512</v>
      </c>
      <c r="U711" t="s">
        <v>60</v>
      </c>
      <c r="V711" t="s">
        <v>61</v>
      </c>
      <c r="W711">
        <v>3</v>
      </c>
      <c r="X711">
        <v>0.14000000000000001</v>
      </c>
      <c r="Y711" t="s">
        <v>641</v>
      </c>
      <c r="Z711" t="s">
        <v>642</v>
      </c>
      <c r="AA711">
        <v>4</v>
      </c>
      <c r="AB711" t="s">
        <v>2066</v>
      </c>
      <c r="AC711" t="s">
        <v>2067</v>
      </c>
      <c r="AD711" t="s">
        <v>2068</v>
      </c>
      <c r="AE711" t="s">
        <v>2069</v>
      </c>
      <c r="AF711" t="s">
        <v>2070</v>
      </c>
      <c r="AG711" t="s">
        <v>322</v>
      </c>
      <c r="AH711" t="s">
        <v>191</v>
      </c>
      <c r="AI711" t="s">
        <v>322</v>
      </c>
      <c r="AJ711" t="s">
        <v>590</v>
      </c>
      <c r="AK711">
        <v>1</v>
      </c>
      <c r="AL711" t="s">
        <v>2166</v>
      </c>
      <c r="AM711" t="s">
        <v>2167</v>
      </c>
      <c r="AN711" t="s">
        <v>2268</v>
      </c>
      <c r="AO711" t="s">
        <v>66</v>
      </c>
      <c r="AP711">
        <v>1</v>
      </c>
      <c r="AQ711" t="s">
        <v>2371</v>
      </c>
      <c r="AR711" t="s">
        <v>2270</v>
      </c>
      <c r="AS711" t="s">
        <v>2372</v>
      </c>
      <c r="AT711" t="s">
        <v>66</v>
      </c>
    </row>
    <row r="712" spans="1:46" x14ac:dyDescent="0.15">
      <c r="A712" t="s">
        <v>2513</v>
      </c>
      <c r="B712" t="s">
        <v>2058</v>
      </c>
      <c r="C712" t="s">
        <v>2059</v>
      </c>
      <c r="D712">
        <v>89</v>
      </c>
      <c r="E712" t="s">
        <v>2060</v>
      </c>
      <c r="F712" t="s">
        <v>50</v>
      </c>
      <c r="G712" t="s">
        <v>51</v>
      </c>
      <c r="H712" t="s">
        <v>2061</v>
      </c>
      <c r="I712" t="s">
        <v>1553</v>
      </c>
      <c r="J712" t="s">
        <v>54</v>
      </c>
      <c r="K712" t="s">
        <v>55</v>
      </c>
      <c r="L712" t="s">
        <v>17</v>
      </c>
      <c r="M712" t="s">
        <v>16</v>
      </c>
      <c r="N712">
        <v>5439</v>
      </c>
      <c r="O712">
        <v>294</v>
      </c>
      <c r="P712">
        <v>0</v>
      </c>
      <c r="Q712" t="s">
        <v>2514</v>
      </c>
      <c r="R712" t="s">
        <v>2515</v>
      </c>
      <c r="S712" t="s">
        <v>2516</v>
      </c>
      <c r="T712" t="s">
        <v>2517</v>
      </c>
      <c r="U712" t="s">
        <v>60</v>
      </c>
      <c r="V712" t="s">
        <v>61</v>
      </c>
      <c r="W712">
        <v>3</v>
      </c>
      <c r="X712">
        <v>0.14000000000000001</v>
      </c>
      <c r="Y712" t="s">
        <v>356</v>
      </c>
      <c r="Z712" t="s">
        <v>648</v>
      </c>
      <c r="AA712">
        <v>4</v>
      </c>
      <c r="AB712" t="s">
        <v>2066</v>
      </c>
      <c r="AC712" t="s">
        <v>2067</v>
      </c>
      <c r="AD712" t="s">
        <v>2068</v>
      </c>
      <c r="AE712" t="s">
        <v>2069</v>
      </c>
      <c r="AF712" t="s">
        <v>2070</v>
      </c>
      <c r="AG712" t="s">
        <v>322</v>
      </c>
      <c r="AH712" t="s">
        <v>191</v>
      </c>
      <c r="AI712" t="s">
        <v>322</v>
      </c>
      <c r="AJ712" t="s">
        <v>590</v>
      </c>
      <c r="AK712">
        <v>1</v>
      </c>
      <c r="AL712" t="s">
        <v>2166</v>
      </c>
      <c r="AM712" t="s">
        <v>2167</v>
      </c>
      <c r="AN712" t="s">
        <v>2268</v>
      </c>
      <c r="AO712" t="s">
        <v>66</v>
      </c>
      <c r="AP712">
        <v>1</v>
      </c>
      <c r="AQ712" t="s">
        <v>2371</v>
      </c>
      <c r="AR712" t="s">
        <v>2270</v>
      </c>
      <c r="AS712" t="s">
        <v>2372</v>
      </c>
      <c r="AT712" t="s">
        <v>66</v>
      </c>
    </row>
    <row r="713" spans="1:46" x14ac:dyDescent="0.15">
      <c r="A713" t="s">
        <v>2518</v>
      </c>
      <c r="B713" t="s">
        <v>2058</v>
      </c>
      <c r="C713" t="s">
        <v>2059</v>
      </c>
      <c r="D713">
        <v>90</v>
      </c>
      <c r="E713" t="s">
        <v>2060</v>
      </c>
      <c r="F713" t="s">
        <v>50</v>
      </c>
      <c r="G713" t="s">
        <v>51</v>
      </c>
      <c r="H713" t="s">
        <v>2061</v>
      </c>
      <c r="I713" t="s">
        <v>1553</v>
      </c>
      <c r="J713" t="s">
        <v>54</v>
      </c>
      <c r="K713" t="s">
        <v>55</v>
      </c>
      <c r="L713" t="s">
        <v>17</v>
      </c>
      <c r="M713" t="s">
        <v>16</v>
      </c>
      <c r="N713">
        <v>5495</v>
      </c>
      <c r="O713">
        <v>297</v>
      </c>
      <c r="P713">
        <v>0</v>
      </c>
      <c r="Q713" t="s">
        <v>2519</v>
      </c>
      <c r="R713" t="s">
        <v>2520</v>
      </c>
      <c r="S713" t="s">
        <v>2521</v>
      </c>
      <c r="T713" t="s">
        <v>2522</v>
      </c>
      <c r="U713" t="s">
        <v>60</v>
      </c>
      <c r="V713" t="s">
        <v>61</v>
      </c>
      <c r="W713">
        <v>3</v>
      </c>
      <c r="X713">
        <v>0.14000000000000001</v>
      </c>
      <c r="Y713" t="s">
        <v>654</v>
      </c>
      <c r="Z713" t="s">
        <v>655</v>
      </c>
      <c r="AA713">
        <v>4</v>
      </c>
      <c r="AB713" t="s">
        <v>2066</v>
      </c>
      <c r="AC713" t="s">
        <v>2067</v>
      </c>
      <c r="AD713" t="s">
        <v>2068</v>
      </c>
      <c r="AE713" t="s">
        <v>2069</v>
      </c>
      <c r="AF713" t="s">
        <v>2070</v>
      </c>
      <c r="AG713" t="s">
        <v>322</v>
      </c>
      <c r="AH713" t="s">
        <v>191</v>
      </c>
      <c r="AI713" t="s">
        <v>322</v>
      </c>
      <c r="AJ713" t="s">
        <v>590</v>
      </c>
      <c r="AK713">
        <v>1</v>
      </c>
      <c r="AL713" t="s">
        <v>2166</v>
      </c>
      <c r="AM713" t="s">
        <v>2167</v>
      </c>
      <c r="AN713" t="s">
        <v>2268</v>
      </c>
      <c r="AO713" t="s">
        <v>66</v>
      </c>
      <c r="AP713">
        <v>1</v>
      </c>
      <c r="AQ713" t="s">
        <v>2371</v>
      </c>
      <c r="AR713" t="s">
        <v>2270</v>
      </c>
      <c r="AS713" t="s">
        <v>2372</v>
      </c>
      <c r="AT713" t="s">
        <v>66</v>
      </c>
    </row>
    <row r="714" spans="1:46" x14ac:dyDescent="0.15">
      <c r="A714" t="s">
        <v>2523</v>
      </c>
      <c r="B714" t="s">
        <v>2058</v>
      </c>
      <c r="C714" t="s">
        <v>2059</v>
      </c>
      <c r="D714">
        <v>91</v>
      </c>
      <c r="E714" t="s">
        <v>2060</v>
      </c>
      <c r="F714" t="s">
        <v>50</v>
      </c>
      <c r="G714" t="s">
        <v>51</v>
      </c>
      <c r="H714" t="s">
        <v>2061</v>
      </c>
      <c r="I714" t="s">
        <v>1553</v>
      </c>
      <c r="J714" t="s">
        <v>54</v>
      </c>
      <c r="K714" t="s">
        <v>55</v>
      </c>
      <c r="L714" t="s">
        <v>17</v>
      </c>
      <c r="M714" t="s">
        <v>16</v>
      </c>
      <c r="N714">
        <v>5551</v>
      </c>
      <c r="O714">
        <v>300</v>
      </c>
      <c r="P714">
        <v>0</v>
      </c>
      <c r="Q714" t="s">
        <v>2524</v>
      </c>
      <c r="R714" t="s">
        <v>2525</v>
      </c>
      <c r="S714" t="s">
        <v>2526</v>
      </c>
      <c r="T714" t="s">
        <v>2527</v>
      </c>
      <c r="U714" t="s">
        <v>60</v>
      </c>
      <c r="V714" t="s">
        <v>61</v>
      </c>
      <c r="W714">
        <v>3</v>
      </c>
      <c r="X714">
        <v>0.14000000000000001</v>
      </c>
      <c r="Y714" t="s">
        <v>363</v>
      </c>
      <c r="Z714" t="s">
        <v>661</v>
      </c>
      <c r="AA714">
        <v>4</v>
      </c>
      <c r="AB714" t="s">
        <v>2066</v>
      </c>
      <c r="AC714" t="s">
        <v>2067</v>
      </c>
      <c r="AD714" t="s">
        <v>2068</v>
      </c>
      <c r="AE714" t="s">
        <v>2069</v>
      </c>
      <c r="AF714" t="s">
        <v>2070</v>
      </c>
      <c r="AG714" t="s">
        <v>322</v>
      </c>
      <c r="AH714" t="s">
        <v>191</v>
      </c>
      <c r="AI714" t="s">
        <v>322</v>
      </c>
      <c r="AJ714" t="s">
        <v>590</v>
      </c>
      <c r="AK714">
        <v>1</v>
      </c>
      <c r="AL714" t="s">
        <v>2166</v>
      </c>
      <c r="AM714" t="s">
        <v>2167</v>
      </c>
      <c r="AN714" t="s">
        <v>2268</v>
      </c>
      <c r="AO714" t="s">
        <v>66</v>
      </c>
      <c r="AP714">
        <v>1</v>
      </c>
      <c r="AQ714" t="s">
        <v>2371</v>
      </c>
      <c r="AR714" t="s">
        <v>2270</v>
      </c>
      <c r="AS714" t="s">
        <v>2372</v>
      </c>
      <c r="AT714" t="s">
        <v>66</v>
      </c>
    </row>
    <row r="715" spans="1:46" x14ac:dyDescent="0.15">
      <c r="A715" t="s">
        <v>2528</v>
      </c>
      <c r="B715" t="s">
        <v>2058</v>
      </c>
      <c r="C715" t="s">
        <v>2059</v>
      </c>
      <c r="D715">
        <v>92</v>
      </c>
      <c r="E715" t="s">
        <v>2060</v>
      </c>
      <c r="F715" t="s">
        <v>50</v>
      </c>
      <c r="G715" t="s">
        <v>51</v>
      </c>
      <c r="H715" t="s">
        <v>2061</v>
      </c>
      <c r="I715" t="s">
        <v>1553</v>
      </c>
      <c r="J715" t="s">
        <v>54</v>
      </c>
      <c r="K715" t="s">
        <v>55</v>
      </c>
      <c r="L715" t="s">
        <v>17</v>
      </c>
      <c r="M715" t="s">
        <v>16</v>
      </c>
      <c r="N715">
        <v>5607</v>
      </c>
      <c r="O715">
        <v>303</v>
      </c>
      <c r="P715">
        <v>0</v>
      </c>
      <c r="Q715" t="s">
        <v>2529</v>
      </c>
      <c r="R715" t="s">
        <v>2530</v>
      </c>
      <c r="S715" t="s">
        <v>2531</v>
      </c>
      <c r="T715" t="s">
        <v>2532</v>
      </c>
      <c r="U715" t="s">
        <v>60</v>
      </c>
      <c r="V715" t="s">
        <v>61</v>
      </c>
      <c r="W715">
        <v>3</v>
      </c>
      <c r="X715">
        <v>0.14000000000000001</v>
      </c>
      <c r="Y715" t="s">
        <v>667</v>
      </c>
      <c r="Z715" t="s">
        <v>668</v>
      </c>
      <c r="AA715">
        <v>4</v>
      </c>
      <c r="AB715" t="s">
        <v>2066</v>
      </c>
      <c r="AC715" t="s">
        <v>2067</v>
      </c>
      <c r="AD715" t="s">
        <v>2068</v>
      </c>
      <c r="AE715" t="s">
        <v>2069</v>
      </c>
      <c r="AF715" t="s">
        <v>2070</v>
      </c>
      <c r="AG715" t="s">
        <v>322</v>
      </c>
      <c r="AH715" t="s">
        <v>191</v>
      </c>
      <c r="AI715" t="s">
        <v>322</v>
      </c>
      <c r="AJ715" t="s">
        <v>590</v>
      </c>
      <c r="AK715">
        <v>1</v>
      </c>
      <c r="AL715" t="s">
        <v>2166</v>
      </c>
      <c r="AM715" t="s">
        <v>2167</v>
      </c>
      <c r="AN715" t="s">
        <v>2268</v>
      </c>
      <c r="AO715" t="s">
        <v>66</v>
      </c>
      <c r="AP715">
        <v>1</v>
      </c>
      <c r="AQ715" t="s">
        <v>2371</v>
      </c>
      <c r="AR715" t="s">
        <v>2270</v>
      </c>
      <c r="AS715" t="s">
        <v>2372</v>
      </c>
      <c r="AT715" t="s">
        <v>66</v>
      </c>
    </row>
    <row r="716" spans="1:46" x14ac:dyDescent="0.15">
      <c r="A716" t="s">
        <v>2533</v>
      </c>
      <c r="B716" t="s">
        <v>2058</v>
      </c>
      <c r="C716" t="s">
        <v>2059</v>
      </c>
      <c r="D716">
        <v>93</v>
      </c>
      <c r="E716" t="s">
        <v>2060</v>
      </c>
      <c r="F716" t="s">
        <v>50</v>
      </c>
      <c r="G716" t="s">
        <v>51</v>
      </c>
      <c r="H716" t="s">
        <v>2061</v>
      </c>
      <c r="I716" t="s">
        <v>1553</v>
      </c>
      <c r="J716" t="s">
        <v>54</v>
      </c>
      <c r="K716" t="s">
        <v>55</v>
      </c>
      <c r="L716" t="s">
        <v>17</v>
      </c>
      <c r="M716" t="s">
        <v>16</v>
      </c>
      <c r="N716">
        <v>5663</v>
      </c>
      <c r="O716">
        <v>306</v>
      </c>
      <c r="P716">
        <v>0</v>
      </c>
      <c r="Q716" t="s">
        <v>2534</v>
      </c>
      <c r="R716" t="s">
        <v>2535</v>
      </c>
      <c r="S716" t="s">
        <v>2536</v>
      </c>
      <c r="T716" t="s">
        <v>2537</v>
      </c>
      <c r="U716" t="s">
        <v>60</v>
      </c>
      <c r="V716" t="s">
        <v>61</v>
      </c>
      <c r="W716">
        <v>3</v>
      </c>
      <c r="X716">
        <v>0.14000000000000001</v>
      </c>
      <c r="Y716" t="s">
        <v>369</v>
      </c>
      <c r="Z716" t="s">
        <v>674</v>
      </c>
      <c r="AA716">
        <v>4</v>
      </c>
      <c r="AB716" t="s">
        <v>2066</v>
      </c>
      <c r="AC716" t="s">
        <v>2067</v>
      </c>
      <c r="AD716" t="s">
        <v>2068</v>
      </c>
      <c r="AE716" t="s">
        <v>2069</v>
      </c>
      <c r="AF716" t="s">
        <v>2070</v>
      </c>
      <c r="AG716" t="s">
        <v>322</v>
      </c>
      <c r="AH716" t="s">
        <v>191</v>
      </c>
      <c r="AI716" t="s">
        <v>322</v>
      </c>
      <c r="AJ716" t="s">
        <v>590</v>
      </c>
      <c r="AK716">
        <v>1</v>
      </c>
      <c r="AL716" t="s">
        <v>2166</v>
      </c>
      <c r="AM716" t="s">
        <v>2167</v>
      </c>
      <c r="AN716" t="s">
        <v>2268</v>
      </c>
      <c r="AO716" t="s">
        <v>66</v>
      </c>
      <c r="AP716">
        <v>1</v>
      </c>
      <c r="AQ716" t="s">
        <v>2371</v>
      </c>
      <c r="AR716" t="s">
        <v>2270</v>
      </c>
      <c r="AS716" t="s">
        <v>2372</v>
      </c>
      <c r="AT716" t="s">
        <v>66</v>
      </c>
    </row>
    <row r="717" spans="1:46" x14ac:dyDescent="0.15">
      <c r="A717" t="s">
        <v>2538</v>
      </c>
      <c r="B717" t="s">
        <v>2058</v>
      </c>
      <c r="C717" t="s">
        <v>2059</v>
      </c>
      <c r="D717">
        <v>94</v>
      </c>
      <c r="E717" t="s">
        <v>2060</v>
      </c>
      <c r="F717" t="s">
        <v>50</v>
      </c>
      <c r="G717" t="s">
        <v>51</v>
      </c>
      <c r="H717" t="s">
        <v>2061</v>
      </c>
      <c r="I717" t="s">
        <v>1553</v>
      </c>
      <c r="J717" t="s">
        <v>54</v>
      </c>
      <c r="K717" t="s">
        <v>55</v>
      </c>
      <c r="L717" t="s">
        <v>17</v>
      </c>
      <c r="M717" t="s">
        <v>16</v>
      </c>
      <c r="N717">
        <v>5719</v>
      </c>
      <c r="O717">
        <v>309</v>
      </c>
      <c r="P717">
        <v>0</v>
      </c>
      <c r="Q717" t="s">
        <v>2539</v>
      </c>
      <c r="R717" t="s">
        <v>2540</v>
      </c>
      <c r="S717" t="s">
        <v>2541</v>
      </c>
      <c r="T717" t="s">
        <v>2542</v>
      </c>
      <c r="U717" t="s">
        <v>60</v>
      </c>
      <c r="V717" t="s">
        <v>61</v>
      </c>
      <c r="W717">
        <v>3</v>
      </c>
      <c r="X717">
        <v>0.14000000000000001</v>
      </c>
      <c r="Y717" t="s">
        <v>680</v>
      </c>
      <c r="Z717" t="s">
        <v>681</v>
      </c>
      <c r="AA717">
        <v>4</v>
      </c>
      <c r="AB717" t="s">
        <v>2066</v>
      </c>
      <c r="AC717" t="s">
        <v>2067</v>
      </c>
      <c r="AD717" t="s">
        <v>2068</v>
      </c>
      <c r="AE717" t="s">
        <v>2069</v>
      </c>
      <c r="AF717" t="s">
        <v>2070</v>
      </c>
      <c r="AG717" t="s">
        <v>322</v>
      </c>
      <c r="AH717" t="s">
        <v>191</v>
      </c>
      <c r="AI717" t="s">
        <v>322</v>
      </c>
      <c r="AJ717" t="s">
        <v>590</v>
      </c>
      <c r="AK717">
        <v>1</v>
      </c>
      <c r="AL717" t="s">
        <v>2166</v>
      </c>
      <c r="AM717" t="s">
        <v>2167</v>
      </c>
      <c r="AN717" t="s">
        <v>2268</v>
      </c>
      <c r="AO717" t="s">
        <v>66</v>
      </c>
      <c r="AP717">
        <v>1</v>
      </c>
      <c r="AQ717" t="s">
        <v>2371</v>
      </c>
      <c r="AR717" t="s">
        <v>2270</v>
      </c>
      <c r="AS717" t="s">
        <v>2372</v>
      </c>
      <c r="AT717" t="s">
        <v>66</v>
      </c>
    </row>
    <row r="718" spans="1:46" x14ac:dyDescent="0.15">
      <c r="A718" t="s">
        <v>2543</v>
      </c>
      <c r="B718" t="s">
        <v>2058</v>
      </c>
      <c r="C718" t="s">
        <v>2059</v>
      </c>
      <c r="D718">
        <v>95</v>
      </c>
      <c r="E718" t="s">
        <v>2060</v>
      </c>
      <c r="F718" t="s">
        <v>50</v>
      </c>
      <c r="G718" t="s">
        <v>51</v>
      </c>
      <c r="H718" t="s">
        <v>2061</v>
      </c>
      <c r="I718" t="s">
        <v>1553</v>
      </c>
      <c r="J718" t="s">
        <v>54</v>
      </c>
      <c r="K718" t="s">
        <v>55</v>
      </c>
      <c r="L718" t="s">
        <v>17</v>
      </c>
      <c r="M718" t="s">
        <v>16</v>
      </c>
      <c r="N718">
        <v>5776</v>
      </c>
      <c r="O718">
        <v>312</v>
      </c>
      <c r="P718">
        <v>0</v>
      </c>
      <c r="Q718" t="s">
        <v>2544</v>
      </c>
      <c r="R718" t="s">
        <v>2545</v>
      </c>
      <c r="S718" t="s">
        <v>2546</v>
      </c>
      <c r="T718" t="s">
        <v>2547</v>
      </c>
      <c r="U718" t="s">
        <v>60</v>
      </c>
      <c r="V718" t="s">
        <v>61</v>
      </c>
      <c r="W718">
        <v>3</v>
      </c>
      <c r="X718">
        <v>0.14000000000000001</v>
      </c>
      <c r="Y718" t="s">
        <v>376</v>
      </c>
      <c r="Z718" t="s">
        <v>687</v>
      </c>
      <c r="AA718">
        <v>4</v>
      </c>
      <c r="AB718" t="s">
        <v>2066</v>
      </c>
      <c r="AC718" t="s">
        <v>2067</v>
      </c>
      <c r="AD718" t="s">
        <v>2068</v>
      </c>
      <c r="AE718" t="s">
        <v>2069</v>
      </c>
      <c r="AF718" t="s">
        <v>2070</v>
      </c>
      <c r="AG718" t="s">
        <v>322</v>
      </c>
      <c r="AH718" t="s">
        <v>191</v>
      </c>
      <c r="AI718" t="s">
        <v>322</v>
      </c>
      <c r="AJ718" t="s">
        <v>590</v>
      </c>
      <c r="AK718">
        <v>1</v>
      </c>
      <c r="AL718" t="s">
        <v>2166</v>
      </c>
      <c r="AM718" t="s">
        <v>2167</v>
      </c>
      <c r="AN718" t="s">
        <v>2268</v>
      </c>
      <c r="AO718" t="s">
        <v>66</v>
      </c>
      <c r="AP718">
        <v>1</v>
      </c>
      <c r="AQ718" t="s">
        <v>2371</v>
      </c>
      <c r="AR718" t="s">
        <v>2270</v>
      </c>
      <c r="AS718" t="s">
        <v>2372</v>
      </c>
      <c r="AT718" t="s">
        <v>66</v>
      </c>
    </row>
    <row r="719" spans="1:46" x14ac:dyDescent="0.15">
      <c r="A719" t="s">
        <v>2548</v>
      </c>
      <c r="B719" t="s">
        <v>2058</v>
      </c>
      <c r="C719" t="s">
        <v>2059</v>
      </c>
      <c r="D719">
        <v>96</v>
      </c>
      <c r="E719" t="s">
        <v>2060</v>
      </c>
      <c r="F719" t="s">
        <v>50</v>
      </c>
      <c r="G719" t="s">
        <v>51</v>
      </c>
      <c r="H719" t="s">
        <v>2061</v>
      </c>
      <c r="I719" t="s">
        <v>1553</v>
      </c>
      <c r="J719" t="s">
        <v>54</v>
      </c>
      <c r="K719" t="s">
        <v>55</v>
      </c>
      <c r="L719" t="s">
        <v>17</v>
      </c>
      <c r="M719" t="s">
        <v>16</v>
      </c>
      <c r="N719">
        <v>5832</v>
      </c>
      <c r="O719">
        <v>315</v>
      </c>
      <c r="P719">
        <v>0</v>
      </c>
      <c r="Q719" t="s">
        <v>2549</v>
      </c>
      <c r="R719" t="s">
        <v>2550</v>
      </c>
      <c r="S719" t="s">
        <v>2551</v>
      </c>
      <c r="T719" t="s">
        <v>2552</v>
      </c>
      <c r="U719" t="s">
        <v>60</v>
      </c>
      <c r="V719" t="s">
        <v>61</v>
      </c>
      <c r="W719">
        <v>3</v>
      </c>
      <c r="X719">
        <v>0.14000000000000001</v>
      </c>
      <c r="Y719" t="s">
        <v>693</v>
      </c>
      <c r="Z719" t="s">
        <v>694</v>
      </c>
      <c r="AA719">
        <v>4</v>
      </c>
      <c r="AB719" t="s">
        <v>2066</v>
      </c>
      <c r="AC719" t="s">
        <v>2067</v>
      </c>
      <c r="AD719" t="s">
        <v>2068</v>
      </c>
      <c r="AE719" t="s">
        <v>2069</v>
      </c>
      <c r="AF719" t="s">
        <v>2070</v>
      </c>
      <c r="AG719" t="s">
        <v>322</v>
      </c>
      <c r="AH719" t="s">
        <v>191</v>
      </c>
      <c r="AI719" t="s">
        <v>322</v>
      </c>
      <c r="AJ719" t="s">
        <v>590</v>
      </c>
      <c r="AK719">
        <v>1</v>
      </c>
      <c r="AL719" t="s">
        <v>2166</v>
      </c>
      <c r="AM719" t="s">
        <v>2167</v>
      </c>
      <c r="AN719" t="s">
        <v>2268</v>
      </c>
      <c r="AO719" t="s">
        <v>66</v>
      </c>
      <c r="AP719">
        <v>1</v>
      </c>
      <c r="AQ719" t="s">
        <v>2371</v>
      </c>
      <c r="AR719" t="s">
        <v>2270</v>
      </c>
      <c r="AS719" t="s">
        <v>2372</v>
      </c>
      <c r="AT719" t="s">
        <v>66</v>
      </c>
    </row>
    <row r="720" spans="1:46" x14ac:dyDescent="0.15">
      <c r="A720" t="s">
        <v>2553</v>
      </c>
      <c r="B720" t="s">
        <v>2058</v>
      </c>
      <c r="C720" t="s">
        <v>2059</v>
      </c>
      <c r="D720">
        <v>97</v>
      </c>
      <c r="E720" t="s">
        <v>2060</v>
      </c>
      <c r="F720" t="s">
        <v>50</v>
      </c>
      <c r="G720" t="s">
        <v>51</v>
      </c>
      <c r="H720" t="s">
        <v>2061</v>
      </c>
      <c r="I720" t="s">
        <v>1553</v>
      </c>
      <c r="J720" t="s">
        <v>54</v>
      </c>
      <c r="K720" t="s">
        <v>55</v>
      </c>
      <c r="L720" t="s">
        <v>17</v>
      </c>
      <c r="M720" t="s">
        <v>16</v>
      </c>
      <c r="N720">
        <v>5888</v>
      </c>
      <c r="O720">
        <v>318</v>
      </c>
      <c r="P720">
        <v>0</v>
      </c>
      <c r="Q720" t="s">
        <v>2554</v>
      </c>
      <c r="R720" t="s">
        <v>2555</v>
      </c>
      <c r="S720" t="s">
        <v>2556</v>
      </c>
      <c r="T720" t="s">
        <v>2557</v>
      </c>
      <c r="U720" t="s">
        <v>60</v>
      </c>
      <c r="V720" t="s">
        <v>61</v>
      </c>
      <c r="W720">
        <v>3</v>
      </c>
      <c r="X720">
        <v>0.14000000000000001</v>
      </c>
      <c r="Y720" t="s">
        <v>382</v>
      </c>
      <c r="Z720" t="s">
        <v>700</v>
      </c>
      <c r="AA720">
        <v>4</v>
      </c>
      <c r="AB720" t="s">
        <v>2066</v>
      </c>
      <c r="AC720" t="s">
        <v>2067</v>
      </c>
      <c r="AD720" t="s">
        <v>2068</v>
      </c>
      <c r="AE720" t="s">
        <v>2069</v>
      </c>
      <c r="AF720" t="s">
        <v>2070</v>
      </c>
      <c r="AG720" t="s">
        <v>322</v>
      </c>
      <c r="AH720" t="s">
        <v>191</v>
      </c>
      <c r="AI720" t="s">
        <v>322</v>
      </c>
      <c r="AJ720" t="s">
        <v>590</v>
      </c>
      <c r="AK720">
        <v>1</v>
      </c>
      <c r="AL720" t="s">
        <v>2166</v>
      </c>
      <c r="AM720" t="s">
        <v>2167</v>
      </c>
      <c r="AN720" t="s">
        <v>2268</v>
      </c>
      <c r="AO720" t="s">
        <v>66</v>
      </c>
      <c r="AP720">
        <v>1</v>
      </c>
      <c r="AQ720" t="s">
        <v>2371</v>
      </c>
      <c r="AR720" t="s">
        <v>2270</v>
      </c>
      <c r="AS720" t="s">
        <v>2372</v>
      </c>
      <c r="AT720" t="s">
        <v>66</v>
      </c>
    </row>
    <row r="721" spans="1:46" x14ac:dyDescent="0.15">
      <c r="A721" t="s">
        <v>2558</v>
      </c>
      <c r="B721" t="s">
        <v>2058</v>
      </c>
      <c r="C721" t="s">
        <v>2059</v>
      </c>
      <c r="D721">
        <v>98</v>
      </c>
      <c r="E721" t="s">
        <v>2060</v>
      </c>
      <c r="F721" t="s">
        <v>50</v>
      </c>
      <c r="G721" t="s">
        <v>51</v>
      </c>
      <c r="H721" t="s">
        <v>2061</v>
      </c>
      <c r="I721" t="s">
        <v>1553</v>
      </c>
      <c r="J721" t="s">
        <v>54</v>
      </c>
      <c r="K721" t="s">
        <v>55</v>
      </c>
      <c r="L721" t="s">
        <v>17</v>
      </c>
      <c r="M721" t="s">
        <v>16</v>
      </c>
      <c r="N721">
        <v>5944</v>
      </c>
      <c r="O721">
        <v>321</v>
      </c>
      <c r="P721">
        <v>0</v>
      </c>
      <c r="Q721" t="s">
        <v>2559</v>
      </c>
      <c r="R721" t="s">
        <v>2560</v>
      </c>
      <c r="S721" t="s">
        <v>2561</v>
      </c>
      <c r="T721" t="s">
        <v>2562</v>
      </c>
      <c r="U721" t="s">
        <v>60</v>
      </c>
      <c r="V721" t="s">
        <v>61</v>
      </c>
      <c r="W721">
        <v>3</v>
      </c>
      <c r="X721">
        <v>0.14000000000000001</v>
      </c>
      <c r="Y721" t="s">
        <v>706</v>
      </c>
      <c r="Z721" t="s">
        <v>707</v>
      </c>
      <c r="AA721">
        <v>4</v>
      </c>
      <c r="AB721" t="s">
        <v>2066</v>
      </c>
      <c r="AC721" t="s">
        <v>2067</v>
      </c>
      <c r="AD721" t="s">
        <v>2068</v>
      </c>
      <c r="AE721" t="s">
        <v>2069</v>
      </c>
      <c r="AF721" t="s">
        <v>2070</v>
      </c>
      <c r="AG721" t="s">
        <v>322</v>
      </c>
      <c r="AH721" t="s">
        <v>191</v>
      </c>
      <c r="AI721" t="s">
        <v>322</v>
      </c>
      <c r="AJ721" t="s">
        <v>590</v>
      </c>
      <c r="AK721">
        <v>1</v>
      </c>
      <c r="AL721" t="s">
        <v>2166</v>
      </c>
      <c r="AM721" t="s">
        <v>2167</v>
      </c>
      <c r="AN721" t="s">
        <v>2268</v>
      </c>
      <c r="AO721" t="s">
        <v>66</v>
      </c>
      <c r="AP721">
        <v>1</v>
      </c>
      <c r="AQ721" t="s">
        <v>2371</v>
      </c>
      <c r="AR721" t="s">
        <v>2270</v>
      </c>
      <c r="AS721" t="s">
        <v>2372</v>
      </c>
      <c r="AT721" t="s">
        <v>66</v>
      </c>
    </row>
    <row r="722" spans="1:46" x14ac:dyDescent="0.15">
      <c r="A722" t="s">
        <v>2563</v>
      </c>
      <c r="B722" t="s">
        <v>2058</v>
      </c>
      <c r="C722" t="s">
        <v>2059</v>
      </c>
      <c r="D722">
        <v>99</v>
      </c>
      <c r="E722" t="s">
        <v>2060</v>
      </c>
      <c r="F722" t="s">
        <v>50</v>
      </c>
      <c r="G722" t="s">
        <v>51</v>
      </c>
      <c r="H722" t="s">
        <v>2061</v>
      </c>
      <c r="I722" t="s">
        <v>1553</v>
      </c>
      <c r="J722" t="s">
        <v>54</v>
      </c>
      <c r="K722" t="s">
        <v>55</v>
      </c>
      <c r="L722" t="s">
        <v>17</v>
      </c>
      <c r="M722" t="s">
        <v>16</v>
      </c>
      <c r="N722">
        <v>6000</v>
      </c>
      <c r="O722">
        <v>324</v>
      </c>
      <c r="P722">
        <v>0</v>
      </c>
      <c r="Q722" t="s">
        <v>2564</v>
      </c>
      <c r="R722" t="s">
        <v>2565</v>
      </c>
      <c r="S722" t="s">
        <v>2566</v>
      </c>
      <c r="T722" t="s">
        <v>2054</v>
      </c>
      <c r="U722" t="s">
        <v>60</v>
      </c>
      <c r="V722" t="s">
        <v>61</v>
      </c>
      <c r="W722">
        <v>3</v>
      </c>
      <c r="X722">
        <v>0.14000000000000001</v>
      </c>
      <c r="Y722" t="s">
        <v>389</v>
      </c>
      <c r="Z722" t="s">
        <v>713</v>
      </c>
      <c r="AA722">
        <v>4</v>
      </c>
      <c r="AB722" t="s">
        <v>2066</v>
      </c>
      <c r="AC722" t="s">
        <v>2067</v>
      </c>
      <c r="AD722" t="s">
        <v>2068</v>
      </c>
      <c r="AE722" t="s">
        <v>2069</v>
      </c>
      <c r="AF722" t="s">
        <v>2070</v>
      </c>
      <c r="AG722" t="s">
        <v>322</v>
      </c>
      <c r="AH722" t="s">
        <v>191</v>
      </c>
      <c r="AI722" t="s">
        <v>322</v>
      </c>
      <c r="AJ722" t="s">
        <v>590</v>
      </c>
      <c r="AK722">
        <v>1</v>
      </c>
      <c r="AL722" t="s">
        <v>2166</v>
      </c>
      <c r="AM722" t="s">
        <v>2167</v>
      </c>
      <c r="AN722" t="s">
        <v>2268</v>
      </c>
      <c r="AO722" t="s">
        <v>66</v>
      </c>
      <c r="AP722">
        <v>1</v>
      </c>
      <c r="AQ722" t="s">
        <v>2371</v>
      </c>
      <c r="AR722" t="s">
        <v>2270</v>
      </c>
      <c r="AS722" t="s">
        <v>2372</v>
      </c>
      <c r="AT722" t="s">
        <v>66</v>
      </c>
    </row>
    <row r="723" spans="1:46" x14ac:dyDescent="0.15">
      <c r="A723" t="s">
        <v>2567</v>
      </c>
      <c r="B723" t="s">
        <v>2568</v>
      </c>
      <c r="C723" t="s">
        <v>2569</v>
      </c>
      <c r="D723">
        <v>1</v>
      </c>
      <c r="E723" t="s">
        <v>2570</v>
      </c>
      <c r="F723" t="s">
        <v>1551</v>
      </c>
      <c r="G723" t="s">
        <v>51</v>
      </c>
      <c r="H723" t="s">
        <v>2571</v>
      </c>
      <c r="I723" t="s">
        <v>1553</v>
      </c>
      <c r="J723" t="s">
        <v>2572</v>
      </c>
      <c r="K723" t="s">
        <v>1338</v>
      </c>
      <c r="L723" t="s">
        <v>16</v>
      </c>
      <c r="M723" t="s">
        <v>17</v>
      </c>
      <c r="N723">
        <v>500</v>
      </c>
      <c r="O723">
        <v>30</v>
      </c>
      <c r="P723">
        <v>0</v>
      </c>
      <c r="Q723" t="s">
        <v>2573</v>
      </c>
      <c r="R723" t="s">
        <v>2574</v>
      </c>
      <c r="S723" t="s">
        <v>2575</v>
      </c>
      <c r="T723" t="s">
        <v>2576</v>
      </c>
      <c r="U723" t="s">
        <v>60</v>
      </c>
      <c r="V723" t="s">
        <v>61</v>
      </c>
      <c r="W723">
        <v>10</v>
      </c>
      <c r="X723">
        <v>0.105</v>
      </c>
      <c r="Y723" t="s">
        <v>62</v>
      </c>
      <c r="Z723" t="s">
        <v>62</v>
      </c>
      <c r="AA723">
        <v>0</v>
      </c>
      <c r="AB723" t="s">
        <v>2577</v>
      </c>
      <c r="AC723" t="s">
        <v>2578</v>
      </c>
      <c r="AD723" t="s">
        <v>2579</v>
      </c>
      <c r="AE723" t="s">
        <v>2580</v>
      </c>
      <c r="AF723" t="s">
        <v>2581</v>
      </c>
      <c r="AG723" t="s">
        <v>66</v>
      </c>
      <c r="AH723" t="s">
        <v>66</v>
      </c>
      <c r="AI723" t="s">
        <v>66</v>
      </c>
      <c r="AJ723" t="s">
        <v>66</v>
      </c>
      <c r="AK723">
        <v>1</v>
      </c>
      <c r="AL723" t="s">
        <v>66</v>
      </c>
      <c r="AM723" t="s">
        <v>66</v>
      </c>
      <c r="AN723" t="s">
        <v>66</v>
      </c>
      <c r="AO723" t="s">
        <v>66</v>
      </c>
      <c r="AP723">
        <v>1</v>
      </c>
      <c r="AQ723" t="s">
        <v>66</v>
      </c>
      <c r="AR723" t="s">
        <v>66</v>
      </c>
      <c r="AS723" t="s">
        <v>66</v>
      </c>
      <c r="AT723" t="s">
        <v>66</v>
      </c>
    </row>
    <row r="724" spans="1:46" x14ac:dyDescent="0.15">
      <c r="A724" t="s">
        <v>2582</v>
      </c>
      <c r="B724" t="s">
        <v>2568</v>
      </c>
      <c r="C724" t="s">
        <v>2569</v>
      </c>
      <c r="D724">
        <v>2</v>
      </c>
      <c r="E724" t="s">
        <v>2570</v>
      </c>
      <c r="F724" t="s">
        <v>1551</v>
      </c>
      <c r="G724" t="s">
        <v>51</v>
      </c>
      <c r="H724" t="s">
        <v>2571</v>
      </c>
      <c r="I724" t="s">
        <v>1553</v>
      </c>
      <c r="J724" t="s">
        <v>2572</v>
      </c>
      <c r="K724" t="s">
        <v>1338</v>
      </c>
      <c r="L724" t="s">
        <v>16</v>
      </c>
      <c r="M724" t="s">
        <v>17</v>
      </c>
      <c r="N724">
        <v>556</v>
      </c>
      <c r="O724">
        <v>33</v>
      </c>
      <c r="P724">
        <v>0</v>
      </c>
      <c r="Q724" t="s">
        <v>2583</v>
      </c>
      <c r="R724" t="s">
        <v>2584</v>
      </c>
      <c r="S724" t="s">
        <v>2585</v>
      </c>
      <c r="T724" t="s">
        <v>2586</v>
      </c>
      <c r="U724" t="s">
        <v>60</v>
      </c>
      <c r="V724" t="s">
        <v>61</v>
      </c>
      <c r="W724">
        <v>10</v>
      </c>
      <c r="X724">
        <v>0.105</v>
      </c>
      <c r="Y724" t="s">
        <v>72</v>
      </c>
      <c r="Z724" t="s">
        <v>73</v>
      </c>
      <c r="AA724">
        <v>0</v>
      </c>
      <c r="AB724" t="s">
        <v>2577</v>
      </c>
      <c r="AC724" t="s">
        <v>2578</v>
      </c>
      <c r="AD724" t="s">
        <v>2579</v>
      </c>
      <c r="AE724" t="s">
        <v>2580</v>
      </c>
      <c r="AF724" t="s">
        <v>2581</v>
      </c>
      <c r="AG724" t="s">
        <v>66</v>
      </c>
      <c r="AH724" t="s">
        <v>66</v>
      </c>
      <c r="AI724" t="s">
        <v>66</v>
      </c>
      <c r="AJ724" t="s">
        <v>66</v>
      </c>
      <c r="AK724">
        <v>1</v>
      </c>
      <c r="AL724" t="s">
        <v>66</v>
      </c>
      <c r="AM724" t="s">
        <v>66</v>
      </c>
      <c r="AN724" t="s">
        <v>66</v>
      </c>
      <c r="AO724" t="s">
        <v>66</v>
      </c>
      <c r="AP724">
        <v>1</v>
      </c>
      <c r="AQ724" t="s">
        <v>66</v>
      </c>
      <c r="AR724" t="s">
        <v>66</v>
      </c>
      <c r="AS724" t="s">
        <v>66</v>
      </c>
      <c r="AT724" t="s">
        <v>66</v>
      </c>
    </row>
    <row r="725" spans="1:46" x14ac:dyDescent="0.15">
      <c r="A725" t="s">
        <v>2587</v>
      </c>
      <c r="B725" t="s">
        <v>2568</v>
      </c>
      <c r="C725" t="s">
        <v>2569</v>
      </c>
      <c r="D725">
        <v>3</v>
      </c>
      <c r="E725" t="s">
        <v>2570</v>
      </c>
      <c r="F725" t="s">
        <v>1551</v>
      </c>
      <c r="G725" t="s">
        <v>51</v>
      </c>
      <c r="H725" t="s">
        <v>2571</v>
      </c>
      <c r="I725" t="s">
        <v>1553</v>
      </c>
      <c r="J725" t="s">
        <v>2572</v>
      </c>
      <c r="K725" t="s">
        <v>1338</v>
      </c>
      <c r="L725" t="s">
        <v>16</v>
      </c>
      <c r="M725" t="s">
        <v>17</v>
      </c>
      <c r="N725">
        <v>612</v>
      </c>
      <c r="O725">
        <v>36</v>
      </c>
      <c r="P725">
        <v>0</v>
      </c>
      <c r="Q725" t="s">
        <v>2588</v>
      </c>
      <c r="R725" t="s">
        <v>2589</v>
      </c>
      <c r="S725" t="s">
        <v>2590</v>
      </c>
      <c r="T725" t="s">
        <v>2591</v>
      </c>
      <c r="U725" t="s">
        <v>60</v>
      </c>
      <c r="V725" t="s">
        <v>61</v>
      </c>
      <c r="W725">
        <v>10</v>
      </c>
      <c r="X725">
        <v>0.105</v>
      </c>
      <c r="Y725" t="s">
        <v>73</v>
      </c>
      <c r="Z725" t="s">
        <v>79</v>
      </c>
      <c r="AA725">
        <v>0</v>
      </c>
      <c r="AB725" t="s">
        <v>2577</v>
      </c>
      <c r="AC725" t="s">
        <v>2578</v>
      </c>
      <c r="AD725" t="s">
        <v>2579</v>
      </c>
      <c r="AE725" t="s">
        <v>2580</v>
      </c>
      <c r="AF725" t="s">
        <v>2581</v>
      </c>
      <c r="AG725" t="s">
        <v>66</v>
      </c>
      <c r="AH725" t="s">
        <v>66</v>
      </c>
      <c r="AI725" t="s">
        <v>66</v>
      </c>
      <c r="AJ725" t="s">
        <v>66</v>
      </c>
      <c r="AK725">
        <v>1</v>
      </c>
      <c r="AL725" t="s">
        <v>66</v>
      </c>
      <c r="AM725" t="s">
        <v>66</v>
      </c>
      <c r="AN725" t="s">
        <v>66</v>
      </c>
      <c r="AO725" t="s">
        <v>66</v>
      </c>
      <c r="AP725">
        <v>1</v>
      </c>
      <c r="AQ725" t="s">
        <v>66</v>
      </c>
      <c r="AR725" t="s">
        <v>66</v>
      </c>
      <c r="AS725" t="s">
        <v>66</v>
      </c>
      <c r="AT725" t="s">
        <v>66</v>
      </c>
    </row>
    <row r="726" spans="1:46" x14ac:dyDescent="0.15">
      <c r="A726" t="s">
        <v>2592</v>
      </c>
      <c r="B726" t="s">
        <v>2568</v>
      </c>
      <c r="C726" t="s">
        <v>2569</v>
      </c>
      <c r="D726">
        <v>4</v>
      </c>
      <c r="E726" t="s">
        <v>2570</v>
      </c>
      <c r="F726" t="s">
        <v>1551</v>
      </c>
      <c r="G726" t="s">
        <v>51</v>
      </c>
      <c r="H726" t="s">
        <v>2571</v>
      </c>
      <c r="I726" t="s">
        <v>1553</v>
      </c>
      <c r="J726" t="s">
        <v>2572</v>
      </c>
      <c r="K726" t="s">
        <v>1338</v>
      </c>
      <c r="L726" t="s">
        <v>16</v>
      </c>
      <c r="M726" t="s">
        <v>17</v>
      </c>
      <c r="N726">
        <v>668</v>
      </c>
      <c r="O726">
        <v>39</v>
      </c>
      <c r="P726">
        <v>0</v>
      </c>
      <c r="Q726" t="s">
        <v>2593</v>
      </c>
      <c r="R726" t="s">
        <v>2594</v>
      </c>
      <c r="S726" t="s">
        <v>2595</v>
      </c>
      <c r="T726" t="s">
        <v>2596</v>
      </c>
      <c r="U726" t="s">
        <v>60</v>
      </c>
      <c r="V726" t="s">
        <v>61</v>
      </c>
      <c r="W726">
        <v>10</v>
      </c>
      <c r="X726">
        <v>0.105</v>
      </c>
      <c r="Y726" t="s">
        <v>85</v>
      </c>
      <c r="Z726" t="s">
        <v>86</v>
      </c>
      <c r="AA726">
        <v>0</v>
      </c>
      <c r="AB726" t="s">
        <v>2577</v>
      </c>
      <c r="AC726" t="s">
        <v>2578</v>
      </c>
      <c r="AD726" t="s">
        <v>2579</v>
      </c>
      <c r="AE726" t="s">
        <v>2580</v>
      </c>
      <c r="AF726" t="s">
        <v>2581</v>
      </c>
      <c r="AG726" t="s">
        <v>66</v>
      </c>
      <c r="AH726" t="s">
        <v>66</v>
      </c>
      <c r="AI726" t="s">
        <v>66</v>
      </c>
      <c r="AJ726" t="s">
        <v>66</v>
      </c>
      <c r="AK726">
        <v>1</v>
      </c>
      <c r="AL726" t="s">
        <v>66</v>
      </c>
      <c r="AM726" t="s">
        <v>66</v>
      </c>
      <c r="AN726" t="s">
        <v>66</v>
      </c>
      <c r="AO726" t="s">
        <v>66</v>
      </c>
      <c r="AP726">
        <v>1</v>
      </c>
      <c r="AQ726" t="s">
        <v>66</v>
      </c>
      <c r="AR726" t="s">
        <v>66</v>
      </c>
      <c r="AS726" t="s">
        <v>66</v>
      </c>
      <c r="AT726" t="s">
        <v>66</v>
      </c>
    </row>
    <row r="727" spans="1:46" x14ac:dyDescent="0.15">
      <c r="A727" t="s">
        <v>2597</v>
      </c>
      <c r="B727" t="s">
        <v>2568</v>
      </c>
      <c r="C727" t="s">
        <v>2569</v>
      </c>
      <c r="D727">
        <v>5</v>
      </c>
      <c r="E727" t="s">
        <v>2570</v>
      </c>
      <c r="F727" t="s">
        <v>1551</v>
      </c>
      <c r="G727" t="s">
        <v>51</v>
      </c>
      <c r="H727" t="s">
        <v>2571</v>
      </c>
      <c r="I727" t="s">
        <v>1553</v>
      </c>
      <c r="J727" t="s">
        <v>2572</v>
      </c>
      <c r="K727" t="s">
        <v>1338</v>
      </c>
      <c r="L727" t="s">
        <v>16</v>
      </c>
      <c r="M727" t="s">
        <v>17</v>
      </c>
      <c r="N727">
        <v>724</v>
      </c>
      <c r="O727">
        <v>42</v>
      </c>
      <c r="P727">
        <v>0</v>
      </c>
      <c r="Q727" t="s">
        <v>2598</v>
      </c>
      <c r="R727" t="s">
        <v>2599</v>
      </c>
      <c r="S727" t="s">
        <v>2600</v>
      </c>
      <c r="T727" t="s">
        <v>2601</v>
      </c>
      <c r="U727" t="s">
        <v>60</v>
      </c>
      <c r="V727" t="s">
        <v>61</v>
      </c>
      <c r="W727">
        <v>10</v>
      </c>
      <c r="X727">
        <v>0.105</v>
      </c>
      <c r="Y727" t="s">
        <v>79</v>
      </c>
      <c r="Z727" t="s">
        <v>92</v>
      </c>
      <c r="AA727">
        <v>0</v>
      </c>
      <c r="AB727" t="s">
        <v>2577</v>
      </c>
      <c r="AC727" t="s">
        <v>2578</v>
      </c>
      <c r="AD727" t="s">
        <v>2579</v>
      </c>
      <c r="AE727" t="s">
        <v>2580</v>
      </c>
      <c r="AF727" t="s">
        <v>2581</v>
      </c>
      <c r="AG727" t="s">
        <v>66</v>
      </c>
      <c r="AH727" t="s">
        <v>66</v>
      </c>
      <c r="AI727" t="s">
        <v>66</v>
      </c>
      <c r="AJ727" t="s">
        <v>66</v>
      </c>
      <c r="AK727">
        <v>1</v>
      </c>
      <c r="AL727" t="s">
        <v>66</v>
      </c>
      <c r="AM727" t="s">
        <v>66</v>
      </c>
      <c r="AN727" t="s">
        <v>66</v>
      </c>
      <c r="AO727" t="s">
        <v>66</v>
      </c>
      <c r="AP727">
        <v>1</v>
      </c>
      <c r="AQ727" t="s">
        <v>66</v>
      </c>
      <c r="AR727" t="s">
        <v>66</v>
      </c>
      <c r="AS727" t="s">
        <v>66</v>
      </c>
      <c r="AT727" t="s">
        <v>66</v>
      </c>
    </row>
    <row r="728" spans="1:46" x14ac:dyDescent="0.15">
      <c r="A728" t="s">
        <v>2602</v>
      </c>
      <c r="B728" t="s">
        <v>2568</v>
      </c>
      <c r="C728" t="s">
        <v>2569</v>
      </c>
      <c r="D728">
        <v>6</v>
      </c>
      <c r="E728" t="s">
        <v>2570</v>
      </c>
      <c r="F728" t="s">
        <v>1551</v>
      </c>
      <c r="G728" t="s">
        <v>51</v>
      </c>
      <c r="H728" t="s">
        <v>2571</v>
      </c>
      <c r="I728" t="s">
        <v>1553</v>
      </c>
      <c r="J728" t="s">
        <v>2572</v>
      </c>
      <c r="K728" t="s">
        <v>1338</v>
      </c>
      <c r="L728" t="s">
        <v>16</v>
      </c>
      <c r="M728" t="s">
        <v>17</v>
      </c>
      <c r="N728">
        <v>781</v>
      </c>
      <c r="O728">
        <v>45</v>
      </c>
      <c r="P728">
        <v>0</v>
      </c>
      <c r="Q728" t="s">
        <v>2603</v>
      </c>
      <c r="R728" t="s">
        <v>2604</v>
      </c>
      <c r="S728" t="s">
        <v>2605</v>
      </c>
      <c r="T728" t="s">
        <v>2606</v>
      </c>
      <c r="U728" t="s">
        <v>60</v>
      </c>
      <c r="V728" t="s">
        <v>61</v>
      </c>
      <c r="W728">
        <v>10</v>
      </c>
      <c r="X728">
        <v>0.105</v>
      </c>
      <c r="Y728" t="s">
        <v>98</v>
      </c>
      <c r="Z728" t="s">
        <v>99</v>
      </c>
      <c r="AA728">
        <v>0</v>
      </c>
      <c r="AB728" t="s">
        <v>2577</v>
      </c>
      <c r="AC728" t="s">
        <v>2578</v>
      </c>
      <c r="AD728" t="s">
        <v>2579</v>
      </c>
      <c r="AE728" t="s">
        <v>2580</v>
      </c>
      <c r="AF728" t="s">
        <v>2581</v>
      </c>
      <c r="AG728" t="s">
        <v>66</v>
      </c>
      <c r="AH728" t="s">
        <v>66</v>
      </c>
      <c r="AI728" t="s">
        <v>66</v>
      </c>
      <c r="AJ728" t="s">
        <v>66</v>
      </c>
      <c r="AK728">
        <v>1</v>
      </c>
      <c r="AL728" t="s">
        <v>66</v>
      </c>
      <c r="AM728" t="s">
        <v>66</v>
      </c>
      <c r="AN728" t="s">
        <v>66</v>
      </c>
      <c r="AO728" t="s">
        <v>66</v>
      </c>
      <c r="AP728">
        <v>1</v>
      </c>
      <c r="AQ728" t="s">
        <v>66</v>
      </c>
      <c r="AR728" t="s">
        <v>66</v>
      </c>
      <c r="AS728" t="s">
        <v>66</v>
      </c>
      <c r="AT728" t="s">
        <v>66</v>
      </c>
    </row>
    <row r="729" spans="1:46" x14ac:dyDescent="0.15">
      <c r="A729" t="s">
        <v>2607</v>
      </c>
      <c r="B729" t="s">
        <v>2568</v>
      </c>
      <c r="C729" t="s">
        <v>2569</v>
      </c>
      <c r="D729">
        <v>7</v>
      </c>
      <c r="E729" t="s">
        <v>2570</v>
      </c>
      <c r="F729" t="s">
        <v>1551</v>
      </c>
      <c r="G729" t="s">
        <v>51</v>
      </c>
      <c r="H729" t="s">
        <v>2571</v>
      </c>
      <c r="I729" t="s">
        <v>1553</v>
      </c>
      <c r="J729" t="s">
        <v>2572</v>
      </c>
      <c r="K729" t="s">
        <v>1338</v>
      </c>
      <c r="L729" t="s">
        <v>16</v>
      </c>
      <c r="M729" t="s">
        <v>17</v>
      </c>
      <c r="N729">
        <v>837</v>
      </c>
      <c r="O729">
        <v>48</v>
      </c>
      <c r="P729">
        <v>0</v>
      </c>
      <c r="Q729" t="s">
        <v>2608</v>
      </c>
      <c r="R729" t="s">
        <v>2609</v>
      </c>
      <c r="S729" t="s">
        <v>2610</v>
      </c>
      <c r="T729" t="s">
        <v>2611</v>
      </c>
      <c r="U729" t="s">
        <v>60</v>
      </c>
      <c r="V729" t="s">
        <v>61</v>
      </c>
      <c r="W729">
        <v>10</v>
      </c>
      <c r="X729">
        <v>0.105</v>
      </c>
      <c r="Y729" t="s">
        <v>86</v>
      </c>
      <c r="Z729" t="s">
        <v>105</v>
      </c>
      <c r="AA729">
        <v>0</v>
      </c>
      <c r="AB729" t="s">
        <v>2577</v>
      </c>
      <c r="AC729" t="s">
        <v>2578</v>
      </c>
      <c r="AD729" t="s">
        <v>2579</v>
      </c>
      <c r="AE729" t="s">
        <v>2580</v>
      </c>
      <c r="AF729" t="s">
        <v>2581</v>
      </c>
      <c r="AG729" t="s">
        <v>66</v>
      </c>
      <c r="AH729" t="s">
        <v>66</v>
      </c>
      <c r="AI729" t="s">
        <v>66</v>
      </c>
      <c r="AJ729" t="s">
        <v>66</v>
      </c>
      <c r="AK729">
        <v>1</v>
      </c>
      <c r="AL729" t="s">
        <v>66</v>
      </c>
      <c r="AM729" t="s">
        <v>66</v>
      </c>
      <c r="AN729" t="s">
        <v>66</v>
      </c>
      <c r="AO729" t="s">
        <v>66</v>
      </c>
      <c r="AP729">
        <v>1</v>
      </c>
      <c r="AQ729" t="s">
        <v>66</v>
      </c>
      <c r="AR729" t="s">
        <v>66</v>
      </c>
      <c r="AS729" t="s">
        <v>66</v>
      </c>
      <c r="AT729" t="s">
        <v>66</v>
      </c>
    </row>
    <row r="730" spans="1:46" x14ac:dyDescent="0.15">
      <c r="A730" t="s">
        <v>2612</v>
      </c>
      <c r="B730" t="s">
        <v>2568</v>
      </c>
      <c r="C730" t="s">
        <v>2569</v>
      </c>
      <c r="D730">
        <v>8</v>
      </c>
      <c r="E730" t="s">
        <v>2570</v>
      </c>
      <c r="F730" t="s">
        <v>1551</v>
      </c>
      <c r="G730" t="s">
        <v>51</v>
      </c>
      <c r="H730" t="s">
        <v>2571</v>
      </c>
      <c r="I730" t="s">
        <v>1553</v>
      </c>
      <c r="J730" t="s">
        <v>2572</v>
      </c>
      <c r="K730" t="s">
        <v>1338</v>
      </c>
      <c r="L730" t="s">
        <v>16</v>
      </c>
      <c r="M730" t="s">
        <v>17</v>
      </c>
      <c r="N730">
        <v>893</v>
      </c>
      <c r="O730">
        <v>51</v>
      </c>
      <c r="P730">
        <v>0</v>
      </c>
      <c r="Q730" t="s">
        <v>2613</v>
      </c>
      <c r="R730" t="s">
        <v>2614</v>
      </c>
      <c r="S730" t="s">
        <v>2615</v>
      </c>
      <c r="T730" t="s">
        <v>2616</v>
      </c>
      <c r="U730" t="s">
        <v>60</v>
      </c>
      <c r="V730" t="s">
        <v>61</v>
      </c>
      <c r="W730">
        <v>10</v>
      </c>
      <c r="X730">
        <v>0.105</v>
      </c>
      <c r="Y730" t="s">
        <v>111</v>
      </c>
      <c r="Z730" t="s">
        <v>112</v>
      </c>
      <c r="AA730">
        <v>0</v>
      </c>
      <c r="AB730" t="s">
        <v>2577</v>
      </c>
      <c r="AC730" t="s">
        <v>2578</v>
      </c>
      <c r="AD730" t="s">
        <v>2579</v>
      </c>
      <c r="AE730" t="s">
        <v>2580</v>
      </c>
      <c r="AF730" t="s">
        <v>2581</v>
      </c>
      <c r="AG730" t="s">
        <v>66</v>
      </c>
      <c r="AH730" t="s">
        <v>66</v>
      </c>
      <c r="AI730" t="s">
        <v>66</v>
      </c>
      <c r="AJ730" t="s">
        <v>66</v>
      </c>
      <c r="AK730">
        <v>1</v>
      </c>
      <c r="AL730" t="s">
        <v>66</v>
      </c>
      <c r="AM730" t="s">
        <v>66</v>
      </c>
      <c r="AN730" t="s">
        <v>66</v>
      </c>
      <c r="AO730" t="s">
        <v>66</v>
      </c>
      <c r="AP730">
        <v>1</v>
      </c>
      <c r="AQ730" t="s">
        <v>66</v>
      </c>
      <c r="AR730" t="s">
        <v>66</v>
      </c>
      <c r="AS730" t="s">
        <v>66</v>
      </c>
      <c r="AT730" t="s">
        <v>66</v>
      </c>
    </row>
    <row r="731" spans="1:46" x14ac:dyDescent="0.15">
      <c r="A731" t="s">
        <v>2617</v>
      </c>
      <c r="B731" t="s">
        <v>2568</v>
      </c>
      <c r="C731" t="s">
        <v>2569</v>
      </c>
      <c r="D731">
        <v>9</v>
      </c>
      <c r="E731" t="s">
        <v>2570</v>
      </c>
      <c r="F731" t="s">
        <v>1551</v>
      </c>
      <c r="G731" t="s">
        <v>51</v>
      </c>
      <c r="H731" t="s">
        <v>2571</v>
      </c>
      <c r="I731" t="s">
        <v>1553</v>
      </c>
      <c r="J731" t="s">
        <v>2572</v>
      </c>
      <c r="K731" t="s">
        <v>1338</v>
      </c>
      <c r="L731" t="s">
        <v>16</v>
      </c>
      <c r="M731" t="s">
        <v>17</v>
      </c>
      <c r="N731">
        <v>949</v>
      </c>
      <c r="O731">
        <v>54</v>
      </c>
      <c r="P731">
        <v>0</v>
      </c>
      <c r="Q731" t="s">
        <v>2618</v>
      </c>
      <c r="R731" t="s">
        <v>2619</v>
      </c>
      <c r="S731" t="s">
        <v>2620</v>
      </c>
      <c r="T731" t="s">
        <v>2621</v>
      </c>
      <c r="U731" t="s">
        <v>60</v>
      </c>
      <c r="V731" t="s">
        <v>61</v>
      </c>
      <c r="W731">
        <v>10</v>
      </c>
      <c r="X731">
        <v>0.105</v>
      </c>
      <c r="Y731" t="s">
        <v>92</v>
      </c>
      <c r="Z731" t="s">
        <v>118</v>
      </c>
      <c r="AA731">
        <v>0</v>
      </c>
      <c r="AB731" t="s">
        <v>2577</v>
      </c>
      <c r="AC731" t="s">
        <v>2578</v>
      </c>
      <c r="AD731" t="s">
        <v>2579</v>
      </c>
      <c r="AE731" t="s">
        <v>2580</v>
      </c>
      <c r="AF731" t="s">
        <v>2581</v>
      </c>
      <c r="AG731" t="s">
        <v>66</v>
      </c>
      <c r="AH731" t="s">
        <v>66</v>
      </c>
      <c r="AI731" t="s">
        <v>66</v>
      </c>
      <c r="AJ731" t="s">
        <v>66</v>
      </c>
      <c r="AK731">
        <v>1</v>
      </c>
      <c r="AL731" t="s">
        <v>66</v>
      </c>
      <c r="AM731" t="s">
        <v>66</v>
      </c>
      <c r="AN731" t="s">
        <v>66</v>
      </c>
      <c r="AO731" t="s">
        <v>66</v>
      </c>
      <c r="AP731">
        <v>1</v>
      </c>
      <c r="AQ731" t="s">
        <v>66</v>
      </c>
      <c r="AR731" t="s">
        <v>66</v>
      </c>
      <c r="AS731" t="s">
        <v>66</v>
      </c>
      <c r="AT731" t="s">
        <v>66</v>
      </c>
    </row>
    <row r="732" spans="1:46" x14ac:dyDescent="0.15">
      <c r="A732" t="s">
        <v>2622</v>
      </c>
      <c r="B732" t="s">
        <v>2568</v>
      </c>
      <c r="C732" t="s">
        <v>2569</v>
      </c>
      <c r="D732">
        <v>10</v>
      </c>
      <c r="E732" t="s">
        <v>2570</v>
      </c>
      <c r="F732" t="s">
        <v>1551</v>
      </c>
      <c r="G732" t="s">
        <v>51</v>
      </c>
      <c r="H732" t="s">
        <v>2571</v>
      </c>
      <c r="I732" t="s">
        <v>1553</v>
      </c>
      <c r="J732" t="s">
        <v>2572</v>
      </c>
      <c r="K732" t="s">
        <v>1338</v>
      </c>
      <c r="L732" t="s">
        <v>16</v>
      </c>
      <c r="M732" t="s">
        <v>17</v>
      </c>
      <c r="N732">
        <v>1005</v>
      </c>
      <c r="O732">
        <v>57</v>
      </c>
      <c r="P732">
        <v>0</v>
      </c>
      <c r="Q732" t="s">
        <v>2623</v>
      </c>
      <c r="R732" t="s">
        <v>2624</v>
      </c>
      <c r="S732" t="s">
        <v>2625</v>
      </c>
      <c r="T732" t="s">
        <v>2626</v>
      </c>
      <c r="U732" t="s">
        <v>60</v>
      </c>
      <c r="V732" t="s">
        <v>61</v>
      </c>
      <c r="W732">
        <v>10</v>
      </c>
      <c r="X732">
        <v>0.105</v>
      </c>
      <c r="Y732" t="s">
        <v>124</v>
      </c>
      <c r="Z732" t="s">
        <v>125</v>
      </c>
      <c r="AA732">
        <v>0</v>
      </c>
      <c r="AB732" t="s">
        <v>2577</v>
      </c>
      <c r="AC732" t="s">
        <v>2578</v>
      </c>
      <c r="AD732" t="s">
        <v>2579</v>
      </c>
      <c r="AE732" t="s">
        <v>2580</v>
      </c>
      <c r="AF732" t="s">
        <v>2581</v>
      </c>
      <c r="AG732" t="s">
        <v>66</v>
      </c>
      <c r="AH732" t="s">
        <v>66</v>
      </c>
      <c r="AI732" t="s">
        <v>66</v>
      </c>
      <c r="AJ732" t="s">
        <v>66</v>
      </c>
      <c r="AK732">
        <v>1</v>
      </c>
      <c r="AL732" t="s">
        <v>66</v>
      </c>
      <c r="AM732" t="s">
        <v>66</v>
      </c>
      <c r="AN732" t="s">
        <v>66</v>
      </c>
      <c r="AO732" t="s">
        <v>66</v>
      </c>
      <c r="AP732">
        <v>1</v>
      </c>
      <c r="AQ732" t="s">
        <v>66</v>
      </c>
      <c r="AR732" t="s">
        <v>66</v>
      </c>
      <c r="AS732" t="s">
        <v>66</v>
      </c>
      <c r="AT732" t="s">
        <v>66</v>
      </c>
    </row>
    <row r="733" spans="1:46" x14ac:dyDescent="0.15">
      <c r="A733" t="s">
        <v>2627</v>
      </c>
      <c r="B733" t="s">
        <v>2568</v>
      </c>
      <c r="C733" t="s">
        <v>2569</v>
      </c>
      <c r="D733">
        <v>11</v>
      </c>
      <c r="E733" t="s">
        <v>2570</v>
      </c>
      <c r="F733" t="s">
        <v>1551</v>
      </c>
      <c r="G733" t="s">
        <v>51</v>
      </c>
      <c r="H733" t="s">
        <v>2571</v>
      </c>
      <c r="I733" t="s">
        <v>1553</v>
      </c>
      <c r="J733" t="s">
        <v>2572</v>
      </c>
      <c r="K733" t="s">
        <v>1338</v>
      </c>
      <c r="L733" t="s">
        <v>16</v>
      </c>
      <c r="M733" t="s">
        <v>17</v>
      </c>
      <c r="N733">
        <v>1061</v>
      </c>
      <c r="O733">
        <v>60</v>
      </c>
      <c r="P733">
        <v>0</v>
      </c>
      <c r="Q733" t="s">
        <v>2628</v>
      </c>
      <c r="R733" t="s">
        <v>2629</v>
      </c>
      <c r="S733" t="s">
        <v>2630</v>
      </c>
      <c r="T733" t="s">
        <v>2631</v>
      </c>
      <c r="U733" t="s">
        <v>60</v>
      </c>
      <c r="V733" t="s">
        <v>61</v>
      </c>
      <c r="W733">
        <v>10</v>
      </c>
      <c r="X733">
        <v>0.105</v>
      </c>
      <c r="Y733" t="s">
        <v>99</v>
      </c>
      <c r="Z733" t="s">
        <v>131</v>
      </c>
      <c r="AA733">
        <v>0</v>
      </c>
      <c r="AB733" t="s">
        <v>2577</v>
      </c>
      <c r="AC733" t="s">
        <v>2578</v>
      </c>
      <c r="AD733" t="s">
        <v>2579</v>
      </c>
      <c r="AE733" t="s">
        <v>2580</v>
      </c>
      <c r="AF733" t="s">
        <v>2581</v>
      </c>
      <c r="AG733" t="s">
        <v>66</v>
      </c>
      <c r="AH733" t="s">
        <v>66</v>
      </c>
      <c r="AI733" t="s">
        <v>66</v>
      </c>
      <c r="AJ733" t="s">
        <v>66</v>
      </c>
      <c r="AK733">
        <v>1</v>
      </c>
      <c r="AL733" t="s">
        <v>66</v>
      </c>
      <c r="AM733" t="s">
        <v>66</v>
      </c>
      <c r="AN733" t="s">
        <v>66</v>
      </c>
      <c r="AO733" t="s">
        <v>66</v>
      </c>
      <c r="AP733">
        <v>1</v>
      </c>
      <c r="AQ733" t="s">
        <v>66</v>
      </c>
      <c r="AR733" t="s">
        <v>66</v>
      </c>
      <c r="AS733" t="s">
        <v>66</v>
      </c>
      <c r="AT733" t="s">
        <v>66</v>
      </c>
    </row>
    <row r="734" spans="1:46" x14ac:dyDescent="0.15">
      <c r="A734" t="s">
        <v>2632</v>
      </c>
      <c r="B734" t="s">
        <v>2568</v>
      </c>
      <c r="C734" t="s">
        <v>2569</v>
      </c>
      <c r="D734">
        <v>12</v>
      </c>
      <c r="E734" t="s">
        <v>2570</v>
      </c>
      <c r="F734" t="s">
        <v>1551</v>
      </c>
      <c r="G734" t="s">
        <v>51</v>
      </c>
      <c r="H734" t="s">
        <v>2571</v>
      </c>
      <c r="I734" t="s">
        <v>1553</v>
      </c>
      <c r="J734" t="s">
        <v>2572</v>
      </c>
      <c r="K734" t="s">
        <v>1338</v>
      </c>
      <c r="L734" t="s">
        <v>16</v>
      </c>
      <c r="M734" t="s">
        <v>17</v>
      </c>
      <c r="N734">
        <v>1117</v>
      </c>
      <c r="O734">
        <v>63</v>
      </c>
      <c r="P734">
        <v>0</v>
      </c>
      <c r="Q734" t="s">
        <v>2633</v>
      </c>
      <c r="R734" t="s">
        <v>2634</v>
      </c>
      <c r="S734" t="s">
        <v>2635</v>
      </c>
      <c r="T734" t="s">
        <v>2636</v>
      </c>
      <c r="U734" t="s">
        <v>60</v>
      </c>
      <c r="V734" t="s">
        <v>61</v>
      </c>
      <c r="W734">
        <v>10</v>
      </c>
      <c r="X734">
        <v>0.105</v>
      </c>
      <c r="Y734" t="s">
        <v>137</v>
      </c>
      <c r="Z734" t="s">
        <v>138</v>
      </c>
      <c r="AA734">
        <v>0</v>
      </c>
      <c r="AB734" t="s">
        <v>2577</v>
      </c>
      <c r="AC734" t="s">
        <v>2578</v>
      </c>
      <c r="AD734" t="s">
        <v>2579</v>
      </c>
      <c r="AE734" t="s">
        <v>2580</v>
      </c>
      <c r="AF734" t="s">
        <v>2581</v>
      </c>
      <c r="AG734" t="s">
        <v>66</v>
      </c>
      <c r="AH734" t="s">
        <v>66</v>
      </c>
      <c r="AI734" t="s">
        <v>66</v>
      </c>
      <c r="AJ734" t="s">
        <v>66</v>
      </c>
      <c r="AK734">
        <v>1</v>
      </c>
      <c r="AL734" t="s">
        <v>66</v>
      </c>
      <c r="AM734" t="s">
        <v>66</v>
      </c>
      <c r="AN734" t="s">
        <v>66</v>
      </c>
      <c r="AO734" t="s">
        <v>66</v>
      </c>
      <c r="AP734">
        <v>1</v>
      </c>
      <c r="AQ734" t="s">
        <v>66</v>
      </c>
      <c r="AR734" t="s">
        <v>66</v>
      </c>
      <c r="AS734" t="s">
        <v>66</v>
      </c>
      <c r="AT734" t="s">
        <v>66</v>
      </c>
    </row>
    <row r="735" spans="1:46" x14ac:dyDescent="0.15">
      <c r="A735" t="s">
        <v>2637</v>
      </c>
      <c r="B735" t="s">
        <v>2568</v>
      </c>
      <c r="C735" t="s">
        <v>2569</v>
      </c>
      <c r="D735">
        <v>13</v>
      </c>
      <c r="E735" t="s">
        <v>2570</v>
      </c>
      <c r="F735" t="s">
        <v>1551</v>
      </c>
      <c r="G735" t="s">
        <v>51</v>
      </c>
      <c r="H735" t="s">
        <v>2571</v>
      </c>
      <c r="I735" t="s">
        <v>1553</v>
      </c>
      <c r="J735" t="s">
        <v>2572</v>
      </c>
      <c r="K735" t="s">
        <v>1338</v>
      </c>
      <c r="L735" t="s">
        <v>16</v>
      </c>
      <c r="M735" t="s">
        <v>17</v>
      </c>
      <c r="N735">
        <v>1173</v>
      </c>
      <c r="O735">
        <v>66</v>
      </c>
      <c r="P735">
        <v>0</v>
      </c>
      <c r="Q735" t="s">
        <v>2638</v>
      </c>
      <c r="R735" t="s">
        <v>2639</v>
      </c>
      <c r="S735" t="s">
        <v>2640</v>
      </c>
      <c r="T735" t="s">
        <v>2641</v>
      </c>
      <c r="U735" t="s">
        <v>60</v>
      </c>
      <c r="V735" t="s">
        <v>61</v>
      </c>
      <c r="W735">
        <v>10</v>
      </c>
      <c r="X735">
        <v>0.105</v>
      </c>
      <c r="Y735" t="s">
        <v>105</v>
      </c>
      <c r="Z735" t="s">
        <v>144</v>
      </c>
      <c r="AA735">
        <v>0</v>
      </c>
      <c r="AB735" t="s">
        <v>2577</v>
      </c>
      <c r="AC735" t="s">
        <v>2578</v>
      </c>
      <c r="AD735" t="s">
        <v>2579</v>
      </c>
      <c r="AE735" t="s">
        <v>2580</v>
      </c>
      <c r="AF735" t="s">
        <v>2581</v>
      </c>
      <c r="AG735" t="s">
        <v>66</v>
      </c>
      <c r="AH735" t="s">
        <v>66</v>
      </c>
      <c r="AI735" t="s">
        <v>66</v>
      </c>
      <c r="AJ735" t="s">
        <v>66</v>
      </c>
      <c r="AK735">
        <v>1</v>
      </c>
      <c r="AL735" t="s">
        <v>66</v>
      </c>
      <c r="AM735" t="s">
        <v>66</v>
      </c>
      <c r="AN735" t="s">
        <v>66</v>
      </c>
      <c r="AO735" t="s">
        <v>66</v>
      </c>
      <c r="AP735">
        <v>1</v>
      </c>
      <c r="AQ735" t="s">
        <v>66</v>
      </c>
      <c r="AR735" t="s">
        <v>66</v>
      </c>
      <c r="AS735" t="s">
        <v>66</v>
      </c>
      <c r="AT735" t="s">
        <v>66</v>
      </c>
    </row>
    <row r="736" spans="1:46" x14ac:dyDescent="0.15">
      <c r="A736" t="s">
        <v>2642</v>
      </c>
      <c r="B736" t="s">
        <v>2568</v>
      </c>
      <c r="C736" t="s">
        <v>2569</v>
      </c>
      <c r="D736">
        <v>14</v>
      </c>
      <c r="E736" t="s">
        <v>2570</v>
      </c>
      <c r="F736" t="s">
        <v>1551</v>
      </c>
      <c r="G736" t="s">
        <v>51</v>
      </c>
      <c r="H736" t="s">
        <v>2571</v>
      </c>
      <c r="I736" t="s">
        <v>1553</v>
      </c>
      <c r="J736" t="s">
        <v>2572</v>
      </c>
      <c r="K736" t="s">
        <v>1338</v>
      </c>
      <c r="L736" t="s">
        <v>16</v>
      </c>
      <c r="M736" t="s">
        <v>17</v>
      </c>
      <c r="N736">
        <v>1230</v>
      </c>
      <c r="O736">
        <v>69</v>
      </c>
      <c r="P736">
        <v>0</v>
      </c>
      <c r="Q736" t="s">
        <v>2643</v>
      </c>
      <c r="R736" t="s">
        <v>2644</v>
      </c>
      <c r="S736" t="s">
        <v>2645</v>
      </c>
      <c r="T736" t="s">
        <v>2646</v>
      </c>
      <c r="U736" t="s">
        <v>60</v>
      </c>
      <c r="V736" t="s">
        <v>61</v>
      </c>
      <c r="W736">
        <v>10</v>
      </c>
      <c r="X736">
        <v>0.105</v>
      </c>
      <c r="Y736" t="s">
        <v>150</v>
      </c>
      <c r="Z736" t="s">
        <v>151</v>
      </c>
      <c r="AA736">
        <v>0</v>
      </c>
      <c r="AB736" t="s">
        <v>2577</v>
      </c>
      <c r="AC736" t="s">
        <v>2578</v>
      </c>
      <c r="AD736" t="s">
        <v>2579</v>
      </c>
      <c r="AE736" t="s">
        <v>2580</v>
      </c>
      <c r="AF736" t="s">
        <v>2581</v>
      </c>
      <c r="AG736" t="s">
        <v>66</v>
      </c>
      <c r="AH736" t="s">
        <v>66</v>
      </c>
      <c r="AI736" t="s">
        <v>66</v>
      </c>
      <c r="AJ736" t="s">
        <v>66</v>
      </c>
      <c r="AK736">
        <v>1</v>
      </c>
      <c r="AL736" t="s">
        <v>66</v>
      </c>
      <c r="AM736" t="s">
        <v>66</v>
      </c>
      <c r="AN736" t="s">
        <v>66</v>
      </c>
      <c r="AO736" t="s">
        <v>66</v>
      </c>
      <c r="AP736">
        <v>1</v>
      </c>
      <c r="AQ736" t="s">
        <v>66</v>
      </c>
      <c r="AR736" t="s">
        <v>66</v>
      </c>
      <c r="AS736" t="s">
        <v>66</v>
      </c>
      <c r="AT736" t="s">
        <v>66</v>
      </c>
    </row>
    <row r="737" spans="1:46" x14ac:dyDescent="0.15">
      <c r="A737" t="s">
        <v>2647</v>
      </c>
      <c r="B737" t="s">
        <v>2568</v>
      </c>
      <c r="C737" t="s">
        <v>2569</v>
      </c>
      <c r="D737">
        <v>15</v>
      </c>
      <c r="E737" t="s">
        <v>2570</v>
      </c>
      <c r="F737" t="s">
        <v>1551</v>
      </c>
      <c r="G737" t="s">
        <v>51</v>
      </c>
      <c r="H737" t="s">
        <v>2571</v>
      </c>
      <c r="I737" t="s">
        <v>1553</v>
      </c>
      <c r="J737" t="s">
        <v>2572</v>
      </c>
      <c r="K737" t="s">
        <v>1338</v>
      </c>
      <c r="L737" t="s">
        <v>16</v>
      </c>
      <c r="M737" t="s">
        <v>17</v>
      </c>
      <c r="N737">
        <v>1286</v>
      </c>
      <c r="O737">
        <v>72</v>
      </c>
      <c r="P737">
        <v>0</v>
      </c>
      <c r="Q737" t="s">
        <v>2648</v>
      </c>
      <c r="R737" t="s">
        <v>2649</v>
      </c>
      <c r="S737" t="s">
        <v>2650</v>
      </c>
      <c r="T737" t="s">
        <v>2651</v>
      </c>
      <c r="U737" t="s">
        <v>60</v>
      </c>
      <c r="V737" t="s">
        <v>61</v>
      </c>
      <c r="W737">
        <v>10</v>
      </c>
      <c r="X737">
        <v>0.105</v>
      </c>
      <c r="Y737" t="s">
        <v>112</v>
      </c>
      <c r="Z737" t="s">
        <v>157</v>
      </c>
      <c r="AA737">
        <v>0</v>
      </c>
      <c r="AB737" t="s">
        <v>2577</v>
      </c>
      <c r="AC737" t="s">
        <v>2578</v>
      </c>
      <c r="AD737" t="s">
        <v>2579</v>
      </c>
      <c r="AE737" t="s">
        <v>2580</v>
      </c>
      <c r="AF737" t="s">
        <v>2581</v>
      </c>
      <c r="AG737" t="s">
        <v>66</v>
      </c>
      <c r="AH737" t="s">
        <v>66</v>
      </c>
      <c r="AI737" t="s">
        <v>66</v>
      </c>
      <c r="AJ737" t="s">
        <v>66</v>
      </c>
      <c r="AK737">
        <v>1</v>
      </c>
      <c r="AL737" t="s">
        <v>66</v>
      </c>
      <c r="AM737" t="s">
        <v>66</v>
      </c>
      <c r="AN737" t="s">
        <v>66</v>
      </c>
      <c r="AO737" t="s">
        <v>66</v>
      </c>
      <c r="AP737">
        <v>1</v>
      </c>
      <c r="AQ737" t="s">
        <v>66</v>
      </c>
      <c r="AR737" t="s">
        <v>66</v>
      </c>
      <c r="AS737" t="s">
        <v>66</v>
      </c>
      <c r="AT737" t="s">
        <v>66</v>
      </c>
    </row>
    <row r="738" spans="1:46" x14ac:dyDescent="0.15">
      <c r="A738" t="s">
        <v>2652</v>
      </c>
      <c r="B738" t="s">
        <v>2568</v>
      </c>
      <c r="C738" t="s">
        <v>2569</v>
      </c>
      <c r="D738">
        <v>16</v>
      </c>
      <c r="E738" t="s">
        <v>2570</v>
      </c>
      <c r="F738" t="s">
        <v>1551</v>
      </c>
      <c r="G738" t="s">
        <v>51</v>
      </c>
      <c r="H738" t="s">
        <v>2571</v>
      </c>
      <c r="I738" t="s">
        <v>1553</v>
      </c>
      <c r="J738" t="s">
        <v>2572</v>
      </c>
      <c r="K738" t="s">
        <v>1338</v>
      </c>
      <c r="L738" t="s">
        <v>16</v>
      </c>
      <c r="M738" t="s">
        <v>17</v>
      </c>
      <c r="N738">
        <v>1342</v>
      </c>
      <c r="O738">
        <v>75</v>
      </c>
      <c r="P738">
        <v>0</v>
      </c>
      <c r="Q738" t="s">
        <v>2653</v>
      </c>
      <c r="R738" t="s">
        <v>2654</v>
      </c>
      <c r="S738" t="s">
        <v>2655</v>
      </c>
      <c r="T738" t="s">
        <v>2656</v>
      </c>
      <c r="U738" t="s">
        <v>60</v>
      </c>
      <c r="V738" t="s">
        <v>61</v>
      </c>
      <c r="W738">
        <v>10</v>
      </c>
      <c r="X738">
        <v>0.105</v>
      </c>
      <c r="Y738" t="s">
        <v>163</v>
      </c>
      <c r="Z738" t="s">
        <v>164</v>
      </c>
      <c r="AA738">
        <v>0</v>
      </c>
      <c r="AB738" t="s">
        <v>2577</v>
      </c>
      <c r="AC738" t="s">
        <v>2578</v>
      </c>
      <c r="AD738" t="s">
        <v>2579</v>
      </c>
      <c r="AE738" t="s">
        <v>2580</v>
      </c>
      <c r="AF738" t="s">
        <v>2581</v>
      </c>
      <c r="AG738" t="s">
        <v>66</v>
      </c>
      <c r="AH738" t="s">
        <v>66</v>
      </c>
      <c r="AI738" t="s">
        <v>66</v>
      </c>
      <c r="AJ738" t="s">
        <v>66</v>
      </c>
      <c r="AK738">
        <v>1</v>
      </c>
      <c r="AL738" t="s">
        <v>66</v>
      </c>
      <c r="AM738" t="s">
        <v>66</v>
      </c>
      <c r="AN738" t="s">
        <v>66</v>
      </c>
      <c r="AO738" t="s">
        <v>66</v>
      </c>
      <c r="AP738">
        <v>1</v>
      </c>
      <c r="AQ738" t="s">
        <v>66</v>
      </c>
      <c r="AR738" t="s">
        <v>66</v>
      </c>
      <c r="AS738" t="s">
        <v>66</v>
      </c>
      <c r="AT738" t="s">
        <v>66</v>
      </c>
    </row>
    <row r="739" spans="1:46" x14ac:dyDescent="0.15">
      <c r="A739" t="s">
        <v>2657</v>
      </c>
      <c r="B739" t="s">
        <v>2568</v>
      </c>
      <c r="C739" t="s">
        <v>2569</v>
      </c>
      <c r="D739">
        <v>17</v>
      </c>
      <c r="E739" t="s">
        <v>2570</v>
      </c>
      <c r="F739" t="s">
        <v>1551</v>
      </c>
      <c r="G739" t="s">
        <v>51</v>
      </c>
      <c r="H739" t="s">
        <v>2571</v>
      </c>
      <c r="I739" t="s">
        <v>1553</v>
      </c>
      <c r="J739" t="s">
        <v>2572</v>
      </c>
      <c r="K739" t="s">
        <v>1338</v>
      </c>
      <c r="L739" t="s">
        <v>16</v>
      </c>
      <c r="M739" t="s">
        <v>17</v>
      </c>
      <c r="N739">
        <v>1398</v>
      </c>
      <c r="O739">
        <v>77</v>
      </c>
      <c r="P739">
        <v>0</v>
      </c>
      <c r="Q739" t="s">
        <v>2658</v>
      </c>
      <c r="R739" t="s">
        <v>2659</v>
      </c>
      <c r="S739" t="s">
        <v>2660</v>
      </c>
      <c r="T739" t="s">
        <v>2661</v>
      </c>
      <c r="U739" t="s">
        <v>60</v>
      </c>
      <c r="V739" t="s">
        <v>61</v>
      </c>
      <c r="W739">
        <v>10</v>
      </c>
      <c r="X739">
        <v>0.105</v>
      </c>
      <c r="Y739" t="s">
        <v>118</v>
      </c>
      <c r="Z739" t="s">
        <v>170</v>
      </c>
      <c r="AA739">
        <v>0</v>
      </c>
      <c r="AB739" t="s">
        <v>2577</v>
      </c>
      <c r="AC739" t="s">
        <v>2578</v>
      </c>
      <c r="AD739" t="s">
        <v>2579</v>
      </c>
      <c r="AE739" t="s">
        <v>2580</v>
      </c>
      <c r="AF739" t="s">
        <v>2581</v>
      </c>
      <c r="AG739" t="s">
        <v>66</v>
      </c>
      <c r="AH739" t="s">
        <v>66</v>
      </c>
      <c r="AI739" t="s">
        <v>66</v>
      </c>
      <c r="AJ739" t="s">
        <v>66</v>
      </c>
      <c r="AK739">
        <v>1</v>
      </c>
      <c r="AL739" t="s">
        <v>66</v>
      </c>
      <c r="AM739" t="s">
        <v>66</v>
      </c>
      <c r="AN739" t="s">
        <v>66</v>
      </c>
      <c r="AO739" t="s">
        <v>66</v>
      </c>
      <c r="AP739">
        <v>1</v>
      </c>
      <c r="AQ739" t="s">
        <v>66</v>
      </c>
      <c r="AR739" t="s">
        <v>66</v>
      </c>
      <c r="AS739" t="s">
        <v>66</v>
      </c>
      <c r="AT739" t="s">
        <v>66</v>
      </c>
    </row>
    <row r="740" spans="1:46" x14ac:dyDescent="0.15">
      <c r="A740" t="s">
        <v>2662</v>
      </c>
      <c r="B740" t="s">
        <v>2568</v>
      </c>
      <c r="C740" t="s">
        <v>2569</v>
      </c>
      <c r="D740">
        <v>18</v>
      </c>
      <c r="E740" t="s">
        <v>2570</v>
      </c>
      <c r="F740" t="s">
        <v>1551</v>
      </c>
      <c r="G740" t="s">
        <v>51</v>
      </c>
      <c r="H740" t="s">
        <v>2571</v>
      </c>
      <c r="I740" t="s">
        <v>1553</v>
      </c>
      <c r="J740" t="s">
        <v>2572</v>
      </c>
      <c r="K740" t="s">
        <v>1338</v>
      </c>
      <c r="L740" t="s">
        <v>16</v>
      </c>
      <c r="M740" t="s">
        <v>17</v>
      </c>
      <c r="N740">
        <v>1454</v>
      </c>
      <c r="O740">
        <v>80</v>
      </c>
      <c r="P740">
        <v>0</v>
      </c>
      <c r="Q740" t="s">
        <v>2663</v>
      </c>
      <c r="R740" t="s">
        <v>2664</v>
      </c>
      <c r="S740" t="s">
        <v>2665</v>
      </c>
      <c r="T740" t="s">
        <v>2666</v>
      </c>
      <c r="U740" t="s">
        <v>60</v>
      </c>
      <c r="V740" t="s">
        <v>61</v>
      </c>
      <c r="W740">
        <v>10</v>
      </c>
      <c r="X740">
        <v>0.105</v>
      </c>
      <c r="Y740" t="s">
        <v>176</v>
      </c>
      <c r="Z740" t="s">
        <v>177</v>
      </c>
      <c r="AA740">
        <v>0</v>
      </c>
      <c r="AB740" t="s">
        <v>2577</v>
      </c>
      <c r="AC740" t="s">
        <v>2578</v>
      </c>
      <c r="AD740" t="s">
        <v>2579</v>
      </c>
      <c r="AE740" t="s">
        <v>2580</v>
      </c>
      <c r="AF740" t="s">
        <v>2581</v>
      </c>
      <c r="AG740" t="s">
        <v>66</v>
      </c>
      <c r="AH740" t="s">
        <v>66</v>
      </c>
      <c r="AI740" t="s">
        <v>66</v>
      </c>
      <c r="AJ740" t="s">
        <v>66</v>
      </c>
      <c r="AK740">
        <v>1</v>
      </c>
      <c r="AL740" t="s">
        <v>66</v>
      </c>
      <c r="AM740" t="s">
        <v>66</v>
      </c>
      <c r="AN740" t="s">
        <v>66</v>
      </c>
      <c r="AO740" t="s">
        <v>66</v>
      </c>
      <c r="AP740">
        <v>1</v>
      </c>
      <c r="AQ740" t="s">
        <v>66</v>
      </c>
      <c r="AR740" t="s">
        <v>66</v>
      </c>
      <c r="AS740" t="s">
        <v>66</v>
      </c>
      <c r="AT740" t="s">
        <v>66</v>
      </c>
    </row>
    <row r="741" spans="1:46" x14ac:dyDescent="0.15">
      <c r="A741" t="s">
        <v>2667</v>
      </c>
      <c r="B741" t="s">
        <v>2568</v>
      </c>
      <c r="C741" t="s">
        <v>2569</v>
      </c>
      <c r="D741">
        <v>19</v>
      </c>
      <c r="E741" t="s">
        <v>2570</v>
      </c>
      <c r="F741" t="s">
        <v>1551</v>
      </c>
      <c r="G741" t="s">
        <v>51</v>
      </c>
      <c r="H741" t="s">
        <v>2571</v>
      </c>
      <c r="I741" t="s">
        <v>1553</v>
      </c>
      <c r="J741" t="s">
        <v>2572</v>
      </c>
      <c r="K741" t="s">
        <v>1338</v>
      </c>
      <c r="L741" t="s">
        <v>16</v>
      </c>
      <c r="M741" t="s">
        <v>17</v>
      </c>
      <c r="N741">
        <v>1510</v>
      </c>
      <c r="O741">
        <v>83</v>
      </c>
      <c r="P741">
        <v>0</v>
      </c>
      <c r="Q741" t="s">
        <v>2668</v>
      </c>
      <c r="R741" t="s">
        <v>2669</v>
      </c>
      <c r="S741" t="s">
        <v>2670</v>
      </c>
      <c r="T741" t="s">
        <v>2671</v>
      </c>
      <c r="U741" t="s">
        <v>60</v>
      </c>
      <c r="V741" t="s">
        <v>61</v>
      </c>
      <c r="W741">
        <v>10</v>
      </c>
      <c r="X741">
        <v>0.105</v>
      </c>
      <c r="Y741" t="s">
        <v>125</v>
      </c>
      <c r="Z741" t="s">
        <v>183</v>
      </c>
      <c r="AA741">
        <v>0</v>
      </c>
      <c r="AB741" t="s">
        <v>2577</v>
      </c>
      <c r="AC741" t="s">
        <v>2578</v>
      </c>
      <c r="AD741" t="s">
        <v>2579</v>
      </c>
      <c r="AE741" t="s">
        <v>2580</v>
      </c>
      <c r="AF741" t="s">
        <v>2581</v>
      </c>
      <c r="AG741" t="s">
        <v>66</v>
      </c>
      <c r="AH741" t="s">
        <v>66</v>
      </c>
      <c r="AI741" t="s">
        <v>66</v>
      </c>
      <c r="AJ741" t="s">
        <v>66</v>
      </c>
      <c r="AK741">
        <v>1</v>
      </c>
      <c r="AL741" t="s">
        <v>66</v>
      </c>
      <c r="AM741" t="s">
        <v>66</v>
      </c>
      <c r="AN741" t="s">
        <v>66</v>
      </c>
      <c r="AO741" t="s">
        <v>66</v>
      </c>
      <c r="AP741">
        <v>1</v>
      </c>
      <c r="AQ741" t="s">
        <v>66</v>
      </c>
      <c r="AR741" t="s">
        <v>66</v>
      </c>
      <c r="AS741" t="s">
        <v>66</v>
      </c>
      <c r="AT741" t="s">
        <v>66</v>
      </c>
    </row>
    <row r="742" spans="1:46" x14ac:dyDescent="0.15">
      <c r="A742" t="s">
        <v>2672</v>
      </c>
      <c r="B742" t="s">
        <v>2568</v>
      </c>
      <c r="C742" t="s">
        <v>2569</v>
      </c>
      <c r="D742">
        <v>20</v>
      </c>
      <c r="E742" t="s">
        <v>2570</v>
      </c>
      <c r="F742" t="s">
        <v>1551</v>
      </c>
      <c r="G742" t="s">
        <v>51</v>
      </c>
      <c r="H742" t="s">
        <v>2571</v>
      </c>
      <c r="I742" t="s">
        <v>1553</v>
      </c>
      <c r="J742" t="s">
        <v>2572</v>
      </c>
      <c r="K742" t="s">
        <v>1338</v>
      </c>
      <c r="L742" t="s">
        <v>16</v>
      </c>
      <c r="M742" t="s">
        <v>17</v>
      </c>
      <c r="N742">
        <v>1566</v>
      </c>
      <c r="O742">
        <v>86</v>
      </c>
      <c r="P742">
        <v>0</v>
      </c>
      <c r="Q742" t="s">
        <v>2673</v>
      </c>
      <c r="R742" t="s">
        <v>2674</v>
      </c>
      <c r="S742" t="s">
        <v>2675</v>
      </c>
      <c r="T742" t="s">
        <v>2676</v>
      </c>
      <c r="U742" t="s">
        <v>60</v>
      </c>
      <c r="V742" t="s">
        <v>61</v>
      </c>
      <c r="W742">
        <v>10</v>
      </c>
      <c r="X742">
        <v>0.105</v>
      </c>
      <c r="Y742" t="s">
        <v>189</v>
      </c>
      <c r="Z742" t="s">
        <v>190</v>
      </c>
      <c r="AA742">
        <v>0</v>
      </c>
      <c r="AB742" t="s">
        <v>2577</v>
      </c>
      <c r="AC742" t="s">
        <v>2578</v>
      </c>
      <c r="AD742" t="s">
        <v>2579</v>
      </c>
      <c r="AE742" t="s">
        <v>2580</v>
      </c>
      <c r="AF742" t="s">
        <v>2581</v>
      </c>
      <c r="AG742" t="s">
        <v>66</v>
      </c>
      <c r="AH742" t="s">
        <v>66</v>
      </c>
      <c r="AI742" t="s">
        <v>66</v>
      </c>
      <c r="AJ742" t="s">
        <v>66</v>
      </c>
      <c r="AK742">
        <v>1</v>
      </c>
      <c r="AL742" t="s">
        <v>66</v>
      </c>
      <c r="AM742" t="s">
        <v>66</v>
      </c>
      <c r="AN742" t="s">
        <v>66</v>
      </c>
      <c r="AO742" t="s">
        <v>66</v>
      </c>
      <c r="AP742">
        <v>1</v>
      </c>
      <c r="AQ742" t="s">
        <v>66</v>
      </c>
      <c r="AR742" t="s">
        <v>66</v>
      </c>
      <c r="AS742" t="s">
        <v>66</v>
      </c>
      <c r="AT742" t="s">
        <v>66</v>
      </c>
    </row>
    <row r="743" spans="1:46" x14ac:dyDescent="0.15">
      <c r="A743" t="s">
        <v>2672</v>
      </c>
      <c r="B743" t="s">
        <v>2568</v>
      </c>
      <c r="C743" t="s">
        <v>2569</v>
      </c>
      <c r="D743">
        <v>20</v>
      </c>
      <c r="E743" t="s">
        <v>2570</v>
      </c>
      <c r="F743" t="s">
        <v>1551</v>
      </c>
      <c r="G743" t="s">
        <v>51</v>
      </c>
      <c r="H743" t="s">
        <v>2571</v>
      </c>
      <c r="I743" t="s">
        <v>1553</v>
      </c>
      <c r="J743" t="s">
        <v>2572</v>
      </c>
      <c r="K743" t="s">
        <v>1338</v>
      </c>
      <c r="L743" t="s">
        <v>16</v>
      </c>
      <c r="M743" t="s">
        <v>17</v>
      </c>
      <c r="N743">
        <v>1566</v>
      </c>
      <c r="O743">
        <v>86</v>
      </c>
      <c r="P743">
        <v>0</v>
      </c>
      <c r="Q743" t="s">
        <v>2673</v>
      </c>
      <c r="R743" t="s">
        <v>2674</v>
      </c>
      <c r="S743" t="s">
        <v>2675</v>
      </c>
      <c r="T743" t="s">
        <v>2676</v>
      </c>
      <c r="U743" t="s">
        <v>60</v>
      </c>
      <c r="V743" t="s">
        <v>61</v>
      </c>
      <c r="W743">
        <v>10</v>
      </c>
      <c r="X743">
        <v>0.105</v>
      </c>
      <c r="Y743" t="s">
        <v>189</v>
      </c>
      <c r="Z743" t="s">
        <v>190</v>
      </c>
      <c r="AA743">
        <v>1</v>
      </c>
      <c r="AB743" t="s">
        <v>2577</v>
      </c>
      <c r="AC743" t="s">
        <v>2578</v>
      </c>
      <c r="AD743" t="s">
        <v>2579</v>
      </c>
      <c r="AE743" t="s">
        <v>2580</v>
      </c>
      <c r="AF743" t="s">
        <v>2581</v>
      </c>
      <c r="AG743" t="s">
        <v>806</v>
      </c>
      <c r="AH743" t="s">
        <v>66</v>
      </c>
      <c r="AI743" t="s">
        <v>66</v>
      </c>
      <c r="AJ743" t="s">
        <v>66</v>
      </c>
      <c r="AK743">
        <v>1</v>
      </c>
      <c r="AL743" t="s">
        <v>2677</v>
      </c>
      <c r="AM743" t="s">
        <v>2678</v>
      </c>
      <c r="AN743" t="s">
        <v>66</v>
      </c>
      <c r="AO743" t="s">
        <v>66</v>
      </c>
      <c r="AP743">
        <v>1</v>
      </c>
      <c r="AQ743" t="s">
        <v>66</v>
      </c>
      <c r="AR743" t="s">
        <v>66</v>
      </c>
      <c r="AS743" t="s">
        <v>66</v>
      </c>
      <c r="AT743" t="s">
        <v>66</v>
      </c>
    </row>
    <row r="744" spans="1:46" x14ac:dyDescent="0.15">
      <c r="A744" t="s">
        <v>2679</v>
      </c>
      <c r="B744" t="s">
        <v>2568</v>
      </c>
      <c r="C744" t="s">
        <v>2569</v>
      </c>
      <c r="D744">
        <v>21</v>
      </c>
      <c r="E744" t="s">
        <v>2570</v>
      </c>
      <c r="F744" t="s">
        <v>1551</v>
      </c>
      <c r="G744" t="s">
        <v>51</v>
      </c>
      <c r="H744" t="s">
        <v>2571</v>
      </c>
      <c r="I744" t="s">
        <v>1553</v>
      </c>
      <c r="J744" t="s">
        <v>2572</v>
      </c>
      <c r="K744" t="s">
        <v>1338</v>
      </c>
      <c r="L744" t="s">
        <v>16</v>
      </c>
      <c r="M744" t="s">
        <v>17</v>
      </c>
      <c r="N744">
        <v>1622</v>
      </c>
      <c r="O744">
        <v>89</v>
      </c>
      <c r="P744">
        <v>0</v>
      </c>
      <c r="Q744" t="s">
        <v>2680</v>
      </c>
      <c r="R744" t="s">
        <v>2681</v>
      </c>
      <c r="S744" t="s">
        <v>2682</v>
      </c>
      <c r="T744" t="s">
        <v>2683</v>
      </c>
      <c r="U744" t="s">
        <v>60</v>
      </c>
      <c r="V744" t="s">
        <v>61</v>
      </c>
      <c r="W744">
        <v>10</v>
      </c>
      <c r="X744">
        <v>0.105</v>
      </c>
      <c r="Y744" t="s">
        <v>131</v>
      </c>
      <c r="Z744" t="s">
        <v>197</v>
      </c>
      <c r="AA744">
        <v>1</v>
      </c>
      <c r="AB744" t="s">
        <v>2577</v>
      </c>
      <c r="AC744" t="s">
        <v>2578</v>
      </c>
      <c r="AD744" t="s">
        <v>2579</v>
      </c>
      <c r="AE744" t="s">
        <v>2580</v>
      </c>
      <c r="AF744" t="s">
        <v>2581</v>
      </c>
      <c r="AG744" t="s">
        <v>806</v>
      </c>
      <c r="AH744" t="s">
        <v>66</v>
      </c>
      <c r="AI744" t="s">
        <v>66</v>
      </c>
      <c r="AJ744" t="s">
        <v>66</v>
      </c>
      <c r="AK744">
        <v>1</v>
      </c>
      <c r="AL744" t="s">
        <v>2677</v>
      </c>
      <c r="AM744" t="s">
        <v>2678</v>
      </c>
      <c r="AN744" t="s">
        <v>66</v>
      </c>
      <c r="AO744" t="s">
        <v>66</v>
      </c>
      <c r="AP744">
        <v>1</v>
      </c>
      <c r="AQ744" t="s">
        <v>66</v>
      </c>
      <c r="AR744" t="s">
        <v>66</v>
      </c>
      <c r="AS744" t="s">
        <v>66</v>
      </c>
      <c r="AT744" t="s">
        <v>66</v>
      </c>
    </row>
    <row r="745" spans="1:46" x14ac:dyDescent="0.15">
      <c r="A745" t="s">
        <v>2684</v>
      </c>
      <c r="B745" t="s">
        <v>2568</v>
      </c>
      <c r="C745" t="s">
        <v>2569</v>
      </c>
      <c r="D745">
        <v>22</v>
      </c>
      <c r="E745" t="s">
        <v>2570</v>
      </c>
      <c r="F745" t="s">
        <v>1551</v>
      </c>
      <c r="G745" t="s">
        <v>51</v>
      </c>
      <c r="H745" t="s">
        <v>2571</v>
      </c>
      <c r="I745" t="s">
        <v>1553</v>
      </c>
      <c r="J745" t="s">
        <v>2572</v>
      </c>
      <c r="K745" t="s">
        <v>1338</v>
      </c>
      <c r="L745" t="s">
        <v>16</v>
      </c>
      <c r="M745" t="s">
        <v>17</v>
      </c>
      <c r="N745">
        <v>1679</v>
      </c>
      <c r="O745">
        <v>92</v>
      </c>
      <c r="P745">
        <v>0</v>
      </c>
      <c r="Q745" t="s">
        <v>2685</v>
      </c>
      <c r="R745" t="s">
        <v>2686</v>
      </c>
      <c r="S745" t="s">
        <v>2687</v>
      </c>
      <c r="T745" t="s">
        <v>2688</v>
      </c>
      <c r="U745" t="s">
        <v>60</v>
      </c>
      <c r="V745" t="s">
        <v>61</v>
      </c>
      <c r="W745">
        <v>10</v>
      </c>
      <c r="X745">
        <v>0.105</v>
      </c>
      <c r="Y745" t="s">
        <v>203</v>
      </c>
      <c r="Z745" t="s">
        <v>204</v>
      </c>
      <c r="AA745">
        <v>1</v>
      </c>
      <c r="AB745" t="s">
        <v>2577</v>
      </c>
      <c r="AC745" t="s">
        <v>2578</v>
      </c>
      <c r="AD745" t="s">
        <v>2579</v>
      </c>
      <c r="AE745" t="s">
        <v>2580</v>
      </c>
      <c r="AF745" t="s">
        <v>2581</v>
      </c>
      <c r="AG745" t="s">
        <v>806</v>
      </c>
      <c r="AH745" t="s">
        <v>66</v>
      </c>
      <c r="AI745" t="s">
        <v>66</v>
      </c>
      <c r="AJ745" t="s">
        <v>66</v>
      </c>
      <c r="AK745">
        <v>1</v>
      </c>
      <c r="AL745" t="s">
        <v>2677</v>
      </c>
      <c r="AM745" t="s">
        <v>2678</v>
      </c>
      <c r="AN745" t="s">
        <v>66</v>
      </c>
      <c r="AO745" t="s">
        <v>66</v>
      </c>
      <c r="AP745">
        <v>1</v>
      </c>
      <c r="AQ745" t="s">
        <v>66</v>
      </c>
      <c r="AR745" t="s">
        <v>66</v>
      </c>
      <c r="AS745" t="s">
        <v>66</v>
      </c>
      <c r="AT745" t="s">
        <v>66</v>
      </c>
    </row>
    <row r="746" spans="1:46" x14ac:dyDescent="0.15">
      <c r="A746" t="s">
        <v>2689</v>
      </c>
      <c r="B746" t="s">
        <v>2568</v>
      </c>
      <c r="C746" t="s">
        <v>2569</v>
      </c>
      <c r="D746">
        <v>23</v>
      </c>
      <c r="E746" t="s">
        <v>2570</v>
      </c>
      <c r="F746" t="s">
        <v>1551</v>
      </c>
      <c r="G746" t="s">
        <v>51</v>
      </c>
      <c r="H746" t="s">
        <v>2571</v>
      </c>
      <c r="I746" t="s">
        <v>1553</v>
      </c>
      <c r="J746" t="s">
        <v>2572</v>
      </c>
      <c r="K746" t="s">
        <v>1338</v>
      </c>
      <c r="L746" t="s">
        <v>16</v>
      </c>
      <c r="M746" t="s">
        <v>17</v>
      </c>
      <c r="N746">
        <v>1735</v>
      </c>
      <c r="O746">
        <v>95</v>
      </c>
      <c r="P746">
        <v>0</v>
      </c>
      <c r="Q746" t="s">
        <v>2690</v>
      </c>
      <c r="R746" t="s">
        <v>2691</v>
      </c>
      <c r="S746" t="s">
        <v>2692</v>
      </c>
      <c r="T746" t="s">
        <v>2693</v>
      </c>
      <c r="U746" t="s">
        <v>60</v>
      </c>
      <c r="V746" t="s">
        <v>61</v>
      </c>
      <c r="W746">
        <v>10</v>
      </c>
      <c r="X746">
        <v>0.105</v>
      </c>
      <c r="Y746" t="s">
        <v>138</v>
      </c>
      <c r="Z746" t="s">
        <v>210</v>
      </c>
      <c r="AA746">
        <v>1</v>
      </c>
      <c r="AB746" t="s">
        <v>2577</v>
      </c>
      <c r="AC746" t="s">
        <v>2578</v>
      </c>
      <c r="AD746" t="s">
        <v>2579</v>
      </c>
      <c r="AE746" t="s">
        <v>2580</v>
      </c>
      <c r="AF746" t="s">
        <v>2581</v>
      </c>
      <c r="AG746" t="s">
        <v>806</v>
      </c>
      <c r="AH746" t="s">
        <v>66</v>
      </c>
      <c r="AI746" t="s">
        <v>66</v>
      </c>
      <c r="AJ746" t="s">
        <v>66</v>
      </c>
      <c r="AK746">
        <v>1</v>
      </c>
      <c r="AL746" t="s">
        <v>2677</v>
      </c>
      <c r="AM746" t="s">
        <v>2678</v>
      </c>
      <c r="AN746" t="s">
        <v>66</v>
      </c>
      <c r="AO746" t="s">
        <v>66</v>
      </c>
      <c r="AP746">
        <v>1</v>
      </c>
      <c r="AQ746" t="s">
        <v>66</v>
      </c>
      <c r="AR746" t="s">
        <v>66</v>
      </c>
      <c r="AS746" t="s">
        <v>66</v>
      </c>
      <c r="AT746" t="s">
        <v>66</v>
      </c>
    </row>
    <row r="747" spans="1:46" x14ac:dyDescent="0.15">
      <c r="A747" t="s">
        <v>2694</v>
      </c>
      <c r="B747" t="s">
        <v>2568</v>
      </c>
      <c r="C747" t="s">
        <v>2569</v>
      </c>
      <c r="D747">
        <v>24</v>
      </c>
      <c r="E747" t="s">
        <v>2570</v>
      </c>
      <c r="F747" t="s">
        <v>1551</v>
      </c>
      <c r="G747" t="s">
        <v>51</v>
      </c>
      <c r="H747" t="s">
        <v>2571</v>
      </c>
      <c r="I747" t="s">
        <v>1553</v>
      </c>
      <c r="J747" t="s">
        <v>2572</v>
      </c>
      <c r="K747" t="s">
        <v>1338</v>
      </c>
      <c r="L747" t="s">
        <v>16</v>
      </c>
      <c r="M747" t="s">
        <v>17</v>
      </c>
      <c r="N747">
        <v>1791</v>
      </c>
      <c r="O747">
        <v>98</v>
      </c>
      <c r="P747">
        <v>0</v>
      </c>
      <c r="Q747" t="s">
        <v>2695</v>
      </c>
      <c r="R747" t="s">
        <v>2696</v>
      </c>
      <c r="S747" t="s">
        <v>2697</v>
      </c>
      <c r="T747" t="s">
        <v>2698</v>
      </c>
      <c r="U747" t="s">
        <v>60</v>
      </c>
      <c r="V747" t="s">
        <v>61</v>
      </c>
      <c r="W747">
        <v>10</v>
      </c>
      <c r="X747">
        <v>0.105</v>
      </c>
      <c r="Y747" t="s">
        <v>216</v>
      </c>
      <c r="Z747" t="s">
        <v>217</v>
      </c>
      <c r="AA747">
        <v>1</v>
      </c>
      <c r="AB747" t="s">
        <v>2577</v>
      </c>
      <c r="AC747" t="s">
        <v>2578</v>
      </c>
      <c r="AD747" t="s">
        <v>2579</v>
      </c>
      <c r="AE747" t="s">
        <v>2580</v>
      </c>
      <c r="AF747" t="s">
        <v>2581</v>
      </c>
      <c r="AG747" t="s">
        <v>806</v>
      </c>
      <c r="AH747" t="s">
        <v>66</v>
      </c>
      <c r="AI747" t="s">
        <v>66</v>
      </c>
      <c r="AJ747" t="s">
        <v>66</v>
      </c>
      <c r="AK747">
        <v>1</v>
      </c>
      <c r="AL747" t="s">
        <v>2677</v>
      </c>
      <c r="AM747" t="s">
        <v>2678</v>
      </c>
      <c r="AN747" t="s">
        <v>66</v>
      </c>
      <c r="AO747" t="s">
        <v>66</v>
      </c>
      <c r="AP747">
        <v>1</v>
      </c>
      <c r="AQ747" t="s">
        <v>66</v>
      </c>
      <c r="AR747" t="s">
        <v>66</v>
      </c>
      <c r="AS747" t="s">
        <v>66</v>
      </c>
      <c r="AT747" t="s">
        <v>66</v>
      </c>
    </row>
    <row r="748" spans="1:46" x14ac:dyDescent="0.15">
      <c r="A748" t="s">
        <v>2699</v>
      </c>
      <c r="B748" t="s">
        <v>2568</v>
      </c>
      <c r="C748" t="s">
        <v>2569</v>
      </c>
      <c r="D748">
        <v>25</v>
      </c>
      <c r="E748" t="s">
        <v>2570</v>
      </c>
      <c r="F748" t="s">
        <v>1551</v>
      </c>
      <c r="G748" t="s">
        <v>51</v>
      </c>
      <c r="H748" t="s">
        <v>2571</v>
      </c>
      <c r="I748" t="s">
        <v>1553</v>
      </c>
      <c r="J748" t="s">
        <v>2572</v>
      </c>
      <c r="K748" t="s">
        <v>1338</v>
      </c>
      <c r="L748" t="s">
        <v>16</v>
      </c>
      <c r="M748" t="s">
        <v>17</v>
      </c>
      <c r="N748">
        <v>1847</v>
      </c>
      <c r="O748">
        <v>101</v>
      </c>
      <c r="P748">
        <v>0</v>
      </c>
      <c r="Q748" t="s">
        <v>2700</v>
      </c>
      <c r="R748" t="s">
        <v>2701</v>
      </c>
      <c r="S748" t="s">
        <v>2702</v>
      </c>
      <c r="T748" t="s">
        <v>2703</v>
      </c>
      <c r="U748" t="s">
        <v>60</v>
      </c>
      <c r="V748" t="s">
        <v>61</v>
      </c>
      <c r="W748">
        <v>10</v>
      </c>
      <c r="X748">
        <v>0.105</v>
      </c>
      <c r="Y748" t="s">
        <v>144</v>
      </c>
      <c r="Z748" t="s">
        <v>223</v>
      </c>
      <c r="AA748">
        <v>1</v>
      </c>
      <c r="AB748" t="s">
        <v>2577</v>
      </c>
      <c r="AC748" t="s">
        <v>2578</v>
      </c>
      <c r="AD748" t="s">
        <v>2579</v>
      </c>
      <c r="AE748" t="s">
        <v>2580</v>
      </c>
      <c r="AF748" t="s">
        <v>2581</v>
      </c>
      <c r="AG748" t="s">
        <v>806</v>
      </c>
      <c r="AH748" t="s">
        <v>66</v>
      </c>
      <c r="AI748" t="s">
        <v>66</v>
      </c>
      <c r="AJ748" t="s">
        <v>66</v>
      </c>
      <c r="AK748">
        <v>1</v>
      </c>
      <c r="AL748" t="s">
        <v>2677</v>
      </c>
      <c r="AM748" t="s">
        <v>2678</v>
      </c>
      <c r="AN748" t="s">
        <v>66</v>
      </c>
      <c r="AO748" t="s">
        <v>66</v>
      </c>
      <c r="AP748">
        <v>1</v>
      </c>
      <c r="AQ748" t="s">
        <v>66</v>
      </c>
      <c r="AR748" t="s">
        <v>66</v>
      </c>
      <c r="AS748" t="s">
        <v>66</v>
      </c>
      <c r="AT748" t="s">
        <v>66</v>
      </c>
    </row>
    <row r="749" spans="1:46" x14ac:dyDescent="0.15">
      <c r="A749" t="s">
        <v>2704</v>
      </c>
      <c r="B749" t="s">
        <v>2568</v>
      </c>
      <c r="C749" t="s">
        <v>2569</v>
      </c>
      <c r="D749">
        <v>26</v>
      </c>
      <c r="E749" t="s">
        <v>2570</v>
      </c>
      <c r="F749" t="s">
        <v>1551</v>
      </c>
      <c r="G749" t="s">
        <v>51</v>
      </c>
      <c r="H749" t="s">
        <v>2571</v>
      </c>
      <c r="I749" t="s">
        <v>1553</v>
      </c>
      <c r="J749" t="s">
        <v>2572</v>
      </c>
      <c r="K749" t="s">
        <v>1338</v>
      </c>
      <c r="L749" t="s">
        <v>16</v>
      </c>
      <c r="M749" t="s">
        <v>17</v>
      </c>
      <c r="N749">
        <v>1903</v>
      </c>
      <c r="O749">
        <v>104</v>
      </c>
      <c r="P749">
        <v>0</v>
      </c>
      <c r="Q749" t="s">
        <v>2705</v>
      </c>
      <c r="R749" t="s">
        <v>2706</v>
      </c>
      <c r="S749" t="s">
        <v>2707</v>
      </c>
      <c r="T749" t="s">
        <v>2708</v>
      </c>
      <c r="U749" t="s">
        <v>60</v>
      </c>
      <c r="V749" t="s">
        <v>61</v>
      </c>
      <c r="W749">
        <v>10</v>
      </c>
      <c r="X749">
        <v>0.105</v>
      </c>
      <c r="Y749" t="s">
        <v>229</v>
      </c>
      <c r="Z749" t="s">
        <v>230</v>
      </c>
      <c r="AA749">
        <v>1</v>
      </c>
      <c r="AB749" t="s">
        <v>2577</v>
      </c>
      <c r="AC749" t="s">
        <v>2578</v>
      </c>
      <c r="AD749" t="s">
        <v>2579</v>
      </c>
      <c r="AE749" t="s">
        <v>2580</v>
      </c>
      <c r="AF749" t="s">
        <v>2581</v>
      </c>
      <c r="AG749" t="s">
        <v>806</v>
      </c>
      <c r="AH749" t="s">
        <v>66</v>
      </c>
      <c r="AI749" t="s">
        <v>66</v>
      </c>
      <c r="AJ749" t="s">
        <v>66</v>
      </c>
      <c r="AK749">
        <v>1</v>
      </c>
      <c r="AL749" t="s">
        <v>2677</v>
      </c>
      <c r="AM749" t="s">
        <v>2678</v>
      </c>
      <c r="AN749" t="s">
        <v>66</v>
      </c>
      <c r="AO749" t="s">
        <v>66</v>
      </c>
      <c r="AP749">
        <v>1</v>
      </c>
      <c r="AQ749" t="s">
        <v>66</v>
      </c>
      <c r="AR749" t="s">
        <v>66</v>
      </c>
      <c r="AS749" t="s">
        <v>66</v>
      </c>
      <c r="AT749" t="s">
        <v>66</v>
      </c>
    </row>
    <row r="750" spans="1:46" x14ac:dyDescent="0.15">
      <c r="A750" t="s">
        <v>2709</v>
      </c>
      <c r="B750" t="s">
        <v>2568</v>
      </c>
      <c r="C750" t="s">
        <v>2569</v>
      </c>
      <c r="D750">
        <v>27</v>
      </c>
      <c r="E750" t="s">
        <v>2570</v>
      </c>
      <c r="F750" t="s">
        <v>1551</v>
      </c>
      <c r="G750" t="s">
        <v>51</v>
      </c>
      <c r="H750" t="s">
        <v>2571</v>
      </c>
      <c r="I750" t="s">
        <v>1553</v>
      </c>
      <c r="J750" t="s">
        <v>2572</v>
      </c>
      <c r="K750" t="s">
        <v>1338</v>
      </c>
      <c r="L750" t="s">
        <v>16</v>
      </c>
      <c r="M750" t="s">
        <v>17</v>
      </c>
      <c r="N750">
        <v>1959</v>
      </c>
      <c r="O750">
        <v>107</v>
      </c>
      <c r="P750">
        <v>0</v>
      </c>
      <c r="Q750" t="s">
        <v>2710</v>
      </c>
      <c r="R750" t="s">
        <v>2711</v>
      </c>
      <c r="S750" t="s">
        <v>2712</v>
      </c>
      <c r="T750" t="s">
        <v>2713</v>
      </c>
      <c r="U750" t="s">
        <v>60</v>
      </c>
      <c r="V750" t="s">
        <v>61</v>
      </c>
      <c r="W750">
        <v>10</v>
      </c>
      <c r="X750">
        <v>0.105</v>
      </c>
      <c r="Y750" t="s">
        <v>151</v>
      </c>
      <c r="Z750" t="s">
        <v>236</v>
      </c>
      <c r="AA750">
        <v>1</v>
      </c>
      <c r="AB750" t="s">
        <v>2577</v>
      </c>
      <c r="AC750" t="s">
        <v>2578</v>
      </c>
      <c r="AD750" t="s">
        <v>2579</v>
      </c>
      <c r="AE750" t="s">
        <v>2580</v>
      </c>
      <c r="AF750" t="s">
        <v>2581</v>
      </c>
      <c r="AG750" t="s">
        <v>806</v>
      </c>
      <c r="AH750" t="s">
        <v>66</v>
      </c>
      <c r="AI750" t="s">
        <v>66</v>
      </c>
      <c r="AJ750" t="s">
        <v>66</v>
      </c>
      <c r="AK750">
        <v>1</v>
      </c>
      <c r="AL750" t="s">
        <v>2677</v>
      </c>
      <c r="AM750" t="s">
        <v>2678</v>
      </c>
      <c r="AN750" t="s">
        <v>66</v>
      </c>
      <c r="AO750" t="s">
        <v>66</v>
      </c>
      <c r="AP750">
        <v>1</v>
      </c>
      <c r="AQ750" t="s">
        <v>66</v>
      </c>
      <c r="AR750" t="s">
        <v>66</v>
      </c>
      <c r="AS750" t="s">
        <v>66</v>
      </c>
      <c r="AT750" t="s">
        <v>66</v>
      </c>
    </row>
    <row r="751" spans="1:46" x14ac:dyDescent="0.15">
      <c r="A751" t="s">
        <v>2714</v>
      </c>
      <c r="B751" t="s">
        <v>2568</v>
      </c>
      <c r="C751" t="s">
        <v>2569</v>
      </c>
      <c r="D751">
        <v>28</v>
      </c>
      <c r="E751" t="s">
        <v>2570</v>
      </c>
      <c r="F751" t="s">
        <v>1551</v>
      </c>
      <c r="G751" t="s">
        <v>51</v>
      </c>
      <c r="H751" t="s">
        <v>2571</v>
      </c>
      <c r="I751" t="s">
        <v>1553</v>
      </c>
      <c r="J751" t="s">
        <v>2572</v>
      </c>
      <c r="K751" t="s">
        <v>1338</v>
      </c>
      <c r="L751" t="s">
        <v>16</v>
      </c>
      <c r="M751" t="s">
        <v>17</v>
      </c>
      <c r="N751">
        <v>2015</v>
      </c>
      <c r="O751">
        <v>110</v>
      </c>
      <c r="P751">
        <v>0</v>
      </c>
      <c r="Q751" t="s">
        <v>2715</v>
      </c>
      <c r="R751" t="s">
        <v>2716</v>
      </c>
      <c r="S751" t="s">
        <v>2717</v>
      </c>
      <c r="T751" t="s">
        <v>2718</v>
      </c>
      <c r="U751" t="s">
        <v>60</v>
      </c>
      <c r="V751" t="s">
        <v>61</v>
      </c>
      <c r="W751">
        <v>10</v>
      </c>
      <c r="X751">
        <v>0.105</v>
      </c>
      <c r="Y751" t="s">
        <v>242</v>
      </c>
      <c r="Z751" t="s">
        <v>243</v>
      </c>
      <c r="AA751">
        <v>1</v>
      </c>
      <c r="AB751" t="s">
        <v>2577</v>
      </c>
      <c r="AC751" t="s">
        <v>2578</v>
      </c>
      <c r="AD751" t="s">
        <v>2579</v>
      </c>
      <c r="AE751" t="s">
        <v>2580</v>
      </c>
      <c r="AF751" t="s">
        <v>2581</v>
      </c>
      <c r="AG751" t="s">
        <v>806</v>
      </c>
      <c r="AH751" t="s">
        <v>66</v>
      </c>
      <c r="AI751" t="s">
        <v>66</v>
      </c>
      <c r="AJ751" t="s">
        <v>66</v>
      </c>
      <c r="AK751">
        <v>1</v>
      </c>
      <c r="AL751" t="s">
        <v>2677</v>
      </c>
      <c r="AM751" t="s">
        <v>2678</v>
      </c>
      <c r="AN751" t="s">
        <v>66</v>
      </c>
      <c r="AO751" t="s">
        <v>66</v>
      </c>
      <c r="AP751">
        <v>1</v>
      </c>
      <c r="AQ751" t="s">
        <v>66</v>
      </c>
      <c r="AR751" t="s">
        <v>66</v>
      </c>
      <c r="AS751" t="s">
        <v>66</v>
      </c>
      <c r="AT751" t="s">
        <v>66</v>
      </c>
    </row>
    <row r="752" spans="1:46" x14ac:dyDescent="0.15">
      <c r="A752" t="s">
        <v>2719</v>
      </c>
      <c r="B752" t="s">
        <v>2568</v>
      </c>
      <c r="C752" t="s">
        <v>2569</v>
      </c>
      <c r="D752">
        <v>29</v>
      </c>
      <c r="E752" t="s">
        <v>2570</v>
      </c>
      <c r="F752" t="s">
        <v>1551</v>
      </c>
      <c r="G752" t="s">
        <v>51</v>
      </c>
      <c r="H752" t="s">
        <v>2571</v>
      </c>
      <c r="I752" t="s">
        <v>1553</v>
      </c>
      <c r="J752" t="s">
        <v>2572</v>
      </c>
      <c r="K752" t="s">
        <v>1338</v>
      </c>
      <c r="L752" t="s">
        <v>16</v>
      </c>
      <c r="M752" t="s">
        <v>17</v>
      </c>
      <c r="N752">
        <v>2071</v>
      </c>
      <c r="O752">
        <v>113</v>
      </c>
      <c r="P752">
        <v>0</v>
      </c>
      <c r="Q752" t="s">
        <v>2720</v>
      </c>
      <c r="R752" t="s">
        <v>2721</v>
      </c>
      <c r="S752" t="s">
        <v>2722</v>
      </c>
      <c r="T752" t="s">
        <v>2723</v>
      </c>
      <c r="U752" t="s">
        <v>60</v>
      </c>
      <c r="V752" t="s">
        <v>61</v>
      </c>
      <c r="W752">
        <v>10</v>
      </c>
      <c r="X752">
        <v>0.105</v>
      </c>
      <c r="Y752" t="s">
        <v>157</v>
      </c>
      <c r="Z752" t="s">
        <v>249</v>
      </c>
      <c r="AA752">
        <v>1</v>
      </c>
      <c r="AB752" t="s">
        <v>2577</v>
      </c>
      <c r="AC752" t="s">
        <v>2578</v>
      </c>
      <c r="AD752" t="s">
        <v>2579</v>
      </c>
      <c r="AE752" t="s">
        <v>2580</v>
      </c>
      <c r="AF752" t="s">
        <v>2581</v>
      </c>
      <c r="AG752" t="s">
        <v>806</v>
      </c>
      <c r="AH752" t="s">
        <v>66</v>
      </c>
      <c r="AI752" t="s">
        <v>66</v>
      </c>
      <c r="AJ752" t="s">
        <v>66</v>
      </c>
      <c r="AK752">
        <v>1</v>
      </c>
      <c r="AL752" t="s">
        <v>2677</v>
      </c>
      <c r="AM752" t="s">
        <v>2678</v>
      </c>
      <c r="AN752" t="s">
        <v>66</v>
      </c>
      <c r="AO752" t="s">
        <v>66</v>
      </c>
      <c r="AP752">
        <v>1</v>
      </c>
      <c r="AQ752" t="s">
        <v>66</v>
      </c>
      <c r="AR752" t="s">
        <v>66</v>
      </c>
      <c r="AS752" t="s">
        <v>66</v>
      </c>
      <c r="AT752" t="s">
        <v>66</v>
      </c>
    </row>
    <row r="753" spans="1:46" x14ac:dyDescent="0.15">
      <c r="A753" t="s">
        <v>2724</v>
      </c>
      <c r="B753" t="s">
        <v>2568</v>
      </c>
      <c r="C753" t="s">
        <v>2569</v>
      </c>
      <c r="D753">
        <v>30</v>
      </c>
      <c r="E753" t="s">
        <v>2570</v>
      </c>
      <c r="F753" t="s">
        <v>1551</v>
      </c>
      <c r="G753" t="s">
        <v>51</v>
      </c>
      <c r="H753" t="s">
        <v>2571</v>
      </c>
      <c r="I753" t="s">
        <v>1553</v>
      </c>
      <c r="J753" t="s">
        <v>2572</v>
      </c>
      <c r="K753" t="s">
        <v>1338</v>
      </c>
      <c r="L753" t="s">
        <v>16</v>
      </c>
      <c r="M753" t="s">
        <v>17</v>
      </c>
      <c r="N753">
        <v>2128</v>
      </c>
      <c r="O753">
        <v>116</v>
      </c>
      <c r="P753">
        <v>0</v>
      </c>
      <c r="Q753" t="s">
        <v>2725</v>
      </c>
      <c r="R753" t="s">
        <v>2726</v>
      </c>
      <c r="S753" t="s">
        <v>2727</v>
      </c>
      <c r="T753" t="s">
        <v>2728</v>
      </c>
      <c r="U753" t="s">
        <v>60</v>
      </c>
      <c r="V753" t="s">
        <v>61</v>
      </c>
      <c r="W753">
        <v>10</v>
      </c>
      <c r="X753">
        <v>0.105</v>
      </c>
      <c r="Y753" t="s">
        <v>255</v>
      </c>
      <c r="Z753" t="s">
        <v>256</v>
      </c>
      <c r="AA753">
        <v>1</v>
      </c>
      <c r="AB753" t="s">
        <v>2577</v>
      </c>
      <c r="AC753" t="s">
        <v>2578</v>
      </c>
      <c r="AD753" t="s">
        <v>2579</v>
      </c>
      <c r="AE753" t="s">
        <v>2580</v>
      </c>
      <c r="AF753" t="s">
        <v>2581</v>
      </c>
      <c r="AG753" t="s">
        <v>806</v>
      </c>
      <c r="AH753" t="s">
        <v>66</v>
      </c>
      <c r="AI753" t="s">
        <v>66</v>
      </c>
      <c r="AJ753" t="s">
        <v>66</v>
      </c>
      <c r="AK753">
        <v>1</v>
      </c>
      <c r="AL753" t="s">
        <v>2677</v>
      </c>
      <c r="AM753" t="s">
        <v>2678</v>
      </c>
      <c r="AN753" t="s">
        <v>66</v>
      </c>
      <c r="AO753" t="s">
        <v>66</v>
      </c>
      <c r="AP753">
        <v>1</v>
      </c>
      <c r="AQ753" t="s">
        <v>66</v>
      </c>
      <c r="AR753" t="s">
        <v>66</v>
      </c>
      <c r="AS753" t="s">
        <v>66</v>
      </c>
      <c r="AT753" t="s">
        <v>66</v>
      </c>
    </row>
    <row r="754" spans="1:46" x14ac:dyDescent="0.15">
      <c r="A754" t="s">
        <v>2729</v>
      </c>
      <c r="B754" t="s">
        <v>2568</v>
      </c>
      <c r="C754" t="s">
        <v>2569</v>
      </c>
      <c r="D754">
        <v>31</v>
      </c>
      <c r="E754" t="s">
        <v>2570</v>
      </c>
      <c r="F754" t="s">
        <v>1551</v>
      </c>
      <c r="G754" t="s">
        <v>51</v>
      </c>
      <c r="H754" t="s">
        <v>2571</v>
      </c>
      <c r="I754" t="s">
        <v>1553</v>
      </c>
      <c r="J754" t="s">
        <v>2572</v>
      </c>
      <c r="K754" t="s">
        <v>1338</v>
      </c>
      <c r="L754" t="s">
        <v>16</v>
      </c>
      <c r="M754" t="s">
        <v>17</v>
      </c>
      <c r="N754">
        <v>2184</v>
      </c>
      <c r="O754">
        <v>119</v>
      </c>
      <c r="P754">
        <v>0</v>
      </c>
      <c r="Q754" t="s">
        <v>2730</v>
      </c>
      <c r="R754" t="s">
        <v>2731</v>
      </c>
      <c r="S754" t="s">
        <v>2732</v>
      </c>
      <c r="T754" t="s">
        <v>2733</v>
      </c>
      <c r="U754" t="s">
        <v>60</v>
      </c>
      <c r="V754" t="s">
        <v>61</v>
      </c>
      <c r="W754">
        <v>10</v>
      </c>
      <c r="X754">
        <v>0.105</v>
      </c>
      <c r="Y754" t="s">
        <v>164</v>
      </c>
      <c r="Z754" t="s">
        <v>262</v>
      </c>
      <c r="AA754">
        <v>1</v>
      </c>
      <c r="AB754" t="s">
        <v>2577</v>
      </c>
      <c r="AC754" t="s">
        <v>2578</v>
      </c>
      <c r="AD754" t="s">
        <v>2579</v>
      </c>
      <c r="AE754" t="s">
        <v>2580</v>
      </c>
      <c r="AF754" t="s">
        <v>2581</v>
      </c>
      <c r="AG754" t="s">
        <v>806</v>
      </c>
      <c r="AH754" t="s">
        <v>66</v>
      </c>
      <c r="AI754" t="s">
        <v>66</v>
      </c>
      <c r="AJ754" t="s">
        <v>66</v>
      </c>
      <c r="AK754">
        <v>1</v>
      </c>
      <c r="AL754" t="s">
        <v>2677</v>
      </c>
      <c r="AM754" t="s">
        <v>2678</v>
      </c>
      <c r="AN754" t="s">
        <v>66</v>
      </c>
      <c r="AO754" t="s">
        <v>66</v>
      </c>
      <c r="AP754">
        <v>1</v>
      </c>
      <c r="AQ754" t="s">
        <v>66</v>
      </c>
      <c r="AR754" t="s">
        <v>66</v>
      </c>
      <c r="AS754" t="s">
        <v>66</v>
      </c>
      <c r="AT754" t="s">
        <v>66</v>
      </c>
    </row>
    <row r="755" spans="1:46" x14ac:dyDescent="0.15">
      <c r="A755" t="s">
        <v>2734</v>
      </c>
      <c r="B755" t="s">
        <v>2568</v>
      </c>
      <c r="C755" t="s">
        <v>2569</v>
      </c>
      <c r="D755">
        <v>32</v>
      </c>
      <c r="E755" t="s">
        <v>2570</v>
      </c>
      <c r="F755" t="s">
        <v>1551</v>
      </c>
      <c r="G755" t="s">
        <v>51</v>
      </c>
      <c r="H755" t="s">
        <v>2571</v>
      </c>
      <c r="I755" t="s">
        <v>1553</v>
      </c>
      <c r="J755" t="s">
        <v>2572</v>
      </c>
      <c r="K755" t="s">
        <v>1338</v>
      </c>
      <c r="L755" t="s">
        <v>16</v>
      </c>
      <c r="M755" t="s">
        <v>17</v>
      </c>
      <c r="N755">
        <v>2240</v>
      </c>
      <c r="O755">
        <v>122</v>
      </c>
      <c r="P755">
        <v>0</v>
      </c>
      <c r="Q755" t="s">
        <v>2735</v>
      </c>
      <c r="R755" t="s">
        <v>2736</v>
      </c>
      <c r="S755" t="s">
        <v>2737</v>
      </c>
      <c r="T755" t="s">
        <v>2738</v>
      </c>
      <c r="U755" t="s">
        <v>60</v>
      </c>
      <c r="V755" t="s">
        <v>61</v>
      </c>
      <c r="W755">
        <v>10</v>
      </c>
      <c r="X755">
        <v>0.105</v>
      </c>
      <c r="Y755" t="s">
        <v>268</v>
      </c>
      <c r="Z755" t="s">
        <v>269</v>
      </c>
      <c r="AA755">
        <v>1</v>
      </c>
      <c r="AB755" t="s">
        <v>2577</v>
      </c>
      <c r="AC755" t="s">
        <v>2578</v>
      </c>
      <c r="AD755" t="s">
        <v>2579</v>
      </c>
      <c r="AE755" t="s">
        <v>2580</v>
      </c>
      <c r="AF755" t="s">
        <v>2581</v>
      </c>
      <c r="AG755" t="s">
        <v>806</v>
      </c>
      <c r="AH755" t="s">
        <v>66</v>
      </c>
      <c r="AI755" t="s">
        <v>66</v>
      </c>
      <c r="AJ755" t="s">
        <v>66</v>
      </c>
      <c r="AK755">
        <v>1</v>
      </c>
      <c r="AL755" t="s">
        <v>2677</v>
      </c>
      <c r="AM755" t="s">
        <v>2678</v>
      </c>
      <c r="AN755" t="s">
        <v>66</v>
      </c>
      <c r="AO755" t="s">
        <v>66</v>
      </c>
      <c r="AP755">
        <v>1</v>
      </c>
      <c r="AQ755" t="s">
        <v>66</v>
      </c>
      <c r="AR755" t="s">
        <v>66</v>
      </c>
      <c r="AS755" t="s">
        <v>66</v>
      </c>
      <c r="AT755" t="s">
        <v>66</v>
      </c>
    </row>
    <row r="756" spans="1:46" x14ac:dyDescent="0.15">
      <c r="A756" t="s">
        <v>2739</v>
      </c>
      <c r="B756" t="s">
        <v>2568</v>
      </c>
      <c r="C756" t="s">
        <v>2569</v>
      </c>
      <c r="D756">
        <v>33</v>
      </c>
      <c r="E756" t="s">
        <v>2570</v>
      </c>
      <c r="F756" t="s">
        <v>1551</v>
      </c>
      <c r="G756" t="s">
        <v>51</v>
      </c>
      <c r="H756" t="s">
        <v>2571</v>
      </c>
      <c r="I756" t="s">
        <v>1553</v>
      </c>
      <c r="J756" t="s">
        <v>2572</v>
      </c>
      <c r="K756" t="s">
        <v>1338</v>
      </c>
      <c r="L756" t="s">
        <v>16</v>
      </c>
      <c r="M756" t="s">
        <v>17</v>
      </c>
      <c r="N756">
        <v>2296</v>
      </c>
      <c r="O756">
        <v>125</v>
      </c>
      <c r="P756">
        <v>0</v>
      </c>
      <c r="Q756" t="s">
        <v>2740</v>
      </c>
      <c r="R756" t="s">
        <v>2741</v>
      </c>
      <c r="S756" t="s">
        <v>2742</v>
      </c>
      <c r="T756" t="s">
        <v>2743</v>
      </c>
      <c r="U756" t="s">
        <v>60</v>
      </c>
      <c r="V756" t="s">
        <v>61</v>
      </c>
      <c r="W756">
        <v>10</v>
      </c>
      <c r="X756">
        <v>0.105</v>
      </c>
      <c r="Y756" t="s">
        <v>170</v>
      </c>
      <c r="Z756" t="s">
        <v>275</v>
      </c>
      <c r="AA756">
        <v>1</v>
      </c>
      <c r="AB756" t="s">
        <v>2577</v>
      </c>
      <c r="AC756" t="s">
        <v>2578</v>
      </c>
      <c r="AD756" t="s">
        <v>2579</v>
      </c>
      <c r="AE756" t="s">
        <v>2580</v>
      </c>
      <c r="AF756" t="s">
        <v>2581</v>
      </c>
      <c r="AG756" t="s">
        <v>806</v>
      </c>
      <c r="AH756" t="s">
        <v>66</v>
      </c>
      <c r="AI756" t="s">
        <v>66</v>
      </c>
      <c r="AJ756" t="s">
        <v>66</v>
      </c>
      <c r="AK756">
        <v>1</v>
      </c>
      <c r="AL756" t="s">
        <v>2677</v>
      </c>
      <c r="AM756" t="s">
        <v>2678</v>
      </c>
      <c r="AN756" t="s">
        <v>66</v>
      </c>
      <c r="AO756" t="s">
        <v>66</v>
      </c>
      <c r="AP756">
        <v>1</v>
      </c>
      <c r="AQ756" t="s">
        <v>66</v>
      </c>
      <c r="AR756" t="s">
        <v>66</v>
      </c>
      <c r="AS756" t="s">
        <v>66</v>
      </c>
      <c r="AT756" t="s">
        <v>66</v>
      </c>
    </row>
    <row r="757" spans="1:46" x14ac:dyDescent="0.15">
      <c r="A757" t="s">
        <v>2744</v>
      </c>
      <c r="B757" t="s">
        <v>2568</v>
      </c>
      <c r="C757" t="s">
        <v>2569</v>
      </c>
      <c r="D757">
        <v>34</v>
      </c>
      <c r="E757" t="s">
        <v>2570</v>
      </c>
      <c r="F757" t="s">
        <v>1551</v>
      </c>
      <c r="G757" t="s">
        <v>51</v>
      </c>
      <c r="H757" t="s">
        <v>2571</v>
      </c>
      <c r="I757" t="s">
        <v>1553</v>
      </c>
      <c r="J757" t="s">
        <v>2572</v>
      </c>
      <c r="K757" t="s">
        <v>1338</v>
      </c>
      <c r="L757" t="s">
        <v>16</v>
      </c>
      <c r="M757" t="s">
        <v>17</v>
      </c>
      <c r="N757">
        <v>2352</v>
      </c>
      <c r="O757">
        <v>128</v>
      </c>
      <c r="P757">
        <v>0</v>
      </c>
      <c r="Q757" t="s">
        <v>2745</v>
      </c>
      <c r="R757" t="s">
        <v>2746</v>
      </c>
      <c r="S757" t="s">
        <v>2747</v>
      </c>
      <c r="T757" t="s">
        <v>2748</v>
      </c>
      <c r="U757" t="s">
        <v>60</v>
      </c>
      <c r="V757" t="s">
        <v>61</v>
      </c>
      <c r="W757">
        <v>10</v>
      </c>
      <c r="X757">
        <v>0.105</v>
      </c>
      <c r="Y757" t="s">
        <v>281</v>
      </c>
      <c r="Z757" t="s">
        <v>282</v>
      </c>
      <c r="AA757">
        <v>1</v>
      </c>
      <c r="AB757" t="s">
        <v>2577</v>
      </c>
      <c r="AC757" t="s">
        <v>2578</v>
      </c>
      <c r="AD757" t="s">
        <v>2579</v>
      </c>
      <c r="AE757" t="s">
        <v>2580</v>
      </c>
      <c r="AF757" t="s">
        <v>2581</v>
      </c>
      <c r="AG757" t="s">
        <v>806</v>
      </c>
      <c r="AH757" t="s">
        <v>66</v>
      </c>
      <c r="AI757" t="s">
        <v>66</v>
      </c>
      <c r="AJ757" t="s">
        <v>66</v>
      </c>
      <c r="AK757">
        <v>1</v>
      </c>
      <c r="AL757" t="s">
        <v>2677</v>
      </c>
      <c r="AM757" t="s">
        <v>2678</v>
      </c>
      <c r="AN757" t="s">
        <v>66</v>
      </c>
      <c r="AO757" t="s">
        <v>66</v>
      </c>
      <c r="AP757">
        <v>1</v>
      </c>
      <c r="AQ757" t="s">
        <v>66</v>
      </c>
      <c r="AR757" t="s">
        <v>66</v>
      </c>
      <c r="AS757" t="s">
        <v>66</v>
      </c>
      <c r="AT757" t="s">
        <v>66</v>
      </c>
    </row>
    <row r="758" spans="1:46" x14ac:dyDescent="0.15">
      <c r="A758" t="s">
        <v>2749</v>
      </c>
      <c r="B758" t="s">
        <v>2568</v>
      </c>
      <c r="C758" t="s">
        <v>2569</v>
      </c>
      <c r="D758">
        <v>35</v>
      </c>
      <c r="E758" t="s">
        <v>2570</v>
      </c>
      <c r="F758" t="s">
        <v>1551</v>
      </c>
      <c r="G758" t="s">
        <v>51</v>
      </c>
      <c r="H758" t="s">
        <v>2571</v>
      </c>
      <c r="I758" t="s">
        <v>1553</v>
      </c>
      <c r="J758" t="s">
        <v>2572</v>
      </c>
      <c r="K758" t="s">
        <v>1338</v>
      </c>
      <c r="L758" t="s">
        <v>16</v>
      </c>
      <c r="M758" t="s">
        <v>17</v>
      </c>
      <c r="N758">
        <v>2408</v>
      </c>
      <c r="O758">
        <v>131</v>
      </c>
      <c r="P758">
        <v>0</v>
      </c>
      <c r="Q758" t="s">
        <v>2750</v>
      </c>
      <c r="R758" t="s">
        <v>2751</v>
      </c>
      <c r="S758" t="s">
        <v>2752</v>
      </c>
      <c r="T758" t="s">
        <v>2753</v>
      </c>
      <c r="U758" t="s">
        <v>60</v>
      </c>
      <c r="V758" t="s">
        <v>61</v>
      </c>
      <c r="W758">
        <v>10</v>
      </c>
      <c r="X758">
        <v>0.105</v>
      </c>
      <c r="Y758" t="s">
        <v>177</v>
      </c>
      <c r="Z758" t="s">
        <v>288</v>
      </c>
      <c r="AA758">
        <v>1</v>
      </c>
      <c r="AB758" t="s">
        <v>2577</v>
      </c>
      <c r="AC758" t="s">
        <v>2578</v>
      </c>
      <c r="AD758" t="s">
        <v>2579</v>
      </c>
      <c r="AE758" t="s">
        <v>2580</v>
      </c>
      <c r="AF758" t="s">
        <v>2581</v>
      </c>
      <c r="AG758" t="s">
        <v>806</v>
      </c>
      <c r="AH758" t="s">
        <v>66</v>
      </c>
      <c r="AI758" t="s">
        <v>66</v>
      </c>
      <c r="AJ758" t="s">
        <v>66</v>
      </c>
      <c r="AK758">
        <v>1</v>
      </c>
      <c r="AL758" t="s">
        <v>2677</v>
      </c>
      <c r="AM758" t="s">
        <v>2678</v>
      </c>
      <c r="AN758" t="s">
        <v>66</v>
      </c>
      <c r="AO758" t="s">
        <v>66</v>
      </c>
      <c r="AP758">
        <v>1</v>
      </c>
      <c r="AQ758" t="s">
        <v>66</v>
      </c>
      <c r="AR758" t="s">
        <v>66</v>
      </c>
      <c r="AS758" t="s">
        <v>66</v>
      </c>
      <c r="AT758" t="s">
        <v>66</v>
      </c>
    </row>
    <row r="759" spans="1:46" x14ac:dyDescent="0.15">
      <c r="A759" t="s">
        <v>2754</v>
      </c>
      <c r="B759" t="s">
        <v>2568</v>
      </c>
      <c r="C759" t="s">
        <v>2569</v>
      </c>
      <c r="D759">
        <v>36</v>
      </c>
      <c r="E759" t="s">
        <v>2570</v>
      </c>
      <c r="F759" t="s">
        <v>1551</v>
      </c>
      <c r="G759" t="s">
        <v>51</v>
      </c>
      <c r="H759" t="s">
        <v>2571</v>
      </c>
      <c r="I759" t="s">
        <v>1553</v>
      </c>
      <c r="J759" t="s">
        <v>2572</v>
      </c>
      <c r="K759" t="s">
        <v>1338</v>
      </c>
      <c r="L759" t="s">
        <v>16</v>
      </c>
      <c r="M759" t="s">
        <v>17</v>
      </c>
      <c r="N759">
        <v>2464</v>
      </c>
      <c r="O759">
        <v>134</v>
      </c>
      <c r="P759">
        <v>0</v>
      </c>
      <c r="Q759" t="s">
        <v>2755</v>
      </c>
      <c r="R759" t="s">
        <v>2756</v>
      </c>
      <c r="S759" t="s">
        <v>2757</v>
      </c>
      <c r="T759" t="s">
        <v>2758</v>
      </c>
      <c r="U759" t="s">
        <v>60</v>
      </c>
      <c r="V759" t="s">
        <v>61</v>
      </c>
      <c r="W759">
        <v>10</v>
      </c>
      <c r="X759">
        <v>0.105</v>
      </c>
      <c r="Y759" t="s">
        <v>294</v>
      </c>
      <c r="Z759" t="s">
        <v>295</v>
      </c>
      <c r="AA759">
        <v>1</v>
      </c>
      <c r="AB759" t="s">
        <v>2577</v>
      </c>
      <c r="AC759" t="s">
        <v>2578</v>
      </c>
      <c r="AD759" t="s">
        <v>2579</v>
      </c>
      <c r="AE759" t="s">
        <v>2580</v>
      </c>
      <c r="AF759" t="s">
        <v>2581</v>
      </c>
      <c r="AG759" t="s">
        <v>806</v>
      </c>
      <c r="AH759" t="s">
        <v>66</v>
      </c>
      <c r="AI759" t="s">
        <v>66</v>
      </c>
      <c r="AJ759" t="s">
        <v>66</v>
      </c>
      <c r="AK759">
        <v>1</v>
      </c>
      <c r="AL759" t="s">
        <v>2677</v>
      </c>
      <c r="AM759" t="s">
        <v>2678</v>
      </c>
      <c r="AN759" t="s">
        <v>66</v>
      </c>
      <c r="AO759" t="s">
        <v>66</v>
      </c>
      <c r="AP759">
        <v>1</v>
      </c>
      <c r="AQ759" t="s">
        <v>66</v>
      </c>
      <c r="AR759" t="s">
        <v>66</v>
      </c>
      <c r="AS759" t="s">
        <v>66</v>
      </c>
      <c r="AT759" t="s">
        <v>66</v>
      </c>
    </row>
    <row r="760" spans="1:46" x14ac:dyDescent="0.15">
      <c r="A760" t="s">
        <v>2759</v>
      </c>
      <c r="B760" t="s">
        <v>2568</v>
      </c>
      <c r="C760" t="s">
        <v>2569</v>
      </c>
      <c r="D760">
        <v>37</v>
      </c>
      <c r="E760" t="s">
        <v>2570</v>
      </c>
      <c r="F760" t="s">
        <v>1551</v>
      </c>
      <c r="G760" t="s">
        <v>51</v>
      </c>
      <c r="H760" t="s">
        <v>2571</v>
      </c>
      <c r="I760" t="s">
        <v>1553</v>
      </c>
      <c r="J760" t="s">
        <v>2572</v>
      </c>
      <c r="K760" t="s">
        <v>1338</v>
      </c>
      <c r="L760" t="s">
        <v>16</v>
      </c>
      <c r="M760" t="s">
        <v>17</v>
      </c>
      <c r="N760">
        <v>2520</v>
      </c>
      <c r="O760">
        <v>137</v>
      </c>
      <c r="P760">
        <v>0</v>
      </c>
      <c r="Q760" t="s">
        <v>2760</v>
      </c>
      <c r="R760" t="s">
        <v>2761</v>
      </c>
      <c r="S760" t="s">
        <v>2762</v>
      </c>
      <c r="T760" t="s">
        <v>2763</v>
      </c>
      <c r="U760" t="s">
        <v>60</v>
      </c>
      <c r="V760" t="s">
        <v>61</v>
      </c>
      <c r="W760">
        <v>10</v>
      </c>
      <c r="X760">
        <v>0.105</v>
      </c>
      <c r="Y760" t="s">
        <v>183</v>
      </c>
      <c r="Z760" t="s">
        <v>301</v>
      </c>
      <c r="AA760">
        <v>1</v>
      </c>
      <c r="AB760" t="s">
        <v>2577</v>
      </c>
      <c r="AC760" t="s">
        <v>2578</v>
      </c>
      <c r="AD760" t="s">
        <v>2579</v>
      </c>
      <c r="AE760" t="s">
        <v>2580</v>
      </c>
      <c r="AF760" t="s">
        <v>2581</v>
      </c>
      <c r="AG760" t="s">
        <v>806</v>
      </c>
      <c r="AH760" t="s">
        <v>66</v>
      </c>
      <c r="AI760" t="s">
        <v>66</v>
      </c>
      <c r="AJ760" t="s">
        <v>66</v>
      </c>
      <c r="AK760">
        <v>1</v>
      </c>
      <c r="AL760" t="s">
        <v>2677</v>
      </c>
      <c r="AM760" t="s">
        <v>2678</v>
      </c>
      <c r="AN760" t="s">
        <v>66</v>
      </c>
      <c r="AO760" t="s">
        <v>66</v>
      </c>
      <c r="AP760">
        <v>1</v>
      </c>
      <c r="AQ760" t="s">
        <v>66</v>
      </c>
      <c r="AR760" t="s">
        <v>66</v>
      </c>
      <c r="AS760" t="s">
        <v>66</v>
      </c>
      <c r="AT760" t="s">
        <v>66</v>
      </c>
    </row>
    <row r="761" spans="1:46" x14ac:dyDescent="0.15">
      <c r="A761" t="s">
        <v>2764</v>
      </c>
      <c r="B761" t="s">
        <v>2568</v>
      </c>
      <c r="C761" t="s">
        <v>2569</v>
      </c>
      <c r="D761">
        <v>38</v>
      </c>
      <c r="E761" t="s">
        <v>2570</v>
      </c>
      <c r="F761" t="s">
        <v>1551</v>
      </c>
      <c r="G761" t="s">
        <v>51</v>
      </c>
      <c r="H761" t="s">
        <v>2571</v>
      </c>
      <c r="I761" t="s">
        <v>1553</v>
      </c>
      <c r="J761" t="s">
        <v>2572</v>
      </c>
      <c r="K761" t="s">
        <v>1338</v>
      </c>
      <c r="L761" t="s">
        <v>16</v>
      </c>
      <c r="M761" t="s">
        <v>17</v>
      </c>
      <c r="N761">
        <v>2577</v>
      </c>
      <c r="O761">
        <v>140</v>
      </c>
      <c r="P761">
        <v>0</v>
      </c>
      <c r="Q761" t="s">
        <v>2765</v>
      </c>
      <c r="R761" t="s">
        <v>2766</v>
      </c>
      <c r="S761" t="s">
        <v>2767</v>
      </c>
      <c r="T761" t="s">
        <v>2768</v>
      </c>
      <c r="U761" t="s">
        <v>60</v>
      </c>
      <c r="V761" t="s">
        <v>61</v>
      </c>
      <c r="W761">
        <v>10</v>
      </c>
      <c r="X761">
        <v>0.105</v>
      </c>
      <c r="Y761" t="s">
        <v>307</v>
      </c>
      <c r="Z761" t="s">
        <v>308</v>
      </c>
      <c r="AA761">
        <v>1</v>
      </c>
      <c r="AB761" t="s">
        <v>2577</v>
      </c>
      <c r="AC761" t="s">
        <v>2578</v>
      </c>
      <c r="AD761" t="s">
        <v>2579</v>
      </c>
      <c r="AE761" t="s">
        <v>2580</v>
      </c>
      <c r="AF761" t="s">
        <v>2581</v>
      </c>
      <c r="AG761" t="s">
        <v>806</v>
      </c>
      <c r="AH761" t="s">
        <v>66</v>
      </c>
      <c r="AI761" t="s">
        <v>66</v>
      </c>
      <c r="AJ761" t="s">
        <v>66</v>
      </c>
      <c r="AK761">
        <v>1</v>
      </c>
      <c r="AL761" t="s">
        <v>2677</v>
      </c>
      <c r="AM761" t="s">
        <v>2678</v>
      </c>
      <c r="AN761" t="s">
        <v>66</v>
      </c>
      <c r="AO761" t="s">
        <v>66</v>
      </c>
      <c r="AP761">
        <v>1</v>
      </c>
      <c r="AQ761" t="s">
        <v>66</v>
      </c>
      <c r="AR761" t="s">
        <v>66</v>
      </c>
      <c r="AS761" t="s">
        <v>66</v>
      </c>
      <c r="AT761" t="s">
        <v>66</v>
      </c>
    </row>
    <row r="762" spans="1:46" x14ac:dyDescent="0.15">
      <c r="A762" t="s">
        <v>2769</v>
      </c>
      <c r="B762" t="s">
        <v>2568</v>
      </c>
      <c r="C762" t="s">
        <v>2569</v>
      </c>
      <c r="D762">
        <v>39</v>
      </c>
      <c r="E762" t="s">
        <v>2570</v>
      </c>
      <c r="F762" t="s">
        <v>1551</v>
      </c>
      <c r="G762" t="s">
        <v>51</v>
      </c>
      <c r="H762" t="s">
        <v>2571</v>
      </c>
      <c r="I762" t="s">
        <v>1553</v>
      </c>
      <c r="J762" t="s">
        <v>2572</v>
      </c>
      <c r="K762" t="s">
        <v>1338</v>
      </c>
      <c r="L762" t="s">
        <v>16</v>
      </c>
      <c r="M762" t="s">
        <v>17</v>
      </c>
      <c r="N762">
        <v>2633</v>
      </c>
      <c r="O762">
        <v>143</v>
      </c>
      <c r="P762">
        <v>0</v>
      </c>
      <c r="Q762" t="s">
        <v>2770</v>
      </c>
      <c r="R762" t="s">
        <v>2771</v>
      </c>
      <c r="S762" t="s">
        <v>2772</v>
      </c>
      <c r="T762" t="s">
        <v>2773</v>
      </c>
      <c r="U762" t="s">
        <v>60</v>
      </c>
      <c r="V762" t="s">
        <v>61</v>
      </c>
      <c r="W762">
        <v>10</v>
      </c>
      <c r="X762">
        <v>0.105</v>
      </c>
      <c r="Y762" t="s">
        <v>190</v>
      </c>
      <c r="Z762" t="s">
        <v>314</v>
      </c>
      <c r="AA762">
        <v>1</v>
      </c>
      <c r="AB762" t="s">
        <v>2577</v>
      </c>
      <c r="AC762" t="s">
        <v>2578</v>
      </c>
      <c r="AD762" t="s">
        <v>2579</v>
      </c>
      <c r="AE762" t="s">
        <v>2580</v>
      </c>
      <c r="AF762" t="s">
        <v>2581</v>
      </c>
      <c r="AG762" t="s">
        <v>806</v>
      </c>
      <c r="AH762" t="s">
        <v>66</v>
      </c>
      <c r="AI762" t="s">
        <v>66</v>
      </c>
      <c r="AJ762" t="s">
        <v>66</v>
      </c>
      <c r="AK762">
        <v>1</v>
      </c>
      <c r="AL762" t="s">
        <v>2677</v>
      </c>
      <c r="AM762" t="s">
        <v>2678</v>
      </c>
      <c r="AN762" t="s">
        <v>66</v>
      </c>
      <c r="AO762" t="s">
        <v>66</v>
      </c>
      <c r="AP762">
        <v>1</v>
      </c>
      <c r="AQ762" t="s">
        <v>66</v>
      </c>
      <c r="AR762" t="s">
        <v>66</v>
      </c>
      <c r="AS762" t="s">
        <v>66</v>
      </c>
      <c r="AT762" t="s">
        <v>66</v>
      </c>
    </row>
    <row r="763" spans="1:46" x14ac:dyDescent="0.15">
      <c r="A763" t="s">
        <v>2774</v>
      </c>
      <c r="B763" t="s">
        <v>2568</v>
      </c>
      <c r="C763" t="s">
        <v>2569</v>
      </c>
      <c r="D763">
        <v>40</v>
      </c>
      <c r="E763" t="s">
        <v>2570</v>
      </c>
      <c r="F763" t="s">
        <v>1551</v>
      </c>
      <c r="G763" t="s">
        <v>51</v>
      </c>
      <c r="H763" t="s">
        <v>2571</v>
      </c>
      <c r="I763" t="s">
        <v>1553</v>
      </c>
      <c r="J763" t="s">
        <v>2572</v>
      </c>
      <c r="K763" t="s">
        <v>1338</v>
      </c>
      <c r="L763" t="s">
        <v>16</v>
      </c>
      <c r="M763" t="s">
        <v>17</v>
      </c>
      <c r="N763">
        <v>2689</v>
      </c>
      <c r="O763">
        <v>146</v>
      </c>
      <c r="P763">
        <v>0</v>
      </c>
      <c r="Q763" t="s">
        <v>2775</v>
      </c>
      <c r="R763" t="s">
        <v>2776</v>
      </c>
      <c r="S763" t="s">
        <v>2777</v>
      </c>
      <c r="T763" t="s">
        <v>2778</v>
      </c>
      <c r="U763" t="s">
        <v>60</v>
      </c>
      <c r="V763" t="s">
        <v>61</v>
      </c>
      <c r="W763">
        <v>10</v>
      </c>
      <c r="X763">
        <v>0.105</v>
      </c>
      <c r="Y763" t="s">
        <v>320</v>
      </c>
      <c r="Z763" t="s">
        <v>321</v>
      </c>
      <c r="AA763">
        <v>1</v>
      </c>
      <c r="AB763" t="s">
        <v>2577</v>
      </c>
      <c r="AC763" t="s">
        <v>2578</v>
      </c>
      <c r="AD763" t="s">
        <v>2579</v>
      </c>
      <c r="AE763" t="s">
        <v>2580</v>
      </c>
      <c r="AF763" t="s">
        <v>2581</v>
      </c>
      <c r="AG763" t="s">
        <v>806</v>
      </c>
      <c r="AH763" t="s">
        <v>66</v>
      </c>
      <c r="AI763" t="s">
        <v>66</v>
      </c>
      <c r="AJ763" t="s">
        <v>66</v>
      </c>
      <c r="AK763">
        <v>1</v>
      </c>
      <c r="AL763" t="s">
        <v>2677</v>
      </c>
      <c r="AM763" t="s">
        <v>2678</v>
      </c>
      <c r="AN763" t="s">
        <v>66</v>
      </c>
      <c r="AO763" t="s">
        <v>66</v>
      </c>
      <c r="AP763">
        <v>1</v>
      </c>
      <c r="AQ763" t="s">
        <v>66</v>
      </c>
      <c r="AR763" t="s">
        <v>66</v>
      </c>
      <c r="AS763" t="s">
        <v>66</v>
      </c>
      <c r="AT763" t="s">
        <v>66</v>
      </c>
    </row>
    <row r="764" spans="1:46" x14ac:dyDescent="0.15">
      <c r="A764" t="s">
        <v>2774</v>
      </c>
      <c r="B764" t="s">
        <v>2568</v>
      </c>
      <c r="C764" t="s">
        <v>2569</v>
      </c>
      <c r="D764">
        <v>40</v>
      </c>
      <c r="E764" t="s">
        <v>2570</v>
      </c>
      <c r="F764" t="s">
        <v>1551</v>
      </c>
      <c r="G764" t="s">
        <v>51</v>
      </c>
      <c r="H764" t="s">
        <v>2571</v>
      </c>
      <c r="I764" t="s">
        <v>1553</v>
      </c>
      <c r="J764" t="s">
        <v>2572</v>
      </c>
      <c r="K764" t="s">
        <v>1338</v>
      </c>
      <c r="L764" t="s">
        <v>16</v>
      </c>
      <c r="M764" t="s">
        <v>17</v>
      </c>
      <c r="N764">
        <v>2689</v>
      </c>
      <c r="O764">
        <v>146</v>
      </c>
      <c r="P764">
        <v>0</v>
      </c>
      <c r="Q764" t="s">
        <v>2775</v>
      </c>
      <c r="R764" t="s">
        <v>2776</v>
      </c>
      <c r="S764" t="s">
        <v>2777</v>
      </c>
      <c r="T764" t="s">
        <v>2778</v>
      </c>
      <c r="U764" t="s">
        <v>60</v>
      </c>
      <c r="V764" t="s">
        <v>61</v>
      </c>
      <c r="W764">
        <v>10</v>
      </c>
      <c r="X764">
        <v>0.105</v>
      </c>
      <c r="Y764" t="s">
        <v>320</v>
      </c>
      <c r="Z764" t="s">
        <v>321</v>
      </c>
      <c r="AA764">
        <v>2</v>
      </c>
      <c r="AB764" t="s">
        <v>2577</v>
      </c>
      <c r="AC764" t="s">
        <v>2578</v>
      </c>
      <c r="AD764" t="s">
        <v>2579</v>
      </c>
      <c r="AE764" t="s">
        <v>2580</v>
      </c>
      <c r="AF764" t="s">
        <v>2581</v>
      </c>
      <c r="AG764" t="s">
        <v>806</v>
      </c>
      <c r="AH764" t="s">
        <v>889</v>
      </c>
      <c r="AI764" t="s">
        <v>66</v>
      </c>
      <c r="AJ764" t="s">
        <v>66</v>
      </c>
      <c r="AK764">
        <v>1</v>
      </c>
      <c r="AL764" t="s">
        <v>2677</v>
      </c>
      <c r="AM764" t="s">
        <v>2678</v>
      </c>
      <c r="AN764" t="s">
        <v>2779</v>
      </c>
      <c r="AO764" t="s">
        <v>66</v>
      </c>
      <c r="AP764">
        <v>1</v>
      </c>
      <c r="AQ764" t="s">
        <v>2780</v>
      </c>
      <c r="AR764" t="s">
        <v>2781</v>
      </c>
      <c r="AS764" t="s">
        <v>66</v>
      </c>
      <c r="AT764" t="s">
        <v>66</v>
      </c>
    </row>
    <row r="765" spans="1:46" x14ac:dyDescent="0.15">
      <c r="A765" t="s">
        <v>2782</v>
      </c>
      <c r="B765" t="s">
        <v>2568</v>
      </c>
      <c r="C765" t="s">
        <v>2569</v>
      </c>
      <c r="D765">
        <v>41</v>
      </c>
      <c r="E765" t="s">
        <v>2570</v>
      </c>
      <c r="F765" t="s">
        <v>1551</v>
      </c>
      <c r="G765" t="s">
        <v>51</v>
      </c>
      <c r="H765" t="s">
        <v>2571</v>
      </c>
      <c r="I765" t="s">
        <v>1553</v>
      </c>
      <c r="J765" t="s">
        <v>2572</v>
      </c>
      <c r="K765" t="s">
        <v>1338</v>
      </c>
      <c r="L765" t="s">
        <v>16</v>
      </c>
      <c r="M765" t="s">
        <v>17</v>
      </c>
      <c r="N765">
        <v>2745</v>
      </c>
      <c r="O765">
        <v>149</v>
      </c>
      <c r="P765">
        <v>0</v>
      </c>
      <c r="Q765" t="s">
        <v>2783</v>
      </c>
      <c r="R765" t="s">
        <v>2784</v>
      </c>
      <c r="S765" t="s">
        <v>2785</v>
      </c>
      <c r="T765" t="s">
        <v>2786</v>
      </c>
      <c r="U765" t="s">
        <v>60</v>
      </c>
      <c r="V765" t="s">
        <v>61</v>
      </c>
      <c r="W765">
        <v>10</v>
      </c>
      <c r="X765">
        <v>0.105</v>
      </c>
      <c r="Y765" t="s">
        <v>197</v>
      </c>
      <c r="Z765" t="s">
        <v>330</v>
      </c>
      <c r="AA765">
        <v>2</v>
      </c>
      <c r="AB765" t="s">
        <v>2577</v>
      </c>
      <c r="AC765" t="s">
        <v>2578</v>
      </c>
      <c r="AD765" t="s">
        <v>2579</v>
      </c>
      <c r="AE765" t="s">
        <v>2580</v>
      </c>
      <c r="AF765" t="s">
        <v>2581</v>
      </c>
      <c r="AG765" t="s">
        <v>806</v>
      </c>
      <c r="AH765" t="s">
        <v>889</v>
      </c>
      <c r="AI765" t="s">
        <v>66</v>
      </c>
      <c r="AJ765" t="s">
        <v>66</v>
      </c>
      <c r="AK765">
        <v>1</v>
      </c>
      <c r="AL765" t="s">
        <v>2677</v>
      </c>
      <c r="AM765" t="s">
        <v>2678</v>
      </c>
      <c r="AN765" t="s">
        <v>2779</v>
      </c>
      <c r="AO765" t="s">
        <v>66</v>
      </c>
      <c r="AP765">
        <v>1</v>
      </c>
      <c r="AQ765" t="s">
        <v>2780</v>
      </c>
      <c r="AR765" t="s">
        <v>2781</v>
      </c>
      <c r="AS765" t="s">
        <v>66</v>
      </c>
      <c r="AT765" t="s">
        <v>66</v>
      </c>
    </row>
    <row r="766" spans="1:46" x14ac:dyDescent="0.15">
      <c r="A766" t="s">
        <v>2787</v>
      </c>
      <c r="B766" t="s">
        <v>2568</v>
      </c>
      <c r="C766" t="s">
        <v>2569</v>
      </c>
      <c r="D766">
        <v>42</v>
      </c>
      <c r="E766" t="s">
        <v>2570</v>
      </c>
      <c r="F766" t="s">
        <v>1551</v>
      </c>
      <c r="G766" t="s">
        <v>51</v>
      </c>
      <c r="H766" t="s">
        <v>2571</v>
      </c>
      <c r="I766" t="s">
        <v>1553</v>
      </c>
      <c r="J766" t="s">
        <v>2572</v>
      </c>
      <c r="K766" t="s">
        <v>1338</v>
      </c>
      <c r="L766" t="s">
        <v>16</v>
      </c>
      <c r="M766" t="s">
        <v>17</v>
      </c>
      <c r="N766">
        <v>2801</v>
      </c>
      <c r="O766">
        <v>152</v>
      </c>
      <c r="P766">
        <v>0</v>
      </c>
      <c r="Q766" t="s">
        <v>2788</v>
      </c>
      <c r="R766" t="s">
        <v>2789</v>
      </c>
      <c r="S766" t="s">
        <v>2790</v>
      </c>
      <c r="T766" t="s">
        <v>2791</v>
      </c>
      <c r="U766" t="s">
        <v>60</v>
      </c>
      <c r="V766" t="s">
        <v>61</v>
      </c>
      <c r="W766">
        <v>10</v>
      </c>
      <c r="X766">
        <v>0.105</v>
      </c>
      <c r="Y766" t="s">
        <v>336</v>
      </c>
      <c r="Z766" t="s">
        <v>337</v>
      </c>
      <c r="AA766">
        <v>2</v>
      </c>
      <c r="AB766" t="s">
        <v>2577</v>
      </c>
      <c r="AC766" t="s">
        <v>2578</v>
      </c>
      <c r="AD766" t="s">
        <v>2579</v>
      </c>
      <c r="AE766" t="s">
        <v>2580</v>
      </c>
      <c r="AF766" t="s">
        <v>2581</v>
      </c>
      <c r="AG766" t="s">
        <v>806</v>
      </c>
      <c r="AH766" t="s">
        <v>889</v>
      </c>
      <c r="AI766" t="s">
        <v>66</v>
      </c>
      <c r="AJ766" t="s">
        <v>66</v>
      </c>
      <c r="AK766">
        <v>1</v>
      </c>
      <c r="AL766" t="s">
        <v>2677</v>
      </c>
      <c r="AM766" t="s">
        <v>2678</v>
      </c>
      <c r="AN766" t="s">
        <v>2779</v>
      </c>
      <c r="AO766" t="s">
        <v>66</v>
      </c>
      <c r="AP766">
        <v>1</v>
      </c>
      <c r="AQ766" t="s">
        <v>2780</v>
      </c>
      <c r="AR766" t="s">
        <v>2781</v>
      </c>
      <c r="AS766" t="s">
        <v>66</v>
      </c>
      <c r="AT766" t="s">
        <v>66</v>
      </c>
    </row>
    <row r="767" spans="1:46" x14ac:dyDescent="0.15">
      <c r="A767" t="s">
        <v>2792</v>
      </c>
      <c r="B767" t="s">
        <v>2568</v>
      </c>
      <c r="C767" t="s">
        <v>2569</v>
      </c>
      <c r="D767">
        <v>43</v>
      </c>
      <c r="E767" t="s">
        <v>2570</v>
      </c>
      <c r="F767" t="s">
        <v>1551</v>
      </c>
      <c r="G767" t="s">
        <v>51</v>
      </c>
      <c r="H767" t="s">
        <v>2571</v>
      </c>
      <c r="I767" t="s">
        <v>1553</v>
      </c>
      <c r="J767" t="s">
        <v>2572</v>
      </c>
      <c r="K767" t="s">
        <v>1338</v>
      </c>
      <c r="L767" t="s">
        <v>16</v>
      </c>
      <c r="M767" t="s">
        <v>17</v>
      </c>
      <c r="N767">
        <v>2857</v>
      </c>
      <c r="O767">
        <v>155</v>
      </c>
      <c r="P767">
        <v>0</v>
      </c>
      <c r="Q767" t="s">
        <v>2793</v>
      </c>
      <c r="R767" t="s">
        <v>2794</v>
      </c>
      <c r="S767" t="s">
        <v>2795</v>
      </c>
      <c r="T767" t="s">
        <v>2796</v>
      </c>
      <c r="U767" t="s">
        <v>60</v>
      </c>
      <c r="V767" t="s">
        <v>61</v>
      </c>
      <c r="W767">
        <v>10</v>
      </c>
      <c r="X767">
        <v>0.105</v>
      </c>
      <c r="Y767" t="s">
        <v>204</v>
      </c>
      <c r="Z767" t="s">
        <v>343</v>
      </c>
      <c r="AA767">
        <v>2</v>
      </c>
      <c r="AB767" t="s">
        <v>2577</v>
      </c>
      <c r="AC767" t="s">
        <v>2578</v>
      </c>
      <c r="AD767" t="s">
        <v>2579</v>
      </c>
      <c r="AE767" t="s">
        <v>2580</v>
      </c>
      <c r="AF767" t="s">
        <v>2581</v>
      </c>
      <c r="AG767" t="s">
        <v>806</v>
      </c>
      <c r="AH767" t="s">
        <v>889</v>
      </c>
      <c r="AI767" t="s">
        <v>66</v>
      </c>
      <c r="AJ767" t="s">
        <v>66</v>
      </c>
      <c r="AK767">
        <v>1</v>
      </c>
      <c r="AL767" t="s">
        <v>2677</v>
      </c>
      <c r="AM767" t="s">
        <v>2678</v>
      </c>
      <c r="AN767" t="s">
        <v>2779</v>
      </c>
      <c r="AO767" t="s">
        <v>66</v>
      </c>
      <c r="AP767">
        <v>1</v>
      </c>
      <c r="AQ767" t="s">
        <v>2780</v>
      </c>
      <c r="AR767" t="s">
        <v>2781</v>
      </c>
      <c r="AS767" t="s">
        <v>66</v>
      </c>
      <c r="AT767" t="s">
        <v>66</v>
      </c>
    </row>
    <row r="768" spans="1:46" x14ac:dyDescent="0.15">
      <c r="A768" t="s">
        <v>2797</v>
      </c>
      <c r="B768" t="s">
        <v>2568</v>
      </c>
      <c r="C768" t="s">
        <v>2569</v>
      </c>
      <c r="D768">
        <v>44</v>
      </c>
      <c r="E768" t="s">
        <v>2570</v>
      </c>
      <c r="F768" t="s">
        <v>1551</v>
      </c>
      <c r="G768" t="s">
        <v>51</v>
      </c>
      <c r="H768" t="s">
        <v>2571</v>
      </c>
      <c r="I768" t="s">
        <v>1553</v>
      </c>
      <c r="J768" t="s">
        <v>2572</v>
      </c>
      <c r="K768" t="s">
        <v>1338</v>
      </c>
      <c r="L768" t="s">
        <v>16</v>
      </c>
      <c r="M768" t="s">
        <v>17</v>
      </c>
      <c r="N768">
        <v>2913</v>
      </c>
      <c r="O768">
        <v>158</v>
      </c>
      <c r="P768">
        <v>0</v>
      </c>
      <c r="Q768" t="s">
        <v>2798</v>
      </c>
      <c r="R768" t="s">
        <v>2799</v>
      </c>
      <c r="S768" t="s">
        <v>2800</v>
      </c>
      <c r="T768" t="s">
        <v>2801</v>
      </c>
      <c r="U768" t="s">
        <v>60</v>
      </c>
      <c r="V768" t="s">
        <v>61</v>
      </c>
      <c r="W768">
        <v>10</v>
      </c>
      <c r="X768">
        <v>0.105</v>
      </c>
      <c r="Y768" t="s">
        <v>349</v>
      </c>
      <c r="Z768" t="s">
        <v>350</v>
      </c>
      <c r="AA768">
        <v>2</v>
      </c>
      <c r="AB768" t="s">
        <v>2577</v>
      </c>
      <c r="AC768" t="s">
        <v>2578</v>
      </c>
      <c r="AD768" t="s">
        <v>2579</v>
      </c>
      <c r="AE768" t="s">
        <v>2580</v>
      </c>
      <c r="AF768" t="s">
        <v>2581</v>
      </c>
      <c r="AG768" t="s">
        <v>806</v>
      </c>
      <c r="AH768" t="s">
        <v>889</v>
      </c>
      <c r="AI768" t="s">
        <v>66</v>
      </c>
      <c r="AJ768" t="s">
        <v>66</v>
      </c>
      <c r="AK768">
        <v>1</v>
      </c>
      <c r="AL768" t="s">
        <v>2677</v>
      </c>
      <c r="AM768" t="s">
        <v>2678</v>
      </c>
      <c r="AN768" t="s">
        <v>2779</v>
      </c>
      <c r="AO768" t="s">
        <v>66</v>
      </c>
      <c r="AP768">
        <v>1</v>
      </c>
      <c r="AQ768" t="s">
        <v>2780</v>
      </c>
      <c r="AR768" t="s">
        <v>2781</v>
      </c>
      <c r="AS768" t="s">
        <v>66</v>
      </c>
      <c r="AT768" t="s">
        <v>66</v>
      </c>
    </row>
    <row r="769" spans="1:46" x14ac:dyDescent="0.15">
      <c r="A769" t="s">
        <v>2802</v>
      </c>
      <c r="B769" t="s">
        <v>2568</v>
      </c>
      <c r="C769" t="s">
        <v>2569</v>
      </c>
      <c r="D769">
        <v>45</v>
      </c>
      <c r="E769" t="s">
        <v>2570</v>
      </c>
      <c r="F769" t="s">
        <v>1551</v>
      </c>
      <c r="G769" t="s">
        <v>51</v>
      </c>
      <c r="H769" t="s">
        <v>2571</v>
      </c>
      <c r="I769" t="s">
        <v>1553</v>
      </c>
      <c r="J769" t="s">
        <v>2572</v>
      </c>
      <c r="K769" t="s">
        <v>1338</v>
      </c>
      <c r="L769" t="s">
        <v>16</v>
      </c>
      <c r="M769" t="s">
        <v>17</v>
      </c>
      <c r="N769">
        <v>2969</v>
      </c>
      <c r="O769">
        <v>161</v>
      </c>
      <c r="P769">
        <v>0</v>
      </c>
      <c r="Q769" t="s">
        <v>2803</v>
      </c>
      <c r="R769" t="s">
        <v>2804</v>
      </c>
      <c r="S769" t="s">
        <v>2805</v>
      </c>
      <c r="T769" t="s">
        <v>2806</v>
      </c>
      <c r="U769" t="s">
        <v>60</v>
      </c>
      <c r="V769" t="s">
        <v>61</v>
      </c>
      <c r="W769">
        <v>10</v>
      </c>
      <c r="X769">
        <v>0.105</v>
      </c>
      <c r="Y769" t="s">
        <v>210</v>
      </c>
      <c r="Z769" t="s">
        <v>356</v>
      </c>
      <c r="AA769">
        <v>2</v>
      </c>
      <c r="AB769" t="s">
        <v>2577</v>
      </c>
      <c r="AC769" t="s">
        <v>2578</v>
      </c>
      <c r="AD769" t="s">
        <v>2579</v>
      </c>
      <c r="AE769" t="s">
        <v>2580</v>
      </c>
      <c r="AF769" t="s">
        <v>2581</v>
      </c>
      <c r="AG769" t="s">
        <v>806</v>
      </c>
      <c r="AH769" t="s">
        <v>889</v>
      </c>
      <c r="AI769" t="s">
        <v>66</v>
      </c>
      <c r="AJ769" t="s">
        <v>66</v>
      </c>
      <c r="AK769">
        <v>1</v>
      </c>
      <c r="AL769" t="s">
        <v>2677</v>
      </c>
      <c r="AM769" t="s">
        <v>2678</v>
      </c>
      <c r="AN769" t="s">
        <v>2779</v>
      </c>
      <c r="AO769" t="s">
        <v>66</v>
      </c>
      <c r="AP769">
        <v>1</v>
      </c>
      <c r="AQ769" t="s">
        <v>2780</v>
      </c>
      <c r="AR769" t="s">
        <v>2781</v>
      </c>
      <c r="AS769" t="s">
        <v>66</v>
      </c>
      <c r="AT769" t="s">
        <v>66</v>
      </c>
    </row>
    <row r="770" spans="1:46" x14ac:dyDescent="0.15">
      <c r="A770" t="s">
        <v>2807</v>
      </c>
      <c r="B770" t="s">
        <v>2568</v>
      </c>
      <c r="C770" t="s">
        <v>2569</v>
      </c>
      <c r="D770">
        <v>46</v>
      </c>
      <c r="E770" t="s">
        <v>2570</v>
      </c>
      <c r="F770" t="s">
        <v>1551</v>
      </c>
      <c r="G770" t="s">
        <v>51</v>
      </c>
      <c r="H770" t="s">
        <v>2571</v>
      </c>
      <c r="I770" t="s">
        <v>1553</v>
      </c>
      <c r="J770" t="s">
        <v>2572</v>
      </c>
      <c r="K770" t="s">
        <v>1338</v>
      </c>
      <c r="L770" t="s">
        <v>16</v>
      </c>
      <c r="M770" t="s">
        <v>17</v>
      </c>
      <c r="N770">
        <v>3026</v>
      </c>
      <c r="O770">
        <v>164</v>
      </c>
      <c r="P770">
        <v>0</v>
      </c>
      <c r="Q770" t="s">
        <v>2808</v>
      </c>
      <c r="R770" t="s">
        <v>2809</v>
      </c>
      <c r="S770" t="s">
        <v>2810</v>
      </c>
      <c r="T770" t="s">
        <v>2811</v>
      </c>
      <c r="U770" t="s">
        <v>60</v>
      </c>
      <c r="V770" t="s">
        <v>61</v>
      </c>
      <c r="W770">
        <v>10</v>
      </c>
      <c r="X770">
        <v>0.105</v>
      </c>
      <c r="Y770" t="s">
        <v>362</v>
      </c>
      <c r="Z770" t="s">
        <v>363</v>
      </c>
      <c r="AA770">
        <v>2</v>
      </c>
      <c r="AB770" t="s">
        <v>2577</v>
      </c>
      <c r="AC770" t="s">
        <v>2578</v>
      </c>
      <c r="AD770" t="s">
        <v>2579</v>
      </c>
      <c r="AE770" t="s">
        <v>2580</v>
      </c>
      <c r="AF770" t="s">
        <v>2581</v>
      </c>
      <c r="AG770" t="s">
        <v>806</v>
      </c>
      <c r="AH770" t="s">
        <v>889</v>
      </c>
      <c r="AI770" t="s">
        <v>66</v>
      </c>
      <c r="AJ770" t="s">
        <v>66</v>
      </c>
      <c r="AK770">
        <v>1</v>
      </c>
      <c r="AL770" t="s">
        <v>2677</v>
      </c>
      <c r="AM770" t="s">
        <v>2678</v>
      </c>
      <c r="AN770" t="s">
        <v>2779</v>
      </c>
      <c r="AO770" t="s">
        <v>66</v>
      </c>
      <c r="AP770">
        <v>1</v>
      </c>
      <c r="AQ770" t="s">
        <v>2780</v>
      </c>
      <c r="AR770" t="s">
        <v>2781</v>
      </c>
      <c r="AS770" t="s">
        <v>66</v>
      </c>
      <c r="AT770" t="s">
        <v>66</v>
      </c>
    </row>
    <row r="771" spans="1:46" x14ac:dyDescent="0.15">
      <c r="A771" t="s">
        <v>2812</v>
      </c>
      <c r="B771" t="s">
        <v>2568</v>
      </c>
      <c r="C771" t="s">
        <v>2569</v>
      </c>
      <c r="D771">
        <v>47</v>
      </c>
      <c r="E771" t="s">
        <v>2570</v>
      </c>
      <c r="F771" t="s">
        <v>1551</v>
      </c>
      <c r="G771" t="s">
        <v>51</v>
      </c>
      <c r="H771" t="s">
        <v>2571</v>
      </c>
      <c r="I771" t="s">
        <v>1553</v>
      </c>
      <c r="J771" t="s">
        <v>2572</v>
      </c>
      <c r="K771" t="s">
        <v>1338</v>
      </c>
      <c r="L771" t="s">
        <v>16</v>
      </c>
      <c r="M771" t="s">
        <v>17</v>
      </c>
      <c r="N771">
        <v>3082</v>
      </c>
      <c r="O771">
        <v>166</v>
      </c>
      <c r="P771">
        <v>0</v>
      </c>
      <c r="Q771" t="s">
        <v>2813</v>
      </c>
      <c r="R771" t="s">
        <v>2814</v>
      </c>
      <c r="S771" t="s">
        <v>2815</v>
      </c>
      <c r="T771" t="s">
        <v>2816</v>
      </c>
      <c r="U771" t="s">
        <v>60</v>
      </c>
      <c r="V771" t="s">
        <v>61</v>
      </c>
      <c r="W771">
        <v>10</v>
      </c>
      <c r="X771">
        <v>0.105</v>
      </c>
      <c r="Y771" t="s">
        <v>217</v>
      </c>
      <c r="Z771" t="s">
        <v>369</v>
      </c>
      <c r="AA771">
        <v>2</v>
      </c>
      <c r="AB771" t="s">
        <v>2577</v>
      </c>
      <c r="AC771" t="s">
        <v>2578</v>
      </c>
      <c r="AD771" t="s">
        <v>2579</v>
      </c>
      <c r="AE771" t="s">
        <v>2580</v>
      </c>
      <c r="AF771" t="s">
        <v>2581</v>
      </c>
      <c r="AG771" t="s">
        <v>806</v>
      </c>
      <c r="AH771" t="s">
        <v>889</v>
      </c>
      <c r="AI771" t="s">
        <v>66</v>
      </c>
      <c r="AJ771" t="s">
        <v>66</v>
      </c>
      <c r="AK771">
        <v>1</v>
      </c>
      <c r="AL771" t="s">
        <v>2677</v>
      </c>
      <c r="AM771" t="s">
        <v>2678</v>
      </c>
      <c r="AN771" t="s">
        <v>2779</v>
      </c>
      <c r="AO771" t="s">
        <v>66</v>
      </c>
      <c r="AP771">
        <v>1</v>
      </c>
      <c r="AQ771" t="s">
        <v>2780</v>
      </c>
      <c r="AR771" t="s">
        <v>2781</v>
      </c>
      <c r="AS771" t="s">
        <v>66</v>
      </c>
      <c r="AT771" t="s">
        <v>66</v>
      </c>
    </row>
    <row r="772" spans="1:46" x14ac:dyDescent="0.15">
      <c r="A772" t="s">
        <v>2817</v>
      </c>
      <c r="B772" t="s">
        <v>2568</v>
      </c>
      <c r="C772" t="s">
        <v>2569</v>
      </c>
      <c r="D772">
        <v>48</v>
      </c>
      <c r="E772" t="s">
        <v>2570</v>
      </c>
      <c r="F772" t="s">
        <v>1551</v>
      </c>
      <c r="G772" t="s">
        <v>51</v>
      </c>
      <c r="H772" t="s">
        <v>2571</v>
      </c>
      <c r="I772" t="s">
        <v>1553</v>
      </c>
      <c r="J772" t="s">
        <v>2572</v>
      </c>
      <c r="K772" t="s">
        <v>1338</v>
      </c>
      <c r="L772" t="s">
        <v>16</v>
      </c>
      <c r="M772" t="s">
        <v>17</v>
      </c>
      <c r="N772">
        <v>3138</v>
      </c>
      <c r="O772">
        <v>169</v>
      </c>
      <c r="P772">
        <v>0</v>
      </c>
      <c r="Q772" t="s">
        <v>2818</v>
      </c>
      <c r="R772" t="s">
        <v>2819</v>
      </c>
      <c r="S772" t="s">
        <v>2820</v>
      </c>
      <c r="T772" t="s">
        <v>2821</v>
      </c>
      <c r="U772" t="s">
        <v>60</v>
      </c>
      <c r="V772" t="s">
        <v>61</v>
      </c>
      <c r="W772">
        <v>10</v>
      </c>
      <c r="X772">
        <v>0.105</v>
      </c>
      <c r="Y772" t="s">
        <v>375</v>
      </c>
      <c r="Z772" t="s">
        <v>376</v>
      </c>
      <c r="AA772">
        <v>2</v>
      </c>
      <c r="AB772" t="s">
        <v>2577</v>
      </c>
      <c r="AC772" t="s">
        <v>2578</v>
      </c>
      <c r="AD772" t="s">
        <v>2579</v>
      </c>
      <c r="AE772" t="s">
        <v>2580</v>
      </c>
      <c r="AF772" t="s">
        <v>2581</v>
      </c>
      <c r="AG772" t="s">
        <v>806</v>
      </c>
      <c r="AH772" t="s">
        <v>889</v>
      </c>
      <c r="AI772" t="s">
        <v>66</v>
      </c>
      <c r="AJ772" t="s">
        <v>66</v>
      </c>
      <c r="AK772">
        <v>1</v>
      </c>
      <c r="AL772" t="s">
        <v>2677</v>
      </c>
      <c r="AM772" t="s">
        <v>2678</v>
      </c>
      <c r="AN772" t="s">
        <v>2779</v>
      </c>
      <c r="AO772" t="s">
        <v>66</v>
      </c>
      <c r="AP772">
        <v>1</v>
      </c>
      <c r="AQ772" t="s">
        <v>2780</v>
      </c>
      <c r="AR772" t="s">
        <v>2781</v>
      </c>
      <c r="AS772" t="s">
        <v>66</v>
      </c>
      <c r="AT772" t="s">
        <v>66</v>
      </c>
    </row>
    <row r="773" spans="1:46" x14ac:dyDescent="0.15">
      <c r="A773" t="s">
        <v>2822</v>
      </c>
      <c r="B773" t="s">
        <v>2568</v>
      </c>
      <c r="C773" t="s">
        <v>2569</v>
      </c>
      <c r="D773">
        <v>49</v>
      </c>
      <c r="E773" t="s">
        <v>2570</v>
      </c>
      <c r="F773" t="s">
        <v>1551</v>
      </c>
      <c r="G773" t="s">
        <v>51</v>
      </c>
      <c r="H773" t="s">
        <v>2571</v>
      </c>
      <c r="I773" t="s">
        <v>1553</v>
      </c>
      <c r="J773" t="s">
        <v>2572</v>
      </c>
      <c r="K773" t="s">
        <v>1338</v>
      </c>
      <c r="L773" t="s">
        <v>16</v>
      </c>
      <c r="M773" t="s">
        <v>17</v>
      </c>
      <c r="N773">
        <v>3194</v>
      </c>
      <c r="O773">
        <v>172</v>
      </c>
      <c r="P773">
        <v>0</v>
      </c>
      <c r="Q773" t="s">
        <v>2823</v>
      </c>
      <c r="R773" t="s">
        <v>2824</v>
      </c>
      <c r="S773" t="s">
        <v>2825</v>
      </c>
      <c r="T773" t="s">
        <v>2826</v>
      </c>
      <c r="U773" t="s">
        <v>60</v>
      </c>
      <c r="V773" t="s">
        <v>61</v>
      </c>
      <c r="W773">
        <v>10</v>
      </c>
      <c r="X773">
        <v>0.105</v>
      </c>
      <c r="Y773" t="s">
        <v>223</v>
      </c>
      <c r="Z773" t="s">
        <v>382</v>
      </c>
      <c r="AA773">
        <v>2</v>
      </c>
      <c r="AB773" t="s">
        <v>2577</v>
      </c>
      <c r="AC773" t="s">
        <v>2578</v>
      </c>
      <c r="AD773" t="s">
        <v>2579</v>
      </c>
      <c r="AE773" t="s">
        <v>2580</v>
      </c>
      <c r="AF773" t="s">
        <v>2581</v>
      </c>
      <c r="AG773" t="s">
        <v>806</v>
      </c>
      <c r="AH773" t="s">
        <v>889</v>
      </c>
      <c r="AI773" t="s">
        <v>66</v>
      </c>
      <c r="AJ773" t="s">
        <v>66</v>
      </c>
      <c r="AK773">
        <v>1</v>
      </c>
      <c r="AL773" t="s">
        <v>2677</v>
      </c>
      <c r="AM773" t="s">
        <v>2678</v>
      </c>
      <c r="AN773" t="s">
        <v>2779</v>
      </c>
      <c r="AO773" t="s">
        <v>66</v>
      </c>
      <c r="AP773">
        <v>1</v>
      </c>
      <c r="AQ773" t="s">
        <v>2780</v>
      </c>
      <c r="AR773" t="s">
        <v>2781</v>
      </c>
      <c r="AS773" t="s">
        <v>66</v>
      </c>
      <c r="AT773" t="s">
        <v>66</v>
      </c>
    </row>
    <row r="774" spans="1:46" x14ac:dyDescent="0.15">
      <c r="A774" t="s">
        <v>2827</v>
      </c>
      <c r="B774" t="s">
        <v>2568</v>
      </c>
      <c r="C774" t="s">
        <v>2569</v>
      </c>
      <c r="D774">
        <v>50</v>
      </c>
      <c r="E774" t="s">
        <v>2570</v>
      </c>
      <c r="F774" t="s">
        <v>1551</v>
      </c>
      <c r="G774" t="s">
        <v>51</v>
      </c>
      <c r="H774" t="s">
        <v>2571</v>
      </c>
      <c r="I774" t="s">
        <v>1553</v>
      </c>
      <c r="J774" t="s">
        <v>2572</v>
      </c>
      <c r="K774" t="s">
        <v>1338</v>
      </c>
      <c r="L774" t="s">
        <v>16</v>
      </c>
      <c r="M774" t="s">
        <v>17</v>
      </c>
      <c r="N774">
        <v>3250</v>
      </c>
      <c r="O774">
        <v>175</v>
      </c>
      <c r="P774">
        <v>0</v>
      </c>
      <c r="Q774" t="s">
        <v>2828</v>
      </c>
      <c r="R774" t="s">
        <v>2829</v>
      </c>
      <c r="S774" t="s">
        <v>2830</v>
      </c>
      <c r="T774" t="s">
        <v>2831</v>
      </c>
      <c r="U774" t="s">
        <v>60</v>
      </c>
      <c r="V774" t="s">
        <v>61</v>
      </c>
      <c r="W774">
        <v>10</v>
      </c>
      <c r="X774">
        <v>0.105</v>
      </c>
      <c r="Y774" t="s">
        <v>388</v>
      </c>
      <c r="Z774" t="s">
        <v>389</v>
      </c>
      <c r="AA774">
        <v>2</v>
      </c>
      <c r="AB774" t="s">
        <v>2577</v>
      </c>
      <c r="AC774" t="s">
        <v>2578</v>
      </c>
      <c r="AD774" t="s">
        <v>2579</v>
      </c>
      <c r="AE774" t="s">
        <v>2580</v>
      </c>
      <c r="AF774" t="s">
        <v>2581</v>
      </c>
      <c r="AG774" t="s">
        <v>806</v>
      </c>
      <c r="AH774" t="s">
        <v>889</v>
      </c>
      <c r="AI774" t="s">
        <v>66</v>
      </c>
      <c r="AJ774" t="s">
        <v>66</v>
      </c>
      <c r="AK774">
        <v>1</v>
      </c>
      <c r="AL774" t="s">
        <v>2677</v>
      </c>
      <c r="AM774" t="s">
        <v>2678</v>
      </c>
      <c r="AN774" t="s">
        <v>2779</v>
      </c>
      <c r="AO774" t="s">
        <v>66</v>
      </c>
      <c r="AP774">
        <v>1</v>
      </c>
      <c r="AQ774" t="s">
        <v>2780</v>
      </c>
      <c r="AR774" t="s">
        <v>2781</v>
      </c>
      <c r="AS774" t="s">
        <v>66</v>
      </c>
      <c r="AT774" t="s">
        <v>66</v>
      </c>
    </row>
    <row r="775" spans="1:46" x14ac:dyDescent="0.15">
      <c r="A775" t="s">
        <v>2832</v>
      </c>
      <c r="B775" t="s">
        <v>2568</v>
      </c>
      <c r="C775" t="s">
        <v>2569</v>
      </c>
      <c r="D775">
        <v>51</v>
      </c>
      <c r="E775" t="s">
        <v>2570</v>
      </c>
      <c r="F775" t="s">
        <v>1551</v>
      </c>
      <c r="G775" t="s">
        <v>51</v>
      </c>
      <c r="H775" t="s">
        <v>2571</v>
      </c>
      <c r="I775" t="s">
        <v>1553</v>
      </c>
      <c r="J775" t="s">
        <v>2572</v>
      </c>
      <c r="K775" t="s">
        <v>1338</v>
      </c>
      <c r="L775" t="s">
        <v>16</v>
      </c>
      <c r="M775" t="s">
        <v>17</v>
      </c>
      <c r="N775">
        <v>3306</v>
      </c>
      <c r="O775">
        <v>178</v>
      </c>
      <c r="P775">
        <v>0</v>
      </c>
      <c r="Q775" t="s">
        <v>2833</v>
      </c>
      <c r="R775" t="s">
        <v>2834</v>
      </c>
      <c r="S775" t="s">
        <v>2835</v>
      </c>
      <c r="T775" t="s">
        <v>2836</v>
      </c>
      <c r="U775" t="s">
        <v>60</v>
      </c>
      <c r="V775" t="s">
        <v>61</v>
      </c>
      <c r="W775">
        <v>10</v>
      </c>
      <c r="X775">
        <v>0.105</v>
      </c>
      <c r="Y775" t="s">
        <v>230</v>
      </c>
      <c r="Z775" t="s">
        <v>395</v>
      </c>
      <c r="AA775">
        <v>2</v>
      </c>
      <c r="AB775" t="s">
        <v>2577</v>
      </c>
      <c r="AC775" t="s">
        <v>2578</v>
      </c>
      <c r="AD775" t="s">
        <v>2579</v>
      </c>
      <c r="AE775" t="s">
        <v>2580</v>
      </c>
      <c r="AF775" t="s">
        <v>2581</v>
      </c>
      <c r="AG775" t="s">
        <v>806</v>
      </c>
      <c r="AH775" t="s">
        <v>889</v>
      </c>
      <c r="AI775" t="s">
        <v>66</v>
      </c>
      <c r="AJ775" t="s">
        <v>66</v>
      </c>
      <c r="AK775">
        <v>1</v>
      </c>
      <c r="AL775" t="s">
        <v>2677</v>
      </c>
      <c r="AM775" t="s">
        <v>2678</v>
      </c>
      <c r="AN775" t="s">
        <v>2779</v>
      </c>
      <c r="AO775" t="s">
        <v>66</v>
      </c>
      <c r="AP775">
        <v>1</v>
      </c>
      <c r="AQ775" t="s">
        <v>2780</v>
      </c>
      <c r="AR775" t="s">
        <v>2781</v>
      </c>
      <c r="AS775" t="s">
        <v>66</v>
      </c>
      <c r="AT775" t="s">
        <v>66</v>
      </c>
    </row>
    <row r="776" spans="1:46" x14ac:dyDescent="0.15">
      <c r="A776" t="s">
        <v>2837</v>
      </c>
      <c r="B776" t="s">
        <v>2568</v>
      </c>
      <c r="C776" t="s">
        <v>2569</v>
      </c>
      <c r="D776">
        <v>52</v>
      </c>
      <c r="E776" t="s">
        <v>2570</v>
      </c>
      <c r="F776" t="s">
        <v>1551</v>
      </c>
      <c r="G776" t="s">
        <v>51</v>
      </c>
      <c r="H776" t="s">
        <v>2571</v>
      </c>
      <c r="I776" t="s">
        <v>1553</v>
      </c>
      <c r="J776" t="s">
        <v>2572</v>
      </c>
      <c r="K776" t="s">
        <v>1338</v>
      </c>
      <c r="L776" t="s">
        <v>16</v>
      </c>
      <c r="M776" t="s">
        <v>17</v>
      </c>
      <c r="N776">
        <v>3362</v>
      </c>
      <c r="O776">
        <v>181</v>
      </c>
      <c r="P776">
        <v>0</v>
      </c>
      <c r="Q776" t="s">
        <v>2838</v>
      </c>
      <c r="R776" t="s">
        <v>2839</v>
      </c>
      <c r="S776" t="s">
        <v>2840</v>
      </c>
      <c r="T776" t="s">
        <v>2841</v>
      </c>
      <c r="U776" t="s">
        <v>60</v>
      </c>
      <c r="V776" t="s">
        <v>61</v>
      </c>
      <c r="W776">
        <v>10</v>
      </c>
      <c r="X776">
        <v>0.105</v>
      </c>
      <c r="Y776" t="s">
        <v>401</v>
      </c>
      <c r="Z776" t="s">
        <v>402</v>
      </c>
      <c r="AA776">
        <v>2</v>
      </c>
      <c r="AB776" t="s">
        <v>2577</v>
      </c>
      <c r="AC776" t="s">
        <v>2578</v>
      </c>
      <c r="AD776" t="s">
        <v>2579</v>
      </c>
      <c r="AE776" t="s">
        <v>2580</v>
      </c>
      <c r="AF776" t="s">
        <v>2581</v>
      </c>
      <c r="AG776" t="s">
        <v>806</v>
      </c>
      <c r="AH776" t="s">
        <v>889</v>
      </c>
      <c r="AI776" t="s">
        <v>66</v>
      </c>
      <c r="AJ776" t="s">
        <v>66</v>
      </c>
      <c r="AK776">
        <v>1</v>
      </c>
      <c r="AL776" t="s">
        <v>2677</v>
      </c>
      <c r="AM776" t="s">
        <v>2678</v>
      </c>
      <c r="AN776" t="s">
        <v>2779</v>
      </c>
      <c r="AO776" t="s">
        <v>66</v>
      </c>
      <c r="AP776">
        <v>1</v>
      </c>
      <c r="AQ776" t="s">
        <v>2780</v>
      </c>
      <c r="AR776" t="s">
        <v>2781</v>
      </c>
      <c r="AS776" t="s">
        <v>66</v>
      </c>
      <c r="AT776" t="s">
        <v>66</v>
      </c>
    </row>
    <row r="777" spans="1:46" x14ac:dyDescent="0.15">
      <c r="A777" t="s">
        <v>2842</v>
      </c>
      <c r="B777" t="s">
        <v>2568</v>
      </c>
      <c r="C777" t="s">
        <v>2569</v>
      </c>
      <c r="D777">
        <v>53</v>
      </c>
      <c r="E777" t="s">
        <v>2570</v>
      </c>
      <c r="F777" t="s">
        <v>1551</v>
      </c>
      <c r="G777" t="s">
        <v>51</v>
      </c>
      <c r="H777" t="s">
        <v>2571</v>
      </c>
      <c r="I777" t="s">
        <v>1553</v>
      </c>
      <c r="J777" t="s">
        <v>2572</v>
      </c>
      <c r="K777" t="s">
        <v>1338</v>
      </c>
      <c r="L777" t="s">
        <v>16</v>
      </c>
      <c r="M777" t="s">
        <v>17</v>
      </c>
      <c r="N777">
        <v>3418</v>
      </c>
      <c r="O777">
        <v>184</v>
      </c>
      <c r="P777">
        <v>0</v>
      </c>
      <c r="Q777" t="s">
        <v>2843</v>
      </c>
      <c r="R777" t="s">
        <v>2844</v>
      </c>
      <c r="S777" t="s">
        <v>2845</v>
      </c>
      <c r="T777" t="s">
        <v>2846</v>
      </c>
      <c r="U777" t="s">
        <v>60</v>
      </c>
      <c r="V777" t="s">
        <v>61</v>
      </c>
      <c r="W777">
        <v>10</v>
      </c>
      <c r="X777">
        <v>0.105</v>
      </c>
      <c r="Y777" t="s">
        <v>236</v>
      </c>
      <c r="Z777" t="s">
        <v>408</v>
      </c>
      <c r="AA777">
        <v>2</v>
      </c>
      <c r="AB777" t="s">
        <v>2577</v>
      </c>
      <c r="AC777" t="s">
        <v>2578</v>
      </c>
      <c r="AD777" t="s">
        <v>2579</v>
      </c>
      <c r="AE777" t="s">
        <v>2580</v>
      </c>
      <c r="AF777" t="s">
        <v>2581</v>
      </c>
      <c r="AG777" t="s">
        <v>806</v>
      </c>
      <c r="AH777" t="s">
        <v>889</v>
      </c>
      <c r="AI777" t="s">
        <v>66</v>
      </c>
      <c r="AJ777" t="s">
        <v>66</v>
      </c>
      <c r="AK777">
        <v>1</v>
      </c>
      <c r="AL777" t="s">
        <v>2677</v>
      </c>
      <c r="AM777" t="s">
        <v>2678</v>
      </c>
      <c r="AN777" t="s">
        <v>2779</v>
      </c>
      <c r="AO777" t="s">
        <v>66</v>
      </c>
      <c r="AP777">
        <v>1</v>
      </c>
      <c r="AQ777" t="s">
        <v>2780</v>
      </c>
      <c r="AR777" t="s">
        <v>2781</v>
      </c>
      <c r="AS777" t="s">
        <v>66</v>
      </c>
      <c r="AT777" t="s">
        <v>66</v>
      </c>
    </row>
    <row r="778" spans="1:46" x14ac:dyDescent="0.15">
      <c r="A778" t="s">
        <v>2847</v>
      </c>
      <c r="B778" t="s">
        <v>2568</v>
      </c>
      <c r="C778" t="s">
        <v>2569</v>
      </c>
      <c r="D778">
        <v>54</v>
      </c>
      <c r="E778" t="s">
        <v>2570</v>
      </c>
      <c r="F778" t="s">
        <v>1551</v>
      </c>
      <c r="G778" t="s">
        <v>51</v>
      </c>
      <c r="H778" t="s">
        <v>2571</v>
      </c>
      <c r="I778" t="s">
        <v>1553</v>
      </c>
      <c r="J778" t="s">
        <v>2572</v>
      </c>
      <c r="K778" t="s">
        <v>1338</v>
      </c>
      <c r="L778" t="s">
        <v>16</v>
      </c>
      <c r="M778" t="s">
        <v>17</v>
      </c>
      <c r="N778">
        <v>3474</v>
      </c>
      <c r="O778">
        <v>187</v>
      </c>
      <c r="P778">
        <v>0</v>
      </c>
      <c r="Q778" t="s">
        <v>2848</v>
      </c>
      <c r="R778" t="s">
        <v>2849</v>
      </c>
      <c r="S778" t="s">
        <v>2850</v>
      </c>
      <c r="T778" t="s">
        <v>2851</v>
      </c>
      <c r="U778" t="s">
        <v>60</v>
      </c>
      <c r="V778" t="s">
        <v>61</v>
      </c>
      <c r="W778">
        <v>10</v>
      </c>
      <c r="X778">
        <v>0.105</v>
      </c>
      <c r="Y778" t="s">
        <v>414</v>
      </c>
      <c r="Z778" t="s">
        <v>415</v>
      </c>
      <c r="AA778">
        <v>2</v>
      </c>
      <c r="AB778" t="s">
        <v>2577</v>
      </c>
      <c r="AC778" t="s">
        <v>2578</v>
      </c>
      <c r="AD778" t="s">
        <v>2579</v>
      </c>
      <c r="AE778" t="s">
        <v>2580</v>
      </c>
      <c r="AF778" t="s">
        <v>2581</v>
      </c>
      <c r="AG778" t="s">
        <v>806</v>
      </c>
      <c r="AH778" t="s">
        <v>889</v>
      </c>
      <c r="AI778" t="s">
        <v>66</v>
      </c>
      <c r="AJ778" t="s">
        <v>66</v>
      </c>
      <c r="AK778">
        <v>1</v>
      </c>
      <c r="AL778" t="s">
        <v>2677</v>
      </c>
      <c r="AM778" t="s">
        <v>2678</v>
      </c>
      <c r="AN778" t="s">
        <v>2779</v>
      </c>
      <c r="AO778" t="s">
        <v>66</v>
      </c>
      <c r="AP778">
        <v>1</v>
      </c>
      <c r="AQ778" t="s">
        <v>2780</v>
      </c>
      <c r="AR778" t="s">
        <v>2781</v>
      </c>
      <c r="AS778" t="s">
        <v>66</v>
      </c>
      <c r="AT778" t="s">
        <v>66</v>
      </c>
    </row>
    <row r="779" spans="1:46" x14ac:dyDescent="0.15">
      <c r="A779" t="s">
        <v>2852</v>
      </c>
      <c r="B779" t="s">
        <v>2568</v>
      </c>
      <c r="C779" t="s">
        <v>2569</v>
      </c>
      <c r="D779">
        <v>55</v>
      </c>
      <c r="E779" t="s">
        <v>2570</v>
      </c>
      <c r="F779" t="s">
        <v>1551</v>
      </c>
      <c r="G779" t="s">
        <v>51</v>
      </c>
      <c r="H779" t="s">
        <v>2571</v>
      </c>
      <c r="I779" t="s">
        <v>1553</v>
      </c>
      <c r="J779" t="s">
        <v>2572</v>
      </c>
      <c r="K779" t="s">
        <v>1338</v>
      </c>
      <c r="L779" t="s">
        <v>16</v>
      </c>
      <c r="M779" t="s">
        <v>17</v>
      </c>
      <c r="N779">
        <v>3531</v>
      </c>
      <c r="O779">
        <v>190</v>
      </c>
      <c r="P779">
        <v>0</v>
      </c>
      <c r="Q779" t="s">
        <v>2853</v>
      </c>
      <c r="R779" t="s">
        <v>2854</v>
      </c>
      <c r="S779" t="s">
        <v>2855</v>
      </c>
      <c r="T779" t="s">
        <v>2856</v>
      </c>
      <c r="U779" t="s">
        <v>60</v>
      </c>
      <c r="V779" t="s">
        <v>61</v>
      </c>
      <c r="W779">
        <v>10</v>
      </c>
      <c r="X779">
        <v>0.105</v>
      </c>
      <c r="Y779" t="s">
        <v>243</v>
      </c>
      <c r="Z779" t="s">
        <v>421</v>
      </c>
      <c r="AA779">
        <v>2</v>
      </c>
      <c r="AB779" t="s">
        <v>2577</v>
      </c>
      <c r="AC779" t="s">
        <v>2578</v>
      </c>
      <c r="AD779" t="s">
        <v>2579</v>
      </c>
      <c r="AE779" t="s">
        <v>2580</v>
      </c>
      <c r="AF779" t="s">
        <v>2581</v>
      </c>
      <c r="AG779" t="s">
        <v>806</v>
      </c>
      <c r="AH779" t="s">
        <v>889</v>
      </c>
      <c r="AI779" t="s">
        <v>66</v>
      </c>
      <c r="AJ779" t="s">
        <v>66</v>
      </c>
      <c r="AK779">
        <v>1</v>
      </c>
      <c r="AL779" t="s">
        <v>2677</v>
      </c>
      <c r="AM779" t="s">
        <v>2678</v>
      </c>
      <c r="AN779" t="s">
        <v>2779</v>
      </c>
      <c r="AO779" t="s">
        <v>66</v>
      </c>
      <c r="AP779">
        <v>1</v>
      </c>
      <c r="AQ779" t="s">
        <v>2780</v>
      </c>
      <c r="AR779" t="s">
        <v>2781</v>
      </c>
      <c r="AS779" t="s">
        <v>66</v>
      </c>
      <c r="AT779" t="s">
        <v>66</v>
      </c>
    </row>
    <row r="780" spans="1:46" x14ac:dyDescent="0.15">
      <c r="A780" t="s">
        <v>2857</v>
      </c>
      <c r="B780" t="s">
        <v>2568</v>
      </c>
      <c r="C780" t="s">
        <v>2569</v>
      </c>
      <c r="D780">
        <v>56</v>
      </c>
      <c r="E780" t="s">
        <v>2570</v>
      </c>
      <c r="F780" t="s">
        <v>1551</v>
      </c>
      <c r="G780" t="s">
        <v>51</v>
      </c>
      <c r="H780" t="s">
        <v>2571</v>
      </c>
      <c r="I780" t="s">
        <v>1553</v>
      </c>
      <c r="J780" t="s">
        <v>2572</v>
      </c>
      <c r="K780" t="s">
        <v>1338</v>
      </c>
      <c r="L780" t="s">
        <v>16</v>
      </c>
      <c r="M780" t="s">
        <v>17</v>
      </c>
      <c r="N780">
        <v>3587</v>
      </c>
      <c r="O780">
        <v>193</v>
      </c>
      <c r="P780">
        <v>0</v>
      </c>
      <c r="Q780" t="s">
        <v>2858</v>
      </c>
      <c r="R780" t="s">
        <v>2859</v>
      </c>
      <c r="S780" t="s">
        <v>2860</v>
      </c>
      <c r="T780" t="s">
        <v>2861</v>
      </c>
      <c r="U780" t="s">
        <v>60</v>
      </c>
      <c r="V780" t="s">
        <v>61</v>
      </c>
      <c r="W780">
        <v>10</v>
      </c>
      <c r="X780">
        <v>0.105</v>
      </c>
      <c r="Y780" t="s">
        <v>427</v>
      </c>
      <c r="Z780" t="s">
        <v>428</v>
      </c>
      <c r="AA780">
        <v>2</v>
      </c>
      <c r="AB780" t="s">
        <v>2577</v>
      </c>
      <c r="AC780" t="s">
        <v>2578</v>
      </c>
      <c r="AD780" t="s">
        <v>2579</v>
      </c>
      <c r="AE780" t="s">
        <v>2580</v>
      </c>
      <c r="AF780" t="s">
        <v>2581</v>
      </c>
      <c r="AG780" t="s">
        <v>806</v>
      </c>
      <c r="AH780" t="s">
        <v>889</v>
      </c>
      <c r="AI780" t="s">
        <v>66</v>
      </c>
      <c r="AJ780" t="s">
        <v>66</v>
      </c>
      <c r="AK780">
        <v>1</v>
      </c>
      <c r="AL780" t="s">
        <v>2677</v>
      </c>
      <c r="AM780" t="s">
        <v>2678</v>
      </c>
      <c r="AN780" t="s">
        <v>2779</v>
      </c>
      <c r="AO780" t="s">
        <v>66</v>
      </c>
      <c r="AP780">
        <v>1</v>
      </c>
      <c r="AQ780" t="s">
        <v>2780</v>
      </c>
      <c r="AR780" t="s">
        <v>2781</v>
      </c>
      <c r="AS780" t="s">
        <v>66</v>
      </c>
      <c r="AT780" t="s">
        <v>66</v>
      </c>
    </row>
    <row r="781" spans="1:46" x14ac:dyDescent="0.15">
      <c r="A781" t="s">
        <v>2862</v>
      </c>
      <c r="B781" t="s">
        <v>2568</v>
      </c>
      <c r="C781" t="s">
        <v>2569</v>
      </c>
      <c r="D781">
        <v>57</v>
      </c>
      <c r="E781" t="s">
        <v>2570</v>
      </c>
      <c r="F781" t="s">
        <v>1551</v>
      </c>
      <c r="G781" t="s">
        <v>51</v>
      </c>
      <c r="H781" t="s">
        <v>2571</v>
      </c>
      <c r="I781" t="s">
        <v>1553</v>
      </c>
      <c r="J781" t="s">
        <v>2572</v>
      </c>
      <c r="K781" t="s">
        <v>1338</v>
      </c>
      <c r="L781" t="s">
        <v>16</v>
      </c>
      <c r="M781" t="s">
        <v>17</v>
      </c>
      <c r="N781">
        <v>3643</v>
      </c>
      <c r="O781">
        <v>196</v>
      </c>
      <c r="P781">
        <v>0</v>
      </c>
      <c r="Q781" t="s">
        <v>2863</v>
      </c>
      <c r="R781" t="s">
        <v>2864</v>
      </c>
      <c r="S781" t="s">
        <v>2865</v>
      </c>
      <c r="T781" t="s">
        <v>2866</v>
      </c>
      <c r="U781" t="s">
        <v>60</v>
      </c>
      <c r="V781" t="s">
        <v>61</v>
      </c>
      <c r="W781">
        <v>10</v>
      </c>
      <c r="X781">
        <v>0.105</v>
      </c>
      <c r="Y781" t="s">
        <v>249</v>
      </c>
      <c r="Z781" t="s">
        <v>434</v>
      </c>
      <c r="AA781">
        <v>2</v>
      </c>
      <c r="AB781" t="s">
        <v>2577</v>
      </c>
      <c r="AC781" t="s">
        <v>2578</v>
      </c>
      <c r="AD781" t="s">
        <v>2579</v>
      </c>
      <c r="AE781" t="s">
        <v>2580</v>
      </c>
      <c r="AF781" t="s">
        <v>2581</v>
      </c>
      <c r="AG781" t="s">
        <v>806</v>
      </c>
      <c r="AH781" t="s">
        <v>889</v>
      </c>
      <c r="AI781" t="s">
        <v>66</v>
      </c>
      <c r="AJ781" t="s">
        <v>66</v>
      </c>
      <c r="AK781">
        <v>1</v>
      </c>
      <c r="AL781" t="s">
        <v>2677</v>
      </c>
      <c r="AM781" t="s">
        <v>2678</v>
      </c>
      <c r="AN781" t="s">
        <v>2779</v>
      </c>
      <c r="AO781" t="s">
        <v>66</v>
      </c>
      <c r="AP781">
        <v>1</v>
      </c>
      <c r="AQ781" t="s">
        <v>2780</v>
      </c>
      <c r="AR781" t="s">
        <v>2781</v>
      </c>
      <c r="AS781" t="s">
        <v>66</v>
      </c>
      <c r="AT781" t="s">
        <v>66</v>
      </c>
    </row>
    <row r="782" spans="1:46" x14ac:dyDescent="0.15">
      <c r="A782" t="s">
        <v>2867</v>
      </c>
      <c r="B782" t="s">
        <v>2568</v>
      </c>
      <c r="C782" t="s">
        <v>2569</v>
      </c>
      <c r="D782">
        <v>58</v>
      </c>
      <c r="E782" t="s">
        <v>2570</v>
      </c>
      <c r="F782" t="s">
        <v>1551</v>
      </c>
      <c r="G782" t="s">
        <v>51</v>
      </c>
      <c r="H782" t="s">
        <v>2571</v>
      </c>
      <c r="I782" t="s">
        <v>1553</v>
      </c>
      <c r="J782" t="s">
        <v>2572</v>
      </c>
      <c r="K782" t="s">
        <v>1338</v>
      </c>
      <c r="L782" t="s">
        <v>16</v>
      </c>
      <c r="M782" t="s">
        <v>17</v>
      </c>
      <c r="N782">
        <v>3699</v>
      </c>
      <c r="O782">
        <v>199</v>
      </c>
      <c r="P782">
        <v>0</v>
      </c>
      <c r="Q782" t="s">
        <v>2868</v>
      </c>
      <c r="R782" t="s">
        <v>2869</v>
      </c>
      <c r="S782" t="s">
        <v>2870</v>
      </c>
      <c r="T782" t="s">
        <v>2871</v>
      </c>
      <c r="U782" t="s">
        <v>60</v>
      </c>
      <c r="V782" t="s">
        <v>61</v>
      </c>
      <c r="W782">
        <v>10</v>
      </c>
      <c r="X782">
        <v>0.105</v>
      </c>
      <c r="Y782" t="s">
        <v>440</v>
      </c>
      <c r="Z782" t="s">
        <v>441</v>
      </c>
      <c r="AA782">
        <v>2</v>
      </c>
      <c r="AB782" t="s">
        <v>2577</v>
      </c>
      <c r="AC782" t="s">
        <v>2578</v>
      </c>
      <c r="AD782" t="s">
        <v>2579</v>
      </c>
      <c r="AE782" t="s">
        <v>2580</v>
      </c>
      <c r="AF782" t="s">
        <v>2581</v>
      </c>
      <c r="AG782" t="s">
        <v>806</v>
      </c>
      <c r="AH782" t="s">
        <v>889</v>
      </c>
      <c r="AI782" t="s">
        <v>66</v>
      </c>
      <c r="AJ782" t="s">
        <v>66</v>
      </c>
      <c r="AK782">
        <v>1</v>
      </c>
      <c r="AL782" t="s">
        <v>2677</v>
      </c>
      <c r="AM782" t="s">
        <v>2678</v>
      </c>
      <c r="AN782" t="s">
        <v>2779</v>
      </c>
      <c r="AO782" t="s">
        <v>66</v>
      </c>
      <c r="AP782">
        <v>1</v>
      </c>
      <c r="AQ782" t="s">
        <v>2780</v>
      </c>
      <c r="AR782" t="s">
        <v>2781</v>
      </c>
      <c r="AS782" t="s">
        <v>66</v>
      </c>
      <c r="AT782" t="s">
        <v>66</v>
      </c>
    </row>
    <row r="783" spans="1:46" x14ac:dyDescent="0.15">
      <c r="A783" t="s">
        <v>2872</v>
      </c>
      <c r="B783" t="s">
        <v>2568</v>
      </c>
      <c r="C783" t="s">
        <v>2569</v>
      </c>
      <c r="D783">
        <v>59</v>
      </c>
      <c r="E783" t="s">
        <v>2570</v>
      </c>
      <c r="F783" t="s">
        <v>1551</v>
      </c>
      <c r="G783" t="s">
        <v>51</v>
      </c>
      <c r="H783" t="s">
        <v>2571</v>
      </c>
      <c r="I783" t="s">
        <v>1553</v>
      </c>
      <c r="J783" t="s">
        <v>2572</v>
      </c>
      <c r="K783" t="s">
        <v>1338</v>
      </c>
      <c r="L783" t="s">
        <v>16</v>
      </c>
      <c r="M783" t="s">
        <v>17</v>
      </c>
      <c r="N783">
        <v>3755</v>
      </c>
      <c r="O783">
        <v>202</v>
      </c>
      <c r="P783">
        <v>0</v>
      </c>
      <c r="Q783" t="s">
        <v>2873</v>
      </c>
      <c r="R783" t="s">
        <v>2874</v>
      </c>
      <c r="S783" t="s">
        <v>2875</v>
      </c>
      <c r="T783" t="s">
        <v>2876</v>
      </c>
      <c r="U783" t="s">
        <v>60</v>
      </c>
      <c r="V783" t="s">
        <v>61</v>
      </c>
      <c r="W783">
        <v>10</v>
      </c>
      <c r="X783">
        <v>0.105</v>
      </c>
      <c r="Y783" t="s">
        <v>256</v>
      </c>
      <c r="Z783" t="s">
        <v>447</v>
      </c>
      <c r="AA783">
        <v>2</v>
      </c>
      <c r="AB783" t="s">
        <v>2577</v>
      </c>
      <c r="AC783" t="s">
        <v>2578</v>
      </c>
      <c r="AD783" t="s">
        <v>2579</v>
      </c>
      <c r="AE783" t="s">
        <v>2580</v>
      </c>
      <c r="AF783" t="s">
        <v>2581</v>
      </c>
      <c r="AG783" t="s">
        <v>806</v>
      </c>
      <c r="AH783" t="s">
        <v>889</v>
      </c>
      <c r="AI783" t="s">
        <v>66</v>
      </c>
      <c r="AJ783" t="s">
        <v>66</v>
      </c>
      <c r="AK783">
        <v>1</v>
      </c>
      <c r="AL783" t="s">
        <v>2677</v>
      </c>
      <c r="AM783" t="s">
        <v>2678</v>
      </c>
      <c r="AN783" t="s">
        <v>2779</v>
      </c>
      <c r="AO783" t="s">
        <v>66</v>
      </c>
      <c r="AP783">
        <v>1</v>
      </c>
      <c r="AQ783" t="s">
        <v>2780</v>
      </c>
      <c r="AR783" t="s">
        <v>2781</v>
      </c>
      <c r="AS783" t="s">
        <v>66</v>
      </c>
      <c r="AT783" t="s">
        <v>66</v>
      </c>
    </row>
    <row r="784" spans="1:46" x14ac:dyDescent="0.15">
      <c r="A784" t="s">
        <v>2877</v>
      </c>
      <c r="B784" t="s">
        <v>2568</v>
      </c>
      <c r="C784" t="s">
        <v>2569</v>
      </c>
      <c r="D784">
        <v>60</v>
      </c>
      <c r="E784" t="s">
        <v>2570</v>
      </c>
      <c r="F784" t="s">
        <v>1551</v>
      </c>
      <c r="G784" t="s">
        <v>51</v>
      </c>
      <c r="H784" t="s">
        <v>2571</v>
      </c>
      <c r="I784" t="s">
        <v>1553</v>
      </c>
      <c r="J784" t="s">
        <v>2572</v>
      </c>
      <c r="K784" t="s">
        <v>1338</v>
      </c>
      <c r="L784" t="s">
        <v>16</v>
      </c>
      <c r="M784" t="s">
        <v>17</v>
      </c>
      <c r="N784">
        <v>3811</v>
      </c>
      <c r="O784">
        <v>205</v>
      </c>
      <c r="P784">
        <v>0</v>
      </c>
      <c r="Q784" t="s">
        <v>2878</v>
      </c>
      <c r="R784" t="s">
        <v>2879</v>
      </c>
      <c r="S784" t="s">
        <v>2880</v>
      </c>
      <c r="T784" t="s">
        <v>2881</v>
      </c>
      <c r="U784" t="s">
        <v>60</v>
      </c>
      <c r="V784" t="s">
        <v>61</v>
      </c>
      <c r="W784">
        <v>10</v>
      </c>
      <c r="X784">
        <v>0.105</v>
      </c>
      <c r="Y784" t="s">
        <v>453</v>
      </c>
      <c r="Z784" t="s">
        <v>454</v>
      </c>
      <c r="AA784">
        <v>2</v>
      </c>
      <c r="AB784" t="s">
        <v>2577</v>
      </c>
      <c r="AC784" t="s">
        <v>2578</v>
      </c>
      <c r="AD784" t="s">
        <v>2579</v>
      </c>
      <c r="AE784" t="s">
        <v>2580</v>
      </c>
      <c r="AF784" t="s">
        <v>2581</v>
      </c>
      <c r="AG784" t="s">
        <v>806</v>
      </c>
      <c r="AH784" t="s">
        <v>889</v>
      </c>
      <c r="AI784" t="s">
        <v>66</v>
      </c>
      <c r="AJ784" t="s">
        <v>66</v>
      </c>
      <c r="AK784">
        <v>1</v>
      </c>
      <c r="AL784" t="s">
        <v>2677</v>
      </c>
      <c r="AM784" t="s">
        <v>2678</v>
      </c>
      <c r="AN784" t="s">
        <v>2779</v>
      </c>
      <c r="AO784" t="s">
        <v>66</v>
      </c>
      <c r="AP784">
        <v>1</v>
      </c>
      <c r="AQ784" t="s">
        <v>2780</v>
      </c>
      <c r="AR784" t="s">
        <v>2781</v>
      </c>
      <c r="AS784" t="s">
        <v>66</v>
      </c>
      <c r="AT784" t="s">
        <v>66</v>
      </c>
    </row>
    <row r="785" spans="1:46" x14ac:dyDescent="0.15">
      <c r="A785" t="s">
        <v>2877</v>
      </c>
      <c r="B785" t="s">
        <v>2568</v>
      </c>
      <c r="C785" t="s">
        <v>2569</v>
      </c>
      <c r="D785">
        <v>60</v>
      </c>
      <c r="E785" t="s">
        <v>2570</v>
      </c>
      <c r="F785" t="s">
        <v>1551</v>
      </c>
      <c r="G785" t="s">
        <v>51</v>
      </c>
      <c r="H785" t="s">
        <v>2571</v>
      </c>
      <c r="I785" t="s">
        <v>1553</v>
      </c>
      <c r="J785" t="s">
        <v>2572</v>
      </c>
      <c r="K785" t="s">
        <v>1338</v>
      </c>
      <c r="L785" t="s">
        <v>16</v>
      </c>
      <c r="M785" t="s">
        <v>17</v>
      </c>
      <c r="N785">
        <v>3811</v>
      </c>
      <c r="O785">
        <v>205</v>
      </c>
      <c r="P785">
        <v>0</v>
      </c>
      <c r="Q785" t="s">
        <v>2878</v>
      </c>
      <c r="R785" t="s">
        <v>2879</v>
      </c>
      <c r="S785" t="s">
        <v>2880</v>
      </c>
      <c r="T785" t="s">
        <v>2881</v>
      </c>
      <c r="U785" t="s">
        <v>60</v>
      </c>
      <c r="V785" t="s">
        <v>61</v>
      </c>
      <c r="W785">
        <v>10</v>
      </c>
      <c r="X785">
        <v>0.105</v>
      </c>
      <c r="Y785" t="s">
        <v>453</v>
      </c>
      <c r="Z785" t="s">
        <v>454</v>
      </c>
      <c r="AA785">
        <v>3</v>
      </c>
      <c r="AB785" t="s">
        <v>2577</v>
      </c>
      <c r="AC785" t="s">
        <v>2578</v>
      </c>
      <c r="AD785" t="s">
        <v>2579</v>
      </c>
      <c r="AE785" t="s">
        <v>2580</v>
      </c>
      <c r="AF785" t="s">
        <v>2581</v>
      </c>
      <c r="AG785" t="s">
        <v>806</v>
      </c>
      <c r="AH785" t="s">
        <v>889</v>
      </c>
      <c r="AI785" t="s">
        <v>889</v>
      </c>
      <c r="AJ785" t="s">
        <v>66</v>
      </c>
      <c r="AK785">
        <v>1</v>
      </c>
      <c r="AL785" t="s">
        <v>2677</v>
      </c>
      <c r="AM785" t="s">
        <v>2678</v>
      </c>
      <c r="AN785" t="s">
        <v>2779</v>
      </c>
      <c r="AO785" t="s">
        <v>66</v>
      </c>
      <c r="AP785">
        <v>1</v>
      </c>
      <c r="AQ785" t="s">
        <v>2882</v>
      </c>
      <c r="AR785" t="s">
        <v>2781</v>
      </c>
      <c r="AS785" t="s">
        <v>2883</v>
      </c>
      <c r="AT785" t="s">
        <v>66</v>
      </c>
    </row>
    <row r="786" spans="1:46" x14ac:dyDescent="0.15">
      <c r="A786" t="s">
        <v>2884</v>
      </c>
      <c r="B786" t="s">
        <v>2568</v>
      </c>
      <c r="C786" t="s">
        <v>2569</v>
      </c>
      <c r="D786">
        <v>61</v>
      </c>
      <c r="E786" t="s">
        <v>2570</v>
      </c>
      <c r="F786" t="s">
        <v>1551</v>
      </c>
      <c r="G786" t="s">
        <v>51</v>
      </c>
      <c r="H786" t="s">
        <v>2571</v>
      </c>
      <c r="I786" t="s">
        <v>1553</v>
      </c>
      <c r="J786" t="s">
        <v>2572</v>
      </c>
      <c r="K786" t="s">
        <v>1338</v>
      </c>
      <c r="L786" t="s">
        <v>16</v>
      </c>
      <c r="M786" t="s">
        <v>17</v>
      </c>
      <c r="N786">
        <v>3867</v>
      </c>
      <c r="O786">
        <v>208</v>
      </c>
      <c r="P786">
        <v>0</v>
      </c>
      <c r="Q786" t="s">
        <v>2885</v>
      </c>
      <c r="R786" t="s">
        <v>2886</v>
      </c>
      <c r="S786" t="s">
        <v>2887</v>
      </c>
      <c r="T786" t="s">
        <v>2888</v>
      </c>
      <c r="U786" t="s">
        <v>60</v>
      </c>
      <c r="V786" t="s">
        <v>61</v>
      </c>
      <c r="W786">
        <v>10</v>
      </c>
      <c r="X786">
        <v>0.105</v>
      </c>
      <c r="Y786" t="s">
        <v>262</v>
      </c>
      <c r="Z786" t="s">
        <v>465</v>
      </c>
      <c r="AA786">
        <v>3</v>
      </c>
      <c r="AB786" t="s">
        <v>2577</v>
      </c>
      <c r="AC786" t="s">
        <v>2578</v>
      </c>
      <c r="AD786" t="s">
        <v>2579</v>
      </c>
      <c r="AE786" t="s">
        <v>2580</v>
      </c>
      <c r="AF786" t="s">
        <v>2581</v>
      </c>
      <c r="AG786" t="s">
        <v>806</v>
      </c>
      <c r="AH786" t="s">
        <v>889</v>
      </c>
      <c r="AI786" t="s">
        <v>889</v>
      </c>
      <c r="AJ786" t="s">
        <v>66</v>
      </c>
      <c r="AK786">
        <v>1</v>
      </c>
      <c r="AL786" t="s">
        <v>2677</v>
      </c>
      <c r="AM786" t="s">
        <v>2678</v>
      </c>
      <c r="AN786" t="s">
        <v>2779</v>
      </c>
      <c r="AO786" t="s">
        <v>66</v>
      </c>
      <c r="AP786">
        <v>1</v>
      </c>
      <c r="AQ786" t="s">
        <v>2882</v>
      </c>
      <c r="AR786" t="s">
        <v>2781</v>
      </c>
      <c r="AS786" t="s">
        <v>2883</v>
      </c>
      <c r="AT786" t="s">
        <v>66</v>
      </c>
    </row>
    <row r="787" spans="1:46" x14ac:dyDescent="0.15">
      <c r="A787" t="s">
        <v>2889</v>
      </c>
      <c r="B787" t="s">
        <v>2568</v>
      </c>
      <c r="C787" t="s">
        <v>2569</v>
      </c>
      <c r="D787">
        <v>62</v>
      </c>
      <c r="E787" t="s">
        <v>2570</v>
      </c>
      <c r="F787" t="s">
        <v>1551</v>
      </c>
      <c r="G787" t="s">
        <v>51</v>
      </c>
      <c r="H787" t="s">
        <v>2571</v>
      </c>
      <c r="I787" t="s">
        <v>1553</v>
      </c>
      <c r="J787" t="s">
        <v>2572</v>
      </c>
      <c r="K787" t="s">
        <v>1338</v>
      </c>
      <c r="L787" t="s">
        <v>16</v>
      </c>
      <c r="M787" t="s">
        <v>17</v>
      </c>
      <c r="N787">
        <v>3923</v>
      </c>
      <c r="O787">
        <v>211</v>
      </c>
      <c r="P787">
        <v>0</v>
      </c>
      <c r="Q787" t="s">
        <v>2890</v>
      </c>
      <c r="R787" t="s">
        <v>2891</v>
      </c>
      <c r="S787" t="s">
        <v>2892</v>
      </c>
      <c r="T787" t="s">
        <v>2893</v>
      </c>
      <c r="U787" t="s">
        <v>60</v>
      </c>
      <c r="V787" t="s">
        <v>61</v>
      </c>
      <c r="W787">
        <v>10</v>
      </c>
      <c r="X787">
        <v>0.105</v>
      </c>
      <c r="Y787" t="s">
        <v>471</v>
      </c>
      <c r="Z787" t="s">
        <v>472</v>
      </c>
      <c r="AA787">
        <v>3</v>
      </c>
      <c r="AB787" t="s">
        <v>2577</v>
      </c>
      <c r="AC787" t="s">
        <v>2578</v>
      </c>
      <c r="AD787" t="s">
        <v>2579</v>
      </c>
      <c r="AE787" t="s">
        <v>2580</v>
      </c>
      <c r="AF787" t="s">
        <v>2581</v>
      </c>
      <c r="AG787" t="s">
        <v>806</v>
      </c>
      <c r="AH787" t="s">
        <v>889</v>
      </c>
      <c r="AI787" t="s">
        <v>889</v>
      </c>
      <c r="AJ787" t="s">
        <v>66</v>
      </c>
      <c r="AK787">
        <v>1</v>
      </c>
      <c r="AL787" t="s">
        <v>2677</v>
      </c>
      <c r="AM787" t="s">
        <v>2678</v>
      </c>
      <c r="AN787" t="s">
        <v>2779</v>
      </c>
      <c r="AO787" t="s">
        <v>66</v>
      </c>
      <c r="AP787">
        <v>1</v>
      </c>
      <c r="AQ787" t="s">
        <v>2882</v>
      </c>
      <c r="AR787" t="s">
        <v>2781</v>
      </c>
      <c r="AS787" t="s">
        <v>2883</v>
      </c>
      <c r="AT787" t="s">
        <v>66</v>
      </c>
    </row>
    <row r="788" spans="1:46" x14ac:dyDescent="0.15">
      <c r="A788" t="s">
        <v>2894</v>
      </c>
      <c r="B788" t="s">
        <v>2568</v>
      </c>
      <c r="C788" t="s">
        <v>2569</v>
      </c>
      <c r="D788">
        <v>63</v>
      </c>
      <c r="E788" t="s">
        <v>2570</v>
      </c>
      <c r="F788" t="s">
        <v>1551</v>
      </c>
      <c r="G788" t="s">
        <v>51</v>
      </c>
      <c r="H788" t="s">
        <v>2571</v>
      </c>
      <c r="I788" t="s">
        <v>1553</v>
      </c>
      <c r="J788" t="s">
        <v>2572</v>
      </c>
      <c r="K788" t="s">
        <v>1338</v>
      </c>
      <c r="L788" t="s">
        <v>16</v>
      </c>
      <c r="M788" t="s">
        <v>17</v>
      </c>
      <c r="N788">
        <v>3980</v>
      </c>
      <c r="O788">
        <v>214</v>
      </c>
      <c r="P788">
        <v>0</v>
      </c>
      <c r="Q788" t="s">
        <v>2895</v>
      </c>
      <c r="R788" t="s">
        <v>2896</v>
      </c>
      <c r="S788" t="s">
        <v>2897</v>
      </c>
      <c r="T788" t="s">
        <v>2898</v>
      </c>
      <c r="U788" t="s">
        <v>60</v>
      </c>
      <c r="V788" t="s">
        <v>61</v>
      </c>
      <c r="W788">
        <v>10</v>
      </c>
      <c r="X788">
        <v>0.105</v>
      </c>
      <c r="Y788" t="s">
        <v>269</v>
      </c>
      <c r="Z788" t="s">
        <v>478</v>
      </c>
      <c r="AA788">
        <v>3</v>
      </c>
      <c r="AB788" t="s">
        <v>2577</v>
      </c>
      <c r="AC788" t="s">
        <v>2578</v>
      </c>
      <c r="AD788" t="s">
        <v>2579</v>
      </c>
      <c r="AE788" t="s">
        <v>2580</v>
      </c>
      <c r="AF788" t="s">
        <v>2581</v>
      </c>
      <c r="AG788" t="s">
        <v>806</v>
      </c>
      <c r="AH788" t="s">
        <v>889</v>
      </c>
      <c r="AI788" t="s">
        <v>889</v>
      </c>
      <c r="AJ788" t="s">
        <v>66</v>
      </c>
      <c r="AK788">
        <v>1</v>
      </c>
      <c r="AL788" t="s">
        <v>2677</v>
      </c>
      <c r="AM788" t="s">
        <v>2678</v>
      </c>
      <c r="AN788" t="s">
        <v>2779</v>
      </c>
      <c r="AO788" t="s">
        <v>66</v>
      </c>
      <c r="AP788">
        <v>1</v>
      </c>
      <c r="AQ788" t="s">
        <v>2882</v>
      </c>
      <c r="AR788" t="s">
        <v>2781</v>
      </c>
      <c r="AS788" t="s">
        <v>2883</v>
      </c>
      <c r="AT788" t="s">
        <v>66</v>
      </c>
    </row>
    <row r="789" spans="1:46" x14ac:dyDescent="0.15">
      <c r="A789" t="s">
        <v>2899</v>
      </c>
      <c r="B789" t="s">
        <v>2568</v>
      </c>
      <c r="C789" t="s">
        <v>2569</v>
      </c>
      <c r="D789">
        <v>64</v>
      </c>
      <c r="E789" t="s">
        <v>2570</v>
      </c>
      <c r="F789" t="s">
        <v>1551</v>
      </c>
      <c r="G789" t="s">
        <v>51</v>
      </c>
      <c r="H789" t="s">
        <v>2571</v>
      </c>
      <c r="I789" t="s">
        <v>1553</v>
      </c>
      <c r="J789" t="s">
        <v>2572</v>
      </c>
      <c r="K789" t="s">
        <v>1338</v>
      </c>
      <c r="L789" t="s">
        <v>16</v>
      </c>
      <c r="M789" t="s">
        <v>17</v>
      </c>
      <c r="N789">
        <v>4036</v>
      </c>
      <c r="O789">
        <v>217</v>
      </c>
      <c r="P789">
        <v>0</v>
      </c>
      <c r="Q789" t="s">
        <v>2900</v>
      </c>
      <c r="R789" t="s">
        <v>2901</v>
      </c>
      <c r="S789" t="s">
        <v>2902</v>
      </c>
      <c r="T789" t="s">
        <v>2903</v>
      </c>
      <c r="U789" t="s">
        <v>60</v>
      </c>
      <c r="V789" t="s">
        <v>61</v>
      </c>
      <c r="W789">
        <v>10</v>
      </c>
      <c r="X789">
        <v>0.105</v>
      </c>
      <c r="Y789" t="s">
        <v>484</v>
      </c>
      <c r="Z789" t="s">
        <v>485</v>
      </c>
      <c r="AA789">
        <v>3</v>
      </c>
      <c r="AB789" t="s">
        <v>2577</v>
      </c>
      <c r="AC789" t="s">
        <v>2578</v>
      </c>
      <c r="AD789" t="s">
        <v>2579</v>
      </c>
      <c r="AE789" t="s">
        <v>2580</v>
      </c>
      <c r="AF789" t="s">
        <v>2581</v>
      </c>
      <c r="AG789" t="s">
        <v>806</v>
      </c>
      <c r="AH789" t="s">
        <v>889</v>
      </c>
      <c r="AI789" t="s">
        <v>889</v>
      </c>
      <c r="AJ789" t="s">
        <v>66</v>
      </c>
      <c r="AK789">
        <v>1</v>
      </c>
      <c r="AL789" t="s">
        <v>2677</v>
      </c>
      <c r="AM789" t="s">
        <v>2678</v>
      </c>
      <c r="AN789" t="s">
        <v>2779</v>
      </c>
      <c r="AO789" t="s">
        <v>66</v>
      </c>
      <c r="AP789">
        <v>1</v>
      </c>
      <c r="AQ789" t="s">
        <v>2882</v>
      </c>
      <c r="AR789" t="s">
        <v>2781</v>
      </c>
      <c r="AS789" t="s">
        <v>2883</v>
      </c>
      <c r="AT789" t="s">
        <v>66</v>
      </c>
    </row>
    <row r="790" spans="1:46" x14ac:dyDescent="0.15">
      <c r="A790" t="s">
        <v>2904</v>
      </c>
      <c r="B790" t="s">
        <v>2568</v>
      </c>
      <c r="C790" t="s">
        <v>2569</v>
      </c>
      <c r="D790">
        <v>65</v>
      </c>
      <c r="E790" t="s">
        <v>2570</v>
      </c>
      <c r="F790" t="s">
        <v>1551</v>
      </c>
      <c r="G790" t="s">
        <v>51</v>
      </c>
      <c r="H790" t="s">
        <v>2571</v>
      </c>
      <c r="I790" t="s">
        <v>1553</v>
      </c>
      <c r="J790" t="s">
        <v>2572</v>
      </c>
      <c r="K790" t="s">
        <v>1338</v>
      </c>
      <c r="L790" t="s">
        <v>16</v>
      </c>
      <c r="M790" t="s">
        <v>17</v>
      </c>
      <c r="N790">
        <v>4092</v>
      </c>
      <c r="O790">
        <v>220</v>
      </c>
      <c r="P790">
        <v>0</v>
      </c>
      <c r="Q790" t="s">
        <v>2905</v>
      </c>
      <c r="R790" t="s">
        <v>2906</v>
      </c>
      <c r="S790" t="s">
        <v>2907</v>
      </c>
      <c r="T790" t="s">
        <v>2908</v>
      </c>
      <c r="U790" t="s">
        <v>60</v>
      </c>
      <c r="V790" t="s">
        <v>61</v>
      </c>
      <c r="W790">
        <v>10</v>
      </c>
      <c r="X790">
        <v>0.105</v>
      </c>
      <c r="Y790" t="s">
        <v>275</v>
      </c>
      <c r="Z790" t="s">
        <v>491</v>
      </c>
      <c r="AA790">
        <v>3</v>
      </c>
      <c r="AB790" t="s">
        <v>2577</v>
      </c>
      <c r="AC790" t="s">
        <v>2578</v>
      </c>
      <c r="AD790" t="s">
        <v>2579</v>
      </c>
      <c r="AE790" t="s">
        <v>2580</v>
      </c>
      <c r="AF790" t="s">
        <v>2581</v>
      </c>
      <c r="AG790" t="s">
        <v>806</v>
      </c>
      <c r="AH790" t="s">
        <v>889</v>
      </c>
      <c r="AI790" t="s">
        <v>889</v>
      </c>
      <c r="AJ790" t="s">
        <v>66</v>
      </c>
      <c r="AK790">
        <v>1</v>
      </c>
      <c r="AL790" t="s">
        <v>2677</v>
      </c>
      <c r="AM790" t="s">
        <v>2678</v>
      </c>
      <c r="AN790" t="s">
        <v>2779</v>
      </c>
      <c r="AO790" t="s">
        <v>66</v>
      </c>
      <c r="AP790">
        <v>1</v>
      </c>
      <c r="AQ790" t="s">
        <v>2882</v>
      </c>
      <c r="AR790" t="s">
        <v>2781</v>
      </c>
      <c r="AS790" t="s">
        <v>2883</v>
      </c>
      <c r="AT790" t="s">
        <v>66</v>
      </c>
    </row>
    <row r="791" spans="1:46" x14ac:dyDescent="0.15">
      <c r="A791" t="s">
        <v>2909</v>
      </c>
      <c r="B791" t="s">
        <v>2568</v>
      </c>
      <c r="C791" t="s">
        <v>2569</v>
      </c>
      <c r="D791">
        <v>66</v>
      </c>
      <c r="E791" t="s">
        <v>2570</v>
      </c>
      <c r="F791" t="s">
        <v>1551</v>
      </c>
      <c r="G791" t="s">
        <v>51</v>
      </c>
      <c r="H791" t="s">
        <v>2571</v>
      </c>
      <c r="I791" t="s">
        <v>1553</v>
      </c>
      <c r="J791" t="s">
        <v>2572</v>
      </c>
      <c r="K791" t="s">
        <v>1338</v>
      </c>
      <c r="L791" t="s">
        <v>16</v>
      </c>
      <c r="M791" t="s">
        <v>17</v>
      </c>
      <c r="N791">
        <v>4148</v>
      </c>
      <c r="O791">
        <v>223</v>
      </c>
      <c r="P791">
        <v>0</v>
      </c>
      <c r="Q791" t="s">
        <v>2910</v>
      </c>
      <c r="R791" t="s">
        <v>2911</v>
      </c>
      <c r="S791" t="s">
        <v>2912</v>
      </c>
      <c r="T791" t="s">
        <v>2913</v>
      </c>
      <c r="U791" t="s">
        <v>60</v>
      </c>
      <c r="V791" t="s">
        <v>61</v>
      </c>
      <c r="W791">
        <v>10</v>
      </c>
      <c r="X791">
        <v>0.105</v>
      </c>
      <c r="Y791" t="s">
        <v>497</v>
      </c>
      <c r="Z791" t="s">
        <v>498</v>
      </c>
      <c r="AA791">
        <v>3</v>
      </c>
      <c r="AB791" t="s">
        <v>2577</v>
      </c>
      <c r="AC791" t="s">
        <v>2578</v>
      </c>
      <c r="AD791" t="s">
        <v>2579</v>
      </c>
      <c r="AE791" t="s">
        <v>2580</v>
      </c>
      <c r="AF791" t="s">
        <v>2581</v>
      </c>
      <c r="AG791" t="s">
        <v>806</v>
      </c>
      <c r="AH791" t="s">
        <v>889</v>
      </c>
      <c r="AI791" t="s">
        <v>889</v>
      </c>
      <c r="AJ791" t="s">
        <v>66</v>
      </c>
      <c r="AK791">
        <v>1</v>
      </c>
      <c r="AL791" t="s">
        <v>2677</v>
      </c>
      <c r="AM791" t="s">
        <v>2678</v>
      </c>
      <c r="AN791" t="s">
        <v>2779</v>
      </c>
      <c r="AO791" t="s">
        <v>66</v>
      </c>
      <c r="AP791">
        <v>1</v>
      </c>
      <c r="AQ791" t="s">
        <v>2882</v>
      </c>
      <c r="AR791" t="s">
        <v>2781</v>
      </c>
      <c r="AS791" t="s">
        <v>2883</v>
      </c>
      <c r="AT791" t="s">
        <v>66</v>
      </c>
    </row>
    <row r="792" spans="1:46" x14ac:dyDescent="0.15">
      <c r="A792" t="s">
        <v>2914</v>
      </c>
      <c r="B792" t="s">
        <v>2568</v>
      </c>
      <c r="C792" t="s">
        <v>2569</v>
      </c>
      <c r="D792">
        <v>67</v>
      </c>
      <c r="E792" t="s">
        <v>2570</v>
      </c>
      <c r="F792" t="s">
        <v>1551</v>
      </c>
      <c r="G792" t="s">
        <v>51</v>
      </c>
      <c r="H792" t="s">
        <v>2571</v>
      </c>
      <c r="I792" t="s">
        <v>1553</v>
      </c>
      <c r="J792" t="s">
        <v>2572</v>
      </c>
      <c r="K792" t="s">
        <v>1338</v>
      </c>
      <c r="L792" t="s">
        <v>16</v>
      </c>
      <c r="M792" t="s">
        <v>17</v>
      </c>
      <c r="N792">
        <v>4204</v>
      </c>
      <c r="O792">
        <v>226</v>
      </c>
      <c r="P792">
        <v>0</v>
      </c>
      <c r="Q792" t="s">
        <v>2915</v>
      </c>
      <c r="R792" t="s">
        <v>2916</v>
      </c>
      <c r="S792" t="s">
        <v>2917</v>
      </c>
      <c r="T792" t="s">
        <v>2918</v>
      </c>
      <c r="U792" t="s">
        <v>60</v>
      </c>
      <c r="V792" t="s">
        <v>61</v>
      </c>
      <c r="W792">
        <v>10</v>
      </c>
      <c r="X792">
        <v>0.105</v>
      </c>
      <c r="Y792" t="s">
        <v>282</v>
      </c>
      <c r="Z792" t="s">
        <v>504</v>
      </c>
      <c r="AA792">
        <v>3</v>
      </c>
      <c r="AB792" t="s">
        <v>2577</v>
      </c>
      <c r="AC792" t="s">
        <v>2578</v>
      </c>
      <c r="AD792" t="s">
        <v>2579</v>
      </c>
      <c r="AE792" t="s">
        <v>2580</v>
      </c>
      <c r="AF792" t="s">
        <v>2581</v>
      </c>
      <c r="AG792" t="s">
        <v>806</v>
      </c>
      <c r="AH792" t="s">
        <v>889</v>
      </c>
      <c r="AI792" t="s">
        <v>889</v>
      </c>
      <c r="AJ792" t="s">
        <v>66</v>
      </c>
      <c r="AK792">
        <v>1</v>
      </c>
      <c r="AL792" t="s">
        <v>2677</v>
      </c>
      <c r="AM792" t="s">
        <v>2678</v>
      </c>
      <c r="AN792" t="s">
        <v>2779</v>
      </c>
      <c r="AO792" t="s">
        <v>66</v>
      </c>
      <c r="AP792">
        <v>1</v>
      </c>
      <c r="AQ792" t="s">
        <v>2882</v>
      </c>
      <c r="AR792" t="s">
        <v>2781</v>
      </c>
      <c r="AS792" t="s">
        <v>2883</v>
      </c>
      <c r="AT792" t="s">
        <v>66</v>
      </c>
    </row>
    <row r="793" spans="1:46" x14ac:dyDescent="0.15">
      <c r="A793" t="s">
        <v>2919</v>
      </c>
      <c r="B793" t="s">
        <v>2568</v>
      </c>
      <c r="C793" t="s">
        <v>2569</v>
      </c>
      <c r="D793">
        <v>68</v>
      </c>
      <c r="E793" t="s">
        <v>2570</v>
      </c>
      <c r="F793" t="s">
        <v>1551</v>
      </c>
      <c r="G793" t="s">
        <v>51</v>
      </c>
      <c r="H793" t="s">
        <v>2571</v>
      </c>
      <c r="I793" t="s">
        <v>1553</v>
      </c>
      <c r="J793" t="s">
        <v>2572</v>
      </c>
      <c r="K793" t="s">
        <v>1338</v>
      </c>
      <c r="L793" t="s">
        <v>16</v>
      </c>
      <c r="M793" t="s">
        <v>17</v>
      </c>
      <c r="N793">
        <v>4260</v>
      </c>
      <c r="O793">
        <v>229</v>
      </c>
      <c r="P793">
        <v>0</v>
      </c>
      <c r="Q793" t="s">
        <v>2920</v>
      </c>
      <c r="R793" t="s">
        <v>2921</v>
      </c>
      <c r="S793" t="s">
        <v>2922</v>
      </c>
      <c r="T793" t="s">
        <v>2923</v>
      </c>
      <c r="U793" t="s">
        <v>60</v>
      </c>
      <c r="V793" t="s">
        <v>61</v>
      </c>
      <c r="W793">
        <v>10</v>
      </c>
      <c r="X793">
        <v>0.105</v>
      </c>
      <c r="Y793" t="s">
        <v>510</v>
      </c>
      <c r="Z793" t="s">
        <v>511</v>
      </c>
      <c r="AA793">
        <v>3</v>
      </c>
      <c r="AB793" t="s">
        <v>2577</v>
      </c>
      <c r="AC793" t="s">
        <v>2578</v>
      </c>
      <c r="AD793" t="s">
        <v>2579</v>
      </c>
      <c r="AE793" t="s">
        <v>2580</v>
      </c>
      <c r="AF793" t="s">
        <v>2581</v>
      </c>
      <c r="AG793" t="s">
        <v>806</v>
      </c>
      <c r="AH793" t="s">
        <v>889</v>
      </c>
      <c r="AI793" t="s">
        <v>889</v>
      </c>
      <c r="AJ793" t="s">
        <v>66</v>
      </c>
      <c r="AK793">
        <v>1</v>
      </c>
      <c r="AL793" t="s">
        <v>2677</v>
      </c>
      <c r="AM793" t="s">
        <v>2678</v>
      </c>
      <c r="AN793" t="s">
        <v>2779</v>
      </c>
      <c r="AO793" t="s">
        <v>66</v>
      </c>
      <c r="AP793">
        <v>1</v>
      </c>
      <c r="AQ793" t="s">
        <v>2882</v>
      </c>
      <c r="AR793" t="s">
        <v>2781</v>
      </c>
      <c r="AS793" t="s">
        <v>2883</v>
      </c>
      <c r="AT793" t="s">
        <v>66</v>
      </c>
    </row>
    <row r="794" spans="1:46" x14ac:dyDescent="0.15">
      <c r="A794" t="s">
        <v>2924</v>
      </c>
      <c r="B794" t="s">
        <v>2568</v>
      </c>
      <c r="C794" t="s">
        <v>2569</v>
      </c>
      <c r="D794">
        <v>69</v>
      </c>
      <c r="E794" t="s">
        <v>2570</v>
      </c>
      <c r="F794" t="s">
        <v>1551</v>
      </c>
      <c r="G794" t="s">
        <v>51</v>
      </c>
      <c r="H794" t="s">
        <v>2571</v>
      </c>
      <c r="I794" t="s">
        <v>1553</v>
      </c>
      <c r="J794" t="s">
        <v>2572</v>
      </c>
      <c r="K794" t="s">
        <v>1338</v>
      </c>
      <c r="L794" t="s">
        <v>16</v>
      </c>
      <c r="M794" t="s">
        <v>17</v>
      </c>
      <c r="N794">
        <v>4316</v>
      </c>
      <c r="O794">
        <v>232</v>
      </c>
      <c r="P794">
        <v>0</v>
      </c>
      <c r="Q794" t="s">
        <v>2925</v>
      </c>
      <c r="R794" t="s">
        <v>2926</v>
      </c>
      <c r="S794" t="s">
        <v>2927</v>
      </c>
      <c r="T794" t="s">
        <v>2928</v>
      </c>
      <c r="U794" t="s">
        <v>60</v>
      </c>
      <c r="V794" t="s">
        <v>61</v>
      </c>
      <c r="W794">
        <v>10</v>
      </c>
      <c r="X794">
        <v>0.105</v>
      </c>
      <c r="Y794" t="s">
        <v>288</v>
      </c>
      <c r="Z794" t="s">
        <v>517</v>
      </c>
      <c r="AA794">
        <v>3</v>
      </c>
      <c r="AB794" t="s">
        <v>2577</v>
      </c>
      <c r="AC794" t="s">
        <v>2578</v>
      </c>
      <c r="AD794" t="s">
        <v>2579</v>
      </c>
      <c r="AE794" t="s">
        <v>2580</v>
      </c>
      <c r="AF794" t="s">
        <v>2581</v>
      </c>
      <c r="AG794" t="s">
        <v>806</v>
      </c>
      <c r="AH794" t="s">
        <v>889</v>
      </c>
      <c r="AI794" t="s">
        <v>889</v>
      </c>
      <c r="AJ794" t="s">
        <v>66</v>
      </c>
      <c r="AK794">
        <v>1</v>
      </c>
      <c r="AL794" t="s">
        <v>2677</v>
      </c>
      <c r="AM794" t="s">
        <v>2678</v>
      </c>
      <c r="AN794" t="s">
        <v>2779</v>
      </c>
      <c r="AO794" t="s">
        <v>66</v>
      </c>
      <c r="AP794">
        <v>1</v>
      </c>
      <c r="AQ794" t="s">
        <v>2882</v>
      </c>
      <c r="AR794" t="s">
        <v>2781</v>
      </c>
      <c r="AS794" t="s">
        <v>2883</v>
      </c>
      <c r="AT794" t="s">
        <v>66</v>
      </c>
    </row>
    <row r="795" spans="1:46" x14ac:dyDescent="0.15">
      <c r="A795" t="s">
        <v>2929</v>
      </c>
      <c r="B795" t="s">
        <v>2568</v>
      </c>
      <c r="C795" t="s">
        <v>2569</v>
      </c>
      <c r="D795">
        <v>70</v>
      </c>
      <c r="E795" t="s">
        <v>2570</v>
      </c>
      <c r="F795" t="s">
        <v>1551</v>
      </c>
      <c r="G795" t="s">
        <v>51</v>
      </c>
      <c r="H795" t="s">
        <v>2571</v>
      </c>
      <c r="I795" t="s">
        <v>1553</v>
      </c>
      <c r="J795" t="s">
        <v>2572</v>
      </c>
      <c r="K795" t="s">
        <v>1338</v>
      </c>
      <c r="L795" t="s">
        <v>16</v>
      </c>
      <c r="M795" t="s">
        <v>17</v>
      </c>
      <c r="N795">
        <v>4372</v>
      </c>
      <c r="O795">
        <v>235</v>
      </c>
      <c r="P795">
        <v>0</v>
      </c>
      <c r="Q795" t="s">
        <v>2930</v>
      </c>
      <c r="R795" t="s">
        <v>2931</v>
      </c>
      <c r="S795" t="s">
        <v>2932</v>
      </c>
      <c r="T795" t="s">
        <v>2933</v>
      </c>
      <c r="U795" t="s">
        <v>60</v>
      </c>
      <c r="V795" t="s">
        <v>61</v>
      </c>
      <c r="W795">
        <v>10</v>
      </c>
      <c r="X795">
        <v>0.105</v>
      </c>
      <c r="Y795" t="s">
        <v>523</v>
      </c>
      <c r="Z795" t="s">
        <v>524</v>
      </c>
      <c r="AA795">
        <v>3</v>
      </c>
      <c r="AB795" t="s">
        <v>2577</v>
      </c>
      <c r="AC795" t="s">
        <v>2578</v>
      </c>
      <c r="AD795" t="s">
        <v>2579</v>
      </c>
      <c r="AE795" t="s">
        <v>2580</v>
      </c>
      <c r="AF795" t="s">
        <v>2581</v>
      </c>
      <c r="AG795" t="s">
        <v>806</v>
      </c>
      <c r="AH795" t="s">
        <v>889</v>
      </c>
      <c r="AI795" t="s">
        <v>889</v>
      </c>
      <c r="AJ795" t="s">
        <v>66</v>
      </c>
      <c r="AK795">
        <v>1</v>
      </c>
      <c r="AL795" t="s">
        <v>2677</v>
      </c>
      <c r="AM795" t="s">
        <v>2678</v>
      </c>
      <c r="AN795" t="s">
        <v>2779</v>
      </c>
      <c r="AO795" t="s">
        <v>66</v>
      </c>
      <c r="AP795">
        <v>1</v>
      </c>
      <c r="AQ795" t="s">
        <v>2882</v>
      </c>
      <c r="AR795" t="s">
        <v>2781</v>
      </c>
      <c r="AS795" t="s">
        <v>2883</v>
      </c>
      <c r="AT795" t="s">
        <v>66</v>
      </c>
    </row>
    <row r="796" spans="1:46" x14ac:dyDescent="0.15">
      <c r="A796" t="s">
        <v>2934</v>
      </c>
      <c r="B796" t="s">
        <v>2568</v>
      </c>
      <c r="C796" t="s">
        <v>2569</v>
      </c>
      <c r="D796">
        <v>71</v>
      </c>
      <c r="E796" t="s">
        <v>2570</v>
      </c>
      <c r="F796" t="s">
        <v>1551</v>
      </c>
      <c r="G796" t="s">
        <v>51</v>
      </c>
      <c r="H796" t="s">
        <v>2571</v>
      </c>
      <c r="I796" t="s">
        <v>1553</v>
      </c>
      <c r="J796" t="s">
        <v>2572</v>
      </c>
      <c r="K796" t="s">
        <v>1338</v>
      </c>
      <c r="L796" t="s">
        <v>16</v>
      </c>
      <c r="M796" t="s">
        <v>17</v>
      </c>
      <c r="N796">
        <v>4429</v>
      </c>
      <c r="O796">
        <v>238</v>
      </c>
      <c r="P796">
        <v>0</v>
      </c>
      <c r="Q796" t="s">
        <v>2935</v>
      </c>
      <c r="R796" t="s">
        <v>2936</v>
      </c>
      <c r="S796" t="s">
        <v>2937</v>
      </c>
      <c r="T796" t="s">
        <v>2938</v>
      </c>
      <c r="U796" t="s">
        <v>60</v>
      </c>
      <c r="V796" t="s">
        <v>61</v>
      </c>
      <c r="W796">
        <v>10</v>
      </c>
      <c r="X796">
        <v>0.105</v>
      </c>
      <c r="Y796" t="s">
        <v>295</v>
      </c>
      <c r="Z796" t="s">
        <v>530</v>
      </c>
      <c r="AA796">
        <v>3</v>
      </c>
      <c r="AB796" t="s">
        <v>2577</v>
      </c>
      <c r="AC796" t="s">
        <v>2578</v>
      </c>
      <c r="AD796" t="s">
        <v>2579</v>
      </c>
      <c r="AE796" t="s">
        <v>2580</v>
      </c>
      <c r="AF796" t="s">
        <v>2581</v>
      </c>
      <c r="AG796" t="s">
        <v>806</v>
      </c>
      <c r="AH796" t="s">
        <v>889</v>
      </c>
      <c r="AI796" t="s">
        <v>889</v>
      </c>
      <c r="AJ796" t="s">
        <v>66</v>
      </c>
      <c r="AK796">
        <v>1</v>
      </c>
      <c r="AL796" t="s">
        <v>2677</v>
      </c>
      <c r="AM796" t="s">
        <v>2678</v>
      </c>
      <c r="AN796" t="s">
        <v>2779</v>
      </c>
      <c r="AO796" t="s">
        <v>66</v>
      </c>
      <c r="AP796">
        <v>1</v>
      </c>
      <c r="AQ796" t="s">
        <v>2882</v>
      </c>
      <c r="AR796" t="s">
        <v>2781</v>
      </c>
      <c r="AS796" t="s">
        <v>2883</v>
      </c>
      <c r="AT796" t="s">
        <v>66</v>
      </c>
    </row>
    <row r="797" spans="1:46" x14ac:dyDescent="0.15">
      <c r="A797" t="s">
        <v>2939</v>
      </c>
      <c r="B797" t="s">
        <v>2568</v>
      </c>
      <c r="C797" t="s">
        <v>2569</v>
      </c>
      <c r="D797">
        <v>72</v>
      </c>
      <c r="E797" t="s">
        <v>2570</v>
      </c>
      <c r="F797" t="s">
        <v>1551</v>
      </c>
      <c r="G797" t="s">
        <v>51</v>
      </c>
      <c r="H797" t="s">
        <v>2571</v>
      </c>
      <c r="I797" t="s">
        <v>1553</v>
      </c>
      <c r="J797" t="s">
        <v>2572</v>
      </c>
      <c r="K797" t="s">
        <v>1338</v>
      </c>
      <c r="L797" t="s">
        <v>16</v>
      </c>
      <c r="M797" t="s">
        <v>17</v>
      </c>
      <c r="N797">
        <v>4485</v>
      </c>
      <c r="O797">
        <v>241</v>
      </c>
      <c r="P797">
        <v>0</v>
      </c>
      <c r="Q797" t="s">
        <v>2940</v>
      </c>
      <c r="R797" t="s">
        <v>2941</v>
      </c>
      <c r="S797" t="s">
        <v>2942</v>
      </c>
      <c r="T797" t="s">
        <v>2943</v>
      </c>
      <c r="U797" t="s">
        <v>60</v>
      </c>
      <c r="V797" t="s">
        <v>61</v>
      </c>
      <c r="W797">
        <v>10</v>
      </c>
      <c r="X797">
        <v>0.105</v>
      </c>
      <c r="Y797" t="s">
        <v>536</v>
      </c>
      <c r="Z797" t="s">
        <v>537</v>
      </c>
      <c r="AA797">
        <v>3</v>
      </c>
      <c r="AB797" t="s">
        <v>2577</v>
      </c>
      <c r="AC797" t="s">
        <v>2578</v>
      </c>
      <c r="AD797" t="s">
        <v>2579</v>
      </c>
      <c r="AE797" t="s">
        <v>2580</v>
      </c>
      <c r="AF797" t="s">
        <v>2581</v>
      </c>
      <c r="AG797" t="s">
        <v>806</v>
      </c>
      <c r="AH797" t="s">
        <v>889</v>
      </c>
      <c r="AI797" t="s">
        <v>889</v>
      </c>
      <c r="AJ797" t="s">
        <v>66</v>
      </c>
      <c r="AK797">
        <v>1</v>
      </c>
      <c r="AL797" t="s">
        <v>2677</v>
      </c>
      <c r="AM797" t="s">
        <v>2678</v>
      </c>
      <c r="AN797" t="s">
        <v>2779</v>
      </c>
      <c r="AO797" t="s">
        <v>66</v>
      </c>
      <c r="AP797">
        <v>1</v>
      </c>
      <c r="AQ797" t="s">
        <v>2882</v>
      </c>
      <c r="AR797" t="s">
        <v>2781</v>
      </c>
      <c r="AS797" t="s">
        <v>2883</v>
      </c>
      <c r="AT797" t="s">
        <v>66</v>
      </c>
    </row>
    <row r="798" spans="1:46" x14ac:dyDescent="0.15">
      <c r="A798" t="s">
        <v>2944</v>
      </c>
      <c r="B798" t="s">
        <v>2568</v>
      </c>
      <c r="C798" t="s">
        <v>2569</v>
      </c>
      <c r="D798">
        <v>73</v>
      </c>
      <c r="E798" t="s">
        <v>2570</v>
      </c>
      <c r="F798" t="s">
        <v>1551</v>
      </c>
      <c r="G798" t="s">
        <v>51</v>
      </c>
      <c r="H798" t="s">
        <v>2571</v>
      </c>
      <c r="I798" t="s">
        <v>1553</v>
      </c>
      <c r="J798" t="s">
        <v>2572</v>
      </c>
      <c r="K798" t="s">
        <v>1338</v>
      </c>
      <c r="L798" t="s">
        <v>16</v>
      </c>
      <c r="M798" t="s">
        <v>17</v>
      </c>
      <c r="N798">
        <v>4541</v>
      </c>
      <c r="O798">
        <v>244</v>
      </c>
      <c r="P798">
        <v>0</v>
      </c>
      <c r="Q798" t="s">
        <v>2945</v>
      </c>
      <c r="R798" t="s">
        <v>2946</v>
      </c>
      <c r="S798" t="s">
        <v>2947</v>
      </c>
      <c r="T798" t="s">
        <v>2948</v>
      </c>
      <c r="U798" t="s">
        <v>60</v>
      </c>
      <c r="V798" t="s">
        <v>61</v>
      </c>
      <c r="W798">
        <v>10</v>
      </c>
      <c r="X798">
        <v>0.105</v>
      </c>
      <c r="Y798" t="s">
        <v>301</v>
      </c>
      <c r="Z798" t="s">
        <v>543</v>
      </c>
      <c r="AA798">
        <v>3</v>
      </c>
      <c r="AB798" t="s">
        <v>2577</v>
      </c>
      <c r="AC798" t="s">
        <v>2578</v>
      </c>
      <c r="AD798" t="s">
        <v>2579</v>
      </c>
      <c r="AE798" t="s">
        <v>2580</v>
      </c>
      <c r="AF798" t="s">
        <v>2581</v>
      </c>
      <c r="AG798" t="s">
        <v>806</v>
      </c>
      <c r="AH798" t="s">
        <v>889</v>
      </c>
      <c r="AI798" t="s">
        <v>889</v>
      </c>
      <c r="AJ798" t="s">
        <v>66</v>
      </c>
      <c r="AK798">
        <v>1</v>
      </c>
      <c r="AL798" t="s">
        <v>2677</v>
      </c>
      <c r="AM798" t="s">
        <v>2678</v>
      </c>
      <c r="AN798" t="s">
        <v>2779</v>
      </c>
      <c r="AO798" t="s">
        <v>66</v>
      </c>
      <c r="AP798">
        <v>1</v>
      </c>
      <c r="AQ798" t="s">
        <v>2882</v>
      </c>
      <c r="AR798" t="s">
        <v>2781</v>
      </c>
      <c r="AS798" t="s">
        <v>2883</v>
      </c>
      <c r="AT798" t="s">
        <v>66</v>
      </c>
    </row>
    <row r="799" spans="1:46" x14ac:dyDescent="0.15">
      <c r="A799" t="s">
        <v>2949</v>
      </c>
      <c r="B799" t="s">
        <v>2568</v>
      </c>
      <c r="C799" t="s">
        <v>2569</v>
      </c>
      <c r="D799">
        <v>74</v>
      </c>
      <c r="E799" t="s">
        <v>2570</v>
      </c>
      <c r="F799" t="s">
        <v>1551</v>
      </c>
      <c r="G799" t="s">
        <v>51</v>
      </c>
      <c r="H799" t="s">
        <v>2571</v>
      </c>
      <c r="I799" t="s">
        <v>1553</v>
      </c>
      <c r="J799" t="s">
        <v>2572</v>
      </c>
      <c r="K799" t="s">
        <v>1338</v>
      </c>
      <c r="L799" t="s">
        <v>16</v>
      </c>
      <c r="M799" t="s">
        <v>17</v>
      </c>
      <c r="N799">
        <v>4597</v>
      </c>
      <c r="O799">
        <v>247</v>
      </c>
      <c r="P799">
        <v>0</v>
      </c>
      <c r="Q799" t="s">
        <v>2950</v>
      </c>
      <c r="R799" t="s">
        <v>2951</v>
      </c>
      <c r="S799" t="s">
        <v>2952</v>
      </c>
      <c r="T799" t="s">
        <v>2953</v>
      </c>
      <c r="U799" t="s">
        <v>60</v>
      </c>
      <c r="V799" t="s">
        <v>61</v>
      </c>
      <c r="W799">
        <v>10</v>
      </c>
      <c r="X799">
        <v>0.105</v>
      </c>
      <c r="Y799" t="s">
        <v>549</v>
      </c>
      <c r="Z799" t="s">
        <v>550</v>
      </c>
      <c r="AA799">
        <v>3</v>
      </c>
      <c r="AB799" t="s">
        <v>2577</v>
      </c>
      <c r="AC799" t="s">
        <v>2578</v>
      </c>
      <c r="AD799" t="s">
        <v>2579</v>
      </c>
      <c r="AE799" t="s">
        <v>2580</v>
      </c>
      <c r="AF799" t="s">
        <v>2581</v>
      </c>
      <c r="AG799" t="s">
        <v>806</v>
      </c>
      <c r="AH799" t="s">
        <v>889</v>
      </c>
      <c r="AI799" t="s">
        <v>889</v>
      </c>
      <c r="AJ799" t="s">
        <v>66</v>
      </c>
      <c r="AK799">
        <v>1</v>
      </c>
      <c r="AL799" t="s">
        <v>2677</v>
      </c>
      <c r="AM799" t="s">
        <v>2678</v>
      </c>
      <c r="AN799" t="s">
        <v>2779</v>
      </c>
      <c r="AO799" t="s">
        <v>66</v>
      </c>
      <c r="AP799">
        <v>1</v>
      </c>
      <c r="AQ799" t="s">
        <v>2882</v>
      </c>
      <c r="AR799" t="s">
        <v>2781</v>
      </c>
      <c r="AS799" t="s">
        <v>2883</v>
      </c>
      <c r="AT799" t="s">
        <v>66</v>
      </c>
    </row>
    <row r="800" spans="1:46" x14ac:dyDescent="0.15">
      <c r="A800" t="s">
        <v>2954</v>
      </c>
      <c r="B800" t="s">
        <v>2568</v>
      </c>
      <c r="C800" t="s">
        <v>2569</v>
      </c>
      <c r="D800">
        <v>75</v>
      </c>
      <c r="E800" t="s">
        <v>2570</v>
      </c>
      <c r="F800" t="s">
        <v>1551</v>
      </c>
      <c r="G800" t="s">
        <v>51</v>
      </c>
      <c r="H800" t="s">
        <v>2571</v>
      </c>
      <c r="I800" t="s">
        <v>1553</v>
      </c>
      <c r="J800" t="s">
        <v>2572</v>
      </c>
      <c r="K800" t="s">
        <v>1338</v>
      </c>
      <c r="L800" t="s">
        <v>16</v>
      </c>
      <c r="M800" t="s">
        <v>17</v>
      </c>
      <c r="N800">
        <v>4653</v>
      </c>
      <c r="O800">
        <v>250</v>
      </c>
      <c r="P800">
        <v>0</v>
      </c>
      <c r="Q800" t="s">
        <v>2955</v>
      </c>
      <c r="R800" t="s">
        <v>2956</v>
      </c>
      <c r="S800" t="s">
        <v>2957</v>
      </c>
      <c r="T800" t="s">
        <v>2958</v>
      </c>
      <c r="U800" t="s">
        <v>60</v>
      </c>
      <c r="V800" t="s">
        <v>61</v>
      </c>
      <c r="W800">
        <v>10</v>
      </c>
      <c r="X800">
        <v>0.105</v>
      </c>
      <c r="Y800" t="s">
        <v>308</v>
      </c>
      <c r="Z800" t="s">
        <v>556</v>
      </c>
      <c r="AA800">
        <v>3</v>
      </c>
      <c r="AB800" t="s">
        <v>2577</v>
      </c>
      <c r="AC800" t="s">
        <v>2578</v>
      </c>
      <c r="AD800" t="s">
        <v>2579</v>
      </c>
      <c r="AE800" t="s">
        <v>2580</v>
      </c>
      <c r="AF800" t="s">
        <v>2581</v>
      </c>
      <c r="AG800" t="s">
        <v>806</v>
      </c>
      <c r="AH800" t="s">
        <v>889</v>
      </c>
      <c r="AI800" t="s">
        <v>889</v>
      </c>
      <c r="AJ800" t="s">
        <v>66</v>
      </c>
      <c r="AK800">
        <v>1</v>
      </c>
      <c r="AL800" t="s">
        <v>2677</v>
      </c>
      <c r="AM800" t="s">
        <v>2678</v>
      </c>
      <c r="AN800" t="s">
        <v>2779</v>
      </c>
      <c r="AO800" t="s">
        <v>66</v>
      </c>
      <c r="AP800">
        <v>1</v>
      </c>
      <c r="AQ800" t="s">
        <v>2882</v>
      </c>
      <c r="AR800" t="s">
        <v>2781</v>
      </c>
      <c r="AS800" t="s">
        <v>2883</v>
      </c>
      <c r="AT800" t="s">
        <v>66</v>
      </c>
    </row>
    <row r="801" spans="1:46" x14ac:dyDescent="0.15">
      <c r="A801" t="s">
        <v>2959</v>
      </c>
      <c r="B801" t="s">
        <v>2568</v>
      </c>
      <c r="C801" t="s">
        <v>2569</v>
      </c>
      <c r="D801">
        <v>76</v>
      </c>
      <c r="E801" t="s">
        <v>2570</v>
      </c>
      <c r="F801" t="s">
        <v>1551</v>
      </c>
      <c r="G801" t="s">
        <v>51</v>
      </c>
      <c r="H801" t="s">
        <v>2571</v>
      </c>
      <c r="I801" t="s">
        <v>1553</v>
      </c>
      <c r="J801" t="s">
        <v>2572</v>
      </c>
      <c r="K801" t="s">
        <v>1338</v>
      </c>
      <c r="L801" t="s">
        <v>16</v>
      </c>
      <c r="M801" t="s">
        <v>17</v>
      </c>
      <c r="N801">
        <v>4709</v>
      </c>
      <c r="O801">
        <v>253</v>
      </c>
      <c r="P801">
        <v>0</v>
      </c>
      <c r="Q801" t="s">
        <v>2960</v>
      </c>
      <c r="R801" t="s">
        <v>2961</v>
      </c>
      <c r="S801" t="s">
        <v>2962</v>
      </c>
      <c r="T801" t="s">
        <v>2963</v>
      </c>
      <c r="U801" t="s">
        <v>60</v>
      </c>
      <c r="V801" t="s">
        <v>61</v>
      </c>
      <c r="W801">
        <v>10</v>
      </c>
      <c r="X801">
        <v>0.105</v>
      </c>
      <c r="Y801" t="s">
        <v>562</v>
      </c>
      <c r="Z801" t="s">
        <v>563</v>
      </c>
      <c r="AA801">
        <v>3</v>
      </c>
      <c r="AB801" t="s">
        <v>2577</v>
      </c>
      <c r="AC801" t="s">
        <v>2578</v>
      </c>
      <c r="AD801" t="s">
        <v>2579</v>
      </c>
      <c r="AE801" t="s">
        <v>2580</v>
      </c>
      <c r="AF801" t="s">
        <v>2581</v>
      </c>
      <c r="AG801" t="s">
        <v>806</v>
      </c>
      <c r="AH801" t="s">
        <v>889</v>
      </c>
      <c r="AI801" t="s">
        <v>889</v>
      </c>
      <c r="AJ801" t="s">
        <v>66</v>
      </c>
      <c r="AK801">
        <v>1</v>
      </c>
      <c r="AL801" t="s">
        <v>2677</v>
      </c>
      <c r="AM801" t="s">
        <v>2678</v>
      </c>
      <c r="AN801" t="s">
        <v>2779</v>
      </c>
      <c r="AO801" t="s">
        <v>66</v>
      </c>
      <c r="AP801">
        <v>1</v>
      </c>
      <c r="AQ801" t="s">
        <v>2882</v>
      </c>
      <c r="AR801" t="s">
        <v>2781</v>
      </c>
      <c r="AS801" t="s">
        <v>2883</v>
      </c>
      <c r="AT801" t="s">
        <v>66</v>
      </c>
    </row>
    <row r="802" spans="1:46" x14ac:dyDescent="0.15">
      <c r="A802" t="s">
        <v>2964</v>
      </c>
      <c r="B802" t="s">
        <v>2568</v>
      </c>
      <c r="C802" t="s">
        <v>2569</v>
      </c>
      <c r="D802">
        <v>77</v>
      </c>
      <c r="E802" t="s">
        <v>2570</v>
      </c>
      <c r="F802" t="s">
        <v>1551</v>
      </c>
      <c r="G802" t="s">
        <v>51</v>
      </c>
      <c r="H802" t="s">
        <v>2571</v>
      </c>
      <c r="I802" t="s">
        <v>1553</v>
      </c>
      <c r="J802" t="s">
        <v>2572</v>
      </c>
      <c r="K802" t="s">
        <v>1338</v>
      </c>
      <c r="L802" t="s">
        <v>16</v>
      </c>
      <c r="M802" t="s">
        <v>17</v>
      </c>
      <c r="N802">
        <v>4765</v>
      </c>
      <c r="O802">
        <v>255</v>
      </c>
      <c r="P802">
        <v>0</v>
      </c>
      <c r="Q802" t="s">
        <v>2965</v>
      </c>
      <c r="R802" t="s">
        <v>2966</v>
      </c>
      <c r="S802" t="s">
        <v>2967</v>
      </c>
      <c r="T802" t="s">
        <v>2968</v>
      </c>
      <c r="U802" t="s">
        <v>60</v>
      </c>
      <c r="V802" t="s">
        <v>61</v>
      </c>
      <c r="W802">
        <v>10</v>
      </c>
      <c r="X802">
        <v>0.105</v>
      </c>
      <c r="Y802" t="s">
        <v>314</v>
      </c>
      <c r="Z802" t="s">
        <v>569</v>
      </c>
      <c r="AA802">
        <v>3</v>
      </c>
      <c r="AB802" t="s">
        <v>2577</v>
      </c>
      <c r="AC802" t="s">
        <v>2578</v>
      </c>
      <c r="AD802" t="s">
        <v>2579</v>
      </c>
      <c r="AE802" t="s">
        <v>2580</v>
      </c>
      <c r="AF802" t="s">
        <v>2581</v>
      </c>
      <c r="AG802" t="s">
        <v>806</v>
      </c>
      <c r="AH802" t="s">
        <v>889</v>
      </c>
      <c r="AI802" t="s">
        <v>889</v>
      </c>
      <c r="AJ802" t="s">
        <v>66</v>
      </c>
      <c r="AK802">
        <v>1</v>
      </c>
      <c r="AL802" t="s">
        <v>2677</v>
      </c>
      <c r="AM802" t="s">
        <v>2678</v>
      </c>
      <c r="AN802" t="s">
        <v>2779</v>
      </c>
      <c r="AO802" t="s">
        <v>66</v>
      </c>
      <c r="AP802">
        <v>1</v>
      </c>
      <c r="AQ802" t="s">
        <v>2882</v>
      </c>
      <c r="AR802" t="s">
        <v>2781</v>
      </c>
      <c r="AS802" t="s">
        <v>2883</v>
      </c>
      <c r="AT802" t="s">
        <v>66</v>
      </c>
    </row>
    <row r="803" spans="1:46" x14ac:dyDescent="0.15">
      <c r="A803" t="s">
        <v>2969</v>
      </c>
      <c r="B803" t="s">
        <v>2568</v>
      </c>
      <c r="C803" t="s">
        <v>2569</v>
      </c>
      <c r="D803">
        <v>78</v>
      </c>
      <c r="E803" t="s">
        <v>2570</v>
      </c>
      <c r="F803" t="s">
        <v>1551</v>
      </c>
      <c r="G803" t="s">
        <v>51</v>
      </c>
      <c r="H803" t="s">
        <v>2571</v>
      </c>
      <c r="I803" t="s">
        <v>1553</v>
      </c>
      <c r="J803" t="s">
        <v>2572</v>
      </c>
      <c r="K803" t="s">
        <v>1338</v>
      </c>
      <c r="L803" t="s">
        <v>16</v>
      </c>
      <c r="M803" t="s">
        <v>17</v>
      </c>
      <c r="N803">
        <v>4821</v>
      </c>
      <c r="O803">
        <v>258</v>
      </c>
      <c r="P803">
        <v>0</v>
      </c>
      <c r="Q803" t="s">
        <v>2970</v>
      </c>
      <c r="R803" t="s">
        <v>2971</v>
      </c>
      <c r="S803" t="s">
        <v>2972</v>
      </c>
      <c r="T803" t="s">
        <v>2973</v>
      </c>
      <c r="U803" t="s">
        <v>60</v>
      </c>
      <c r="V803" t="s">
        <v>61</v>
      </c>
      <c r="W803">
        <v>10</v>
      </c>
      <c r="X803">
        <v>0.105</v>
      </c>
      <c r="Y803" t="s">
        <v>575</v>
      </c>
      <c r="Z803" t="s">
        <v>576</v>
      </c>
      <c r="AA803">
        <v>3</v>
      </c>
      <c r="AB803" t="s">
        <v>2577</v>
      </c>
      <c r="AC803" t="s">
        <v>2578</v>
      </c>
      <c r="AD803" t="s">
        <v>2579</v>
      </c>
      <c r="AE803" t="s">
        <v>2580</v>
      </c>
      <c r="AF803" t="s">
        <v>2581</v>
      </c>
      <c r="AG803" t="s">
        <v>806</v>
      </c>
      <c r="AH803" t="s">
        <v>889</v>
      </c>
      <c r="AI803" t="s">
        <v>889</v>
      </c>
      <c r="AJ803" t="s">
        <v>66</v>
      </c>
      <c r="AK803">
        <v>1</v>
      </c>
      <c r="AL803" t="s">
        <v>2677</v>
      </c>
      <c r="AM803" t="s">
        <v>2678</v>
      </c>
      <c r="AN803" t="s">
        <v>2779</v>
      </c>
      <c r="AO803" t="s">
        <v>66</v>
      </c>
      <c r="AP803">
        <v>1</v>
      </c>
      <c r="AQ803" t="s">
        <v>2882</v>
      </c>
      <c r="AR803" t="s">
        <v>2781</v>
      </c>
      <c r="AS803" t="s">
        <v>2883</v>
      </c>
      <c r="AT803" t="s">
        <v>66</v>
      </c>
    </row>
    <row r="804" spans="1:46" x14ac:dyDescent="0.15">
      <c r="A804" t="s">
        <v>2974</v>
      </c>
      <c r="B804" t="s">
        <v>2568</v>
      </c>
      <c r="C804" t="s">
        <v>2569</v>
      </c>
      <c r="D804">
        <v>79</v>
      </c>
      <c r="E804" t="s">
        <v>2570</v>
      </c>
      <c r="F804" t="s">
        <v>1551</v>
      </c>
      <c r="G804" t="s">
        <v>51</v>
      </c>
      <c r="H804" t="s">
        <v>2571</v>
      </c>
      <c r="I804" t="s">
        <v>1553</v>
      </c>
      <c r="J804" t="s">
        <v>2572</v>
      </c>
      <c r="K804" t="s">
        <v>1338</v>
      </c>
      <c r="L804" t="s">
        <v>16</v>
      </c>
      <c r="M804" t="s">
        <v>17</v>
      </c>
      <c r="N804">
        <v>4878</v>
      </c>
      <c r="O804">
        <v>261</v>
      </c>
      <c r="P804">
        <v>0</v>
      </c>
      <c r="Q804" t="s">
        <v>2975</v>
      </c>
      <c r="R804" t="s">
        <v>2976</v>
      </c>
      <c r="S804" t="s">
        <v>2977</v>
      </c>
      <c r="T804" t="s">
        <v>2978</v>
      </c>
      <c r="U804" t="s">
        <v>60</v>
      </c>
      <c r="V804" t="s">
        <v>61</v>
      </c>
      <c r="W804">
        <v>10</v>
      </c>
      <c r="X804">
        <v>0.105</v>
      </c>
      <c r="Y804" t="s">
        <v>321</v>
      </c>
      <c r="Z804" t="s">
        <v>582</v>
      </c>
      <c r="AA804">
        <v>3</v>
      </c>
      <c r="AB804" t="s">
        <v>2577</v>
      </c>
      <c r="AC804" t="s">
        <v>2578</v>
      </c>
      <c r="AD804" t="s">
        <v>2579</v>
      </c>
      <c r="AE804" t="s">
        <v>2580</v>
      </c>
      <c r="AF804" t="s">
        <v>2581</v>
      </c>
      <c r="AG804" t="s">
        <v>806</v>
      </c>
      <c r="AH804" t="s">
        <v>889</v>
      </c>
      <c r="AI804" t="s">
        <v>889</v>
      </c>
      <c r="AJ804" t="s">
        <v>66</v>
      </c>
      <c r="AK804">
        <v>1</v>
      </c>
      <c r="AL804" t="s">
        <v>2677</v>
      </c>
      <c r="AM804" t="s">
        <v>2678</v>
      </c>
      <c r="AN804" t="s">
        <v>2779</v>
      </c>
      <c r="AO804" t="s">
        <v>66</v>
      </c>
      <c r="AP804">
        <v>1</v>
      </c>
      <c r="AQ804" t="s">
        <v>2882</v>
      </c>
      <c r="AR804" t="s">
        <v>2781</v>
      </c>
      <c r="AS804" t="s">
        <v>2883</v>
      </c>
      <c r="AT804" t="s">
        <v>66</v>
      </c>
    </row>
    <row r="805" spans="1:46" x14ac:dyDescent="0.15">
      <c r="A805" t="s">
        <v>2979</v>
      </c>
      <c r="B805" t="s">
        <v>2568</v>
      </c>
      <c r="C805" t="s">
        <v>2569</v>
      </c>
      <c r="D805">
        <v>80</v>
      </c>
      <c r="E805" t="s">
        <v>2570</v>
      </c>
      <c r="F805" t="s">
        <v>1551</v>
      </c>
      <c r="G805" t="s">
        <v>51</v>
      </c>
      <c r="H805" t="s">
        <v>2571</v>
      </c>
      <c r="I805" t="s">
        <v>1553</v>
      </c>
      <c r="J805" t="s">
        <v>2572</v>
      </c>
      <c r="K805" t="s">
        <v>1338</v>
      </c>
      <c r="L805" t="s">
        <v>16</v>
      </c>
      <c r="M805" t="s">
        <v>17</v>
      </c>
      <c r="N805">
        <v>4934</v>
      </c>
      <c r="O805">
        <v>264</v>
      </c>
      <c r="P805">
        <v>0</v>
      </c>
      <c r="Q805" t="s">
        <v>2980</v>
      </c>
      <c r="R805" t="s">
        <v>2981</v>
      </c>
      <c r="S805" t="s">
        <v>2982</v>
      </c>
      <c r="T805" t="s">
        <v>2983</v>
      </c>
      <c r="U805" t="s">
        <v>60</v>
      </c>
      <c r="V805" t="s">
        <v>61</v>
      </c>
      <c r="W805">
        <v>10</v>
      </c>
      <c r="X805">
        <v>0.105</v>
      </c>
      <c r="Y805" t="s">
        <v>588</v>
      </c>
      <c r="Z805" t="s">
        <v>589</v>
      </c>
      <c r="AA805">
        <v>3</v>
      </c>
      <c r="AB805" t="s">
        <v>2577</v>
      </c>
      <c r="AC805" t="s">
        <v>2578</v>
      </c>
      <c r="AD805" t="s">
        <v>2579</v>
      </c>
      <c r="AE805" t="s">
        <v>2580</v>
      </c>
      <c r="AF805" t="s">
        <v>2581</v>
      </c>
      <c r="AG805" t="s">
        <v>806</v>
      </c>
      <c r="AH805" t="s">
        <v>889</v>
      </c>
      <c r="AI805" t="s">
        <v>889</v>
      </c>
      <c r="AJ805" t="s">
        <v>66</v>
      </c>
      <c r="AK805">
        <v>1</v>
      </c>
      <c r="AL805" t="s">
        <v>2677</v>
      </c>
      <c r="AM805" t="s">
        <v>2678</v>
      </c>
      <c r="AN805" t="s">
        <v>2779</v>
      </c>
      <c r="AO805" t="s">
        <v>66</v>
      </c>
      <c r="AP805">
        <v>1</v>
      </c>
      <c r="AQ805" t="s">
        <v>2882</v>
      </c>
      <c r="AR805" t="s">
        <v>2781</v>
      </c>
      <c r="AS805" t="s">
        <v>2883</v>
      </c>
      <c r="AT805" t="s">
        <v>66</v>
      </c>
    </row>
    <row r="806" spans="1:46" x14ac:dyDescent="0.15">
      <c r="A806" t="s">
        <v>2979</v>
      </c>
      <c r="B806" t="s">
        <v>2568</v>
      </c>
      <c r="C806" t="s">
        <v>2569</v>
      </c>
      <c r="D806">
        <v>80</v>
      </c>
      <c r="E806" t="s">
        <v>2570</v>
      </c>
      <c r="F806" t="s">
        <v>1551</v>
      </c>
      <c r="G806" t="s">
        <v>51</v>
      </c>
      <c r="H806" t="s">
        <v>2571</v>
      </c>
      <c r="I806" t="s">
        <v>1553</v>
      </c>
      <c r="J806" t="s">
        <v>2572</v>
      </c>
      <c r="K806" t="s">
        <v>1338</v>
      </c>
      <c r="L806" t="s">
        <v>16</v>
      </c>
      <c r="M806" t="s">
        <v>17</v>
      </c>
      <c r="N806">
        <v>4934</v>
      </c>
      <c r="O806">
        <v>264</v>
      </c>
      <c r="P806">
        <v>0</v>
      </c>
      <c r="Q806" t="s">
        <v>2980</v>
      </c>
      <c r="R806" t="s">
        <v>2981</v>
      </c>
      <c r="S806" t="s">
        <v>2982</v>
      </c>
      <c r="T806" t="s">
        <v>2983</v>
      </c>
      <c r="U806" t="s">
        <v>60</v>
      </c>
      <c r="V806" t="s">
        <v>61</v>
      </c>
      <c r="W806">
        <v>10</v>
      </c>
      <c r="X806">
        <v>0.105</v>
      </c>
      <c r="Y806" t="s">
        <v>588</v>
      </c>
      <c r="Z806" t="s">
        <v>589</v>
      </c>
      <c r="AA806">
        <v>4</v>
      </c>
      <c r="AB806" t="s">
        <v>2577</v>
      </c>
      <c r="AC806" t="s">
        <v>2578</v>
      </c>
      <c r="AD806" t="s">
        <v>2579</v>
      </c>
      <c r="AE806" t="s">
        <v>2580</v>
      </c>
      <c r="AF806" t="s">
        <v>2581</v>
      </c>
      <c r="AG806" t="s">
        <v>806</v>
      </c>
      <c r="AH806" t="s">
        <v>889</v>
      </c>
      <c r="AI806" t="s">
        <v>889</v>
      </c>
      <c r="AJ806" t="s">
        <v>1054</v>
      </c>
      <c r="AK806">
        <v>1</v>
      </c>
      <c r="AL806" t="s">
        <v>2677</v>
      </c>
      <c r="AM806" t="s">
        <v>2678</v>
      </c>
      <c r="AN806" t="s">
        <v>2779</v>
      </c>
      <c r="AO806" t="s">
        <v>66</v>
      </c>
      <c r="AP806">
        <v>1</v>
      </c>
      <c r="AQ806" t="s">
        <v>2882</v>
      </c>
      <c r="AR806" t="s">
        <v>2781</v>
      </c>
      <c r="AS806" t="s">
        <v>2883</v>
      </c>
      <c r="AT806" t="s">
        <v>66</v>
      </c>
    </row>
    <row r="807" spans="1:46" x14ac:dyDescent="0.15">
      <c r="A807" t="s">
        <v>2984</v>
      </c>
      <c r="B807" t="s">
        <v>2568</v>
      </c>
      <c r="C807" t="s">
        <v>2569</v>
      </c>
      <c r="D807">
        <v>81</v>
      </c>
      <c r="E807" t="s">
        <v>2570</v>
      </c>
      <c r="F807" t="s">
        <v>1551</v>
      </c>
      <c r="G807" t="s">
        <v>51</v>
      </c>
      <c r="H807" t="s">
        <v>2571</v>
      </c>
      <c r="I807" t="s">
        <v>1553</v>
      </c>
      <c r="J807" t="s">
        <v>2572</v>
      </c>
      <c r="K807" t="s">
        <v>1338</v>
      </c>
      <c r="L807" t="s">
        <v>16</v>
      </c>
      <c r="M807" t="s">
        <v>17</v>
      </c>
      <c r="N807">
        <v>4990</v>
      </c>
      <c r="O807">
        <v>267</v>
      </c>
      <c r="P807">
        <v>0</v>
      </c>
      <c r="Q807" t="s">
        <v>2985</v>
      </c>
      <c r="R807" t="s">
        <v>2986</v>
      </c>
      <c r="S807" t="s">
        <v>2987</v>
      </c>
      <c r="T807" t="s">
        <v>2988</v>
      </c>
      <c r="U807" t="s">
        <v>60</v>
      </c>
      <c r="V807" t="s">
        <v>61</v>
      </c>
      <c r="W807">
        <v>10</v>
      </c>
      <c r="X807">
        <v>0.105</v>
      </c>
      <c r="Y807" t="s">
        <v>330</v>
      </c>
      <c r="Z807" t="s">
        <v>596</v>
      </c>
      <c r="AA807">
        <v>4</v>
      </c>
      <c r="AB807" t="s">
        <v>2577</v>
      </c>
      <c r="AC807" t="s">
        <v>2578</v>
      </c>
      <c r="AD807" t="s">
        <v>2579</v>
      </c>
      <c r="AE807" t="s">
        <v>2580</v>
      </c>
      <c r="AF807" t="s">
        <v>2581</v>
      </c>
      <c r="AG807" t="s">
        <v>806</v>
      </c>
      <c r="AH807" t="s">
        <v>889</v>
      </c>
      <c r="AI807" t="s">
        <v>889</v>
      </c>
      <c r="AJ807" t="s">
        <v>1054</v>
      </c>
      <c r="AK807">
        <v>1</v>
      </c>
      <c r="AL807" t="s">
        <v>2677</v>
      </c>
      <c r="AM807" t="s">
        <v>2678</v>
      </c>
      <c r="AN807" t="s">
        <v>2779</v>
      </c>
      <c r="AO807" t="s">
        <v>66</v>
      </c>
      <c r="AP807">
        <v>1</v>
      </c>
      <c r="AQ807" t="s">
        <v>2882</v>
      </c>
      <c r="AR807" t="s">
        <v>2781</v>
      </c>
      <c r="AS807" t="s">
        <v>2883</v>
      </c>
      <c r="AT807" t="s">
        <v>66</v>
      </c>
    </row>
    <row r="808" spans="1:46" x14ac:dyDescent="0.15">
      <c r="A808" t="s">
        <v>2989</v>
      </c>
      <c r="B808" t="s">
        <v>2568</v>
      </c>
      <c r="C808" t="s">
        <v>2569</v>
      </c>
      <c r="D808">
        <v>82</v>
      </c>
      <c r="E808" t="s">
        <v>2570</v>
      </c>
      <c r="F808" t="s">
        <v>1551</v>
      </c>
      <c r="G808" t="s">
        <v>51</v>
      </c>
      <c r="H808" t="s">
        <v>2571</v>
      </c>
      <c r="I808" t="s">
        <v>1553</v>
      </c>
      <c r="J808" t="s">
        <v>2572</v>
      </c>
      <c r="K808" t="s">
        <v>1338</v>
      </c>
      <c r="L808" t="s">
        <v>16</v>
      </c>
      <c r="M808" t="s">
        <v>17</v>
      </c>
      <c r="N808">
        <v>5046</v>
      </c>
      <c r="O808">
        <v>270</v>
      </c>
      <c r="P808">
        <v>0</v>
      </c>
      <c r="Q808" t="s">
        <v>2990</v>
      </c>
      <c r="R808" t="s">
        <v>2991</v>
      </c>
      <c r="S808" t="s">
        <v>2992</v>
      </c>
      <c r="T808" t="s">
        <v>2993</v>
      </c>
      <c r="U808" t="s">
        <v>60</v>
      </c>
      <c r="V808" t="s">
        <v>61</v>
      </c>
      <c r="W808">
        <v>10</v>
      </c>
      <c r="X808">
        <v>0.105</v>
      </c>
      <c r="Y808" t="s">
        <v>602</v>
      </c>
      <c r="Z808" t="s">
        <v>603</v>
      </c>
      <c r="AA808">
        <v>4</v>
      </c>
      <c r="AB808" t="s">
        <v>2577</v>
      </c>
      <c r="AC808" t="s">
        <v>2578</v>
      </c>
      <c r="AD808" t="s">
        <v>2579</v>
      </c>
      <c r="AE808" t="s">
        <v>2580</v>
      </c>
      <c r="AF808" t="s">
        <v>2581</v>
      </c>
      <c r="AG808" t="s">
        <v>806</v>
      </c>
      <c r="AH808" t="s">
        <v>889</v>
      </c>
      <c r="AI808" t="s">
        <v>889</v>
      </c>
      <c r="AJ808" t="s">
        <v>1054</v>
      </c>
      <c r="AK808">
        <v>1</v>
      </c>
      <c r="AL808" t="s">
        <v>2677</v>
      </c>
      <c r="AM808" t="s">
        <v>2678</v>
      </c>
      <c r="AN808" t="s">
        <v>2779</v>
      </c>
      <c r="AO808" t="s">
        <v>66</v>
      </c>
      <c r="AP808">
        <v>1</v>
      </c>
      <c r="AQ808" t="s">
        <v>2882</v>
      </c>
      <c r="AR808" t="s">
        <v>2781</v>
      </c>
      <c r="AS808" t="s">
        <v>2883</v>
      </c>
      <c r="AT808" t="s">
        <v>66</v>
      </c>
    </row>
    <row r="809" spans="1:46" x14ac:dyDescent="0.15">
      <c r="A809" t="s">
        <v>2994</v>
      </c>
      <c r="B809" t="s">
        <v>2568</v>
      </c>
      <c r="C809" t="s">
        <v>2569</v>
      </c>
      <c r="D809">
        <v>83</v>
      </c>
      <c r="E809" t="s">
        <v>2570</v>
      </c>
      <c r="F809" t="s">
        <v>1551</v>
      </c>
      <c r="G809" t="s">
        <v>51</v>
      </c>
      <c r="H809" t="s">
        <v>2571</v>
      </c>
      <c r="I809" t="s">
        <v>1553</v>
      </c>
      <c r="J809" t="s">
        <v>2572</v>
      </c>
      <c r="K809" t="s">
        <v>1338</v>
      </c>
      <c r="L809" t="s">
        <v>16</v>
      </c>
      <c r="M809" t="s">
        <v>17</v>
      </c>
      <c r="N809">
        <v>5102</v>
      </c>
      <c r="O809">
        <v>273</v>
      </c>
      <c r="P809">
        <v>0</v>
      </c>
      <c r="Q809" t="s">
        <v>2995</v>
      </c>
      <c r="R809" t="s">
        <v>2996</v>
      </c>
      <c r="S809" t="s">
        <v>2997</v>
      </c>
      <c r="T809" t="s">
        <v>2998</v>
      </c>
      <c r="U809" t="s">
        <v>60</v>
      </c>
      <c r="V809" t="s">
        <v>61</v>
      </c>
      <c r="W809">
        <v>10</v>
      </c>
      <c r="X809">
        <v>0.105</v>
      </c>
      <c r="Y809" t="s">
        <v>337</v>
      </c>
      <c r="Z809" t="s">
        <v>609</v>
      </c>
      <c r="AA809">
        <v>4</v>
      </c>
      <c r="AB809" t="s">
        <v>2577</v>
      </c>
      <c r="AC809" t="s">
        <v>2578</v>
      </c>
      <c r="AD809" t="s">
        <v>2579</v>
      </c>
      <c r="AE809" t="s">
        <v>2580</v>
      </c>
      <c r="AF809" t="s">
        <v>2581</v>
      </c>
      <c r="AG809" t="s">
        <v>806</v>
      </c>
      <c r="AH809" t="s">
        <v>889</v>
      </c>
      <c r="AI809" t="s">
        <v>889</v>
      </c>
      <c r="AJ809" t="s">
        <v>1054</v>
      </c>
      <c r="AK809">
        <v>1</v>
      </c>
      <c r="AL809" t="s">
        <v>2677</v>
      </c>
      <c r="AM809" t="s">
        <v>2678</v>
      </c>
      <c r="AN809" t="s">
        <v>2779</v>
      </c>
      <c r="AO809" t="s">
        <v>66</v>
      </c>
      <c r="AP809">
        <v>1</v>
      </c>
      <c r="AQ809" t="s">
        <v>2882</v>
      </c>
      <c r="AR809" t="s">
        <v>2781</v>
      </c>
      <c r="AS809" t="s">
        <v>2883</v>
      </c>
      <c r="AT809" t="s">
        <v>66</v>
      </c>
    </row>
    <row r="810" spans="1:46" x14ac:dyDescent="0.15">
      <c r="A810" t="s">
        <v>2999</v>
      </c>
      <c r="B810" t="s">
        <v>2568</v>
      </c>
      <c r="C810" t="s">
        <v>2569</v>
      </c>
      <c r="D810">
        <v>84</v>
      </c>
      <c r="E810" t="s">
        <v>2570</v>
      </c>
      <c r="F810" t="s">
        <v>1551</v>
      </c>
      <c r="G810" t="s">
        <v>51</v>
      </c>
      <c r="H810" t="s">
        <v>2571</v>
      </c>
      <c r="I810" t="s">
        <v>1553</v>
      </c>
      <c r="J810" t="s">
        <v>2572</v>
      </c>
      <c r="K810" t="s">
        <v>1338</v>
      </c>
      <c r="L810" t="s">
        <v>16</v>
      </c>
      <c r="M810" t="s">
        <v>17</v>
      </c>
      <c r="N810">
        <v>5158</v>
      </c>
      <c r="O810">
        <v>276</v>
      </c>
      <c r="P810">
        <v>0</v>
      </c>
      <c r="Q810" t="s">
        <v>3000</v>
      </c>
      <c r="R810" t="s">
        <v>3001</v>
      </c>
      <c r="S810" t="s">
        <v>3002</v>
      </c>
      <c r="T810" t="s">
        <v>3003</v>
      </c>
      <c r="U810" t="s">
        <v>60</v>
      </c>
      <c r="V810" t="s">
        <v>61</v>
      </c>
      <c r="W810">
        <v>10</v>
      </c>
      <c r="X810">
        <v>0.105</v>
      </c>
      <c r="Y810" t="s">
        <v>615</v>
      </c>
      <c r="Z810" t="s">
        <v>616</v>
      </c>
      <c r="AA810">
        <v>4</v>
      </c>
      <c r="AB810" t="s">
        <v>2577</v>
      </c>
      <c r="AC810" t="s">
        <v>2578</v>
      </c>
      <c r="AD810" t="s">
        <v>2579</v>
      </c>
      <c r="AE810" t="s">
        <v>2580</v>
      </c>
      <c r="AF810" t="s">
        <v>2581</v>
      </c>
      <c r="AG810" t="s">
        <v>806</v>
      </c>
      <c r="AH810" t="s">
        <v>889</v>
      </c>
      <c r="AI810" t="s">
        <v>889</v>
      </c>
      <c r="AJ810" t="s">
        <v>1054</v>
      </c>
      <c r="AK810">
        <v>1</v>
      </c>
      <c r="AL810" t="s">
        <v>2677</v>
      </c>
      <c r="AM810" t="s">
        <v>2678</v>
      </c>
      <c r="AN810" t="s">
        <v>2779</v>
      </c>
      <c r="AO810" t="s">
        <v>66</v>
      </c>
      <c r="AP810">
        <v>1</v>
      </c>
      <c r="AQ810" t="s">
        <v>2882</v>
      </c>
      <c r="AR810" t="s">
        <v>2781</v>
      </c>
      <c r="AS810" t="s">
        <v>2883</v>
      </c>
      <c r="AT810" t="s">
        <v>66</v>
      </c>
    </row>
    <row r="811" spans="1:46" x14ac:dyDescent="0.15">
      <c r="A811" t="s">
        <v>3004</v>
      </c>
      <c r="B811" t="s">
        <v>2568</v>
      </c>
      <c r="C811" t="s">
        <v>2569</v>
      </c>
      <c r="D811">
        <v>85</v>
      </c>
      <c r="E811" t="s">
        <v>2570</v>
      </c>
      <c r="F811" t="s">
        <v>1551</v>
      </c>
      <c r="G811" t="s">
        <v>51</v>
      </c>
      <c r="H811" t="s">
        <v>2571</v>
      </c>
      <c r="I811" t="s">
        <v>1553</v>
      </c>
      <c r="J811" t="s">
        <v>2572</v>
      </c>
      <c r="K811" t="s">
        <v>1338</v>
      </c>
      <c r="L811" t="s">
        <v>16</v>
      </c>
      <c r="M811" t="s">
        <v>17</v>
      </c>
      <c r="N811">
        <v>5214</v>
      </c>
      <c r="O811">
        <v>279</v>
      </c>
      <c r="P811">
        <v>0</v>
      </c>
      <c r="Q811" t="s">
        <v>3005</v>
      </c>
      <c r="R811" t="s">
        <v>3006</v>
      </c>
      <c r="S811" t="s">
        <v>3007</v>
      </c>
      <c r="T811" t="s">
        <v>3008</v>
      </c>
      <c r="U811" t="s">
        <v>60</v>
      </c>
      <c r="V811" t="s">
        <v>61</v>
      </c>
      <c r="W811">
        <v>10</v>
      </c>
      <c r="X811">
        <v>0.105</v>
      </c>
      <c r="Y811" t="s">
        <v>343</v>
      </c>
      <c r="Z811" t="s">
        <v>622</v>
      </c>
      <c r="AA811">
        <v>4</v>
      </c>
      <c r="AB811" t="s">
        <v>2577</v>
      </c>
      <c r="AC811" t="s">
        <v>2578</v>
      </c>
      <c r="AD811" t="s">
        <v>2579</v>
      </c>
      <c r="AE811" t="s">
        <v>2580</v>
      </c>
      <c r="AF811" t="s">
        <v>2581</v>
      </c>
      <c r="AG811" t="s">
        <v>806</v>
      </c>
      <c r="AH811" t="s">
        <v>889</v>
      </c>
      <c r="AI811" t="s">
        <v>889</v>
      </c>
      <c r="AJ811" t="s">
        <v>1054</v>
      </c>
      <c r="AK811">
        <v>1</v>
      </c>
      <c r="AL811" t="s">
        <v>2677</v>
      </c>
      <c r="AM811" t="s">
        <v>2678</v>
      </c>
      <c r="AN811" t="s">
        <v>2779</v>
      </c>
      <c r="AO811" t="s">
        <v>66</v>
      </c>
      <c r="AP811">
        <v>1</v>
      </c>
      <c r="AQ811" t="s">
        <v>2882</v>
      </c>
      <c r="AR811" t="s">
        <v>2781</v>
      </c>
      <c r="AS811" t="s">
        <v>2883</v>
      </c>
      <c r="AT811" t="s">
        <v>66</v>
      </c>
    </row>
    <row r="812" spans="1:46" x14ac:dyDescent="0.15">
      <c r="A812" t="s">
        <v>3009</v>
      </c>
      <c r="B812" t="s">
        <v>2568</v>
      </c>
      <c r="C812" t="s">
        <v>2569</v>
      </c>
      <c r="D812">
        <v>86</v>
      </c>
      <c r="E812" t="s">
        <v>2570</v>
      </c>
      <c r="F812" t="s">
        <v>1551</v>
      </c>
      <c r="G812" t="s">
        <v>51</v>
      </c>
      <c r="H812" t="s">
        <v>2571</v>
      </c>
      <c r="I812" t="s">
        <v>1553</v>
      </c>
      <c r="J812" t="s">
        <v>2572</v>
      </c>
      <c r="K812" t="s">
        <v>1338</v>
      </c>
      <c r="L812" t="s">
        <v>16</v>
      </c>
      <c r="M812" t="s">
        <v>17</v>
      </c>
      <c r="N812">
        <v>5270</v>
      </c>
      <c r="O812">
        <v>282</v>
      </c>
      <c r="P812">
        <v>0</v>
      </c>
      <c r="Q812" t="s">
        <v>3010</v>
      </c>
      <c r="R812" t="s">
        <v>3011</v>
      </c>
      <c r="S812" t="s">
        <v>3012</v>
      </c>
      <c r="T812" t="s">
        <v>3013</v>
      </c>
      <c r="U812" t="s">
        <v>60</v>
      </c>
      <c r="V812" t="s">
        <v>61</v>
      </c>
      <c r="W812">
        <v>10</v>
      </c>
      <c r="X812">
        <v>0.105</v>
      </c>
      <c r="Y812" t="s">
        <v>628</v>
      </c>
      <c r="Z812" t="s">
        <v>629</v>
      </c>
      <c r="AA812">
        <v>4</v>
      </c>
      <c r="AB812" t="s">
        <v>2577</v>
      </c>
      <c r="AC812" t="s">
        <v>2578</v>
      </c>
      <c r="AD812" t="s">
        <v>2579</v>
      </c>
      <c r="AE812" t="s">
        <v>2580</v>
      </c>
      <c r="AF812" t="s">
        <v>2581</v>
      </c>
      <c r="AG812" t="s">
        <v>806</v>
      </c>
      <c r="AH812" t="s">
        <v>889</v>
      </c>
      <c r="AI812" t="s">
        <v>889</v>
      </c>
      <c r="AJ812" t="s">
        <v>1054</v>
      </c>
      <c r="AK812">
        <v>1</v>
      </c>
      <c r="AL812" t="s">
        <v>2677</v>
      </c>
      <c r="AM812" t="s">
        <v>2678</v>
      </c>
      <c r="AN812" t="s">
        <v>2779</v>
      </c>
      <c r="AO812" t="s">
        <v>66</v>
      </c>
      <c r="AP812">
        <v>1</v>
      </c>
      <c r="AQ812" t="s">
        <v>2882</v>
      </c>
      <c r="AR812" t="s">
        <v>2781</v>
      </c>
      <c r="AS812" t="s">
        <v>2883</v>
      </c>
      <c r="AT812" t="s">
        <v>66</v>
      </c>
    </row>
    <row r="813" spans="1:46" x14ac:dyDescent="0.15">
      <c r="A813" t="s">
        <v>3014</v>
      </c>
      <c r="B813" t="s">
        <v>2568</v>
      </c>
      <c r="C813" t="s">
        <v>2569</v>
      </c>
      <c r="D813">
        <v>87</v>
      </c>
      <c r="E813" t="s">
        <v>2570</v>
      </c>
      <c r="F813" t="s">
        <v>1551</v>
      </c>
      <c r="G813" t="s">
        <v>51</v>
      </c>
      <c r="H813" t="s">
        <v>2571</v>
      </c>
      <c r="I813" t="s">
        <v>1553</v>
      </c>
      <c r="J813" t="s">
        <v>2572</v>
      </c>
      <c r="K813" t="s">
        <v>1338</v>
      </c>
      <c r="L813" t="s">
        <v>16</v>
      </c>
      <c r="M813" t="s">
        <v>17</v>
      </c>
      <c r="N813">
        <v>5327</v>
      </c>
      <c r="O813">
        <v>285</v>
      </c>
      <c r="P813">
        <v>0</v>
      </c>
      <c r="Q813" t="s">
        <v>3015</v>
      </c>
      <c r="R813" t="s">
        <v>3016</v>
      </c>
      <c r="S813" t="s">
        <v>3017</v>
      </c>
      <c r="T813" t="s">
        <v>3018</v>
      </c>
      <c r="U813" t="s">
        <v>60</v>
      </c>
      <c r="V813" t="s">
        <v>61</v>
      </c>
      <c r="W813">
        <v>10</v>
      </c>
      <c r="X813">
        <v>0.105</v>
      </c>
      <c r="Y813" t="s">
        <v>350</v>
      </c>
      <c r="Z813" t="s">
        <v>635</v>
      </c>
      <c r="AA813">
        <v>4</v>
      </c>
      <c r="AB813" t="s">
        <v>2577</v>
      </c>
      <c r="AC813" t="s">
        <v>2578</v>
      </c>
      <c r="AD813" t="s">
        <v>2579</v>
      </c>
      <c r="AE813" t="s">
        <v>2580</v>
      </c>
      <c r="AF813" t="s">
        <v>2581</v>
      </c>
      <c r="AG813" t="s">
        <v>806</v>
      </c>
      <c r="AH813" t="s">
        <v>889</v>
      </c>
      <c r="AI813" t="s">
        <v>889</v>
      </c>
      <c r="AJ813" t="s">
        <v>1054</v>
      </c>
      <c r="AK813">
        <v>1</v>
      </c>
      <c r="AL813" t="s">
        <v>2677</v>
      </c>
      <c r="AM813" t="s">
        <v>2678</v>
      </c>
      <c r="AN813" t="s">
        <v>2779</v>
      </c>
      <c r="AO813" t="s">
        <v>66</v>
      </c>
      <c r="AP813">
        <v>1</v>
      </c>
      <c r="AQ813" t="s">
        <v>2882</v>
      </c>
      <c r="AR813" t="s">
        <v>2781</v>
      </c>
      <c r="AS813" t="s">
        <v>2883</v>
      </c>
      <c r="AT813" t="s">
        <v>66</v>
      </c>
    </row>
    <row r="814" spans="1:46" x14ac:dyDescent="0.15">
      <c r="A814" t="s">
        <v>3019</v>
      </c>
      <c r="B814" t="s">
        <v>2568</v>
      </c>
      <c r="C814" t="s">
        <v>2569</v>
      </c>
      <c r="D814">
        <v>88</v>
      </c>
      <c r="E814" t="s">
        <v>2570</v>
      </c>
      <c r="F814" t="s">
        <v>1551</v>
      </c>
      <c r="G814" t="s">
        <v>51</v>
      </c>
      <c r="H814" t="s">
        <v>2571</v>
      </c>
      <c r="I814" t="s">
        <v>1553</v>
      </c>
      <c r="J814" t="s">
        <v>2572</v>
      </c>
      <c r="K814" t="s">
        <v>1338</v>
      </c>
      <c r="L814" t="s">
        <v>16</v>
      </c>
      <c r="M814" t="s">
        <v>17</v>
      </c>
      <c r="N814">
        <v>5383</v>
      </c>
      <c r="O814">
        <v>288</v>
      </c>
      <c r="P814">
        <v>0</v>
      </c>
      <c r="Q814" t="s">
        <v>3020</v>
      </c>
      <c r="R814" t="s">
        <v>3021</v>
      </c>
      <c r="S814" t="s">
        <v>3022</v>
      </c>
      <c r="T814" t="s">
        <v>3023</v>
      </c>
      <c r="U814" t="s">
        <v>60</v>
      </c>
      <c r="V814" t="s">
        <v>61</v>
      </c>
      <c r="W814">
        <v>10</v>
      </c>
      <c r="X814">
        <v>0.105</v>
      </c>
      <c r="Y814" t="s">
        <v>641</v>
      </c>
      <c r="Z814" t="s">
        <v>642</v>
      </c>
      <c r="AA814">
        <v>4</v>
      </c>
      <c r="AB814" t="s">
        <v>2577</v>
      </c>
      <c r="AC814" t="s">
        <v>2578</v>
      </c>
      <c r="AD814" t="s">
        <v>2579</v>
      </c>
      <c r="AE814" t="s">
        <v>2580</v>
      </c>
      <c r="AF814" t="s">
        <v>2581</v>
      </c>
      <c r="AG814" t="s">
        <v>806</v>
      </c>
      <c r="AH814" t="s">
        <v>889</v>
      </c>
      <c r="AI814" t="s">
        <v>889</v>
      </c>
      <c r="AJ814" t="s">
        <v>1054</v>
      </c>
      <c r="AK814">
        <v>1</v>
      </c>
      <c r="AL814" t="s">
        <v>2677</v>
      </c>
      <c r="AM814" t="s">
        <v>2678</v>
      </c>
      <c r="AN814" t="s">
        <v>2779</v>
      </c>
      <c r="AO814" t="s">
        <v>66</v>
      </c>
      <c r="AP814">
        <v>1</v>
      </c>
      <c r="AQ814" t="s">
        <v>2882</v>
      </c>
      <c r="AR814" t="s">
        <v>2781</v>
      </c>
      <c r="AS814" t="s">
        <v>2883</v>
      </c>
      <c r="AT814" t="s">
        <v>66</v>
      </c>
    </row>
    <row r="815" spans="1:46" x14ac:dyDescent="0.15">
      <c r="A815" t="s">
        <v>3024</v>
      </c>
      <c r="B815" t="s">
        <v>2568</v>
      </c>
      <c r="C815" t="s">
        <v>2569</v>
      </c>
      <c r="D815">
        <v>89</v>
      </c>
      <c r="E815" t="s">
        <v>2570</v>
      </c>
      <c r="F815" t="s">
        <v>1551</v>
      </c>
      <c r="G815" t="s">
        <v>51</v>
      </c>
      <c r="H815" t="s">
        <v>2571</v>
      </c>
      <c r="I815" t="s">
        <v>1553</v>
      </c>
      <c r="J815" t="s">
        <v>2572</v>
      </c>
      <c r="K815" t="s">
        <v>1338</v>
      </c>
      <c r="L815" t="s">
        <v>16</v>
      </c>
      <c r="M815" t="s">
        <v>17</v>
      </c>
      <c r="N815">
        <v>5439</v>
      </c>
      <c r="O815">
        <v>291</v>
      </c>
      <c r="P815">
        <v>0</v>
      </c>
      <c r="Q815" t="s">
        <v>3025</v>
      </c>
      <c r="R815" t="s">
        <v>3026</v>
      </c>
      <c r="S815" t="s">
        <v>3027</v>
      </c>
      <c r="T815" t="s">
        <v>3028</v>
      </c>
      <c r="U815" t="s">
        <v>60</v>
      </c>
      <c r="V815" t="s">
        <v>61</v>
      </c>
      <c r="W815">
        <v>10</v>
      </c>
      <c r="X815">
        <v>0.105</v>
      </c>
      <c r="Y815" t="s">
        <v>356</v>
      </c>
      <c r="Z815" t="s">
        <v>648</v>
      </c>
      <c r="AA815">
        <v>4</v>
      </c>
      <c r="AB815" t="s">
        <v>2577</v>
      </c>
      <c r="AC815" t="s">
        <v>2578</v>
      </c>
      <c r="AD815" t="s">
        <v>2579</v>
      </c>
      <c r="AE815" t="s">
        <v>2580</v>
      </c>
      <c r="AF815" t="s">
        <v>2581</v>
      </c>
      <c r="AG815" t="s">
        <v>806</v>
      </c>
      <c r="AH815" t="s">
        <v>889</v>
      </c>
      <c r="AI815" t="s">
        <v>889</v>
      </c>
      <c r="AJ815" t="s">
        <v>1054</v>
      </c>
      <c r="AK815">
        <v>1</v>
      </c>
      <c r="AL815" t="s">
        <v>2677</v>
      </c>
      <c r="AM815" t="s">
        <v>2678</v>
      </c>
      <c r="AN815" t="s">
        <v>2779</v>
      </c>
      <c r="AO815" t="s">
        <v>66</v>
      </c>
      <c r="AP815">
        <v>1</v>
      </c>
      <c r="AQ815" t="s">
        <v>2882</v>
      </c>
      <c r="AR815" t="s">
        <v>2781</v>
      </c>
      <c r="AS815" t="s">
        <v>2883</v>
      </c>
      <c r="AT815" t="s">
        <v>66</v>
      </c>
    </row>
    <row r="816" spans="1:46" x14ac:dyDescent="0.15">
      <c r="A816" t="s">
        <v>3029</v>
      </c>
      <c r="B816" t="s">
        <v>2568</v>
      </c>
      <c r="C816" t="s">
        <v>2569</v>
      </c>
      <c r="D816">
        <v>90</v>
      </c>
      <c r="E816" t="s">
        <v>2570</v>
      </c>
      <c r="F816" t="s">
        <v>1551</v>
      </c>
      <c r="G816" t="s">
        <v>51</v>
      </c>
      <c r="H816" t="s">
        <v>2571</v>
      </c>
      <c r="I816" t="s">
        <v>1553</v>
      </c>
      <c r="J816" t="s">
        <v>2572</v>
      </c>
      <c r="K816" t="s">
        <v>1338</v>
      </c>
      <c r="L816" t="s">
        <v>16</v>
      </c>
      <c r="M816" t="s">
        <v>17</v>
      </c>
      <c r="N816">
        <v>5495</v>
      </c>
      <c r="O816">
        <v>294</v>
      </c>
      <c r="P816">
        <v>0</v>
      </c>
      <c r="Q816" t="s">
        <v>3030</v>
      </c>
      <c r="R816" t="s">
        <v>3031</v>
      </c>
      <c r="S816" t="s">
        <v>3032</v>
      </c>
      <c r="T816" t="s">
        <v>3033</v>
      </c>
      <c r="U816" t="s">
        <v>60</v>
      </c>
      <c r="V816" t="s">
        <v>61</v>
      </c>
      <c r="W816">
        <v>10</v>
      </c>
      <c r="X816">
        <v>0.105</v>
      </c>
      <c r="Y816" t="s">
        <v>654</v>
      </c>
      <c r="Z816" t="s">
        <v>655</v>
      </c>
      <c r="AA816">
        <v>4</v>
      </c>
      <c r="AB816" t="s">
        <v>2577</v>
      </c>
      <c r="AC816" t="s">
        <v>2578</v>
      </c>
      <c r="AD816" t="s">
        <v>2579</v>
      </c>
      <c r="AE816" t="s">
        <v>2580</v>
      </c>
      <c r="AF816" t="s">
        <v>2581</v>
      </c>
      <c r="AG816" t="s">
        <v>806</v>
      </c>
      <c r="AH816" t="s">
        <v>889</v>
      </c>
      <c r="AI816" t="s">
        <v>889</v>
      </c>
      <c r="AJ816" t="s">
        <v>1054</v>
      </c>
      <c r="AK816">
        <v>1</v>
      </c>
      <c r="AL816" t="s">
        <v>2677</v>
      </c>
      <c r="AM816" t="s">
        <v>2678</v>
      </c>
      <c r="AN816" t="s">
        <v>2779</v>
      </c>
      <c r="AO816" t="s">
        <v>66</v>
      </c>
      <c r="AP816">
        <v>1</v>
      </c>
      <c r="AQ816" t="s">
        <v>2882</v>
      </c>
      <c r="AR816" t="s">
        <v>2781</v>
      </c>
      <c r="AS816" t="s">
        <v>2883</v>
      </c>
      <c r="AT816" t="s">
        <v>66</v>
      </c>
    </row>
    <row r="817" spans="1:46" x14ac:dyDescent="0.15">
      <c r="A817" t="s">
        <v>3034</v>
      </c>
      <c r="B817" t="s">
        <v>2568</v>
      </c>
      <c r="C817" t="s">
        <v>2569</v>
      </c>
      <c r="D817">
        <v>91</v>
      </c>
      <c r="E817" t="s">
        <v>2570</v>
      </c>
      <c r="F817" t="s">
        <v>1551</v>
      </c>
      <c r="G817" t="s">
        <v>51</v>
      </c>
      <c r="H817" t="s">
        <v>2571</v>
      </c>
      <c r="I817" t="s">
        <v>1553</v>
      </c>
      <c r="J817" t="s">
        <v>2572</v>
      </c>
      <c r="K817" t="s">
        <v>1338</v>
      </c>
      <c r="L817" t="s">
        <v>16</v>
      </c>
      <c r="M817" t="s">
        <v>17</v>
      </c>
      <c r="N817">
        <v>5551</v>
      </c>
      <c r="O817">
        <v>297</v>
      </c>
      <c r="P817">
        <v>0</v>
      </c>
      <c r="Q817" t="s">
        <v>3035</v>
      </c>
      <c r="R817" t="s">
        <v>3036</v>
      </c>
      <c r="S817" t="s">
        <v>3037</v>
      </c>
      <c r="T817" t="s">
        <v>3038</v>
      </c>
      <c r="U817" t="s">
        <v>60</v>
      </c>
      <c r="V817" t="s">
        <v>61</v>
      </c>
      <c r="W817">
        <v>10</v>
      </c>
      <c r="X817">
        <v>0.105</v>
      </c>
      <c r="Y817" t="s">
        <v>363</v>
      </c>
      <c r="Z817" t="s">
        <v>661</v>
      </c>
      <c r="AA817">
        <v>4</v>
      </c>
      <c r="AB817" t="s">
        <v>2577</v>
      </c>
      <c r="AC817" t="s">
        <v>2578</v>
      </c>
      <c r="AD817" t="s">
        <v>2579</v>
      </c>
      <c r="AE817" t="s">
        <v>2580</v>
      </c>
      <c r="AF817" t="s">
        <v>2581</v>
      </c>
      <c r="AG817" t="s">
        <v>806</v>
      </c>
      <c r="AH817" t="s">
        <v>889</v>
      </c>
      <c r="AI817" t="s">
        <v>889</v>
      </c>
      <c r="AJ817" t="s">
        <v>1054</v>
      </c>
      <c r="AK817">
        <v>1</v>
      </c>
      <c r="AL817" t="s">
        <v>2677</v>
      </c>
      <c r="AM817" t="s">
        <v>2678</v>
      </c>
      <c r="AN817" t="s">
        <v>2779</v>
      </c>
      <c r="AO817" t="s">
        <v>66</v>
      </c>
      <c r="AP817">
        <v>1</v>
      </c>
      <c r="AQ817" t="s">
        <v>2882</v>
      </c>
      <c r="AR817" t="s">
        <v>2781</v>
      </c>
      <c r="AS817" t="s">
        <v>2883</v>
      </c>
      <c r="AT817" t="s">
        <v>66</v>
      </c>
    </row>
    <row r="818" spans="1:46" x14ac:dyDescent="0.15">
      <c r="A818" t="s">
        <v>3039</v>
      </c>
      <c r="B818" t="s">
        <v>2568</v>
      </c>
      <c r="C818" t="s">
        <v>2569</v>
      </c>
      <c r="D818">
        <v>92</v>
      </c>
      <c r="E818" t="s">
        <v>2570</v>
      </c>
      <c r="F818" t="s">
        <v>1551</v>
      </c>
      <c r="G818" t="s">
        <v>51</v>
      </c>
      <c r="H818" t="s">
        <v>2571</v>
      </c>
      <c r="I818" t="s">
        <v>1553</v>
      </c>
      <c r="J818" t="s">
        <v>2572</v>
      </c>
      <c r="K818" t="s">
        <v>1338</v>
      </c>
      <c r="L818" t="s">
        <v>16</v>
      </c>
      <c r="M818" t="s">
        <v>17</v>
      </c>
      <c r="N818">
        <v>5607</v>
      </c>
      <c r="O818">
        <v>300</v>
      </c>
      <c r="P818">
        <v>0</v>
      </c>
      <c r="Q818" t="s">
        <v>3040</v>
      </c>
      <c r="R818" t="s">
        <v>3041</v>
      </c>
      <c r="S818" t="s">
        <v>3042</v>
      </c>
      <c r="T818" t="s">
        <v>3043</v>
      </c>
      <c r="U818" t="s">
        <v>60</v>
      </c>
      <c r="V818" t="s">
        <v>61</v>
      </c>
      <c r="W818">
        <v>10</v>
      </c>
      <c r="X818">
        <v>0.105</v>
      </c>
      <c r="Y818" t="s">
        <v>667</v>
      </c>
      <c r="Z818" t="s">
        <v>668</v>
      </c>
      <c r="AA818">
        <v>4</v>
      </c>
      <c r="AB818" t="s">
        <v>2577</v>
      </c>
      <c r="AC818" t="s">
        <v>2578</v>
      </c>
      <c r="AD818" t="s">
        <v>2579</v>
      </c>
      <c r="AE818" t="s">
        <v>2580</v>
      </c>
      <c r="AF818" t="s">
        <v>2581</v>
      </c>
      <c r="AG818" t="s">
        <v>806</v>
      </c>
      <c r="AH818" t="s">
        <v>889</v>
      </c>
      <c r="AI818" t="s">
        <v>889</v>
      </c>
      <c r="AJ818" t="s">
        <v>1054</v>
      </c>
      <c r="AK818">
        <v>1</v>
      </c>
      <c r="AL818" t="s">
        <v>2677</v>
      </c>
      <c r="AM818" t="s">
        <v>2678</v>
      </c>
      <c r="AN818" t="s">
        <v>2779</v>
      </c>
      <c r="AO818" t="s">
        <v>66</v>
      </c>
      <c r="AP818">
        <v>1</v>
      </c>
      <c r="AQ818" t="s">
        <v>2882</v>
      </c>
      <c r="AR818" t="s">
        <v>2781</v>
      </c>
      <c r="AS818" t="s">
        <v>2883</v>
      </c>
      <c r="AT818" t="s">
        <v>66</v>
      </c>
    </row>
    <row r="819" spans="1:46" x14ac:dyDescent="0.15">
      <c r="A819" t="s">
        <v>3044</v>
      </c>
      <c r="B819" t="s">
        <v>2568</v>
      </c>
      <c r="C819" t="s">
        <v>2569</v>
      </c>
      <c r="D819">
        <v>93</v>
      </c>
      <c r="E819" t="s">
        <v>2570</v>
      </c>
      <c r="F819" t="s">
        <v>1551</v>
      </c>
      <c r="G819" t="s">
        <v>51</v>
      </c>
      <c r="H819" t="s">
        <v>2571</v>
      </c>
      <c r="I819" t="s">
        <v>1553</v>
      </c>
      <c r="J819" t="s">
        <v>2572</v>
      </c>
      <c r="K819" t="s">
        <v>1338</v>
      </c>
      <c r="L819" t="s">
        <v>16</v>
      </c>
      <c r="M819" t="s">
        <v>17</v>
      </c>
      <c r="N819">
        <v>5663</v>
      </c>
      <c r="O819">
        <v>303</v>
      </c>
      <c r="P819">
        <v>0</v>
      </c>
      <c r="Q819" t="s">
        <v>3045</v>
      </c>
      <c r="R819" t="s">
        <v>3046</v>
      </c>
      <c r="S819" t="s">
        <v>3047</v>
      </c>
      <c r="T819" t="s">
        <v>3048</v>
      </c>
      <c r="U819" t="s">
        <v>60</v>
      </c>
      <c r="V819" t="s">
        <v>61</v>
      </c>
      <c r="W819">
        <v>10</v>
      </c>
      <c r="X819">
        <v>0.105</v>
      </c>
      <c r="Y819" t="s">
        <v>369</v>
      </c>
      <c r="Z819" t="s">
        <v>674</v>
      </c>
      <c r="AA819">
        <v>4</v>
      </c>
      <c r="AB819" t="s">
        <v>2577</v>
      </c>
      <c r="AC819" t="s">
        <v>2578</v>
      </c>
      <c r="AD819" t="s">
        <v>2579</v>
      </c>
      <c r="AE819" t="s">
        <v>2580</v>
      </c>
      <c r="AF819" t="s">
        <v>2581</v>
      </c>
      <c r="AG819" t="s">
        <v>806</v>
      </c>
      <c r="AH819" t="s">
        <v>889</v>
      </c>
      <c r="AI819" t="s">
        <v>889</v>
      </c>
      <c r="AJ819" t="s">
        <v>1054</v>
      </c>
      <c r="AK819">
        <v>1</v>
      </c>
      <c r="AL819" t="s">
        <v>2677</v>
      </c>
      <c r="AM819" t="s">
        <v>2678</v>
      </c>
      <c r="AN819" t="s">
        <v>2779</v>
      </c>
      <c r="AO819" t="s">
        <v>66</v>
      </c>
      <c r="AP819">
        <v>1</v>
      </c>
      <c r="AQ819" t="s">
        <v>2882</v>
      </c>
      <c r="AR819" t="s">
        <v>2781</v>
      </c>
      <c r="AS819" t="s">
        <v>2883</v>
      </c>
      <c r="AT819" t="s">
        <v>66</v>
      </c>
    </row>
    <row r="820" spans="1:46" x14ac:dyDescent="0.15">
      <c r="A820" t="s">
        <v>3049</v>
      </c>
      <c r="B820" t="s">
        <v>2568</v>
      </c>
      <c r="C820" t="s">
        <v>2569</v>
      </c>
      <c r="D820">
        <v>94</v>
      </c>
      <c r="E820" t="s">
        <v>2570</v>
      </c>
      <c r="F820" t="s">
        <v>1551</v>
      </c>
      <c r="G820" t="s">
        <v>51</v>
      </c>
      <c r="H820" t="s">
        <v>2571</v>
      </c>
      <c r="I820" t="s">
        <v>1553</v>
      </c>
      <c r="J820" t="s">
        <v>2572</v>
      </c>
      <c r="K820" t="s">
        <v>1338</v>
      </c>
      <c r="L820" t="s">
        <v>16</v>
      </c>
      <c r="M820" t="s">
        <v>17</v>
      </c>
      <c r="N820">
        <v>5719</v>
      </c>
      <c r="O820">
        <v>306</v>
      </c>
      <c r="P820">
        <v>0</v>
      </c>
      <c r="Q820" t="s">
        <v>3050</v>
      </c>
      <c r="R820" t="s">
        <v>3051</v>
      </c>
      <c r="S820" t="s">
        <v>3052</v>
      </c>
      <c r="T820" t="s">
        <v>3053</v>
      </c>
      <c r="U820" t="s">
        <v>60</v>
      </c>
      <c r="V820" t="s">
        <v>61</v>
      </c>
      <c r="W820">
        <v>10</v>
      </c>
      <c r="X820">
        <v>0.105</v>
      </c>
      <c r="Y820" t="s">
        <v>680</v>
      </c>
      <c r="Z820" t="s">
        <v>681</v>
      </c>
      <c r="AA820">
        <v>4</v>
      </c>
      <c r="AB820" t="s">
        <v>2577</v>
      </c>
      <c r="AC820" t="s">
        <v>2578</v>
      </c>
      <c r="AD820" t="s">
        <v>2579</v>
      </c>
      <c r="AE820" t="s">
        <v>2580</v>
      </c>
      <c r="AF820" t="s">
        <v>2581</v>
      </c>
      <c r="AG820" t="s">
        <v>806</v>
      </c>
      <c r="AH820" t="s">
        <v>889</v>
      </c>
      <c r="AI820" t="s">
        <v>889</v>
      </c>
      <c r="AJ820" t="s">
        <v>1054</v>
      </c>
      <c r="AK820">
        <v>1</v>
      </c>
      <c r="AL820" t="s">
        <v>2677</v>
      </c>
      <c r="AM820" t="s">
        <v>2678</v>
      </c>
      <c r="AN820" t="s">
        <v>2779</v>
      </c>
      <c r="AO820" t="s">
        <v>66</v>
      </c>
      <c r="AP820">
        <v>1</v>
      </c>
      <c r="AQ820" t="s">
        <v>2882</v>
      </c>
      <c r="AR820" t="s">
        <v>2781</v>
      </c>
      <c r="AS820" t="s">
        <v>2883</v>
      </c>
      <c r="AT820" t="s">
        <v>66</v>
      </c>
    </row>
    <row r="821" spans="1:46" x14ac:dyDescent="0.15">
      <c r="A821" t="s">
        <v>3054</v>
      </c>
      <c r="B821" t="s">
        <v>2568</v>
      </c>
      <c r="C821" t="s">
        <v>2569</v>
      </c>
      <c r="D821">
        <v>95</v>
      </c>
      <c r="E821" t="s">
        <v>2570</v>
      </c>
      <c r="F821" t="s">
        <v>1551</v>
      </c>
      <c r="G821" t="s">
        <v>51</v>
      </c>
      <c r="H821" t="s">
        <v>2571</v>
      </c>
      <c r="I821" t="s">
        <v>1553</v>
      </c>
      <c r="J821" t="s">
        <v>2572</v>
      </c>
      <c r="K821" t="s">
        <v>1338</v>
      </c>
      <c r="L821" t="s">
        <v>16</v>
      </c>
      <c r="M821" t="s">
        <v>17</v>
      </c>
      <c r="N821">
        <v>5776</v>
      </c>
      <c r="O821">
        <v>309</v>
      </c>
      <c r="P821">
        <v>0</v>
      </c>
      <c r="Q821" t="s">
        <v>3055</v>
      </c>
      <c r="R821" t="s">
        <v>3056</v>
      </c>
      <c r="S821" t="s">
        <v>3057</v>
      </c>
      <c r="T821" t="s">
        <v>3058</v>
      </c>
      <c r="U821" t="s">
        <v>60</v>
      </c>
      <c r="V821" t="s">
        <v>61</v>
      </c>
      <c r="W821">
        <v>10</v>
      </c>
      <c r="X821">
        <v>0.105</v>
      </c>
      <c r="Y821" t="s">
        <v>376</v>
      </c>
      <c r="Z821" t="s">
        <v>687</v>
      </c>
      <c r="AA821">
        <v>4</v>
      </c>
      <c r="AB821" t="s">
        <v>2577</v>
      </c>
      <c r="AC821" t="s">
        <v>2578</v>
      </c>
      <c r="AD821" t="s">
        <v>2579</v>
      </c>
      <c r="AE821" t="s">
        <v>2580</v>
      </c>
      <c r="AF821" t="s">
        <v>2581</v>
      </c>
      <c r="AG821" t="s">
        <v>806</v>
      </c>
      <c r="AH821" t="s">
        <v>889</v>
      </c>
      <c r="AI821" t="s">
        <v>889</v>
      </c>
      <c r="AJ821" t="s">
        <v>1054</v>
      </c>
      <c r="AK821">
        <v>1</v>
      </c>
      <c r="AL821" t="s">
        <v>2677</v>
      </c>
      <c r="AM821" t="s">
        <v>2678</v>
      </c>
      <c r="AN821" t="s">
        <v>2779</v>
      </c>
      <c r="AO821" t="s">
        <v>66</v>
      </c>
      <c r="AP821">
        <v>1</v>
      </c>
      <c r="AQ821" t="s">
        <v>2882</v>
      </c>
      <c r="AR821" t="s">
        <v>2781</v>
      </c>
      <c r="AS821" t="s">
        <v>2883</v>
      </c>
      <c r="AT821" t="s">
        <v>66</v>
      </c>
    </row>
    <row r="822" spans="1:46" x14ac:dyDescent="0.15">
      <c r="A822" t="s">
        <v>3059</v>
      </c>
      <c r="B822" t="s">
        <v>2568</v>
      </c>
      <c r="C822" t="s">
        <v>2569</v>
      </c>
      <c r="D822">
        <v>96</v>
      </c>
      <c r="E822" t="s">
        <v>2570</v>
      </c>
      <c r="F822" t="s">
        <v>1551</v>
      </c>
      <c r="G822" t="s">
        <v>51</v>
      </c>
      <c r="H822" t="s">
        <v>2571</v>
      </c>
      <c r="I822" t="s">
        <v>1553</v>
      </c>
      <c r="J822" t="s">
        <v>2572</v>
      </c>
      <c r="K822" t="s">
        <v>1338</v>
      </c>
      <c r="L822" t="s">
        <v>16</v>
      </c>
      <c r="M822" t="s">
        <v>17</v>
      </c>
      <c r="N822">
        <v>5832</v>
      </c>
      <c r="O822">
        <v>312</v>
      </c>
      <c r="P822">
        <v>0</v>
      </c>
      <c r="Q822" t="s">
        <v>3060</v>
      </c>
      <c r="R822" t="s">
        <v>3061</v>
      </c>
      <c r="S822" t="s">
        <v>3062</v>
      </c>
      <c r="T822" t="s">
        <v>3063</v>
      </c>
      <c r="U822" t="s">
        <v>60</v>
      </c>
      <c r="V822" t="s">
        <v>61</v>
      </c>
      <c r="W822">
        <v>10</v>
      </c>
      <c r="X822">
        <v>0.105</v>
      </c>
      <c r="Y822" t="s">
        <v>693</v>
      </c>
      <c r="Z822" t="s">
        <v>694</v>
      </c>
      <c r="AA822">
        <v>4</v>
      </c>
      <c r="AB822" t="s">
        <v>2577</v>
      </c>
      <c r="AC822" t="s">
        <v>2578</v>
      </c>
      <c r="AD822" t="s">
        <v>2579</v>
      </c>
      <c r="AE822" t="s">
        <v>2580</v>
      </c>
      <c r="AF822" t="s">
        <v>2581</v>
      </c>
      <c r="AG822" t="s">
        <v>806</v>
      </c>
      <c r="AH822" t="s">
        <v>889</v>
      </c>
      <c r="AI822" t="s">
        <v>889</v>
      </c>
      <c r="AJ822" t="s">
        <v>1054</v>
      </c>
      <c r="AK822">
        <v>1</v>
      </c>
      <c r="AL822" t="s">
        <v>2677</v>
      </c>
      <c r="AM822" t="s">
        <v>2678</v>
      </c>
      <c r="AN822" t="s">
        <v>2779</v>
      </c>
      <c r="AO822" t="s">
        <v>66</v>
      </c>
      <c r="AP822">
        <v>1</v>
      </c>
      <c r="AQ822" t="s">
        <v>2882</v>
      </c>
      <c r="AR822" t="s">
        <v>2781</v>
      </c>
      <c r="AS822" t="s">
        <v>2883</v>
      </c>
      <c r="AT822" t="s">
        <v>66</v>
      </c>
    </row>
    <row r="823" spans="1:46" x14ac:dyDescent="0.15">
      <c r="A823" t="s">
        <v>3064</v>
      </c>
      <c r="B823" t="s">
        <v>2568</v>
      </c>
      <c r="C823" t="s">
        <v>2569</v>
      </c>
      <c r="D823">
        <v>97</v>
      </c>
      <c r="E823" t="s">
        <v>2570</v>
      </c>
      <c r="F823" t="s">
        <v>1551</v>
      </c>
      <c r="G823" t="s">
        <v>51</v>
      </c>
      <c r="H823" t="s">
        <v>2571</v>
      </c>
      <c r="I823" t="s">
        <v>1553</v>
      </c>
      <c r="J823" t="s">
        <v>2572</v>
      </c>
      <c r="K823" t="s">
        <v>1338</v>
      </c>
      <c r="L823" t="s">
        <v>16</v>
      </c>
      <c r="M823" t="s">
        <v>17</v>
      </c>
      <c r="N823">
        <v>5888</v>
      </c>
      <c r="O823">
        <v>315</v>
      </c>
      <c r="P823">
        <v>0</v>
      </c>
      <c r="Q823" t="s">
        <v>3065</v>
      </c>
      <c r="R823" t="s">
        <v>3066</v>
      </c>
      <c r="S823" t="s">
        <v>3067</v>
      </c>
      <c r="T823" t="s">
        <v>3068</v>
      </c>
      <c r="U823" t="s">
        <v>60</v>
      </c>
      <c r="V823" t="s">
        <v>61</v>
      </c>
      <c r="W823">
        <v>10</v>
      </c>
      <c r="X823">
        <v>0.105</v>
      </c>
      <c r="Y823" t="s">
        <v>382</v>
      </c>
      <c r="Z823" t="s">
        <v>700</v>
      </c>
      <c r="AA823">
        <v>4</v>
      </c>
      <c r="AB823" t="s">
        <v>2577</v>
      </c>
      <c r="AC823" t="s">
        <v>2578</v>
      </c>
      <c r="AD823" t="s">
        <v>2579</v>
      </c>
      <c r="AE823" t="s">
        <v>2580</v>
      </c>
      <c r="AF823" t="s">
        <v>2581</v>
      </c>
      <c r="AG823" t="s">
        <v>806</v>
      </c>
      <c r="AH823" t="s">
        <v>889</v>
      </c>
      <c r="AI823" t="s">
        <v>889</v>
      </c>
      <c r="AJ823" t="s">
        <v>1054</v>
      </c>
      <c r="AK823">
        <v>1</v>
      </c>
      <c r="AL823" t="s">
        <v>2677</v>
      </c>
      <c r="AM823" t="s">
        <v>2678</v>
      </c>
      <c r="AN823" t="s">
        <v>2779</v>
      </c>
      <c r="AO823" t="s">
        <v>66</v>
      </c>
      <c r="AP823">
        <v>1</v>
      </c>
      <c r="AQ823" t="s">
        <v>2882</v>
      </c>
      <c r="AR823" t="s">
        <v>2781</v>
      </c>
      <c r="AS823" t="s">
        <v>2883</v>
      </c>
      <c r="AT823" t="s">
        <v>66</v>
      </c>
    </row>
    <row r="824" spans="1:46" x14ac:dyDescent="0.15">
      <c r="A824" t="s">
        <v>3069</v>
      </c>
      <c r="B824" t="s">
        <v>2568</v>
      </c>
      <c r="C824" t="s">
        <v>2569</v>
      </c>
      <c r="D824">
        <v>98</v>
      </c>
      <c r="E824" t="s">
        <v>2570</v>
      </c>
      <c r="F824" t="s">
        <v>1551</v>
      </c>
      <c r="G824" t="s">
        <v>51</v>
      </c>
      <c r="H824" t="s">
        <v>2571</v>
      </c>
      <c r="I824" t="s">
        <v>1553</v>
      </c>
      <c r="J824" t="s">
        <v>2572</v>
      </c>
      <c r="K824" t="s">
        <v>1338</v>
      </c>
      <c r="L824" t="s">
        <v>16</v>
      </c>
      <c r="M824" t="s">
        <v>17</v>
      </c>
      <c r="N824">
        <v>5944</v>
      </c>
      <c r="O824">
        <v>318</v>
      </c>
      <c r="P824">
        <v>0</v>
      </c>
      <c r="Q824" t="s">
        <v>3070</v>
      </c>
      <c r="R824" t="s">
        <v>3071</v>
      </c>
      <c r="S824" t="s">
        <v>3072</v>
      </c>
      <c r="T824" t="s">
        <v>3073</v>
      </c>
      <c r="U824" t="s">
        <v>60</v>
      </c>
      <c r="V824" t="s">
        <v>61</v>
      </c>
      <c r="W824">
        <v>10</v>
      </c>
      <c r="X824">
        <v>0.105</v>
      </c>
      <c r="Y824" t="s">
        <v>706</v>
      </c>
      <c r="Z824" t="s">
        <v>707</v>
      </c>
      <c r="AA824">
        <v>4</v>
      </c>
      <c r="AB824" t="s">
        <v>2577</v>
      </c>
      <c r="AC824" t="s">
        <v>2578</v>
      </c>
      <c r="AD824" t="s">
        <v>2579</v>
      </c>
      <c r="AE824" t="s">
        <v>2580</v>
      </c>
      <c r="AF824" t="s">
        <v>2581</v>
      </c>
      <c r="AG824" t="s">
        <v>806</v>
      </c>
      <c r="AH824" t="s">
        <v>889</v>
      </c>
      <c r="AI824" t="s">
        <v>889</v>
      </c>
      <c r="AJ824" t="s">
        <v>1054</v>
      </c>
      <c r="AK824">
        <v>1</v>
      </c>
      <c r="AL824" t="s">
        <v>2677</v>
      </c>
      <c r="AM824" t="s">
        <v>2678</v>
      </c>
      <c r="AN824" t="s">
        <v>2779</v>
      </c>
      <c r="AO824" t="s">
        <v>66</v>
      </c>
      <c r="AP824">
        <v>1</v>
      </c>
      <c r="AQ824" t="s">
        <v>2882</v>
      </c>
      <c r="AR824" t="s">
        <v>2781</v>
      </c>
      <c r="AS824" t="s">
        <v>2883</v>
      </c>
      <c r="AT824" t="s">
        <v>66</v>
      </c>
    </row>
    <row r="825" spans="1:46" x14ac:dyDescent="0.15">
      <c r="A825" t="s">
        <v>3074</v>
      </c>
      <c r="B825" t="s">
        <v>2568</v>
      </c>
      <c r="C825" t="s">
        <v>2569</v>
      </c>
      <c r="D825">
        <v>99</v>
      </c>
      <c r="E825" t="s">
        <v>2570</v>
      </c>
      <c r="F825" t="s">
        <v>1551</v>
      </c>
      <c r="G825" t="s">
        <v>51</v>
      </c>
      <c r="H825" t="s">
        <v>2571</v>
      </c>
      <c r="I825" t="s">
        <v>1553</v>
      </c>
      <c r="J825" t="s">
        <v>2572</v>
      </c>
      <c r="K825" t="s">
        <v>1338</v>
      </c>
      <c r="L825" t="s">
        <v>16</v>
      </c>
      <c r="M825" t="s">
        <v>17</v>
      </c>
      <c r="N825">
        <v>6000</v>
      </c>
      <c r="O825">
        <v>321</v>
      </c>
      <c r="P825">
        <v>0</v>
      </c>
      <c r="Q825" t="s">
        <v>3075</v>
      </c>
      <c r="R825" t="s">
        <v>3076</v>
      </c>
      <c r="S825" t="s">
        <v>3077</v>
      </c>
      <c r="T825" t="s">
        <v>3078</v>
      </c>
      <c r="U825" t="s">
        <v>60</v>
      </c>
      <c r="V825" t="s">
        <v>61</v>
      </c>
      <c r="W825">
        <v>10</v>
      </c>
      <c r="X825">
        <v>0.105</v>
      </c>
      <c r="Y825" t="s">
        <v>389</v>
      </c>
      <c r="Z825" t="s">
        <v>713</v>
      </c>
      <c r="AA825">
        <v>4</v>
      </c>
      <c r="AB825" t="s">
        <v>2577</v>
      </c>
      <c r="AC825" t="s">
        <v>2578</v>
      </c>
      <c r="AD825" t="s">
        <v>2579</v>
      </c>
      <c r="AE825" t="s">
        <v>2580</v>
      </c>
      <c r="AF825" t="s">
        <v>2581</v>
      </c>
      <c r="AG825" t="s">
        <v>806</v>
      </c>
      <c r="AH825" t="s">
        <v>889</v>
      </c>
      <c r="AI825" t="s">
        <v>889</v>
      </c>
      <c r="AJ825" t="s">
        <v>1054</v>
      </c>
      <c r="AK825">
        <v>1</v>
      </c>
      <c r="AL825" t="s">
        <v>2677</v>
      </c>
      <c r="AM825" t="s">
        <v>2678</v>
      </c>
      <c r="AN825" t="s">
        <v>2779</v>
      </c>
      <c r="AO825" t="s">
        <v>66</v>
      </c>
      <c r="AP825">
        <v>1</v>
      </c>
      <c r="AQ825" t="s">
        <v>2882</v>
      </c>
      <c r="AR825" t="s">
        <v>2781</v>
      </c>
      <c r="AS825" t="s">
        <v>2883</v>
      </c>
      <c r="AT825" t="s">
        <v>66</v>
      </c>
    </row>
    <row r="826" spans="1:46" x14ac:dyDescent="0.15">
      <c r="A826" t="s">
        <v>3079</v>
      </c>
      <c r="B826" t="s">
        <v>3080</v>
      </c>
      <c r="C826" t="s">
        <v>3081</v>
      </c>
      <c r="D826">
        <v>1</v>
      </c>
      <c r="E826" t="s">
        <v>3082</v>
      </c>
      <c r="F826" t="s">
        <v>3083</v>
      </c>
      <c r="G826" t="s">
        <v>51</v>
      </c>
      <c r="H826" t="s">
        <v>3084</v>
      </c>
      <c r="I826" t="s">
        <v>1553</v>
      </c>
      <c r="J826" t="s">
        <v>54</v>
      </c>
      <c r="K826" t="s">
        <v>1555</v>
      </c>
      <c r="L826" t="s">
        <v>17</v>
      </c>
      <c r="M826" t="s">
        <v>18</v>
      </c>
      <c r="N826">
        <v>500</v>
      </c>
      <c r="O826">
        <v>30</v>
      </c>
      <c r="P826">
        <v>0</v>
      </c>
      <c r="Q826" t="s">
        <v>3085</v>
      </c>
      <c r="R826" t="s">
        <v>3086</v>
      </c>
      <c r="S826" t="s">
        <v>3087</v>
      </c>
      <c r="T826" t="s">
        <v>3088</v>
      </c>
      <c r="U826" t="s">
        <v>60</v>
      </c>
      <c r="V826" t="s">
        <v>61</v>
      </c>
      <c r="W826">
        <v>5</v>
      </c>
      <c r="X826">
        <v>0.14874999999999999</v>
      </c>
      <c r="Y826" t="s">
        <v>62</v>
      </c>
      <c r="Z826" t="s">
        <v>62</v>
      </c>
      <c r="AA826">
        <v>0</v>
      </c>
      <c r="AB826" t="s">
        <v>3089</v>
      </c>
      <c r="AC826" t="s">
        <v>3090</v>
      </c>
      <c r="AD826" t="s">
        <v>3091</v>
      </c>
      <c r="AE826" t="s">
        <v>3092</v>
      </c>
      <c r="AF826" t="s">
        <v>3093</v>
      </c>
      <c r="AG826" t="s">
        <v>66</v>
      </c>
      <c r="AH826" t="s">
        <v>66</v>
      </c>
      <c r="AI826" t="s">
        <v>66</v>
      </c>
      <c r="AJ826" t="s">
        <v>66</v>
      </c>
      <c r="AK826">
        <v>1</v>
      </c>
      <c r="AL826" t="s">
        <v>66</v>
      </c>
      <c r="AM826" t="s">
        <v>66</v>
      </c>
      <c r="AN826" t="s">
        <v>66</v>
      </c>
      <c r="AO826" t="s">
        <v>66</v>
      </c>
      <c r="AP826">
        <v>1</v>
      </c>
      <c r="AQ826" t="s">
        <v>66</v>
      </c>
      <c r="AR826" t="s">
        <v>66</v>
      </c>
      <c r="AS826" t="s">
        <v>66</v>
      </c>
      <c r="AT826" t="s">
        <v>66</v>
      </c>
    </row>
    <row r="827" spans="1:46" x14ac:dyDescent="0.15">
      <c r="A827" t="s">
        <v>3094</v>
      </c>
      <c r="B827" t="s">
        <v>3080</v>
      </c>
      <c r="C827" t="s">
        <v>3081</v>
      </c>
      <c r="D827">
        <v>2</v>
      </c>
      <c r="E827" t="s">
        <v>3082</v>
      </c>
      <c r="F827" t="s">
        <v>3083</v>
      </c>
      <c r="G827" t="s">
        <v>51</v>
      </c>
      <c r="H827" t="s">
        <v>3084</v>
      </c>
      <c r="I827" t="s">
        <v>1553</v>
      </c>
      <c r="J827" t="s">
        <v>54</v>
      </c>
      <c r="K827" t="s">
        <v>1555</v>
      </c>
      <c r="L827" t="s">
        <v>17</v>
      </c>
      <c r="M827" t="s">
        <v>18</v>
      </c>
      <c r="N827">
        <v>556</v>
      </c>
      <c r="O827">
        <v>33</v>
      </c>
      <c r="P827">
        <v>0</v>
      </c>
      <c r="Q827" t="s">
        <v>3095</v>
      </c>
      <c r="R827" t="s">
        <v>3096</v>
      </c>
      <c r="S827" t="s">
        <v>3097</v>
      </c>
      <c r="T827" t="s">
        <v>3098</v>
      </c>
      <c r="U827" t="s">
        <v>60</v>
      </c>
      <c r="V827" t="s">
        <v>61</v>
      </c>
      <c r="W827">
        <v>5</v>
      </c>
      <c r="X827">
        <v>0.14874999999999999</v>
      </c>
      <c r="Y827" t="s">
        <v>72</v>
      </c>
      <c r="Z827" t="s">
        <v>73</v>
      </c>
      <c r="AA827">
        <v>0</v>
      </c>
      <c r="AB827" t="s">
        <v>3089</v>
      </c>
      <c r="AC827" t="s">
        <v>3090</v>
      </c>
      <c r="AD827" t="s">
        <v>3091</v>
      </c>
      <c r="AE827" t="s">
        <v>3092</v>
      </c>
      <c r="AF827" t="s">
        <v>3093</v>
      </c>
      <c r="AG827" t="s">
        <v>66</v>
      </c>
      <c r="AH827" t="s">
        <v>66</v>
      </c>
      <c r="AI827" t="s">
        <v>66</v>
      </c>
      <c r="AJ827" t="s">
        <v>66</v>
      </c>
      <c r="AK827">
        <v>1</v>
      </c>
      <c r="AL827" t="s">
        <v>66</v>
      </c>
      <c r="AM827" t="s">
        <v>66</v>
      </c>
      <c r="AN827" t="s">
        <v>66</v>
      </c>
      <c r="AO827" t="s">
        <v>66</v>
      </c>
      <c r="AP827">
        <v>1</v>
      </c>
      <c r="AQ827" t="s">
        <v>66</v>
      </c>
      <c r="AR827" t="s">
        <v>66</v>
      </c>
      <c r="AS827" t="s">
        <v>66</v>
      </c>
      <c r="AT827" t="s">
        <v>66</v>
      </c>
    </row>
    <row r="828" spans="1:46" x14ac:dyDescent="0.15">
      <c r="A828" t="s">
        <v>3099</v>
      </c>
      <c r="B828" t="s">
        <v>3080</v>
      </c>
      <c r="C828" t="s">
        <v>3081</v>
      </c>
      <c r="D828">
        <v>3</v>
      </c>
      <c r="E828" t="s">
        <v>3082</v>
      </c>
      <c r="F828" t="s">
        <v>3083</v>
      </c>
      <c r="G828" t="s">
        <v>51</v>
      </c>
      <c r="H828" t="s">
        <v>3084</v>
      </c>
      <c r="I828" t="s">
        <v>1553</v>
      </c>
      <c r="J828" t="s">
        <v>54</v>
      </c>
      <c r="K828" t="s">
        <v>1555</v>
      </c>
      <c r="L828" t="s">
        <v>17</v>
      </c>
      <c r="M828" t="s">
        <v>18</v>
      </c>
      <c r="N828">
        <v>612</v>
      </c>
      <c r="O828">
        <v>36</v>
      </c>
      <c r="P828">
        <v>0</v>
      </c>
      <c r="Q828" t="s">
        <v>3100</v>
      </c>
      <c r="R828" t="s">
        <v>3101</v>
      </c>
      <c r="S828" t="s">
        <v>3102</v>
      </c>
      <c r="T828" t="s">
        <v>3103</v>
      </c>
      <c r="U828" t="s">
        <v>60</v>
      </c>
      <c r="V828" t="s">
        <v>61</v>
      </c>
      <c r="W828">
        <v>5</v>
      </c>
      <c r="X828">
        <v>0.14874999999999999</v>
      </c>
      <c r="Y828" t="s">
        <v>73</v>
      </c>
      <c r="Z828" t="s">
        <v>79</v>
      </c>
      <c r="AA828">
        <v>0</v>
      </c>
      <c r="AB828" t="s">
        <v>3089</v>
      </c>
      <c r="AC828" t="s">
        <v>3090</v>
      </c>
      <c r="AD828" t="s">
        <v>3091</v>
      </c>
      <c r="AE828" t="s">
        <v>3092</v>
      </c>
      <c r="AF828" t="s">
        <v>3093</v>
      </c>
      <c r="AG828" t="s">
        <v>66</v>
      </c>
      <c r="AH828" t="s">
        <v>66</v>
      </c>
      <c r="AI828" t="s">
        <v>66</v>
      </c>
      <c r="AJ828" t="s">
        <v>66</v>
      </c>
      <c r="AK828">
        <v>1</v>
      </c>
      <c r="AL828" t="s">
        <v>66</v>
      </c>
      <c r="AM828" t="s">
        <v>66</v>
      </c>
      <c r="AN828" t="s">
        <v>66</v>
      </c>
      <c r="AO828" t="s">
        <v>66</v>
      </c>
      <c r="AP828">
        <v>1</v>
      </c>
      <c r="AQ828" t="s">
        <v>66</v>
      </c>
      <c r="AR828" t="s">
        <v>66</v>
      </c>
      <c r="AS828" t="s">
        <v>66</v>
      </c>
      <c r="AT828" t="s">
        <v>66</v>
      </c>
    </row>
    <row r="829" spans="1:46" x14ac:dyDescent="0.15">
      <c r="A829" t="s">
        <v>3104</v>
      </c>
      <c r="B829" t="s">
        <v>3080</v>
      </c>
      <c r="C829" t="s">
        <v>3081</v>
      </c>
      <c r="D829">
        <v>4</v>
      </c>
      <c r="E829" t="s">
        <v>3082</v>
      </c>
      <c r="F829" t="s">
        <v>3083</v>
      </c>
      <c r="G829" t="s">
        <v>51</v>
      </c>
      <c r="H829" t="s">
        <v>3084</v>
      </c>
      <c r="I829" t="s">
        <v>1553</v>
      </c>
      <c r="J829" t="s">
        <v>54</v>
      </c>
      <c r="K829" t="s">
        <v>1555</v>
      </c>
      <c r="L829" t="s">
        <v>17</v>
      </c>
      <c r="M829" t="s">
        <v>18</v>
      </c>
      <c r="N829">
        <v>668</v>
      </c>
      <c r="O829">
        <v>39</v>
      </c>
      <c r="P829">
        <v>0</v>
      </c>
      <c r="Q829" t="s">
        <v>3105</v>
      </c>
      <c r="R829" t="s">
        <v>3106</v>
      </c>
      <c r="S829" t="s">
        <v>3107</v>
      </c>
      <c r="T829" t="s">
        <v>3108</v>
      </c>
      <c r="U829" t="s">
        <v>60</v>
      </c>
      <c r="V829" t="s">
        <v>61</v>
      </c>
      <c r="W829">
        <v>5</v>
      </c>
      <c r="X829">
        <v>0.14874999999999999</v>
      </c>
      <c r="Y829" t="s">
        <v>85</v>
      </c>
      <c r="Z829" t="s">
        <v>86</v>
      </c>
      <c r="AA829">
        <v>0</v>
      </c>
      <c r="AB829" t="s">
        <v>3089</v>
      </c>
      <c r="AC829" t="s">
        <v>3090</v>
      </c>
      <c r="AD829" t="s">
        <v>3091</v>
      </c>
      <c r="AE829" t="s">
        <v>3092</v>
      </c>
      <c r="AF829" t="s">
        <v>3093</v>
      </c>
      <c r="AG829" t="s">
        <v>66</v>
      </c>
      <c r="AH829" t="s">
        <v>66</v>
      </c>
      <c r="AI829" t="s">
        <v>66</v>
      </c>
      <c r="AJ829" t="s">
        <v>66</v>
      </c>
      <c r="AK829">
        <v>1</v>
      </c>
      <c r="AL829" t="s">
        <v>66</v>
      </c>
      <c r="AM829" t="s">
        <v>66</v>
      </c>
      <c r="AN829" t="s">
        <v>66</v>
      </c>
      <c r="AO829" t="s">
        <v>66</v>
      </c>
      <c r="AP829">
        <v>1</v>
      </c>
      <c r="AQ829" t="s">
        <v>66</v>
      </c>
      <c r="AR829" t="s">
        <v>66</v>
      </c>
      <c r="AS829" t="s">
        <v>66</v>
      </c>
      <c r="AT829" t="s">
        <v>66</v>
      </c>
    </row>
    <row r="830" spans="1:46" x14ac:dyDescent="0.15">
      <c r="A830" t="s">
        <v>3109</v>
      </c>
      <c r="B830" t="s">
        <v>3080</v>
      </c>
      <c r="C830" t="s">
        <v>3081</v>
      </c>
      <c r="D830">
        <v>5</v>
      </c>
      <c r="E830" t="s">
        <v>3082</v>
      </c>
      <c r="F830" t="s">
        <v>3083</v>
      </c>
      <c r="G830" t="s">
        <v>51</v>
      </c>
      <c r="H830" t="s">
        <v>3084</v>
      </c>
      <c r="I830" t="s">
        <v>1553</v>
      </c>
      <c r="J830" t="s">
        <v>54</v>
      </c>
      <c r="K830" t="s">
        <v>1555</v>
      </c>
      <c r="L830" t="s">
        <v>17</v>
      </c>
      <c r="M830" t="s">
        <v>18</v>
      </c>
      <c r="N830">
        <v>724</v>
      </c>
      <c r="O830">
        <v>42</v>
      </c>
      <c r="P830">
        <v>0</v>
      </c>
      <c r="Q830" t="s">
        <v>3110</v>
      </c>
      <c r="R830" t="s">
        <v>3111</v>
      </c>
      <c r="S830" t="s">
        <v>3112</v>
      </c>
      <c r="T830" t="s">
        <v>3113</v>
      </c>
      <c r="U830" t="s">
        <v>60</v>
      </c>
      <c r="V830" t="s">
        <v>61</v>
      </c>
      <c r="W830">
        <v>5</v>
      </c>
      <c r="X830">
        <v>0.14874999999999999</v>
      </c>
      <c r="Y830" t="s">
        <v>79</v>
      </c>
      <c r="Z830" t="s">
        <v>92</v>
      </c>
      <c r="AA830">
        <v>0</v>
      </c>
      <c r="AB830" t="s">
        <v>3089</v>
      </c>
      <c r="AC830" t="s">
        <v>3090</v>
      </c>
      <c r="AD830" t="s">
        <v>3091</v>
      </c>
      <c r="AE830" t="s">
        <v>3092</v>
      </c>
      <c r="AF830" t="s">
        <v>3093</v>
      </c>
      <c r="AG830" t="s">
        <v>66</v>
      </c>
      <c r="AH830" t="s">
        <v>66</v>
      </c>
      <c r="AI830" t="s">
        <v>66</v>
      </c>
      <c r="AJ830" t="s">
        <v>66</v>
      </c>
      <c r="AK830">
        <v>1</v>
      </c>
      <c r="AL830" t="s">
        <v>66</v>
      </c>
      <c r="AM830" t="s">
        <v>66</v>
      </c>
      <c r="AN830" t="s">
        <v>66</v>
      </c>
      <c r="AO830" t="s">
        <v>66</v>
      </c>
      <c r="AP830">
        <v>1</v>
      </c>
      <c r="AQ830" t="s">
        <v>66</v>
      </c>
      <c r="AR830" t="s">
        <v>66</v>
      </c>
      <c r="AS830" t="s">
        <v>66</v>
      </c>
      <c r="AT830" t="s">
        <v>66</v>
      </c>
    </row>
    <row r="831" spans="1:46" x14ac:dyDescent="0.15">
      <c r="A831" t="s">
        <v>3114</v>
      </c>
      <c r="B831" t="s">
        <v>3080</v>
      </c>
      <c r="C831" t="s">
        <v>3081</v>
      </c>
      <c r="D831">
        <v>6</v>
      </c>
      <c r="E831" t="s">
        <v>3082</v>
      </c>
      <c r="F831" t="s">
        <v>3083</v>
      </c>
      <c r="G831" t="s">
        <v>51</v>
      </c>
      <c r="H831" t="s">
        <v>3084</v>
      </c>
      <c r="I831" t="s">
        <v>1553</v>
      </c>
      <c r="J831" t="s">
        <v>54</v>
      </c>
      <c r="K831" t="s">
        <v>1555</v>
      </c>
      <c r="L831" t="s">
        <v>17</v>
      </c>
      <c r="M831" t="s">
        <v>18</v>
      </c>
      <c r="N831">
        <v>781</v>
      </c>
      <c r="O831">
        <v>45</v>
      </c>
      <c r="P831">
        <v>0</v>
      </c>
      <c r="Q831" t="s">
        <v>3115</v>
      </c>
      <c r="R831" t="s">
        <v>3116</v>
      </c>
      <c r="S831" t="s">
        <v>3117</v>
      </c>
      <c r="T831" t="s">
        <v>3118</v>
      </c>
      <c r="U831" t="s">
        <v>60</v>
      </c>
      <c r="V831" t="s">
        <v>61</v>
      </c>
      <c r="W831">
        <v>5</v>
      </c>
      <c r="X831">
        <v>0.14874999999999999</v>
      </c>
      <c r="Y831" t="s">
        <v>98</v>
      </c>
      <c r="Z831" t="s">
        <v>99</v>
      </c>
      <c r="AA831">
        <v>0</v>
      </c>
      <c r="AB831" t="s">
        <v>3089</v>
      </c>
      <c r="AC831" t="s">
        <v>3090</v>
      </c>
      <c r="AD831" t="s">
        <v>3091</v>
      </c>
      <c r="AE831" t="s">
        <v>3092</v>
      </c>
      <c r="AF831" t="s">
        <v>3093</v>
      </c>
      <c r="AG831" t="s">
        <v>66</v>
      </c>
      <c r="AH831" t="s">
        <v>66</v>
      </c>
      <c r="AI831" t="s">
        <v>66</v>
      </c>
      <c r="AJ831" t="s">
        <v>66</v>
      </c>
      <c r="AK831">
        <v>1</v>
      </c>
      <c r="AL831" t="s">
        <v>66</v>
      </c>
      <c r="AM831" t="s">
        <v>66</v>
      </c>
      <c r="AN831" t="s">
        <v>66</v>
      </c>
      <c r="AO831" t="s">
        <v>66</v>
      </c>
      <c r="AP831">
        <v>1</v>
      </c>
      <c r="AQ831" t="s">
        <v>66</v>
      </c>
      <c r="AR831" t="s">
        <v>66</v>
      </c>
      <c r="AS831" t="s">
        <v>66</v>
      </c>
      <c r="AT831" t="s">
        <v>66</v>
      </c>
    </row>
    <row r="832" spans="1:46" x14ac:dyDescent="0.15">
      <c r="A832" t="s">
        <v>3119</v>
      </c>
      <c r="B832" t="s">
        <v>3080</v>
      </c>
      <c r="C832" t="s">
        <v>3081</v>
      </c>
      <c r="D832">
        <v>7</v>
      </c>
      <c r="E832" t="s">
        <v>3082</v>
      </c>
      <c r="F832" t="s">
        <v>3083</v>
      </c>
      <c r="G832" t="s">
        <v>51</v>
      </c>
      <c r="H832" t="s">
        <v>3084</v>
      </c>
      <c r="I832" t="s">
        <v>1553</v>
      </c>
      <c r="J832" t="s">
        <v>54</v>
      </c>
      <c r="K832" t="s">
        <v>1555</v>
      </c>
      <c r="L832" t="s">
        <v>17</v>
      </c>
      <c r="M832" t="s">
        <v>18</v>
      </c>
      <c r="N832">
        <v>837</v>
      </c>
      <c r="O832">
        <v>49</v>
      </c>
      <c r="P832">
        <v>0</v>
      </c>
      <c r="Q832" t="s">
        <v>3120</v>
      </c>
      <c r="R832" t="s">
        <v>3121</v>
      </c>
      <c r="S832" t="s">
        <v>3122</v>
      </c>
      <c r="T832" t="s">
        <v>3123</v>
      </c>
      <c r="U832" t="s">
        <v>60</v>
      </c>
      <c r="V832" t="s">
        <v>61</v>
      </c>
      <c r="W832">
        <v>5</v>
      </c>
      <c r="X832">
        <v>0.14874999999999999</v>
      </c>
      <c r="Y832" t="s">
        <v>86</v>
      </c>
      <c r="Z832" t="s">
        <v>105</v>
      </c>
      <c r="AA832">
        <v>0</v>
      </c>
      <c r="AB832" t="s">
        <v>3089</v>
      </c>
      <c r="AC832" t="s">
        <v>3090</v>
      </c>
      <c r="AD832" t="s">
        <v>3091</v>
      </c>
      <c r="AE832" t="s">
        <v>3092</v>
      </c>
      <c r="AF832" t="s">
        <v>3093</v>
      </c>
      <c r="AG832" t="s">
        <v>66</v>
      </c>
      <c r="AH832" t="s">
        <v>66</v>
      </c>
      <c r="AI832" t="s">
        <v>66</v>
      </c>
      <c r="AJ832" t="s">
        <v>66</v>
      </c>
      <c r="AK832">
        <v>1</v>
      </c>
      <c r="AL832" t="s">
        <v>66</v>
      </c>
      <c r="AM832" t="s">
        <v>66</v>
      </c>
      <c r="AN832" t="s">
        <v>66</v>
      </c>
      <c r="AO832" t="s">
        <v>66</v>
      </c>
      <c r="AP832">
        <v>1</v>
      </c>
      <c r="AQ832" t="s">
        <v>66</v>
      </c>
      <c r="AR832" t="s">
        <v>66</v>
      </c>
      <c r="AS832" t="s">
        <v>66</v>
      </c>
      <c r="AT832" t="s">
        <v>66</v>
      </c>
    </row>
    <row r="833" spans="1:46" x14ac:dyDescent="0.15">
      <c r="A833" t="s">
        <v>3124</v>
      </c>
      <c r="B833" t="s">
        <v>3080</v>
      </c>
      <c r="C833" t="s">
        <v>3081</v>
      </c>
      <c r="D833">
        <v>8</v>
      </c>
      <c r="E833" t="s">
        <v>3082</v>
      </c>
      <c r="F833" t="s">
        <v>3083</v>
      </c>
      <c r="G833" t="s">
        <v>51</v>
      </c>
      <c r="H833" t="s">
        <v>3084</v>
      </c>
      <c r="I833" t="s">
        <v>1553</v>
      </c>
      <c r="J833" t="s">
        <v>54</v>
      </c>
      <c r="K833" t="s">
        <v>1555</v>
      </c>
      <c r="L833" t="s">
        <v>17</v>
      </c>
      <c r="M833" t="s">
        <v>18</v>
      </c>
      <c r="N833">
        <v>893</v>
      </c>
      <c r="O833">
        <v>52</v>
      </c>
      <c r="P833">
        <v>0</v>
      </c>
      <c r="Q833" t="s">
        <v>3125</v>
      </c>
      <c r="R833" t="s">
        <v>3126</v>
      </c>
      <c r="S833" t="s">
        <v>2639</v>
      </c>
      <c r="T833" t="s">
        <v>3127</v>
      </c>
      <c r="U833" t="s">
        <v>60</v>
      </c>
      <c r="V833" t="s">
        <v>61</v>
      </c>
      <c r="W833">
        <v>5</v>
      </c>
      <c r="X833">
        <v>0.14874999999999999</v>
      </c>
      <c r="Y833" t="s">
        <v>111</v>
      </c>
      <c r="Z833" t="s">
        <v>112</v>
      </c>
      <c r="AA833">
        <v>0</v>
      </c>
      <c r="AB833" t="s">
        <v>3089</v>
      </c>
      <c r="AC833" t="s">
        <v>3090</v>
      </c>
      <c r="AD833" t="s">
        <v>3091</v>
      </c>
      <c r="AE833" t="s">
        <v>3092</v>
      </c>
      <c r="AF833" t="s">
        <v>3093</v>
      </c>
      <c r="AG833" t="s">
        <v>66</v>
      </c>
      <c r="AH833" t="s">
        <v>66</v>
      </c>
      <c r="AI833" t="s">
        <v>66</v>
      </c>
      <c r="AJ833" t="s">
        <v>66</v>
      </c>
      <c r="AK833">
        <v>1</v>
      </c>
      <c r="AL833" t="s">
        <v>66</v>
      </c>
      <c r="AM833" t="s">
        <v>66</v>
      </c>
      <c r="AN833" t="s">
        <v>66</v>
      </c>
      <c r="AO833" t="s">
        <v>66</v>
      </c>
      <c r="AP833">
        <v>1</v>
      </c>
      <c r="AQ833" t="s">
        <v>66</v>
      </c>
      <c r="AR833" t="s">
        <v>66</v>
      </c>
      <c r="AS833" t="s">
        <v>66</v>
      </c>
      <c r="AT833" t="s">
        <v>66</v>
      </c>
    </row>
    <row r="834" spans="1:46" x14ac:dyDescent="0.15">
      <c r="A834" t="s">
        <v>3128</v>
      </c>
      <c r="B834" t="s">
        <v>3080</v>
      </c>
      <c r="C834" t="s">
        <v>3081</v>
      </c>
      <c r="D834">
        <v>9</v>
      </c>
      <c r="E834" t="s">
        <v>3082</v>
      </c>
      <c r="F834" t="s">
        <v>3083</v>
      </c>
      <c r="G834" t="s">
        <v>51</v>
      </c>
      <c r="H834" t="s">
        <v>3084</v>
      </c>
      <c r="I834" t="s">
        <v>1553</v>
      </c>
      <c r="J834" t="s">
        <v>54</v>
      </c>
      <c r="K834" t="s">
        <v>1555</v>
      </c>
      <c r="L834" t="s">
        <v>17</v>
      </c>
      <c r="M834" t="s">
        <v>18</v>
      </c>
      <c r="N834">
        <v>949</v>
      </c>
      <c r="O834">
        <v>55</v>
      </c>
      <c r="P834">
        <v>0</v>
      </c>
      <c r="Q834" t="s">
        <v>3129</v>
      </c>
      <c r="R834" t="s">
        <v>3130</v>
      </c>
      <c r="S834" t="s">
        <v>3131</v>
      </c>
      <c r="T834" t="s">
        <v>3132</v>
      </c>
      <c r="U834" t="s">
        <v>60</v>
      </c>
      <c r="V834" t="s">
        <v>61</v>
      </c>
      <c r="W834">
        <v>5</v>
      </c>
      <c r="X834">
        <v>0.14874999999999999</v>
      </c>
      <c r="Y834" t="s">
        <v>92</v>
      </c>
      <c r="Z834" t="s">
        <v>118</v>
      </c>
      <c r="AA834">
        <v>0</v>
      </c>
      <c r="AB834" t="s">
        <v>3089</v>
      </c>
      <c r="AC834" t="s">
        <v>3090</v>
      </c>
      <c r="AD834" t="s">
        <v>3091</v>
      </c>
      <c r="AE834" t="s">
        <v>3092</v>
      </c>
      <c r="AF834" t="s">
        <v>3093</v>
      </c>
      <c r="AG834" t="s">
        <v>66</v>
      </c>
      <c r="AH834" t="s">
        <v>66</v>
      </c>
      <c r="AI834" t="s">
        <v>66</v>
      </c>
      <c r="AJ834" t="s">
        <v>66</v>
      </c>
      <c r="AK834">
        <v>1</v>
      </c>
      <c r="AL834" t="s">
        <v>66</v>
      </c>
      <c r="AM834" t="s">
        <v>66</v>
      </c>
      <c r="AN834" t="s">
        <v>66</v>
      </c>
      <c r="AO834" t="s">
        <v>66</v>
      </c>
      <c r="AP834">
        <v>1</v>
      </c>
      <c r="AQ834" t="s">
        <v>66</v>
      </c>
      <c r="AR834" t="s">
        <v>66</v>
      </c>
      <c r="AS834" t="s">
        <v>66</v>
      </c>
      <c r="AT834" t="s">
        <v>66</v>
      </c>
    </row>
    <row r="835" spans="1:46" x14ac:dyDescent="0.15">
      <c r="A835" t="s">
        <v>3133</v>
      </c>
      <c r="B835" t="s">
        <v>3080</v>
      </c>
      <c r="C835" t="s">
        <v>3081</v>
      </c>
      <c r="D835">
        <v>10</v>
      </c>
      <c r="E835" t="s">
        <v>3082</v>
      </c>
      <c r="F835" t="s">
        <v>3083</v>
      </c>
      <c r="G835" t="s">
        <v>51</v>
      </c>
      <c r="H835" t="s">
        <v>3084</v>
      </c>
      <c r="I835" t="s">
        <v>1553</v>
      </c>
      <c r="J835" t="s">
        <v>54</v>
      </c>
      <c r="K835" t="s">
        <v>1555</v>
      </c>
      <c r="L835" t="s">
        <v>17</v>
      </c>
      <c r="M835" t="s">
        <v>18</v>
      </c>
      <c r="N835">
        <v>1005</v>
      </c>
      <c r="O835">
        <v>58</v>
      </c>
      <c r="P835">
        <v>0</v>
      </c>
      <c r="Q835" t="s">
        <v>3134</v>
      </c>
      <c r="R835" t="s">
        <v>3135</v>
      </c>
      <c r="S835" t="s">
        <v>3136</v>
      </c>
      <c r="T835" t="s">
        <v>3137</v>
      </c>
      <c r="U835" t="s">
        <v>60</v>
      </c>
      <c r="V835" t="s">
        <v>61</v>
      </c>
      <c r="W835">
        <v>5</v>
      </c>
      <c r="X835">
        <v>0.14874999999999999</v>
      </c>
      <c r="Y835" t="s">
        <v>124</v>
      </c>
      <c r="Z835" t="s">
        <v>125</v>
      </c>
      <c r="AA835">
        <v>0</v>
      </c>
      <c r="AB835" t="s">
        <v>3089</v>
      </c>
      <c r="AC835" t="s">
        <v>3090</v>
      </c>
      <c r="AD835" t="s">
        <v>3091</v>
      </c>
      <c r="AE835" t="s">
        <v>3092</v>
      </c>
      <c r="AF835" t="s">
        <v>3093</v>
      </c>
      <c r="AG835" t="s">
        <v>66</v>
      </c>
      <c r="AH835" t="s">
        <v>66</v>
      </c>
      <c r="AI835" t="s">
        <v>66</v>
      </c>
      <c r="AJ835" t="s">
        <v>66</v>
      </c>
      <c r="AK835">
        <v>1</v>
      </c>
      <c r="AL835" t="s">
        <v>66</v>
      </c>
      <c r="AM835" t="s">
        <v>66</v>
      </c>
      <c r="AN835" t="s">
        <v>66</v>
      </c>
      <c r="AO835" t="s">
        <v>66</v>
      </c>
      <c r="AP835">
        <v>1</v>
      </c>
      <c r="AQ835" t="s">
        <v>66</v>
      </c>
      <c r="AR835" t="s">
        <v>66</v>
      </c>
      <c r="AS835" t="s">
        <v>66</v>
      </c>
      <c r="AT835" t="s">
        <v>66</v>
      </c>
    </row>
    <row r="836" spans="1:46" x14ac:dyDescent="0.15">
      <c r="A836" t="s">
        <v>3138</v>
      </c>
      <c r="B836" t="s">
        <v>3080</v>
      </c>
      <c r="C836" t="s">
        <v>3081</v>
      </c>
      <c r="D836">
        <v>11</v>
      </c>
      <c r="E836" t="s">
        <v>3082</v>
      </c>
      <c r="F836" t="s">
        <v>3083</v>
      </c>
      <c r="G836" t="s">
        <v>51</v>
      </c>
      <c r="H836" t="s">
        <v>3084</v>
      </c>
      <c r="I836" t="s">
        <v>1553</v>
      </c>
      <c r="J836" t="s">
        <v>54</v>
      </c>
      <c r="K836" t="s">
        <v>1555</v>
      </c>
      <c r="L836" t="s">
        <v>17</v>
      </c>
      <c r="M836" t="s">
        <v>18</v>
      </c>
      <c r="N836">
        <v>1061</v>
      </c>
      <c r="O836">
        <v>61</v>
      </c>
      <c r="P836">
        <v>0</v>
      </c>
      <c r="Q836" t="s">
        <v>3139</v>
      </c>
      <c r="R836" t="s">
        <v>3140</v>
      </c>
      <c r="S836" t="s">
        <v>3141</v>
      </c>
      <c r="T836" t="s">
        <v>3142</v>
      </c>
      <c r="U836" t="s">
        <v>60</v>
      </c>
      <c r="V836" t="s">
        <v>61</v>
      </c>
      <c r="W836">
        <v>5</v>
      </c>
      <c r="X836">
        <v>0.14874999999999999</v>
      </c>
      <c r="Y836" t="s">
        <v>99</v>
      </c>
      <c r="Z836" t="s">
        <v>131</v>
      </c>
      <c r="AA836">
        <v>0</v>
      </c>
      <c r="AB836" t="s">
        <v>3089</v>
      </c>
      <c r="AC836" t="s">
        <v>3090</v>
      </c>
      <c r="AD836" t="s">
        <v>3091</v>
      </c>
      <c r="AE836" t="s">
        <v>3092</v>
      </c>
      <c r="AF836" t="s">
        <v>3093</v>
      </c>
      <c r="AG836" t="s">
        <v>66</v>
      </c>
      <c r="AH836" t="s">
        <v>66</v>
      </c>
      <c r="AI836" t="s">
        <v>66</v>
      </c>
      <c r="AJ836" t="s">
        <v>66</v>
      </c>
      <c r="AK836">
        <v>1</v>
      </c>
      <c r="AL836" t="s">
        <v>66</v>
      </c>
      <c r="AM836" t="s">
        <v>66</v>
      </c>
      <c r="AN836" t="s">
        <v>66</v>
      </c>
      <c r="AO836" t="s">
        <v>66</v>
      </c>
      <c r="AP836">
        <v>1</v>
      </c>
      <c r="AQ836" t="s">
        <v>66</v>
      </c>
      <c r="AR836" t="s">
        <v>66</v>
      </c>
      <c r="AS836" t="s">
        <v>66</v>
      </c>
      <c r="AT836" t="s">
        <v>66</v>
      </c>
    </row>
    <row r="837" spans="1:46" x14ac:dyDescent="0.15">
      <c r="A837" t="s">
        <v>3143</v>
      </c>
      <c r="B837" t="s">
        <v>3080</v>
      </c>
      <c r="C837" t="s">
        <v>3081</v>
      </c>
      <c r="D837">
        <v>12</v>
      </c>
      <c r="E837" t="s">
        <v>3082</v>
      </c>
      <c r="F837" t="s">
        <v>3083</v>
      </c>
      <c r="G837" t="s">
        <v>51</v>
      </c>
      <c r="H837" t="s">
        <v>3084</v>
      </c>
      <c r="I837" t="s">
        <v>1553</v>
      </c>
      <c r="J837" t="s">
        <v>54</v>
      </c>
      <c r="K837" t="s">
        <v>1555</v>
      </c>
      <c r="L837" t="s">
        <v>17</v>
      </c>
      <c r="M837" t="s">
        <v>18</v>
      </c>
      <c r="N837">
        <v>1117</v>
      </c>
      <c r="O837">
        <v>64</v>
      </c>
      <c r="P837">
        <v>0</v>
      </c>
      <c r="Q837" t="s">
        <v>3144</v>
      </c>
      <c r="R837" t="s">
        <v>3145</v>
      </c>
      <c r="S837" t="s">
        <v>3146</v>
      </c>
      <c r="T837" t="s">
        <v>3147</v>
      </c>
      <c r="U837" t="s">
        <v>60</v>
      </c>
      <c r="V837" t="s">
        <v>61</v>
      </c>
      <c r="W837">
        <v>5</v>
      </c>
      <c r="X837">
        <v>0.14874999999999999</v>
      </c>
      <c r="Y837" t="s">
        <v>137</v>
      </c>
      <c r="Z837" t="s">
        <v>138</v>
      </c>
      <c r="AA837">
        <v>0</v>
      </c>
      <c r="AB837" t="s">
        <v>3089</v>
      </c>
      <c r="AC837" t="s">
        <v>3090</v>
      </c>
      <c r="AD837" t="s">
        <v>3091</v>
      </c>
      <c r="AE837" t="s">
        <v>3092</v>
      </c>
      <c r="AF837" t="s">
        <v>3093</v>
      </c>
      <c r="AG837" t="s">
        <v>66</v>
      </c>
      <c r="AH837" t="s">
        <v>66</v>
      </c>
      <c r="AI837" t="s">
        <v>66</v>
      </c>
      <c r="AJ837" t="s">
        <v>66</v>
      </c>
      <c r="AK837">
        <v>1</v>
      </c>
      <c r="AL837" t="s">
        <v>66</v>
      </c>
      <c r="AM837" t="s">
        <v>66</v>
      </c>
      <c r="AN837" t="s">
        <v>66</v>
      </c>
      <c r="AO837" t="s">
        <v>66</v>
      </c>
      <c r="AP837">
        <v>1</v>
      </c>
      <c r="AQ837" t="s">
        <v>66</v>
      </c>
      <c r="AR837" t="s">
        <v>66</v>
      </c>
      <c r="AS837" t="s">
        <v>66</v>
      </c>
      <c r="AT837" t="s">
        <v>66</v>
      </c>
    </row>
    <row r="838" spans="1:46" x14ac:dyDescent="0.15">
      <c r="A838" t="s">
        <v>3148</v>
      </c>
      <c r="B838" t="s">
        <v>3080</v>
      </c>
      <c r="C838" t="s">
        <v>3081</v>
      </c>
      <c r="D838">
        <v>13</v>
      </c>
      <c r="E838" t="s">
        <v>3082</v>
      </c>
      <c r="F838" t="s">
        <v>3083</v>
      </c>
      <c r="G838" t="s">
        <v>51</v>
      </c>
      <c r="H838" t="s">
        <v>3084</v>
      </c>
      <c r="I838" t="s">
        <v>1553</v>
      </c>
      <c r="J838" t="s">
        <v>54</v>
      </c>
      <c r="K838" t="s">
        <v>1555</v>
      </c>
      <c r="L838" t="s">
        <v>17</v>
      </c>
      <c r="M838" t="s">
        <v>18</v>
      </c>
      <c r="N838">
        <v>1173</v>
      </c>
      <c r="O838">
        <v>67</v>
      </c>
      <c r="P838">
        <v>0</v>
      </c>
      <c r="Q838" t="s">
        <v>3149</v>
      </c>
      <c r="R838" t="s">
        <v>3150</v>
      </c>
      <c r="S838" t="s">
        <v>3151</v>
      </c>
      <c r="T838" t="s">
        <v>3152</v>
      </c>
      <c r="U838" t="s">
        <v>60</v>
      </c>
      <c r="V838" t="s">
        <v>61</v>
      </c>
      <c r="W838">
        <v>5</v>
      </c>
      <c r="X838">
        <v>0.14874999999999999</v>
      </c>
      <c r="Y838" t="s">
        <v>105</v>
      </c>
      <c r="Z838" t="s">
        <v>144</v>
      </c>
      <c r="AA838">
        <v>0</v>
      </c>
      <c r="AB838" t="s">
        <v>3089</v>
      </c>
      <c r="AC838" t="s">
        <v>3090</v>
      </c>
      <c r="AD838" t="s">
        <v>3091</v>
      </c>
      <c r="AE838" t="s">
        <v>3092</v>
      </c>
      <c r="AF838" t="s">
        <v>3093</v>
      </c>
      <c r="AG838" t="s">
        <v>66</v>
      </c>
      <c r="AH838" t="s">
        <v>66</v>
      </c>
      <c r="AI838" t="s">
        <v>66</v>
      </c>
      <c r="AJ838" t="s">
        <v>66</v>
      </c>
      <c r="AK838">
        <v>1</v>
      </c>
      <c r="AL838" t="s">
        <v>66</v>
      </c>
      <c r="AM838" t="s">
        <v>66</v>
      </c>
      <c r="AN838" t="s">
        <v>66</v>
      </c>
      <c r="AO838" t="s">
        <v>66</v>
      </c>
      <c r="AP838">
        <v>1</v>
      </c>
      <c r="AQ838" t="s">
        <v>66</v>
      </c>
      <c r="AR838" t="s">
        <v>66</v>
      </c>
      <c r="AS838" t="s">
        <v>66</v>
      </c>
      <c r="AT838" t="s">
        <v>66</v>
      </c>
    </row>
    <row r="839" spans="1:46" x14ac:dyDescent="0.15">
      <c r="A839" t="s">
        <v>3153</v>
      </c>
      <c r="B839" t="s">
        <v>3080</v>
      </c>
      <c r="C839" t="s">
        <v>3081</v>
      </c>
      <c r="D839">
        <v>14</v>
      </c>
      <c r="E839" t="s">
        <v>3082</v>
      </c>
      <c r="F839" t="s">
        <v>3083</v>
      </c>
      <c r="G839" t="s">
        <v>51</v>
      </c>
      <c r="H839" t="s">
        <v>3084</v>
      </c>
      <c r="I839" t="s">
        <v>1553</v>
      </c>
      <c r="J839" t="s">
        <v>54</v>
      </c>
      <c r="K839" t="s">
        <v>1555</v>
      </c>
      <c r="L839" t="s">
        <v>17</v>
      </c>
      <c r="M839" t="s">
        <v>18</v>
      </c>
      <c r="N839">
        <v>1230</v>
      </c>
      <c r="O839">
        <v>70</v>
      </c>
      <c r="P839">
        <v>0</v>
      </c>
      <c r="Q839" t="s">
        <v>3154</v>
      </c>
      <c r="R839" t="s">
        <v>3155</v>
      </c>
      <c r="S839" t="s">
        <v>3156</v>
      </c>
      <c r="T839" t="s">
        <v>3157</v>
      </c>
      <c r="U839" t="s">
        <v>60</v>
      </c>
      <c r="V839" t="s">
        <v>61</v>
      </c>
      <c r="W839">
        <v>5</v>
      </c>
      <c r="X839">
        <v>0.14874999999999999</v>
      </c>
      <c r="Y839" t="s">
        <v>150</v>
      </c>
      <c r="Z839" t="s">
        <v>151</v>
      </c>
      <c r="AA839">
        <v>0</v>
      </c>
      <c r="AB839" t="s">
        <v>3089</v>
      </c>
      <c r="AC839" t="s">
        <v>3090</v>
      </c>
      <c r="AD839" t="s">
        <v>3091</v>
      </c>
      <c r="AE839" t="s">
        <v>3092</v>
      </c>
      <c r="AF839" t="s">
        <v>3093</v>
      </c>
      <c r="AG839" t="s">
        <v>66</v>
      </c>
      <c r="AH839" t="s">
        <v>66</v>
      </c>
      <c r="AI839" t="s">
        <v>66</v>
      </c>
      <c r="AJ839" t="s">
        <v>66</v>
      </c>
      <c r="AK839">
        <v>1</v>
      </c>
      <c r="AL839" t="s">
        <v>66</v>
      </c>
      <c r="AM839" t="s">
        <v>66</v>
      </c>
      <c r="AN839" t="s">
        <v>66</v>
      </c>
      <c r="AO839" t="s">
        <v>66</v>
      </c>
      <c r="AP839">
        <v>1</v>
      </c>
      <c r="AQ839" t="s">
        <v>66</v>
      </c>
      <c r="AR839" t="s">
        <v>66</v>
      </c>
      <c r="AS839" t="s">
        <v>66</v>
      </c>
      <c r="AT839" t="s">
        <v>66</v>
      </c>
    </row>
    <row r="840" spans="1:46" x14ac:dyDescent="0.15">
      <c r="A840" t="s">
        <v>3158</v>
      </c>
      <c r="B840" t="s">
        <v>3080</v>
      </c>
      <c r="C840" t="s">
        <v>3081</v>
      </c>
      <c r="D840">
        <v>15</v>
      </c>
      <c r="E840" t="s">
        <v>3082</v>
      </c>
      <c r="F840" t="s">
        <v>3083</v>
      </c>
      <c r="G840" t="s">
        <v>51</v>
      </c>
      <c r="H840" t="s">
        <v>3084</v>
      </c>
      <c r="I840" t="s">
        <v>1553</v>
      </c>
      <c r="J840" t="s">
        <v>54</v>
      </c>
      <c r="K840" t="s">
        <v>1555</v>
      </c>
      <c r="L840" t="s">
        <v>17</v>
      </c>
      <c r="M840" t="s">
        <v>18</v>
      </c>
      <c r="N840">
        <v>1286</v>
      </c>
      <c r="O840">
        <v>73</v>
      </c>
      <c r="P840">
        <v>0</v>
      </c>
      <c r="Q840" t="s">
        <v>3159</v>
      </c>
      <c r="R840" t="s">
        <v>3160</v>
      </c>
      <c r="S840" t="s">
        <v>3161</v>
      </c>
      <c r="T840" t="s">
        <v>3162</v>
      </c>
      <c r="U840" t="s">
        <v>60</v>
      </c>
      <c r="V840" t="s">
        <v>61</v>
      </c>
      <c r="W840">
        <v>5</v>
      </c>
      <c r="X840">
        <v>0.14874999999999999</v>
      </c>
      <c r="Y840" t="s">
        <v>112</v>
      </c>
      <c r="Z840" t="s">
        <v>157</v>
      </c>
      <c r="AA840">
        <v>0</v>
      </c>
      <c r="AB840" t="s">
        <v>3089</v>
      </c>
      <c r="AC840" t="s">
        <v>3090</v>
      </c>
      <c r="AD840" t="s">
        <v>3091</v>
      </c>
      <c r="AE840" t="s">
        <v>3092</v>
      </c>
      <c r="AF840" t="s">
        <v>3093</v>
      </c>
      <c r="AG840" t="s">
        <v>66</v>
      </c>
      <c r="AH840" t="s">
        <v>66</v>
      </c>
      <c r="AI840" t="s">
        <v>66</v>
      </c>
      <c r="AJ840" t="s">
        <v>66</v>
      </c>
      <c r="AK840">
        <v>1</v>
      </c>
      <c r="AL840" t="s">
        <v>66</v>
      </c>
      <c r="AM840" t="s">
        <v>66</v>
      </c>
      <c r="AN840" t="s">
        <v>66</v>
      </c>
      <c r="AO840" t="s">
        <v>66</v>
      </c>
      <c r="AP840">
        <v>1</v>
      </c>
      <c r="AQ840" t="s">
        <v>66</v>
      </c>
      <c r="AR840" t="s">
        <v>66</v>
      </c>
      <c r="AS840" t="s">
        <v>66</v>
      </c>
      <c r="AT840" t="s">
        <v>66</v>
      </c>
    </row>
    <row r="841" spans="1:46" x14ac:dyDescent="0.15">
      <c r="A841" t="s">
        <v>3163</v>
      </c>
      <c r="B841" t="s">
        <v>3080</v>
      </c>
      <c r="C841" t="s">
        <v>3081</v>
      </c>
      <c r="D841">
        <v>16</v>
      </c>
      <c r="E841" t="s">
        <v>3082</v>
      </c>
      <c r="F841" t="s">
        <v>3083</v>
      </c>
      <c r="G841" t="s">
        <v>51</v>
      </c>
      <c r="H841" t="s">
        <v>3084</v>
      </c>
      <c r="I841" t="s">
        <v>1553</v>
      </c>
      <c r="J841" t="s">
        <v>54</v>
      </c>
      <c r="K841" t="s">
        <v>1555</v>
      </c>
      <c r="L841" t="s">
        <v>17</v>
      </c>
      <c r="M841" t="s">
        <v>18</v>
      </c>
      <c r="N841">
        <v>1342</v>
      </c>
      <c r="O841">
        <v>76</v>
      </c>
      <c r="P841">
        <v>0</v>
      </c>
      <c r="Q841" t="s">
        <v>3164</v>
      </c>
      <c r="R841" t="s">
        <v>3165</v>
      </c>
      <c r="S841" t="s">
        <v>3166</v>
      </c>
      <c r="T841" t="s">
        <v>3167</v>
      </c>
      <c r="U841" t="s">
        <v>60</v>
      </c>
      <c r="V841" t="s">
        <v>61</v>
      </c>
      <c r="W841">
        <v>5</v>
      </c>
      <c r="X841">
        <v>0.14874999999999999</v>
      </c>
      <c r="Y841" t="s">
        <v>163</v>
      </c>
      <c r="Z841" t="s">
        <v>164</v>
      </c>
      <c r="AA841">
        <v>0</v>
      </c>
      <c r="AB841" t="s">
        <v>3089</v>
      </c>
      <c r="AC841" t="s">
        <v>3090</v>
      </c>
      <c r="AD841" t="s">
        <v>3091</v>
      </c>
      <c r="AE841" t="s">
        <v>3092</v>
      </c>
      <c r="AF841" t="s">
        <v>3093</v>
      </c>
      <c r="AG841" t="s">
        <v>66</v>
      </c>
      <c r="AH841" t="s">
        <v>66</v>
      </c>
      <c r="AI841" t="s">
        <v>66</v>
      </c>
      <c r="AJ841" t="s">
        <v>66</v>
      </c>
      <c r="AK841">
        <v>1</v>
      </c>
      <c r="AL841" t="s">
        <v>66</v>
      </c>
      <c r="AM841" t="s">
        <v>66</v>
      </c>
      <c r="AN841" t="s">
        <v>66</v>
      </c>
      <c r="AO841" t="s">
        <v>66</v>
      </c>
      <c r="AP841">
        <v>1</v>
      </c>
      <c r="AQ841" t="s">
        <v>66</v>
      </c>
      <c r="AR841" t="s">
        <v>66</v>
      </c>
      <c r="AS841" t="s">
        <v>66</v>
      </c>
      <c r="AT841" t="s">
        <v>66</v>
      </c>
    </row>
    <row r="842" spans="1:46" x14ac:dyDescent="0.15">
      <c r="A842" t="s">
        <v>3168</v>
      </c>
      <c r="B842" t="s">
        <v>3080</v>
      </c>
      <c r="C842" t="s">
        <v>3081</v>
      </c>
      <c r="D842">
        <v>17</v>
      </c>
      <c r="E842" t="s">
        <v>3082</v>
      </c>
      <c r="F842" t="s">
        <v>3083</v>
      </c>
      <c r="G842" t="s">
        <v>51</v>
      </c>
      <c r="H842" t="s">
        <v>3084</v>
      </c>
      <c r="I842" t="s">
        <v>1553</v>
      </c>
      <c r="J842" t="s">
        <v>54</v>
      </c>
      <c r="K842" t="s">
        <v>1555</v>
      </c>
      <c r="L842" t="s">
        <v>17</v>
      </c>
      <c r="M842" t="s">
        <v>18</v>
      </c>
      <c r="N842">
        <v>1398</v>
      </c>
      <c r="O842">
        <v>80</v>
      </c>
      <c r="P842">
        <v>0</v>
      </c>
      <c r="Q842" t="s">
        <v>3169</v>
      </c>
      <c r="R842" t="s">
        <v>3170</v>
      </c>
      <c r="S842" t="s">
        <v>3171</v>
      </c>
      <c r="T842" t="s">
        <v>3172</v>
      </c>
      <c r="U842" t="s">
        <v>60</v>
      </c>
      <c r="V842" t="s">
        <v>61</v>
      </c>
      <c r="W842">
        <v>5</v>
      </c>
      <c r="X842">
        <v>0.14874999999999999</v>
      </c>
      <c r="Y842" t="s">
        <v>118</v>
      </c>
      <c r="Z842" t="s">
        <v>170</v>
      </c>
      <c r="AA842">
        <v>0</v>
      </c>
      <c r="AB842" t="s">
        <v>3089</v>
      </c>
      <c r="AC842" t="s">
        <v>3090</v>
      </c>
      <c r="AD842" t="s">
        <v>3091</v>
      </c>
      <c r="AE842" t="s">
        <v>3092</v>
      </c>
      <c r="AF842" t="s">
        <v>3093</v>
      </c>
      <c r="AG842" t="s">
        <v>66</v>
      </c>
      <c r="AH842" t="s">
        <v>66</v>
      </c>
      <c r="AI842" t="s">
        <v>66</v>
      </c>
      <c r="AJ842" t="s">
        <v>66</v>
      </c>
      <c r="AK842">
        <v>1</v>
      </c>
      <c r="AL842" t="s">
        <v>66</v>
      </c>
      <c r="AM842" t="s">
        <v>66</v>
      </c>
      <c r="AN842" t="s">
        <v>66</v>
      </c>
      <c r="AO842" t="s">
        <v>66</v>
      </c>
      <c r="AP842">
        <v>1</v>
      </c>
      <c r="AQ842" t="s">
        <v>66</v>
      </c>
      <c r="AR842" t="s">
        <v>66</v>
      </c>
      <c r="AS842" t="s">
        <v>66</v>
      </c>
      <c r="AT842" t="s">
        <v>66</v>
      </c>
    </row>
    <row r="843" spans="1:46" x14ac:dyDescent="0.15">
      <c r="A843" t="s">
        <v>3173</v>
      </c>
      <c r="B843" t="s">
        <v>3080</v>
      </c>
      <c r="C843" t="s">
        <v>3081</v>
      </c>
      <c r="D843">
        <v>18</v>
      </c>
      <c r="E843" t="s">
        <v>3082</v>
      </c>
      <c r="F843" t="s">
        <v>3083</v>
      </c>
      <c r="G843" t="s">
        <v>51</v>
      </c>
      <c r="H843" t="s">
        <v>3084</v>
      </c>
      <c r="I843" t="s">
        <v>1553</v>
      </c>
      <c r="J843" t="s">
        <v>54</v>
      </c>
      <c r="K843" t="s">
        <v>1555</v>
      </c>
      <c r="L843" t="s">
        <v>17</v>
      </c>
      <c r="M843" t="s">
        <v>18</v>
      </c>
      <c r="N843">
        <v>1454</v>
      </c>
      <c r="O843">
        <v>83</v>
      </c>
      <c r="P843">
        <v>0</v>
      </c>
      <c r="Q843" t="s">
        <v>3174</v>
      </c>
      <c r="R843" t="s">
        <v>3175</v>
      </c>
      <c r="S843" t="s">
        <v>3176</v>
      </c>
      <c r="T843" t="s">
        <v>3177</v>
      </c>
      <c r="U843" t="s">
        <v>60</v>
      </c>
      <c r="V843" t="s">
        <v>61</v>
      </c>
      <c r="W843">
        <v>5</v>
      </c>
      <c r="X843">
        <v>0.14874999999999999</v>
      </c>
      <c r="Y843" t="s">
        <v>176</v>
      </c>
      <c r="Z843" t="s">
        <v>177</v>
      </c>
      <c r="AA843">
        <v>0</v>
      </c>
      <c r="AB843" t="s">
        <v>3089</v>
      </c>
      <c r="AC843" t="s">
        <v>3090</v>
      </c>
      <c r="AD843" t="s">
        <v>3091</v>
      </c>
      <c r="AE843" t="s">
        <v>3092</v>
      </c>
      <c r="AF843" t="s">
        <v>3093</v>
      </c>
      <c r="AG843" t="s">
        <v>66</v>
      </c>
      <c r="AH843" t="s">
        <v>66</v>
      </c>
      <c r="AI843" t="s">
        <v>66</v>
      </c>
      <c r="AJ843" t="s">
        <v>66</v>
      </c>
      <c r="AK843">
        <v>1</v>
      </c>
      <c r="AL843" t="s">
        <v>66</v>
      </c>
      <c r="AM843" t="s">
        <v>66</v>
      </c>
      <c r="AN843" t="s">
        <v>66</v>
      </c>
      <c r="AO843" t="s">
        <v>66</v>
      </c>
      <c r="AP843">
        <v>1</v>
      </c>
      <c r="AQ843" t="s">
        <v>66</v>
      </c>
      <c r="AR843" t="s">
        <v>66</v>
      </c>
      <c r="AS843" t="s">
        <v>66</v>
      </c>
      <c r="AT843" t="s">
        <v>66</v>
      </c>
    </row>
    <row r="844" spans="1:46" x14ac:dyDescent="0.15">
      <c r="A844" t="s">
        <v>3178</v>
      </c>
      <c r="B844" t="s">
        <v>3080</v>
      </c>
      <c r="C844" t="s">
        <v>3081</v>
      </c>
      <c r="D844">
        <v>19</v>
      </c>
      <c r="E844" t="s">
        <v>3082</v>
      </c>
      <c r="F844" t="s">
        <v>3083</v>
      </c>
      <c r="G844" t="s">
        <v>51</v>
      </c>
      <c r="H844" t="s">
        <v>3084</v>
      </c>
      <c r="I844" t="s">
        <v>1553</v>
      </c>
      <c r="J844" t="s">
        <v>54</v>
      </c>
      <c r="K844" t="s">
        <v>1555</v>
      </c>
      <c r="L844" t="s">
        <v>17</v>
      </c>
      <c r="M844" t="s">
        <v>18</v>
      </c>
      <c r="N844">
        <v>1510</v>
      </c>
      <c r="O844">
        <v>86</v>
      </c>
      <c r="P844">
        <v>0</v>
      </c>
      <c r="Q844" t="s">
        <v>3179</v>
      </c>
      <c r="R844" t="s">
        <v>3180</v>
      </c>
      <c r="S844" t="s">
        <v>3181</v>
      </c>
      <c r="T844" t="s">
        <v>3182</v>
      </c>
      <c r="U844" t="s">
        <v>60</v>
      </c>
      <c r="V844" t="s">
        <v>61</v>
      </c>
      <c r="W844">
        <v>5</v>
      </c>
      <c r="X844">
        <v>0.14874999999999999</v>
      </c>
      <c r="Y844" t="s">
        <v>125</v>
      </c>
      <c r="Z844" t="s">
        <v>183</v>
      </c>
      <c r="AA844">
        <v>0</v>
      </c>
      <c r="AB844" t="s">
        <v>3089</v>
      </c>
      <c r="AC844" t="s">
        <v>3090</v>
      </c>
      <c r="AD844" t="s">
        <v>3091</v>
      </c>
      <c r="AE844" t="s">
        <v>3092</v>
      </c>
      <c r="AF844" t="s">
        <v>3093</v>
      </c>
      <c r="AG844" t="s">
        <v>66</v>
      </c>
      <c r="AH844" t="s">
        <v>66</v>
      </c>
      <c r="AI844" t="s">
        <v>66</v>
      </c>
      <c r="AJ844" t="s">
        <v>66</v>
      </c>
      <c r="AK844">
        <v>1</v>
      </c>
      <c r="AL844" t="s">
        <v>66</v>
      </c>
      <c r="AM844" t="s">
        <v>66</v>
      </c>
      <c r="AN844" t="s">
        <v>66</v>
      </c>
      <c r="AO844" t="s">
        <v>66</v>
      </c>
      <c r="AP844">
        <v>1</v>
      </c>
      <c r="AQ844" t="s">
        <v>66</v>
      </c>
      <c r="AR844" t="s">
        <v>66</v>
      </c>
      <c r="AS844" t="s">
        <v>66</v>
      </c>
      <c r="AT844" t="s">
        <v>66</v>
      </c>
    </row>
    <row r="845" spans="1:46" x14ac:dyDescent="0.15">
      <c r="A845" t="s">
        <v>3183</v>
      </c>
      <c r="B845" t="s">
        <v>3080</v>
      </c>
      <c r="C845" t="s">
        <v>3081</v>
      </c>
      <c r="D845">
        <v>20</v>
      </c>
      <c r="E845" t="s">
        <v>3082</v>
      </c>
      <c r="F845" t="s">
        <v>3083</v>
      </c>
      <c r="G845" t="s">
        <v>51</v>
      </c>
      <c r="H845" t="s">
        <v>3084</v>
      </c>
      <c r="I845" t="s">
        <v>1553</v>
      </c>
      <c r="J845" t="s">
        <v>54</v>
      </c>
      <c r="K845" t="s">
        <v>1555</v>
      </c>
      <c r="L845" t="s">
        <v>17</v>
      </c>
      <c r="M845" t="s">
        <v>18</v>
      </c>
      <c r="N845">
        <v>1566</v>
      </c>
      <c r="O845">
        <v>89</v>
      </c>
      <c r="P845">
        <v>0</v>
      </c>
      <c r="Q845" t="s">
        <v>3184</v>
      </c>
      <c r="R845" t="s">
        <v>3185</v>
      </c>
      <c r="S845" t="s">
        <v>3186</v>
      </c>
      <c r="T845" t="s">
        <v>3187</v>
      </c>
      <c r="U845" t="s">
        <v>60</v>
      </c>
      <c r="V845" t="s">
        <v>61</v>
      </c>
      <c r="W845">
        <v>5</v>
      </c>
      <c r="X845">
        <v>0.14874999999999999</v>
      </c>
      <c r="Y845" t="s">
        <v>189</v>
      </c>
      <c r="Z845" t="s">
        <v>190</v>
      </c>
      <c r="AA845">
        <v>0</v>
      </c>
      <c r="AB845" t="s">
        <v>3089</v>
      </c>
      <c r="AC845" t="s">
        <v>3090</v>
      </c>
      <c r="AD845" t="s">
        <v>3091</v>
      </c>
      <c r="AE845" t="s">
        <v>3092</v>
      </c>
      <c r="AF845" t="s">
        <v>3093</v>
      </c>
      <c r="AG845" t="s">
        <v>66</v>
      </c>
      <c r="AH845" t="s">
        <v>66</v>
      </c>
      <c r="AI845" t="s">
        <v>66</v>
      </c>
      <c r="AJ845" t="s">
        <v>66</v>
      </c>
      <c r="AK845">
        <v>1</v>
      </c>
      <c r="AL845" t="s">
        <v>66</v>
      </c>
      <c r="AM845" t="s">
        <v>66</v>
      </c>
      <c r="AN845" t="s">
        <v>66</v>
      </c>
      <c r="AO845" t="s">
        <v>66</v>
      </c>
      <c r="AP845">
        <v>1</v>
      </c>
      <c r="AQ845" t="s">
        <v>66</v>
      </c>
      <c r="AR845" t="s">
        <v>66</v>
      </c>
      <c r="AS845" t="s">
        <v>66</v>
      </c>
      <c r="AT845" t="s">
        <v>66</v>
      </c>
    </row>
    <row r="846" spans="1:46" x14ac:dyDescent="0.15">
      <c r="A846" t="s">
        <v>3183</v>
      </c>
      <c r="B846" t="s">
        <v>3080</v>
      </c>
      <c r="C846" t="s">
        <v>3081</v>
      </c>
      <c r="D846">
        <v>20</v>
      </c>
      <c r="E846" t="s">
        <v>3082</v>
      </c>
      <c r="F846" t="s">
        <v>3083</v>
      </c>
      <c r="G846" t="s">
        <v>51</v>
      </c>
      <c r="H846" t="s">
        <v>3084</v>
      </c>
      <c r="I846" t="s">
        <v>1553</v>
      </c>
      <c r="J846" t="s">
        <v>54</v>
      </c>
      <c r="K846" t="s">
        <v>1555</v>
      </c>
      <c r="L846" t="s">
        <v>17</v>
      </c>
      <c r="M846" t="s">
        <v>18</v>
      </c>
      <c r="N846">
        <v>1566</v>
      </c>
      <c r="O846">
        <v>89</v>
      </c>
      <c r="P846">
        <v>0</v>
      </c>
      <c r="Q846" t="s">
        <v>3184</v>
      </c>
      <c r="R846" t="s">
        <v>3185</v>
      </c>
      <c r="S846" t="s">
        <v>3186</v>
      </c>
      <c r="T846" t="s">
        <v>3187</v>
      </c>
      <c r="U846" t="s">
        <v>60</v>
      </c>
      <c r="V846" t="s">
        <v>61</v>
      </c>
      <c r="W846">
        <v>5</v>
      </c>
      <c r="X846">
        <v>0.14874999999999999</v>
      </c>
      <c r="Y846" t="s">
        <v>189</v>
      </c>
      <c r="Z846" t="s">
        <v>190</v>
      </c>
      <c r="AA846">
        <v>1</v>
      </c>
      <c r="AB846" t="s">
        <v>3089</v>
      </c>
      <c r="AC846" t="s">
        <v>3090</v>
      </c>
      <c r="AD846" t="s">
        <v>3091</v>
      </c>
      <c r="AE846" t="s">
        <v>3092</v>
      </c>
      <c r="AF846" t="s">
        <v>3093</v>
      </c>
      <c r="AG846" t="s">
        <v>66</v>
      </c>
      <c r="AH846" t="s">
        <v>66</v>
      </c>
      <c r="AI846" t="s">
        <v>66</v>
      </c>
      <c r="AJ846" t="s">
        <v>66</v>
      </c>
      <c r="AK846">
        <v>1</v>
      </c>
      <c r="AL846" t="s">
        <v>66</v>
      </c>
      <c r="AM846" t="s">
        <v>66</v>
      </c>
      <c r="AN846" t="s">
        <v>66</v>
      </c>
      <c r="AO846" t="s">
        <v>66</v>
      </c>
      <c r="AP846">
        <v>1</v>
      </c>
      <c r="AQ846" t="s">
        <v>66</v>
      </c>
      <c r="AR846" t="s">
        <v>66</v>
      </c>
      <c r="AS846" t="s">
        <v>66</v>
      </c>
      <c r="AT846" t="s">
        <v>66</v>
      </c>
    </row>
    <row r="847" spans="1:46" x14ac:dyDescent="0.15">
      <c r="A847" t="s">
        <v>3188</v>
      </c>
      <c r="B847" t="s">
        <v>3080</v>
      </c>
      <c r="C847" t="s">
        <v>3081</v>
      </c>
      <c r="D847">
        <v>21</v>
      </c>
      <c r="E847" t="s">
        <v>3082</v>
      </c>
      <c r="F847" t="s">
        <v>3083</v>
      </c>
      <c r="G847" t="s">
        <v>51</v>
      </c>
      <c r="H847" t="s">
        <v>3084</v>
      </c>
      <c r="I847" t="s">
        <v>1553</v>
      </c>
      <c r="J847" t="s">
        <v>54</v>
      </c>
      <c r="K847" t="s">
        <v>1555</v>
      </c>
      <c r="L847" t="s">
        <v>17</v>
      </c>
      <c r="M847" t="s">
        <v>18</v>
      </c>
      <c r="N847">
        <v>1622</v>
      </c>
      <c r="O847">
        <v>92</v>
      </c>
      <c r="P847">
        <v>0</v>
      </c>
      <c r="Q847" t="s">
        <v>3189</v>
      </c>
      <c r="R847" t="s">
        <v>3190</v>
      </c>
      <c r="S847" t="s">
        <v>3191</v>
      </c>
      <c r="T847" t="s">
        <v>3192</v>
      </c>
      <c r="U847" t="s">
        <v>60</v>
      </c>
      <c r="V847" t="s">
        <v>61</v>
      </c>
      <c r="W847">
        <v>5</v>
      </c>
      <c r="X847">
        <v>0.14874999999999999</v>
      </c>
      <c r="Y847" t="s">
        <v>131</v>
      </c>
      <c r="Z847" t="s">
        <v>197</v>
      </c>
      <c r="AA847">
        <v>1</v>
      </c>
      <c r="AB847" t="s">
        <v>3089</v>
      </c>
      <c r="AC847" t="s">
        <v>3090</v>
      </c>
      <c r="AD847" t="s">
        <v>3091</v>
      </c>
      <c r="AE847" t="s">
        <v>3092</v>
      </c>
      <c r="AF847" t="s">
        <v>3093</v>
      </c>
      <c r="AG847" t="s">
        <v>66</v>
      </c>
      <c r="AH847" t="s">
        <v>66</v>
      </c>
      <c r="AI847" t="s">
        <v>66</v>
      </c>
      <c r="AJ847" t="s">
        <v>66</v>
      </c>
      <c r="AK847">
        <v>1</v>
      </c>
      <c r="AL847" t="s">
        <v>66</v>
      </c>
      <c r="AM847" t="s">
        <v>66</v>
      </c>
      <c r="AN847" t="s">
        <v>66</v>
      </c>
      <c r="AO847" t="s">
        <v>66</v>
      </c>
      <c r="AP847">
        <v>1</v>
      </c>
      <c r="AQ847" t="s">
        <v>66</v>
      </c>
      <c r="AR847" t="s">
        <v>66</v>
      </c>
      <c r="AS847" t="s">
        <v>66</v>
      </c>
      <c r="AT847" t="s">
        <v>66</v>
      </c>
    </row>
    <row r="848" spans="1:46" x14ac:dyDescent="0.15">
      <c r="A848" t="s">
        <v>3193</v>
      </c>
      <c r="B848" t="s">
        <v>3080</v>
      </c>
      <c r="C848" t="s">
        <v>3081</v>
      </c>
      <c r="D848">
        <v>22</v>
      </c>
      <c r="E848" t="s">
        <v>3082</v>
      </c>
      <c r="F848" t="s">
        <v>3083</v>
      </c>
      <c r="G848" t="s">
        <v>51</v>
      </c>
      <c r="H848" t="s">
        <v>3084</v>
      </c>
      <c r="I848" t="s">
        <v>1553</v>
      </c>
      <c r="J848" t="s">
        <v>54</v>
      </c>
      <c r="K848" t="s">
        <v>1555</v>
      </c>
      <c r="L848" t="s">
        <v>17</v>
      </c>
      <c r="M848" t="s">
        <v>18</v>
      </c>
      <c r="N848">
        <v>1679</v>
      </c>
      <c r="O848">
        <v>95</v>
      </c>
      <c r="P848">
        <v>0</v>
      </c>
      <c r="Q848" t="s">
        <v>3194</v>
      </c>
      <c r="R848" t="s">
        <v>3195</v>
      </c>
      <c r="S848" t="s">
        <v>3196</v>
      </c>
      <c r="T848" t="s">
        <v>3197</v>
      </c>
      <c r="U848" t="s">
        <v>60</v>
      </c>
      <c r="V848" t="s">
        <v>61</v>
      </c>
      <c r="W848">
        <v>5</v>
      </c>
      <c r="X848">
        <v>0.14874999999999999</v>
      </c>
      <c r="Y848" t="s">
        <v>203</v>
      </c>
      <c r="Z848" t="s">
        <v>204</v>
      </c>
      <c r="AA848">
        <v>1</v>
      </c>
      <c r="AB848" t="s">
        <v>3089</v>
      </c>
      <c r="AC848" t="s">
        <v>3090</v>
      </c>
      <c r="AD848" t="s">
        <v>3091</v>
      </c>
      <c r="AE848" t="s">
        <v>3092</v>
      </c>
      <c r="AF848" t="s">
        <v>3093</v>
      </c>
      <c r="AG848" t="s">
        <v>66</v>
      </c>
      <c r="AH848" t="s">
        <v>66</v>
      </c>
      <c r="AI848" t="s">
        <v>66</v>
      </c>
      <c r="AJ848" t="s">
        <v>66</v>
      </c>
      <c r="AK848">
        <v>1</v>
      </c>
      <c r="AL848" t="s">
        <v>66</v>
      </c>
      <c r="AM848" t="s">
        <v>66</v>
      </c>
      <c r="AN848" t="s">
        <v>66</v>
      </c>
      <c r="AO848" t="s">
        <v>66</v>
      </c>
      <c r="AP848">
        <v>1</v>
      </c>
      <c r="AQ848" t="s">
        <v>66</v>
      </c>
      <c r="AR848" t="s">
        <v>66</v>
      </c>
      <c r="AS848" t="s">
        <v>66</v>
      </c>
      <c r="AT848" t="s">
        <v>66</v>
      </c>
    </row>
    <row r="849" spans="1:46" x14ac:dyDescent="0.15">
      <c r="A849" t="s">
        <v>3198</v>
      </c>
      <c r="B849" t="s">
        <v>3080</v>
      </c>
      <c r="C849" t="s">
        <v>3081</v>
      </c>
      <c r="D849">
        <v>23</v>
      </c>
      <c r="E849" t="s">
        <v>3082</v>
      </c>
      <c r="F849" t="s">
        <v>3083</v>
      </c>
      <c r="G849" t="s">
        <v>51</v>
      </c>
      <c r="H849" t="s">
        <v>3084</v>
      </c>
      <c r="I849" t="s">
        <v>1553</v>
      </c>
      <c r="J849" t="s">
        <v>54</v>
      </c>
      <c r="K849" t="s">
        <v>1555</v>
      </c>
      <c r="L849" t="s">
        <v>17</v>
      </c>
      <c r="M849" t="s">
        <v>18</v>
      </c>
      <c r="N849">
        <v>1735</v>
      </c>
      <c r="O849">
        <v>98</v>
      </c>
      <c r="P849">
        <v>0</v>
      </c>
      <c r="Q849" t="s">
        <v>3199</v>
      </c>
      <c r="R849" t="s">
        <v>3200</v>
      </c>
      <c r="S849" t="s">
        <v>3201</v>
      </c>
      <c r="T849" t="s">
        <v>3202</v>
      </c>
      <c r="U849" t="s">
        <v>60</v>
      </c>
      <c r="V849" t="s">
        <v>61</v>
      </c>
      <c r="W849">
        <v>5</v>
      </c>
      <c r="X849">
        <v>0.14874999999999999</v>
      </c>
      <c r="Y849" t="s">
        <v>138</v>
      </c>
      <c r="Z849" t="s">
        <v>210</v>
      </c>
      <c r="AA849">
        <v>1</v>
      </c>
      <c r="AB849" t="s">
        <v>3089</v>
      </c>
      <c r="AC849" t="s">
        <v>3090</v>
      </c>
      <c r="AD849" t="s">
        <v>3091</v>
      </c>
      <c r="AE849" t="s">
        <v>3092</v>
      </c>
      <c r="AF849" t="s">
        <v>3093</v>
      </c>
      <c r="AG849" t="s">
        <v>66</v>
      </c>
      <c r="AH849" t="s">
        <v>66</v>
      </c>
      <c r="AI849" t="s">
        <v>66</v>
      </c>
      <c r="AJ849" t="s">
        <v>66</v>
      </c>
      <c r="AK849">
        <v>1</v>
      </c>
      <c r="AL849" t="s">
        <v>66</v>
      </c>
      <c r="AM849" t="s">
        <v>66</v>
      </c>
      <c r="AN849" t="s">
        <v>66</v>
      </c>
      <c r="AO849" t="s">
        <v>66</v>
      </c>
      <c r="AP849">
        <v>1</v>
      </c>
      <c r="AQ849" t="s">
        <v>66</v>
      </c>
      <c r="AR849" t="s">
        <v>66</v>
      </c>
      <c r="AS849" t="s">
        <v>66</v>
      </c>
      <c r="AT849" t="s">
        <v>66</v>
      </c>
    </row>
    <row r="850" spans="1:46" x14ac:dyDescent="0.15">
      <c r="A850" t="s">
        <v>3203</v>
      </c>
      <c r="B850" t="s">
        <v>3080</v>
      </c>
      <c r="C850" t="s">
        <v>3081</v>
      </c>
      <c r="D850">
        <v>24</v>
      </c>
      <c r="E850" t="s">
        <v>3082</v>
      </c>
      <c r="F850" t="s">
        <v>3083</v>
      </c>
      <c r="G850" t="s">
        <v>51</v>
      </c>
      <c r="H850" t="s">
        <v>3084</v>
      </c>
      <c r="I850" t="s">
        <v>1553</v>
      </c>
      <c r="J850" t="s">
        <v>54</v>
      </c>
      <c r="K850" t="s">
        <v>1555</v>
      </c>
      <c r="L850" t="s">
        <v>17</v>
      </c>
      <c r="M850" t="s">
        <v>18</v>
      </c>
      <c r="N850">
        <v>1791</v>
      </c>
      <c r="O850">
        <v>101</v>
      </c>
      <c r="P850">
        <v>0</v>
      </c>
      <c r="Q850" t="s">
        <v>3204</v>
      </c>
      <c r="R850" t="s">
        <v>3205</v>
      </c>
      <c r="S850" t="s">
        <v>3206</v>
      </c>
      <c r="T850" t="s">
        <v>3207</v>
      </c>
      <c r="U850" t="s">
        <v>60</v>
      </c>
      <c r="V850" t="s">
        <v>61</v>
      </c>
      <c r="W850">
        <v>5</v>
      </c>
      <c r="X850">
        <v>0.14874999999999999</v>
      </c>
      <c r="Y850" t="s">
        <v>216</v>
      </c>
      <c r="Z850" t="s">
        <v>217</v>
      </c>
      <c r="AA850">
        <v>1</v>
      </c>
      <c r="AB850" t="s">
        <v>3089</v>
      </c>
      <c r="AC850" t="s">
        <v>3090</v>
      </c>
      <c r="AD850" t="s">
        <v>3091</v>
      </c>
      <c r="AE850" t="s">
        <v>3092</v>
      </c>
      <c r="AF850" t="s">
        <v>3093</v>
      </c>
      <c r="AG850" t="s">
        <v>66</v>
      </c>
      <c r="AH850" t="s">
        <v>66</v>
      </c>
      <c r="AI850" t="s">
        <v>66</v>
      </c>
      <c r="AJ850" t="s">
        <v>66</v>
      </c>
      <c r="AK850">
        <v>1</v>
      </c>
      <c r="AL850" t="s">
        <v>66</v>
      </c>
      <c r="AM850" t="s">
        <v>66</v>
      </c>
      <c r="AN850" t="s">
        <v>66</v>
      </c>
      <c r="AO850" t="s">
        <v>66</v>
      </c>
      <c r="AP850">
        <v>1</v>
      </c>
      <c r="AQ850" t="s">
        <v>66</v>
      </c>
      <c r="AR850" t="s">
        <v>66</v>
      </c>
      <c r="AS850" t="s">
        <v>66</v>
      </c>
      <c r="AT850" t="s">
        <v>66</v>
      </c>
    </row>
    <row r="851" spans="1:46" x14ac:dyDescent="0.15">
      <c r="A851" t="s">
        <v>3208</v>
      </c>
      <c r="B851" t="s">
        <v>3080</v>
      </c>
      <c r="C851" t="s">
        <v>3081</v>
      </c>
      <c r="D851">
        <v>25</v>
      </c>
      <c r="E851" t="s">
        <v>3082</v>
      </c>
      <c r="F851" t="s">
        <v>3083</v>
      </c>
      <c r="G851" t="s">
        <v>51</v>
      </c>
      <c r="H851" t="s">
        <v>3084</v>
      </c>
      <c r="I851" t="s">
        <v>1553</v>
      </c>
      <c r="J851" t="s">
        <v>54</v>
      </c>
      <c r="K851" t="s">
        <v>1555</v>
      </c>
      <c r="L851" t="s">
        <v>17</v>
      </c>
      <c r="M851" t="s">
        <v>18</v>
      </c>
      <c r="N851">
        <v>1847</v>
      </c>
      <c r="O851">
        <v>104</v>
      </c>
      <c r="P851">
        <v>0</v>
      </c>
      <c r="Q851" t="s">
        <v>3209</v>
      </c>
      <c r="R851" t="s">
        <v>3210</v>
      </c>
      <c r="S851" t="s">
        <v>3211</v>
      </c>
      <c r="T851" t="s">
        <v>3212</v>
      </c>
      <c r="U851" t="s">
        <v>60</v>
      </c>
      <c r="V851" t="s">
        <v>61</v>
      </c>
      <c r="W851">
        <v>5</v>
      </c>
      <c r="X851">
        <v>0.14874999999999999</v>
      </c>
      <c r="Y851" t="s">
        <v>144</v>
      </c>
      <c r="Z851" t="s">
        <v>223</v>
      </c>
      <c r="AA851">
        <v>1</v>
      </c>
      <c r="AB851" t="s">
        <v>3089</v>
      </c>
      <c r="AC851" t="s">
        <v>3090</v>
      </c>
      <c r="AD851" t="s">
        <v>3091</v>
      </c>
      <c r="AE851" t="s">
        <v>3092</v>
      </c>
      <c r="AF851" t="s">
        <v>3093</v>
      </c>
      <c r="AG851" t="s">
        <v>66</v>
      </c>
      <c r="AH851" t="s">
        <v>66</v>
      </c>
      <c r="AI851" t="s">
        <v>66</v>
      </c>
      <c r="AJ851" t="s">
        <v>66</v>
      </c>
      <c r="AK851">
        <v>1</v>
      </c>
      <c r="AL851" t="s">
        <v>66</v>
      </c>
      <c r="AM851" t="s">
        <v>66</v>
      </c>
      <c r="AN851" t="s">
        <v>66</v>
      </c>
      <c r="AO851" t="s">
        <v>66</v>
      </c>
      <c r="AP851">
        <v>1</v>
      </c>
      <c r="AQ851" t="s">
        <v>66</v>
      </c>
      <c r="AR851" t="s">
        <v>66</v>
      </c>
      <c r="AS851" t="s">
        <v>66</v>
      </c>
      <c r="AT851" t="s">
        <v>66</v>
      </c>
    </row>
    <row r="852" spans="1:46" x14ac:dyDescent="0.15">
      <c r="A852" t="s">
        <v>3213</v>
      </c>
      <c r="B852" t="s">
        <v>3080</v>
      </c>
      <c r="C852" t="s">
        <v>3081</v>
      </c>
      <c r="D852">
        <v>26</v>
      </c>
      <c r="E852" t="s">
        <v>3082</v>
      </c>
      <c r="F852" t="s">
        <v>3083</v>
      </c>
      <c r="G852" t="s">
        <v>51</v>
      </c>
      <c r="H852" t="s">
        <v>3084</v>
      </c>
      <c r="I852" t="s">
        <v>1553</v>
      </c>
      <c r="J852" t="s">
        <v>54</v>
      </c>
      <c r="K852" t="s">
        <v>1555</v>
      </c>
      <c r="L852" t="s">
        <v>17</v>
      </c>
      <c r="M852" t="s">
        <v>18</v>
      </c>
      <c r="N852">
        <v>1903</v>
      </c>
      <c r="O852">
        <v>107</v>
      </c>
      <c r="P852">
        <v>0</v>
      </c>
      <c r="Q852" t="s">
        <v>3214</v>
      </c>
      <c r="R852" t="s">
        <v>3215</v>
      </c>
      <c r="S852" t="s">
        <v>3216</v>
      </c>
      <c r="T852" t="s">
        <v>3217</v>
      </c>
      <c r="U852" t="s">
        <v>60</v>
      </c>
      <c r="V852" t="s">
        <v>61</v>
      </c>
      <c r="W852">
        <v>5</v>
      </c>
      <c r="X852">
        <v>0.14874999999999999</v>
      </c>
      <c r="Y852" t="s">
        <v>229</v>
      </c>
      <c r="Z852" t="s">
        <v>230</v>
      </c>
      <c r="AA852">
        <v>1</v>
      </c>
      <c r="AB852" t="s">
        <v>3089</v>
      </c>
      <c r="AC852" t="s">
        <v>3090</v>
      </c>
      <c r="AD852" t="s">
        <v>3091</v>
      </c>
      <c r="AE852" t="s">
        <v>3092</v>
      </c>
      <c r="AF852" t="s">
        <v>3093</v>
      </c>
      <c r="AG852" t="s">
        <v>66</v>
      </c>
      <c r="AH852" t="s">
        <v>66</v>
      </c>
      <c r="AI852" t="s">
        <v>66</v>
      </c>
      <c r="AJ852" t="s">
        <v>66</v>
      </c>
      <c r="AK852">
        <v>1</v>
      </c>
      <c r="AL852" t="s">
        <v>66</v>
      </c>
      <c r="AM852" t="s">
        <v>66</v>
      </c>
      <c r="AN852" t="s">
        <v>66</v>
      </c>
      <c r="AO852" t="s">
        <v>66</v>
      </c>
      <c r="AP852">
        <v>1</v>
      </c>
      <c r="AQ852" t="s">
        <v>66</v>
      </c>
      <c r="AR852" t="s">
        <v>66</v>
      </c>
      <c r="AS852" t="s">
        <v>66</v>
      </c>
      <c r="AT852" t="s">
        <v>66</v>
      </c>
    </row>
    <row r="853" spans="1:46" x14ac:dyDescent="0.15">
      <c r="A853" t="s">
        <v>3218</v>
      </c>
      <c r="B853" t="s">
        <v>3080</v>
      </c>
      <c r="C853" t="s">
        <v>3081</v>
      </c>
      <c r="D853">
        <v>27</v>
      </c>
      <c r="E853" t="s">
        <v>3082</v>
      </c>
      <c r="F853" t="s">
        <v>3083</v>
      </c>
      <c r="G853" t="s">
        <v>51</v>
      </c>
      <c r="H853" t="s">
        <v>3084</v>
      </c>
      <c r="I853" t="s">
        <v>1553</v>
      </c>
      <c r="J853" t="s">
        <v>54</v>
      </c>
      <c r="K853" t="s">
        <v>1555</v>
      </c>
      <c r="L853" t="s">
        <v>17</v>
      </c>
      <c r="M853" t="s">
        <v>18</v>
      </c>
      <c r="N853">
        <v>1959</v>
      </c>
      <c r="O853">
        <v>111</v>
      </c>
      <c r="P853">
        <v>0</v>
      </c>
      <c r="Q853" t="s">
        <v>3219</v>
      </c>
      <c r="R853" t="s">
        <v>3220</v>
      </c>
      <c r="S853" t="s">
        <v>3221</v>
      </c>
      <c r="T853" t="s">
        <v>3222</v>
      </c>
      <c r="U853" t="s">
        <v>60</v>
      </c>
      <c r="V853" t="s">
        <v>61</v>
      </c>
      <c r="W853">
        <v>5</v>
      </c>
      <c r="X853">
        <v>0.14874999999999999</v>
      </c>
      <c r="Y853" t="s">
        <v>151</v>
      </c>
      <c r="Z853" t="s">
        <v>236</v>
      </c>
      <c r="AA853">
        <v>1</v>
      </c>
      <c r="AB853" t="s">
        <v>3089</v>
      </c>
      <c r="AC853" t="s">
        <v>3090</v>
      </c>
      <c r="AD853" t="s">
        <v>3091</v>
      </c>
      <c r="AE853" t="s">
        <v>3092</v>
      </c>
      <c r="AF853" t="s">
        <v>3093</v>
      </c>
      <c r="AG853" t="s">
        <v>66</v>
      </c>
      <c r="AH853" t="s">
        <v>66</v>
      </c>
      <c r="AI853" t="s">
        <v>66</v>
      </c>
      <c r="AJ853" t="s">
        <v>66</v>
      </c>
      <c r="AK853">
        <v>1</v>
      </c>
      <c r="AL853" t="s">
        <v>66</v>
      </c>
      <c r="AM853" t="s">
        <v>66</v>
      </c>
      <c r="AN853" t="s">
        <v>66</v>
      </c>
      <c r="AO853" t="s">
        <v>66</v>
      </c>
      <c r="AP853">
        <v>1</v>
      </c>
      <c r="AQ853" t="s">
        <v>66</v>
      </c>
      <c r="AR853" t="s">
        <v>66</v>
      </c>
      <c r="AS853" t="s">
        <v>66</v>
      </c>
      <c r="AT853" t="s">
        <v>66</v>
      </c>
    </row>
    <row r="854" spans="1:46" x14ac:dyDescent="0.15">
      <c r="A854" t="s">
        <v>3223</v>
      </c>
      <c r="B854" t="s">
        <v>3080</v>
      </c>
      <c r="C854" t="s">
        <v>3081</v>
      </c>
      <c r="D854">
        <v>28</v>
      </c>
      <c r="E854" t="s">
        <v>3082</v>
      </c>
      <c r="F854" t="s">
        <v>3083</v>
      </c>
      <c r="G854" t="s">
        <v>51</v>
      </c>
      <c r="H854" t="s">
        <v>3084</v>
      </c>
      <c r="I854" t="s">
        <v>1553</v>
      </c>
      <c r="J854" t="s">
        <v>54</v>
      </c>
      <c r="K854" t="s">
        <v>1555</v>
      </c>
      <c r="L854" t="s">
        <v>17</v>
      </c>
      <c r="M854" t="s">
        <v>18</v>
      </c>
      <c r="N854">
        <v>2015</v>
      </c>
      <c r="O854">
        <v>114</v>
      </c>
      <c r="P854">
        <v>0</v>
      </c>
      <c r="Q854" t="s">
        <v>3224</v>
      </c>
      <c r="R854" t="s">
        <v>3225</v>
      </c>
      <c r="S854" t="s">
        <v>3226</v>
      </c>
      <c r="T854" t="s">
        <v>3227</v>
      </c>
      <c r="U854" t="s">
        <v>60</v>
      </c>
      <c r="V854" t="s">
        <v>61</v>
      </c>
      <c r="W854">
        <v>5</v>
      </c>
      <c r="X854">
        <v>0.14874999999999999</v>
      </c>
      <c r="Y854" t="s">
        <v>242</v>
      </c>
      <c r="Z854" t="s">
        <v>243</v>
      </c>
      <c r="AA854">
        <v>1</v>
      </c>
      <c r="AB854" t="s">
        <v>3089</v>
      </c>
      <c r="AC854" t="s">
        <v>3090</v>
      </c>
      <c r="AD854" t="s">
        <v>3091</v>
      </c>
      <c r="AE854" t="s">
        <v>3092</v>
      </c>
      <c r="AF854" t="s">
        <v>3093</v>
      </c>
      <c r="AG854" t="s">
        <v>66</v>
      </c>
      <c r="AH854" t="s">
        <v>66</v>
      </c>
      <c r="AI854" t="s">
        <v>66</v>
      </c>
      <c r="AJ854" t="s">
        <v>66</v>
      </c>
      <c r="AK854">
        <v>1</v>
      </c>
      <c r="AL854" t="s">
        <v>66</v>
      </c>
      <c r="AM854" t="s">
        <v>66</v>
      </c>
      <c r="AN854" t="s">
        <v>66</v>
      </c>
      <c r="AO854" t="s">
        <v>66</v>
      </c>
      <c r="AP854">
        <v>1</v>
      </c>
      <c r="AQ854" t="s">
        <v>66</v>
      </c>
      <c r="AR854" t="s">
        <v>66</v>
      </c>
      <c r="AS854" t="s">
        <v>66</v>
      </c>
      <c r="AT854" t="s">
        <v>66</v>
      </c>
    </row>
    <row r="855" spans="1:46" x14ac:dyDescent="0.15">
      <c r="A855" t="s">
        <v>3228</v>
      </c>
      <c r="B855" t="s">
        <v>3080</v>
      </c>
      <c r="C855" t="s">
        <v>3081</v>
      </c>
      <c r="D855">
        <v>29</v>
      </c>
      <c r="E855" t="s">
        <v>3082</v>
      </c>
      <c r="F855" t="s">
        <v>3083</v>
      </c>
      <c r="G855" t="s">
        <v>51</v>
      </c>
      <c r="H855" t="s">
        <v>3084</v>
      </c>
      <c r="I855" t="s">
        <v>1553</v>
      </c>
      <c r="J855" t="s">
        <v>54</v>
      </c>
      <c r="K855" t="s">
        <v>1555</v>
      </c>
      <c r="L855" t="s">
        <v>17</v>
      </c>
      <c r="M855" t="s">
        <v>18</v>
      </c>
      <c r="N855">
        <v>2071</v>
      </c>
      <c r="O855">
        <v>117</v>
      </c>
      <c r="P855">
        <v>0</v>
      </c>
      <c r="Q855" t="s">
        <v>3229</v>
      </c>
      <c r="R855" t="s">
        <v>3230</v>
      </c>
      <c r="S855" t="s">
        <v>3231</v>
      </c>
      <c r="T855" t="s">
        <v>3232</v>
      </c>
      <c r="U855" t="s">
        <v>60</v>
      </c>
      <c r="V855" t="s">
        <v>61</v>
      </c>
      <c r="W855">
        <v>5</v>
      </c>
      <c r="X855">
        <v>0.14874999999999999</v>
      </c>
      <c r="Y855" t="s">
        <v>157</v>
      </c>
      <c r="Z855" t="s">
        <v>249</v>
      </c>
      <c r="AA855">
        <v>1</v>
      </c>
      <c r="AB855" t="s">
        <v>3089</v>
      </c>
      <c r="AC855" t="s">
        <v>3090</v>
      </c>
      <c r="AD855" t="s">
        <v>3091</v>
      </c>
      <c r="AE855" t="s">
        <v>3092</v>
      </c>
      <c r="AF855" t="s">
        <v>3093</v>
      </c>
      <c r="AG855" t="s">
        <v>66</v>
      </c>
      <c r="AH855" t="s">
        <v>66</v>
      </c>
      <c r="AI855" t="s">
        <v>66</v>
      </c>
      <c r="AJ855" t="s">
        <v>66</v>
      </c>
      <c r="AK855">
        <v>1</v>
      </c>
      <c r="AL855" t="s">
        <v>66</v>
      </c>
      <c r="AM855" t="s">
        <v>66</v>
      </c>
      <c r="AN855" t="s">
        <v>66</v>
      </c>
      <c r="AO855" t="s">
        <v>66</v>
      </c>
      <c r="AP855">
        <v>1</v>
      </c>
      <c r="AQ855" t="s">
        <v>66</v>
      </c>
      <c r="AR855" t="s">
        <v>66</v>
      </c>
      <c r="AS855" t="s">
        <v>66</v>
      </c>
      <c r="AT855" t="s">
        <v>66</v>
      </c>
    </row>
    <row r="856" spans="1:46" x14ac:dyDescent="0.15">
      <c r="A856" t="s">
        <v>3233</v>
      </c>
      <c r="B856" t="s">
        <v>3080</v>
      </c>
      <c r="C856" t="s">
        <v>3081</v>
      </c>
      <c r="D856">
        <v>30</v>
      </c>
      <c r="E856" t="s">
        <v>3082</v>
      </c>
      <c r="F856" t="s">
        <v>3083</v>
      </c>
      <c r="G856" t="s">
        <v>51</v>
      </c>
      <c r="H856" t="s">
        <v>3084</v>
      </c>
      <c r="I856" t="s">
        <v>1553</v>
      </c>
      <c r="J856" t="s">
        <v>54</v>
      </c>
      <c r="K856" t="s">
        <v>1555</v>
      </c>
      <c r="L856" t="s">
        <v>17</v>
      </c>
      <c r="M856" t="s">
        <v>18</v>
      </c>
      <c r="N856">
        <v>2128</v>
      </c>
      <c r="O856">
        <v>120</v>
      </c>
      <c r="P856">
        <v>0</v>
      </c>
      <c r="Q856" t="s">
        <v>3234</v>
      </c>
      <c r="R856" t="s">
        <v>3235</v>
      </c>
      <c r="S856" t="s">
        <v>3236</v>
      </c>
      <c r="T856" t="s">
        <v>3237</v>
      </c>
      <c r="U856" t="s">
        <v>60</v>
      </c>
      <c r="V856" t="s">
        <v>61</v>
      </c>
      <c r="W856">
        <v>5</v>
      </c>
      <c r="X856">
        <v>0.14874999999999999</v>
      </c>
      <c r="Y856" t="s">
        <v>255</v>
      </c>
      <c r="Z856" t="s">
        <v>256</v>
      </c>
      <c r="AA856">
        <v>1</v>
      </c>
      <c r="AB856" t="s">
        <v>3089</v>
      </c>
      <c r="AC856" t="s">
        <v>3090</v>
      </c>
      <c r="AD856" t="s">
        <v>3091</v>
      </c>
      <c r="AE856" t="s">
        <v>3092</v>
      </c>
      <c r="AF856" t="s">
        <v>3093</v>
      </c>
      <c r="AG856" t="s">
        <v>66</v>
      </c>
      <c r="AH856" t="s">
        <v>66</v>
      </c>
      <c r="AI856" t="s">
        <v>66</v>
      </c>
      <c r="AJ856" t="s">
        <v>66</v>
      </c>
      <c r="AK856">
        <v>1</v>
      </c>
      <c r="AL856" t="s">
        <v>66</v>
      </c>
      <c r="AM856" t="s">
        <v>66</v>
      </c>
      <c r="AN856" t="s">
        <v>66</v>
      </c>
      <c r="AO856" t="s">
        <v>66</v>
      </c>
      <c r="AP856">
        <v>1</v>
      </c>
      <c r="AQ856" t="s">
        <v>66</v>
      </c>
      <c r="AR856" t="s">
        <v>66</v>
      </c>
      <c r="AS856" t="s">
        <v>66</v>
      </c>
      <c r="AT856" t="s">
        <v>66</v>
      </c>
    </row>
    <row r="857" spans="1:46" x14ac:dyDescent="0.15">
      <c r="A857" t="s">
        <v>3238</v>
      </c>
      <c r="B857" t="s">
        <v>3080</v>
      </c>
      <c r="C857" t="s">
        <v>3081</v>
      </c>
      <c r="D857">
        <v>31</v>
      </c>
      <c r="E857" t="s">
        <v>3082</v>
      </c>
      <c r="F857" t="s">
        <v>3083</v>
      </c>
      <c r="G857" t="s">
        <v>51</v>
      </c>
      <c r="H857" t="s">
        <v>3084</v>
      </c>
      <c r="I857" t="s">
        <v>1553</v>
      </c>
      <c r="J857" t="s">
        <v>54</v>
      </c>
      <c r="K857" t="s">
        <v>1555</v>
      </c>
      <c r="L857" t="s">
        <v>17</v>
      </c>
      <c r="M857" t="s">
        <v>18</v>
      </c>
      <c r="N857">
        <v>2184</v>
      </c>
      <c r="O857">
        <v>123</v>
      </c>
      <c r="P857">
        <v>0</v>
      </c>
      <c r="Q857" t="s">
        <v>3239</v>
      </c>
      <c r="R857" t="s">
        <v>3240</v>
      </c>
      <c r="S857" t="s">
        <v>3241</v>
      </c>
      <c r="T857" t="s">
        <v>3242</v>
      </c>
      <c r="U857" t="s">
        <v>60</v>
      </c>
      <c r="V857" t="s">
        <v>61</v>
      </c>
      <c r="W857">
        <v>5</v>
      </c>
      <c r="X857">
        <v>0.14874999999999999</v>
      </c>
      <c r="Y857" t="s">
        <v>164</v>
      </c>
      <c r="Z857" t="s">
        <v>262</v>
      </c>
      <c r="AA857">
        <v>1</v>
      </c>
      <c r="AB857" t="s">
        <v>3089</v>
      </c>
      <c r="AC857" t="s">
        <v>3090</v>
      </c>
      <c r="AD857" t="s">
        <v>3091</v>
      </c>
      <c r="AE857" t="s">
        <v>3092</v>
      </c>
      <c r="AF857" t="s">
        <v>3093</v>
      </c>
      <c r="AG857" t="s">
        <v>66</v>
      </c>
      <c r="AH857" t="s">
        <v>66</v>
      </c>
      <c r="AI857" t="s">
        <v>66</v>
      </c>
      <c r="AJ857" t="s">
        <v>66</v>
      </c>
      <c r="AK857">
        <v>1</v>
      </c>
      <c r="AL857" t="s">
        <v>66</v>
      </c>
      <c r="AM857" t="s">
        <v>66</v>
      </c>
      <c r="AN857" t="s">
        <v>66</v>
      </c>
      <c r="AO857" t="s">
        <v>66</v>
      </c>
      <c r="AP857">
        <v>1</v>
      </c>
      <c r="AQ857" t="s">
        <v>66</v>
      </c>
      <c r="AR857" t="s">
        <v>66</v>
      </c>
      <c r="AS857" t="s">
        <v>66</v>
      </c>
      <c r="AT857" t="s">
        <v>66</v>
      </c>
    </row>
    <row r="858" spans="1:46" x14ac:dyDescent="0.15">
      <c r="A858" t="s">
        <v>3243</v>
      </c>
      <c r="B858" t="s">
        <v>3080</v>
      </c>
      <c r="C858" t="s">
        <v>3081</v>
      </c>
      <c r="D858">
        <v>32</v>
      </c>
      <c r="E858" t="s">
        <v>3082</v>
      </c>
      <c r="F858" t="s">
        <v>3083</v>
      </c>
      <c r="G858" t="s">
        <v>51</v>
      </c>
      <c r="H858" t="s">
        <v>3084</v>
      </c>
      <c r="I858" t="s">
        <v>1553</v>
      </c>
      <c r="J858" t="s">
        <v>54</v>
      </c>
      <c r="K858" t="s">
        <v>1555</v>
      </c>
      <c r="L858" t="s">
        <v>17</v>
      </c>
      <c r="M858" t="s">
        <v>18</v>
      </c>
      <c r="N858">
        <v>2240</v>
      </c>
      <c r="O858">
        <v>126</v>
      </c>
      <c r="P858">
        <v>0</v>
      </c>
      <c r="Q858" t="s">
        <v>3244</v>
      </c>
      <c r="R858" t="s">
        <v>3245</v>
      </c>
      <c r="S858" t="s">
        <v>3246</v>
      </c>
      <c r="T858" t="s">
        <v>3247</v>
      </c>
      <c r="U858" t="s">
        <v>60</v>
      </c>
      <c r="V858" t="s">
        <v>61</v>
      </c>
      <c r="W858">
        <v>5</v>
      </c>
      <c r="X858">
        <v>0.14874999999999999</v>
      </c>
      <c r="Y858" t="s">
        <v>268</v>
      </c>
      <c r="Z858" t="s">
        <v>269</v>
      </c>
      <c r="AA858">
        <v>1</v>
      </c>
      <c r="AB858" t="s">
        <v>3089</v>
      </c>
      <c r="AC858" t="s">
        <v>3090</v>
      </c>
      <c r="AD858" t="s">
        <v>3091</v>
      </c>
      <c r="AE858" t="s">
        <v>3092</v>
      </c>
      <c r="AF858" t="s">
        <v>3093</v>
      </c>
      <c r="AG858" t="s">
        <v>66</v>
      </c>
      <c r="AH858" t="s">
        <v>66</v>
      </c>
      <c r="AI858" t="s">
        <v>66</v>
      </c>
      <c r="AJ858" t="s">
        <v>66</v>
      </c>
      <c r="AK858">
        <v>1</v>
      </c>
      <c r="AL858" t="s">
        <v>66</v>
      </c>
      <c r="AM858" t="s">
        <v>66</v>
      </c>
      <c r="AN858" t="s">
        <v>66</v>
      </c>
      <c r="AO858" t="s">
        <v>66</v>
      </c>
      <c r="AP858">
        <v>1</v>
      </c>
      <c r="AQ858" t="s">
        <v>66</v>
      </c>
      <c r="AR858" t="s">
        <v>66</v>
      </c>
      <c r="AS858" t="s">
        <v>66</v>
      </c>
      <c r="AT858" t="s">
        <v>66</v>
      </c>
    </row>
    <row r="859" spans="1:46" x14ac:dyDescent="0.15">
      <c r="A859" t="s">
        <v>3248</v>
      </c>
      <c r="B859" t="s">
        <v>3080</v>
      </c>
      <c r="C859" t="s">
        <v>3081</v>
      </c>
      <c r="D859">
        <v>33</v>
      </c>
      <c r="E859" t="s">
        <v>3082</v>
      </c>
      <c r="F859" t="s">
        <v>3083</v>
      </c>
      <c r="G859" t="s">
        <v>51</v>
      </c>
      <c r="H859" t="s">
        <v>3084</v>
      </c>
      <c r="I859" t="s">
        <v>1553</v>
      </c>
      <c r="J859" t="s">
        <v>54</v>
      </c>
      <c r="K859" t="s">
        <v>1555</v>
      </c>
      <c r="L859" t="s">
        <v>17</v>
      </c>
      <c r="M859" t="s">
        <v>18</v>
      </c>
      <c r="N859">
        <v>2296</v>
      </c>
      <c r="O859">
        <v>129</v>
      </c>
      <c r="P859">
        <v>0</v>
      </c>
      <c r="Q859" t="s">
        <v>3249</v>
      </c>
      <c r="R859" t="s">
        <v>3250</v>
      </c>
      <c r="S859" t="s">
        <v>3251</v>
      </c>
      <c r="T859" t="s">
        <v>3252</v>
      </c>
      <c r="U859" t="s">
        <v>60</v>
      </c>
      <c r="V859" t="s">
        <v>61</v>
      </c>
      <c r="W859">
        <v>5</v>
      </c>
      <c r="X859">
        <v>0.14874999999999999</v>
      </c>
      <c r="Y859" t="s">
        <v>170</v>
      </c>
      <c r="Z859" t="s">
        <v>275</v>
      </c>
      <c r="AA859">
        <v>1</v>
      </c>
      <c r="AB859" t="s">
        <v>3089</v>
      </c>
      <c r="AC859" t="s">
        <v>3090</v>
      </c>
      <c r="AD859" t="s">
        <v>3091</v>
      </c>
      <c r="AE859" t="s">
        <v>3092</v>
      </c>
      <c r="AF859" t="s">
        <v>3093</v>
      </c>
      <c r="AG859" t="s">
        <v>66</v>
      </c>
      <c r="AH859" t="s">
        <v>66</v>
      </c>
      <c r="AI859" t="s">
        <v>66</v>
      </c>
      <c r="AJ859" t="s">
        <v>66</v>
      </c>
      <c r="AK859">
        <v>1</v>
      </c>
      <c r="AL859" t="s">
        <v>66</v>
      </c>
      <c r="AM859" t="s">
        <v>66</v>
      </c>
      <c r="AN859" t="s">
        <v>66</v>
      </c>
      <c r="AO859" t="s">
        <v>66</v>
      </c>
      <c r="AP859">
        <v>1</v>
      </c>
      <c r="AQ859" t="s">
        <v>66</v>
      </c>
      <c r="AR859" t="s">
        <v>66</v>
      </c>
      <c r="AS859" t="s">
        <v>66</v>
      </c>
      <c r="AT859" t="s">
        <v>66</v>
      </c>
    </row>
    <row r="860" spans="1:46" x14ac:dyDescent="0.15">
      <c r="A860" t="s">
        <v>3253</v>
      </c>
      <c r="B860" t="s">
        <v>3080</v>
      </c>
      <c r="C860" t="s">
        <v>3081</v>
      </c>
      <c r="D860">
        <v>34</v>
      </c>
      <c r="E860" t="s">
        <v>3082</v>
      </c>
      <c r="F860" t="s">
        <v>3083</v>
      </c>
      <c r="G860" t="s">
        <v>51</v>
      </c>
      <c r="H860" t="s">
        <v>3084</v>
      </c>
      <c r="I860" t="s">
        <v>1553</v>
      </c>
      <c r="J860" t="s">
        <v>54</v>
      </c>
      <c r="K860" t="s">
        <v>1555</v>
      </c>
      <c r="L860" t="s">
        <v>17</v>
      </c>
      <c r="M860" t="s">
        <v>18</v>
      </c>
      <c r="N860">
        <v>2352</v>
      </c>
      <c r="O860">
        <v>132</v>
      </c>
      <c r="P860">
        <v>0</v>
      </c>
      <c r="Q860" t="s">
        <v>3254</v>
      </c>
      <c r="R860" t="s">
        <v>3255</v>
      </c>
      <c r="S860" t="s">
        <v>3256</v>
      </c>
      <c r="T860" t="s">
        <v>3257</v>
      </c>
      <c r="U860" t="s">
        <v>60</v>
      </c>
      <c r="V860" t="s">
        <v>61</v>
      </c>
      <c r="W860">
        <v>5</v>
      </c>
      <c r="X860">
        <v>0.14874999999999999</v>
      </c>
      <c r="Y860" t="s">
        <v>281</v>
      </c>
      <c r="Z860" t="s">
        <v>282</v>
      </c>
      <c r="AA860">
        <v>1</v>
      </c>
      <c r="AB860" t="s">
        <v>3089</v>
      </c>
      <c r="AC860" t="s">
        <v>3090</v>
      </c>
      <c r="AD860" t="s">
        <v>3091</v>
      </c>
      <c r="AE860" t="s">
        <v>3092</v>
      </c>
      <c r="AF860" t="s">
        <v>3093</v>
      </c>
      <c r="AG860" t="s">
        <v>66</v>
      </c>
      <c r="AH860" t="s">
        <v>66</v>
      </c>
      <c r="AI860" t="s">
        <v>66</v>
      </c>
      <c r="AJ860" t="s">
        <v>66</v>
      </c>
      <c r="AK860">
        <v>1</v>
      </c>
      <c r="AL860" t="s">
        <v>66</v>
      </c>
      <c r="AM860" t="s">
        <v>66</v>
      </c>
      <c r="AN860" t="s">
        <v>66</v>
      </c>
      <c r="AO860" t="s">
        <v>66</v>
      </c>
      <c r="AP860">
        <v>1</v>
      </c>
      <c r="AQ860" t="s">
        <v>66</v>
      </c>
      <c r="AR860" t="s">
        <v>66</v>
      </c>
      <c r="AS860" t="s">
        <v>66</v>
      </c>
      <c r="AT860" t="s">
        <v>66</v>
      </c>
    </row>
    <row r="861" spans="1:46" x14ac:dyDescent="0.15">
      <c r="A861" t="s">
        <v>3258</v>
      </c>
      <c r="B861" t="s">
        <v>3080</v>
      </c>
      <c r="C861" t="s">
        <v>3081</v>
      </c>
      <c r="D861">
        <v>35</v>
      </c>
      <c r="E861" t="s">
        <v>3082</v>
      </c>
      <c r="F861" t="s">
        <v>3083</v>
      </c>
      <c r="G861" t="s">
        <v>51</v>
      </c>
      <c r="H861" t="s">
        <v>3084</v>
      </c>
      <c r="I861" t="s">
        <v>1553</v>
      </c>
      <c r="J861" t="s">
        <v>54</v>
      </c>
      <c r="K861" t="s">
        <v>1555</v>
      </c>
      <c r="L861" t="s">
        <v>17</v>
      </c>
      <c r="M861" t="s">
        <v>18</v>
      </c>
      <c r="N861">
        <v>2408</v>
      </c>
      <c r="O861">
        <v>135</v>
      </c>
      <c r="P861">
        <v>0</v>
      </c>
      <c r="Q861" t="s">
        <v>3259</v>
      </c>
      <c r="R861" t="s">
        <v>3260</v>
      </c>
      <c r="S861" t="s">
        <v>3261</v>
      </c>
      <c r="T861" t="s">
        <v>3262</v>
      </c>
      <c r="U861" t="s">
        <v>60</v>
      </c>
      <c r="V861" t="s">
        <v>61</v>
      </c>
      <c r="W861">
        <v>5</v>
      </c>
      <c r="X861">
        <v>0.14874999999999999</v>
      </c>
      <c r="Y861" t="s">
        <v>177</v>
      </c>
      <c r="Z861" t="s">
        <v>288</v>
      </c>
      <c r="AA861">
        <v>1</v>
      </c>
      <c r="AB861" t="s">
        <v>3089</v>
      </c>
      <c r="AC861" t="s">
        <v>3090</v>
      </c>
      <c r="AD861" t="s">
        <v>3091</v>
      </c>
      <c r="AE861" t="s">
        <v>3092</v>
      </c>
      <c r="AF861" t="s">
        <v>3093</v>
      </c>
      <c r="AG861" t="s">
        <v>66</v>
      </c>
      <c r="AH861" t="s">
        <v>66</v>
      </c>
      <c r="AI861" t="s">
        <v>66</v>
      </c>
      <c r="AJ861" t="s">
        <v>66</v>
      </c>
      <c r="AK861">
        <v>1</v>
      </c>
      <c r="AL861" t="s">
        <v>66</v>
      </c>
      <c r="AM861" t="s">
        <v>66</v>
      </c>
      <c r="AN861" t="s">
        <v>66</v>
      </c>
      <c r="AO861" t="s">
        <v>66</v>
      </c>
      <c r="AP861">
        <v>1</v>
      </c>
      <c r="AQ861" t="s">
        <v>66</v>
      </c>
      <c r="AR861" t="s">
        <v>66</v>
      </c>
      <c r="AS861" t="s">
        <v>66</v>
      </c>
      <c r="AT861" t="s">
        <v>66</v>
      </c>
    </row>
    <row r="862" spans="1:46" x14ac:dyDescent="0.15">
      <c r="A862" t="s">
        <v>3263</v>
      </c>
      <c r="B862" t="s">
        <v>3080</v>
      </c>
      <c r="C862" t="s">
        <v>3081</v>
      </c>
      <c r="D862">
        <v>36</v>
      </c>
      <c r="E862" t="s">
        <v>3082</v>
      </c>
      <c r="F862" t="s">
        <v>3083</v>
      </c>
      <c r="G862" t="s">
        <v>51</v>
      </c>
      <c r="H862" t="s">
        <v>3084</v>
      </c>
      <c r="I862" t="s">
        <v>1553</v>
      </c>
      <c r="J862" t="s">
        <v>54</v>
      </c>
      <c r="K862" t="s">
        <v>1555</v>
      </c>
      <c r="L862" t="s">
        <v>17</v>
      </c>
      <c r="M862" t="s">
        <v>18</v>
      </c>
      <c r="N862">
        <v>2464</v>
      </c>
      <c r="O862">
        <v>138</v>
      </c>
      <c r="P862">
        <v>0</v>
      </c>
      <c r="Q862" t="s">
        <v>3264</v>
      </c>
      <c r="R862" t="s">
        <v>3265</v>
      </c>
      <c r="S862" t="s">
        <v>3266</v>
      </c>
      <c r="T862" t="s">
        <v>3267</v>
      </c>
      <c r="U862" t="s">
        <v>60</v>
      </c>
      <c r="V862" t="s">
        <v>61</v>
      </c>
      <c r="W862">
        <v>5</v>
      </c>
      <c r="X862">
        <v>0.14874999999999999</v>
      </c>
      <c r="Y862" t="s">
        <v>294</v>
      </c>
      <c r="Z862" t="s">
        <v>295</v>
      </c>
      <c r="AA862">
        <v>1</v>
      </c>
      <c r="AB862" t="s">
        <v>3089</v>
      </c>
      <c r="AC862" t="s">
        <v>3090</v>
      </c>
      <c r="AD862" t="s">
        <v>3091</v>
      </c>
      <c r="AE862" t="s">
        <v>3092</v>
      </c>
      <c r="AF862" t="s">
        <v>3093</v>
      </c>
      <c r="AG862" t="s">
        <v>66</v>
      </c>
      <c r="AH862" t="s">
        <v>66</v>
      </c>
      <c r="AI862" t="s">
        <v>66</v>
      </c>
      <c r="AJ862" t="s">
        <v>66</v>
      </c>
      <c r="AK862">
        <v>1</v>
      </c>
      <c r="AL862" t="s">
        <v>66</v>
      </c>
      <c r="AM862" t="s">
        <v>66</v>
      </c>
      <c r="AN862" t="s">
        <v>66</v>
      </c>
      <c r="AO862" t="s">
        <v>66</v>
      </c>
      <c r="AP862">
        <v>1</v>
      </c>
      <c r="AQ862" t="s">
        <v>66</v>
      </c>
      <c r="AR862" t="s">
        <v>66</v>
      </c>
      <c r="AS862" t="s">
        <v>66</v>
      </c>
      <c r="AT862" t="s">
        <v>66</v>
      </c>
    </row>
    <row r="863" spans="1:46" x14ac:dyDescent="0.15">
      <c r="A863" t="s">
        <v>3268</v>
      </c>
      <c r="B863" t="s">
        <v>3080</v>
      </c>
      <c r="C863" t="s">
        <v>3081</v>
      </c>
      <c r="D863">
        <v>37</v>
      </c>
      <c r="E863" t="s">
        <v>3082</v>
      </c>
      <c r="F863" t="s">
        <v>3083</v>
      </c>
      <c r="G863" t="s">
        <v>51</v>
      </c>
      <c r="H863" t="s">
        <v>3084</v>
      </c>
      <c r="I863" t="s">
        <v>1553</v>
      </c>
      <c r="J863" t="s">
        <v>54</v>
      </c>
      <c r="K863" t="s">
        <v>1555</v>
      </c>
      <c r="L863" t="s">
        <v>17</v>
      </c>
      <c r="M863" t="s">
        <v>18</v>
      </c>
      <c r="N863">
        <v>2520</v>
      </c>
      <c r="O863">
        <v>142</v>
      </c>
      <c r="P863">
        <v>0</v>
      </c>
      <c r="Q863" t="s">
        <v>3269</v>
      </c>
      <c r="R863" t="s">
        <v>3270</v>
      </c>
      <c r="S863" t="s">
        <v>3271</v>
      </c>
      <c r="T863" t="s">
        <v>3272</v>
      </c>
      <c r="U863" t="s">
        <v>60</v>
      </c>
      <c r="V863" t="s">
        <v>61</v>
      </c>
      <c r="W863">
        <v>5</v>
      </c>
      <c r="X863">
        <v>0.14874999999999999</v>
      </c>
      <c r="Y863" t="s">
        <v>183</v>
      </c>
      <c r="Z863" t="s">
        <v>301</v>
      </c>
      <c r="AA863">
        <v>1</v>
      </c>
      <c r="AB863" t="s">
        <v>3089</v>
      </c>
      <c r="AC863" t="s">
        <v>3090</v>
      </c>
      <c r="AD863" t="s">
        <v>3091</v>
      </c>
      <c r="AE863" t="s">
        <v>3092</v>
      </c>
      <c r="AF863" t="s">
        <v>3093</v>
      </c>
      <c r="AG863" t="s">
        <v>66</v>
      </c>
      <c r="AH863" t="s">
        <v>66</v>
      </c>
      <c r="AI863" t="s">
        <v>66</v>
      </c>
      <c r="AJ863" t="s">
        <v>66</v>
      </c>
      <c r="AK863">
        <v>1</v>
      </c>
      <c r="AL863" t="s">
        <v>66</v>
      </c>
      <c r="AM863" t="s">
        <v>66</v>
      </c>
      <c r="AN863" t="s">
        <v>66</v>
      </c>
      <c r="AO863" t="s">
        <v>66</v>
      </c>
      <c r="AP863">
        <v>1</v>
      </c>
      <c r="AQ863" t="s">
        <v>66</v>
      </c>
      <c r="AR863" t="s">
        <v>66</v>
      </c>
      <c r="AS863" t="s">
        <v>66</v>
      </c>
      <c r="AT863" t="s">
        <v>66</v>
      </c>
    </row>
    <row r="864" spans="1:46" x14ac:dyDescent="0.15">
      <c r="A864" t="s">
        <v>3273</v>
      </c>
      <c r="B864" t="s">
        <v>3080</v>
      </c>
      <c r="C864" t="s">
        <v>3081</v>
      </c>
      <c r="D864">
        <v>38</v>
      </c>
      <c r="E864" t="s">
        <v>3082</v>
      </c>
      <c r="F864" t="s">
        <v>3083</v>
      </c>
      <c r="G864" t="s">
        <v>51</v>
      </c>
      <c r="H864" t="s">
        <v>3084</v>
      </c>
      <c r="I864" t="s">
        <v>1553</v>
      </c>
      <c r="J864" t="s">
        <v>54</v>
      </c>
      <c r="K864" t="s">
        <v>1555</v>
      </c>
      <c r="L864" t="s">
        <v>17</v>
      </c>
      <c r="M864" t="s">
        <v>18</v>
      </c>
      <c r="N864">
        <v>2577</v>
      </c>
      <c r="O864">
        <v>145</v>
      </c>
      <c r="P864">
        <v>0</v>
      </c>
      <c r="Q864" t="s">
        <v>3274</v>
      </c>
      <c r="R864" t="s">
        <v>3275</v>
      </c>
      <c r="S864" t="s">
        <v>3276</v>
      </c>
      <c r="T864" t="s">
        <v>3277</v>
      </c>
      <c r="U864" t="s">
        <v>60</v>
      </c>
      <c r="V864" t="s">
        <v>61</v>
      </c>
      <c r="W864">
        <v>5</v>
      </c>
      <c r="X864">
        <v>0.14874999999999999</v>
      </c>
      <c r="Y864" t="s">
        <v>307</v>
      </c>
      <c r="Z864" t="s">
        <v>308</v>
      </c>
      <c r="AA864">
        <v>1</v>
      </c>
      <c r="AB864" t="s">
        <v>3089</v>
      </c>
      <c r="AC864" t="s">
        <v>3090</v>
      </c>
      <c r="AD864" t="s">
        <v>3091</v>
      </c>
      <c r="AE864" t="s">
        <v>3092</v>
      </c>
      <c r="AF864" t="s">
        <v>3093</v>
      </c>
      <c r="AG864" t="s">
        <v>66</v>
      </c>
      <c r="AH864" t="s">
        <v>66</v>
      </c>
      <c r="AI864" t="s">
        <v>66</v>
      </c>
      <c r="AJ864" t="s">
        <v>66</v>
      </c>
      <c r="AK864">
        <v>1</v>
      </c>
      <c r="AL864" t="s">
        <v>66</v>
      </c>
      <c r="AM864" t="s">
        <v>66</v>
      </c>
      <c r="AN864" t="s">
        <v>66</v>
      </c>
      <c r="AO864" t="s">
        <v>66</v>
      </c>
      <c r="AP864">
        <v>1</v>
      </c>
      <c r="AQ864" t="s">
        <v>66</v>
      </c>
      <c r="AR864" t="s">
        <v>66</v>
      </c>
      <c r="AS864" t="s">
        <v>66</v>
      </c>
      <c r="AT864" t="s">
        <v>66</v>
      </c>
    </row>
    <row r="865" spans="1:46" x14ac:dyDescent="0.15">
      <c r="A865" t="s">
        <v>3278</v>
      </c>
      <c r="B865" t="s">
        <v>3080</v>
      </c>
      <c r="C865" t="s">
        <v>3081</v>
      </c>
      <c r="D865">
        <v>39</v>
      </c>
      <c r="E865" t="s">
        <v>3082</v>
      </c>
      <c r="F865" t="s">
        <v>3083</v>
      </c>
      <c r="G865" t="s">
        <v>51</v>
      </c>
      <c r="H865" t="s">
        <v>3084</v>
      </c>
      <c r="I865" t="s">
        <v>1553</v>
      </c>
      <c r="J865" t="s">
        <v>54</v>
      </c>
      <c r="K865" t="s">
        <v>1555</v>
      </c>
      <c r="L865" t="s">
        <v>17</v>
      </c>
      <c r="M865" t="s">
        <v>18</v>
      </c>
      <c r="N865">
        <v>2633</v>
      </c>
      <c r="O865">
        <v>148</v>
      </c>
      <c r="P865">
        <v>0</v>
      </c>
      <c r="Q865" t="s">
        <v>3279</v>
      </c>
      <c r="R865" t="s">
        <v>3280</v>
      </c>
      <c r="S865" t="s">
        <v>3281</v>
      </c>
      <c r="T865" t="s">
        <v>3282</v>
      </c>
      <c r="U865" t="s">
        <v>60</v>
      </c>
      <c r="V865" t="s">
        <v>61</v>
      </c>
      <c r="W865">
        <v>5</v>
      </c>
      <c r="X865">
        <v>0.14874999999999999</v>
      </c>
      <c r="Y865" t="s">
        <v>190</v>
      </c>
      <c r="Z865" t="s">
        <v>314</v>
      </c>
      <c r="AA865">
        <v>1</v>
      </c>
      <c r="AB865" t="s">
        <v>3089</v>
      </c>
      <c r="AC865" t="s">
        <v>3090</v>
      </c>
      <c r="AD865" t="s">
        <v>3091</v>
      </c>
      <c r="AE865" t="s">
        <v>3092</v>
      </c>
      <c r="AF865" t="s">
        <v>3093</v>
      </c>
      <c r="AG865" t="s">
        <v>66</v>
      </c>
      <c r="AH865" t="s">
        <v>66</v>
      </c>
      <c r="AI865" t="s">
        <v>66</v>
      </c>
      <c r="AJ865" t="s">
        <v>66</v>
      </c>
      <c r="AK865">
        <v>1</v>
      </c>
      <c r="AL865" t="s">
        <v>66</v>
      </c>
      <c r="AM865" t="s">
        <v>66</v>
      </c>
      <c r="AN865" t="s">
        <v>66</v>
      </c>
      <c r="AO865" t="s">
        <v>66</v>
      </c>
      <c r="AP865">
        <v>1</v>
      </c>
      <c r="AQ865" t="s">
        <v>66</v>
      </c>
      <c r="AR865" t="s">
        <v>66</v>
      </c>
      <c r="AS865" t="s">
        <v>66</v>
      </c>
      <c r="AT865" t="s">
        <v>66</v>
      </c>
    </row>
    <row r="866" spans="1:46" x14ac:dyDescent="0.15">
      <c r="A866" t="s">
        <v>3283</v>
      </c>
      <c r="B866" t="s">
        <v>3080</v>
      </c>
      <c r="C866" t="s">
        <v>3081</v>
      </c>
      <c r="D866">
        <v>40</v>
      </c>
      <c r="E866" t="s">
        <v>3082</v>
      </c>
      <c r="F866" t="s">
        <v>3083</v>
      </c>
      <c r="G866" t="s">
        <v>51</v>
      </c>
      <c r="H866" t="s">
        <v>3084</v>
      </c>
      <c r="I866" t="s">
        <v>1553</v>
      </c>
      <c r="J866" t="s">
        <v>54</v>
      </c>
      <c r="K866" t="s">
        <v>1555</v>
      </c>
      <c r="L866" t="s">
        <v>17</v>
      </c>
      <c r="M866" t="s">
        <v>18</v>
      </c>
      <c r="N866">
        <v>2689</v>
      </c>
      <c r="O866">
        <v>151</v>
      </c>
      <c r="P866">
        <v>0</v>
      </c>
      <c r="Q866" t="s">
        <v>3284</v>
      </c>
      <c r="R866" t="s">
        <v>3285</v>
      </c>
      <c r="S866" t="s">
        <v>3286</v>
      </c>
      <c r="T866" t="s">
        <v>3287</v>
      </c>
      <c r="U866" t="s">
        <v>60</v>
      </c>
      <c r="V866" t="s">
        <v>61</v>
      </c>
      <c r="W866">
        <v>5</v>
      </c>
      <c r="X866">
        <v>0.14874999999999999</v>
      </c>
      <c r="Y866" t="s">
        <v>320</v>
      </c>
      <c r="Z866" t="s">
        <v>321</v>
      </c>
      <c r="AA866">
        <v>1</v>
      </c>
      <c r="AB866" t="s">
        <v>3089</v>
      </c>
      <c r="AC866" t="s">
        <v>3090</v>
      </c>
      <c r="AD866" t="s">
        <v>3091</v>
      </c>
      <c r="AE866" t="s">
        <v>3092</v>
      </c>
      <c r="AF866" t="s">
        <v>3093</v>
      </c>
      <c r="AG866" t="s">
        <v>66</v>
      </c>
      <c r="AH866" t="s">
        <v>66</v>
      </c>
      <c r="AI866" t="s">
        <v>66</v>
      </c>
      <c r="AJ866" t="s">
        <v>66</v>
      </c>
      <c r="AK866">
        <v>1</v>
      </c>
      <c r="AL866" t="s">
        <v>66</v>
      </c>
      <c r="AM866" t="s">
        <v>66</v>
      </c>
      <c r="AN866" t="s">
        <v>66</v>
      </c>
      <c r="AO866" t="s">
        <v>66</v>
      </c>
      <c r="AP866">
        <v>1</v>
      </c>
      <c r="AQ866" t="s">
        <v>66</v>
      </c>
      <c r="AR866" t="s">
        <v>66</v>
      </c>
      <c r="AS866" t="s">
        <v>66</v>
      </c>
      <c r="AT866" t="s">
        <v>66</v>
      </c>
    </row>
    <row r="867" spans="1:46" x14ac:dyDescent="0.15">
      <c r="A867" t="s">
        <v>3283</v>
      </c>
      <c r="B867" t="s">
        <v>3080</v>
      </c>
      <c r="C867" t="s">
        <v>3081</v>
      </c>
      <c r="D867">
        <v>40</v>
      </c>
      <c r="E867" t="s">
        <v>3082</v>
      </c>
      <c r="F867" t="s">
        <v>3083</v>
      </c>
      <c r="G867" t="s">
        <v>51</v>
      </c>
      <c r="H867" t="s">
        <v>3084</v>
      </c>
      <c r="I867" t="s">
        <v>1553</v>
      </c>
      <c r="J867" t="s">
        <v>54</v>
      </c>
      <c r="K867" t="s">
        <v>1555</v>
      </c>
      <c r="L867" t="s">
        <v>17</v>
      </c>
      <c r="M867" t="s">
        <v>18</v>
      </c>
      <c r="N867">
        <v>2689</v>
      </c>
      <c r="O867">
        <v>151</v>
      </c>
      <c r="P867">
        <v>0</v>
      </c>
      <c r="Q867" t="s">
        <v>3284</v>
      </c>
      <c r="R867" t="s">
        <v>3285</v>
      </c>
      <c r="S867" t="s">
        <v>3286</v>
      </c>
      <c r="T867" t="s">
        <v>3287</v>
      </c>
      <c r="U867" t="s">
        <v>60</v>
      </c>
      <c r="V867" t="s">
        <v>61</v>
      </c>
      <c r="W867">
        <v>5</v>
      </c>
      <c r="X867">
        <v>0.14874999999999999</v>
      </c>
      <c r="Y867" t="s">
        <v>320</v>
      </c>
      <c r="Z867" t="s">
        <v>321</v>
      </c>
      <c r="AA867">
        <v>2</v>
      </c>
      <c r="AB867" t="s">
        <v>3089</v>
      </c>
      <c r="AC867" t="s">
        <v>3090</v>
      </c>
      <c r="AD867" t="s">
        <v>3091</v>
      </c>
      <c r="AE867" t="s">
        <v>3092</v>
      </c>
      <c r="AF867" t="s">
        <v>3093</v>
      </c>
      <c r="AG867" t="s">
        <v>66</v>
      </c>
      <c r="AH867" t="s">
        <v>66</v>
      </c>
      <c r="AI867" t="s">
        <v>66</v>
      </c>
      <c r="AJ867" t="s">
        <v>66</v>
      </c>
      <c r="AK867">
        <v>1</v>
      </c>
      <c r="AL867" t="s">
        <v>3288</v>
      </c>
      <c r="AM867" t="s">
        <v>3289</v>
      </c>
      <c r="AN867" t="s">
        <v>66</v>
      </c>
      <c r="AO867" t="s">
        <v>66</v>
      </c>
      <c r="AP867">
        <v>1</v>
      </c>
      <c r="AQ867" t="s">
        <v>3290</v>
      </c>
      <c r="AR867" t="s">
        <v>3291</v>
      </c>
      <c r="AS867" t="s">
        <v>3292</v>
      </c>
      <c r="AT867" t="s">
        <v>66</v>
      </c>
    </row>
    <row r="868" spans="1:46" x14ac:dyDescent="0.15">
      <c r="A868" t="s">
        <v>3293</v>
      </c>
      <c r="B868" t="s">
        <v>3080</v>
      </c>
      <c r="C868" t="s">
        <v>3081</v>
      </c>
      <c r="D868">
        <v>41</v>
      </c>
      <c r="E868" t="s">
        <v>3082</v>
      </c>
      <c r="F868" t="s">
        <v>3083</v>
      </c>
      <c r="G868" t="s">
        <v>51</v>
      </c>
      <c r="H868" t="s">
        <v>3084</v>
      </c>
      <c r="I868" t="s">
        <v>1553</v>
      </c>
      <c r="J868" t="s">
        <v>54</v>
      </c>
      <c r="K868" t="s">
        <v>1555</v>
      </c>
      <c r="L868" t="s">
        <v>17</v>
      </c>
      <c r="M868" t="s">
        <v>18</v>
      </c>
      <c r="N868">
        <v>2745</v>
      </c>
      <c r="O868">
        <v>154</v>
      </c>
      <c r="P868">
        <v>0</v>
      </c>
      <c r="Q868" t="s">
        <v>3294</v>
      </c>
      <c r="R868" t="s">
        <v>3295</v>
      </c>
      <c r="S868" t="s">
        <v>3296</v>
      </c>
      <c r="T868" t="s">
        <v>3297</v>
      </c>
      <c r="U868" t="s">
        <v>60</v>
      </c>
      <c r="V868" t="s">
        <v>61</v>
      </c>
      <c r="W868">
        <v>5</v>
      </c>
      <c r="X868">
        <v>0.14874999999999999</v>
      </c>
      <c r="Y868" t="s">
        <v>197</v>
      </c>
      <c r="Z868" t="s">
        <v>330</v>
      </c>
      <c r="AA868">
        <v>2</v>
      </c>
      <c r="AB868" t="s">
        <v>3089</v>
      </c>
      <c r="AC868" t="s">
        <v>3090</v>
      </c>
      <c r="AD868" t="s">
        <v>3091</v>
      </c>
      <c r="AE868" t="s">
        <v>3092</v>
      </c>
      <c r="AF868" t="s">
        <v>3093</v>
      </c>
      <c r="AG868" t="s">
        <v>66</v>
      </c>
      <c r="AH868" t="s">
        <v>66</v>
      </c>
      <c r="AI868" t="s">
        <v>66</v>
      </c>
      <c r="AJ868" t="s">
        <v>66</v>
      </c>
      <c r="AK868">
        <v>1</v>
      </c>
      <c r="AL868" t="s">
        <v>3288</v>
      </c>
      <c r="AM868" t="s">
        <v>3289</v>
      </c>
      <c r="AN868" t="s">
        <v>66</v>
      </c>
      <c r="AO868" t="s">
        <v>66</v>
      </c>
      <c r="AP868">
        <v>1</v>
      </c>
      <c r="AQ868" t="s">
        <v>3290</v>
      </c>
      <c r="AR868" t="s">
        <v>3291</v>
      </c>
      <c r="AS868" t="s">
        <v>3292</v>
      </c>
      <c r="AT868" t="s">
        <v>66</v>
      </c>
    </row>
    <row r="869" spans="1:46" x14ac:dyDescent="0.15">
      <c r="A869" t="s">
        <v>3298</v>
      </c>
      <c r="B869" t="s">
        <v>3080</v>
      </c>
      <c r="C869" t="s">
        <v>3081</v>
      </c>
      <c r="D869">
        <v>42</v>
      </c>
      <c r="E869" t="s">
        <v>3082</v>
      </c>
      <c r="F869" t="s">
        <v>3083</v>
      </c>
      <c r="G869" t="s">
        <v>51</v>
      </c>
      <c r="H869" t="s">
        <v>3084</v>
      </c>
      <c r="I869" t="s">
        <v>1553</v>
      </c>
      <c r="J869" t="s">
        <v>54</v>
      </c>
      <c r="K869" t="s">
        <v>1555</v>
      </c>
      <c r="L869" t="s">
        <v>17</v>
      </c>
      <c r="M869" t="s">
        <v>18</v>
      </c>
      <c r="N869">
        <v>2801</v>
      </c>
      <c r="O869">
        <v>157</v>
      </c>
      <c r="P869">
        <v>0</v>
      </c>
      <c r="Q869" t="s">
        <v>3299</v>
      </c>
      <c r="R869" t="s">
        <v>3300</v>
      </c>
      <c r="S869" t="s">
        <v>3301</v>
      </c>
      <c r="T869" t="s">
        <v>3302</v>
      </c>
      <c r="U869" t="s">
        <v>60</v>
      </c>
      <c r="V869" t="s">
        <v>61</v>
      </c>
      <c r="W869">
        <v>5</v>
      </c>
      <c r="X869">
        <v>0.14874999999999999</v>
      </c>
      <c r="Y869" t="s">
        <v>336</v>
      </c>
      <c r="Z869" t="s">
        <v>337</v>
      </c>
      <c r="AA869">
        <v>2</v>
      </c>
      <c r="AB869" t="s">
        <v>3089</v>
      </c>
      <c r="AC869" t="s">
        <v>3090</v>
      </c>
      <c r="AD869" t="s">
        <v>3091</v>
      </c>
      <c r="AE869" t="s">
        <v>3092</v>
      </c>
      <c r="AF869" t="s">
        <v>3093</v>
      </c>
      <c r="AG869" t="s">
        <v>66</v>
      </c>
      <c r="AH869" t="s">
        <v>66</v>
      </c>
      <c r="AI869" t="s">
        <v>66</v>
      </c>
      <c r="AJ869" t="s">
        <v>66</v>
      </c>
      <c r="AK869">
        <v>1</v>
      </c>
      <c r="AL869" t="s">
        <v>3288</v>
      </c>
      <c r="AM869" t="s">
        <v>3289</v>
      </c>
      <c r="AN869" t="s">
        <v>66</v>
      </c>
      <c r="AO869" t="s">
        <v>66</v>
      </c>
      <c r="AP869">
        <v>1</v>
      </c>
      <c r="AQ869" t="s">
        <v>3290</v>
      </c>
      <c r="AR869" t="s">
        <v>3291</v>
      </c>
      <c r="AS869" t="s">
        <v>3292</v>
      </c>
      <c r="AT869" t="s">
        <v>66</v>
      </c>
    </row>
    <row r="870" spans="1:46" x14ac:dyDescent="0.15">
      <c r="A870" t="s">
        <v>3303</v>
      </c>
      <c r="B870" t="s">
        <v>3080</v>
      </c>
      <c r="C870" t="s">
        <v>3081</v>
      </c>
      <c r="D870">
        <v>43</v>
      </c>
      <c r="E870" t="s">
        <v>3082</v>
      </c>
      <c r="F870" t="s">
        <v>3083</v>
      </c>
      <c r="G870" t="s">
        <v>51</v>
      </c>
      <c r="H870" t="s">
        <v>3084</v>
      </c>
      <c r="I870" t="s">
        <v>1553</v>
      </c>
      <c r="J870" t="s">
        <v>54</v>
      </c>
      <c r="K870" t="s">
        <v>1555</v>
      </c>
      <c r="L870" t="s">
        <v>17</v>
      </c>
      <c r="M870" t="s">
        <v>18</v>
      </c>
      <c r="N870">
        <v>2857</v>
      </c>
      <c r="O870">
        <v>160</v>
      </c>
      <c r="P870">
        <v>0</v>
      </c>
      <c r="Q870" t="s">
        <v>3304</v>
      </c>
      <c r="R870" t="s">
        <v>3305</v>
      </c>
      <c r="S870" t="s">
        <v>3306</v>
      </c>
      <c r="T870" t="s">
        <v>3307</v>
      </c>
      <c r="U870" t="s">
        <v>60</v>
      </c>
      <c r="V870" t="s">
        <v>61</v>
      </c>
      <c r="W870">
        <v>5</v>
      </c>
      <c r="X870">
        <v>0.14874999999999999</v>
      </c>
      <c r="Y870" t="s">
        <v>204</v>
      </c>
      <c r="Z870" t="s">
        <v>343</v>
      </c>
      <c r="AA870">
        <v>2</v>
      </c>
      <c r="AB870" t="s">
        <v>3089</v>
      </c>
      <c r="AC870" t="s">
        <v>3090</v>
      </c>
      <c r="AD870" t="s">
        <v>3091</v>
      </c>
      <c r="AE870" t="s">
        <v>3092</v>
      </c>
      <c r="AF870" t="s">
        <v>3093</v>
      </c>
      <c r="AG870" t="s">
        <v>66</v>
      </c>
      <c r="AH870" t="s">
        <v>66</v>
      </c>
      <c r="AI870" t="s">
        <v>66</v>
      </c>
      <c r="AJ870" t="s">
        <v>66</v>
      </c>
      <c r="AK870">
        <v>1</v>
      </c>
      <c r="AL870" t="s">
        <v>3288</v>
      </c>
      <c r="AM870" t="s">
        <v>3289</v>
      </c>
      <c r="AN870" t="s">
        <v>66</v>
      </c>
      <c r="AO870" t="s">
        <v>66</v>
      </c>
      <c r="AP870">
        <v>1</v>
      </c>
      <c r="AQ870" t="s">
        <v>3290</v>
      </c>
      <c r="AR870" t="s">
        <v>3291</v>
      </c>
      <c r="AS870" t="s">
        <v>3292</v>
      </c>
      <c r="AT870" t="s">
        <v>66</v>
      </c>
    </row>
    <row r="871" spans="1:46" x14ac:dyDescent="0.15">
      <c r="A871" t="s">
        <v>3308</v>
      </c>
      <c r="B871" t="s">
        <v>3080</v>
      </c>
      <c r="C871" t="s">
        <v>3081</v>
      </c>
      <c r="D871">
        <v>44</v>
      </c>
      <c r="E871" t="s">
        <v>3082</v>
      </c>
      <c r="F871" t="s">
        <v>3083</v>
      </c>
      <c r="G871" t="s">
        <v>51</v>
      </c>
      <c r="H871" t="s">
        <v>3084</v>
      </c>
      <c r="I871" t="s">
        <v>1553</v>
      </c>
      <c r="J871" t="s">
        <v>54</v>
      </c>
      <c r="K871" t="s">
        <v>1555</v>
      </c>
      <c r="L871" t="s">
        <v>17</v>
      </c>
      <c r="M871" t="s">
        <v>18</v>
      </c>
      <c r="N871">
        <v>2913</v>
      </c>
      <c r="O871">
        <v>163</v>
      </c>
      <c r="P871">
        <v>0</v>
      </c>
      <c r="Q871" t="s">
        <v>3309</v>
      </c>
      <c r="R871" t="s">
        <v>3310</v>
      </c>
      <c r="S871" t="s">
        <v>3311</v>
      </c>
      <c r="T871" t="s">
        <v>3312</v>
      </c>
      <c r="U871" t="s">
        <v>60</v>
      </c>
      <c r="V871" t="s">
        <v>61</v>
      </c>
      <c r="W871">
        <v>5</v>
      </c>
      <c r="X871">
        <v>0.14874999999999999</v>
      </c>
      <c r="Y871" t="s">
        <v>349</v>
      </c>
      <c r="Z871" t="s">
        <v>350</v>
      </c>
      <c r="AA871">
        <v>2</v>
      </c>
      <c r="AB871" t="s">
        <v>3089</v>
      </c>
      <c r="AC871" t="s">
        <v>3090</v>
      </c>
      <c r="AD871" t="s">
        <v>3091</v>
      </c>
      <c r="AE871" t="s">
        <v>3092</v>
      </c>
      <c r="AF871" t="s">
        <v>3093</v>
      </c>
      <c r="AG871" t="s">
        <v>66</v>
      </c>
      <c r="AH871" t="s">
        <v>66</v>
      </c>
      <c r="AI871" t="s">
        <v>66</v>
      </c>
      <c r="AJ871" t="s">
        <v>66</v>
      </c>
      <c r="AK871">
        <v>1</v>
      </c>
      <c r="AL871" t="s">
        <v>3288</v>
      </c>
      <c r="AM871" t="s">
        <v>3289</v>
      </c>
      <c r="AN871" t="s">
        <v>66</v>
      </c>
      <c r="AO871" t="s">
        <v>66</v>
      </c>
      <c r="AP871">
        <v>1</v>
      </c>
      <c r="AQ871" t="s">
        <v>3290</v>
      </c>
      <c r="AR871" t="s">
        <v>3291</v>
      </c>
      <c r="AS871" t="s">
        <v>3292</v>
      </c>
      <c r="AT871" t="s">
        <v>66</v>
      </c>
    </row>
    <row r="872" spans="1:46" x14ac:dyDescent="0.15">
      <c r="A872" t="s">
        <v>3313</v>
      </c>
      <c r="B872" t="s">
        <v>3080</v>
      </c>
      <c r="C872" t="s">
        <v>3081</v>
      </c>
      <c r="D872">
        <v>45</v>
      </c>
      <c r="E872" t="s">
        <v>3082</v>
      </c>
      <c r="F872" t="s">
        <v>3083</v>
      </c>
      <c r="G872" t="s">
        <v>51</v>
      </c>
      <c r="H872" t="s">
        <v>3084</v>
      </c>
      <c r="I872" t="s">
        <v>1553</v>
      </c>
      <c r="J872" t="s">
        <v>54</v>
      </c>
      <c r="K872" t="s">
        <v>1555</v>
      </c>
      <c r="L872" t="s">
        <v>17</v>
      </c>
      <c r="M872" t="s">
        <v>18</v>
      </c>
      <c r="N872">
        <v>2969</v>
      </c>
      <c r="O872">
        <v>166</v>
      </c>
      <c r="P872">
        <v>0</v>
      </c>
      <c r="Q872" t="s">
        <v>3314</v>
      </c>
      <c r="R872" t="s">
        <v>3315</v>
      </c>
      <c r="S872" t="s">
        <v>3316</v>
      </c>
      <c r="T872" t="s">
        <v>3317</v>
      </c>
      <c r="U872" t="s">
        <v>60</v>
      </c>
      <c r="V872" t="s">
        <v>61</v>
      </c>
      <c r="W872">
        <v>5</v>
      </c>
      <c r="X872">
        <v>0.14874999999999999</v>
      </c>
      <c r="Y872" t="s">
        <v>210</v>
      </c>
      <c r="Z872" t="s">
        <v>356</v>
      </c>
      <c r="AA872">
        <v>2</v>
      </c>
      <c r="AB872" t="s">
        <v>3089</v>
      </c>
      <c r="AC872" t="s">
        <v>3090</v>
      </c>
      <c r="AD872" t="s">
        <v>3091</v>
      </c>
      <c r="AE872" t="s">
        <v>3092</v>
      </c>
      <c r="AF872" t="s">
        <v>3093</v>
      </c>
      <c r="AG872" t="s">
        <v>66</v>
      </c>
      <c r="AH872" t="s">
        <v>66</v>
      </c>
      <c r="AI872" t="s">
        <v>66</v>
      </c>
      <c r="AJ872" t="s">
        <v>66</v>
      </c>
      <c r="AK872">
        <v>1</v>
      </c>
      <c r="AL872" t="s">
        <v>3288</v>
      </c>
      <c r="AM872" t="s">
        <v>3289</v>
      </c>
      <c r="AN872" t="s">
        <v>66</v>
      </c>
      <c r="AO872" t="s">
        <v>66</v>
      </c>
      <c r="AP872">
        <v>1</v>
      </c>
      <c r="AQ872" t="s">
        <v>3290</v>
      </c>
      <c r="AR872" t="s">
        <v>3291</v>
      </c>
      <c r="AS872" t="s">
        <v>3292</v>
      </c>
      <c r="AT872" t="s">
        <v>66</v>
      </c>
    </row>
    <row r="873" spans="1:46" x14ac:dyDescent="0.15">
      <c r="A873" t="s">
        <v>3318</v>
      </c>
      <c r="B873" t="s">
        <v>3080</v>
      </c>
      <c r="C873" t="s">
        <v>3081</v>
      </c>
      <c r="D873">
        <v>46</v>
      </c>
      <c r="E873" t="s">
        <v>3082</v>
      </c>
      <c r="F873" t="s">
        <v>3083</v>
      </c>
      <c r="G873" t="s">
        <v>51</v>
      </c>
      <c r="H873" t="s">
        <v>3084</v>
      </c>
      <c r="I873" t="s">
        <v>1553</v>
      </c>
      <c r="J873" t="s">
        <v>54</v>
      </c>
      <c r="K873" t="s">
        <v>1555</v>
      </c>
      <c r="L873" t="s">
        <v>17</v>
      </c>
      <c r="M873" t="s">
        <v>18</v>
      </c>
      <c r="N873">
        <v>3026</v>
      </c>
      <c r="O873">
        <v>169</v>
      </c>
      <c r="P873">
        <v>0</v>
      </c>
      <c r="Q873" t="s">
        <v>3319</v>
      </c>
      <c r="R873" t="s">
        <v>3320</v>
      </c>
      <c r="S873" t="s">
        <v>3321</v>
      </c>
      <c r="T873" t="s">
        <v>3322</v>
      </c>
      <c r="U873" t="s">
        <v>60</v>
      </c>
      <c r="V873" t="s">
        <v>61</v>
      </c>
      <c r="W873">
        <v>5</v>
      </c>
      <c r="X873">
        <v>0.14874999999999999</v>
      </c>
      <c r="Y873" t="s">
        <v>362</v>
      </c>
      <c r="Z873" t="s">
        <v>363</v>
      </c>
      <c r="AA873">
        <v>2</v>
      </c>
      <c r="AB873" t="s">
        <v>3089</v>
      </c>
      <c r="AC873" t="s">
        <v>3090</v>
      </c>
      <c r="AD873" t="s">
        <v>3091</v>
      </c>
      <c r="AE873" t="s">
        <v>3092</v>
      </c>
      <c r="AF873" t="s">
        <v>3093</v>
      </c>
      <c r="AG873" t="s">
        <v>66</v>
      </c>
      <c r="AH873" t="s">
        <v>66</v>
      </c>
      <c r="AI873" t="s">
        <v>66</v>
      </c>
      <c r="AJ873" t="s">
        <v>66</v>
      </c>
      <c r="AK873">
        <v>1</v>
      </c>
      <c r="AL873" t="s">
        <v>3288</v>
      </c>
      <c r="AM873" t="s">
        <v>3289</v>
      </c>
      <c r="AN873" t="s">
        <v>66</v>
      </c>
      <c r="AO873" t="s">
        <v>66</v>
      </c>
      <c r="AP873">
        <v>1</v>
      </c>
      <c r="AQ873" t="s">
        <v>3290</v>
      </c>
      <c r="AR873" t="s">
        <v>3291</v>
      </c>
      <c r="AS873" t="s">
        <v>3292</v>
      </c>
      <c r="AT873" t="s">
        <v>66</v>
      </c>
    </row>
    <row r="874" spans="1:46" x14ac:dyDescent="0.15">
      <c r="A874" t="s">
        <v>3323</v>
      </c>
      <c r="B874" t="s">
        <v>3080</v>
      </c>
      <c r="C874" t="s">
        <v>3081</v>
      </c>
      <c r="D874">
        <v>47</v>
      </c>
      <c r="E874" t="s">
        <v>3082</v>
      </c>
      <c r="F874" t="s">
        <v>3083</v>
      </c>
      <c r="G874" t="s">
        <v>51</v>
      </c>
      <c r="H874" t="s">
        <v>3084</v>
      </c>
      <c r="I874" t="s">
        <v>1553</v>
      </c>
      <c r="J874" t="s">
        <v>54</v>
      </c>
      <c r="K874" t="s">
        <v>1555</v>
      </c>
      <c r="L874" t="s">
        <v>17</v>
      </c>
      <c r="M874" t="s">
        <v>18</v>
      </c>
      <c r="N874">
        <v>3082</v>
      </c>
      <c r="O874">
        <v>173</v>
      </c>
      <c r="P874">
        <v>0</v>
      </c>
      <c r="Q874" t="s">
        <v>3324</v>
      </c>
      <c r="R874" t="s">
        <v>3325</v>
      </c>
      <c r="S874" t="s">
        <v>3326</v>
      </c>
      <c r="T874" t="s">
        <v>3327</v>
      </c>
      <c r="U874" t="s">
        <v>60</v>
      </c>
      <c r="V874" t="s">
        <v>61</v>
      </c>
      <c r="W874">
        <v>5</v>
      </c>
      <c r="X874">
        <v>0.14874999999999999</v>
      </c>
      <c r="Y874" t="s">
        <v>217</v>
      </c>
      <c r="Z874" t="s">
        <v>369</v>
      </c>
      <c r="AA874">
        <v>2</v>
      </c>
      <c r="AB874" t="s">
        <v>3089</v>
      </c>
      <c r="AC874" t="s">
        <v>3090</v>
      </c>
      <c r="AD874" t="s">
        <v>3091</v>
      </c>
      <c r="AE874" t="s">
        <v>3092</v>
      </c>
      <c r="AF874" t="s">
        <v>3093</v>
      </c>
      <c r="AG874" t="s">
        <v>66</v>
      </c>
      <c r="AH874" t="s">
        <v>66</v>
      </c>
      <c r="AI874" t="s">
        <v>66</v>
      </c>
      <c r="AJ874" t="s">
        <v>66</v>
      </c>
      <c r="AK874">
        <v>1</v>
      </c>
      <c r="AL874" t="s">
        <v>3288</v>
      </c>
      <c r="AM874" t="s">
        <v>3289</v>
      </c>
      <c r="AN874" t="s">
        <v>66</v>
      </c>
      <c r="AO874" t="s">
        <v>66</v>
      </c>
      <c r="AP874">
        <v>1</v>
      </c>
      <c r="AQ874" t="s">
        <v>3290</v>
      </c>
      <c r="AR874" t="s">
        <v>3291</v>
      </c>
      <c r="AS874" t="s">
        <v>3292</v>
      </c>
      <c r="AT874" t="s">
        <v>66</v>
      </c>
    </row>
    <row r="875" spans="1:46" x14ac:dyDescent="0.15">
      <c r="A875" t="s">
        <v>3328</v>
      </c>
      <c r="B875" t="s">
        <v>3080</v>
      </c>
      <c r="C875" t="s">
        <v>3081</v>
      </c>
      <c r="D875">
        <v>48</v>
      </c>
      <c r="E875" t="s">
        <v>3082</v>
      </c>
      <c r="F875" t="s">
        <v>3083</v>
      </c>
      <c r="G875" t="s">
        <v>51</v>
      </c>
      <c r="H875" t="s">
        <v>3084</v>
      </c>
      <c r="I875" t="s">
        <v>1553</v>
      </c>
      <c r="J875" t="s">
        <v>54</v>
      </c>
      <c r="K875" t="s">
        <v>1555</v>
      </c>
      <c r="L875" t="s">
        <v>17</v>
      </c>
      <c r="M875" t="s">
        <v>18</v>
      </c>
      <c r="N875">
        <v>3138</v>
      </c>
      <c r="O875">
        <v>176</v>
      </c>
      <c r="P875">
        <v>0</v>
      </c>
      <c r="Q875" t="s">
        <v>3329</v>
      </c>
      <c r="R875" t="s">
        <v>3330</v>
      </c>
      <c r="S875" t="s">
        <v>3331</v>
      </c>
      <c r="T875" t="s">
        <v>3332</v>
      </c>
      <c r="U875" t="s">
        <v>60</v>
      </c>
      <c r="V875" t="s">
        <v>61</v>
      </c>
      <c r="W875">
        <v>5</v>
      </c>
      <c r="X875">
        <v>0.14874999999999999</v>
      </c>
      <c r="Y875" t="s">
        <v>375</v>
      </c>
      <c r="Z875" t="s">
        <v>376</v>
      </c>
      <c r="AA875">
        <v>2</v>
      </c>
      <c r="AB875" t="s">
        <v>3089</v>
      </c>
      <c r="AC875" t="s">
        <v>3090</v>
      </c>
      <c r="AD875" t="s">
        <v>3091</v>
      </c>
      <c r="AE875" t="s">
        <v>3092</v>
      </c>
      <c r="AF875" t="s">
        <v>3093</v>
      </c>
      <c r="AG875" t="s">
        <v>66</v>
      </c>
      <c r="AH875" t="s">
        <v>66</v>
      </c>
      <c r="AI875" t="s">
        <v>66</v>
      </c>
      <c r="AJ875" t="s">
        <v>66</v>
      </c>
      <c r="AK875">
        <v>1</v>
      </c>
      <c r="AL875" t="s">
        <v>3288</v>
      </c>
      <c r="AM875" t="s">
        <v>3289</v>
      </c>
      <c r="AN875" t="s">
        <v>66</v>
      </c>
      <c r="AO875" t="s">
        <v>66</v>
      </c>
      <c r="AP875">
        <v>1</v>
      </c>
      <c r="AQ875" t="s">
        <v>3290</v>
      </c>
      <c r="AR875" t="s">
        <v>3291</v>
      </c>
      <c r="AS875" t="s">
        <v>3292</v>
      </c>
      <c r="AT875" t="s">
        <v>66</v>
      </c>
    </row>
    <row r="876" spans="1:46" x14ac:dyDescent="0.15">
      <c r="A876" t="s">
        <v>3333</v>
      </c>
      <c r="B876" t="s">
        <v>3080</v>
      </c>
      <c r="C876" t="s">
        <v>3081</v>
      </c>
      <c r="D876">
        <v>49</v>
      </c>
      <c r="E876" t="s">
        <v>3082</v>
      </c>
      <c r="F876" t="s">
        <v>3083</v>
      </c>
      <c r="G876" t="s">
        <v>51</v>
      </c>
      <c r="H876" t="s">
        <v>3084</v>
      </c>
      <c r="I876" t="s">
        <v>1553</v>
      </c>
      <c r="J876" t="s">
        <v>54</v>
      </c>
      <c r="K876" t="s">
        <v>1555</v>
      </c>
      <c r="L876" t="s">
        <v>17</v>
      </c>
      <c r="M876" t="s">
        <v>18</v>
      </c>
      <c r="N876">
        <v>3194</v>
      </c>
      <c r="O876">
        <v>179</v>
      </c>
      <c r="P876">
        <v>0</v>
      </c>
      <c r="Q876" t="s">
        <v>3334</v>
      </c>
      <c r="R876" t="s">
        <v>3335</v>
      </c>
      <c r="S876" t="s">
        <v>3336</v>
      </c>
      <c r="T876" t="s">
        <v>3337</v>
      </c>
      <c r="U876" t="s">
        <v>60</v>
      </c>
      <c r="V876" t="s">
        <v>61</v>
      </c>
      <c r="W876">
        <v>5</v>
      </c>
      <c r="X876">
        <v>0.14874999999999999</v>
      </c>
      <c r="Y876" t="s">
        <v>223</v>
      </c>
      <c r="Z876" t="s">
        <v>382</v>
      </c>
      <c r="AA876">
        <v>2</v>
      </c>
      <c r="AB876" t="s">
        <v>3089</v>
      </c>
      <c r="AC876" t="s">
        <v>3090</v>
      </c>
      <c r="AD876" t="s">
        <v>3091</v>
      </c>
      <c r="AE876" t="s">
        <v>3092</v>
      </c>
      <c r="AF876" t="s">
        <v>3093</v>
      </c>
      <c r="AG876" t="s">
        <v>66</v>
      </c>
      <c r="AH876" t="s">
        <v>66</v>
      </c>
      <c r="AI876" t="s">
        <v>66</v>
      </c>
      <c r="AJ876" t="s">
        <v>66</v>
      </c>
      <c r="AK876">
        <v>1</v>
      </c>
      <c r="AL876" t="s">
        <v>3288</v>
      </c>
      <c r="AM876" t="s">
        <v>3289</v>
      </c>
      <c r="AN876" t="s">
        <v>66</v>
      </c>
      <c r="AO876" t="s">
        <v>66</v>
      </c>
      <c r="AP876">
        <v>1</v>
      </c>
      <c r="AQ876" t="s">
        <v>3290</v>
      </c>
      <c r="AR876" t="s">
        <v>3291</v>
      </c>
      <c r="AS876" t="s">
        <v>3292</v>
      </c>
      <c r="AT876" t="s">
        <v>66</v>
      </c>
    </row>
    <row r="877" spans="1:46" x14ac:dyDescent="0.15">
      <c r="A877" t="s">
        <v>3338</v>
      </c>
      <c r="B877" t="s">
        <v>3080</v>
      </c>
      <c r="C877" t="s">
        <v>3081</v>
      </c>
      <c r="D877">
        <v>50</v>
      </c>
      <c r="E877" t="s">
        <v>3082</v>
      </c>
      <c r="F877" t="s">
        <v>3083</v>
      </c>
      <c r="G877" t="s">
        <v>51</v>
      </c>
      <c r="H877" t="s">
        <v>3084</v>
      </c>
      <c r="I877" t="s">
        <v>1553</v>
      </c>
      <c r="J877" t="s">
        <v>54</v>
      </c>
      <c r="K877" t="s">
        <v>1555</v>
      </c>
      <c r="L877" t="s">
        <v>17</v>
      </c>
      <c r="M877" t="s">
        <v>18</v>
      </c>
      <c r="N877">
        <v>3250</v>
      </c>
      <c r="O877">
        <v>182</v>
      </c>
      <c r="P877">
        <v>0</v>
      </c>
      <c r="Q877" t="s">
        <v>3339</v>
      </c>
      <c r="R877" t="s">
        <v>3340</v>
      </c>
      <c r="S877" t="s">
        <v>3341</v>
      </c>
      <c r="T877" t="s">
        <v>3342</v>
      </c>
      <c r="U877" t="s">
        <v>60</v>
      </c>
      <c r="V877" t="s">
        <v>61</v>
      </c>
      <c r="W877">
        <v>5</v>
      </c>
      <c r="X877">
        <v>0.14874999999999999</v>
      </c>
      <c r="Y877" t="s">
        <v>388</v>
      </c>
      <c r="Z877" t="s">
        <v>389</v>
      </c>
      <c r="AA877">
        <v>2</v>
      </c>
      <c r="AB877" t="s">
        <v>3089</v>
      </c>
      <c r="AC877" t="s">
        <v>3090</v>
      </c>
      <c r="AD877" t="s">
        <v>3091</v>
      </c>
      <c r="AE877" t="s">
        <v>3092</v>
      </c>
      <c r="AF877" t="s">
        <v>3093</v>
      </c>
      <c r="AG877" t="s">
        <v>66</v>
      </c>
      <c r="AH877" t="s">
        <v>66</v>
      </c>
      <c r="AI877" t="s">
        <v>66</v>
      </c>
      <c r="AJ877" t="s">
        <v>66</v>
      </c>
      <c r="AK877">
        <v>1</v>
      </c>
      <c r="AL877" t="s">
        <v>3288</v>
      </c>
      <c r="AM877" t="s">
        <v>3289</v>
      </c>
      <c r="AN877" t="s">
        <v>66</v>
      </c>
      <c r="AO877" t="s">
        <v>66</v>
      </c>
      <c r="AP877">
        <v>1</v>
      </c>
      <c r="AQ877" t="s">
        <v>3290</v>
      </c>
      <c r="AR877" t="s">
        <v>3291</v>
      </c>
      <c r="AS877" t="s">
        <v>3292</v>
      </c>
      <c r="AT877" t="s">
        <v>66</v>
      </c>
    </row>
    <row r="878" spans="1:46" x14ac:dyDescent="0.15">
      <c r="A878" t="s">
        <v>3343</v>
      </c>
      <c r="B878" t="s">
        <v>3080</v>
      </c>
      <c r="C878" t="s">
        <v>3081</v>
      </c>
      <c r="D878">
        <v>51</v>
      </c>
      <c r="E878" t="s">
        <v>3082</v>
      </c>
      <c r="F878" t="s">
        <v>3083</v>
      </c>
      <c r="G878" t="s">
        <v>51</v>
      </c>
      <c r="H878" t="s">
        <v>3084</v>
      </c>
      <c r="I878" t="s">
        <v>1553</v>
      </c>
      <c r="J878" t="s">
        <v>54</v>
      </c>
      <c r="K878" t="s">
        <v>1555</v>
      </c>
      <c r="L878" t="s">
        <v>17</v>
      </c>
      <c r="M878" t="s">
        <v>18</v>
      </c>
      <c r="N878">
        <v>3306</v>
      </c>
      <c r="O878">
        <v>185</v>
      </c>
      <c r="P878">
        <v>0</v>
      </c>
      <c r="Q878" t="s">
        <v>3344</v>
      </c>
      <c r="R878" t="s">
        <v>3345</v>
      </c>
      <c r="S878" t="s">
        <v>3346</v>
      </c>
      <c r="T878" t="s">
        <v>3347</v>
      </c>
      <c r="U878" t="s">
        <v>60</v>
      </c>
      <c r="V878" t="s">
        <v>61</v>
      </c>
      <c r="W878">
        <v>5</v>
      </c>
      <c r="X878">
        <v>0.14874999999999999</v>
      </c>
      <c r="Y878" t="s">
        <v>230</v>
      </c>
      <c r="Z878" t="s">
        <v>395</v>
      </c>
      <c r="AA878">
        <v>2</v>
      </c>
      <c r="AB878" t="s">
        <v>3089</v>
      </c>
      <c r="AC878" t="s">
        <v>3090</v>
      </c>
      <c r="AD878" t="s">
        <v>3091</v>
      </c>
      <c r="AE878" t="s">
        <v>3092</v>
      </c>
      <c r="AF878" t="s">
        <v>3093</v>
      </c>
      <c r="AG878" t="s">
        <v>66</v>
      </c>
      <c r="AH878" t="s">
        <v>66</v>
      </c>
      <c r="AI878" t="s">
        <v>66</v>
      </c>
      <c r="AJ878" t="s">
        <v>66</v>
      </c>
      <c r="AK878">
        <v>1</v>
      </c>
      <c r="AL878" t="s">
        <v>3288</v>
      </c>
      <c r="AM878" t="s">
        <v>3289</v>
      </c>
      <c r="AN878" t="s">
        <v>66</v>
      </c>
      <c r="AO878" t="s">
        <v>66</v>
      </c>
      <c r="AP878">
        <v>1</v>
      </c>
      <c r="AQ878" t="s">
        <v>3290</v>
      </c>
      <c r="AR878" t="s">
        <v>3291</v>
      </c>
      <c r="AS878" t="s">
        <v>3292</v>
      </c>
      <c r="AT878" t="s">
        <v>66</v>
      </c>
    </row>
    <row r="879" spans="1:46" x14ac:dyDescent="0.15">
      <c r="A879" t="s">
        <v>3348</v>
      </c>
      <c r="B879" t="s">
        <v>3080</v>
      </c>
      <c r="C879" t="s">
        <v>3081</v>
      </c>
      <c r="D879">
        <v>52</v>
      </c>
      <c r="E879" t="s">
        <v>3082</v>
      </c>
      <c r="F879" t="s">
        <v>3083</v>
      </c>
      <c r="G879" t="s">
        <v>51</v>
      </c>
      <c r="H879" t="s">
        <v>3084</v>
      </c>
      <c r="I879" t="s">
        <v>1553</v>
      </c>
      <c r="J879" t="s">
        <v>54</v>
      </c>
      <c r="K879" t="s">
        <v>1555</v>
      </c>
      <c r="L879" t="s">
        <v>17</v>
      </c>
      <c r="M879" t="s">
        <v>18</v>
      </c>
      <c r="N879">
        <v>3362</v>
      </c>
      <c r="O879">
        <v>188</v>
      </c>
      <c r="P879">
        <v>0</v>
      </c>
      <c r="Q879" t="s">
        <v>3349</v>
      </c>
      <c r="R879" t="s">
        <v>3350</v>
      </c>
      <c r="S879" t="s">
        <v>3351</v>
      </c>
      <c r="T879" t="s">
        <v>3352</v>
      </c>
      <c r="U879" t="s">
        <v>60</v>
      </c>
      <c r="V879" t="s">
        <v>61</v>
      </c>
      <c r="W879">
        <v>5</v>
      </c>
      <c r="X879">
        <v>0.14874999999999999</v>
      </c>
      <c r="Y879" t="s">
        <v>401</v>
      </c>
      <c r="Z879" t="s">
        <v>402</v>
      </c>
      <c r="AA879">
        <v>2</v>
      </c>
      <c r="AB879" t="s">
        <v>3089</v>
      </c>
      <c r="AC879" t="s">
        <v>3090</v>
      </c>
      <c r="AD879" t="s">
        <v>3091</v>
      </c>
      <c r="AE879" t="s">
        <v>3092</v>
      </c>
      <c r="AF879" t="s">
        <v>3093</v>
      </c>
      <c r="AG879" t="s">
        <v>66</v>
      </c>
      <c r="AH879" t="s">
        <v>66</v>
      </c>
      <c r="AI879" t="s">
        <v>66</v>
      </c>
      <c r="AJ879" t="s">
        <v>66</v>
      </c>
      <c r="AK879">
        <v>1</v>
      </c>
      <c r="AL879" t="s">
        <v>3288</v>
      </c>
      <c r="AM879" t="s">
        <v>3289</v>
      </c>
      <c r="AN879" t="s">
        <v>66</v>
      </c>
      <c r="AO879" t="s">
        <v>66</v>
      </c>
      <c r="AP879">
        <v>1</v>
      </c>
      <c r="AQ879" t="s">
        <v>3290</v>
      </c>
      <c r="AR879" t="s">
        <v>3291</v>
      </c>
      <c r="AS879" t="s">
        <v>3292</v>
      </c>
      <c r="AT879" t="s">
        <v>66</v>
      </c>
    </row>
    <row r="880" spans="1:46" x14ac:dyDescent="0.15">
      <c r="A880" t="s">
        <v>3353</v>
      </c>
      <c r="B880" t="s">
        <v>3080</v>
      </c>
      <c r="C880" t="s">
        <v>3081</v>
      </c>
      <c r="D880">
        <v>53</v>
      </c>
      <c r="E880" t="s">
        <v>3082</v>
      </c>
      <c r="F880" t="s">
        <v>3083</v>
      </c>
      <c r="G880" t="s">
        <v>51</v>
      </c>
      <c r="H880" t="s">
        <v>3084</v>
      </c>
      <c r="I880" t="s">
        <v>1553</v>
      </c>
      <c r="J880" t="s">
        <v>54</v>
      </c>
      <c r="K880" t="s">
        <v>1555</v>
      </c>
      <c r="L880" t="s">
        <v>17</v>
      </c>
      <c r="M880" t="s">
        <v>18</v>
      </c>
      <c r="N880">
        <v>3418</v>
      </c>
      <c r="O880">
        <v>191</v>
      </c>
      <c r="P880">
        <v>0</v>
      </c>
      <c r="Q880" t="s">
        <v>3354</v>
      </c>
      <c r="R880" t="s">
        <v>3355</v>
      </c>
      <c r="S880" t="s">
        <v>3356</v>
      </c>
      <c r="T880" t="s">
        <v>3357</v>
      </c>
      <c r="U880" t="s">
        <v>60</v>
      </c>
      <c r="V880" t="s">
        <v>61</v>
      </c>
      <c r="W880">
        <v>5</v>
      </c>
      <c r="X880">
        <v>0.14874999999999999</v>
      </c>
      <c r="Y880" t="s">
        <v>236</v>
      </c>
      <c r="Z880" t="s">
        <v>408</v>
      </c>
      <c r="AA880">
        <v>2</v>
      </c>
      <c r="AB880" t="s">
        <v>3089</v>
      </c>
      <c r="AC880" t="s">
        <v>3090</v>
      </c>
      <c r="AD880" t="s">
        <v>3091</v>
      </c>
      <c r="AE880" t="s">
        <v>3092</v>
      </c>
      <c r="AF880" t="s">
        <v>3093</v>
      </c>
      <c r="AG880" t="s">
        <v>66</v>
      </c>
      <c r="AH880" t="s">
        <v>66</v>
      </c>
      <c r="AI880" t="s">
        <v>66</v>
      </c>
      <c r="AJ880" t="s">
        <v>66</v>
      </c>
      <c r="AK880">
        <v>1</v>
      </c>
      <c r="AL880" t="s">
        <v>3288</v>
      </c>
      <c r="AM880" t="s">
        <v>3289</v>
      </c>
      <c r="AN880" t="s">
        <v>66</v>
      </c>
      <c r="AO880" t="s">
        <v>66</v>
      </c>
      <c r="AP880">
        <v>1</v>
      </c>
      <c r="AQ880" t="s">
        <v>3290</v>
      </c>
      <c r="AR880" t="s">
        <v>3291</v>
      </c>
      <c r="AS880" t="s">
        <v>3292</v>
      </c>
      <c r="AT880" t="s">
        <v>66</v>
      </c>
    </row>
    <row r="881" spans="1:46" x14ac:dyDescent="0.15">
      <c r="A881" t="s">
        <v>3358</v>
      </c>
      <c r="B881" t="s">
        <v>3080</v>
      </c>
      <c r="C881" t="s">
        <v>3081</v>
      </c>
      <c r="D881">
        <v>54</v>
      </c>
      <c r="E881" t="s">
        <v>3082</v>
      </c>
      <c r="F881" t="s">
        <v>3083</v>
      </c>
      <c r="G881" t="s">
        <v>51</v>
      </c>
      <c r="H881" t="s">
        <v>3084</v>
      </c>
      <c r="I881" t="s">
        <v>1553</v>
      </c>
      <c r="J881" t="s">
        <v>54</v>
      </c>
      <c r="K881" t="s">
        <v>1555</v>
      </c>
      <c r="L881" t="s">
        <v>17</v>
      </c>
      <c r="M881" t="s">
        <v>18</v>
      </c>
      <c r="N881">
        <v>3474</v>
      </c>
      <c r="O881">
        <v>194</v>
      </c>
      <c r="P881">
        <v>0</v>
      </c>
      <c r="Q881" t="s">
        <v>3359</v>
      </c>
      <c r="R881" t="s">
        <v>3360</v>
      </c>
      <c r="S881" t="s">
        <v>3361</v>
      </c>
      <c r="T881" t="s">
        <v>3362</v>
      </c>
      <c r="U881" t="s">
        <v>60</v>
      </c>
      <c r="V881" t="s">
        <v>61</v>
      </c>
      <c r="W881">
        <v>5</v>
      </c>
      <c r="X881">
        <v>0.14874999999999999</v>
      </c>
      <c r="Y881" t="s">
        <v>414</v>
      </c>
      <c r="Z881" t="s">
        <v>415</v>
      </c>
      <c r="AA881">
        <v>2</v>
      </c>
      <c r="AB881" t="s">
        <v>3089</v>
      </c>
      <c r="AC881" t="s">
        <v>3090</v>
      </c>
      <c r="AD881" t="s">
        <v>3091</v>
      </c>
      <c r="AE881" t="s">
        <v>3092</v>
      </c>
      <c r="AF881" t="s">
        <v>3093</v>
      </c>
      <c r="AG881" t="s">
        <v>66</v>
      </c>
      <c r="AH881" t="s">
        <v>66</v>
      </c>
      <c r="AI881" t="s">
        <v>66</v>
      </c>
      <c r="AJ881" t="s">
        <v>66</v>
      </c>
      <c r="AK881">
        <v>1</v>
      </c>
      <c r="AL881" t="s">
        <v>3288</v>
      </c>
      <c r="AM881" t="s">
        <v>3289</v>
      </c>
      <c r="AN881" t="s">
        <v>66</v>
      </c>
      <c r="AO881" t="s">
        <v>66</v>
      </c>
      <c r="AP881">
        <v>1</v>
      </c>
      <c r="AQ881" t="s">
        <v>3290</v>
      </c>
      <c r="AR881" t="s">
        <v>3291</v>
      </c>
      <c r="AS881" t="s">
        <v>3292</v>
      </c>
      <c r="AT881" t="s">
        <v>66</v>
      </c>
    </row>
    <row r="882" spans="1:46" x14ac:dyDescent="0.15">
      <c r="A882" t="s">
        <v>3363</v>
      </c>
      <c r="B882" t="s">
        <v>3080</v>
      </c>
      <c r="C882" t="s">
        <v>3081</v>
      </c>
      <c r="D882">
        <v>55</v>
      </c>
      <c r="E882" t="s">
        <v>3082</v>
      </c>
      <c r="F882" t="s">
        <v>3083</v>
      </c>
      <c r="G882" t="s">
        <v>51</v>
      </c>
      <c r="H882" t="s">
        <v>3084</v>
      </c>
      <c r="I882" t="s">
        <v>1553</v>
      </c>
      <c r="J882" t="s">
        <v>54</v>
      </c>
      <c r="K882" t="s">
        <v>1555</v>
      </c>
      <c r="L882" t="s">
        <v>17</v>
      </c>
      <c r="M882" t="s">
        <v>18</v>
      </c>
      <c r="N882">
        <v>3531</v>
      </c>
      <c r="O882">
        <v>197</v>
      </c>
      <c r="P882">
        <v>0</v>
      </c>
      <c r="Q882" t="s">
        <v>3364</v>
      </c>
      <c r="R882" t="s">
        <v>3365</v>
      </c>
      <c r="S882" t="s">
        <v>3366</v>
      </c>
      <c r="T882" t="s">
        <v>3367</v>
      </c>
      <c r="U882" t="s">
        <v>60</v>
      </c>
      <c r="V882" t="s">
        <v>61</v>
      </c>
      <c r="W882">
        <v>5</v>
      </c>
      <c r="X882">
        <v>0.14874999999999999</v>
      </c>
      <c r="Y882" t="s">
        <v>243</v>
      </c>
      <c r="Z882" t="s">
        <v>421</v>
      </c>
      <c r="AA882">
        <v>2</v>
      </c>
      <c r="AB882" t="s">
        <v>3089</v>
      </c>
      <c r="AC882" t="s">
        <v>3090</v>
      </c>
      <c r="AD882" t="s">
        <v>3091</v>
      </c>
      <c r="AE882" t="s">
        <v>3092</v>
      </c>
      <c r="AF882" t="s">
        <v>3093</v>
      </c>
      <c r="AG882" t="s">
        <v>66</v>
      </c>
      <c r="AH882" t="s">
        <v>66</v>
      </c>
      <c r="AI882" t="s">
        <v>66</v>
      </c>
      <c r="AJ882" t="s">
        <v>66</v>
      </c>
      <c r="AK882">
        <v>1</v>
      </c>
      <c r="AL882" t="s">
        <v>3288</v>
      </c>
      <c r="AM882" t="s">
        <v>3289</v>
      </c>
      <c r="AN882" t="s">
        <v>66</v>
      </c>
      <c r="AO882" t="s">
        <v>66</v>
      </c>
      <c r="AP882">
        <v>1</v>
      </c>
      <c r="AQ882" t="s">
        <v>3290</v>
      </c>
      <c r="AR882" t="s">
        <v>3291</v>
      </c>
      <c r="AS882" t="s">
        <v>3292</v>
      </c>
      <c r="AT882" t="s">
        <v>66</v>
      </c>
    </row>
    <row r="883" spans="1:46" x14ac:dyDescent="0.15">
      <c r="A883" t="s">
        <v>3368</v>
      </c>
      <c r="B883" t="s">
        <v>3080</v>
      </c>
      <c r="C883" t="s">
        <v>3081</v>
      </c>
      <c r="D883">
        <v>56</v>
      </c>
      <c r="E883" t="s">
        <v>3082</v>
      </c>
      <c r="F883" t="s">
        <v>3083</v>
      </c>
      <c r="G883" t="s">
        <v>51</v>
      </c>
      <c r="H883" t="s">
        <v>3084</v>
      </c>
      <c r="I883" t="s">
        <v>1553</v>
      </c>
      <c r="J883" t="s">
        <v>54</v>
      </c>
      <c r="K883" t="s">
        <v>1555</v>
      </c>
      <c r="L883" t="s">
        <v>17</v>
      </c>
      <c r="M883" t="s">
        <v>18</v>
      </c>
      <c r="N883">
        <v>3587</v>
      </c>
      <c r="O883">
        <v>200</v>
      </c>
      <c r="P883">
        <v>0</v>
      </c>
      <c r="Q883" t="s">
        <v>3369</v>
      </c>
      <c r="R883" t="s">
        <v>3370</v>
      </c>
      <c r="S883" t="s">
        <v>3371</v>
      </c>
      <c r="T883" t="s">
        <v>3372</v>
      </c>
      <c r="U883" t="s">
        <v>60</v>
      </c>
      <c r="V883" t="s">
        <v>61</v>
      </c>
      <c r="W883">
        <v>5</v>
      </c>
      <c r="X883">
        <v>0.14874999999999999</v>
      </c>
      <c r="Y883" t="s">
        <v>427</v>
      </c>
      <c r="Z883" t="s">
        <v>428</v>
      </c>
      <c r="AA883">
        <v>2</v>
      </c>
      <c r="AB883" t="s">
        <v>3089</v>
      </c>
      <c r="AC883" t="s">
        <v>3090</v>
      </c>
      <c r="AD883" t="s">
        <v>3091</v>
      </c>
      <c r="AE883" t="s">
        <v>3092</v>
      </c>
      <c r="AF883" t="s">
        <v>3093</v>
      </c>
      <c r="AG883" t="s">
        <v>66</v>
      </c>
      <c r="AH883" t="s">
        <v>66</v>
      </c>
      <c r="AI883" t="s">
        <v>66</v>
      </c>
      <c r="AJ883" t="s">
        <v>66</v>
      </c>
      <c r="AK883">
        <v>1</v>
      </c>
      <c r="AL883" t="s">
        <v>3288</v>
      </c>
      <c r="AM883" t="s">
        <v>3289</v>
      </c>
      <c r="AN883" t="s">
        <v>66</v>
      </c>
      <c r="AO883" t="s">
        <v>66</v>
      </c>
      <c r="AP883">
        <v>1</v>
      </c>
      <c r="AQ883" t="s">
        <v>3290</v>
      </c>
      <c r="AR883" t="s">
        <v>3291</v>
      </c>
      <c r="AS883" t="s">
        <v>3292</v>
      </c>
      <c r="AT883" t="s">
        <v>66</v>
      </c>
    </row>
    <row r="884" spans="1:46" x14ac:dyDescent="0.15">
      <c r="A884" t="s">
        <v>3373</v>
      </c>
      <c r="B884" t="s">
        <v>3080</v>
      </c>
      <c r="C884" t="s">
        <v>3081</v>
      </c>
      <c r="D884">
        <v>57</v>
      </c>
      <c r="E884" t="s">
        <v>3082</v>
      </c>
      <c r="F884" t="s">
        <v>3083</v>
      </c>
      <c r="G884" t="s">
        <v>51</v>
      </c>
      <c r="H884" t="s">
        <v>3084</v>
      </c>
      <c r="I884" t="s">
        <v>1553</v>
      </c>
      <c r="J884" t="s">
        <v>54</v>
      </c>
      <c r="K884" t="s">
        <v>1555</v>
      </c>
      <c r="L884" t="s">
        <v>17</v>
      </c>
      <c r="M884" t="s">
        <v>18</v>
      </c>
      <c r="N884">
        <v>3643</v>
      </c>
      <c r="O884">
        <v>204</v>
      </c>
      <c r="P884">
        <v>0</v>
      </c>
      <c r="Q884" t="s">
        <v>3374</v>
      </c>
      <c r="R884" t="s">
        <v>3375</v>
      </c>
      <c r="S884" t="s">
        <v>3376</v>
      </c>
      <c r="T884" t="s">
        <v>3377</v>
      </c>
      <c r="U884" t="s">
        <v>60</v>
      </c>
      <c r="V884" t="s">
        <v>61</v>
      </c>
      <c r="W884">
        <v>5</v>
      </c>
      <c r="X884">
        <v>0.14874999999999999</v>
      </c>
      <c r="Y884" t="s">
        <v>249</v>
      </c>
      <c r="Z884" t="s">
        <v>434</v>
      </c>
      <c r="AA884">
        <v>2</v>
      </c>
      <c r="AB884" t="s">
        <v>3089</v>
      </c>
      <c r="AC884" t="s">
        <v>3090</v>
      </c>
      <c r="AD884" t="s">
        <v>3091</v>
      </c>
      <c r="AE884" t="s">
        <v>3092</v>
      </c>
      <c r="AF884" t="s">
        <v>3093</v>
      </c>
      <c r="AG884" t="s">
        <v>66</v>
      </c>
      <c r="AH884" t="s">
        <v>66</v>
      </c>
      <c r="AI884" t="s">
        <v>66</v>
      </c>
      <c r="AJ884" t="s">
        <v>66</v>
      </c>
      <c r="AK884">
        <v>1</v>
      </c>
      <c r="AL884" t="s">
        <v>3288</v>
      </c>
      <c r="AM884" t="s">
        <v>3289</v>
      </c>
      <c r="AN884" t="s">
        <v>66</v>
      </c>
      <c r="AO884" t="s">
        <v>66</v>
      </c>
      <c r="AP884">
        <v>1</v>
      </c>
      <c r="AQ884" t="s">
        <v>3290</v>
      </c>
      <c r="AR884" t="s">
        <v>3291</v>
      </c>
      <c r="AS884" t="s">
        <v>3292</v>
      </c>
      <c r="AT884" t="s">
        <v>66</v>
      </c>
    </row>
    <row r="885" spans="1:46" x14ac:dyDescent="0.15">
      <c r="A885" t="s">
        <v>3378</v>
      </c>
      <c r="B885" t="s">
        <v>3080</v>
      </c>
      <c r="C885" t="s">
        <v>3081</v>
      </c>
      <c r="D885">
        <v>58</v>
      </c>
      <c r="E885" t="s">
        <v>3082</v>
      </c>
      <c r="F885" t="s">
        <v>3083</v>
      </c>
      <c r="G885" t="s">
        <v>51</v>
      </c>
      <c r="H885" t="s">
        <v>3084</v>
      </c>
      <c r="I885" t="s">
        <v>1553</v>
      </c>
      <c r="J885" t="s">
        <v>54</v>
      </c>
      <c r="K885" t="s">
        <v>1555</v>
      </c>
      <c r="L885" t="s">
        <v>17</v>
      </c>
      <c r="M885" t="s">
        <v>18</v>
      </c>
      <c r="N885">
        <v>3699</v>
      </c>
      <c r="O885">
        <v>207</v>
      </c>
      <c r="P885">
        <v>0</v>
      </c>
      <c r="Q885" t="s">
        <v>3379</v>
      </c>
      <c r="R885" t="s">
        <v>3380</v>
      </c>
      <c r="S885" t="s">
        <v>3381</v>
      </c>
      <c r="T885" t="s">
        <v>3382</v>
      </c>
      <c r="U885" t="s">
        <v>60</v>
      </c>
      <c r="V885" t="s">
        <v>61</v>
      </c>
      <c r="W885">
        <v>5</v>
      </c>
      <c r="X885">
        <v>0.14874999999999999</v>
      </c>
      <c r="Y885" t="s">
        <v>440</v>
      </c>
      <c r="Z885" t="s">
        <v>441</v>
      </c>
      <c r="AA885">
        <v>2</v>
      </c>
      <c r="AB885" t="s">
        <v>3089</v>
      </c>
      <c r="AC885" t="s">
        <v>3090</v>
      </c>
      <c r="AD885" t="s">
        <v>3091</v>
      </c>
      <c r="AE885" t="s">
        <v>3092</v>
      </c>
      <c r="AF885" t="s">
        <v>3093</v>
      </c>
      <c r="AG885" t="s">
        <v>66</v>
      </c>
      <c r="AH885" t="s">
        <v>66</v>
      </c>
      <c r="AI885" t="s">
        <v>66</v>
      </c>
      <c r="AJ885" t="s">
        <v>66</v>
      </c>
      <c r="AK885">
        <v>1</v>
      </c>
      <c r="AL885" t="s">
        <v>3288</v>
      </c>
      <c r="AM885" t="s">
        <v>3289</v>
      </c>
      <c r="AN885" t="s">
        <v>66</v>
      </c>
      <c r="AO885" t="s">
        <v>66</v>
      </c>
      <c r="AP885">
        <v>1</v>
      </c>
      <c r="AQ885" t="s">
        <v>3290</v>
      </c>
      <c r="AR885" t="s">
        <v>3291</v>
      </c>
      <c r="AS885" t="s">
        <v>3292</v>
      </c>
      <c r="AT885" t="s">
        <v>66</v>
      </c>
    </row>
    <row r="886" spans="1:46" x14ac:dyDescent="0.15">
      <c r="A886" t="s">
        <v>3383</v>
      </c>
      <c r="B886" t="s">
        <v>3080</v>
      </c>
      <c r="C886" t="s">
        <v>3081</v>
      </c>
      <c r="D886">
        <v>59</v>
      </c>
      <c r="E886" t="s">
        <v>3082</v>
      </c>
      <c r="F886" t="s">
        <v>3083</v>
      </c>
      <c r="G886" t="s">
        <v>51</v>
      </c>
      <c r="H886" t="s">
        <v>3084</v>
      </c>
      <c r="I886" t="s">
        <v>1553</v>
      </c>
      <c r="J886" t="s">
        <v>54</v>
      </c>
      <c r="K886" t="s">
        <v>1555</v>
      </c>
      <c r="L886" t="s">
        <v>17</v>
      </c>
      <c r="M886" t="s">
        <v>18</v>
      </c>
      <c r="N886">
        <v>3755</v>
      </c>
      <c r="O886">
        <v>210</v>
      </c>
      <c r="P886">
        <v>0</v>
      </c>
      <c r="Q886" t="s">
        <v>3384</v>
      </c>
      <c r="R886" t="s">
        <v>3385</v>
      </c>
      <c r="S886" t="s">
        <v>3386</v>
      </c>
      <c r="T886" t="s">
        <v>3387</v>
      </c>
      <c r="U886" t="s">
        <v>60</v>
      </c>
      <c r="V886" t="s">
        <v>61</v>
      </c>
      <c r="W886">
        <v>5</v>
      </c>
      <c r="X886">
        <v>0.14874999999999999</v>
      </c>
      <c r="Y886" t="s">
        <v>256</v>
      </c>
      <c r="Z886" t="s">
        <v>447</v>
      </c>
      <c r="AA886">
        <v>2</v>
      </c>
      <c r="AB886" t="s">
        <v>3089</v>
      </c>
      <c r="AC886" t="s">
        <v>3090</v>
      </c>
      <c r="AD886" t="s">
        <v>3091</v>
      </c>
      <c r="AE886" t="s">
        <v>3092</v>
      </c>
      <c r="AF886" t="s">
        <v>3093</v>
      </c>
      <c r="AG886" t="s">
        <v>66</v>
      </c>
      <c r="AH886" t="s">
        <v>66</v>
      </c>
      <c r="AI886" t="s">
        <v>66</v>
      </c>
      <c r="AJ886" t="s">
        <v>66</v>
      </c>
      <c r="AK886">
        <v>1</v>
      </c>
      <c r="AL886" t="s">
        <v>3288</v>
      </c>
      <c r="AM886" t="s">
        <v>3289</v>
      </c>
      <c r="AN886" t="s">
        <v>66</v>
      </c>
      <c r="AO886" t="s">
        <v>66</v>
      </c>
      <c r="AP886">
        <v>1</v>
      </c>
      <c r="AQ886" t="s">
        <v>3290</v>
      </c>
      <c r="AR886" t="s">
        <v>3291</v>
      </c>
      <c r="AS886" t="s">
        <v>3292</v>
      </c>
      <c r="AT886" t="s">
        <v>66</v>
      </c>
    </row>
    <row r="887" spans="1:46" x14ac:dyDescent="0.15">
      <c r="A887" t="s">
        <v>3388</v>
      </c>
      <c r="B887" t="s">
        <v>3080</v>
      </c>
      <c r="C887" t="s">
        <v>3081</v>
      </c>
      <c r="D887">
        <v>60</v>
      </c>
      <c r="E887" t="s">
        <v>3082</v>
      </c>
      <c r="F887" t="s">
        <v>3083</v>
      </c>
      <c r="G887" t="s">
        <v>51</v>
      </c>
      <c r="H887" t="s">
        <v>3084</v>
      </c>
      <c r="I887" t="s">
        <v>1553</v>
      </c>
      <c r="J887" t="s">
        <v>54</v>
      </c>
      <c r="K887" t="s">
        <v>1555</v>
      </c>
      <c r="L887" t="s">
        <v>17</v>
      </c>
      <c r="M887" t="s">
        <v>18</v>
      </c>
      <c r="N887">
        <v>3811</v>
      </c>
      <c r="O887">
        <v>213</v>
      </c>
      <c r="P887">
        <v>0</v>
      </c>
      <c r="Q887" t="s">
        <v>3389</v>
      </c>
      <c r="R887" t="s">
        <v>3390</v>
      </c>
      <c r="S887" t="s">
        <v>3391</v>
      </c>
      <c r="T887" t="s">
        <v>3392</v>
      </c>
      <c r="U887" t="s">
        <v>60</v>
      </c>
      <c r="V887" t="s">
        <v>61</v>
      </c>
      <c r="W887">
        <v>5</v>
      </c>
      <c r="X887">
        <v>0.14874999999999999</v>
      </c>
      <c r="Y887" t="s">
        <v>453</v>
      </c>
      <c r="Z887" t="s">
        <v>454</v>
      </c>
      <c r="AA887">
        <v>2</v>
      </c>
      <c r="AB887" t="s">
        <v>3089</v>
      </c>
      <c r="AC887" t="s">
        <v>3090</v>
      </c>
      <c r="AD887" t="s">
        <v>3091</v>
      </c>
      <c r="AE887" t="s">
        <v>3092</v>
      </c>
      <c r="AF887" t="s">
        <v>3093</v>
      </c>
      <c r="AG887" t="s">
        <v>66</v>
      </c>
      <c r="AH887" t="s">
        <v>66</v>
      </c>
      <c r="AI887" t="s">
        <v>66</v>
      </c>
      <c r="AJ887" t="s">
        <v>66</v>
      </c>
      <c r="AK887">
        <v>1</v>
      </c>
      <c r="AL887" t="s">
        <v>3288</v>
      </c>
      <c r="AM887" t="s">
        <v>3289</v>
      </c>
      <c r="AN887" t="s">
        <v>66</v>
      </c>
      <c r="AO887" t="s">
        <v>66</v>
      </c>
      <c r="AP887">
        <v>1</v>
      </c>
      <c r="AQ887" t="s">
        <v>3290</v>
      </c>
      <c r="AR887" t="s">
        <v>3291</v>
      </c>
      <c r="AS887" t="s">
        <v>3292</v>
      </c>
      <c r="AT887" t="s">
        <v>66</v>
      </c>
    </row>
    <row r="888" spans="1:46" x14ac:dyDescent="0.15">
      <c r="A888" t="s">
        <v>3388</v>
      </c>
      <c r="B888" t="s">
        <v>3080</v>
      </c>
      <c r="C888" t="s">
        <v>3081</v>
      </c>
      <c r="D888">
        <v>60</v>
      </c>
      <c r="E888" t="s">
        <v>3082</v>
      </c>
      <c r="F888" t="s">
        <v>3083</v>
      </c>
      <c r="G888" t="s">
        <v>51</v>
      </c>
      <c r="H888" t="s">
        <v>3084</v>
      </c>
      <c r="I888" t="s">
        <v>1553</v>
      </c>
      <c r="J888" t="s">
        <v>54</v>
      </c>
      <c r="K888" t="s">
        <v>1555</v>
      </c>
      <c r="L888" t="s">
        <v>17</v>
      </c>
      <c r="M888" t="s">
        <v>18</v>
      </c>
      <c r="N888">
        <v>3811</v>
      </c>
      <c r="O888">
        <v>213</v>
      </c>
      <c r="P888">
        <v>0</v>
      </c>
      <c r="Q888" t="s">
        <v>3389</v>
      </c>
      <c r="R888" t="s">
        <v>3390</v>
      </c>
      <c r="S888" t="s">
        <v>3391</v>
      </c>
      <c r="T888" t="s">
        <v>3392</v>
      </c>
      <c r="U888" t="s">
        <v>60</v>
      </c>
      <c r="V888" t="s">
        <v>61</v>
      </c>
      <c r="W888">
        <v>5</v>
      </c>
      <c r="X888">
        <v>0.14874999999999999</v>
      </c>
      <c r="Y888" t="s">
        <v>453</v>
      </c>
      <c r="Z888" t="s">
        <v>454</v>
      </c>
      <c r="AA888">
        <v>3</v>
      </c>
      <c r="AB888" t="s">
        <v>3089</v>
      </c>
      <c r="AC888" t="s">
        <v>3090</v>
      </c>
      <c r="AD888" t="s">
        <v>3091</v>
      </c>
      <c r="AE888" t="s">
        <v>3092</v>
      </c>
      <c r="AF888" t="s">
        <v>3093</v>
      </c>
      <c r="AG888" t="s">
        <v>322</v>
      </c>
      <c r="AH888" t="s">
        <v>191</v>
      </c>
      <c r="AI888" t="s">
        <v>322</v>
      </c>
      <c r="AJ888" t="s">
        <v>66</v>
      </c>
      <c r="AK888">
        <v>1</v>
      </c>
      <c r="AL888" t="s">
        <v>3288</v>
      </c>
      <c r="AM888" t="s">
        <v>3289</v>
      </c>
      <c r="AN888" t="s">
        <v>3393</v>
      </c>
      <c r="AO888" t="s">
        <v>66</v>
      </c>
      <c r="AP888">
        <v>1</v>
      </c>
      <c r="AQ888" t="s">
        <v>3290</v>
      </c>
      <c r="AR888" t="s">
        <v>3291</v>
      </c>
      <c r="AS888" t="s">
        <v>3292</v>
      </c>
      <c r="AT888" t="s">
        <v>66</v>
      </c>
    </row>
    <row r="889" spans="1:46" x14ac:dyDescent="0.15">
      <c r="A889" t="s">
        <v>3394</v>
      </c>
      <c r="B889" t="s">
        <v>3080</v>
      </c>
      <c r="C889" t="s">
        <v>3081</v>
      </c>
      <c r="D889">
        <v>61</v>
      </c>
      <c r="E889" t="s">
        <v>3082</v>
      </c>
      <c r="F889" t="s">
        <v>3083</v>
      </c>
      <c r="G889" t="s">
        <v>51</v>
      </c>
      <c r="H889" t="s">
        <v>3084</v>
      </c>
      <c r="I889" t="s">
        <v>1553</v>
      </c>
      <c r="J889" t="s">
        <v>54</v>
      </c>
      <c r="K889" t="s">
        <v>1555</v>
      </c>
      <c r="L889" t="s">
        <v>17</v>
      </c>
      <c r="M889" t="s">
        <v>18</v>
      </c>
      <c r="N889">
        <v>3867</v>
      </c>
      <c r="O889">
        <v>216</v>
      </c>
      <c r="P889">
        <v>0</v>
      </c>
      <c r="Q889" t="s">
        <v>3395</v>
      </c>
      <c r="R889" t="s">
        <v>3396</v>
      </c>
      <c r="S889" t="s">
        <v>3397</v>
      </c>
      <c r="T889" t="s">
        <v>3398</v>
      </c>
      <c r="U889" t="s">
        <v>60</v>
      </c>
      <c r="V889" t="s">
        <v>61</v>
      </c>
      <c r="W889">
        <v>5</v>
      </c>
      <c r="X889">
        <v>0.14874999999999999</v>
      </c>
      <c r="Y889" t="s">
        <v>262</v>
      </c>
      <c r="Z889" t="s">
        <v>465</v>
      </c>
      <c r="AA889">
        <v>3</v>
      </c>
      <c r="AB889" t="s">
        <v>3089</v>
      </c>
      <c r="AC889" t="s">
        <v>3090</v>
      </c>
      <c r="AD889" t="s">
        <v>3091</v>
      </c>
      <c r="AE889" t="s">
        <v>3092</v>
      </c>
      <c r="AF889" t="s">
        <v>3093</v>
      </c>
      <c r="AG889" t="s">
        <v>322</v>
      </c>
      <c r="AH889" t="s">
        <v>191</v>
      </c>
      <c r="AI889" t="s">
        <v>322</v>
      </c>
      <c r="AJ889" t="s">
        <v>66</v>
      </c>
      <c r="AK889">
        <v>1</v>
      </c>
      <c r="AL889" t="s">
        <v>3288</v>
      </c>
      <c r="AM889" t="s">
        <v>3289</v>
      </c>
      <c r="AN889" t="s">
        <v>3393</v>
      </c>
      <c r="AO889" t="s">
        <v>66</v>
      </c>
      <c r="AP889">
        <v>1</v>
      </c>
      <c r="AQ889" t="s">
        <v>3290</v>
      </c>
      <c r="AR889" t="s">
        <v>3291</v>
      </c>
      <c r="AS889" t="s">
        <v>3292</v>
      </c>
      <c r="AT889" t="s">
        <v>66</v>
      </c>
    </row>
    <row r="890" spans="1:46" x14ac:dyDescent="0.15">
      <c r="A890" t="s">
        <v>3399</v>
      </c>
      <c r="B890" t="s">
        <v>3080</v>
      </c>
      <c r="C890" t="s">
        <v>3081</v>
      </c>
      <c r="D890">
        <v>62</v>
      </c>
      <c r="E890" t="s">
        <v>3082</v>
      </c>
      <c r="F890" t="s">
        <v>3083</v>
      </c>
      <c r="G890" t="s">
        <v>51</v>
      </c>
      <c r="H890" t="s">
        <v>3084</v>
      </c>
      <c r="I890" t="s">
        <v>1553</v>
      </c>
      <c r="J890" t="s">
        <v>54</v>
      </c>
      <c r="K890" t="s">
        <v>1555</v>
      </c>
      <c r="L890" t="s">
        <v>17</v>
      </c>
      <c r="M890" t="s">
        <v>18</v>
      </c>
      <c r="N890">
        <v>3923</v>
      </c>
      <c r="O890">
        <v>219</v>
      </c>
      <c r="P890">
        <v>0</v>
      </c>
      <c r="Q890" t="s">
        <v>3400</v>
      </c>
      <c r="R890" t="s">
        <v>3401</v>
      </c>
      <c r="S890" t="s">
        <v>3402</v>
      </c>
      <c r="T890" t="s">
        <v>3403</v>
      </c>
      <c r="U890" t="s">
        <v>60</v>
      </c>
      <c r="V890" t="s">
        <v>61</v>
      </c>
      <c r="W890">
        <v>5</v>
      </c>
      <c r="X890">
        <v>0.14874999999999999</v>
      </c>
      <c r="Y890" t="s">
        <v>471</v>
      </c>
      <c r="Z890" t="s">
        <v>472</v>
      </c>
      <c r="AA890">
        <v>3</v>
      </c>
      <c r="AB890" t="s">
        <v>3089</v>
      </c>
      <c r="AC890" t="s">
        <v>3090</v>
      </c>
      <c r="AD890" t="s">
        <v>3091</v>
      </c>
      <c r="AE890" t="s">
        <v>3092</v>
      </c>
      <c r="AF890" t="s">
        <v>3093</v>
      </c>
      <c r="AG890" t="s">
        <v>322</v>
      </c>
      <c r="AH890" t="s">
        <v>191</v>
      </c>
      <c r="AI890" t="s">
        <v>322</v>
      </c>
      <c r="AJ890" t="s">
        <v>66</v>
      </c>
      <c r="AK890">
        <v>1</v>
      </c>
      <c r="AL890" t="s">
        <v>3288</v>
      </c>
      <c r="AM890" t="s">
        <v>3289</v>
      </c>
      <c r="AN890" t="s">
        <v>3393</v>
      </c>
      <c r="AO890" t="s">
        <v>66</v>
      </c>
      <c r="AP890">
        <v>1</v>
      </c>
      <c r="AQ890" t="s">
        <v>3290</v>
      </c>
      <c r="AR890" t="s">
        <v>3291</v>
      </c>
      <c r="AS890" t="s">
        <v>3292</v>
      </c>
      <c r="AT890" t="s">
        <v>66</v>
      </c>
    </row>
    <row r="891" spans="1:46" x14ac:dyDescent="0.15">
      <c r="A891" t="s">
        <v>3404</v>
      </c>
      <c r="B891" t="s">
        <v>3080</v>
      </c>
      <c r="C891" t="s">
        <v>3081</v>
      </c>
      <c r="D891">
        <v>63</v>
      </c>
      <c r="E891" t="s">
        <v>3082</v>
      </c>
      <c r="F891" t="s">
        <v>3083</v>
      </c>
      <c r="G891" t="s">
        <v>51</v>
      </c>
      <c r="H891" t="s">
        <v>3084</v>
      </c>
      <c r="I891" t="s">
        <v>1553</v>
      </c>
      <c r="J891" t="s">
        <v>54</v>
      </c>
      <c r="K891" t="s">
        <v>1555</v>
      </c>
      <c r="L891" t="s">
        <v>17</v>
      </c>
      <c r="M891" t="s">
        <v>18</v>
      </c>
      <c r="N891">
        <v>3980</v>
      </c>
      <c r="O891">
        <v>222</v>
      </c>
      <c r="P891">
        <v>0</v>
      </c>
      <c r="Q891" t="s">
        <v>3405</v>
      </c>
      <c r="R891" t="s">
        <v>3406</v>
      </c>
      <c r="S891" t="s">
        <v>3407</v>
      </c>
      <c r="T891" t="s">
        <v>3408</v>
      </c>
      <c r="U891" t="s">
        <v>60</v>
      </c>
      <c r="V891" t="s">
        <v>61</v>
      </c>
      <c r="W891">
        <v>5</v>
      </c>
      <c r="X891">
        <v>0.14874999999999999</v>
      </c>
      <c r="Y891" t="s">
        <v>269</v>
      </c>
      <c r="Z891" t="s">
        <v>478</v>
      </c>
      <c r="AA891">
        <v>3</v>
      </c>
      <c r="AB891" t="s">
        <v>3089</v>
      </c>
      <c r="AC891" t="s">
        <v>3090</v>
      </c>
      <c r="AD891" t="s">
        <v>3091</v>
      </c>
      <c r="AE891" t="s">
        <v>3092</v>
      </c>
      <c r="AF891" t="s">
        <v>3093</v>
      </c>
      <c r="AG891" t="s">
        <v>322</v>
      </c>
      <c r="AH891" t="s">
        <v>191</v>
      </c>
      <c r="AI891" t="s">
        <v>322</v>
      </c>
      <c r="AJ891" t="s">
        <v>66</v>
      </c>
      <c r="AK891">
        <v>1</v>
      </c>
      <c r="AL891" t="s">
        <v>3288</v>
      </c>
      <c r="AM891" t="s">
        <v>3289</v>
      </c>
      <c r="AN891" t="s">
        <v>3393</v>
      </c>
      <c r="AO891" t="s">
        <v>66</v>
      </c>
      <c r="AP891">
        <v>1</v>
      </c>
      <c r="AQ891" t="s">
        <v>3290</v>
      </c>
      <c r="AR891" t="s">
        <v>3291</v>
      </c>
      <c r="AS891" t="s">
        <v>3292</v>
      </c>
      <c r="AT891" t="s">
        <v>66</v>
      </c>
    </row>
    <row r="892" spans="1:46" x14ac:dyDescent="0.15">
      <c r="A892" t="s">
        <v>3409</v>
      </c>
      <c r="B892" t="s">
        <v>3080</v>
      </c>
      <c r="C892" t="s">
        <v>3081</v>
      </c>
      <c r="D892">
        <v>64</v>
      </c>
      <c r="E892" t="s">
        <v>3082</v>
      </c>
      <c r="F892" t="s">
        <v>3083</v>
      </c>
      <c r="G892" t="s">
        <v>51</v>
      </c>
      <c r="H892" t="s">
        <v>3084</v>
      </c>
      <c r="I892" t="s">
        <v>1553</v>
      </c>
      <c r="J892" t="s">
        <v>54</v>
      </c>
      <c r="K892" t="s">
        <v>1555</v>
      </c>
      <c r="L892" t="s">
        <v>17</v>
      </c>
      <c r="M892" t="s">
        <v>18</v>
      </c>
      <c r="N892">
        <v>4036</v>
      </c>
      <c r="O892">
        <v>225</v>
      </c>
      <c r="P892">
        <v>0</v>
      </c>
      <c r="Q892" t="s">
        <v>3410</v>
      </c>
      <c r="R892" t="s">
        <v>3411</v>
      </c>
      <c r="S892" t="s">
        <v>3412</v>
      </c>
      <c r="T892" t="s">
        <v>3413</v>
      </c>
      <c r="U892" t="s">
        <v>60</v>
      </c>
      <c r="V892" t="s">
        <v>61</v>
      </c>
      <c r="W892">
        <v>5</v>
      </c>
      <c r="X892">
        <v>0.14874999999999999</v>
      </c>
      <c r="Y892" t="s">
        <v>484</v>
      </c>
      <c r="Z892" t="s">
        <v>485</v>
      </c>
      <c r="AA892">
        <v>3</v>
      </c>
      <c r="AB892" t="s">
        <v>3089</v>
      </c>
      <c r="AC892" t="s">
        <v>3090</v>
      </c>
      <c r="AD892" t="s">
        <v>3091</v>
      </c>
      <c r="AE892" t="s">
        <v>3092</v>
      </c>
      <c r="AF892" t="s">
        <v>3093</v>
      </c>
      <c r="AG892" t="s">
        <v>322</v>
      </c>
      <c r="AH892" t="s">
        <v>191</v>
      </c>
      <c r="AI892" t="s">
        <v>322</v>
      </c>
      <c r="AJ892" t="s">
        <v>66</v>
      </c>
      <c r="AK892">
        <v>1</v>
      </c>
      <c r="AL892" t="s">
        <v>3288</v>
      </c>
      <c r="AM892" t="s">
        <v>3289</v>
      </c>
      <c r="AN892" t="s">
        <v>3393</v>
      </c>
      <c r="AO892" t="s">
        <v>66</v>
      </c>
      <c r="AP892">
        <v>1</v>
      </c>
      <c r="AQ892" t="s">
        <v>3290</v>
      </c>
      <c r="AR892" t="s">
        <v>3291</v>
      </c>
      <c r="AS892" t="s">
        <v>3292</v>
      </c>
      <c r="AT892" t="s">
        <v>66</v>
      </c>
    </row>
    <row r="893" spans="1:46" x14ac:dyDescent="0.15">
      <c r="A893" t="s">
        <v>3414</v>
      </c>
      <c r="B893" t="s">
        <v>3080</v>
      </c>
      <c r="C893" t="s">
        <v>3081</v>
      </c>
      <c r="D893">
        <v>65</v>
      </c>
      <c r="E893" t="s">
        <v>3082</v>
      </c>
      <c r="F893" t="s">
        <v>3083</v>
      </c>
      <c r="G893" t="s">
        <v>51</v>
      </c>
      <c r="H893" t="s">
        <v>3084</v>
      </c>
      <c r="I893" t="s">
        <v>1553</v>
      </c>
      <c r="J893" t="s">
        <v>54</v>
      </c>
      <c r="K893" t="s">
        <v>1555</v>
      </c>
      <c r="L893" t="s">
        <v>17</v>
      </c>
      <c r="M893" t="s">
        <v>18</v>
      </c>
      <c r="N893">
        <v>4092</v>
      </c>
      <c r="O893">
        <v>228</v>
      </c>
      <c r="P893">
        <v>0</v>
      </c>
      <c r="Q893" t="s">
        <v>3415</v>
      </c>
      <c r="R893" t="s">
        <v>3416</v>
      </c>
      <c r="S893" t="s">
        <v>3417</v>
      </c>
      <c r="T893" t="s">
        <v>3418</v>
      </c>
      <c r="U893" t="s">
        <v>60</v>
      </c>
      <c r="V893" t="s">
        <v>61</v>
      </c>
      <c r="W893">
        <v>5</v>
      </c>
      <c r="X893">
        <v>0.14874999999999999</v>
      </c>
      <c r="Y893" t="s">
        <v>275</v>
      </c>
      <c r="Z893" t="s">
        <v>491</v>
      </c>
      <c r="AA893">
        <v>3</v>
      </c>
      <c r="AB893" t="s">
        <v>3089</v>
      </c>
      <c r="AC893" t="s">
        <v>3090</v>
      </c>
      <c r="AD893" t="s">
        <v>3091</v>
      </c>
      <c r="AE893" t="s">
        <v>3092</v>
      </c>
      <c r="AF893" t="s">
        <v>3093</v>
      </c>
      <c r="AG893" t="s">
        <v>322</v>
      </c>
      <c r="AH893" t="s">
        <v>191</v>
      </c>
      <c r="AI893" t="s">
        <v>322</v>
      </c>
      <c r="AJ893" t="s">
        <v>66</v>
      </c>
      <c r="AK893">
        <v>1</v>
      </c>
      <c r="AL893" t="s">
        <v>3288</v>
      </c>
      <c r="AM893" t="s">
        <v>3289</v>
      </c>
      <c r="AN893" t="s">
        <v>3393</v>
      </c>
      <c r="AO893" t="s">
        <v>66</v>
      </c>
      <c r="AP893">
        <v>1</v>
      </c>
      <c r="AQ893" t="s">
        <v>3290</v>
      </c>
      <c r="AR893" t="s">
        <v>3291</v>
      </c>
      <c r="AS893" t="s">
        <v>3292</v>
      </c>
      <c r="AT893" t="s">
        <v>66</v>
      </c>
    </row>
    <row r="894" spans="1:46" x14ac:dyDescent="0.15">
      <c r="A894" t="s">
        <v>3419</v>
      </c>
      <c r="B894" t="s">
        <v>3080</v>
      </c>
      <c r="C894" t="s">
        <v>3081</v>
      </c>
      <c r="D894">
        <v>66</v>
      </c>
      <c r="E894" t="s">
        <v>3082</v>
      </c>
      <c r="F894" t="s">
        <v>3083</v>
      </c>
      <c r="G894" t="s">
        <v>51</v>
      </c>
      <c r="H894" t="s">
        <v>3084</v>
      </c>
      <c r="I894" t="s">
        <v>1553</v>
      </c>
      <c r="J894" t="s">
        <v>54</v>
      </c>
      <c r="K894" t="s">
        <v>1555</v>
      </c>
      <c r="L894" t="s">
        <v>17</v>
      </c>
      <c r="M894" t="s">
        <v>18</v>
      </c>
      <c r="N894">
        <v>4148</v>
      </c>
      <c r="O894">
        <v>231</v>
      </c>
      <c r="P894">
        <v>0</v>
      </c>
      <c r="Q894" t="s">
        <v>3420</v>
      </c>
      <c r="R894" t="s">
        <v>3421</v>
      </c>
      <c r="S894" t="s">
        <v>3422</v>
      </c>
      <c r="T894" t="s">
        <v>3423</v>
      </c>
      <c r="U894" t="s">
        <v>60</v>
      </c>
      <c r="V894" t="s">
        <v>61</v>
      </c>
      <c r="W894">
        <v>5</v>
      </c>
      <c r="X894">
        <v>0.14874999999999999</v>
      </c>
      <c r="Y894" t="s">
        <v>497</v>
      </c>
      <c r="Z894" t="s">
        <v>498</v>
      </c>
      <c r="AA894">
        <v>3</v>
      </c>
      <c r="AB894" t="s">
        <v>3089</v>
      </c>
      <c r="AC894" t="s">
        <v>3090</v>
      </c>
      <c r="AD894" t="s">
        <v>3091</v>
      </c>
      <c r="AE894" t="s">
        <v>3092</v>
      </c>
      <c r="AF894" t="s">
        <v>3093</v>
      </c>
      <c r="AG894" t="s">
        <v>322</v>
      </c>
      <c r="AH894" t="s">
        <v>191</v>
      </c>
      <c r="AI894" t="s">
        <v>322</v>
      </c>
      <c r="AJ894" t="s">
        <v>66</v>
      </c>
      <c r="AK894">
        <v>1</v>
      </c>
      <c r="AL894" t="s">
        <v>3288</v>
      </c>
      <c r="AM894" t="s">
        <v>3289</v>
      </c>
      <c r="AN894" t="s">
        <v>3393</v>
      </c>
      <c r="AO894" t="s">
        <v>66</v>
      </c>
      <c r="AP894">
        <v>1</v>
      </c>
      <c r="AQ894" t="s">
        <v>3290</v>
      </c>
      <c r="AR894" t="s">
        <v>3291</v>
      </c>
      <c r="AS894" t="s">
        <v>3292</v>
      </c>
      <c r="AT894" t="s">
        <v>66</v>
      </c>
    </row>
    <row r="895" spans="1:46" x14ac:dyDescent="0.15">
      <c r="A895" t="s">
        <v>3424</v>
      </c>
      <c r="B895" t="s">
        <v>3080</v>
      </c>
      <c r="C895" t="s">
        <v>3081</v>
      </c>
      <c r="D895">
        <v>67</v>
      </c>
      <c r="E895" t="s">
        <v>3082</v>
      </c>
      <c r="F895" t="s">
        <v>3083</v>
      </c>
      <c r="G895" t="s">
        <v>51</v>
      </c>
      <c r="H895" t="s">
        <v>3084</v>
      </c>
      <c r="I895" t="s">
        <v>1553</v>
      </c>
      <c r="J895" t="s">
        <v>54</v>
      </c>
      <c r="K895" t="s">
        <v>1555</v>
      </c>
      <c r="L895" t="s">
        <v>17</v>
      </c>
      <c r="M895" t="s">
        <v>18</v>
      </c>
      <c r="N895">
        <v>4204</v>
      </c>
      <c r="O895">
        <v>235</v>
      </c>
      <c r="P895">
        <v>0</v>
      </c>
      <c r="Q895" t="s">
        <v>3425</v>
      </c>
      <c r="R895" t="s">
        <v>3426</v>
      </c>
      <c r="S895" t="s">
        <v>3427</v>
      </c>
      <c r="T895" t="s">
        <v>3428</v>
      </c>
      <c r="U895" t="s">
        <v>60</v>
      </c>
      <c r="V895" t="s">
        <v>61</v>
      </c>
      <c r="W895">
        <v>5</v>
      </c>
      <c r="X895">
        <v>0.14874999999999999</v>
      </c>
      <c r="Y895" t="s">
        <v>282</v>
      </c>
      <c r="Z895" t="s">
        <v>504</v>
      </c>
      <c r="AA895">
        <v>3</v>
      </c>
      <c r="AB895" t="s">
        <v>3089</v>
      </c>
      <c r="AC895" t="s">
        <v>3090</v>
      </c>
      <c r="AD895" t="s">
        <v>3091</v>
      </c>
      <c r="AE895" t="s">
        <v>3092</v>
      </c>
      <c r="AF895" t="s">
        <v>3093</v>
      </c>
      <c r="AG895" t="s">
        <v>322</v>
      </c>
      <c r="AH895" t="s">
        <v>191</v>
      </c>
      <c r="AI895" t="s">
        <v>322</v>
      </c>
      <c r="AJ895" t="s">
        <v>66</v>
      </c>
      <c r="AK895">
        <v>1</v>
      </c>
      <c r="AL895" t="s">
        <v>3288</v>
      </c>
      <c r="AM895" t="s">
        <v>3289</v>
      </c>
      <c r="AN895" t="s">
        <v>3393</v>
      </c>
      <c r="AO895" t="s">
        <v>66</v>
      </c>
      <c r="AP895">
        <v>1</v>
      </c>
      <c r="AQ895" t="s">
        <v>3290</v>
      </c>
      <c r="AR895" t="s">
        <v>3291</v>
      </c>
      <c r="AS895" t="s">
        <v>3292</v>
      </c>
      <c r="AT895" t="s">
        <v>66</v>
      </c>
    </row>
    <row r="896" spans="1:46" x14ac:dyDescent="0.15">
      <c r="A896" t="s">
        <v>3429</v>
      </c>
      <c r="B896" t="s">
        <v>3080</v>
      </c>
      <c r="C896" t="s">
        <v>3081</v>
      </c>
      <c r="D896">
        <v>68</v>
      </c>
      <c r="E896" t="s">
        <v>3082</v>
      </c>
      <c r="F896" t="s">
        <v>3083</v>
      </c>
      <c r="G896" t="s">
        <v>51</v>
      </c>
      <c r="H896" t="s">
        <v>3084</v>
      </c>
      <c r="I896" t="s">
        <v>1553</v>
      </c>
      <c r="J896" t="s">
        <v>54</v>
      </c>
      <c r="K896" t="s">
        <v>1555</v>
      </c>
      <c r="L896" t="s">
        <v>17</v>
      </c>
      <c r="M896" t="s">
        <v>18</v>
      </c>
      <c r="N896">
        <v>4260</v>
      </c>
      <c r="O896">
        <v>238</v>
      </c>
      <c r="P896">
        <v>0</v>
      </c>
      <c r="Q896" t="s">
        <v>3430</v>
      </c>
      <c r="R896" t="s">
        <v>3431</v>
      </c>
      <c r="S896" t="s">
        <v>3432</v>
      </c>
      <c r="T896" t="s">
        <v>3433</v>
      </c>
      <c r="U896" t="s">
        <v>60</v>
      </c>
      <c r="V896" t="s">
        <v>61</v>
      </c>
      <c r="W896">
        <v>5</v>
      </c>
      <c r="X896">
        <v>0.14874999999999999</v>
      </c>
      <c r="Y896" t="s">
        <v>510</v>
      </c>
      <c r="Z896" t="s">
        <v>511</v>
      </c>
      <c r="AA896">
        <v>3</v>
      </c>
      <c r="AB896" t="s">
        <v>3089</v>
      </c>
      <c r="AC896" t="s">
        <v>3090</v>
      </c>
      <c r="AD896" t="s">
        <v>3091</v>
      </c>
      <c r="AE896" t="s">
        <v>3092</v>
      </c>
      <c r="AF896" t="s">
        <v>3093</v>
      </c>
      <c r="AG896" t="s">
        <v>322</v>
      </c>
      <c r="AH896" t="s">
        <v>191</v>
      </c>
      <c r="AI896" t="s">
        <v>322</v>
      </c>
      <c r="AJ896" t="s">
        <v>66</v>
      </c>
      <c r="AK896">
        <v>1</v>
      </c>
      <c r="AL896" t="s">
        <v>3288</v>
      </c>
      <c r="AM896" t="s">
        <v>3289</v>
      </c>
      <c r="AN896" t="s">
        <v>3393</v>
      </c>
      <c r="AO896" t="s">
        <v>66</v>
      </c>
      <c r="AP896">
        <v>1</v>
      </c>
      <c r="AQ896" t="s">
        <v>3290</v>
      </c>
      <c r="AR896" t="s">
        <v>3291</v>
      </c>
      <c r="AS896" t="s">
        <v>3292</v>
      </c>
      <c r="AT896" t="s">
        <v>66</v>
      </c>
    </row>
    <row r="897" spans="1:46" x14ac:dyDescent="0.15">
      <c r="A897" t="s">
        <v>3434</v>
      </c>
      <c r="B897" t="s">
        <v>3080</v>
      </c>
      <c r="C897" t="s">
        <v>3081</v>
      </c>
      <c r="D897">
        <v>69</v>
      </c>
      <c r="E897" t="s">
        <v>3082</v>
      </c>
      <c r="F897" t="s">
        <v>3083</v>
      </c>
      <c r="G897" t="s">
        <v>51</v>
      </c>
      <c r="H897" t="s">
        <v>3084</v>
      </c>
      <c r="I897" t="s">
        <v>1553</v>
      </c>
      <c r="J897" t="s">
        <v>54</v>
      </c>
      <c r="K897" t="s">
        <v>1555</v>
      </c>
      <c r="L897" t="s">
        <v>17</v>
      </c>
      <c r="M897" t="s">
        <v>18</v>
      </c>
      <c r="N897">
        <v>4316</v>
      </c>
      <c r="O897">
        <v>241</v>
      </c>
      <c r="P897">
        <v>0</v>
      </c>
      <c r="Q897" t="s">
        <v>3435</v>
      </c>
      <c r="R897" t="s">
        <v>3436</v>
      </c>
      <c r="S897" t="s">
        <v>3437</v>
      </c>
      <c r="T897" t="s">
        <v>3438</v>
      </c>
      <c r="U897" t="s">
        <v>60</v>
      </c>
      <c r="V897" t="s">
        <v>61</v>
      </c>
      <c r="W897">
        <v>5</v>
      </c>
      <c r="X897">
        <v>0.14874999999999999</v>
      </c>
      <c r="Y897" t="s">
        <v>288</v>
      </c>
      <c r="Z897" t="s">
        <v>517</v>
      </c>
      <c r="AA897">
        <v>3</v>
      </c>
      <c r="AB897" t="s">
        <v>3089</v>
      </c>
      <c r="AC897" t="s">
        <v>3090</v>
      </c>
      <c r="AD897" t="s">
        <v>3091</v>
      </c>
      <c r="AE897" t="s">
        <v>3092</v>
      </c>
      <c r="AF897" t="s">
        <v>3093</v>
      </c>
      <c r="AG897" t="s">
        <v>322</v>
      </c>
      <c r="AH897" t="s">
        <v>191</v>
      </c>
      <c r="AI897" t="s">
        <v>322</v>
      </c>
      <c r="AJ897" t="s">
        <v>66</v>
      </c>
      <c r="AK897">
        <v>1</v>
      </c>
      <c r="AL897" t="s">
        <v>3288</v>
      </c>
      <c r="AM897" t="s">
        <v>3289</v>
      </c>
      <c r="AN897" t="s">
        <v>3393</v>
      </c>
      <c r="AO897" t="s">
        <v>66</v>
      </c>
      <c r="AP897">
        <v>1</v>
      </c>
      <c r="AQ897" t="s">
        <v>3290</v>
      </c>
      <c r="AR897" t="s">
        <v>3291</v>
      </c>
      <c r="AS897" t="s">
        <v>3292</v>
      </c>
      <c r="AT897" t="s">
        <v>66</v>
      </c>
    </row>
    <row r="898" spans="1:46" x14ac:dyDescent="0.15">
      <c r="A898" t="s">
        <v>3439</v>
      </c>
      <c r="B898" t="s">
        <v>3080</v>
      </c>
      <c r="C898" t="s">
        <v>3081</v>
      </c>
      <c r="D898">
        <v>70</v>
      </c>
      <c r="E898" t="s">
        <v>3082</v>
      </c>
      <c r="F898" t="s">
        <v>3083</v>
      </c>
      <c r="G898" t="s">
        <v>51</v>
      </c>
      <c r="H898" t="s">
        <v>3084</v>
      </c>
      <c r="I898" t="s">
        <v>1553</v>
      </c>
      <c r="J898" t="s">
        <v>54</v>
      </c>
      <c r="K898" t="s">
        <v>1555</v>
      </c>
      <c r="L898" t="s">
        <v>17</v>
      </c>
      <c r="M898" t="s">
        <v>18</v>
      </c>
      <c r="N898">
        <v>4372</v>
      </c>
      <c r="O898">
        <v>244</v>
      </c>
      <c r="P898">
        <v>0</v>
      </c>
      <c r="Q898" t="s">
        <v>3440</v>
      </c>
      <c r="R898" t="s">
        <v>3441</v>
      </c>
      <c r="S898" t="s">
        <v>3442</v>
      </c>
      <c r="T898" t="s">
        <v>3443</v>
      </c>
      <c r="U898" t="s">
        <v>60</v>
      </c>
      <c r="V898" t="s">
        <v>61</v>
      </c>
      <c r="W898">
        <v>5</v>
      </c>
      <c r="X898">
        <v>0.14874999999999999</v>
      </c>
      <c r="Y898" t="s">
        <v>523</v>
      </c>
      <c r="Z898" t="s">
        <v>524</v>
      </c>
      <c r="AA898">
        <v>3</v>
      </c>
      <c r="AB898" t="s">
        <v>3089</v>
      </c>
      <c r="AC898" t="s">
        <v>3090</v>
      </c>
      <c r="AD898" t="s">
        <v>3091</v>
      </c>
      <c r="AE898" t="s">
        <v>3092</v>
      </c>
      <c r="AF898" t="s">
        <v>3093</v>
      </c>
      <c r="AG898" t="s">
        <v>322</v>
      </c>
      <c r="AH898" t="s">
        <v>191</v>
      </c>
      <c r="AI898" t="s">
        <v>322</v>
      </c>
      <c r="AJ898" t="s">
        <v>66</v>
      </c>
      <c r="AK898">
        <v>1</v>
      </c>
      <c r="AL898" t="s">
        <v>3288</v>
      </c>
      <c r="AM898" t="s">
        <v>3289</v>
      </c>
      <c r="AN898" t="s">
        <v>3393</v>
      </c>
      <c r="AO898" t="s">
        <v>66</v>
      </c>
      <c r="AP898">
        <v>1</v>
      </c>
      <c r="AQ898" t="s">
        <v>3290</v>
      </c>
      <c r="AR898" t="s">
        <v>3291</v>
      </c>
      <c r="AS898" t="s">
        <v>3292</v>
      </c>
      <c r="AT898" t="s">
        <v>66</v>
      </c>
    </row>
    <row r="899" spans="1:46" x14ac:dyDescent="0.15">
      <c r="A899" t="s">
        <v>3444</v>
      </c>
      <c r="B899" t="s">
        <v>3080</v>
      </c>
      <c r="C899" t="s">
        <v>3081</v>
      </c>
      <c r="D899">
        <v>71</v>
      </c>
      <c r="E899" t="s">
        <v>3082</v>
      </c>
      <c r="F899" t="s">
        <v>3083</v>
      </c>
      <c r="G899" t="s">
        <v>51</v>
      </c>
      <c r="H899" t="s">
        <v>3084</v>
      </c>
      <c r="I899" t="s">
        <v>1553</v>
      </c>
      <c r="J899" t="s">
        <v>54</v>
      </c>
      <c r="K899" t="s">
        <v>1555</v>
      </c>
      <c r="L899" t="s">
        <v>17</v>
      </c>
      <c r="M899" t="s">
        <v>18</v>
      </c>
      <c r="N899">
        <v>4429</v>
      </c>
      <c r="O899">
        <v>247</v>
      </c>
      <c r="P899">
        <v>0</v>
      </c>
      <c r="Q899" t="s">
        <v>3445</v>
      </c>
      <c r="R899" t="s">
        <v>3446</v>
      </c>
      <c r="S899" t="s">
        <v>3447</v>
      </c>
      <c r="T899" t="s">
        <v>3448</v>
      </c>
      <c r="U899" t="s">
        <v>60</v>
      </c>
      <c r="V899" t="s">
        <v>61</v>
      </c>
      <c r="W899">
        <v>5</v>
      </c>
      <c r="X899">
        <v>0.14874999999999999</v>
      </c>
      <c r="Y899" t="s">
        <v>295</v>
      </c>
      <c r="Z899" t="s">
        <v>530</v>
      </c>
      <c r="AA899">
        <v>3</v>
      </c>
      <c r="AB899" t="s">
        <v>3089</v>
      </c>
      <c r="AC899" t="s">
        <v>3090</v>
      </c>
      <c r="AD899" t="s">
        <v>3091</v>
      </c>
      <c r="AE899" t="s">
        <v>3092</v>
      </c>
      <c r="AF899" t="s">
        <v>3093</v>
      </c>
      <c r="AG899" t="s">
        <v>322</v>
      </c>
      <c r="AH899" t="s">
        <v>191</v>
      </c>
      <c r="AI899" t="s">
        <v>322</v>
      </c>
      <c r="AJ899" t="s">
        <v>66</v>
      </c>
      <c r="AK899">
        <v>1</v>
      </c>
      <c r="AL899" t="s">
        <v>3288</v>
      </c>
      <c r="AM899" t="s">
        <v>3289</v>
      </c>
      <c r="AN899" t="s">
        <v>3393</v>
      </c>
      <c r="AO899" t="s">
        <v>66</v>
      </c>
      <c r="AP899">
        <v>1</v>
      </c>
      <c r="AQ899" t="s">
        <v>3290</v>
      </c>
      <c r="AR899" t="s">
        <v>3291</v>
      </c>
      <c r="AS899" t="s">
        <v>3292</v>
      </c>
      <c r="AT899" t="s">
        <v>66</v>
      </c>
    </row>
    <row r="900" spans="1:46" x14ac:dyDescent="0.15">
      <c r="A900" t="s">
        <v>3449</v>
      </c>
      <c r="B900" t="s">
        <v>3080</v>
      </c>
      <c r="C900" t="s">
        <v>3081</v>
      </c>
      <c r="D900">
        <v>72</v>
      </c>
      <c r="E900" t="s">
        <v>3082</v>
      </c>
      <c r="F900" t="s">
        <v>3083</v>
      </c>
      <c r="G900" t="s">
        <v>51</v>
      </c>
      <c r="H900" t="s">
        <v>3084</v>
      </c>
      <c r="I900" t="s">
        <v>1553</v>
      </c>
      <c r="J900" t="s">
        <v>54</v>
      </c>
      <c r="K900" t="s">
        <v>1555</v>
      </c>
      <c r="L900" t="s">
        <v>17</v>
      </c>
      <c r="M900" t="s">
        <v>18</v>
      </c>
      <c r="N900">
        <v>4485</v>
      </c>
      <c r="O900">
        <v>250</v>
      </c>
      <c r="P900">
        <v>0</v>
      </c>
      <c r="Q900" t="s">
        <v>3450</v>
      </c>
      <c r="R900" t="s">
        <v>3451</v>
      </c>
      <c r="S900" t="s">
        <v>3452</v>
      </c>
      <c r="T900" t="s">
        <v>3453</v>
      </c>
      <c r="U900" t="s">
        <v>60</v>
      </c>
      <c r="V900" t="s">
        <v>61</v>
      </c>
      <c r="W900">
        <v>5</v>
      </c>
      <c r="X900">
        <v>0.14874999999999999</v>
      </c>
      <c r="Y900" t="s">
        <v>536</v>
      </c>
      <c r="Z900" t="s">
        <v>537</v>
      </c>
      <c r="AA900">
        <v>3</v>
      </c>
      <c r="AB900" t="s">
        <v>3089</v>
      </c>
      <c r="AC900" t="s">
        <v>3090</v>
      </c>
      <c r="AD900" t="s">
        <v>3091</v>
      </c>
      <c r="AE900" t="s">
        <v>3092</v>
      </c>
      <c r="AF900" t="s">
        <v>3093</v>
      </c>
      <c r="AG900" t="s">
        <v>322</v>
      </c>
      <c r="AH900" t="s">
        <v>191</v>
      </c>
      <c r="AI900" t="s">
        <v>322</v>
      </c>
      <c r="AJ900" t="s">
        <v>66</v>
      </c>
      <c r="AK900">
        <v>1</v>
      </c>
      <c r="AL900" t="s">
        <v>3288</v>
      </c>
      <c r="AM900" t="s">
        <v>3289</v>
      </c>
      <c r="AN900" t="s">
        <v>3393</v>
      </c>
      <c r="AO900" t="s">
        <v>66</v>
      </c>
      <c r="AP900">
        <v>1</v>
      </c>
      <c r="AQ900" t="s">
        <v>3290</v>
      </c>
      <c r="AR900" t="s">
        <v>3291</v>
      </c>
      <c r="AS900" t="s">
        <v>3292</v>
      </c>
      <c r="AT900" t="s">
        <v>66</v>
      </c>
    </row>
    <row r="901" spans="1:46" x14ac:dyDescent="0.15">
      <c r="A901" t="s">
        <v>3454</v>
      </c>
      <c r="B901" t="s">
        <v>3080</v>
      </c>
      <c r="C901" t="s">
        <v>3081</v>
      </c>
      <c r="D901">
        <v>73</v>
      </c>
      <c r="E901" t="s">
        <v>3082</v>
      </c>
      <c r="F901" t="s">
        <v>3083</v>
      </c>
      <c r="G901" t="s">
        <v>51</v>
      </c>
      <c r="H901" t="s">
        <v>3084</v>
      </c>
      <c r="I901" t="s">
        <v>1553</v>
      </c>
      <c r="J901" t="s">
        <v>54</v>
      </c>
      <c r="K901" t="s">
        <v>1555</v>
      </c>
      <c r="L901" t="s">
        <v>17</v>
      </c>
      <c r="M901" t="s">
        <v>18</v>
      </c>
      <c r="N901">
        <v>4541</v>
      </c>
      <c r="O901">
        <v>253</v>
      </c>
      <c r="P901">
        <v>0</v>
      </c>
      <c r="Q901" t="s">
        <v>3455</v>
      </c>
      <c r="R901" t="s">
        <v>3456</v>
      </c>
      <c r="S901" t="s">
        <v>3457</v>
      </c>
      <c r="T901" t="s">
        <v>3458</v>
      </c>
      <c r="U901" t="s">
        <v>60</v>
      </c>
      <c r="V901" t="s">
        <v>61</v>
      </c>
      <c r="W901">
        <v>5</v>
      </c>
      <c r="X901">
        <v>0.14874999999999999</v>
      </c>
      <c r="Y901" t="s">
        <v>301</v>
      </c>
      <c r="Z901" t="s">
        <v>543</v>
      </c>
      <c r="AA901">
        <v>3</v>
      </c>
      <c r="AB901" t="s">
        <v>3089</v>
      </c>
      <c r="AC901" t="s">
        <v>3090</v>
      </c>
      <c r="AD901" t="s">
        <v>3091</v>
      </c>
      <c r="AE901" t="s">
        <v>3092</v>
      </c>
      <c r="AF901" t="s">
        <v>3093</v>
      </c>
      <c r="AG901" t="s">
        <v>322</v>
      </c>
      <c r="AH901" t="s">
        <v>191</v>
      </c>
      <c r="AI901" t="s">
        <v>322</v>
      </c>
      <c r="AJ901" t="s">
        <v>66</v>
      </c>
      <c r="AK901">
        <v>1</v>
      </c>
      <c r="AL901" t="s">
        <v>3288</v>
      </c>
      <c r="AM901" t="s">
        <v>3289</v>
      </c>
      <c r="AN901" t="s">
        <v>3393</v>
      </c>
      <c r="AO901" t="s">
        <v>66</v>
      </c>
      <c r="AP901">
        <v>1</v>
      </c>
      <c r="AQ901" t="s">
        <v>3290</v>
      </c>
      <c r="AR901" t="s">
        <v>3291</v>
      </c>
      <c r="AS901" t="s">
        <v>3292</v>
      </c>
      <c r="AT901" t="s">
        <v>66</v>
      </c>
    </row>
    <row r="902" spans="1:46" x14ac:dyDescent="0.15">
      <c r="A902" t="s">
        <v>3459</v>
      </c>
      <c r="B902" t="s">
        <v>3080</v>
      </c>
      <c r="C902" t="s">
        <v>3081</v>
      </c>
      <c r="D902">
        <v>74</v>
      </c>
      <c r="E902" t="s">
        <v>3082</v>
      </c>
      <c r="F902" t="s">
        <v>3083</v>
      </c>
      <c r="G902" t="s">
        <v>51</v>
      </c>
      <c r="H902" t="s">
        <v>3084</v>
      </c>
      <c r="I902" t="s">
        <v>1553</v>
      </c>
      <c r="J902" t="s">
        <v>54</v>
      </c>
      <c r="K902" t="s">
        <v>1555</v>
      </c>
      <c r="L902" t="s">
        <v>17</v>
      </c>
      <c r="M902" t="s">
        <v>18</v>
      </c>
      <c r="N902">
        <v>4597</v>
      </c>
      <c r="O902">
        <v>256</v>
      </c>
      <c r="P902">
        <v>0</v>
      </c>
      <c r="Q902" t="s">
        <v>3460</v>
      </c>
      <c r="R902" t="s">
        <v>3461</v>
      </c>
      <c r="S902" t="s">
        <v>3462</v>
      </c>
      <c r="T902" t="s">
        <v>3463</v>
      </c>
      <c r="U902" t="s">
        <v>60</v>
      </c>
      <c r="V902" t="s">
        <v>61</v>
      </c>
      <c r="W902">
        <v>5</v>
      </c>
      <c r="X902">
        <v>0.14874999999999999</v>
      </c>
      <c r="Y902" t="s">
        <v>549</v>
      </c>
      <c r="Z902" t="s">
        <v>550</v>
      </c>
      <c r="AA902">
        <v>3</v>
      </c>
      <c r="AB902" t="s">
        <v>3089</v>
      </c>
      <c r="AC902" t="s">
        <v>3090</v>
      </c>
      <c r="AD902" t="s">
        <v>3091</v>
      </c>
      <c r="AE902" t="s">
        <v>3092</v>
      </c>
      <c r="AF902" t="s">
        <v>3093</v>
      </c>
      <c r="AG902" t="s">
        <v>322</v>
      </c>
      <c r="AH902" t="s">
        <v>191</v>
      </c>
      <c r="AI902" t="s">
        <v>322</v>
      </c>
      <c r="AJ902" t="s">
        <v>66</v>
      </c>
      <c r="AK902">
        <v>1</v>
      </c>
      <c r="AL902" t="s">
        <v>3288</v>
      </c>
      <c r="AM902" t="s">
        <v>3289</v>
      </c>
      <c r="AN902" t="s">
        <v>3393</v>
      </c>
      <c r="AO902" t="s">
        <v>66</v>
      </c>
      <c r="AP902">
        <v>1</v>
      </c>
      <c r="AQ902" t="s">
        <v>3290</v>
      </c>
      <c r="AR902" t="s">
        <v>3291</v>
      </c>
      <c r="AS902" t="s">
        <v>3292</v>
      </c>
      <c r="AT902" t="s">
        <v>66</v>
      </c>
    </row>
    <row r="903" spans="1:46" x14ac:dyDescent="0.15">
      <c r="A903" t="s">
        <v>3464</v>
      </c>
      <c r="B903" t="s">
        <v>3080</v>
      </c>
      <c r="C903" t="s">
        <v>3081</v>
      </c>
      <c r="D903">
        <v>75</v>
      </c>
      <c r="E903" t="s">
        <v>3082</v>
      </c>
      <c r="F903" t="s">
        <v>3083</v>
      </c>
      <c r="G903" t="s">
        <v>51</v>
      </c>
      <c r="H903" t="s">
        <v>3084</v>
      </c>
      <c r="I903" t="s">
        <v>1553</v>
      </c>
      <c r="J903" t="s">
        <v>54</v>
      </c>
      <c r="K903" t="s">
        <v>1555</v>
      </c>
      <c r="L903" t="s">
        <v>17</v>
      </c>
      <c r="M903" t="s">
        <v>18</v>
      </c>
      <c r="N903">
        <v>4653</v>
      </c>
      <c r="O903">
        <v>259</v>
      </c>
      <c r="P903">
        <v>0</v>
      </c>
      <c r="Q903" t="s">
        <v>3465</v>
      </c>
      <c r="R903" t="s">
        <v>3466</v>
      </c>
      <c r="S903" t="s">
        <v>3467</v>
      </c>
      <c r="T903" t="s">
        <v>3468</v>
      </c>
      <c r="U903" t="s">
        <v>60</v>
      </c>
      <c r="V903" t="s">
        <v>61</v>
      </c>
      <c r="W903">
        <v>5</v>
      </c>
      <c r="X903">
        <v>0.14874999999999999</v>
      </c>
      <c r="Y903" t="s">
        <v>308</v>
      </c>
      <c r="Z903" t="s">
        <v>556</v>
      </c>
      <c r="AA903">
        <v>3</v>
      </c>
      <c r="AB903" t="s">
        <v>3089</v>
      </c>
      <c r="AC903" t="s">
        <v>3090</v>
      </c>
      <c r="AD903" t="s">
        <v>3091</v>
      </c>
      <c r="AE903" t="s">
        <v>3092</v>
      </c>
      <c r="AF903" t="s">
        <v>3093</v>
      </c>
      <c r="AG903" t="s">
        <v>322</v>
      </c>
      <c r="AH903" t="s">
        <v>191</v>
      </c>
      <c r="AI903" t="s">
        <v>322</v>
      </c>
      <c r="AJ903" t="s">
        <v>66</v>
      </c>
      <c r="AK903">
        <v>1</v>
      </c>
      <c r="AL903" t="s">
        <v>3288</v>
      </c>
      <c r="AM903" t="s">
        <v>3289</v>
      </c>
      <c r="AN903" t="s">
        <v>3393</v>
      </c>
      <c r="AO903" t="s">
        <v>66</v>
      </c>
      <c r="AP903">
        <v>1</v>
      </c>
      <c r="AQ903" t="s">
        <v>3290</v>
      </c>
      <c r="AR903" t="s">
        <v>3291</v>
      </c>
      <c r="AS903" t="s">
        <v>3292</v>
      </c>
      <c r="AT903" t="s">
        <v>66</v>
      </c>
    </row>
    <row r="904" spans="1:46" x14ac:dyDescent="0.15">
      <c r="A904" t="s">
        <v>3469</v>
      </c>
      <c r="B904" t="s">
        <v>3080</v>
      </c>
      <c r="C904" t="s">
        <v>3081</v>
      </c>
      <c r="D904">
        <v>76</v>
      </c>
      <c r="E904" t="s">
        <v>3082</v>
      </c>
      <c r="F904" t="s">
        <v>3083</v>
      </c>
      <c r="G904" t="s">
        <v>51</v>
      </c>
      <c r="H904" t="s">
        <v>3084</v>
      </c>
      <c r="I904" t="s">
        <v>1553</v>
      </c>
      <c r="J904" t="s">
        <v>54</v>
      </c>
      <c r="K904" t="s">
        <v>1555</v>
      </c>
      <c r="L904" t="s">
        <v>17</v>
      </c>
      <c r="M904" t="s">
        <v>18</v>
      </c>
      <c r="N904">
        <v>4709</v>
      </c>
      <c r="O904">
        <v>262</v>
      </c>
      <c r="P904">
        <v>0</v>
      </c>
      <c r="Q904" t="s">
        <v>3470</v>
      </c>
      <c r="R904" t="s">
        <v>3471</v>
      </c>
      <c r="S904" t="s">
        <v>3472</v>
      </c>
      <c r="T904" t="s">
        <v>3473</v>
      </c>
      <c r="U904" t="s">
        <v>60</v>
      </c>
      <c r="V904" t="s">
        <v>61</v>
      </c>
      <c r="W904">
        <v>5</v>
      </c>
      <c r="X904">
        <v>0.14874999999999999</v>
      </c>
      <c r="Y904" t="s">
        <v>562</v>
      </c>
      <c r="Z904" t="s">
        <v>563</v>
      </c>
      <c r="AA904">
        <v>3</v>
      </c>
      <c r="AB904" t="s">
        <v>3089</v>
      </c>
      <c r="AC904" t="s">
        <v>3090</v>
      </c>
      <c r="AD904" t="s">
        <v>3091</v>
      </c>
      <c r="AE904" t="s">
        <v>3092</v>
      </c>
      <c r="AF904" t="s">
        <v>3093</v>
      </c>
      <c r="AG904" t="s">
        <v>322</v>
      </c>
      <c r="AH904" t="s">
        <v>191</v>
      </c>
      <c r="AI904" t="s">
        <v>322</v>
      </c>
      <c r="AJ904" t="s">
        <v>66</v>
      </c>
      <c r="AK904">
        <v>1</v>
      </c>
      <c r="AL904" t="s">
        <v>3288</v>
      </c>
      <c r="AM904" t="s">
        <v>3289</v>
      </c>
      <c r="AN904" t="s">
        <v>3393</v>
      </c>
      <c r="AO904" t="s">
        <v>66</v>
      </c>
      <c r="AP904">
        <v>1</v>
      </c>
      <c r="AQ904" t="s">
        <v>3290</v>
      </c>
      <c r="AR904" t="s">
        <v>3291</v>
      </c>
      <c r="AS904" t="s">
        <v>3292</v>
      </c>
      <c r="AT904" t="s">
        <v>66</v>
      </c>
    </row>
    <row r="905" spans="1:46" x14ac:dyDescent="0.15">
      <c r="A905" t="s">
        <v>3474</v>
      </c>
      <c r="B905" t="s">
        <v>3080</v>
      </c>
      <c r="C905" t="s">
        <v>3081</v>
      </c>
      <c r="D905">
        <v>77</v>
      </c>
      <c r="E905" t="s">
        <v>3082</v>
      </c>
      <c r="F905" t="s">
        <v>3083</v>
      </c>
      <c r="G905" t="s">
        <v>51</v>
      </c>
      <c r="H905" t="s">
        <v>3084</v>
      </c>
      <c r="I905" t="s">
        <v>1553</v>
      </c>
      <c r="J905" t="s">
        <v>54</v>
      </c>
      <c r="K905" t="s">
        <v>1555</v>
      </c>
      <c r="L905" t="s">
        <v>17</v>
      </c>
      <c r="M905" t="s">
        <v>18</v>
      </c>
      <c r="N905">
        <v>4765</v>
      </c>
      <c r="O905">
        <v>266</v>
      </c>
      <c r="P905">
        <v>0</v>
      </c>
      <c r="Q905" t="s">
        <v>3475</v>
      </c>
      <c r="R905" t="s">
        <v>3476</v>
      </c>
      <c r="S905" t="s">
        <v>3477</v>
      </c>
      <c r="T905" t="s">
        <v>3478</v>
      </c>
      <c r="U905" t="s">
        <v>60</v>
      </c>
      <c r="V905" t="s">
        <v>61</v>
      </c>
      <c r="W905">
        <v>5</v>
      </c>
      <c r="X905">
        <v>0.14874999999999999</v>
      </c>
      <c r="Y905" t="s">
        <v>314</v>
      </c>
      <c r="Z905" t="s">
        <v>569</v>
      </c>
      <c r="AA905">
        <v>3</v>
      </c>
      <c r="AB905" t="s">
        <v>3089</v>
      </c>
      <c r="AC905" t="s">
        <v>3090</v>
      </c>
      <c r="AD905" t="s">
        <v>3091</v>
      </c>
      <c r="AE905" t="s">
        <v>3092</v>
      </c>
      <c r="AF905" t="s">
        <v>3093</v>
      </c>
      <c r="AG905" t="s">
        <v>322</v>
      </c>
      <c r="AH905" t="s">
        <v>191</v>
      </c>
      <c r="AI905" t="s">
        <v>322</v>
      </c>
      <c r="AJ905" t="s">
        <v>66</v>
      </c>
      <c r="AK905">
        <v>1</v>
      </c>
      <c r="AL905" t="s">
        <v>3288</v>
      </c>
      <c r="AM905" t="s">
        <v>3289</v>
      </c>
      <c r="AN905" t="s">
        <v>3393</v>
      </c>
      <c r="AO905" t="s">
        <v>66</v>
      </c>
      <c r="AP905">
        <v>1</v>
      </c>
      <c r="AQ905" t="s">
        <v>3290</v>
      </c>
      <c r="AR905" t="s">
        <v>3291</v>
      </c>
      <c r="AS905" t="s">
        <v>3292</v>
      </c>
      <c r="AT905" t="s">
        <v>66</v>
      </c>
    </row>
    <row r="906" spans="1:46" x14ac:dyDescent="0.15">
      <c r="A906" t="s">
        <v>3479</v>
      </c>
      <c r="B906" t="s">
        <v>3080</v>
      </c>
      <c r="C906" t="s">
        <v>3081</v>
      </c>
      <c r="D906">
        <v>78</v>
      </c>
      <c r="E906" t="s">
        <v>3082</v>
      </c>
      <c r="F906" t="s">
        <v>3083</v>
      </c>
      <c r="G906" t="s">
        <v>51</v>
      </c>
      <c r="H906" t="s">
        <v>3084</v>
      </c>
      <c r="I906" t="s">
        <v>1553</v>
      </c>
      <c r="J906" t="s">
        <v>54</v>
      </c>
      <c r="K906" t="s">
        <v>1555</v>
      </c>
      <c r="L906" t="s">
        <v>17</v>
      </c>
      <c r="M906" t="s">
        <v>18</v>
      </c>
      <c r="N906">
        <v>4821</v>
      </c>
      <c r="O906">
        <v>269</v>
      </c>
      <c r="P906">
        <v>0</v>
      </c>
      <c r="Q906" t="s">
        <v>3480</v>
      </c>
      <c r="R906" t="s">
        <v>3481</v>
      </c>
      <c r="S906" t="s">
        <v>3482</v>
      </c>
      <c r="T906" t="s">
        <v>3483</v>
      </c>
      <c r="U906" t="s">
        <v>60</v>
      </c>
      <c r="V906" t="s">
        <v>61</v>
      </c>
      <c r="W906">
        <v>5</v>
      </c>
      <c r="X906">
        <v>0.14874999999999999</v>
      </c>
      <c r="Y906" t="s">
        <v>575</v>
      </c>
      <c r="Z906" t="s">
        <v>576</v>
      </c>
      <c r="AA906">
        <v>3</v>
      </c>
      <c r="AB906" t="s">
        <v>3089</v>
      </c>
      <c r="AC906" t="s">
        <v>3090</v>
      </c>
      <c r="AD906" t="s">
        <v>3091</v>
      </c>
      <c r="AE906" t="s">
        <v>3092</v>
      </c>
      <c r="AF906" t="s">
        <v>3093</v>
      </c>
      <c r="AG906" t="s">
        <v>322</v>
      </c>
      <c r="AH906" t="s">
        <v>191</v>
      </c>
      <c r="AI906" t="s">
        <v>322</v>
      </c>
      <c r="AJ906" t="s">
        <v>66</v>
      </c>
      <c r="AK906">
        <v>1</v>
      </c>
      <c r="AL906" t="s">
        <v>3288</v>
      </c>
      <c r="AM906" t="s">
        <v>3289</v>
      </c>
      <c r="AN906" t="s">
        <v>3393</v>
      </c>
      <c r="AO906" t="s">
        <v>66</v>
      </c>
      <c r="AP906">
        <v>1</v>
      </c>
      <c r="AQ906" t="s">
        <v>3290</v>
      </c>
      <c r="AR906" t="s">
        <v>3291</v>
      </c>
      <c r="AS906" t="s">
        <v>3292</v>
      </c>
      <c r="AT906" t="s">
        <v>66</v>
      </c>
    </row>
    <row r="907" spans="1:46" x14ac:dyDescent="0.15">
      <c r="A907" t="s">
        <v>3484</v>
      </c>
      <c r="B907" t="s">
        <v>3080</v>
      </c>
      <c r="C907" t="s">
        <v>3081</v>
      </c>
      <c r="D907">
        <v>79</v>
      </c>
      <c r="E907" t="s">
        <v>3082</v>
      </c>
      <c r="F907" t="s">
        <v>3083</v>
      </c>
      <c r="G907" t="s">
        <v>51</v>
      </c>
      <c r="H907" t="s">
        <v>3084</v>
      </c>
      <c r="I907" t="s">
        <v>1553</v>
      </c>
      <c r="J907" t="s">
        <v>54</v>
      </c>
      <c r="K907" t="s">
        <v>1555</v>
      </c>
      <c r="L907" t="s">
        <v>17</v>
      </c>
      <c r="M907" t="s">
        <v>18</v>
      </c>
      <c r="N907">
        <v>4878</v>
      </c>
      <c r="O907">
        <v>272</v>
      </c>
      <c r="P907">
        <v>0</v>
      </c>
      <c r="Q907" t="s">
        <v>3485</v>
      </c>
      <c r="R907" t="s">
        <v>3486</v>
      </c>
      <c r="S907" t="s">
        <v>3487</v>
      </c>
      <c r="T907" t="s">
        <v>3488</v>
      </c>
      <c r="U907" t="s">
        <v>60</v>
      </c>
      <c r="V907" t="s">
        <v>61</v>
      </c>
      <c r="W907">
        <v>5</v>
      </c>
      <c r="X907">
        <v>0.14874999999999999</v>
      </c>
      <c r="Y907" t="s">
        <v>321</v>
      </c>
      <c r="Z907" t="s">
        <v>582</v>
      </c>
      <c r="AA907">
        <v>3</v>
      </c>
      <c r="AB907" t="s">
        <v>3089</v>
      </c>
      <c r="AC907" t="s">
        <v>3090</v>
      </c>
      <c r="AD907" t="s">
        <v>3091</v>
      </c>
      <c r="AE907" t="s">
        <v>3092</v>
      </c>
      <c r="AF907" t="s">
        <v>3093</v>
      </c>
      <c r="AG907" t="s">
        <v>322</v>
      </c>
      <c r="AH907" t="s">
        <v>191</v>
      </c>
      <c r="AI907" t="s">
        <v>322</v>
      </c>
      <c r="AJ907" t="s">
        <v>66</v>
      </c>
      <c r="AK907">
        <v>1</v>
      </c>
      <c r="AL907" t="s">
        <v>3288</v>
      </c>
      <c r="AM907" t="s">
        <v>3289</v>
      </c>
      <c r="AN907" t="s">
        <v>3393</v>
      </c>
      <c r="AO907" t="s">
        <v>66</v>
      </c>
      <c r="AP907">
        <v>1</v>
      </c>
      <c r="AQ907" t="s">
        <v>3290</v>
      </c>
      <c r="AR907" t="s">
        <v>3291</v>
      </c>
      <c r="AS907" t="s">
        <v>3292</v>
      </c>
      <c r="AT907" t="s">
        <v>66</v>
      </c>
    </row>
    <row r="908" spans="1:46" x14ac:dyDescent="0.15">
      <c r="A908" t="s">
        <v>3489</v>
      </c>
      <c r="B908" t="s">
        <v>3080</v>
      </c>
      <c r="C908" t="s">
        <v>3081</v>
      </c>
      <c r="D908">
        <v>80</v>
      </c>
      <c r="E908" t="s">
        <v>3082</v>
      </c>
      <c r="F908" t="s">
        <v>3083</v>
      </c>
      <c r="G908" t="s">
        <v>51</v>
      </c>
      <c r="H908" t="s">
        <v>3084</v>
      </c>
      <c r="I908" t="s">
        <v>1553</v>
      </c>
      <c r="J908" t="s">
        <v>54</v>
      </c>
      <c r="K908" t="s">
        <v>1555</v>
      </c>
      <c r="L908" t="s">
        <v>17</v>
      </c>
      <c r="M908" t="s">
        <v>18</v>
      </c>
      <c r="N908">
        <v>4934</v>
      </c>
      <c r="O908">
        <v>275</v>
      </c>
      <c r="P908">
        <v>0</v>
      </c>
      <c r="Q908" t="s">
        <v>3490</v>
      </c>
      <c r="R908" t="s">
        <v>3491</v>
      </c>
      <c r="S908" t="s">
        <v>3492</v>
      </c>
      <c r="T908" t="s">
        <v>3493</v>
      </c>
      <c r="U908" t="s">
        <v>60</v>
      </c>
      <c r="V908" t="s">
        <v>61</v>
      </c>
      <c r="W908">
        <v>5</v>
      </c>
      <c r="X908">
        <v>0.14874999999999999</v>
      </c>
      <c r="Y908" t="s">
        <v>588</v>
      </c>
      <c r="Z908" t="s">
        <v>589</v>
      </c>
      <c r="AA908">
        <v>3</v>
      </c>
      <c r="AB908" t="s">
        <v>3089</v>
      </c>
      <c r="AC908" t="s">
        <v>3090</v>
      </c>
      <c r="AD908" t="s">
        <v>3091</v>
      </c>
      <c r="AE908" t="s">
        <v>3092</v>
      </c>
      <c r="AF908" t="s">
        <v>3093</v>
      </c>
      <c r="AG908" t="s">
        <v>322</v>
      </c>
      <c r="AH908" t="s">
        <v>191</v>
      </c>
      <c r="AI908" t="s">
        <v>322</v>
      </c>
      <c r="AJ908" t="s">
        <v>66</v>
      </c>
      <c r="AK908">
        <v>1</v>
      </c>
      <c r="AL908" t="s">
        <v>3288</v>
      </c>
      <c r="AM908" t="s">
        <v>3289</v>
      </c>
      <c r="AN908" t="s">
        <v>3393</v>
      </c>
      <c r="AO908" t="s">
        <v>66</v>
      </c>
      <c r="AP908">
        <v>1</v>
      </c>
      <c r="AQ908" t="s">
        <v>3290</v>
      </c>
      <c r="AR908" t="s">
        <v>3291</v>
      </c>
      <c r="AS908" t="s">
        <v>3292</v>
      </c>
      <c r="AT908" t="s">
        <v>66</v>
      </c>
    </row>
    <row r="909" spans="1:46" x14ac:dyDescent="0.15">
      <c r="A909" t="s">
        <v>3489</v>
      </c>
      <c r="B909" t="s">
        <v>3080</v>
      </c>
      <c r="C909" t="s">
        <v>3081</v>
      </c>
      <c r="D909">
        <v>80</v>
      </c>
      <c r="E909" t="s">
        <v>3082</v>
      </c>
      <c r="F909" t="s">
        <v>3083</v>
      </c>
      <c r="G909" t="s">
        <v>51</v>
      </c>
      <c r="H909" t="s">
        <v>3084</v>
      </c>
      <c r="I909" t="s">
        <v>1553</v>
      </c>
      <c r="J909" t="s">
        <v>54</v>
      </c>
      <c r="K909" t="s">
        <v>1555</v>
      </c>
      <c r="L909" t="s">
        <v>17</v>
      </c>
      <c r="M909" t="s">
        <v>18</v>
      </c>
      <c r="N909">
        <v>4934</v>
      </c>
      <c r="O909">
        <v>275</v>
      </c>
      <c r="P909">
        <v>0</v>
      </c>
      <c r="Q909" t="s">
        <v>3490</v>
      </c>
      <c r="R909" t="s">
        <v>3491</v>
      </c>
      <c r="S909" t="s">
        <v>3492</v>
      </c>
      <c r="T909" t="s">
        <v>3493</v>
      </c>
      <c r="U909" t="s">
        <v>60</v>
      </c>
      <c r="V909" t="s">
        <v>61</v>
      </c>
      <c r="W909">
        <v>5</v>
      </c>
      <c r="X909">
        <v>0.14874999999999999</v>
      </c>
      <c r="Y909" t="s">
        <v>588</v>
      </c>
      <c r="Z909" t="s">
        <v>589</v>
      </c>
      <c r="AA909">
        <v>4</v>
      </c>
      <c r="AB909" t="s">
        <v>3089</v>
      </c>
      <c r="AC909" t="s">
        <v>3090</v>
      </c>
      <c r="AD909" t="s">
        <v>3091</v>
      </c>
      <c r="AE909" t="s">
        <v>3092</v>
      </c>
      <c r="AF909" t="s">
        <v>3093</v>
      </c>
      <c r="AG909" t="s">
        <v>322</v>
      </c>
      <c r="AH909" t="s">
        <v>191</v>
      </c>
      <c r="AI909" t="s">
        <v>322</v>
      </c>
      <c r="AJ909" t="s">
        <v>590</v>
      </c>
      <c r="AK909">
        <v>1</v>
      </c>
      <c r="AL909" t="s">
        <v>3288</v>
      </c>
      <c r="AM909" t="s">
        <v>3289</v>
      </c>
      <c r="AN909" t="s">
        <v>3393</v>
      </c>
      <c r="AO909" t="s">
        <v>66</v>
      </c>
      <c r="AP909">
        <v>1</v>
      </c>
      <c r="AQ909" t="s">
        <v>3290</v>
      </c>
      <c r="AR909" t="s">
        <v>3291</v>
      </c>
      <c r="AS909" t="s">
        <v>3292</v>
      </c>
      <c r="AT909" t="s">
        <v>66</v>
      </c>
    </row>
    <row r="910" spans="1:46" x14ac:dyDescent="0.15">
      <c r="A910" t="s">
        <v>3494</v>
      </c>
      <c r="B910" t="s">
        <v>3080</v>
      </c>
      <c r="C910" t="s">
        <v>3081</v>
      </c>
      <c r="D910">
        <v>81</v>
      </c>
      <c r="E910" t="s">
        <v>3082</v>
      </c>
      <c r="F910" t="s">
        <v>3083</v>
      </c>
      <c r="G910" t="s">
        <v>51</v>
      </c>
      <c r="H910" t="s">
        <v>3084</v>
      </c>
      <c r="I910" t="s">
        <v>1553</v>
      </c>
      <c r="J910" t="s">
        <v>54</v>
      </c>
      <c r="K910" t="s">
        <v>1555</v>
      </c>
      <c r="L910" t="s">
        <v>17</v>
      </c>
      <c r="M910" t="s">
        <v>18</v>
      </c>
      <c r="N910">
        <v>4990</v>
      </c>
      <c r="O910">
        <v>278</v>
      </c>
      <c r="P910">
        <v>0</v>
      </c>
      <c r="Q910" t="s">
        <v>3495</v>
      </c>
      <c r="R910" t="s">
        <v>3496</v>
      </c>
      <c r="S910" t="s">
        <v>3497</v>
      </c>
      <c r="T910" t="s">
        <v>3498</v>
      </c>
      <c r="U910" t="s">
        <v>60</v>
      </c>
      <c r="V910" t="s">
        <v>61</v>
      </c>
      <c r="W910">
        <v>5</v>
      </c>
      <c r="X910">
        <v>0.14874999999999999</v>
      </c>
      <c r="Y910" t="s">
        <v>330</v>
      </c>
      <c r="Z910" t="s">
        <v>596</v>
      </c>
      <c r="AA910">
        <v>4</v>
      </c>
      <c r="AB910" t="s">
        <v>3089</v>
      </c>
      <c r="AC910" t="s">
        <v>3090</v>
      </c>
      <c r="AD910" t="s">
        <v>3091</v>
      </c>
      <c r="AE910" t="s">
        <v>3092</v>
      </c>
      <c r="AF910" t="s">
        <v>3093</v>
      </c>
      <c r="AG910" t="s">
        <v>322</v>
      </c>
      <c r="AH910" t="s">
        <v>191</v>
      </c>
      <c r="AI910" t="s">
        <v>322</v>
      </c>
      <c r="AJ910" t="s">
        <v>590</v>
      </c>
      <c r="AK910">
        <v>1</v>
      </c>
      <c r="AL910" t="s">
        <v>3288</v>
      </c>
      <c r="AM910" t="s">
        <v>3289</v>
      </c>
      <c r="AN910" t="s">
        <v>3393</v>
      </c>
      <c r="AO910" t="s">
        <v>66</v>
      </c>
      <c r="AP910">
        <v>1</v>
      </c>
      <c r="AQ910" t="s">
        <v>3290</v>
      </c>
      <c r="AR910" t="s">
        <v>3291</v>
      </c>
      <c r="AS910" t="s">
        <v>3292</v>
      </c>
      <c r="AT910" t="s">
        <v>66</v>
      </c>
    </row>
    <row r="911" spans="1:46" x14ac:dyDescent="0.15">
      <c r="A911" t="s">
        <v>3499</v>
      </c>
      <c r="B911" t="s">
        <v>3080</v>
      </c>
      <c r="C911" t="s">
        <v>3081</v>
      </c>
      <c r="D911">
        <v>82</v>
      </c>
      <c r="E911" t="s">
        <v>3082</v>
      </c>
      <c r="F911" t="s">
        <v>3083</v>
      </c>
      <c r="G911" t="s">
        <v>51</v>
      </c>
      <c r="H911" t="s">
        <v>3084</v>
      </c>
      <c r="I911" t="s">
        <v>1553</v>
      </c>
      <c r="J911" t="s">
        <v>54</v>
      </c>
      <c r="K911" t="s">
        <v>1555</v>
      </c>
      <c r="L911" t="s">
        <v>17</v>
      </c>
      <c r="M911" t="s">
        <v>18</v>
      </c>
      <c r="N911">
        <v>5046</v>
      </c>
      <c r="O911">
        <v>281</v>
      </c>
      <c r="P911">
        <v>0</v>
      </c>
      <c r="Q911" t="s">
        <v>3500</v>
      </c>
      <c r="R911" t="s">
        <v>3501</v>
      </c>
      <c r="S911" t="s">
        <v>3502</v>
      </c>
      <c r="T911" t="s">
        <v>3503</v>
      </c>
      <c r="U911" t="s">
        <v>60</v>
      </c>
      <c r="V911" t="s">
        <v>61</v>
      </c>
      <c r="W911">
        <v>5</v>
      </c>
      <c r="X911">
        <v>0.14874999999999999</v>
      </c>
      <c r="Y911" t="s">
        <v>602</v>
      </c>
      <c r="Z911" t="s">
        <v>603</v>
      </c>
      <c r="AA911">
        <v>4</v>
      </c>
      <c r="AB911" t="s">
        <v>3089</v>
      </c>
      <c r="AC911" t="s">
        <v>3090</v>
      </c>
      <c r="AD911" t="s">
        <v>3091</v>
      </c>
      <c r="AE911" t="s">
        <v>3092</v>
      </c>
      <c r="AF911" t="s">
        <v>3093</v>
      </c>
      <c r="AG911" t="s">
        <v>322</v>
      </c>
      <c r="AH911" t="s">
        <v>191</v>
      </c>
      <c r="AI911" t="s">
        <v>322</v>
      </c>
      <c r="AJ911" t="s">
        <v>590</v>
      </c>
      <c r="AK911">
        <v>1</v>
      </c>
      <c r="AL911" t="s">
        <v>3288</v>
      </c>
      <c r="AM911" t="s">
        <v>3289</v>
      </c>
      <c r="AN911" t="s">
        <v>3393</v>
      </c>
      <c r="AO911" t="s">
        <v>66</v>
      </c>
      <c r="AP911">
        <v>1</v>
      </c>
      <c r="AQ911" t="s">
        <v>3290</v>
      </c>
      <c r="AR911" t="s">
        <v>3291</v>
      </c>
      <c r="AS911" t="s">
        <v>3292</v>
      </c>
      <c r="AT911" t="s">
        <v>66</v>
      </c>
    </row>
    <row r="912" spans="1:46" x14ac:dyDescent="0.15">
      <c r="A912" t="s">
        <v>3504</v>
      </c>
      <c r="B912" t="s">
        <v>3080</v>
      </c>
      <c r="C912" t="s">
        <v>3081</v>
      </c>
      <c r="D912">
        <v>83</v>
      </c>
      <c r="E912" t="s">
        <v>3082</v>
      </c>
      <c r="F912" t="s">
        <v>3083</v>
      </c>
      <c r="G912" t="s">
        <v>51</v>
      </c>
      <c r="H912" t="s">
        <v>3084</v>
      </c>
      <c r="I912" t="s">
        <v>1553</v>
      </c>
      <c r="J912" t="s">
        <v>54</v>
      </c>
      <c r="K912" t="s">
        <v>1555</v>
      </c>
      <c r="L912" t="s">
        <v>17</v>
      </c>
      <c r="M912" t="s">
        <v>18</v>
      </c>
      <c r="N912">
        <v>5102</v>
      </c>
      <c r="O912">
        <v>284</v>
      </c>
      <c r="P912">
        <v>0</v>
      </c>
      <c r="Q912" t="s">
        <v>3505</v>
      </c>
      <c r="R912" t="s">
        <v>3506</v>
      </c>
      <c r="S912" t="s">
        <v>3507</v>
      </c>
      <c r="T912" t="s">
        <v>3508</v>
      </c>
      <c r="U912" t="s">
        <v>60</v>
      </c>
      <c r="V912" t="s">
        <v>61</v>
      </c>
      <c r="W912">
        <v>5</v>
      </c>
      <c r="X912">
        <v>0.14874999999999999</v>
      </c>
      <c r="Y912" t="s">
        <v>337</v>
      </c>
      <c r="Z912" t="s">
        <v>609</v>
      </c>
      <c r="AA912">
        <v>4</v>
      </c>
      <c r="AB912" t="s">
        <v>3089</v>
      </c>
      <c r="AC912" t="s">
        <v>3090</v>
      </c>
      <c r="AD912" t="s">
        <v>3091</v>
      </c>
      <c r="AE912" t="s">
        <v>3092</v>
      </c>
      <c r="AF912" t="s">
        <v>3093</v>
      </c>
      <c r="AG912" t="s">
        <v>322</v>
      </c>
      <c r="AH912" t="s">
        <v>191</v>
      </c>
      <c r="AI912" t="s">
        <v>322</v>
      </c>
      <c r="AJ912" t="s">
        <v>590</v>
      </c>
      <c r="AK912">
        <v>1</v>
      </c>
      <c r="AL912" t="s">
        <v>3288</v>
      </c>
      <c r="AM912" t="s">
        <v>3289</v>
      </c>
      <c r="AN912" t="s">
        <v>3393</v>
      </c>
      <c r="AO912" t="s">
        <v>66</v>
      </c>
      <c r="AP912">
        <v>1</v>
      </c>
      <c r="AQ912" t="s">
        <v>3290</v>
      </c>
      <c r="AR912" t="s">
        <v>3291</v>
      </c>
      <c r="AS912" t="s">
        <v>3292</v>
      </c>
      <c r="AT912" t="s">
        <v>66</v>
      </c>
    </row>
    <row r="913" spans="1:46" x14ac:dyDescent="0.15">
      <c r="A913" t="s">
        <v>3509</v>
      </c>
      <c r="B913" t="s">
        <v>3080</v>
      </c>
      <c r="C913" t="s">
        <v>3081</v>
      </c>
      <c r="D913">
        <v>84</v>
      </c>
      <c r="E913" t="s">
        <v>3082</v>
      </c>
      <c r="F913" t="s">
        <v>3083</v>
      </c>
      <c r="G913" t="s">
        <v>51</v>
      </c>
      <c r="H913" t="s">
        <v>3084</v>
      </c>
      <c r="I913" t="s">
        <v>1553</v>
      </c>
      <c r="J913" t="s">
        <v>54</v>
      </c>
      <c r="K913" t="s">
        <v>1555</v>
      </c>
      <c r="L913" t="s">
        <v>17</v>
      </c>
      <c r="M913" t="s">
        <v>18</v>
      </c>
      <c r="N913">
        <v>5158</v>
      </c>
      <c r="O913">
        <v>287</v>
      </c>
      <c r="P913">
        <v>0</v>
      </c>
      <c r="Q913" t="s">
        <v>3510</v>
      </c>
      <c r="R913" t="s">
        <v>3511</v>
      </c>
      <c r="S913" t="s">
        <v>3512</v>
      </c>
      <c r="T913" t="s">
        <v>3513</v>
      </c>
      <c r="U913" t="s">
        <v>60</v>
      </c>
      <c r="V913" t="s">
        <v>61</v>
      </c>
      <c r="W913">
        <v>5</v>
      </c>
      <c r="X913">
        <v>0.14874999999999999</v>
      </c>
      <c r="Y913" t="s">
        <v>615</v>
      </c>
      <c r="Z913" t="s">
        <v>616</v>
      </c>
      <c r="AA913">
        <v>4</v>
      </c>
      <c r="AB913" t="s">
        <v>3089</v>
      </c>
      <c r="AC913" t="s">
        <v>3090</v>
      </c>
      <c r="AD913" t="s">
        <v>3091</v>
      </c>
      <c r="AE913" t="s">
        <v>3092</v>
      </c>
      <c r="AF913" t="s">
        <v>3093</v>
      </c>
      <c r="AG913" t="s">
        <v>322</v>
      </c>
      <c r="AH913" t="s">
        <v>191</v>
      </c>
      <c r="AI913" t="s">
        <v>322</v>
      </c>
      <c r="AJ913" t="s">
        <v>590</v>
      </c>
      <c r="AK913">
        <v>1</v>
      </c>
      <c r="AL913" t="s">
        <v>3288</v>
      </c>
      <c r="AM913" t="s">
        <v>3289</v>
      </c>
      <c r="AN913" t="s">
        <v>3393</v>
      </c>
      <c r="AO913" t="s">
        <v>66</v>
      </c>
      <c r="AP913">
        <v>1</v>
      </c>
      <c r="AQ913" t="s">
        <v>3290</v>
      </c>
      <c r="AR913" t="s">
        <v>3291</v>
      </c>
      <c r="AS913" t="s">
        <v>3292</v>
      </c>
      <c r="AT913" t="s">
        <v>66</v>
      </c>
    </row>
    <row r="914" spans="1:46" x14ac:dyDescent="0.15">
      <c r="A914" t="s">
        <v>3514</v>
      </c>
      <c r="B914" t="s">
        <v>3080</v>
      </c>
      <c r="C914" t="s">
        <v>3081</v>
      </c>
      <c r="D914">
        <v>85</v>
      </c>
      <c r="E914" t="s">
        <v>3082</v>
      </c>
      <c r="F914" t="s">
        <v>3083</v>
      </c>
      <c r="G914" t="s">
        <v>51</v>
      </c>
      <c r="H914" t="s">
        <v>3084</v>
      </c>
      <c r="I914" t="s">
        <v>1553</v>
      </c>
      <c r="J914" t="s">
        <v>54</v>
      </c>
      <c r="K914" t="s">
        <v>1555</v>
      </c>
      <c r="L914" t="s">
        <v>17</v>
      </c>
      <c r="M914" t="s">
        <v>18</v>
      </c>
      <c r="N914">
        <v>5214</v>
      </c>
      <c r="O914">
        <v>290</v>
      </c>
      <c r="P914">
        <v>0</v>
      </c>
      <c r="Q914" t="s">
        <v>3515</v>
      </c>
      <c r="R914" t="s">
        <v>3516</v>
      </c>
      <c r="S914" t="s">
        <v>3517</v>
      </c>
      <c r="T914" t="s">
        <v>3518</v>
      </c>
      <c r="U914" t="s">
        <v>60</v>
      </c>
      <c r="V914" t="s">
        <v>61</v>
      </c>
      <c r="W914">
        <v>5</v>
      </c>
      <c r="X914">
        <v>0.14874999999999999</v>
      </c>
      <c r="Y914" t="s">
        <v>343</v>
      </c>
      <c r="Z914" t="s">
        <v>622</v>
      </c>
      <c r="AA914">
        <v>4</v>
      </c>
      <c r="AB914" t="s">
        <v>3089</v>
      </c>
      <c r="AC914" t="s">
        <v>3090</v>
      </c>
      <c r="AD914" t="s">
        <v>3091</v>
      </c>
      <c r="AE914" t="s">
        <v>3092</v>
      </c>
      <c r="AF914" t="s">
        <v>3093</v>
      </c>
      <c r="AG914" t="s">
        <v>322</v>
      </c>
      <c r="AH914" t="s">
        <v>191</v>
      </c>
      <c r="AI914" t="s">
        <v>322</v>
      </c>
      <c r="AJ914" t="s">
        <v>590</v>
      </c>
      <c r="AK914">
        <v>1</v>
      </c>
      <c r="AL914" t="s">
        <v>3288</v>
      </c>
      <c r="AM914" t="s">
        <v>3289</v>
      </c>
      <c r="AN914" t="s">
        <v>3393</v>
      </c>
      <c r="AO914" t="s">
        <v>66</v>
      </c>
      <c r="AP914">
        <v>1</v>
      </c>
      <c r="AQ914" t="s">
        <v>3290</v>
      </c>
      <c r="AR914" t="s">
        <v>3291</v>
      </c>
      <c r="AS914" t="s">
        <v>3292</v>
      </c>
      <c r="AT914" t="s">
        <v>66</v>
      </c>
    </row>
    <row r="915" spans="1:46" x14ac:dyDescent="0.15">
      <c r="A915" t="s">
        <v>3519</v>
      </c>
      <c r="B915" t="s">
        <v>3080</v>
      </c>
      <c r="C915" t="s">
        <v>3081</v>
      </c>
      <c r="D915">
        <v>86</v>
      </c>
      <c r="E915" t="s">
        <v>3082</v>
      </c>
      <c r="F915" t="s">
        <v>3083</v>
      </c>
      <c r="G915" t="s">
        <v>51</v>
      </c>
      <c r="H915" t="s">
        <v>3084</v>
      </c>
      <c r="I915" t="s">
        <v>1553</v>
      </c>
      <c r="J915" t="s">
        <v>54</v>
      </c>
      <c r="K915" t="s">
        <v>1555</v>
      </c>
      <c r="L915" t="s">
        <v>17</v>
      </c>
      <c r="M915" t="s">
        <v>18</v>
      </c>
      <c r="N915">
        <v>5270</v>
      </c>
      <c r="O915">
        <v>293</v>
      </c>
      <c r="P915">
        <v>0</v>
      </c>
      <c r="Q915" t="s">
        <v>3520</v>
      </c>
      <c r="R915" t="s">
        <v>3521</v>
      </c>
      <c r="S915" t="s">
        <v>3522</v>
      </c>
      <c r="T915" t="s">
        <v>3523</v>
      </c>
      <c r="U915" t="s">
        <v>60</v>
      </c>
      <c r="V915" t="s">
        <v>61</v>
      </c>
      <c r="W915">
        <v>5</v>
      </c>
      <c r="X915">
        <v>0.14874999999999999</v>
      </c>
      <c r="Y915" t="s">
        <v>628</v>
      </c>
      <c r="Z915" t="s">
        <v>629</v>
      </c>
      <c r="AA915">
        <v>4</v>
      </c>
      <c r="AB915" t="s">
        <v>3089</v>
      </c>
      <c r="AC915" t="s">
        <v>3090</v>
      </c>
      <c r="AD915" t="s">
        <v>3091</v>
      </c>
      <c r="AE915" t="s">
        <v>3092</v>
      </c>
      <c r="AF915" t="s">
        <v>3093</v>
      </c>
      <c r="AG915" t="s">
        <v>322</v>
      </c>
      <c r="AH915" t="s">
        <v>191</v>
      </c>
      <c r="AI915" t="s">
        <v>322</v>
      </c>
      <c r="AJ915" t="s">
        <v>590</v>
      </c>
      <c r="AK915">
        <v>1</v>
      </c>
      <c r="AL915" t="s">
        <v>3288</v>
      </c>
      <c r="AM915" t="s">
        <v>3289</v>
      </c>
      <c r="AN915" t="s">
        <v>3393</v>
      </c>
      <c r="AO915" t="s">
        <v>66</v>
      </c>
      <c r="AP915">
        <v>1</v>
      </c>
      <c r="AQ915" t="s">
        <v>3290</v>
      </c>
      <c r="AR915" t="s">
        <v>3291</v>
      </c>
      <c r="AS915" t="s">
        <v>3292</v>
      </c>
      <c r="AT915" t="s">
        <v>66</v>
      </c>
    </row>
    <row r="916" spans="1:46" x14ac:dyDescent="0.15">
      <c r="A916" t="s">
        <v>3524</v>
      </c>
      <c r="B916" t="s">
        <v>3080</v>
      </c>
      <c r="C916" t="s">
        <v>3081</v>
      </c>
      <c r="D916">
        <v>87</v>
      </c>
      <c r="E916" t="s">
        <v>3082</v>
      </c>
      <c r="F916" t="s">
        <v>3083</v>
      </c>
      <c r="G916" t="s">
        <v>51</v>
      </c>
      <c r="H916" t="s">
        <v>3084</v>
      </c>
      <c r="I916" t="s">
        <v>1553</v>
      </c>
      <c r="J916" t="s">
        <v>54</v>
      </c>
      <c r="K916" t="s">
        <v>1555</v>
      </c>
      <c r="L916" t="s">
        <v>17</v>
      </c>
      <c r="M916" t="s">
        <v>18</v>
      </c>
      <c r="N916">
        <v>5327</v>
      </c>
      <c r="O916">
        <v>297</v>
      </c>
      <c r="P916">
        <v>0</v>
      </c>
      <c r="Q916" t="s">
        <v>3525</v>
      </c>
      <c r="R916" t="s">
        <v>3526</v>
      </c>
      <c r="S916" t="s">
        <v>3527</v>
      </c>
      <c r="T916" t="s">
        <v>3528</v>
      </c>
      <c r="U916" t="s">
        <v>60</v>
      </c>
      <c r="V916" t="s">
        <v>61</v>
      </c>
      <c r="W916">
        <v>5</v>
      </c>
      <c r="X916">
        <v>0.14874999999999999</v>
      </c>
      <c r="Y916" t="s">
        <v>350</v>
      </c>
      <c r="Z916" t="s">
        <v>635</v>
      </c>
      <c r="AA916">
        <v>4</v>
      </c>
      <c r="AB916" t="s">
        <v>3089</v>
      </c>
      <c r="AC916" t="s">
        <v>3090</v>
      </c>
      <c r="AD916" t="s">
        <v>3091</v>
      </c>
      <c r="AE916" t="s">
        <v>3092</v>
      </c>
      <c r="AF916" t="s">
        <v>3093</v>
      </c>
      <c r="AG916" t="s">
        <v>322</v>
      </c>
      <c r="AH916" t="s">
        <v>191</v>
      </c>
      <c r="AI916" t="s">
        <v>322</v>
      </c>
      <c r="AJ916" t="s">
        <v>590</v>
      </c>
      <c r="AK916">
        <v>1</v>
      </c>
      <c r="AL916" t="s">
        <v>3288</v>
      </c>
      <c r="AM916" t="s">
        <v>3289</v>
      </c>
      <c r="AN916" t="s">
        <v>3393</v>
      </c>
      <c r="AO916" t="s">
        <v>66</v>
      </c>
      <c r="AP916">
        <v>1</v>
      </c>
      <c r="AQ916" t="s">
        <v>3290</v>
      </c>
      <c r="AR916" t="s">
        <v>3291</v>
      </c>
      <c r="AS916" t="s">
        <v>3292</v>
      </c>
      <c r="AT916" t="s">
        <v>66</v>
      </c>
    </row>
    <row r="917" spans="1:46" x14ac:dyDescent="0.15">
      <c r="A917" t="s">
        <v>3529</v>
      </c>
      <c r="B917" t="s">
        <v>3080</v>
      </c>
      <c r="C917" t="s">
        <v>3081</v>
      </c>
      <c r="D917">
        <v>88</v>
      </c>
      <c r="E917" t="s">
        <v>3082</v>
      </c>
      <c r="F917" t="s">
        <v>3083</v>
      </c>
      <c r="G917" t="s">
        <v>51</v>
      </c>
      <c r="H917" t="s">
        <v>3084</v>
      </c>
      <c r="I917" t="s">
        <v>1553</v>
      </c>
      <c r="J917" t="s">
        <v>54</v>
      </c>
      <c r="K917" t="s">
        <v>1555</v>
      </c>
      <c r="L917" t="s">
        <v>17</v>
      </c>
      <c r="M917" t="s">
        <v>18</v>
      </c>
      <c r="N917">
        <v>5383</v>
      </c>
      <c r="O917">
        <v>300</v>
      </c>
      <c r="P917">
        <v>0</v>
      </c>
      <c r="Q917" t="s">
        <v>3530</v>
      </c>
      <c r="R917" t="s">
        <v>3531</v>
      </c>
      <c r="S917" t="s">
        <v>3532</v>
      </c>
      <c r="T917" t="s">
        <v>3533</v>
      </c>
      <c r="U917" t="s">
        <v>60</v>
      </c>
      <c r="V917" t="s">
        <v>61</v>
      </c>
      <c r="W917">
        <v>5</v>
      </c>
      <c r="X917">
        <v>0.14874999999999999</v>
      </c>
      <c r="Y917" t="s">
        <v>641</v>
      </c>
      <c r="Z917" t="s">
        <v>642</v>
      </c>
      <c r="AA917">
        <v>4</v>
      </c>
      <c r="AB917" t="s">
        <v>3089</v>
      </c>
      <c r="AC917" t="s">
        <v>3090</v>
      </c>
      <c r="AD917" t="s">
        <v>3091</v>
      </c>
      <c r="AE917" t="s">
        <v>3092</v>
      </c>
      <c r="AF917" t="s">
        <v>3093</v>
      </c>
      <c r="AG917" t="s">
        <v>322</v>
      </c>
      <c r="AH917" t="s">
        <v>191</v>
      </c>
      <c r="AI917" t="s">
        <v>322</v>
      </c>
      <c r="AJ917" t="s">
        <v>590</v>
      </c>
      <c r="AK917">
        <v>1</v>
      </c>
      <c r="AL917" t="s">
        <v>3288</v>
      </c>
      <c r="AM917" t="s">
        <v>3289</v>
      </c>
      <c r="AN917" t="s">
        <v>3393</v>
      </c>
      <c r="AO917" t="s">
        <v>66</v>
      </c>
      <c r="AP917">
        <v>1</v>
      </c>
      <c r="AQ917" t="s">
        <v>3290</v>
      </c>
      <c r="AR917" t="s">
        <v>3291</v>
      </c>
      <c r="AS917" t="s">
        <v>3292</v>
      </c>
      <c r="AT917" t="s">
        <v>66</v>
      </c>
    </row>
    <row r="918" spans="1:46" x14ac:dyDescent="0.15">
      <c r="A918" t="s">
        <v>3534</v>
      </c>
      <c r="B918" t="s">
        <v>3080</v>
      </c>
      <c r="C918" t="s">
        <v>3081</v>
      </c>
      <c r="D918">
        <v>89</v>
      </c>
      <c r="E918" t="s">
        <v>3082</v>
      </c>
      <c r="F918" t="s">
        <v>3083</v>
      </c>
      <c r="G918" t="s">
        <v>51</v>
      </c>
      <c r="H918" t="s">
        <v>3084</v>
      </c>
      <c r="I918" t="s">
        <v>1553</v>
      </c>
      <c r="J918" t="s">
        <v>54</v>
      </c>
      <c r="K918" t="s">
        <v>1555</v>
      </c>
      <c r="L918" t="s">
        <v>17</v>
      </c>
      <c r="M918" t="s">
        <v>18</v>
      </c>
      <c r="N918">
        <v>5439</v>
      </c>
      <c r="O918">
        <v>303</v>
      </c>
      <c r="P918">
        <v>0</v>
      </c>
      <c r="Q918" t="s">
        <v>3535</v>
      </c>
      <c r="R918" t="s">
        <v>3536</v>
      </c>
      <c r="S918" t="s">
        <v>3537</v>
      </c>
      <c r="T918" t="s">
        <v>3538</v>
      </c>
      <c r="U918" t="s">
        <v>60</v>
      </c>
      <c r="V918" t="s">
        <v>61</v>
      </c>
      <c r="W918">
        <v>5</v>
      </c>
      <c r="X918">
        <v>0.14874999999999999</v>
      </c>
      <c r="Y918" t="s">
        <v>356</v>
      </c>
      <c r="Z918" t="s">
        <v>648</v>
      </c>
      <c r="AA918">
        <v>4</v>
      </c>
      <c r="AB918" t="s">
        <v>3089</v>
      </c>
      <c r="AC918" t="s">
        <v>3090</v>
      </c>
      <c r="AD918" t="s">
        <v>3091</v>
      </c>
      <c r="AE918" t="s">
        <v>3092</v>
      </c>
      <c r="AF918" t="s">
        <v>3093</v>
      </c>
      <c r="AG918" t="s">
        <v>322</v>
      </c>
      <c r="AH918" t="s">
        <v>191</v>
      </c>
      <c r="AI918" t="s">
        <v>322</v>
      </c>
      <c r="AJ918" t="s">
        <v>590</v>
      </c>
      <c r="AK918">
        <v>1</v>
      </c>
      <c r="AL918" t="s">
        <v>3288</v>
      </c>
      <c r="AM918" t="s">
        <v>3289</v>
      </c>
      <c r="AN918" t="s">
        <v>3393</v>
      </c>
      <c r="AO918" t="s">
        <v>66</v>
      </c>
      <c r="AP918">
        <v>1</v>
      </c>
      <c r="AQ918" t="s">
        <v>3290</v>
      </c>
      <c r="AR918" t="s">
        <v>3291</v>
      </c>
      <c r="AS918" t="s">
        <v>3292</v>
      </c>
      <c r="AT918" t="s">
        <v>66</v>
      </c>
    </row>
    <row r="919" spans="1:46" x14ac:dyDescent="0.15">
      <c r="A919" t="s">
        <v>3539</v>
      </c>
      <c r="B919" t="s">
        <v>3080</v>
      </c>
      <c r="C919" t="s">
        <v>3081</v>
      </c>
      <c r="D919">
        <v>90</v>
      </c>
      <c r="E919" t="s">
        <v>3082</v>
      </c>
      <c r="F919" t="s">
        <v>3083</v>
      </c>
      <c r="G919" t="s">
        <v>51</v>
      </c>
      <c r="H919" t="s">
        <v>3084</v>
      </c>
      <c r="I919" t="s">
        <v>1553</v>
      </c>
      <c r="J919" t="s">
        <v>54</v>
      </c>
      <c r="K919" t="s">
        <v>1555</v>
      </c>
      <c r="L919" t="s">
        <v>17</v>
      </c>
      <c r="M919" t="s">
        <v>18</v>
      </c>
      <c r="N919">
        <v>5495</v>
      </c>
      <c r="O919">
        <v>306</v>
      </c>
      <c r="P919">
        <v>0</v>
      </c>
      <c r="Q919" t="s">
        <v>3540</v>
      </c>
      <c r="R919" t="s">
        <v>3541</v>
      </c>
      <c r="S919" t="s">
        <v>3542</v>
      </c>
      <c r="T919" t="s">
        <v>3543</v>
      </c>
      <c r="U919" t="s">
        <v>60</v>
      </c>
      <c r="V919" t="s">
        <v>61</v>
      </c>
      <c r="W919">
        <v>5</v>
      </c>
      <c r="X919">
        <v>0.14874999999999999</v>
      </c>
      <c r="Y919" t="s">
        <v>654</v>
      </c>
      <c r="Z919" t="s">
        <v>655</v>
      </c>
      <c r="AA919">
        <v>4</v>
      </c>
      <c r="AB919" t="s">
        <v>3089</v>
      </c>
      <c r="AC919" t="s">
        <v>3090</v>
      </c>
      <c r="AD919" t="s">
        <v>3091</v>
      </c>
      <c r="AE919" t="s">
        <v>3092</v>
      </c>
      <c r="AF919" t="s">
        <v>3093</v>
      </c>
      <c r="AG919" t="s">
        <v>322</v>
      </c>
      <c r="AH919" t="s">
        <v>191</v>
      </c>
      <c r="AI919" t="s">
        <v>322</v>
      </c>
      <c r="AJ919" t="s">
        <v>590</v>
      </c>
      <c r="AK919">
        <v>1</v>
      </c>
      <c r="AL919" t="s">
        <v>3288</v>
      </c>
      <c r="AM919" t="s">
        <v>3289</v>
      </c>
      <c r="AN919" t="s">
        <v>3393</v>
      </c>
      <c r="AO919" t="s">
        <v>66</v>
      </c>
      <c r="AP919">
        <v>1</v>
      </c>
      <c r="AQ919" t="s">
        <v>3290</v>
      </c>
      <c r="AR919" t="s">
        <v>3291</v>
      </c>
      <c r="AS919" t="s">
        <v>3292</v>
      </c>
      <c r="AT919" t="s">
        <v>66</v>
      </c>
    </row>
    <row r="920" spans="1:46" x14ac:dyDescent="0.15">
      <c r="A920" t="s">
        <v>3544</v>
      </c>
      <c r="B920" t="s">
        <v>3080</v>
      </c>
      <c r="C920" t="s">
        <v>3081</v>
      </c>
      <c r="D920">
        <v>91</v>
      </c>
      <c r="E920" t="s">
        <v>3082</v>
      </c>
      <c r="F920" t="s">
        <v>3083</v>
      </c>
      <c r="G920" t="s">
        <v>51</v>
      </c>
      <c r="H920" t="s">
        <v>3084</v>
      </c>
      <c r="I920" t="s">
        <v>1553</v>
      </c>
      <c r="J920" t="s">
        <v>54</v>
      </c>
      <c r="K920" t="s">
        <v>1555</v>
      </c>
      <c r="L920" t="s">
        <v>17</v>
      </c>
      <c r="M920" t="s">
        <v>18</v>
      </c>
      <c r="N920">
        <v>5551</v>
      </c>
      <c r="O920">
        <v>309</v>
      </c>
      <c r="P920">
        <v>0</v>
      </c>
      <c r="Q920" t="s">
        <v>3545</v>
      </c>
      <c r="R920" t="s">
        <v>3546</v>
      </c>
      <c r="S920" t="s">
        <v>3547</v>
      </c>
      <c r="T920" t="s">
        <v>3548</v>
      </c>
      <c r="U920" t="s">
        <v>60</v>
      </c>
      <c r="V920" t="s">
        <v>61</v>
      </c>
      <c r="W920">
        <v>5</v>
      </c>
      <c r="X920">
        <v>0.14874999999999999</v>
      </c>
      <c r="Y920" t="s">
        <v>363</v>
      </c>
      <c r="Z920" t="s">
        <v>661</v>
      </c>
      <c r="AA920">
        <v>4</v>
      </c>
      <c r="AB920" t="s">
        <v>3089</v>
      </c>
      <c r="AC920" t="s">
        <v>3090</v>
      </c>
      <c r="AD920" t="s">
        <v>3091</v>
      </c>
      <c r="AE920" t="s">
        <v>3092</v>
      </c>
      <c r="AF920" t="s">
        <v>3093</v>
      </c>
      <c r="AG920" t="s">
        <v>322</v>
      </c>
      <c r="AH920" t="s">
        <v>191</v>
      </c>
      <c r="AI920" t="s">
        <v>322</v>
      </c>
      <c r="AJ920" t="s">
        <v>590</v>
      </c>
      <c r="AK920">
        <v>1</v>
      </c>
      <c r="AL920" t="s">
        <v>3288</v>
      </c>
      <c r="AM920" t="s">
        <v>3289</v>
      </c>
      <c r="AN920" t="s">
        <v>3393</v>
      </c>
      <c r="AO920" t="s">
        <v>66</v>
      </c>
      <c r="AP920">
        <v>1</v>
      </c>
      <c r="AQ920" t="s">
        <v>3290</v>
      </c>
      <c r="AR920" t="s">
        <v>3291</v>
      </c>
      <c r="AS920" t="s">
        <v>3292</v>
      </c>
      <c r="AT920" t="s">
        <v>66</v>
      </c>
    </row>
    <row r="921" spans="1:46" x14ac:dyDescent="0.15">
      <c r="A921" t="s">
        <v>3549</v>
      </c>
      <c r="B921" t="s">
        <v>3080</v>
      </c>
      <c r="C921" t="s">
        <v>3081</v>
      </c>
      <c r="D921">
        <v>92</v>
      </c>
      <c r="E921" t="s">
        <v>3082</v>
      </c>
      <c r="F921" t="s">
        <v>3083</v>
      </c>
      <c r="G921" t="s">
        <v>51</v>
      </c>
      <c r="H921" t="s">
        <v>3084</v>
      </c>
      <c r="I921" t="s">
        <v>1553</v>
      </c>
      <c r="J921" t="s">
        <v>54</v>
      </c>
      <c r="K921" t="s">
        <v>1555</v>
      </c>
      <c r="L921" t="s">
        <v>17</v>
      </c>
      <c r="M921" t="s">
        <v>18</v>
      </c>
      <c r="N921">
        <v>5607</v>
      </c>
      <c r="O921">
        <v>312</v>
      </c>
      <c r="P921">
        <v>0</v>
      </c>
      <c r="Q921" t="s">
        <v>3550</v>
      </c>
      <c r="R921" t="s">
        <v>3551</v>
      </c>
      <c r="S921" t="s">
        <v>3552</v>
      </c>
      <c r="T921" t="s">
        <v>3553</v>
      </c>
      <c r="U921" t="s">
        <v>60</v>
      </c>
      <c r="V921" t="s">
        <v>61</v>
      </c>
      <c r="W921">
        <v>5</v>
      </c>
      <c r="X921">
        <v>0.14874999999999999</v>
      </c>
      <c r="Y921" t="s">
        <v>667</v>
      </c>
      <c r="Z921" t="s">
        <v>668</v>
      </c>
      <c r="AA921">
        <v>4</v>
      </c>
      <c r="AB921" t="s">
        <v>3089</v>
      </c>
      <c r="AC921" t="s">
        <v>3090</v>
      </c>
      <c r="AD921" t="s">
        <v>3091</v>
      </c>
      <c r="AE921" t="s">
        <v>3092</v>
      </c>
      <c r="AF921" t="s">
        <v>3093</v>
      </c>
      <c r="AG921" t="s">
        <v>322</v>
      </c>
      <c r="AH921" t="s">
        <v>191</v>
      </c>
      <c r="AI921" t="s">
        <v>322</v>
      </c>
      <c r="AJ921" t="s">
        <v>590</v>
      </c>
      <c r="AK921">
        <v>1</v>
      </c>
      <c r="AL921" t="s">
        <v>3288</v>
      </c>
      <c r="AM921" t="s">
        <v>3289</v>
      </c>
      <c r="AN921" t="s">
        <v>3393</v>
      </c>
      <c r="AO921" t="s">
        <v>66</v>
      </c>
      <c r="AP921">
        <v>1</v>
      </c>
      <c r="AQ921" t="s">
        <v>3290</v>
      </c>
      <c r="AR921" t="s">
        <v>3291</v>
      </c>
      <c r="AS921" t="s">
        <v>3292</v>
      </c>
      <c r="AT921" t="s">
        <v>66</v>
      </c>
    </row>
    <row r="922" spans="1:46" x14ac:dyDescent="0.15">
      <c r="A922" t="s">
        <v>3554</v>
      </c>
      <c r="B922" t="s">
        <v>3080</v>
      </c>
      <c r="C922" t="s">
        <v>3081</v>
      </c>
      <c r="D922">
        <v>93</v>
      </c>
      <c r="E922" t="s">
        <v>3082</v>
      </c>
      <c r="F922" t="s">
        <v>3083</v>
      </c>
      <c r="G922" t="s">
        <v>51</v>
      </c>
      <c r="H922" t="s">
        <v>3084</v>
      </c>
      <c r="I922" t="s">
        <v>1553</v>
      </c>
      <c r="J922" t="s">
        <v>54</v>
      </c>
      <c r="K922" t="s">
        <v>1555</v>
      </c>
      <c r="L922" t="s">
        <v>17</v>
      </c>
      <c r="M922" t="s">
        <v>18</v>
      </c>
      <c r="N922">
        <v>5663</v>
      </c>
      <c r="O922">
        <v>315</v>
      </c>
      <c r="P922">
        <v>0</v>
      </c>
      <c r="Q922" t="s">
        <v>3555</v>
      </c>
      <c r="R922" t="s">
        <v>3556</v>
      </c>
      <c r="S922" t="s">
        <v>3557</v>
      </c>
      <c r="T922" t="s">
        <v>3558</v>
      </c>
      <c r="U922" t="s">
        <v>60</v>
      </c>
      <c r="V922" t="s">
        <v>61</v>
      </c>
      <c r="W922">
        <v>5</v>
      </c>
      <c r="X922">
        <v>0.14874999999999999</v>
      </c>
      <c r="Y922" t="s">
        <v>369</v>
      </c>
      <c r="Z922" t="s">
        <v>674</v>
      </c>
      <c r="AA922">
        <v>4</v>
      </c>
      <c r="AB922" t="s">
        <v>3089</v>
      </c>
      <c r="AC922" t="s">
        <v>3090</v>
      </c>
      <c r="AD922" t="s">
        <v>3091</v>
      </c>
      <c r="AE922" t="s">
        <v>3092</v>
      </c>
      <c r="AF922" t="s">
        <v>3093</v>
      </c>
      <c r="AG922" t="s">
        <v>322</v>
      </c>
      <c r="AH922" t="s">
        <v>191</v>
      </c>
      <c r="AI922" t="s">
        <v>322</v>
      </c>
      <c r="AJ922" t="s">
        <v>590</v>
      </c>
      <c r="AK922">
        <v>1</v>
      </c>
      <c r="AL922" t="s">
        <v>3288</v>
      </c>
      <c r="AM922" t="s">
        <v>3289</v>
      </c>
      <c r="AN922" t="s">
        <v>3393</v>
      </c>
      <c r="AO922" t="s">
        <v>66</v>
      </c>
      <c r="AP922">
        <v>1</v>
      </c>
      <c r="AQ922" t="s">
        <v>3290</v>
      </c>
      <c r="AR922" t="s">
        <v>3291</v>
      </c>
      <c r="AS922" t="s">
        <v>3292</v>
      </c>
      <c r="AT922" t="s">
        <v>66</v>
      </c>
    </row>
    <row r="923" spans="1:46" x14ac:dyDescent="0.15">
      <c r="A923" t="s">
        <v>3559</v>
      </c>
      <c r="B923" t="s">
        <v>3080</v>
      </c>
      <c r="C923" t="s">
        <v>3081</v>
      </c>
      <c r="D923">
        <v>94</v>
      </c>
      <c r="E923" t="s">
        <v>3082</v>
      </c>
      <c r="F923" t="s">
        <v>3083</v>
      </c>
      <c r="G923" t="s">
        <v>51</v>
      </c>
      <c r="H923" t="s">
        <v>3084</v>
      </c>
      <c r="I923" t="s">
        <v>1553</v>
      </c>
      <c r="J923" t="s">
        <v>54</v>
      </c>
      <c r="K923" t="s">
        <v>1555</v>
      </c>
      <c r="L923" t="s">
        <v>17</v>
      </c>
      <c r="M923" t="s">
        <v>18</v>
      </c>
      <c r="N923">
        <v>5719</v>
      </c>
      <c r="O923">
        <v>318</v>
      </c>
      <c r="P923">
        <v>0</v>
      </c>
      <c r="Q923" t="s">
        <v>3560</v>
      </c>
      <c r="R923" t="s">
        <v>3561</v>
      </c>
      <c r="S923" t="s">
        <v>3562</v>
      </c>
      <c r="T923" t="s">
        <v>3563</v>
      </c>
      <c r="U923" t="s">
        <v>60</v>
      </c>
      <c r="V923" t="s">
        <v>61</v>
      </c>
      <c r="W923">
        <v>5</v>
      </c>
      <c r="X923">
        <v>0.14874999999999999</v>
      </c>
      <c r="Y923" t="s">
        <v>680</v>
      </c>
      <c r="Z923" t="s">
        <v>681</v>
      </c>
      <c r="AA923">
        <v>4</v>
      </c>
      <c r="AB923" t="s">
        <v>3089</v>
      </c>
      <c r="AC923" t="s">
        <v>3090</v>
      </c>
      <c r="AD923" t="s">
        <v>3091</v>
      </c>
      <c r="AE923" t="s">
        <v>3092</v>
      </c>
      <c r="AF923" t="s">
        <v>3093</v>
      </c>
      <c r="AG923" t="s">
        <v>322</v>
      </c>
      <c r="AH923" t="s">
        <v>191</v>
      </c>
      <c r="AI923" t="s">
        <v>322</v>
      </c>
      <c r="AJ923" t="s">
        <v>590</v>
      </c>
      <c r="AK923">
        <v>1</v>
      </c>
      <c r="AL923" t="s">
        <v>3288</v>
      </c>
      <c r="AM923" t="s">
        <v>3289</v>
      </c>
      <c r="AN923" t="s">
        <v>3393</v>
      </c>
      <c r="AO923" t="s">
        <v>66</v>
      </c>
      <c r="AP923">
        <v>1</v>
      </c>
      <c r="AQ923" t="s">
        <v>3290</v>
      </c>
      <c r="AR923" t="s">
        <v>3291</v>
      </c>
      <c r="AS923" t="s">
        <v>3292</v>
      </c>
      <c r="AT923" t="s">
        <v>66</v>
      </c>
    </row>
    <row r="924" spans="1:46" x14ac:dyDescent="0.15">
      <c r="A924" t="s">
        <v>3564</v>
      </c>
      <c r="B924" t="s">
        <v>3080</v>
      </c>
      <c r="C924" t="s">
        <v>3081</v>
      </c>
      <c r="D924">
        <v>95</v>
      </c>
      <c r="E924" t="s">
        <v>3082</v>
      </c>
      <c r="F924" t="s">
        <v>3083</v>
      </c>
      <c r="G924" t="s">
        <v>51</v>
      </c>
      <c r="H924" t="s">
        <v>3084</v>
      </c>
      <c r="I924" t="s">
        <v>1553</v>
      </c>
      <c r="J924" t="s">
        <v>54</v>
      </c>
      <c r="K924" t="s">
        <v>1555</v>
      </c>
      <c r="L924" t="s">
        <v>17</v>
      </c>
      <c r="M924" t="s">
        <v>18</v>
      </c>
      <c r="N924">
        <v>5776</v>
      </c>
      <c r="O924">
        <v>321</v>
      </c>
      <c r="P924">
        <v>0</v>
      </c>
      <c r="Q924" t="s">
        <v>3565</v>
      </c>
      <c r="R924" t="s">
        <v>3566</v>
      </c>
      <c r="S924" t="s">
        <v>3567</v>
      </c>
      <c r="T924" t="s">
        <v>3568</v>
      </c>
      <c r="U924" t="s">
        <v>60</v>
      </c>
      <c r="V924" t="s">
        <v>61</v>
      </c>
      <c r="W924">
        <v>5</v>
      </c>
      <c r="X924">
        <v>0.14874999999999999</v>
      </c>
      <c r="Y924" t="s">
        <v>376</v>
      </c>
      <c r="Z924" t="s">
        <v>687</v>
      </c>
      <c r="AA924">
        <v>4</v>
      </c>
      <c r="AB924" t="s">
        <v>3089</v>
      </c>
      <c r="AC924" t="s">
        <v>3090</v>
      </c>
      <c r="AD924" t="s">
        <v>3091</v>
      </c>
      <c r="AE924" t="s">
        <v>3092</v>
      </c>
      <c r="AF924" t="s">
        <v>3093</v>
      </c>
      <c r="AG924" t="s">
        <v>322</v>
      </c>
      <c r="AH924" t="s">
        <v>191</v>
      </c>
      <c r="AI924" t="s">
        <v>322</v>
      </c>
      <c r="AJ924" t="s">
        <v>590</v>
      </c>
      <c r="AK924">
        <v>1</v>
      </c>
      <c r="AL924" t="s">
        <v>3288</v>
      </c>
      <c r="AM924" t="s">
        <v>3289</v>
      </c>
      <c r="AN924" t="s">
        <v>3393</v>
      </c>
      <c r="AO924" t="s">
        <v>66</v>
      </c>
      <c r="AP924">
        <v>1</v>
      </c>
      <c r="AQ924" t="s">
        <v>3290</v>
      </c>
      <c r="AR924" t="s">
        <v>3291</v>
      </c>
      <c r="AS924" t="s">
        <v>3292</v>
      </c>
      <c r="AT924" t="s">
        <v>66</v>
      </c>
    </row>
    <row r="925" spans="1:46" x14ac:dyDescent="0.15">
      <c r="A925" t="s">
        <v>3569</v>
      </c>
      <c r="B925" t="s">
        <v>3080</v>
      </c>
      <c r="C925" t="s">
        <v>3081</v>
      </c>
      <c r="D925">
        <v>96</v>
      </c>
      <c r="E925" t="s">
        <v>3082</v>
      </c>
      <c r="F925" t="s">
        <v>3083</v>
      </c>
      <c r="G925" t="s">
        <v>51</v>
      </c>
      <c r="H925" t="s">
        <v>3084</v>
      </c>
      <c r="I925" t="s">
        <v>1553</v>
      </c>
      <c r="J925" t="s">
        <v>54</v>
      </c>
      <c r="K925" t="s">
        <v>1555</v>
      </c>
      <c r="L925" t="s">
        <v>17</v>
      </c>
      <c r="M925" t="s">
        <v>18</v>
      </c>
      <c r="N925">
        <v>5832</v>
      </c>
      <c r="O925">
        <v>324</v>
      </c>
      <c r="P925">
        <v>0</v>
      </c>
      <c r="Q925" t="s">
        <v>3570</v>
      </c>
      <c r="R925" t="s">
        <v>3571</v>
      </c>
      <c r="S925" t="s">
        <v>3572</v>
      </c>
      <c r="T925" t="s">
        <v>3573</v>
      </c>
      <c r="U925" t="s">
        <v>60</v>
      </c>
      <c r="V925" t="s">
        <v>61</v>
      </c>
      <c r="W925">
        <v>5</v>
      </c>
      <c r="X925">
        <v>0.14874999999999999</v>
      </c>
      <c r="Y925" t="s">
        <v>693</v>
      </c>
      <c r="Z925" t="s">
        <v>694</v>
      </c>
      <c r="AA925">
        <v>4</v>
      </c>
      <c r="AB925" t="s">
        <v>3089</v>
      </c>
      <c r="AC925" t="s">
        <v>3090</v>
      </c>
      <c r="AD925" t="s">
        <v>3091</v>
      </c>
      <c r="AE925" t="s">
        <v>3092</v>
      </c>
      <c r="AF925" t="s">
        <v>3093</v>
      </c>
      <c r="AG925" t="s">
        <v>322</v>
      </c>
      <c r="AH925" t="s">
        <v>191</v>
      </c>
      <c r="AI925" t="s">
        <v>322</v>
      </c>
      <c r="AJ925" t="s">
        <v>590</v>
      </c>
      <c r="AK925">
        <v>1</v>
      </c>
      <c r="AL925" t="s">
        <v>3288</v>
      </c>
      <c r="AM925" t="s">
        <v>3289</v>
      </c>
      <c r="AN925" t="s">
        <v>3393</v>
      </c>
      <c r="AO925" t="s">
        <v>66</v>
      </c>
      <c r="AP925">
        <v>1</v>
      </c>
      <c r="AQ925" t="s">
        <v>3290</v>
      </c>
      <c r="AR925" t="s">
        <v>3291</v>
      </c>
      <c r="AS925" t="s">
        <v>3292</v>
      </c>
      <c r="AT925" t="s">
        <v>66</v>
      </c>
    </row>
    <row r="926" spans="1:46" x14ac:dyDescent="0.15">
      <c r="A926" t="s">
        <v>3574</v>
      </c>
      <c r="B926" t="s">
        <v>3080</v>
      </c>
      <c r="C926" t="s">
        <v>3081</v>
      </c>
      <c r="D926">
        <v>97</v>
      </c>
      <c r="E926" t="s">
        <v>3082</v>
      </c>
      <c r="F926" t="s">
        <v>3083</v>
      </c>
      <c r="G926" t="s">
        <v>51</v>
      </c>
      <c r="H926" t="s">
        <v>3084</v>
      </c>
      <c r="I926" t="s">
        <v>1553</v>
      </c>
      <c r="J926" t="s">
        <v>54</v>
      </c>
      <c r="K926" t="s">
        <v>1555</v>
      </c>
      <c r="L926" t="s">
        <v>17</v>
      </c>
      <c r="M926" t="s">
        <v>18</v>
      </c>
      <c r="N926">
        <v>5888</v>
      </c>
      <c r="O926">
        <v>328</v>
      </c>
      <c r="P926">
        <v>0</v>
      </c>
      <c r="Q926" t="s">
        <v>3575</v>
      </c>
      <c r="R926" t="s">
        <v>3576</v>
      </c>
      <c r="S926" t="s">
        <v>3577</v>
      </c>
      <c r="T926" t="s">
        <v>3578</v>
      </c>
      <c r="U926" t="s">
        <v>60</v>
      </c>
      <c r="V926" t="s">
        <v>61</v>
      </c>
      <c r="W926">
        <v>5</v>
      </c>
      <c r="X926">
        <v>0.14874999999999999</v>
      </c>
      <c r="Y926" t="s">
        <v>382</v>
      </c>
      <c r="Z926" t="s">
        <v>700</v>
      </c>
      <c r="AA926">
        <v>4</v>
      </c>
      <c r="AB926" t="s">
        <v>3089</v>
      </c>
      <c r="AC926" t="s">
        <v>3090</v>
      </c>
      <c r="AD926" t="s">
        <v>3091</v>
      </c>
      <c r="AE926" t="s">
        <v>3092</v>
      </c>
      <c r="AF926" t="s">
        <v>3093</v>
      </c>
      <c r="AG926" t="s">
        <v>322</v>
      </c>
      <c r="AH926" t="s">
        <v>191</v>
      </c>
      <c r="AI926" t="s">
        <v>322</v>
      </c>
      <c r="AJ926" t="s">
        <v>590</v>
      </c>
      <c r="AK926">
        <v>1</v>
      </c>
      <c r="AL926" t="s">
        <v>3288</v>
      </c>
      <c r="AM926" t="s">
        <v>3289</v>
      </c>
      <c r="AN926" t="s">
        <v>3393</v>
      </c>
      <c r="AO926" t="s">
        <v>66</v>
      </c>
      <c r="AP926">
        <v>1</v>
      </c>
      <c r="AQ926" t="s">
        <v>3290</v>
      </c>
      <c r="AR926" t="s">
        <v>3291</v>
      </c>
      <c r="AS926" t="s">
        <v>3292</v>
      </c>
      <c r="AT926" t="s">
        <v>66</v>
      </c>
    </row>
    <row r="927" spans="1:46" x14ac:dyDescent="0.15">
      <c r="A927" t="s">
        <v>3579</v>
      </c>
      <c r="B927" t="s">
        <v>3080</v>
      </c>
      <c r="C927" t="s">
        <v>3081</v>
      </c>
      <c r="D927">
        <v>98</v>
      </c>
      <c r="E927" t="s">
        <v>3082</v>
      </c>
      <c r="F927" t="s">
        <v>3083</v>
      </c>
      <c r="G927" t="s">
        <v>51</v>
      </c>
      <c r="H927" t="s">
        <v>3084</v>
      </c>
      <c r="I927" t="s">
        <v>1553</v>
      </c>
      <c r="J927" t="s">
        <v>54</v>
      </c>
      <c r="K927" t="s">
        <v>1555</v>
      </c>
      <c r="L927" t="s">
        <v>17</v>
      </c>
      <c r="M927" t="s">
        <v>18</v>
      </c>
      <c r="N927">
        <v>5944</v>
      </c>
      <c r="O927">
        <v>331</v>
      </c>
      <c r="P927">
        <v>0</v>
      </c>
      <c r="Q927" t="s">
        <v>3580</v>
      </c>
      <c r="R927" t="s">
        <v>3581</v>
      </c>
      <c r="S927" t="s">
        <v>3582</v>
      </c>
      <c r="T927" t="s">
        <v>3583</v>
      </c>
      <c r="U927" t="s">
        <v>60</v>
      </c>
      <c r="V927" t="s">
        <v>61</v>
      </c>
      <c r="W927">
        <v>5</v>
      </c>
      <c r="X927">
        <v>0.14874999999999999</v>
      </c>
      <c r="Y927" t="s">
        <v>706</v>
      </c>
      <c r="Z927" t="s">
        <v>707</v>
      </c>
      <c r="AA927">
        <v>4</v>
      </c>
      <c r="AB927" t="s">
        <v>3089</v>
      </c>
      <c r="AC927" t="s">
        <v>3090</v>
      </c>
      <c r="AD927" t="s">
        <v>3091</v>
      </c>
      <c r="AE927" t="s">
        <v>3092</v>
      </c>
      <c r="AF927" t="s">
        <v>3093</v>
      </c>
      <c r="AG927" t="s">
        <v>322</v>
      </c>
      <c r="AH927" t="s">
        <v>191</v>
      </c>
      <c r="AI927" t="s">
        <v>322</v>
      </c>
      <c r="AJ927" t="s">
        <v>590</v>
      </c>
      <c r="AK927">
        <v>1</v>
      </c>
      <c r="AL927" t="s">
        <v>3288</v>
      </c>
      <c r="AM927" t="s">
        <v>3289</v>
      </c>
      <c r="AN927" t="s">
        <v>3393</v>
      </c>
      <c r="AO927" t="s">
        <v>66</v>
      </c>
      <c r="AP927">
        <v>1</v>
      </c>
      <c r="AQ927" t="s">
        <v>3290</v>
      </c>
      <c r="AR927" t="s">
        <v>3291</v>
      </c>
      <c r="AS927" t="s">
        <v>3292</v>
      </c>
      <c r="AT927" t="s">
        <v>66</v>
      </c>
    </row>
    <row r="928" spans="1:46" x14ac:dyDescent="0.15">
      <c r="A928" t="s">
        <v>3584</v>
      </c>
      <c r="B928" t="s">
        <v>3080</v>
      </c>
      <c r="C928" t="s">
        <v>3081</v>
      </c>
      <c r="D928">
        <v>99</v>
      </c>
      <c r="E928" t="s">
        <v>3082</v>
      </c>
      <c r="F928" t="s">
        <v>3083</v>
      </c>
      <c r="G928" t="s">
        <v>51</v>
      </c>
      <c r="H928" t="s">
        <v>3084</v>
      </c>
      <c r="I928" t="s">
        <v>1553</v>
      </c>
      <c r="J928" t="s">
        <v>54</v>
      </c>
      <c r="K928" t="s">
        <v>1555</v>
      </c>
      <c r="L928" t="s">
        <v>17</v>
      </c>
      <c r="M928" t="s">
        <v>18</v>
      </c>
      <c r="N928">
        <v>6000</v>
      </c>
      <c r="O928">
        <v>334</v>
      </c>
      <c r="P928">
        <v>0</v>
      </c>
      <c r="Q928" t="s">
        <v>3585</v>
      </c>
      <c r="R928" t="s">
        <v>3586</v>
      </c>
      <c r="S928" t="s">
        <v>709</v>
      </c>
      <c r="T928" t="s">
        <v>3587</v>
      </c>
      <c r="U928" t="s">
        <v>60</v>
      </c>
      <c r="V928" t="s">
        <v>61</v>
      </c>
      <c r="W928">
        <v>5</v>
      </c>
      <c r="X928">
        <v>0.14874999999999999</v>
      </c>
      <c r="Y928" t="s">
        <v>389</v>
      </c>
      <c r="Z928" t="s">
        <v>713</v>
      </c>
      <c r="AA928">
        <v>4</v>
      </c>
      <c r="AB928" t="s">
        <v>3089</v>
      </c>
      <c r="AC928" t="s">
        <v>3090</v>
      </c>
      <c r="AD928" t="s">
        <v>3091</v>
      </c>
      <c r="AE928" t="s">
        <v>3092</v>
      </c>
      <c r="AF928" t="s">
        <v>3093</v>
      </c>
      <c r="AG928" t="s">
        <v>322</v>
      </c>
      <c r="AH928" t="s">
        <v>191</v>
      </c>
      <c r="AI928" t="s">
        <v>322</v>
      </c>
      <c r="AJ928" t="s">
        <v>590</v>
      </c>
      <c r="AK928">
        <v>1</v>
      </c>
      <c r="AL928" t="s">
        <v>3288</v>
      </c>
      <c r="AM928" t="s">
        <v>3289</v>
      </c>
      <c r="AN928" t="s">
        <v>3393</v>
      </c>
      <c r="AO928" t="s">
        <v>66</v>
      </c>
      <c r="AP928">
        <v>1</v>
      </c>
      <c r="AQ928" t="s">
        <v>3290</v>
      </c>
      <c r="AR928" t="s">
        <v>3291</v>
      </c>
      <c r="AS928" t="s">
        <v>3292</v>
      </c>
      <c r="AT928" t="s">
        <v>66</v>
      </c>
    </row>
    <row r="929" spans="1:46" x14ac:dyDescent="0.15">
      <c r="A929" t="s">
        <v>3588</v>
      </c>
      <c r="B929" t="s">
        <v>3589</v>
      </c>
      <c r="C929" t="s">
        <v>3590</v>
      </c>
      <c r="D929">
        <v>1</v>
      </c>
      <c r="E929" t="s">
        <v>3591</v>
      </c>
      <c r="F929" t="s">
        <v>3592</v>
      </c>
      <c r="G929" t="s">
        <v>51</v>
      </c>
      <c r="H929" t="s">
        <v>3593</v>
      </c>
      <c r="I929" t="s">
        <v>1553</v>
      </c>
      <c r="J929" t="s">
        <v>1554</v>
      </c>
      <c r="K929" t="s">
        <v>3594</v>
      </c>
      <c r="L929" t="s">
        <v>19</v>
      </c>
      <c r="M929" t="s">
        <v>18</v>
      </c>
      <c r="N929">
        <v>500</v>
      </c>
      <c r="O929">
        <v>30</v>
      </c>
      <c r="P929">
        <v>0</v>
      </c>
      <c r="Q929" t="s">
        <v>3595</v>
      </c>
      <c r="R929" t="s">
        <v>2575</v>
      </c>
      <c r="S929" t="s">
        <v>3596</v>
      </c>
      <c r="T929" t="s">
        <v>3597</v>
      </c>
      <c r="U929" t="s">
        <v>60</v>
      </c>
      <c r="V929" t="s">
        <v>61</v>
      </c>
      <c r="W929">
        <v>10</v>
      </c>
      <c r="X929">
        <v>0.13</v>
      </c>
      <c r="Y929" t="s">
        <v>62</v>
      </c>
      <c r="Z929" t="s">
        <v>62</v>
      </c>
      <c r="AA929">
        <v>0</v>
      </c>
      <c r="AB929" t="s">
        <v>3598</v>
      </c>
      <c r="AC929" t="s">
        <v>3599</v>
      </c>
      <c r="AD929" t="s">
        <v>3600</v>
      </c>
      <c r="AE929" t="s">
        <v>3601</v>
      </c>
      <c r="AF929" t="s">
        <v>3602</v>
      </c>
      <c r="AG929" t="s">
        <v>66</v>
      </c>
      <c r="AH929" t="s">
        <v>66</v>
      </c>
      <c r="AI929" t="s">
        <v>66</v>
      </c>
      <c r="AJ929" t="s">
        <v>66</v>
      </c>
      <c r="AK929">
        <v>1</v>
      </c>
      <c r="AL929" t="s">
        <v>66</v>
      </c>
      <c r="AM929" t="s">
        <v>66</v>
      </c>
      <c r="AN929" t="s">
        <v>66</v>
      </c>
      <c r="AO929" t="s">
        <v>66</v>
      </c>
      <c r="AP929">
        <v>1</v>
      </c>
      <c r="AQ929" t="s">
        <v>66</v>
      </c>
      <c r="AR929" t="s">
        <v>66</v>
      </c>
      <c r="AS929" t="s">
        <v>66</v>
      </c>
      <c r="AT929" t="s">
        <v>66</v>
      </c>
    </row>
    <row r="930" spans="1:46" x14ac:dyDescent="0.15">
      <c r="A930" t="s">
        <v>3603</v>
      </c>
      <c r="B930" t="s">
        <v>3589</v>
      </c>
      <c r="C930" t="s">
        <v>3590</v>
      </c>
      <c r="D930">
        <v>2</v>
      </c>
      <c r="E930" t="s">
        <v>3591</v>
      </c>
      <c r="F930" t="s">
        <v>3592</v>
      </c>
      <c r="G930" t="s">
        <v>51</v>
      </c>
      <c r="H930" t="s">
        <v>3593</v>
      </c>
      <c r="I930" t="s">
        <v>1553</v>
      </c>
      <c r="J930" t="s">
        <v>1554</v>
      </c>
      <c r="K930" t="s">
        <v>3594</v>
      </c>
      <c r="L930" t="s">
        <v>19</v>
      </c>
      <c r="M930" t="s">
        <v>18</v>
      </c>
      <c r="N930">
        <v>556</v>
      </c>
      <c r="O930">
        <v>33</v>
      </c>
      <c r="P930">
        <v>0</v>
      </c>
      <c r="Q930" t="s">
        <v>3604</v>
      </c>
      <c r="R930" t="s">
        <v>3605</v>
      </c>
      <c r="S930" t="s">
        <v>3606</v>
      </c>
      <c r="T930" t="s">
        <v>3607</v>
      </c>
      <c r="U930" t="s">
        <v>60</v>
      </c>
      <c r="V930" t="s">
        <v>61</v>
      </c>
      <c r="W930">
        <v>10</v>
      </c>
      <c r="X930">
        <v>0.13</v>
      </c>
      <c r="Y930" t="s">
        <v>72</v>
      </c>
      <c r="Z930" t="s">
        <v>73</v>
      </c>
      <c r="AA930">
        <v>0</v>
      </c>
      <c r="AB930" t="s">
        <v>3598</v>
      </c>
      <c r="AC930" t="s">
        <v>3599</v>
      </c>
      <c r="AD930" t="s">
        <v>3600</v>
      </c>
      <c r="AE930" t="s">
        <v>3601</v>
      </c>
      <c r="AF930" t="s">
        <v>3602</v>
      </c>
      <c r="AG930" t="s">
        <v>66</v>
      </c>
      <c r="AH930" t="s">
        <v>66</v>
      </c>
      <c r="AI930" t="s">
        <v>66</v>
      </c>
      <c r="AJ930" t="s">
        <v>66</v>
      </c>
      <c r="AK930">
        <v>1</v>
      </c>
      <c r="AL930" t="s">
        <v>66</v>
      </c>
      <c r="AM930" t="s">
        <v>66</v>
      </c>
      <c r="AN930" t="s">
        <v>66</v>
      </c>
      <c r="AO930" t="s">
        <v>66</v>
      </c>
      <c r="AP930">
        <v>1</v>
      </c>
      <c r="AQ930" t="s">
        <v>66</v>
      </c>
      <c r="AR930" t="s">
        <v>66</v>
      </c>
      <c r="AS930" t="s">
        <v>66</v>
      </c>
      <c r="AT930" t="s">
        <v>66</v>
      </c>
    </row>
    <row r="931" spans="1:46" x14ac:dyDescent="0.15">
      <c r="A931" t="s">
        <v>3608</v>
      </c>
      <c r="B931" t="s">
        <v>3589</v>
      </c>
      <c r="C931" t="s">
        <v>3590</v>
      </c>
      <c r="D931">
        <v>3</v>
      </c>
      <c r="E931" t="s">
        <v>3591</v>
      </c>
      <c r="F931" t="s">
        <v>3592</v>
      </c>
      <c r="G931" t="s">
        <v>51</v>
      </c>
      <c r="H931" t="s">
        <v>3593</v>
      </c>
      <c r="I931" t="s">
        <v>1553</v>
      </c>
      <c r="J931" t="s">
        <v>1554</v>
      </c>
      <c r="K931" t="s">
        <v>3594</v>
      </c>
      <c r="L931" t="s">
        <v>19</v>
      </c>
      <c r="M931" t="s">
        <v>18</v>
      </c>
      <c r="N931">
        <v>612</v>
      </c>
      <c r="O931">
        <v>36</v>
      </c>
      <c r="P931">
        <v>0</v>
      </c>
      <c r="Q931" t="s">
        <v>3609</v>
      </c>
      <c r="R931" t="s">
        <v>3610</v>
      </c>
      <c r="S931" t="s">
        <v>3611</v>
      </c>
      <c r="T931" t="s">
        <v>3612</v>
      </c>
      <c r="U931" t="s">
        <v>60</v>
      </c>
      <c r="V931" t="s">
        <v>61</v>
      </c>
      <c r="W931">
        <v>10</v>
      </c>
      <c r="X931">
        <v>0.13</v>
      </c>
      <c r="Y931" t="s">
        <v>73</v>
      </c>
      <c r="Z931" t="s">
        <v>79</v>
      </c>
      <c r="AA931">
        <v>0</v>
      </c>
      <c r="AB931" t="s">
        <v>3598</v>
      </c>
      <c r="AC931" t="s">
        <v>3599</v>
      </c>
      <c r="AD931" t="s">
        <v>3600</v>
      </c>
      <c r="AE931" t="s">
        <v>3601</v>
      </c>
      <c r="AF931" t="s">
        <v>3602</v>
      </c>
      <c r="AG931" t="s">
        <v>66</v>
      </c>
      <c r="AH931" t="s">
        <v>66</v>
      </c>
      <c r="AI931" t="s">
        <v>66</v>
      </c>
      <c r="AJ931" t="s">
        <v>66</v>
      </c>
      <c r="AK931">
        <v>1</v>
      </c>
      <c r="AL931" t="s">
        <v>66</v>
      </c>
      <c r="AM931" t="s">
        <v>66</v>
      </c>
      <c r="AN931" t="s">
        <v>66</v>
      </c>
      <c r="AO931" t="s">
        <v>66</v>
      </c>
      <c r="AP931">
        <v>1</v>
      </c>
      <c r="AQ931" t="s">
        <v>66</v>
      </c>
      <c r="AR931" t="s">
        <v>66</v>
      </c>
      <c r="AS931" t="s">
        <v>66</v>
      </c>
      <c r="AT931" t="s">
        <v>66</v>
      </c>
    </row>
    <row r="932" spans="1:46" x14ac:dyDescent="0.15">
      <c r="A932" t="s">
        <v>3613</v>
      </c>
      <c r="B932" t="s">
        <v>3589</v>
      </c>
      <c r="C932" t="s">
        <v>3590</v>
      </c>
      <c r="D932">
        <v>4</v>
      </c>
      <c r="E932" t="s">
        <v>3591</v>
      </c>
      <c r="F932" t="s">
        <v>3592</v>
      </c>
      <c r="G932" t="s">
        <v>51</v>
      </c>
      <c r="H932" t="s">
        <v>3593</v>
      </c>
      <c r="I932" t="s">
        <v>1553</v>
      </c>
      <c r="J932" t="s">
        <v>1554</v>
      </c>
      <c r="K932" t="s">
        <v>3594</v>
      </c>
      <c r="L932" t="s">
        <v>19</v>
      </c>
      <c r="M932" t="s">
        <v>18</v>
      </c>
      <c r="N932">
        <v>668</v>
      </c>
      <c r="O932">
        <v>39</v>
      </c>
      <c r="P932">
        <v>0</v>
      </c>
      <c r="Q932" t="s">
        <v>3614</v>
      </c>
      <c r="R932" t="s">
        <v>3615</v>
      </c>
      <c r="S932" t="s">
        <v>3616</v>
      </c>
      <c r="T932" t="s">
        <v>3617</v>
      </c>
      <c r="U932" t="s">
        <v>60</v>
      </c>
      <c r="V932" t="s">
        <v>61</v>
      </c>
      <c r="W932">
        <v>10</v>
      </c>
      <c r="X932">
        <v>0.13</v>
      </c>
      <c r="Y932" t="s">
        <v>85</v>
      </c>
      <c r="Z932" t="s">
        <v>86</v>
      </c>
      <c r="AA932">
        <v>0</v>
      </c>
      <c r="AB932" t="s">
        <v>3598</v>
      </c>
      <c r="AC932" t="s">
        <v>3599</v>
      </c>
      <c r="AD932" t="s">
        <v>3600</v>
      </c>
      <c r="AE932" t="s">
        <v>3601</v>
      </c>
      <c r="AF932" t="s">
        <v>3602</v>
      </c>
      <c r="AG932" t="s">
        <v>66</v>
      </c>
      <c r="AH932" t="s">
        <v>66</v>
      </c>
      <c r="AI932" t="s">
        <v>66</v>
      </c>
      <c r="AJ932" t="s">
        <v>66</v>
      </c>
      <c r="AK932">
        <v>1</v>
      </c>
      <c r="AL932" t="s">
        <v>66</v>
      </c>
      <c r="AM932" t="s">
        <v>66</v>
      </c>
      <c r="AN932" t="s">
        <v>66</v>
      </c>
      <c r="AO932" t="s">
        <v>66</v>
      </c>
      <c r="AP932">
        <v>1</v>
      </c>
      <c r="AQ932" t="s">
        <v>66</v>
      </c>
      <c r="AR932" t="s">
        <v>66</v>
      </c>
      <c r="AS932" t="s">
        <v>66</v>
      </c>
      <c r="AT932" t="s">
        <v>66</v>
      </c>
    </row>
    <row r="933" spans="1:46" x14ac:dyDescent="0.15">
      <c r="A933" t="s">
        <v>3618</v>
      </c>
      <c r="B933" t="s">
        <v>3589</v>
      </c>
      <c r="C933" t="s">
        <v>3590</v>
      </c>
      <c r="D933">
        <v>5</v>
      </c>
      <c r="E933" t="s">
        <v>3591</v>
      </c>
      <c r="F933" t="s">
        <v>3592</v>
      </c>
      <c r="G933" t="s">
        <v>51</v>
      </c>
      <c r="H933" t="s">
        <v>3593</v>
      </c>
      <c r="I933" t="s">
        <v>1553</v>
      </c>
      <c r="J933" t="s">
        <v>1554</v>
      </c>
      <c r="K933" t="s">
        <v>3594</v>
      </c>
      <c r="L933" t="s">
        <v>19</v>
      </c>
      <c r="M933" t="s">
        <v>18</v>
      </c>
      <c r="N933">
        <v>724</v>
      </c>
      <c r="O933">
        <v>42</v>
      </c>
      <c r="P933">
        <v>0</v>
      </c>
      <c r="Q933" t="s">
        <v>3619</v>
      </c>
      <c r="R933" t="s">
        <v>3620</v>
      </c>
      <c r="S933" t="s">
        <v>3621</v>
      </c>
      <c r="T933" t="s">
        <v>3622</v>
      </c>
      <c r="U933" t="s">
        <v>60</v>
      </c>
      <c r="V933" t="s">
        <v>61</v>
      </c>
      <c r="W933">
        <v>10</v>
      </c>
      <c r="X933">
        <v>0.13</v>
      </c>
      <c r="Y933" t="s">
        <v>79</v>
      </c>
      <c r="Z933" t="s">
        <v>92</v>
      </c>
      <c r="AA933">
        <v>0</v>
      </c>
      <c r="AB933" t="s">
        <v>3598</v>
      </c>
      <c r="AC933" t="s">
        <v>3599</v>
      </c>
      <c r="AD933" t="s">
        <v>3600</v>
      </c>
      <c r="AE933" t="s">
        <v>3601</v>
      </c>
      <c r="AF933" t="s">
        <v>3602</v>
      </c>
      <c r="AG933" t="s">
        <v>66</v>
      </c>
      <c r="AH933" t="s">
        <v>66</v>
      </c>
      <c r="AI933" t="s">
        <v>66</v>
      </c>
      <c r="AJ933" t="s">
        <v>66</v>
      </c>
      <c r="AK933">
        <v>1</v>
      </c>
      <c r="AL933" t="s">
        <v>66</v>
      </c>
      <c r="AM933" t="s">
        <v>66</v>
      </c>
      <c r="AN933" t="s">
        <v>66</v>
      </c>
      <c r="AO933" t="s">
        <v>66</v>
      </c>
      <c r="AP933">
        <v>1</v>
      </c>
      <c r="AQ933" t="s">
        <v>66</v>
      </c>
      <c r="AR933" t="s">
        <v>66</v>
      </c>
      <c r="AS933" t="s">
        <v>66</v>
      </c>
      <c r="AT933" t="s">
        <v>66</v>
      </c>
    </row>
    <row r="934" spans="1:46" x14ac:dyDescent="0.15">
      <c r="A934" t="s">
        <v>3623</v>
      </c>
      <c r="B934" t="s">
        <v>3589</v>
      </c>
      <c r="C934" t="s">
        <v>3590</v>
      </c>
      <c r="D934">
        <v>6</v>
      </c>
      <c r="E934" t="s">
        <v>3591</v>
      </c>
      <c r="F934" t="s">
        <v>3592</v>
      </c>
      <c r="G934" t="s">
        <v>51</v>
      </c>
      <c r="H934" t="s">
        <v>3593</v>
      </c>
      <c r="I934" t="s">
        <v>1553</v>
      </c>
      <c r="J934" t="s">
        <v>1554</v>
      </c>
      <c r="K934" t="s">
        <v>3594</v>
      </c>
      <c r="L934" t="s">
        <v>19</v>
      </c>
      <c r="M934" t="s">
        <v>18</v>
      </c>
      <c r="N934">
        <v>781</v>
      </c>
      <c r="O934">
        <v>45</v>
      </c>
      <c r="P934">
        <v>0</v>
      </c>
      <c r="Q934" t="s">
        <v>3624</v>
      </c>
      <c r="R934" t="s">
        <v>3625</v>
      </c>
      <c r="S934" t="s">
        <v>3626</v>
      </c>
      <c r="T934" t="s">
        <v>3627</v>
      </c>
      <c r="U934" t="s">
        <v>60</v>
      </c>
      <c r="V934" t="s">
        <v>61</v>
      </c>
      <c r="W934">
        <v>10</v>
      </c>
      <c r="X934">
        <v>0.13</v>
      </c>
      <c r="Y934" t="s">
        <v>98</v>
      </c>
      <c r="Z934" t="s">
        <v>99</v>
      </c>
      <c r="AA934">
        <v>0</v>
      </c>
      <c r="AB934" t="s">
        <v>3598</v>
      </c>
      <c r="AC934" t="s">
        <v>3599</v>
      </c>
      <c r="AD934" t="s">
        <v>3600</v>
      </c>
      <c r="AE934" t="s">
        <v>3601</v>
      </c>
      <c r="AF934" t="s">
        <v>3602</v>
      </c>
      <c r="AG934" t="s">
        <v>66</v>
      </c>
      <c r="AH934" t="s">
        <v>66</v>
      </c>
      <c r="AI934" t="s">
        <v>66</v>
      </c>
      <c r="AJ934" t="s">
        <v>66</v>
      </c>
      <c r="AK934">
        <v>1</v>
      </c>
      <c r="AL934" t="s">
        <v>66</v>
      </c>
      <c r="AM934" t="s">
        <v>66</v>
      </c>
      <c r="AN934" t="s">
        <v>66</v>
      </c>
      <c r="AO934" t="s">
        <v>66</v>
      </c>
      <c r="AP934">
        <v>1</v>
      </c>
      <c r="AQ934" t="s">
        <v>66</v>
      </c>
      <c r="AR934" t="s">
        <v>66</v>
      </c>
      <c r="AS934" t="s">
        <v>66</v>
      </c>
      <c r="AT934" t="s">
        <v>66</v>
      </c>
    </row>
    <row r="935" spans="1:46" x14ac:dyDescent="0.15">
      <c r="A935" t="s">
        <v>3628</v>
      </c>
      <c r="B935" t="s">
        <v>3589</v>
      </c>
      <c r="C935" t="s">
        <v>3590</v>
      </c>
      <c r="D935">
        <v>7</v>
      </c>
      <c r="E935" t="s">
        <v>3591</v>
      </c>
      <c r="F935" t="s">
        <v>3592</v>
      </c>
      <c r="G935" t="s">
        <v>51</v>
      </c>
      <c r="H935" t="s">
        <v>3593</v>
      </c>
      <c r="I935" t="s">
        <v>1553</v>
      </c>
      <c r="J935" t="s">
        <v>1554</v>
      </c>
      <c r="K935" t="s">
        <v>3594</v>
      </c>
      <c r="L935" t="s">
        <v>19</v>
      </c>
      <c r="M935" t="s">
        <v>18</v>
      </c>
      <c r="N935">
        <v>837</v>
      </c>
      <c r="O935">
        <v>48</v>
      </c>
      <c r="P935">
        <v>0</v>
      </c>
      <c r="Q935" t="s">
        <v>3629</v>
      </c>
      <c r="R935" t="s">
        <v>3630</v>
      </c>
      <c r="S935" t="s">
        <v>3631</v>
      </c>
      <c r="T935" t="s">
        <v>3632</v>
      </c>
      <c r="U935" t="s">
        <v>60</v>
      </c>
      <c r="V935" t="s">
        <v>61</v>
      </c>
      <c r="W935">
        <v>10</v>
      </c>
      <c r="X935">
        <v>0.13</v>
      </c>
      <c r="Y935" t="s">
        <v>86</v>
      </c>
      <c r="Z935" t="s">
        <v>105</v>
      </c>
      <c r="AA935">
        <v>0</v>
      </c>
      <c r="AB935" t="s">
        <v>3598</v>
      </c>
      <c r="AC935" t="s">
        <v>3599</v>
      </c>
      <c r="AD935" t="s">
        <v>3600</v>
      </c>
      <c r="AE935" t="s">
        <v>3601</v>
      </c>
      <c r="AF935" t="s">
        <v>3602</v>
      </c>
      <c r="AG935" t="s">
        <v>66</v>
      </c>
      <c r="AH935" t="s">
        <v>66</v>
      </c>
      <c r="AI935" t="s">
        <v>66</v>
      </c>
      <c r="AJ935" t="s">
        <v>66</v>
      </c>
      <c r="AK935">
        <v>1</v>
      </c>
      <c r="AL935" t="s">
        <v>66</v>
      </c>
      <c r="AM935" t="s">
        <v>66</v>
      </c>
      <c r="AN935" t="s">
        <v>66</v>
      </c>
      <c r="AO935" t="s">
        <v>66</v>
      </c>
      <c r="AP935">
        <v>1</v>
      </c>
      <c r="AQ935" t="s">
        <v>66</v>
      </c>
      <c r="AR935" t="s">
        <v>66</v>
      </c>
      <c r="AS935" t="s">
        <v>66</v>
      </c>
      <c r="AT935" t="s">
        <v>66</v>
      </c>
    </row>
    <row r="936" spans="1:46" x14ac:dyDescent="0.15">
      <c r="A936" t="s">
        <v>3633</v>
      </c>
      <c r="B936" t="s">
        <v>3589</v>
      </c>
      <c r="C936" t="s">
        <v>3590</v>
      </c>
      <c r="D936">
        <v>8</v>
      </c>
      <c r="E936" t="s">
        <v>3591</v>
      </c>
      <c r="F936" t="s">
        <v>3592</v>
      </c>
      <c r="G936" t="s">
        <v>51</v>
      </c>
      <c r="H936" t="s">
        <v>3593</v>
      </c>
      <c r="I936" t="s">
        <v>1553</v>
      </c>
      <c r="J936" t="s">
        <v>1554</v>
      </c>
      <c r="K936" t="s">
        <v>3594</v>
      </c>
      <c r="L936" t="s">
        <v>19</v>
      </c>
      <c r="M936" t="s">
        <v>18</v>
      </c>
      <c r="N936">
        <v>893</v>
      </c>
      <c r="O936">
        <v>51</v>
      </c>
      <c r="P936">
        <v>0</v>
      </c>
      <c r="Q936" t="s">
        <v>3634</v>
      </c>
      <c r="R936" t="s">
        <v>3635</v>
      </c>
      <c r="S936" t="s">
        <v>3636</v>
      </c>
      <c r="T936" t="s">
        <v>3637</v>
      </c>
      <c r="U936" t="s">
        <v>60</v>
      </c>
      <c r="V936" t="s">
        <v>61</v>
      </c>
      <c r="W936">
        <v>10</v>
      </c>
      <c r="X936">
        <v>0.13</v>
      </c>
      <c r="Y936" t="s">
        <v>111</v>
      </c>
      <c r="Z936" t="s">
        <v>112</v>
      </c>
      <c r="AA936">
        <v>0</v>
      </c>
      <c r="AB936" t="s">
        <v>3598</v>
      </c>
      <c r="AC936" t="s">
        <v>3599</v>
      </c>
      <c r="AD936" t="s">
        <v>3600</v>
      </c>
      <c r="AE936" t="s">
        <v>3601</v>
      </c>
      <c r="AF936" t="s">
        <v>3602</v>
      </c>
      <c r="AG936" t="s">
        <v>66</v>
      </c>
      <c r="AH936" t="s">
        <v>66</v>
      </c>
      <c r="AI936" t="s">
        <v>66</v>
      </c>
      <c r="AJ936" t="s">
        <v>66</v>
      </c>
      <c r="AK936">
        <v>1</v>
      </c>
      <c r="AL936" t="s">
        <v>66</v>
      </c>
      <c r="AM936" t="s">
        <v>66</v>
      </c>
      <c r="AN936" t="s">
        <v>66</v>
      </c>
      <c r="AO936" t="s">
        <v>66</v>
      </c>
      <c r="AP936">
        <v>1</v>
      </c>
      <c r="AQ936" t="s">
        <v>66</v>
      </c>
      <c r="AR936" t="s">
        <v>66</v>
      </c>
      <c r="AS936" t="s">
        <v>66</v>
      </c>
      <c r="AT936" t="s">
        <v>66</v>
      </c>
    </row>
    <row r="937" spans="1:46" x14ac:dyDescent="0.15">
      <c r="A937" t="s">
        <v>3638</v>
      </c>
      <c r="B937" t="s">
        <v>3589</v>
      </c>
      <c r="C937" t="s">
        <v>3590</v>
      </c>
      <c r="D937">
        <v>9</v>
      </c>
      <c r="E937" t="s">
        <v>3591</v>
      </c>
      <c r="F937" t="s">
        <v>3592</v>
      </c>
      <c r="G937" t="s">
        <v>51</v>
      </c>
      <c r="H937" t="s">
        <v>3593</v>
      </c>
      <c r="I937" t="s">
        <v>1553</v>
      </c>
      <c r="J937" t="s">
        <v>1554</v>
      </c>
      <c r="K937" t="s">
        <v>3594</v>
      </c>
      <c r="L937" t="s">
        <v>19</v>
      </c>
      <c r="M937" t="s">
        <v>18</v>
      </c>
      <c r="N937">
        <v>949</v>
      </c>
      <c r="O937">
        <v>53</v>
      </c>
      <c r="P937">
        <v>0</v>
      </c>
      <c r="Q937" t="s">
        <v>3639</v>
      </c>
      <c r="R937" t="s">
        <v>3640</v>
      </c>
      <c r="S937" t="s">
        <v>3641</v>
      </c>
      <c r="T937" t="s">
        <v>3642</v>
      </c>
      <c r="U937" t="s">
        <v>60</v>
      </c>
      <c r="V937" t="s">
        <v>61</v>
      </c>
      <c r="W937">
        <v>10</v>
      </c>
      <c r="X937">
        <v>0.13</v>
      </c>
      <c r="Y937" t="s">
        <v>92</v>
      </c>
      <c r="Z937" t="s">
        <v>118</v>
      </c>
      <c r="AA937">
        <v>0</v>
      </c>
      <c r="AB937" t="s">
        <v>3598</v>
      </c>
      <c r="AC937" t="s">
        <v>3599</v>
      </c>
      <c r="AD937" t="s">
        <v>3600</v>
      </c>
      <c r="AE937" t="s">
        <v>3601</v>
      </c>
      <c r="AF937" t="s">
        <v>3602</v>
      </c>
      <c r="AG937" t="s">
        <v>66</v>
      </c>
      <c r="AH937" t="s">
        <v>66</v>
      </c>
      <c r="AI937" t="s">
        <v>66</v>
      </c>
      <c r="AJ937" t="s">
        <v>66</v>
      </c>
      <c r="AK937">
        <v>1</v>
      </c>
      <c r="AL937" t="s">
        <v>66</v>
      </c>
      <c r="AM937" t="s">
        <v>66</v>
      </c>
      <c r="AN937" t="s">
        <v>66</v>
      </c>
      <c r="AO937" t="s">
        <v>66</v>
      </c>
      <c r="AP937">
        <v>1</v>
      </c>
      <c r="AQ937" t="s">
        <v>66</v>
      </c>
      <c r="AR937" t="s">
        <v>66</v>
      </c>
      <c r="AS937" t="s">
        <v>66</v>
      </c>
      <c r="AT937" t="s">
        <v>66</v>
      </c>
    </row>
    <row r="938" spans="1:46" x14ac:dyDescent="0.15">
      <c r="A938" t="s">
        <v>3643</v>
      </c>
      <c r="B938" t="s">
        <v>3589</v>
      </c>
      <c r="C938" t="s">
        <v>3590</v>
      </c>
      <c r="D938">
        <v>10</v>
      </c>
      <c r="E938" t="s">
        <v>3591</v>
      </c>
      <c r="F938" t="s">
        <v>3592</v>
      </c>
      <c r="G938" t="s">
        <v>51</v>
      </c>
      <c r="H938" t="s">
        <v>3593</v>
      </c>
      <c r="I938" t="s">
        <v>1553</v>
      </c>
      <c r="J938" t="s">
        <v>1554</v>
      </c>
      <c r="K938" t="s">
        <v>3594</v>
      </c>
      <c r="L938" t="s">
        <v>19</v>
      </c>
      <c r="M938" t="s">
        <v>18</v>
      </c>
      <c r="N938">
        <v>1005</v>
      </c>
      <c r="O938">
        <v>56</v>
      </c>
      <c r="P938">
        <v>0</v>
      </c>
      <c r="Q938" t="s">
        <v>3644</v>
      </c>
      <c r="R938" t="s">
        <v>3645</v>
      </c>
      <c r="S938" t="s">
        <v>3646</v>
      </c>
      <c r="T938" t="s">
        <v>3647</v>
      </c>
      <c r="U938" t="s">
        <v>60</v>
      </c>
      <c r="V938" t="s">
        <v>61</v>
      </c>
      <c r="W938">
        <v>10</v>
      </c>
      <c r="X938">
        <v>0.13</v>
      </c>
      <c r="Y938" t="s">
        <v>124</v>
      </c>
      <c r="Z938" t="s">
        <v>125</v>
      </c>
      <c r="AA938">
        <v>0</v>
      </c>
      <c r="AB938" t="s">
        <v>3598</v>
      </c>
      <c r="AC938" t="s">
        <v>3599</v>
      </c>
      <c r="AD938" t="s">
        <v>3600</v>
      </c>
      <c r="AE938" t="s">
        <v>3601</v>
      </c>
      <c r="AF938" t="s">
        <v>3602</v>
      </c>
      <c r="AG938" t="s">
        <v>66</v>
      </c>
      <c r="AH938" t="s">
        <v>66</v>
      </c>
      <c r="AI938" t="s">
        <v>66</v>
      </c>
      <c r="AJ938" t="s">
        <v>66</v>
      </c>
      <c r="AK938">
        <v>1</v>
      </c>
      <c r="AL938" t="s">
        <v>66</v>
      </c>
      <c r="AM938" t="s">
        <v>66</v>
      </c>
      <c r="AN938" t="s">
        <v>66</v>
      </c>
      <c r="AO938" t="s">
        <v>66</v>
      </c>
      <c r="AP938">
        <v>1</v>
      </c>
      <c r="AQ938" t="s">
        <v>66</v>
      </c>
      <c r="AR938" t="s">
        <v>66</v>
      </c>
      <c r="AS938" t="s">
        <v>66</v>
      </c>
      <c r="AT938" t="s">
        <v>66</v>
      </c>
    </row>
    <row r="939" spans="1:46" x14ac:dyDescent="0.15">
      <c r="A939" t="s">
        <v>3648</v>
      </c>
      <c r="B939" t="s">
        <v>3589</v>
      </c>
      <c r="C939" t="s">
        <v>3590</v>
      </c>
      <c r="D939">
        <v>11</v>
      </c>
      <c r="E939" t="s">
        <v>3591</v>
      </c>
      <c r="F939" t="s">
        <v>3592</v>
      </c>
      <c r="G939" t="s">
        <v>51</v>
      </c>
      <c r="H939" t="s">
        <v>3593</v>
      </c>
      <c r="I939" t="s">
        <v>1553</v>
      </c>
      <c r="J939" t="s">
        <v>1554</v>
      </c>
      <c r="K939" t="s">
        <v>3594</v>
      </c>
      <c r="L939" t="s">
        <v>19</v>
      </c>
      <c r="M939" t="s">
        <v>18</v>
      </c>
      <c r="N939">
        <v>1061</v>
      </c>
      <c r="O939">
        <v>59</v>
      </c>
      <c r="P939">
        <v>0</v>
      </c>
      <c r="Q939" t="s">
        <v>3649</v>
      </c>
      <c r="R939" t="s">
        <v>3650</v>
      </c>
      <c r="S939" t="s">
        <v>3651</v>
      </c>
      <c r="T939" t="s">
        <v>3652</v>
      </c>
      <c r="U939" t="s">
        <v>60</v>
      </c>
      <c r="V939" t="s">
        <v>61</v>
      </c>
      <c r="W939">
        <v>10</v>
      </c>
      <c r="X939">
        <v>0.13</v>
      </c>
      <c r="Y939" t="s">
        <v>99</v>
      </c>
      <c r="Z939" t="s">
        <v>131</v>
      </c>
      <c r="AA939">
        <v>0</v>
      </c>
      <c r="AB939" t="s">
        <v>3598</v>
      </c>
      <c r="AC939" t="s">
        <v>3599</v>
      </c>
      <c r="AD939" t="s">
        <v>3600</v>
      </c>
      <c r="AE939" t="s">
        <v>3601</v>
      </c>
      <c r="AF939" t="s">
        <v>3602</v>
      </c>
      <c r="AG939" t="s">
        <v>66</v>
      </c>
      <c r="AH939" t="s">
        <v>66</v>
      </c>
      <c r="AI939" t="s">
        <v>66</v>
      </c>
      <c r="AJ939" t="s">
        <v>66</v>
      </c>
      <c r="AK939">
        <v>1</v>
      </c>
      <c r="AL939" t="s">
        <v>66</v>
      </c>
      <c r="AM939" t="s">
        <v>66</v>
      </c>
      <c r="AN939" t="s">
        <v>66</v>
      </c>
      <c r="AO939" t="s">
        <v>66</v>
      </c>
      <c r="AP939">
        <v>1</v>
      </c>
      <c r="AQ939" t="s">
        <v>66</v>
      </c>
      <c r="AR939" t="s">
        <v>66</v>
      </c>
      <c r="AS939" t="s">
        <v>66</v>
      </c>
      <c r="AT939" t="s">
        <v>66</v>
      </c>
    </row>
    <row r="940" spans="1:46" x14ac:dyDescent="0.15">
      <c r="A940" t="s">
        <v>3653</v>
      </c>
      <c r="B940" t="s">
        <v>3589</v>
      </c>
      <c r="C940" t="s">
        <v>3590</v>
      </c>
      <c r="D940">
        <v>12</v>
      </c>
      <c r="E940" t="s">
        <v>3591</v>
      </c>
      <c r="F940" t="s">
        <v>3592</v>
      </c>
      <c r="G940" t="s">
        <v>51</v>
      </c>
      <c r="H940" t="s">
        <v>3593</v>
      </c>
      <c r="I940" t="s">
        <v>1553</v>
      </c>
      <c r="J940" t="s">
        <v>1554</v>
      </c>
      <c r="K940" t="s">
        <v>3594</v>
      </c>
      <c r="L940" t="s">
        <v>19</v>
      </c>
      <c r="M940" t="s">
        <v>18</v>
      </c>
      <c r="N940">
        <v>1117</v>
      </c>
      <c r="O940">
        <v>62</v>
      </c>
      <c r="P940">
        <v>0</v>
      </c>
      <c r="Q940" t="s">
        <v>3654</v>
      </c>
      <c r="R940" t="s">
        <v>3655</v>
      </c>
      <c r="S940" t="s">
        <v>3656</v>
      </c>
      <c r="T940" t="s">
        <v>3657</v>
      </c>
      <c r="U940" t="s">
        <v>60</v>
      </c>
      <c r="V940" t="s">
        <v>61</v>
      </c>
      <c r="W940">
        <v>10</v>
      </c>
      <c r="X940">
        <v>0.13</v>
      </c>
      <c r="Y940" t="s">
        <v>137</v>
      </c>
      <c r="Z940" t="s">
        <v>138</v>
      </c>
      <c r="AA940">
        <v>0</v>
      </c>
      <c r="AB940" t="s">
        <v>3598</v>
      </c>
      <c r="AC940" t="s">
        <v>3599</v>
      </c>
      <c r="AD940" t="s">
        <v>3600</v>
      </c>
      <c r="AE940" t="s">
        <v>3601</v>
      </c>
      <c r="AF940" t="s">
        <v>3602</v>
      </c>
      <c r="AG940" t="s">
        <v>66</v>
      </c>
      <c r="AH940" t="s">
        <v>66</v>
      </c>
      <c r="AI940" t="s">
        <v>66</v>
      </c>
      <c r="AJ940" t="s">
        <v>66</v>
      </c>
      <c r="AK940">
        <v>1</v>
      </c>
      <c r="AL940" t="s">
        <v>66</v>
      </c>
      <c r="AM940" t="s">
        <v>66</v>
      </c>
      <c r="AN940" t="s">
        <v>66</v>
      </c>
      <c r="AO940" t="s">
        <v>66</v>
      </c>
      <c r="AP940">
        <v>1</v>
      </c>
      <c r="AQ940" t="s">
        <v>66</v>
      </c>
      <c r="AR940" t="s">
        <v>66</v>
      </c>
      <c r="AS940" t="s">
        <v>66</v>
      </c>
      <c r="AT940" t="s">
        <v>66</v>
      </c>
    </row>
    <row r="941" spans="1:46" x14ac:dyDescent="0.15">
      <c r="A941" t="s">
        <v>3658</v>
      </c>
      <c r="B941" t="s">
        <v>3589</v>
      </c>
      <c r="C941" t="s">
        <v>3590</v>
      </c>
      <c r="D941">
        <v>13</v>
      </c>
      <c r="E941" t="s">
        <v>3591</v>
      </c>
      <c r="F941" t="s">
        <v>3592</v>
      </c>
      <c r="G941" t="s">
        <v>51</v>
      </c>
      <c r="H941" t="s">
        <v>3593</v>
      </c>
      <c r="I941" t="s">
        <v>1553</v>
      </c>
      <c r="J941" t="s">
        <v>1554</v>
      </c>
      <c r="K941" t="s">
        <v>3594</v>
      </c>
      <c r="L941" t="s">
        <v>19</v>
      </c>
      <c r="M941" t="s">
        <v>18</v>
      </c>
      <c r="N941">
        <v>1173</v>
      </c>
      <c r="O941">
        <v>65</v>
      </c>
      <c r="P941">
        <v>0</v>
      </c>
      <c r="Q941" t="s">
        <v>3659</v>
      </c>
      <c r="R941" t="s">
        <v>3660</v>
      </c>
      <c r="S941" t="s">
        <v>3661</v>
      </c>
      <c r="T941" t="s">
        <v>3662</v>
      </c>
      <c r="U941" t="s">
        <v>60</v>
      </c>
      <c r="V941" t="s">
        <v>61</v>
      </c>
      <c r="W941">
        <v>10</v>
      </c>
      <c r="X941">
        <v>0.13</v>
      </c>
      <c r="Y941" t="s">
        <v>105</v>
      </c>
      <c r="Z941" t="s">
        <v>144</v>
      </c>
      <c r="AA941">
        <v>0</v>
      </c>
      <c r="AB941" t="s">
        <v>3598</v>
      </c>
      <c r="AC941" t="s">
        <v>3599</v>
      </c>
      <c r="AD941" t="s">
        <v>3600</v>
      </c>
      <c r="AE941" t="s">
        <v>3601</v>
      </c>
      <c r="AF941" t="s">
        <v>3602</v>
      </c>
      <c r="AG941" t="s">
        <v>66</v>
      </c>
      <c r="AH941" t="s">
        <v>66</v>
      </c>
      <c r="AI941" t="s">
        <v>66</v>
      </c>
      <c r="AJ941" t="s">
        <v>66</v>
      </c>
      <c r="AK941">
        <v>1</v>
      </c>
      <c r="AL941" t="s">
        <v>66</v>
      </c>
      <c r="AM941" t="s">
        <v>66</v>
      </c>
      <c r="AN941" t="s">
        <v>66</v>
      </c>
      <c r="AO941" t="s">
        <v>66</v>
      </c>
      <c r="AP941">
        <v>1</v>
      </c>
      <c r="AQ941" t="s">
        <v>66</v>
      </c>
      <c r="AR941" t="s">
        <v>66</v>
      </c>
      <c r="AS941" t="s">
        <v>66</v>
      </c>
      <c r="AT941" t="s">
        <v>66</v>
      </c>
    </row>
    <row r="942" spans="1:46" x14ac:dyDescent="0.15">
      <c r="A942" t="s">
        <v>3663</v>
      </c>
      <c r="B942" t="s">
        <v>3589</v>
      </c>
      <c r="C942" t="s">
        <v>3590</v>
      </c>
      <c r="D942">
        <v>14</v>
      </c>
      <c r="E942" t="s">
        <v>3591</v>
      </c>
      <c r="F942" t="s">
        <v>3592</v>
      </c>
      <c r="G942" t="s">
        <v>51</v>
      </c>
      <c r="H942" t="s">
        <v>3593</v>
      </c>
      <c r="I942" t="s">
        <v>1553</v>
      </c>
      <c r="J942" t="s">
        <v>1554</v>
      </c>
      <c r="K942" t="s">
        <v>3594</v>
      </c>
      <c r="L942" t="s">
        <v>19</v>
      </c>
      <c r="M942" t="s">
        <v>18</v>
      </c>
      <c r="N942">
        <v>1230</v>
      </c>
      <c r="O942">
        <v>68</v>
      </c>
      <c r="P942">
        <v>0</v>
      </c>
      <c r="Q942" t="s">
        <v>3664</v>
      </c>
      <c r="R942" t="s">
        <v>3665</v>
      </c>
      <c r="S942" t="s">
        <v>3666</v>
      </c>
      <c r="T942" t="s">
        <v>3667</v>
      </c>
      <c r="U942" t="s">
        <v>60</v>
      </c>
      <c r="V942" t="s">
        <v>61</v>
      </c>
      <c r="W942">
        <v>10</v>
      </c>
      <c r="X942">
        <v>0.13</v>
      </c>
      <c r="Y942" t="s">
        <v>150</v>
      </c>
      <c r="Z942" t="s">
        <v>151</v>
      </c>
      <c r="AA942">
        <v>0</v>
      </c>
      <c r="AB942" t="s">
        <v>3598</v>
      </c>
      <c r="AC942" t="s">
        <v>3599</v>
      </c>
      <c r="AD942" t="s">
        <v>3600</v>
      </c>
      <c r="AE942" t="s">
        <v>3601</v>
      </c>
      <c r="AF942" t="s">
        <v>3602</v>
      </c>
      <c r="AG942" t="s">
        <v>66</v>
      </c>
      <c r="AH942" t="s">
        <v>66</v>
      </c>
      <c r="AI942" t="s">
        <v>66</v>
      </c>
      <c r="AJ942" t="s">
        <v>66</v>
      </c>
      <c r="AK942">
        <v>1</v>
      </c>
      <c r="AL942" t="s">
        <v>66</v>
      </c>
      <c r="AM942" t="s">
        <v>66</v>
      </c>
      <c r="AN942" t="s">
        <v>66</v>
      </c>
      <c r="AO942" t="s">
        <v>66</v>
      </c>
      <c r="AP942">
        <v>1</v>
      </c>
      <c r="AQ942" t="s">
        <v>66</v>
      </c>
      <c r="AR942" t="s">
        <v>66</v>
      </c>
      <c r="AS942" t="s">
        <v>66</v>
      </c>
      <c r="AT942" t="s">
        <v>66</v>
      </c>
    </row>
    <row r="943" spans="1:46" x14ac:dyDescent="0.15">
      <c r="A943" t="s">
        <v>3668</v>
      </c>
      <c r="B943" t="s">
        <v>3589</v>
      </c>
      <c r="C943" t="s">
        <v>3590</v>
      </c>
      <c r="D943">
        <v>15</v>
      </c>
      <c r="E943" t="s">
        <v>3591</v>
      </c>
      <c r="F943" t="s">
        <v>3592</v>
      </c>
      <c r="G943" t="s">
        <v>51</v>
      </c>
      <c r="H943" t="s">
        <v>3593</v>
      </c>
      <c r="I943" t="s">
        <v>1553</v>
      </c>
      <c r="J943" t="s">
        <v>1554</v>
      </c>
      <c r="K943" t="s">
        <v>3594</v>
      </c>
      <c r="L943" t="s">
        <v>19</v>
      </c>
      <c r="M943" t="s">
        <v>18</v>
      </c>
      <c r="N943">
        <v>1286</v>
      </c>
      <c r="O943">
        <v>71</v>
      </c>
      <c r="P943">
        <v>0</v>
      </c>
      <c r="Q943" t="s">
        <v>3669</v>
      </c>
      <c r="R943" t="s">
        <v>3670</v>
      </c>
      <c r="S943" t="s">
        <v>3671</v>
      </c>
      <c r="T943" t="s">
        <v>3672</v>
      </c>
      <c r="U943" t="s">
        <v>60</v>
      </c>
      <c r="V943" t="s">
        <v>61</v>
      </c>
      <c r="W943">
        <v>10</v>
      </c>
      <c r="X943">
        <v>0.13</v>
      </c>
      <c r="Y943" t="s">
        <v>112</v>
      </c>
      <c r="Z943" t="s">
        <v>157</v>
      </c>
      <c r="AA943">
        <v>0</v>
      </c>
      <c r="AB943" t="s">
        <v>3598</v>
      </c>
      <c r="AC943" t="s">
        <v>3599</v>
      </c>
      <c r="AD943" t="s">
        <v>3600</v>
      </c>
      <c r="AE943" t="s">
        <v>3601</v>
      </c>
      <c r="AF943" t="s">
        <v>3602</v>
      </c>
      <c r="AG943" t="s">
        <v>66</v>
      </c>
      <c r="AH943" t="s">
        <v>66</v>
      </c>
      <c r="AI943" t="s">
        <v>66</v>
      </c>
      <c r="AJ943" t="s">
        <v>66</v>
      </c>
      <c r="AK943">
        <v>1</v>
      </c>
      <c r="AL943" t="s">
        <v>66</v>
      </c>
      <c r="AM943" t="s">
        <v>66</v>
      </c>
      <c r="AN943" t="s">
        <v>66</v>
      </c>
      <c r="AO943" t="s">
        <v>66</v>
      </c>
      <c r="AP943">
        <v>1</v>
      </c>
      <c r="AQ943" t="s">
        <v>66</v>
      </c>
      <c r="AR943" t="s">
        <v>66</v>
      </c>
      <c r="AS943" t="s">
        <v>66</v>
      </c>
      <c r="AT943" t="s">
        <v>66</v>
      </c>
    </row>
    <row r="944" spans="1:46" x14ac:dyDescent="0.15">
      <c r="A944" t="s">
        <v>3673</v>
      </c>
      <c r="B944" t="s">
        <v>3589</v>
      </c>
      <c r="C944" t="s">
        <v>3590</v>
      </c>
      <c r="D944">
        <v>16</v>
      </c>
      <c r="E944" t="s">
        <v>3591</v>
      </c>
      <c r="F944" t="s">
        <v>3592</v>
      </c>
      <c r="G944" t="s">
        <v>51</v>
      </c>
      <c r="H944" t="s">
        <v>3593</v>
      </c>
      <c r="I944" t="s">
        <v>1553</v>
      </c>
      <c r="J944" t="s">
        <v>1554</v>
      </c>
      <c r="K944" t="s">
        <v>3594</v>
      </c>
      <c r="L944" t="s">
        <v>19</v>
      </c>
      <c r="M944" t="s">
        <v>18</v>
      </c>
      <c r="N944">
        <v>1342</v>
      </c>
      <c r="O944">
        <v>74</v>
      </c>
      <c r="P944">
        <v>0</v>
      </c>
      <c r="Q944" t="s">
        <v>3674</v>
      </c>
      <c r="R944" t="s">
        <v>3675</v>
      </c>
      <c r="S944" t="s">
        <v>3676</v>
      </c>
      <c r="T944" t="s">
        <v>3677</v>
      </c>
      <c r="U944" t="s">
        <v>60</v>
      </c>
      <c r="V944" t="s">
        <v>61</v>
      </c>
      <c r="W944">
        <v>10</v>
      </c>
      <c r="X944">
        <v>0.13</v>
      </c>
      <c r="Y944" t="s">
        <v>163</v>
      </c>
      <c r="Z944" t="s">
        <v>164</v>
      </c>
      <c r="AA944">
        <v>0</v>
      </c>
      <c r="AB944" t="s">
        <v>3598</v>
      </c>
      <c r="AC944" t="s">
        <v>3599</v>
      </c>
      <c r="AD944" t="s">
        <v>3600</v>
      </c>
      <c r="AE944" t="s">
        <v>3601</v>
      </c>
      <c r="AF944" t="s">
        <v>3602</v>
      </c>
      <c r="AG944" t="s">
        <v>66</v>
      </c>
      <c r="AH944" t="s">
        <v>66</v>
      </c>
      <c r="AI944" t="s">
        <v>66</v>
      </c>
      <c r="AJ944" t="s">
        <v>66</v>
      </c>
      <c r="AK944">
        <v>1</v>
      </c>
      <c r="AL944" t="s">
        <v>66</v>
      </c>
      <c r="AM944" t="s">
        <v>66</v>
      </c>
      <c r="AN944" t="s">
        <v>66</v>
      </c>
      <c r="AO944" t="s">
        <v>66</v>
      </c>
      <c r="AP944">
        <v>1</v>
      </c>
      <c r="AQ944" t="s">
        <v>66</v>
      </c>
      <c r="AR944" t="s">
        <v>66</v>
      </c>
      <c r="AS944" t="s">
        <v>66</v>
      </c>
      <c r="AT944" t="s">
        <v>66</v>
      </c>
    </row>
    <row r="945" spans="1:46" x14ac:dyDescent="0.15">
      <c r="A945" t="s">
        <v>3678</v>
      </c>
      <c r="B945" t="s">
        <v>3589</v>
      </c>
      <c r="C945" t="s">
        <v>3590</v>
      </c>
      <c r="D945">
        <v>17</v>
      </c>
      <c r="E945" t="s">
        <v>3591</v>
      </c>
      <c r="F945" t="s">
        <v>3592</v>
      </c>
      <c r="G945" t="s">
        <v>51</v>
      </c>
      <c r="H945" t="s">
        <v>3593</v>
      </c>
      <c r="I945" t="s">
        <v>1553</v>
      </c>
      <c r="J945" t="s">
        <v>1554</v>
      </c>
      <c r="K945" t="s">
        <v>3594</v>
      </c>
      <c r="L945" t="s">
        <v>19</v>
      </c>
      <c r="M945" t="s">
        <v>18</v>
      </c>
      <c r="N945">
        <v>1398</v>
      </c>
      <c r="O945">
        <v>77</v>
      </c>
      <c r="P945">
        <v>0</v>
      </c>
      <c r="Q945" t="s">
        <v>3679</v>
      </c>
      <c r="R945" t="s">
        <v>3680</v>
      </c>
      <c r="S945" t="s">
        <v>3681</v>
      </c>
      <c r="T945" t="s">
        <v>3682</v>
      </c>
      <c r="U945" t="s">
        <v>60</v>
      </c>
      <c r="V945" t="s">
        <v>61</v>
      </c>
      <c r="W945">
        <v>10</v>
      </c>
      <c r="X945">
        <v>0.13</v>
      </c>
      <c r="Y945" t="s">
        <v>118</v>
      </c>
      <c r="Z945" t="s">
        <v>170</v>
      </c>
      <c r="AA945">
        <v>0</v>
      </c>
      <c r="AB945" t="s">
        <v>3598</v>
      </c>
      <c r="AC945" t="s">
        <v>3599</v>
      </c>
      <c r="AD945" t="s">
        <v>3600</v>
      </c>
      <c r="AE945" t="s">
        <v>3601</v>
      </c>
      <c r="AF945" t="s">
        <v>3602</v>
      </c>
      <c r="AG945" t="s">
        <v>66</v>
      </c>
      <c r="AH945" t="s">
        <v>66</v>
      </c>
      <c r="AI945" t="s">
        <v>66</v>
      </c>
      <c r="AJ945" t="s">
        <v>66</v>
      </c>
      <c r="AK945">
        <v>1</v>
      </c>
      <c r="AL945" t="s">
        <v>66</v>
      </c>
      <c r="AM945" t="s">
        <v>66</v>
      </c>
      <c r="AN945" t="s">
        <v>66</v>
      </c>
      <c r="AO945" t="s">
        <v>66</v>
      </c>
      <c r="AP945">
        <v>1</v>
      </c>
      <c r="AQ945" t="s">
        <v>66</v>
      </c>
      <c r="AR945" t="s">
        <v>66</v>
      </c>
      <c r="AS945" t="s">
        <v>66</v>
      </c>
      <c r="AT945" t="s">
        <v>66</v>
      </c>
    </row>
    <row r="946" spans="1:46" x14ac:dyDescent="0.15">
      <c r="A946" t="s">
        <v>3683</v>
      </c>
      <c r="B946" t="s">
        <v>3589</v>
      </c>
      <c r="C946" t="s">
        <v>3590</v>
      </c>
      <c r="D946">
        <v>18</v>
      </c>
      <c r="E946" t="s">
        <v>3591</v>
      </c>
      <c r="F946" t="s">
        <v>3592</v>
      </c>
      <c r="G946" t="s">
        <v>51</v>
      </c>
      <c r="H946" t="s">
        <v>3593</v>
      </c>
      <c r="I946" t="s">
        <v>1553</v>
      </c>
      <c r="J946" t="s">
        <v>1554</v>
      </c>
      <c r="K946" t="s">
        <v>3594</v>
      </c>
      <c r="L946" t="s">
        <v>19</v>
      </c>
      <c r="M946" t="s">
        <v>18</v>
      </c>
      <c r="N946">
        <v>1454</v>
      </c>
      <c r="O946">
        <v>80</v>
      </c>
      <c r="P946">
        <v>0</v>
      </c>
      <c r="Q946" t="s">
        <v>3684</v>
      </c>
      <c r="R946" t="s">
        <v>3685</v>
      </c>
      <c r="S946" t="s">
        <v>3686</v>
      </c>
      <c r="T946" t="s">
        <v>3687</v>
      </c>
      <c r="U946" t="s">
        <v>60</v>
      </c>
      <c r="V946" t="s">
        <v>61</v>
      </c>
      <c r="W946">
        <v>10</v>
      </c>
      <c r="X946">
        <v>0.13</v>
      </c>
      <c r="Y946" t="s">
        <v>176</v>
      </c>
      <c r="Z946" t="s">
        <v>177</v>
      </c>
      <c r="AA946">
        <v>0</v>
      </c>
      <c r="AB946" t="s">
        <v>3598</v>
      </c>
      <c r="AC946" t="s">
        <v>3599</v>
      </c>
      <c r="AD946" t="s">
        <v>3600</v>
      </c>
      <c r="AE946" t="s">
        <v>3601</v>
      </c>
      <c r="AF946" t="s">
        <v>3602</v>
      </c>
      <c r="AG946" t="s">
        <v>66</v>
      </c>
      <c r="AH946" t="s">
        <v>66</v>
      </c>
      <c r="AI946" t="s">
        <v>66</v>
      </c>
      <c r="AJ946" t="s">
        <v>66</v>
      </c>
      <c r="AK946">
        <v>1</v>
      </c>
      <c r="AL946" t="s">
        <v>66</v>
      </c>
      <c r="AM946" t="s">
        <v>66</v>
      </c>
      <c r="AN946" t="s">
        <v>66</v>
      </c>
      <c r="AO946" t="s">
        <v>66</v>
      </c>
      <c r="AP946">
        <v>1</v>
      </c>
      <c r="AQ946" t="s">
        <v>66</v>
      </c>
      <c r="AR946" t="s">
        <v>66</v>
      </c>
      <c r="AS946" t="s">
        <v>66</v>
      </c>
      <c r="AT946" t="s">
        <v>66</v>
      </c>
    </row>
    <row r="947" spans="1:46" x14ac:dyDescent="0.15">
      <c r="A947" t="s">
        <v>3688</v>
      </c>
      <c r="B947" t="s">
        <v>3589</v>
      </c>
      <c r="C947" t="s">
        <v>3590</v>
      </c>
      <c r="D947">
        <v>19</v>
      </c>
      <c r="E947" t="s">
        <v>3591</v>
      </c>
      <c r="F947" t="s">
        <v>3592</v>
      </c>
      <c r="G947" t="s">
        <v>51</v>
      </c>
      <c r="H947" t="s">
        <v>3593</v>
      </c>
      <c r="I947" t="s">
        <v>1553</v>
      </c>
      <c r="J947" t="s">
        <v>1554</v>
      </c>
      <c r="K947" t="s">
        <v>3594</v>
      </c>
      <c r="L947" t="s">
        <v>19</v>
      </c>
      <c r="M947" t="s">
        <v>18</v>
      </c>
      <c r="N947">
        <v>1510</v>
      </c>
      <c r="O947">
        <v>83</v>
      </c>
      <c r="P947">
        <v>0</v>
      </c>
      <c r="Q947" t="s">
        <v>3689</v>
      </c>
      <c r="R947" t="s">
        <v>3690</v>
      </c>
      <c r="S947" t="s">
        <v>3691</v>
      </c>
      <c r="T947" t="s">
        <v>3692</v>
      </c>
      <c r="U947" t="s">
        <v>60</v>
      </c>
      <c r="V947" t="s">
        <v>61</v>
      </c>
      <c r="W947">
        <v>10</v>
      </c>
      <c r="X947">
        <v>0.13</v>
      </c>
      <c r="Y947" t="s">
        <v>125</v>
      </c>
      <c r="Z947" t="s">
        <v>183</v>
      </c>
      <c r="AA947">
        <v>0</v>
      </c>
      <c r="AB947" t="s">
        <v>3598</v>
      </c>
      <c r="AC947" t="s">
        <v>3599</v>
      </c>
      <c r="AD947" t="s">
        <v>3600</v>
      </c>
      <c r="AE947" t="s">
        <v>3601</v>
      </c>
      <c r="AF947" t="s">
        <v>3602</v>
      </c>
      <c r="AG947" t="s">
        <v>66</v>
      </c>
      <c r="AH947" t="s">
        <v>66</v>
      </c>
      <c r="AI947" t="s">
        <v>66</v>
      </c>
      <c r="AJ947" t="s">
        <v>66</v>
      </c>
      <c r="AK947">
        <v>1</v>
      </c>
      <c r="AL947" t="s">
        <v>66</v>
      </c>
      <c r="AM947" t="s">
        <v>66</v>
      </c>
      <c r="AN947" t="s">
        <v>66</v>
      </c>
      <c r="AO947" t="s">
        <v>66</v>
      </c>
      <c r="AP947">
        <v>1</v>
      </c>
      <c r="AQ947" t="s">
        <v>66</v>
      </c>
      <c r="AR947" t="s">
        <v>66</v>
      </c>
      <c r="AS947" t="s">
        <v>66</v>
      </c>
      <c r="AT947" t="s">
        <v>66</v>
      </c>
    </row>
    <row r="948" spans="1:46" x14ac:dyDescent="0.15">
      <c r="A948" t="s">
        <v>3693</v>
      </c>
      <c r="B948" t="s">
        <v>3589</v>
      </c>
      <c r="C948" t="s">
        <v>3590</v>
      </c>
      <c r="D948">
        <v>20</v>
      </c>
      <c r="E948" t="s">
        <v>3591</v>
      </c>
      <c r="F948" t="s">
        <v>3592</v>
      </c>
      <c r="G948" t="s">
        <v>51</v>
      </c>
      <c r="H948" t="s">
        <v>3593</v>
      </c>
      <c r="I948" t="s">
        <v>1553</v>
      </c>
      <c r="J948" t="s">
        <v>1554</v>
      </c>
      <c r="K948" t="s">
        <v>3594</v>
      </c>
      <c r="L948" t="s">
        <v>19</v>
      </c>
      <c r="M948" t="s">
        <v>18</v>
      </c>
      <c r="N948">
        <v>1566</v>
      </c>
      <c r="O948">
        <v>86</v>
      </c>
      <c r="P948">
        <v>0</v>
      </c>
      <c r="Q948" t="s">
        <v>3694</v>
      </c>
      <c r="R948" t="s">
        <v>3695</v>
      </c>
      <c r="S948" t="s">
        <v>3696</v>
      </c>
      <c r="T948" t="s">
        <v>3697</v>
      </c>
      <c r="U948" t="s">
        <v>60</v>
      </c>
      <c r="V948" t="s">
        <v>61</v>
      </c>
      <c r="W948">
        <v>10</v>
      </c>
      <c r="X948">
        <v>0.13</v>
      </c>
      <c r="Y948" t="s">
        <v>189</v>
      </c>
      <c r="Z948" t="s">
        <v>190</v>
      </c>
      <c r="AA948">
        <v>0</v>
      </c>
      <c r="AB948" t="s">
        <v>3598</v>
      </c>
      <c r="AC948" t="s">
        <v>3599</v>
      </c>
      <c r="AD948" t="s">
        <v>3600</v>
      </c>
      <c r="AE948" t="s">
        <v>3601</v>
      </c>
      <c r="AF948" t="s">
        <v>3602</v>
      </c>
      <c r="AG948" t="s">
        <v>66</v>
      </c>
      <c r="AH948" t="s">
        <v>66</v>
      </c>
      <c r="AI948" t="s">
        <v>66</v>
      </c>
      <c r="AJ948" t="s">
        <v>66</v>
      </c>
      <c r="AK948">
        <v>1</v>
      </c>
      <c r="AL948" t="s">
        <v>66</v>
      </c>
      <c r="AM948" t="s">
        <v>66</v>
      </c>
      <c r="AN948" t="s">
        <v>66</v>
      </c>
      <c r="AO948" t="s">
        <v>66</v>
      </c>
      <c r="AP948">
        <v>1</v>
      </c>
      <c r="AQ948" t="s">
        <v>66</v>
      </c>
      <c r="AR948" t="s">
        <v>66</v>
      </c>
      <c r="AS948" t="s">
        <v>66</v>
      </c>
      <c r="AT948" t="s">
        <v>66</v>
      </c>
    </row>
    <row r="949" spans="1:46" x14ac:dyDescent="0.15">
      <c r="A949" t="s">
        <v>3693</v>
      </c>
      <c r="B949" t="s">
        <v>3589</v>
      </c>
      <c r="C949" t="s">
        <v>3590</v>
      </c>
      <c r="D949">
        <v>20</v>
      </c>
      <c r="E949" t="s">
        <v>3591</v>
      </c>
      <c r="F949" t="s">
        <v>3592</v>
      </c>
      <c r="G949" t="s">
        <v>51</v>
      </c>
      <c r="H949" t="s">
        <v>3593</v>
      </c>
      <c r="I949" t="s">
        <v>1553</v>
      </c>
      <c r="J949" t="s">
        <v>1554</v>
      </c>
      <c r="K949" t="s">
        <v>3594</v>
      </c>
      <c r="L949" t="s">
        <v>19</v>
      </c>
      <c r="M949" t="s">
        <v>18</v>
      </c>
      <c r="N949">
        <v>1566</v>
      </c>
      <c r="O949">
        <v>86</v>
      </c>
      <c r="P949">
        <v>0</v>
      </c>
      <c r="Q949" t="s">
        <v>3694</v>
      </c>
      <c r="R949" t="s">
        <v>3695</v>
      </c>
      <c r="S949" t="s">
        <v>3696</v>
      </c>
      <c r="T949" t="s">
        <v>3697</v>
      </c>
      <c r="U949" t="s">
        <v>60</v>
      </c>
      <c r="V949" t="s">
        <v>61</v>
      </c>
      <c r="W949">
        <v>10</v>
      </c>
      <c r="X949">
        <v>0.13</v>
      </c>
      <c r="Y949" t="s">
        <v>189</v>
      </c>
      <c r="Z949" t="s">
        <v>190</v>
      </c>
      <c r="AA949">
        <v>1</v>
      </c>
      <c r="AB949" t="s">
        <v>3598</v>
      </c>
      <c r="AC949" t="s">
        <v>3599</v>
      </c>
      <c r="AD949" t="s">
        <v>3600</v>
      </c>
      <c r="AE949" t="s">
        <v>3601</v>
      </c>
      <c r="AF949" t="s">
        <v>3602</v>
      </c>
      <c r="AG949" t="s">
        <v>66</v>
      </c>
      <c r="AH949" t="s">
        <v>66</v>
      </c>
      <c r="AI949" t="s">
        <v>66</v>
      </c>
      <c r="AJ949" t="s">
        <v>66</v>
      </c>
      <c r="AK949">
        <v>1</v>
      </c>
      <c r="AL949" t="s">
        <v>3698</v>
      </c>
      <c r="AM949" t="s">
        <v>3699</v>
      </c>
      <c r="AN949" t="s">
        <v>66</v>
      </c>
      <c r="AO949" t="s">
        <v>66</v>
      </c>
      <c r="AP949">
        <v>1</v>
      </c>
      <c r="AQ949" t="s">
        <v>66</v>
      </c>
      <c r="AR949" t="s">
        <v>66</v>
      </c>
      <c r="AS949" t="s">
        <v>66</v>
      </c>
      <c r="AT949" t="s">
        <v>66</v>
      </c>
    </row>
    <row r="950" spans="1:46" x14ac:dyDescent="0.15">
      <c r="A950" t="s">
        <v>3700</v>
      </c>
      <c r="B950" t="s">
        <v>3589</v>
      </c>
      <c r="C950" t="s">
        <v>3590</v>
      </c>
      <c r="D950">
        <v>21</v>
      </c>
      <c r="E950" t="s">
        <v>3591</v>
      </c>
      <c r="F950" t="s">
        <v>3592</v>
      </c>
      <c r="G950" t="s">
        <v>51</v>
      </c>
      <c r="H950" t="s">
        <v>3593</v>
      </c>
      <c r="I950" t="s">
        <v>1553</v>
      </c>
      <c r="J950" t="s">
        <v>1554</v>
      </c>
      <c r="K950" t="s">
        <v>3594</v>
      </c>
      <c r="L950" t="s">
        <v>19</v>
      </c>
      <c r="M950" t="s">
        <v>18</v>
      </c>
      <c r="N950">
        <v>1622</v>
      </c>
      <c r="O950">
        <v>89</v>
      </c>
      <c r="P950">
        <v>0</v>
      </c>
      <c r="Q950" t="s">
        <v>3701</v>
      </c>
      <c r="R950" t="s">
        <v>3702</v>
      </c>
      <c r="S950" t="s">
        <v>3703</v>
      </c>
      <c r="T950" t="s">
        <v>3704</v>
      </c>
      <c r="U950" t="s">
        <v>60</v>
      </c>
      <c r="V950" t="s">
        <v>61</v>
      </c>
      <c r="W950">
        <v>10</v>
      </c>
      <c r="X950">
        <v>0.13</v>
      </c>
      <c r="Y950" t="s">
        <v>131</v>
      </c>
      <c r="Z950" t="s">
        <v>197</v>
      </c>
      <c r="AA950">
        <v>1</v>
      </c>
      <c r="AB950" t="s">
        <v>3598</v>
      </c>
      <c r="AC950" t="s">
        <v>3599</v>
      </c>
      <c r="AD950" t="s">
        <v>3600</v>
      </c>
      <c r="AE950" t="s">
        <v>3601</v>
      </c>
      <c r="AF950" t="s">
        <v>3602</v>
      </c>
      <c r="AG950" t="s">
        <v>66</v>
      </c>
      <c r="AH950" t="s">
        <v>66</v>
      </c>
      <c r="AI950" t="s">
        <v>66</v>
      </c>
      <c r="AJ950" t="s">
        <v>66</v>
      </c>
      <c r="AK950">
        <v>1</v>
      </c>
      <c r="AL950" t="s">
        <v>3698</v>
      </c>
      <c r="AM950" t="s">
        <v>3699</v>
      </c>
      <c r="AN950" t="s">
        <v>66</v>
      </c>
      <c r="AO950" t="s">
        <v>66</v>
      </c>
      <c r="AP950">
        <v>1</v>
      </c>
      <c r="AQ950" t="s">
        <v>66</v>
      </c>
      <c r="AR950" t="s">
        <v>66</v>
      </c>
      <c r="AS950" t="s">
        <v>66</v>
      </c>
      <c r="AT950" t="s">
        <v>66</v>
      </c>
    </row>
    <row r="951" spans="1:46" x14ac:dyDescent="0.15">
      <c r="A951" t="s">
        <v>3705</v>
      </c>
      <c r="B951" t="s">
        <v>3589</v>
      </c>
      <c r="C951" t="s">
        <v>3590</v>
      </c>
      <c r="D951">
        <v>22</v>
      </c>
      <c r="E951" t="s">
        <v>3591</v>
      </c>
      <c r="F951" t="s">
        <v>3592</v>
      </c>
      <c r="G951" t="s">
        <v>51</v>
      </c>
      <c r="H951" t="s">
        <v>3593</v>
      </c>
      <c r="I951" t="s">
        <v>1553</v>
      </c>
      <c r="J951" t="s">
        <v>1554</v>
      </c>
      <c r="K951" t="s">
        <v>3594</v>
      </c>
      <c r="L951" t="s">
        <v>19</v>
      </c>
      <c r="M951" t="s">
        <v>18</v>
      </c>
      <c r="N951">
        <v>1679</v>
      </c>
      <c r="O951">
        <v>92</v>
      </c>
      <c r="P951">
        <v>0</v>
      </c>
      <c r="Q951" t="s">
        <v>3706</v>
      </c>
      <c r="R951" t="s">
        <v>3707</v>
      </c>
      <c r="S951" t="s">
        <v>3708</v>
      </c>
      <c r="T951" t="s">
        <v>3709</v>
      </c>
      <c r="U951" t="s">
        <v>60</v>
      </c>
      <c r="V951" t="s">
        <v>61</v>
      </c>
      <c r="W951">
        <v>10</v>
      </c>
      <c r="X951">
        <v>0.13</v>
      </c>
      <c r="Y951" t="s">
        <v>203</v>
      </c>
      <c r="Z951" t="s">
        <v>204</v>
      </c>
      <c r="AA951">
        <v>1</v>
      </c>
      <c r="AB951" t="s">
        <v>3598</v>
      </c>
      <c r="AC951" t="s">
        <v>3599</v>
      </c>
      <c r="AD951" t="s">
        <v>3600</v>
      </c>
      <c r="AE951" t="s">
        <v>3601</v>
      </c>
      <c r="AF951" t="s">
        <v>3602</v>
      </c>
      <c r="AG951" t="s">
        <v>66</v>
      </c>
      <c r="AH951" t="s">
        <v>66</v>
      </c>
      <c r="AI951" t="s">
        <v>66</v>
      </c>
      <c r="AJ951" t="s">
        <v>66</v>
      </c>
      <c r="AK951">
        <v>1</v>
      </c>
      <c r="AL951" t="s">
        <v>3698</v>
      </c>
      <c r="AM951" t="s">
        <v>3699</v>
      </c>
      <c r="AN951" t="s">
        <v>66</v>
      </c>
      <c r="AO951" t="s">
        <v>66</v>
      </c>
      <c r="AP951">
        <v>1</v>
      </c>
      <c r="AQ951" t="s">
        <v>66</v>
      </c>
      <c r="AR951" t="s">
        <v>66</v>
      </c>
      <c r="AS951" t="s">
        <v>66</v>
      </c>
      <c r="AT951" t="s">
        <v>66</v>
      </c>
    </row>
    <row r="952" spans="1:46" x14ac:dyDescent="0.15">
      <c r="A952" t="s">
        <v>3710</v>
      </c>
      <c r="B952" t="s">
        <v>3589</v>
      </c>
      <c r="C952" t="s">
        <v>3590</v>
      </c>
      <c r="D952">
        <v>23</v>
      </c>
      <c r="E952" t="s">
        <v>3591</v>
      </c>
      <c r="F952" t="s">
        <v>3592</v>
      </c>
      <c r="G952" t="s">
        <v>51</v>
      </c>
      <c r="H952" t="s">
        <v>3593</v>
      </c>
      <c r="I952" t="s">
        <v>1553</v>
      </c>
      <c r="J952" t="s">
        <v>1554</v>
      </c>
      <c r="K952" t="s">
        <v>3594</v>
      </c>
      <c r="L952" t="s">
        <v>19</v>
      </c>
      <c r="M952" t="s">
        <v>18</v>
      </c>
      <c r="N952">
        <v>1735</v>
      </c>
      <c r="O952">
        <v>95</v>
      </c>
      <c r="P952">
        <v>0</v>
      </c>
      <c r="Q952" t="s">
        <v>3711</v>
      </c>
      <c r="R952" t="s">
        <v>3712</v>
      </c>
      <c r="S952" t="s">
        <v>3713</v>
      </c>
      <c r="T952" t="s">
        <v>3714</v>
      </c>
      <c r="U952" t="s">
        <v>60</v>
      </c>
      <c r="V952" t="s">
        <v>61</v>
      </c>
      <c r="W952">
        <v>10</v>
      </c>
      <c r="X952">
        <v>0.13</v>
      </c>
      <c r="Y952" t="s">
        <v>138</v>
      </c>
      <c r="Z952" t="s">
        <v>210</v>
      </c>
      <c r="AA952">
        <v>1</v>
      </c>
      <c r="AB952" t="s">
        <v>3598</v>
      </c>
      <c r="AC952" t="s">
        <v>3599</v>
      </c>
      <c r="AD952" t="s">
        <v>3600</v>
      </c>
      <c r="AE952" t="s">
        <v>3601</v>
      </c>
      <c r="AF952" t="s">
        <v>3602</v>
      </c>
      <c r="AG952" t="s">
        <v>66</v>
      </c>
      <c r="AH952" t="s">
        <v>66</v>
      </c>
      <c r="AI952" t="s">
        <v>66</v>
      </c>
      <c r="AJ952" t="s">
        <v>66</v>
      </c>
      <c r="AK952">
        <v>1</v>
      </c>
      <c r="AL952" t="s">
        <v>3698</v>
      </c>
      <c r="AM952" t="s">
        <v>3699</v>
      </c>
      <c r="AN952" t="s">
        <v>66</v>
      </c>
      <c r="AO952" t="s">
        <v>66</v>
      </c>
      <c r="AP952">
        <v>1</v>
      </c>
      <c r="AQ952" t="s">
        <v>66</v>
      </c>
      <c r="AR952" t="s">
        <v>66</v>
      </c>
      <c r="AS952" t="s">
        <v>66</v>
      </c>
      <c r="AT952" t="s">
        <v>66</v>
      </c>
    </row>
    <row r="953" spans="1:46" x14ac:dyDescent="0.15">
      <c r="A953" t="s">
        <v>3715</v>
      </c>
      <c r="B953" t="s">
        <v>3589</v>
      </c>
      <c r="C953" t="s">
        <v>3590</v>
      </c>
      <c r="D953">
        <v>24</v>
      </c>
      <c r="E953" t="s">
        <v>3591</v>
      </c>
      <c r="F953" t="s">
        <v>3592</v>
      </c>
      <c r="G953" t="s">
        <v>51</v>
      </c>
      <c r="H953" t="s">
        <v>3593</v>
      </c>
      <c r="I953" t="s">
        <v>1553</v>
      </c>
      <c r="J953" t="s">
        <v>1554</v>
      </c>
      <c r="K953" t="s">
        <v>3594</v>
      </c>
      <c r="L953" t="s">
        <v>19</v>
      </c>
      <c r="M953" t="s">
        <v>18</v>
      </c>
      <c r="N953">
        <v>1791</v>
      </c>
      <c r="O953">
        <v>97</v>
      </c>
      <c r="P953">
        <v>0</v>
      </c>
      <c r="Q953" t="s">
        <v>3716</v>
      </c>
      <c r="R953" t="s">
        <v>3717</v>
      </c>
      <c r="S953" t="s">
        <v>3718</v>
      </c>
      <c r="T953" t="s">
        <v>3719</v>
      </c>
      <c r="U953" t="s">
        <v>60</v>
      </c>
      <c r="V953" t="s">
        <v>61</v>
      </c>
      <c r="W953">
        <v>10</v>
      </c>
      <c r="X953">
        <v>0.13</v>
      </c>
      <c r="Y953" t="s">
        <v>216</v>
      </c>
      <c r="Z953" t="s">
        <v>217</v>
      </c>
      <c r="AA953">
        <v>1</v>
      </c>
      <c r="AB953" t="s">
        <v>3598</v>
      </c>
      <c r="AC953" t="s">
        <v>3599</v>
      </c>
      <c r="AD953" t="s">
        <v>3600</v>
      </c>
      <c r="AE953" t="s">
        <v>3601</v>
      </c>
      <c r="AF953" t="s">
        <v>3602</v>
      </c>
      <c r="AG953" t="s">
        <v>66</v>
      </c>
      <c r="AH953" t="s">
        <v>66</v>
      </c>
      <c r="AI953" t="s">
        <v>66</v>
      </c>
      <c r="AJ953" t="s">
        <v>66</v>
      </c>
      <c r="AK953">
        <v>1</v>
      </c>
      <c r="AL953" t="s">
        <v>3698</v>
      </c>
      <c r="AM953" t="s">
        <v>3699</v>
      </c>
      <c r="AN953" t="s">
        <v>66</v>
      </c>
      <c r="AO953" t="s">
        <v>66</v>
      </c>
      <c r="AP953">
        <v>1</v>
      </c>
      <c r="AQ953" t="s">
        <v>66</v>
      </c>
      <c r="AR953" t="s">
        <v>66</v>
      </c>
      <c r="AS953" t="s">
        <v>66</v>
      </c>
      <c r="AT953" t="s">
        <v>66</v>
      </c>
    </row>
    <row r="954" spans="1:46" x14ac:dyDescent="0.15">
      <c r="A954" t="s">
        <v>3720</v>
      </c>
      <c r="B954" t="s">
        <v>3589</v>
      </c>
      <c r="C954" t="s">
        <v>3590</v>
      </c>
      <c r="D954">
        <v>25</v>
      </c>
      <c r="E954" t="s">
        <v>3591</v>
      </c>
      <c r="F954" t="s">
        <v>3592</v>
      </c>
      <c r="G954" t="s">
        <v>51</v>
      </c>
      <c r="H954" t="s">
        <v>3593</v>
      </c>
      <c r="I954" t="s">
        <v>1553</v>
      </c>
      <c r="J954" t="s">
        <v>1554</v>
      </c>
      <c r="K954" t="s">
        <v>3594</v>
      </c>
      <c r="L954" t="s">
        <v>19</v>
      </c>
      <c r="M954" t="s">
        <v>18</v>
      </c>
      <c r="N954">
        <v>1847</v>
      </c>
      <c r="O954">
        <v>100</v>
      </c>
      <c r="P954">
        <v>0</v>
      </c>
      <c r="Q954" t="s">
        <v>3721</v>
      </c>
      <c r="R954" t="s">
        <v>3722</v>
      </c>
      <c r="S954" t="s">
        <v>3723</v>
      </c>
      <c r="T954" t="s">
        <v>3724</v>
      </c>
      <c r="U954" t="s">
        <v>60</v>
      </c>
      <c r="V954" t="s">
        <v>61</v>
      </c>
      <c r="W954">
        <v>10</v>
      </c>
      <c r="X954">
        <v>0.13</v>
      </c>
      <c r="Y954" t="s">
        <v>144</v>
      </c>
      <c r="Z954" t="s">
        <v>223</v>
      </c>
      <c r="AA954">
        <v>1</v>
      </c>
      <c r="AB954" t="s">
        <v>3598</v>
      </c>
      <c r="AC954" t="s">
        <v>3599</v>
      </c>
      <c r="AD954" t="s">
        <v>3600</v>
      </c>
      <c r="AE954" t="s">
        <v>3601</v>
      </c>
      <c r="AF954" t="s">
        <v>3602</v>
      </c>
      <c r="AG954" t="s">
        <v>66</v>
      </c>
      <c r="AH954" t="s">
        <v>66</v>
      </c>
      <c r="AI954" t="s">
        <v>66</v>
      </c>
      <c r="AJ954" t="s">
        <v>66</v>
      </c>
      <c r="AK954">
        <v>1</v>
      </c>
      <c r="AL954" t="s">
        <v>3698</v>
      </c>
      <c r="AM954" t="s">
        <v>3699</v>
      </c>
      <c r="AN954" t="s">
        <v>66</v>
      </c>
      <c r="AO954" t="s">
        <v>66</v>
      </c>
      <c r="AP954">
        <v>1</v>
      </c>
      <c r="AQ954" t="s">
        <v>66</v>
      </c>
      <c r="AR954" t="s">
        <v>66</v>
      </c>
      <c r="AS954" t="s">
        <v>66</v>
      </c>
      <c r="AT954" t="s">
        <v>66</v>
      </c>
    </row>
    <row r="955" spans="1:46" x14ac:dyDescent="0.15">
      <c r="A955" t="s">
        <v>3725</v>
      </c>
      <c r="B955" t="s">
        <v>3589</v>
      </c>
      <c r="C955" t="s">
        <v>3590</v>
      </c>
      <c r="D955">
        <v>26</v>
      </c>
      <c r="E955" t="s">
        <v>3591</v>
      </c>
      <c r="F955" t="s">
        <v>3592</v>
      </c>
      <c r="G955" t="s">
        <v>51</v>
      </c>
      <c r="H955" t="s">
        <v>3593</v>
      </c>
      <c r="I955" t="s">
        <v>1553</v>
      </c>
      <c r="J955" t="s">
        <v>1554</v>
      </c>
      <c r="K955" t="s">
        <v>3594</v>
      </c>
      <c r="L955" t="s">
        <v>19</v>
      </c>
      <c r="M955" t="s">
        <v>18</v>
      </c>
      <c r="N955">
        <v>1903</v>
      </c>
      <c r="O955">
        <v>103</v>
      </c>
      <c r="P955">
        <v>0</v>
      </c>
      <c r="Q955" t="s">
        <v>3726</v>
      </c>
      <c r="R955" t="s">
        <v>3727</v>
      </c>
      <c r="S955" t="s">
        <v>3728</v>
      </c>
      <c r="T955" t="s">
        <v>3729</v>
      </c>
      <c r="U955" t="s">
        <v>60</v>
      </c>
      <c r="V955" t="s">
        <v>61</v>
      </c>
      <c r="W955">
        <v>10</v>
      </c>
      <c r="X955">
        <v>0.13</v>
      </c>
      <c r="Y955" t="s">
        <v>229</v>
      </c>
      <c r="Z955" t="s">
        <v>230</v>
      </c>
      <c r="AA955">
        <v>1</v>
      </c>
      <c r="AB955" t="s">
        <v>3598</v>
      </c>
      <c r="AC955" t="s">
        <v>3599</v>
      </c>
      <c r="AD955" t="s">
        <v>3600</v>
      </c>
      <c r="AE955" t="s">
        <v>3601</v>
      </c>
      <c r="AF955" t="s">
        <v>3602</v>
      </c>
      <c r="AG955" t="s">
        <v>66</v>
      </c>
      <c r="AH955" t="s">
        <v>66</v>
      </c>
      <c r="AI955" t="s">
        <v>66</v>
      </c>
      <c r="AJ955" t="s">
        <v>66</v>
      </c>
      <c r="AK955">
        <v>1</v>
      </c>
      <c r="AL955" t="s">
        <v>3698</v>
      </c>
      <c r="AM955" t="s">
        <v>3699</v>
      </c>
      <c r="AN955" t="s">
        <v>66</v>
      </c>
      <c r="AO955" t="s">
        <v>66</v>
      </c>
      <c r="AP955">
        <v>1</v>
      </c>
      <c r="AQ955" t="s">
        <v>66</v>
      </c>
      <c r="AR955" t="s">
        <v>66</v>
      </c>
      <c r="AS955" t="s">
        <v>66</v>
      </c>
      <c r="AT955" t="s">
        <v>66</v>
      </c>
    </row>
    <row r="956" spans="1:46" x14ac:dyDescent="0.15">
      <c r="A956" t="s">
        <v>3730</v>
      </c>
      <c r="B956" t="s">
        <v>3589</v>
      </c>
      <c r="C956" t="s">
        <v>3590</v>
      </c>
      <c r="D956">
        <v>27</v>
      </c>
      <c r="E956" t="s">
        <v>3591</v>
      </c>
      <c r="F956" t="s">
        <v>3592</v>
      </c>
      <c r="G956" t="s">
        <v>51</v>
      </c>
      <c r="H956" t="s">
        <v>3593</v>
      </c>
      <c r="I956" t="s">
        <v>1553</v>
      </c>
      <c r="J956" t="s">
        <v>1554</v>
      </c>
      <c r="K956" t="s">
        <v>3594</v>
      </c>
      <c r="L956" t="s">
        <v>19</v>
      </c>
      <c r="M956" t="s">
        <v>18</v>
      </c>
      <c r="N956">
        <v>1959</v>
      </c>
      <c r="O956">
        <v>106</v>
      </c>
      <c r="P956">
        <v>0</v>
      </c>
      <c r="Q956" t="s">
        <v>3731</v>
      </c>
      <c r="R956" t="s">
        <v>3732</v>
      </c>
      <c r="S956" t="s">
        <v>3733</v>
      </c>
      <c r="T956" t="s">
        <v>3734</v>
      </c>
      <c r="U956" t="s">
        <v>60</v>
      </c>
      <c r="V956" t="s">
        <v>61</v>
      </c>
      <c r="W956">
        <v>10</v>
      </c>
      <c r="X956">
        <v>0.13</v>
      </c>
      <c r="Y956" t="s">
        <v>151</v>
      </c>
      <c r="Z956" t="s">
        <v>236</v>
      </c>
      <c r="AA956">
        <v>1</v>
      </c>
      <c r="AB956" t="s">
        <v>3598</v>
      </c>
      <c r="AC956" t="s">
        <v>3599</v>
      </c>
      <c r="AD956" t="s">
        <v>3600</v>
      </c>
      <c r="AE956" t="s">
        <v>3601</v>
      </c>
      <c r="AF956" t="s">
        <v>3602</v>
      </c>
      <c r="AG956" t="s">
        <v>66</v>
      </c>
      <c r="AH956" t="s">
        <v>66</v>
      </c>
      <c r="AI956" t="s">
        <v>66</v>
      </c>
      <c r="AJ956" t="s">
        <v>66</v>
      </c>
      <c r="AK956">
        <v>1</v>
      </c>
      <c r="AL956" t="s">
        <v>3698</v>
      </c>
      <c r="AM956" t="s">
        <v>3699</v>
      </c>
      <c r="AN956" t="s">
        <v>66</v>
      </c>
      <c r="AO956" t="s">
        <v>66</v>
      </c>
      <c r="AP956">
        <v>1</v>
      </c>
      <c r="AQ956" t="s">
        <v>66</v>
      </c>
      <c r="AR956" t="s">
        <v>66</v>
      </c>
      <c r="AS956" t="s">
        <v>66</v>
      </c>
      <c r="AT956" t="s">
        <v>66</v>
      </c>
    </row>
    <row r="957" spans="1:46" x14ac:dyDescent="0.15">
      <c r="A957" t="s">
        <v>3735</v>
      </c>
      <c r="B957" t="s">
        <v>3589</v>
      </c>
      <c r="C957" t="s">
        <v>3590</v>
      </c>
      <c r="D957">
        <v>28</v>
      </c>
      <c r="E957" t="s">
        <v>3591</v>
      </c>
      <c r="F957" t="s">
        <v>3592</v>
      </c>
      <c r="G957" t="s">
        <v>51</v>
      </c>
      <c r="H957" t="s">
        <v>3593</v>
      </c>
      <c r="I957" t="s">
        <v>1553</v>
      </c>
      <c r="J957" t="s">
        <v>1554</v>
      </c>
      <c r="K957" t="s">
        <v>3594</v>
      </c>
      <c r="L957" t="s">
        <v>19</v>
      </c>
      <c r="M957" t="s">
        <v>18</v>
      </c>
      <c r="N957">
        <v>2015</v>
      </c>
      <c r="O957">
        <v>109</v>
      </c>
      <c r="P957">
        <v>0</v>
      </c>
      <c r="Q957" t="s">
        <v>3736</v>
      </c>
      <c r="R957" t="s">
        <v>3737</v>
      </c>
      <c r="S957" t="s">
        <v>3738</v>
      </c>
      <c r="T957" t="s">
        <v>3739</v>
      </c>
      <c r="U957" t="s">
        <v>60</v>
      </c>
      <c r="V957" t="s">
        <v>61</v>
      </c>
      <c r="W957">
        <v>10</v>
      </c>
      <c r="X957">
        <v>0.13</v>
      </c>
      <c r="Y957" t="s">
        <v>242</v>
      </c>
      <c r="Z957" t="s">
        <v>243</v>
      </c>
      <c r="AA957">
        <v>1</v>
      </c>
      <c r="AB957" t="s">
        <v>3598</v>
      </c>
      <c r="AC957" t="s">
        <v>3599</v>
      </c>
      <c r="AD957" t="s">
        <v>3600</v>
      </c>
      <c r="AE957" t="s">
        <v>3601</v>
      </c>
      <c r="AF957" t="s">
        <v>3602</v>
      </c>
      <c r="AG957" t="s">
        <v>66</v>
      </c>
      <c r="AH957" t="s">
        <v>66</v>
      </c>
      <c r="AI957" t="s">
        <v>66</v>
      </c>
      <c r="AJ957" t="s">
        <v>66</v>
      </c>
      <c r="AK957">
        <v>1</v>
      </c>
      <c r="AL957" t="s">
        <v>3698</v>
      </c>
      <c r="AM957" t="s">
        <v>3699</v>
      </c>
      <c r="AN957" t="s">
        <v>66</v>
      </c>
      <c r="AO957" t="s">
        <v>66</v>
      </c>
      <c r="AP957">
        <v>1</v>
      </c>
      <c r="AQ957" t="s">
        <v>66</v>
      </c>
      <c r="AR957" t="s">
        <v>66</v>
      </c>
      <c r="AS957" t="s">
        <v>66</v>
      </c>
      <c r="AT957" t="s">
        <v>66</v>
      </c>
    </row>
    <row r="958" spans="1:46" x14ac:dyDescent="0.15">
      <c r="A958" t="s">
        <v>3740</v>
      </c>
      <c r="B958" t="s">
        <v>3589</v>
      </c>
      <c r="C958" t="s">
        <v>3590</v>
      </c>
      <c r="D958">
        <v>29</v>
      </c>
      <c r="E958" t="s">
        <v>3591</v>
      </c>
      <c r="F958" t="s">
        <v>3592</v>
      </c>
      <c r="G958" t="s">
        <v>51</v>
      </c>
      <c r="H958" t="s">
        <v>3593</v>
      </c>
      <c r="I958" t="s">
        <v>1553</v>
      </c>
      <c r="J958" t="s">
        <v>1554</v>
      </c>
      <c r="K958" t="s">
        <v>3594</v>
      </c>
      <c r="L958" t="s">
        <v>19</v>
      </c>
      <c r="M958" t="s">
        <v>18</v>
      </c>
      <c r="N958">
        <v>2071</v>
      </c>
      <c r="O958">
        <v>112</v>
      </c>
      <c r="P958">
        <v>0</v>
      </c>
      <c r="Q958" t="s">
        <v>3741</v>
      </c>
      <c r="R958" t="s">
        <v>3742</v>
      </c>
      <c r="S958" t="s">
        <v>3743</v>
      </c>
      <c r="T958" t="s">
        <v>3744</v>
      </c>
      <c r="U958" t="s">
        <v>60</v>
      </c>
      <c r="V958" t="s">
        <v>61</v>
      </c>
      <c r="W958">
        <v>10</v>
      </c>
      <c r="X958">
        <v>0.13</v>
      </c>
      <c r="Y958" t="s">
        <v>157</v>
      </c>
      <c r="Z958" t="s">
        <v>249</v>
      </c>
      <c r="AA958">
        <v>1</v>
      </c>
      <c r="AB958" t="s">
        <v>3598</v>
      </c>
      <c r="AC958" t="s">
        <v>3599</v>
      </c>
      <c r="AD958" t="s">
        <v>3600</v>
      </c>
      <c r="AE958" t="s">
        <v>3601</v>
      </c>
      <c r="AF958" t="s">
        <v>3602</v>
      </c>
      <c r="AG958" t="s">
        <v>66</v>
      </c>
      <c r="AH958" t="s">
        <v>66</v>
      </c>
      <c r="AI958" t="s">
        <v>66</v>
      </c>
      <c r="AJ958" t="s">
        <v>66</v>
      </c>
      <c r="AK958">
        <v>1</v>
      </c>
      <c r="AL958" t="s">
        <v>3698</v>
      </c>
      <c r="AM958" t="s">
        <v>3699</v>
      </c>
      <c r="AN958" t="s">
        <v>66</v>
      </c>
      <c r="AO958" t="s">
        <v>66</v>
      </c>
      <c r="AP958">
        <v>1</v>
      </c>
      <c r="AQ958" t="s">
        <v>66</v>
      </c>
      <c r="AR958" t="s">
        <v>66</v>
      </c>
      <c r="AS958" t="s">
        <v>66</v>
      </c>
      <c r="AT958" t="s">
        <v>66</v>
      </c>
    </row>
    <row r="959" spans="1:46" x14ac:dyDescent="0.15">
      <c r="A959" t="s">
        <v>3745</v>
      </c>
      <c r="B959" t="s">
        <v>3589</v>
      </c>
      <c r="C959" t="s">
        <v>3590</v>
      </c>
      <c r="D959">
        <v>30</v>
      </c>
      <c r="E959" t="s">
        <v>3591</v>
      </c>
      <c r="F959" t="s">
        <v>3592</v>
      </c>
      <c r="G959" t="s">
        <v>51</v>
      </c>
      <c r="H959" t="s">
        <v>3593</v>
      </c>
      <c r="I959" t="s">
        <v>1553</v>
      </c>
      <c r="J959" t="s">
        <v>1554</v>
      </c>
      <c r="K959" t="s">
        <v>3594</v>
      </c>
      <c r="L959" t="s">
        <v>19</v>
      </c>
      <c r="M959" t="s">
        <v>18</v>
      </c>
      <c r="N959">
        <v>2128</v>
      </c>
      <c r="O959">
        <v>115</v>
      </c>
      <c r="P959">
        <v>0</v>
      </c>
      <c r="Q959" t="s">
        <v>3746</v>
      </c>
      <c r="R959" t="s">
        <v>3747</v>
      </c>
      <c r="S959" t="s">
        <v>3748</v>
      </c>
      <c r="T959" t="s">
        <v>3749</v>
      </c>
      <c r="U959" t="s">
        <v>60</v>
      </c>
      <c r="V959" t="s">
        <v>61</v>
      </c>
      <c r="W959">
        <v>10</v>
      </c>
      <c r="X959">
        <v>0.13</v>
      </c>
      <c r="Y959" t="s">
        <v>255</v>
      </c>
      <c r="Z959" t="s">
        <v>256</v>
      </c>
      <c r="AA959">
        <v>1</v>
      </c>
      <c r="AB959" t="s">
        <v>3598</v>
      </c>
      <c r="AC959" t="s">
        <v>3599</v>
      </c>
      <c r="AD959" t="s">
        <v>3600</v>
      </c>
      <c r="AE959" t="s">
        <v>3601</v>
      </c>
      <c r="AF959" t="s">
        <v>3602</v>
      </c>
      <c r="AG959" t="s">
        <v>66</v>
      </c>
      <c r="AH959" t="s">
        <v>66</v>
      </c>
      <c r="AI959" t="s">
        <v>66</v>
      </c>
      <c r="AJ959" t="s">
        <v>66</v>
      </c>
      <c r="AK959">
        <v>1</v>
      </c>
      <c r="AL959" t="s">
        <v>3698</v>
      </c>
      <c r="AM959" t="s">
        <v>3699</v>
      </c>
      <c r="AN959" t="s">
        <v>66</v>
      </c>
      <c r="AO959" t="s">
        <v>66</v>
      </c>
      <c r="AP959">
        <v>1</v>
      </c>
      <c r="AQ959" t="s">
        <v>66</v>
      </c>
      <c r="AR959" t="s">
        <v>66</v>
      </c>
      <c r="AS959" t="s">
        <v>66</v>
      </c>
      <c r="AT959" t="s">
        <v>66</v>
      </c>
    </row>
    <row r="960" spans="1:46" x14ac:dyDescent="0.15">
      <c r="A960" t="s">
        <v>3750</v>
      </c>
      <c r="B960" t="s">
        <v>3589</v>
      </c>
      <c r="C960" t="s">
        <v>3590</v>
      </c>
      <c r="D960">
        <v>31</v>
      </c>
      <c r="E960" t="s">
        <v>3591</v>
      </c>
      <c r="F960" t="s">
        <v>3592</v>
      </c>
      <c r="G960" t="s">
        <v>51</v>
      </c>
      <c r="H960" t="s">
        <v>3593</v>
      </c>
      <c r="I960" t="s">
        <v>1553</v>
      </c>
      <c r="J960" t="s">
        <v>1554</v>
      </c>
      <c r="K960" t="s">
        <v>3594</v>
      </c>
      <c r="L960" t="s">
        <v>19</v>
      </c>
      <c r="M960" t="s">
        <v>18</v>
      </c>
      <c r="N960">
        <v>2184</v>
      </c>
      <c r="O960">
        <v>118</v>
      </c>
      <c r="P960">
        <v>0</v>
      </c>
      <c r="Q960" t="s">
        <v>3751</v>
      </c>
      <c r="R960" t="s">
        <v>3752</v>
      </c>
      <c r="S960" t="s">
        <v>3753</v>
      </c>
      <c r="T960" t="s">
        <v>3754</v>
      </c>
      <c r="U960" t="s">
        <v>60</v>
      </c>
      <c r="V960" t="s">
        <v>61</v>
      </c>
      <c r="W960">
        <v>10</v>
      </c>
      <c r="X960">
        <v>0.13</v>
      </c>
      <c r="Y960" t="s">
        <v>164</v>
      </c>
      <c r="Z960" t="s">
        <v>262</v>
      </c>
      <c r="AA960">
        <v>1</v>
      </c>
      <c r="AB960" t="s">
        <v>3598</v>
      </c>
      <c r="AC960" t="s">
        <v>3599</v>
      </c>
      <c r="AD960" t="s">
        <v>3600</v>
      </c>
      <c r="AE960" t="s">
        <v>3601</v>
      </c>
      <c r="AF960" t="s">
        <v>3602</v>
      </c>
      <c r="AG960" t="s">
        <v>66</v>
      </c>
      <c r="AH960" t="s">
        <v>66</v>
      </c>
      <c r="AI960" t="s">
        <v>66</v>
      </c>
      <c r="AJ960" t="s">
        <v>66</v>
      </c>
      <c r="AK960">
        <v>1</v>
      </c>
      <c r="AL960" t="s">
        <v>3698</v>
      </c>
      <c r="AM960" t="s">
        <v>3699</v>
      </c>
      <c r="AN960" t="s">
        <v>66</v>
      </c>
      <c r="AO960" t="s">
        <v>66</v>
      </c>
      <c r="AP960">
        <v>1</v>
      </c>
      <c r="AQ960" t="s">
        <v>66</v>
      </c>
      <c r="AR960" t="s">
        <v>66</v>
      </c>
      <c r="AS960" t="s">
        <v>66</v>
      </c>
      <c r="AT960" t="s">
        <v>66</v>
      </c>
    </row>
    <row r="961" spans="1:46" x14ac:dyDescent="0.15">
      <c r="A961" t="s">
        <v>3755</v>
      </c>
      <c r="B961" t="s">
        <v>3589</v>
      </c>
      <c r="C961" t="s">
        <v>3590</v>
      </c>
      <c r="D961">
        <v>32</v>
      </c>
      <c r="E961" t="s">
        <v>3591</v>
      </c>
      <c r="F961" t="s">
        <v>3592</v>
      </c>
      <c r="G961" t="s">
        <v>51</v>
      </c>
      <c r="H961" t="s">
        <v>3593</v>
      </c>
      <c r="I961" t="s">
        <v>1553</v>
      </c>
      <c r="J961" t="s">
        <v>1554</v>
      </c>
      <c r="K961" t="s">
        <v>3594</v>
      </c>
      <c r="L961" t="s">
        <v>19</v>
      </c>
      <c r="M961" t="s">
        <v>18</v>
      </c>
      <c r="N961">
        <v>2240</v>
      </c>
      <c r="O961">
        <v>121</v>
      </c>
      <c r="P961">
        <v>0</v>
      </c>
      <c r="Q961" t="s">
        <v>3756</v>
      </c>
      <c r="R961" t="s">
        <v>3757</v>
      </c>
      <c r="S961" t="s">
        <v>3758</v>
      </c>
      <c r="T961" t="s">
        <v>3759</v>
      </c>
      <c r="U961" t="s">
        <v>60</v>
      </c>
      <c r="V961" t="s">
        <v>61</v>
      </c>
      <c r="W961">
        <v>10</v>
      </c>
      <c r="X961">
        <v>0.13</v>
      </c>
      <c r="Y961" t="s">
        <v>268</v>
      </c>
      <c r="Z961" t="s">
        <v>269</v>
      </c>
      <c r="AA961">
        <v>1</v>
      </c>
      <c r="AB961" t="s">
        <v>3598</v>
      </c>
      <c r="AC961" t="s">
        <v>3599</v>
      </c>
      <c r="AD961" t="s">
        <v>3600</v>
      </c>
      <c r="AE961" t="s">
        <v>3601</v>
      </c>
      <c r="AF961" t="s">
        <v>3602</v>
      </c>
      <c r="AG961" t="s">
        <v>66</v>
      </c>
      <c r="AH961" t="s">
        <v>66</v>
      </c>
      <c r="AI961" t="s">
        <v>66</v>
      </c>
      <c r="AJ961" t="s">
        <v>66</v>
      </c>
      <c r="AK961">
        <v>1</v>
      </c>
      <c r="AL961" t="s">
        <v>3698</v>
      </c>
      <c r="AM961" t="s">
        <v>3699</v>
      </c>
      <c r="AN961" t="s">
        <v>66</v>
      </c>
      <c r="AO961" t="s">
        <v>66</v>
      </c>
      <c r="AP961">
        <v>1</v>
      </c>
      <c r="AQ961" t="s">
        <v>66</v>
      </c>
      <c r="AR961" t="s">
        <v>66</v>
      </c>
      <c r="AS961" t="s">
        <v>66</v>
      </c>
      <c r="AT961" t="s">
        <v>66</v>
      </c>
    </row>
    <row r="962" spans="1:46" x14ac:dyDescent="0.15">
      <c r="A962" t="s">
        <v>3760</v>
      </c>
      <c r="B962" t="s">
        <v>3589</v>
      </c>
      <c r="C962" t="s">
        <v>3590</v>
      </c>
      <c r="D962">
        <v>33</v>
      </c>
      <c r="E962" t="s">
        <v>3591</v>
      </c>
      <c r="F962" t="s">
        <v>3592</v>
      </c>
      <c r="G962" t="s">
        <v>51</v>
      </c>
      <c r="H962" t="s">
        <v>3593</v>
      </c>
      <c r="I962" t="s">
        <v>1553</v>
      </c>
      <c r="J962" t="s">
        <v>1554</v>
      </c>
      <c r="K962" t="s">
        <v>3594</v>
      </c>
      <c r="L962" t="s">
        <v>19</v>
      </c>
      <c r="M962" t="s">
        <v>18</v>
      </c>
      <c r="N962">
        <v>2296</v>
      </c>
      <c r="O962">
        <v>124</v>
      </c>
      <c r="P962">
        <v>0</v>
      </c>
      <c r="Q962" t="s">
        <v>3761</v>
      </c>
      <c r="R962" t="s">
        <v>3762</v>
      </c>
      <c r="S962" t="s">
        <v>3763</v>
      </c>
      <c r="T962" t="s">
        <v>3764</v>
      </c>
      <c r="U962" t="s">
        <v>60</v>
      </c>
      <c r="V962" t="s">
        <v>61</v>
      </c>
      <c r="W962">
        <v>10</v>
      </c>
      <c r="X962">
        <v>0.13</v>
      </c>
      <c r="Y962" t="s">
        <v>170</v>
      </c>
      <c r="Z962" t="s">
        <v>275</v>
      </c>
      <c r="AA962">
        <v>1</v>
      </c>
      <c r="AB962" t="s">
        <v>3598</v>
      </c>
      <c r="AC962" t="s">
        <v>3599</v>
      </c>
      <c r="AD962" t="s">
        <v>3600</v>
      </c>
      <c r="AE962" t="s">
        <v>3601</v>
      </c>
      <c r="AF962" t="s">
        <v>3602</v>
      </c>
      <c r="AG962" t="s">
        <v>66</v>
      </c>
      <c r="AH962" t="s">
        <v>66</v>
      </c>
      <c r="AI962" t="s">
        <v>66</v>
      </c>
      <c r="AJ962" t="s">
        <v>66</v>
      </c>
      <c r="AK962">
        <v>1</v>
      </c>
      <c r="AL962" t="s">
        <v>3698</v>
      </c>
      <c r="AM962" t="s">
        <v>3699</v>
      </c>
      <c r="AN962" t="s">
        <v>66</v>
      </c>
      <c r="AO962" t="s">
        <v>66</v>
      </c>
      <c r="AP962">
        <v>1</v>
      </c>
      <c r="AQ962" t="s">
        <v>66</v>
      </c>
      <c r="AR962" t="s">
        <v>66</v>
      </c>
      <c r="AS962" t="s">
        <v>66</v>
      </c>
      <c r="AT962" t="s">
        <v>66</v>
      </c>
    </row>
    <row r="963" spans="1:46" x14ac:dyDescent="0.15">
      <c r="A963" t="s">
        <v>3765</v>
      </c>
      <c r="B963" t="s">
        <v>3589</v>
      </c>
      <c r="C963" t="s">
        <v>3590</v>
      </c>
      <c r="D963">
        <v>34</v>
      </c>
      <c r="E963" t="s">
        <v>3591</v>
      </c>
      <c r="F963" t="s">
        <v>3592</v>
      </c>
      <c r="G963" t="s">
        <v>51</v>
      </c>
      <c r="H963" t="s">
        <v>3593</v>
      </c>
      <c r="I963" t="s">
        <v>1553</v>
      </c>
      <c r="J963" t="s">
        <v>1554</v>
      </c>
      <c r="K963" t="s">
        <v>3594</v>
      </c>
      <c r="L963" t="s">
        <v>19</v>
      </c>
      <c r="M963" t="s">
        <v>18</v>
      </c>
      <c r="N963">
        <v>2352</v>
      </c>
      <c r="O963">
        <v>127</v>
      </c>
      <c r="P963">
        <v>0</v>
      </c>
      <c r="Q963" t="s">
        <v>3766</v>
      </c>
      <c r="R963" t="s">
        <v>3767</v>
      </c>
      <c r="S963" t="s">
        <v>3768</v>
      </c>
      <c r="T963" t="s">
        <v>3769</v>
      </c>
      <c r="U963" t="s">
        <v>60</v>
      </c>
      <c r="V963" t="s">
        <v>61</v>
      </c>
      <c r="W963">
        <v>10</v>
      </c>
      <c r="X963">
        <v>0.13</v>
      </c>
      <c r="Y963" t="s">
        <v>281</v>
      </c>
      <c r="Z963" t="s">
        <v>282</v>
      </c>
      <c r="AA963">
        <v>1</v>
      </c>
      <c r="AB963" t="s">
        <v>3598</v>
      </c>
      <c r="AC963" t="s">
        <v>3599</v>
      </c>
      <c r="AD963" t="s">
        <v>3600</v>
      </c>
      <c r="AE963" t="s">
        <v>3601</v>
      </c>
      <c r="AF963" t="s">
        <v>3602</v>
      </c>
      <c r="AG963" t="s">
        <v>66</v>
      </c>
      <c r="AH963" t="s">
        <v>66</v>
      </c>
      <c r="AI963" t="s">
        <v>66</v>
      </c>
      <c r="AJ963" t="s">
        <v>66</v>
      </c>
      <c r="AK963">
        <v>1</v>
      </c>
      <c r="AL963" t="s">
        <v>3698</v>
      </c>
      <c r="AM963" t="s">
        <v>3699</v>
      </c>
      <c r="AN963" t="s">
        <v>66</v>
      </c>
      <c r="AO963" t="s">
        <v>66</v>
      </c>
      <c r="AP963">
        <v>1</v>
      </c>
      <c r="AQ963" t="s">
        <v>66</v>
      </c>
      <c r="AR963" t="s">
        <v>66</v>
      </c>
      <c r="AS963" t="s">
        <v>66</v>
      </c>
      <c r="AT963" t="s">
        <v>66</v>
      </c>
    </row>
    <row r="964" spans="1:46" x14ac:dyDescent="0.15">
      <c r="A964" t="s">
        <v>3770</v>
      </c>
      <c r="B964" t="s">
        <v>3589</v>
      </c>
      <c r="C964" t="s">
        <v>3590</v>
      </c>
      <c r="D964">
        <v>35</v>
      </c>
      <c r="E964" t="s">
        <v>3591</v>
      </c>
      <c r="F964" t="s">
        <v>3592</v>
      </c>
      <c r="G964" t="s">
        <v>51</v>
      </c>
      <c r="H964" t="s">
        <v>3593</v>
      </c>
      <c r="I964" t="s">
        <v>1553</v>
      </c>
      <c r="J964" t="s">
        <v>1554</v>
      </c>
      <c r="K964" t="s">
        <v>3594</v>
      </c>
      <c r="L964" t="s">
        <v>19</v>
      </c>
      <c r="M964" t="s">
        <v>18</v>
      </c>
      <c r="N964">
        <v>2408</v>
      </c>
      <c r="O964">
        <v>130</v>
      </c>
      <c r="P964">
        <v>0</v>
      </c>
      <c r="Q964" t="s">
        <v>3771</v>
      </c>
      <c r="R964" t="s">
        <v>3772</v>
      </c>
      <c r="S964" t="s">
        <v>3773</v>
      </c>
      <c r="T964" t="s">
        <v>3774</v>
      </c>
      <c r="U964" t="s">
        <v>60</v>
      </c>
      <c r="V964" t="s">
        <v>61</v>
      </c>
      <c r="W964">
        <v>10</v>
      </c>
      <c r="X964">
        <v>0.13</v>
      </c>
      <c r="Y964" t="s">
        <v>177</v>
      </c>
      <c r="Z964" t="s">
        <v>288</v>
      </c>
      <c r="AA964">
        <v>1</v>
      </c>
      <c r="AB964" t="s">
        <v>3598</v>
      </c>
      <c r="AC964" t="s">
        <v>3599</v>
      </c>
      <c r="AD964" t="s">
        <v>3600</v>
      </c>
      <c r="AE964" t="s">
        <v>3601</v>
      </c>
      <c r="AF964" t="s">
        <v>3602</v>
      </c>
      <c r="AG964" t="s">
        <v>66</v>
      </c>
      <c r="AH964" t="s">
        <v>66</v>
      </c>
      <c r="AI964" t="s">
        <v>66</v>
      </c>
      <c r="AJ964" t="s">
        <v>66</v>
      </c>
      <c r="AK964">
        <v>1</v>
      </c>
      <c r="AL964" t="s">
        <v>3698</v>
      </c>
      <c r="AM964" t="s">
        <v>3699</v>
      </c>
      <c r="AN964" t="s">
        <v>66</v>
      </c>
      <c r="AO964" t="s">
        <v>66</v>
      </c>
      <c r="AP964">
        <v>1</v>
      </c>
      <c r="AQ964" t="s">
        <v>66</v>
      </c>
      <c r="AR964" t="s">
        <v>66</v>
      </c>
      <c r="AS964" t="s">
        <v>66</v>
      </c>
      <c r="AT964" t="s">
        <v>66</v>
      </c>
    </row>
    <row r="965" spans="1:46" x14ac:dyDescent="0.15">
      <c r="A965" t="s">
        <v>3775</v>
      </c>
      <c r="B965" t="s">
        <v>3589</v>
      </c>
      <c r="C965" t="s">
        <v>3590</v>
      </c>
      <c r="D965">
        <v>36</v>
      </c>
      <c r="E965" t="s">
        <v>3591</v>
      </c>
      <c r="F965" t="s">
        <v>3592</v>
      </c>
      <c r="G965" t="s">
        <v>51</v>
      </c>
      <c r="H965" t="s">
        <v>3593</v>
      </c>
      <c r="I965" t="s">
        <v>1553</v>
      </c>
      <c r="J965" t="s">
        <v>1554</v>
      </c>
      <c r="K965" t="s">
        <v>3594</v>
      </c>
      <c r="L965" t="s">
        <v>19</v>
      </c>
      <c r="M965" t="s">
        <v>18</v>
      </c>
      <c r="N965">
        <v>2464</v>
      </c>
      <c r="O965">
        <v>133</v>
      </c>
      <c r="P965">
        <v>0</v>
      </c>
      <c r="Q965" t="s">
        <v>3776</v>
      </c>
      <c r="R965" t="s">
        <v>3777</v>
      </c>
      <c r="S965" t="s">
        <v>3778</v>
      </c>
      <c r="T965" t="s">
        <v>3779</v>
      </c>
      <c r="U965" t="s">
        <v>60</v>
      </c>
      <c r="V965" t="s">
        <v>61</v>
      </c>
      <c r="W965">
        <v>10</v>
      </c>
      <c r="X965">
        <v>0.13</v>
      </c>
      <c r="Y965" t="s">
        <v>294</v>
      </c>
      <c r="Z965" t="s">
        <v>295</v>
      </c>
      <c r="AA965">
        <v>1</v>
      </c>
      <c r="AB965" t="s">
        <v>3598</v>
      </c>
      <c r="AC965" t="s">
        <v>3599</v>
      </c>
      <c r="AD965" t="s">
        <v>3600</v>
      </c>
      <c r="AE965" t="s">
        <v>3601</v>
      </c>
      <c r="AF965" t="s">
        <v>3602</v>
      </c>
      <c r="AG965" t="s">
        <v>66</v>
      </c>
      <c r="AH965" t="s">
        <v>66</v>
      </c>
      <c r="AI965" t="s">
        <v>66</v>
      </c>
      <c r="AJ965" t="s">
        <v>66</v>
      </c>
      <c r="AK965">
        <v>1</v>
      </c>
      <c r="AL965" t="s">
        <v>3698</v>
      </c>
      <c r="AM965" t="s">
        <v>3699</v>
      </c>
      <c r="AN965" t="s">
        <v>66</v>
      </c>
      <c r="AO965" t="s">
        <v>66</v>
      </c>
      <c r="AP965">
        <v>1</v>
      </c>
      <c r="AQ965" t="s">
        <v>66</v>
      </c>
      <c r="AR965" t="s">
        <v>66</v>
      </c>
      <c r="AS965" t="s">
        <v>66</v>
      </c>
      <c r="AT965" t="s">
        <v>66</v>
      </c>
    </row>
    <row r="966" spans="1:46" x14ac:dyDescent="0.15">
      <c r="A966" t="s">
        <v>3780</v>
      </c>
      <c r="B966" t="s">
        <v>3589</v>
      </c>
      <c r="C966" t="s">
        <v>3590</v>
      </c>
      <c r="D966">
        <v>37</v>
      </c>
      <c r="E966" t="s">
        <v>3591</v>
      </c>
      <c r="F966" t="s">
        <v>3592</v>
      </c>
      <c r="G966" t="s">
        <v>51</v>
      </c>
      <c r="H966" t="s">
        <v>3593</v>
      </c>
      <c r="I966" t="s">
        <v>1553</v>
      </c>
      <c r="J966" t="s">
        <v>1554</v>
      </c>
      <c r="K966" t="s">
        <v>3594</v>
      </c>
      <c r="L966" t="s">
        <v>19</v>
      </c>
      <c r="M966" t="s">
        <v>18</v>
      </c>
      <c r="N966">
        <v>2520</v>
      </c>
      <c r="O966">
        <v>136</v>
      </c>
      <c r="P966">
        <v>0</v>
      </c>
      <c r="Q966" t="s">
        <v>3781</v>
      </c>
      <c r="R966" t="s">
        <v>3782</v>
      </c>
      <c r="S966" t="s">
        <v>3783</v>
      </c>
      <c r="T966" t="s">
        <v>3784</v>
      </c>
      <c r="U966" t="s">
        <v>60</v>
      </c>
      <c r="V966" t="s">
        <v>61</v>
      </c>
      <c r="W966">
        <v>10</v>
      </c>
      <c r="X966">
        <v>0.13</v>
      </c>
      <c r="Y966" t="s">
        <v>183</v>
      </c>
      <c r="Z966" t="s">
        <v>301</v>
      </c>
      <c r="AA966">
        <v>1</v>
      </c>
      <c r="AB966" t="s">
        <v>3598</v>
      </c>
      <c r="AC966" t="s">
        <v>3599</v>
      </c>
      <c r="AD966" t="s">
        <v>3600</v>
      </c>
      <c r="AE966" t="s">
        <v>3601</v>
      </c>
      <c r="AF966" t="s">
        <v>3602</v>
      </c>
      <c r="AG966" t="s">
        <v>66</v>
      </c>
      <c r="AH966" t="s">
        <v>66</v>
      </c>
      <c r="AI966" t="s">
        <v>66</v>
      </c>
      <c r="AJ966" t="s">
        <v>66</v>
      </c>
      <c r="AK966">
        <v>1</v>
      </c>
      <c r="AL966" t="s">
        <v>3698</v>
      </c>
      <c r="AM966" t="s">
        <v>3699</v>
      </c>
      <c r="AN966" t="s">
        <v>66</v>
      </c>
      <c r="AO966" t="s">
        <v>66</v>
      </c>
      <c r="AP966">
        <v>1</v>
      </c>
      <c r="AQ966" t="s">
        <v>66</v>
      </c>
      <c r="AR966" t="s">
        <v>66</v>
      </c>
      <c r="AS966" t="s">
        <v>66</v>
      </c>
      <c r="AT966" t="s">
        <v>66</v>
      </c>
    </row>
    <row r="967" spans="1:46" x14ac:dyDescent="0.15">
      <c r="A967" t="s">
        <v>3785</v>
      </c>
      <c r="B967" t="s">
        <v>3589</v>
      </c>
      <c r="C967" t="s">
        <v>3590</v>
      </c>
      <c r="D967">
        <v>38</v>
      </c>
      <c r="E967" t="s">
        <v>3591</v>
      </c>
      <c r="F967" t="s">
        <v>3592</v>
      </c>
      <c r="G967" t="s">
        <v>51</v>
      </c>
      <c r="H967" t="s">
        <v>3593</v>
      </c>
      <c r="I967" t="s">
        <v>1553</v>
      </c>
      <c r="J967" t="s">
        <v>1554</v>
      </c>
      <c r="K967" t="s">
        <v>3594</v>
      </c>
      <c r="L967" t="s">
        <v>19</v>
      </c>
      <c r="M967" t="s">
        <v>18</v>
      </c>
      <c r="N967">
        <v>2577</v>
      </c>
      <c r="O967">
        <v>139</v>
      </c>
      <c r="P967">
        <v>0</v>
      </c>
      <c r="Q967" t="s">
        <v>3786</v>
      </c>
      <c r="R967" t="s">
        <v>3787</v>
      </c>
      <c r="S967" t="s">
        <v>3788</v>
      </c>
      <c r="T967" t="s">
        <v>3789</v>
      </c>
      <c r="U967" t="s">
        <v>60</v>
      </c>
      <c r="V967" t="s">
        <v>61</v>
      </c>
      <c r="W967">
        <v>10</v>
      </c>
      <c r="X967">
        <v>0.13</v>
      </c>
      <c r="Y967" t="s">
        <v>307</v>
      </c>
      <c r="Z967" t="s">
        <v>308</v>
      </c>
      <c r="AA967">
        <v>1</v>
      </c>
      <c r="AB967" t="s">
        <v>3598</v>
      </c>
      <c r="AC967" t="s">
        <v>3599</v>
      </c>
      <c r="AD967" t="s">
        <v>3600</v>
      </c>
      <c r="AE967" t="s">
        <v>3601</v>
      </c>
      <c r="AF967" t="s">
        <v>3602</v>
      </c>
      <c r="AG967" t="s">
        <v>66</v>
      </c>
      <c r="AH967" t="s">
        <v>66</v>
      </c>
      <c r="AI967" t="s">
        <v>66</v>
      </c>
      <c r="AJ967" t="s">
        <v>66</v>
      </c>
      <c r="AK967">
        <v>1</v>
      </c>
      <c r="AL967" t="s">
        <v>3698</v>
      </c>
      <c r="AM967" t="s">
        <v>3699</v>
      </c>
      <c r="AN967" t="s">
        <v>66</v>
      </c>
      <c r="AO967" t="s">
        <v>66</v>
      </c>
      <c r="AP967">
        <v>1</v>
      </c>
      <c r="AQ967" t="s">
        <v>66</v>
      </c>
      <c r="AR967" t="s">
        <v>66</v>
      </c>
      <c r="AS967" t="s">
        <v>66</v>
      </c>
      <c r="AT967" t="s">
        <v>66</v>
      </c>
    </row>
    <row r="968" spans="1:46" x14ac:dyDescent="0.15">
      <c r="A968" t="s">
        <v>3790</v>
      </c>
      <c r="B968" t="s">
        <v>3589</v>
      </c>
      <c r="C968" t="s">
        <v>3590</v>
      </c>
      <c r="D968">
        <v>39</v>
      </c>
      <c r="E968" t="s">
        <v>3591</v>
      </c>
      <c r="F968" t="s">
        <v>3592</v>
      </c>
      <c r="G968" t="s">
        <v>51</v>
      </c>
      <c r="H968" t="s">
        <v>3593</v>
      </c>
      <c r="I968" t="s">
        <v>1553</v>
      </c>
      <c r="J968" t="s">
        <v>1554</v>
      </c>
      <c r="K968" t="s">
        <v>3594</v>
      </c>
      <c r="L968" t="s">
        <v>19</v>
      </c>
      <c r="M968" t="s">
        <v>18</v>
      </c>
      <c r="N968">
        <v>2633</v>
      </c>
      <c r="O968">
        <v>141</v>
      </c>
      <c r="P968">
        <v>0</v>
      </c>
      <c r="Q968" t="s">
        <v>3791</v>
      </c>
      <c r="R968" t="s">
        <v>3792</v>
      </c>
      <c r="S968" t="s">
        <v>3793</v>
      </c>
      <c r="T968" t="s">
        <v>3794</v>
      </c>
      <c r="U968" t="s">
        <v>60</v>
      </c>
      <c r="V968" t="s">
        <v>61</v>
      </c>
      <c r="W968">
        <v>10</v>
      </c>
      <c r="X968">
        <v>0.13</v>
      </c>
      <c r="Y968" t="s">
        <v>190</v>
      </c>
      <c r="Z968" t="s">
        <v>314</v>
      </c>
      <c r="AA968">
        <v>1</v>
      </c>
      <c r="AB968" t="s">
        <v>3598</v>
      </c>
      <c r="AC968" t="s">
        <v>3599</v>
      </c>
      <c r="AD968" t="s">
        <v>3600</v>
      </c>
      <c r="AE968" t="s">
        <v>3601</v>
      </c>
      <c r="AF968" t="s">
        <v>3602</v>
      </c>
      <c r="AG968" t="s">
        <v>66</v>
      </c>
      <c r="AH968" t="s">
        <v>66</v>
      </c>
      <c r="AI968" t="s">
        <v>66</v>
      </c>
      <c r="AJ968" t="s">
        <v>66</v>
      </c>
      <c r="AK968">
        <v>1</v>
      </c>
      <c r="AL968" t="s">
        <v>3698</v>
      </c>
      <c r="AM968" t="s">
        <v>3699</v>
      </c>
      <c r="AN968" t="s">
        <v>66</v>
      </c>
      <c r="AO968" t="s">
        <v>66</v>
      </c>
      <c r="AP968">
        <v>1</v>
      </c>
      <c r="AQ968" t="s">
        <v>66</v>
      </c>
      <c r="AR968" t="s">
        <v>66</v>
      </c>
      <c r="AS968" t="s">
        <v>66</v>
      </c>
      <c r="AT968" t="s">
        <v>66</v>
      </c>
    </row>
    <row r="969" spans="1:46" x14ac:dyDescent="0.15">
      <c r="A969" t="s">
        <v>3795</v>
      </c>
      <c r="B969" t="s">
        <v>3589</v>
      </c>
      <c r="C969" t="s">
        <v>3590</v>
      </c>
      <c r="D969">
        <v>40</v>
      </c>
      <c r="E969" t="s">
        <v>3591</v>
      </c>
      <c r="F969" t="s">
        <v>3592</v>
      </c>
      <c r="G969" t="s">
        <v>51</v>
      </c>
      <c r="H969" t="s">
        <v>3593</v>
      </c>
      <c r="I969" t="s">
        <v>1553</v>
      </c>
      <c r="J969" t="s">
        <v>1554</v>
      </c>
      <c r="K969" t="s">
        <v>3594</v>
      </c>
      <c r="L969" t="s">
        <v>19</v>
      </c>
      <c r="M969" t="s">
        <v>18</v>
      </c>
      <c r="N969">
        <v>2689</v>
      </c>
      <c r="O969">
        <v>144</v>
      </c>
      <c r="P969">
        <v>0</v>
      </c>
      <c r="Q969" t="s">
        <v>3796</v>
      </c>
      <c r="R969" t="s">
        <v>3797</v>
      </c>
      <c r="S969" t="s">
        <v>3798</v>
      </c>
      <c r="T969" t="s">
        <v>3799</v>
      </c>
      <c r="U969" t="s">
        <v>60</v>
      </c>
      <c r="V969" t="s">
        <v>61</v>
      </c>
      <c r="W969">
        <v>10</v>
      </c>
      <c r="X969">
        <v>0.13</v>
      </c>
      <c r="Y969" t="s">
        <v>320</v>
      </c>
      <c r="Z969" t="s">
        <v>321</v>
      </c>
      <c r="AA969">
        <v>1</v>
      </c>
      <c r="AB969" t="s">
        <v>3598</v>
      </c>
      <c r="AC969" t="s">
        <v>3599</v>
      </c>
      <c r="AD969" t="s">
        <v>3600</v>
      </c>
      <c r="AE969" t="s">
        <v>3601</v>
      </c>
      <c r="AF969" t="s">
        <v>3602</v>
      </c>
      <c r="AG969" t="s">
        <v>66</v>
      </c>
      <c r="AH969" t="s">
        <v>66</v>
      </c>
      <c r="AI969" t="s">
        <v>66</v>
      </c>
      <c r="AJ969" t="s">
        <v>66</v>
      </c>
      <c r="AK969">
        <v>1</v>
      </c>
      <c r="AL969" t="s">
        <v>3698</v>
      </c>
      <c r="AM969" t="s">
        <v>3699</v>
      </c>
      <c r="AN969" t="s">
        <v>66</v>
      </c>
      <c r="AO969" t="s">
        <v>66</v>
      </c>
      <c r="AP969">
        <v>1</v>
      </c>
      <c r="AQ969" t="s">
        <v>66</v>
      </c>
      <c r="AR969" t="s">
        <v>66</v>
      </c>
      <c r="AS969" t="s">
        <v>66</v>
      </c>
      <c r="AT969" t="s">
        <v>66</v>
      </c>
    </row>
    <row r="970" spans="1:46" x14ac:dyDescent="0.15">
      <c r="A970" t="s">
        <v>3795</v>
      </c>
      <c r="B970" t="s">
        <v>3589</v>
      </c>
      <c r="C970" t="s">
        <v>3590</v>
      </c>
      <c r="D970">
        <v>40</v>
      </c>
      <c r="E970" t="s">
        <v>3591</v>
      </c>
      <c r="F970" t="s">
        <v>3592</v>
      </c>
      <c r="G970" t="s">
        <v>51</v>
      </c>
      <c r="H970" t="s">
        <v>3593</v>
      </c>
      <c r="I970" t="s">
        <v>1553</v>
      </c>
      <c r="J970" t="s">
        <v>1554</v>
      </c>
      <c r="K970" t="s">
        <v>3594</v>
      </c>
      <c r="L970" t="s">
        <v>19</v>
      </c>
      <c r="M970" t="s">
        <v>18</v>
      </c>
      <c r="N970">
        <v>2689</v>
      </c>
      <c r="O970">
        <v>144</v>
      </c>
      <c r="P970">
        <v>0</v>
      </c>
      <c r="Q970" t="s">
        <v>3796</v>
      </c>
      <c r="R970" t="s">
        <v>3797</v>
      </c>
      <c r="S970" t="s">
        <v>3798</v>
      </c>
      <c r="T970" t="s">
        <v>3799</v>
      </c>
      <c r="U970" t="s">
        <v>60</v>
      </c>
      <c r="V970" t="s">
        <v>61</v>
      </c>
      <c r="W970">
        <v>10</v>
      </c>
      <c r="X970">
        <v>0.13</v>
      </c>
      <c r="Y970" t="s">
        <v>320</v>
      </c>
      <c r="Z970" t="s">
        <v>321</v>
      </c>
      <c r="AA970">
        <v>2</v>
      </c>
      <c r="AB970" t="s">
        <v>3598</v>
      </c>
      <c r="AC970" t="s">
        <v>3599</v>
      </c>
      <c r="AD970" t="s">
        <v>3600</v>
      </c>
      <c r="AE970" t="s">
        <v>3601</v>
      </c>
      <c r="AF970" t="s">
        <v>3602</v>
      </c>
      <c r="AG970" t="s">
        <v>66</v>
      </c>
      <c r="AH970" t="s">
        <v>66</v>
      </c>
      <c r="AI970" t="s">
        <v>66</v>
      </c>
      <c r="AJ970" t="s">
        <v>66</v>
      </c>
      <c r="AK970">
        <v>1</v>
      </c>
      <c r="AL970" t="s">
        <v>3800</v>
      </c>
      <c r="AM970" t="s">
        <v>3699</v>
      </c>
      <c r="AN970" t="s">
        <v>3801</v>
      </c>
      <c r="AO970" t="s">
        <v>66</v>
      </c>
      <c r="AP970">
        <v>1</v>
      </c>
      <c r="AQ970" t="s">
        <v>66</v>
      </c>
      <c r="AR970" t="s">
        <v>66</v>
      </c>
      <c r="AS970" t="s">
        <v>66</v>
      </c>
      <c r="AT970" t="s">
        <v>66</v>
      </c>
    </row>
    <row r="971" spans="1:46" x14ac:dyDescent="0.15">
      <c r="A971" t="s">
        <v>3802</v>
      </c>
      <c r="B971" t="s">
        <v>3589</v>
      </c>
      <c r="C971" t="s">
        <v>3590</v>
      </c>
      <c r="D971">
        <v>41</v>
      </c>
      <c r="E971" t="s">
        <v>3591</v>
      </c>
      <c r="F971" t="s">
        <v>3592</v>
      </c>
      <c r="G971" t="s">
        <v>51</v>
      </c>
      <c r="H971" t="s">
        <v>3593</v>
      </c>
      <c r="I971" t="s">
        <v>1553</v>
      </c>
      <c r="J971" t="s">
        <v>1554</v>
      </c>
      <c r="K971" t="s">
        <v>3594</v>
      </c>
      <c r="L971" t="s">
        <v>19</v>
      </c>
      <c r="M971" t="s">
        <v>18</v>
      </c>
      <c r="N971">
        <v>2745</v>
      </c>
      <c r="O971">
        <v>147</v>
      </c>
      <c r="P971">
        <v>0</v>
      </c>
      <c r="Q971" t="s">
        <v>3803</v>
      </c>
      <c r="R971" t="s">
        <v>3804</v>
      </c>
      <c r="S971" t="s">
        <v>3805</v>
      </c>
      <c r="T971" t="s">
        <v>3806</v>
      </c>
      <c r="U971" t="s">
        <v>60</v>
      </c>
      <c r="V971" t="s">
        <v>61</v>
      </c>
      <c r="W971">
        <v>10</v>
      </c>
      <c r="X971">
        <v>0.13</v>
      </c>
      <c r="Y971" t="s">
        <v>197</v>
      </c>
      <c r="Z971" t="s">
        <v>330</v>
      </c>
      <c r="AA971">
        <v>2</v>
      </c>
      <c r="AB971" t="s">
        <v>3598</v>
      </c>
      <c r="AC971" t="s">
        <v>3599</v>
      </c>
      <c r="AD971" t="s">
        <v>3600</v>
      </c>
      <c r="AE971" t="s">
        <v>3601</v>
      </c>
      <c r="AF971" t="s">
        <v>3602</v>
      </c>
      <c r="AG971" t="s">
        <v>66</v>
      </c>
      <c r="AH971" t="s">
        <v>66</v>
      </c>
      <c r="AI971" t="s">
        <v>66</v>
      </c>
      <c r="AJ971" t="s">
        <v>66</v>
      </c>
      <c r="AK971">
        <v>1</v>
      </c>
      <c r="AL971" t="s">
        <v>3800</v>
      </c>
      <c r="AM971" t="s">
        <v>3699</v>
      </c>
      <c r="AN971" t="s">
        <v>3801</v>
      </c>
      <c r="AO971" t="s">
        <v>66</v>
      </c>
      <c r="AP971">
        <v>1</v>
      </c>
      <c r="AQ971" t="s">
        <v>66</v>
      </c>
      <c r="AR971" t="s">
        <v>66</v>
      </c>
      <c r="AS971" t="s">
        <v>66</v>
      </c>
      <c r="AT971" t="s">
        <v>66</v>
      </c>
    </row>
    <row r="972" spans="1:46" x14ac:dyDescent="0.15">
      <c r="A972" t="s">
        <v>3807</v>
      </c>
      <c r="B972" t="s">
        <v>3589</v>
      </c>
      <c r="C972" t="s">
        <v>3590</v>
      </c>
      <c r="D972">
        <v>42</v>
      </c>
      <c r="E972" t="s">
        <v>3591</v>
      </c>
      <c r="F972" t="s">
        <v>3592</v>
      </c>
      <c r="G972" t="s">
        <v>51</v>
      </c>
      <c r="H972" t="s">
        <v>3593</v>
      </c>
      <c r="I972" t="s">
        <v>1553</v>
      </c>
      <c r="J972" t="s">
        <v>1554</v>
      </c>
      <c r="K972" t="s">
        <v>3594</v>
      </c>
      <c r="L972" t="s">
        <v>19</v>
      </c>
      <c r="M972" t="s">
        <v>18</v>
      </c>
      <c r="N972">
        <v>2801</v>
      </c>
      <c r="O972">
        <v>150</v>
      </c>
      <c r="P972">
        <v>0</v>
      </c>
      <c r="Q972" t="s">
        <v>3808</v>
      </c>
      <c r="R972" t="s">
        <v>3809</v>
      </c>
      <c r="S972" t="s">
        <v>3810</v>
      </c>
      <c r="T972" t="s">
        <v>3811</v>
      </c>
      <c r="U972" t="s">
        <v>60</v>
      </c>
      <c r="V972" t="s">
        <v>61</v>
      </c>
      <c r="W972">
        <v>10</v>
      </c>
      <c r="X972">
        <v>0.13</v>
      </c>
      <c r="Y972" t="s">
        <v>336</v>
      </c>
      <c r="Z972" t="s">
        <v>337</v>
      </c>
      <c r="AA972">
        <v>2</v>
      </c>
      <c r="AB972" t="s">
        <v>3598</v>
      </c>
      <c r="AC972" t="s">
        <v>3599</v>
      </c>
      <c r="AD972" t="s">
        <v>3600</v>
      </c>
      <c r="AE972" t="s">
        <v>3601</v>
      </c>
      <c r="AF972" t="s">
        <v>3602</v>
      </c>
      <c r="AG972" t="s">
        <v>66</v>
      </c>
      <c r="AH972" t="s">
        <v>66</v>
      </c>
      <c r="AI972" t="s">
        <v>66</v>
      </c>
      <c r="AJ972" t="s">
        <v>66</v>
      </c>
      <c r="AK972">
        <v>1</v>
      </c>
      <c r="AL972" t="s">
        <v>3800</v>
      </c>
      <c r="AM972" t="s">
        <v>3699</v>
      </c>
      <c r="AN972" t="s">
        <v>3801</v>
      </c>
      <c r="AO972" t="s">
        <v>66</v>
      </c>
      <c r="AP972">
        <v>1</v>
      </c>
      <c r="AQ972" t="s">
        <v>66</v>
      </c>
      <c r="AR972" t="s">
        <v>66</v>
      </c>
      <c r="AS972" t="s">
        <v>66</v>
      </c>
      <c r="AT972" t="s">
        <v>66</v>
      </c>
    </row>
    <row r="973" spans="1:46" x14ac:dyDescent="0.15">
      <c r="A973" t="s">
        <v>3812</v>
      </c>
      <c r="B973" t="s">
        <v>3589</v>
      </c>
      <c r="C973" t="s">
        <v>3590</v>
      </c>
      <c r="D973">
        <v>43</v>
      </c>
      <c r="E973" t="s">
        <v>3591</v>
      </c>
      <c r="F973" t="s">
        <v>3592</v>
      </c>
      <c r="G973" t="s">
        <v>51</v>
      </c>
      <c r="H973" t="s">
        <v>3593</v>
      </c>
      <c r="I973" t="s">
        <v>1553</v>
      </c>
      <c r="J973" t="s">
        <v>1554</v>
      </c>
      <c r="K973" t="s">
        <v>3594</v>
      </c>
      <c r="L973" t="s">
        <v>19</v>
      </c>
      <c r="M973" t="s">
        <v>18</v>
      </c>
      <c r="N973">
        <v>2857</v>
      </c>
      <c r="O973">
        <v>153</v>
      </c>
      <c r="P973">
        <v>0</v>
      </c>
      <c r="Q973" t="s">
        <v>3813</v>
      </c>
      <c r="R973" t="s">
        <v>3814</v>
      </c>
      <c r="S973" t="s">
        <v>3815</v>
      </c>
      <c r="T973" t="s">
        <v>3816</v>
      </c>
      <c r="U973" t="s">
        <v>60</v>
      </c>
      <c r="V973" t="s">
        <v>61</v>
      </c>
      <c r="W973">
        <v>10</v>
      </c>
      <c r="X973">
        <v>0.13</v>
      </c>
      <c r="Y973" t="s">
        <v>204</v>
      </c>
      <c r="Z973" t="s">
        <v>343</v>
      </c>
      <c r="AA973">
        <v>2</v>
      </c>
      <c r="AB973" t="s">
        <v>3598</v>
      </c>
      <c r="AC973" t="s">
        <v>3599</v>
      </c>
      <c r="AD973" t="s">
        <v>3600</v>
      </c>
      <c r="AE973" t="s">
        <v>3601</v>
      </c>
      <c r="AF973" t="s">
        <v>3602</v>
      </c>
      <c r="AG973" t="s">
        <v>66</v>
      </c>
      <c r="AH973" t="s">
        <v>66</v>
      </c>
      <c r="AI973" t="s">
        <v>66</v>
      </c>
      <c r="AJ973" t="s">
        <v>66</v>
      </c>
      <c r="AK973">
        <v>1</v>
      </c>
      <c r="AL973" t="s">
        <v>3800</v>
      </c>
      <c r="AM973" t="s">
        <v>3699</v>
      </c>
      <c r="AN973" t="s">
        <v>3801</v>
      </c>
      <c r="AO973" t="s">
        <v>66</v>
      </c>
      <c r="AP973">
        <v>1</v>
      </c>
      <c r="AQ973" t="s">
        <v>66</v>
      </c>
      <c r="AR973" t="s">
        <v>66</v>
      </c>
      <c r="AS973" t="s">
        <v>66</v>
      </c>
      <c r="AT973" t="s">
        <v>66</v>
      </c>
    </row>
    <row r="974" spans="1:46" x14ac:dyDescent="0.15">
      <c r="A974" t="s">
        <v>3817</v>
      </c>
      <c r="B974" t="s">
        <v>3589</v>
      </c>
      <c r="C974" t="s">
        <v>3590</v>
      </c>
      <c r="D974">
        <v>44</v>
      </c>
      <c r="E974" t="s">
        <v>3591</v>
      </c>
      <c r="F974" t="s">
        <v>3592</v>
      </c>
      <c r="G974" t="s">
        <v>51</v>
      </c>
      <c r="H974" t="s">
        <v>3593</v>
      </c>
      <c r="I974" t="s">
        <v>1553</v>
      </c>
      <c r="J974" t="s">
        <v>1554</v>
      </c>
      <c r="K974" t="s">
        <v>3594</v>
      </c>
      <c r="L974" t="s">
        <v>19</v>
      </c>
      <c r="M974" t="s">
        <v>18</v>
      </c>
      <c r="N974">
        <v>2913</v>
      </c>
      <c r="O974">
        <v>156</v>
      </c>
      <c r="P974">
        <v>0</v>
      </c>
      <c r="Q974" t="s">
        <v>3818</v>
      </c>
      <c r="R974" t="s">
        <v>3819</v>
      </c>
      <c r="S974" t="s">
        <v>3820</v>
      </c>
      <c r="T974" t="s">
        <v>3821</v>
      </c>
      <c r="U974" t="s">
        <v>60</v>
      </c>
      <c r="V974" t="s">
        <v>61</v>
      </c>
      <c r="W974">
        <v>10</v>
      </c>
      <c r="X974">
        <v>0.13</v>
      </c>
      <c r="Y974" t="s">
        <v>349</v>
      </c>
      <c r="Z974" t="s">
        <v>350</v>
      </c>
      <c r="AA974">
        <v>2</v>
      </c>
      <c r="AB974" t="s">
        <v>3598</v>
      </c>
      <c r="AC974" t="s">
        <v>3599</v>
      </c>
      <c r="AD974" t="s">
        <v>3600</v>
      </c>
      <c r="AE974" t="s">
        <v>3601</v>
      </c>
      <c r="AF974" t="s">
        <v>3602</v>
      </c>
      <c r="AG974" t="s">
        <v>66</v>
      </c>
      <c r="AH974" t="s">
        <v>66</v>
      </c>
      <c r="AI974" t="s">
        <v>66</v>
      </c>
      <c r="AJ974" t="s">
        <v>66</v>
      </c>
      <c r="AK974">
        <v>1</v>
      </c>
      <c r="AL974" t="s">
        <v>3800</v>
      </c>
      <c r="AM974" t="s">
        <v>3699</v>
      </c>
      <c r="AN974" t="s">
        <v>3801</v>
      </c>
      <c r="AO974" t="s">
        <v>66</v>
      </c>
      <c r="AP974">
        <v>1</v>
      </c>
      <c r="AQ974" t="s">
        <v>66</v>
      </c>
      <c r="AR974" t="s">
        <v>66</v>
      </c>
      <c r="AS974" t="s">
        <v>66</v>
      </c>
      <c r="AT974" t="s">
        <v>66</v>
      </c>
    </row>
    <row r="975" spans="1:46" x14ac:dyDescent="0.15">
      <c r="A975" t="s">
        <v>3822</v>
      </c>
      <c r="B975" t="s">
        <v>3589</v>
      </c>
      <c r="C975" t="s">
        <v>3590</v>
      </c>
      <c r="D975">
        <v>45</v>
      </c>
      <c r="E975" t="s">
        <v>3591</v>
      </c>
      <c r="F975" t="s">
        <v>3592</v>
      </c>
      <c r="G975" t="s">
        <v>51</v>
      </c>
      <c r="H975" t="s">
        <v>3593</v>
      </c>
      <c r="I975" t="s">
        <v>1553</v>
      </c>
      <c r="J975" t="s">
        <v>1554</v>
      </c>
      <c r="K975" t="s">
        <v>3594</v>
      </c>
      <c r="L975" t="s">
        <v>19</v>
      </c>
      <c r="M975" t="s">
        <v>18</v>
      </c>
      <c r="N975">
        <v>2969</v>
      </c>
      <c r="O975">
        <v>159</v>
      </c>
      <c r="P975">
        <v>0</v>
      </c>
      <c r="Q975" t="s">
        <v>3823</v>
      </c>
      <c r="R975" t="s">
        <v>3824</v>
      </c>
      <c r="S975" t="s">
        <v>3825</v>
      </c>
      <c r="T975" t="s">
        <v>3826</v>
      </c>
      <c r="U975" t="s">
        <v>60</v>
      </c>
      <c r="V975" t="s">
        <v>61</v>
      </c>
      <c r="W975">
        <v>10</v>
      </c>
      <c r="X975">
        <v>0.13</v>
      </c>
      <c r="Y975" t="s">
        <v>210</v>
      </c>
      <c r="Z975" t="s">
        <v>356</v>
      </c>
      <c r="AA975">
        <v>2</v>
      </c>
      <c r="AB975" t="s">
        <v>3598</v>
      </c>
      <c r="AC975" t="s">
        <v>3599</v>
      </c>
      <c r="AD975" t="s">
        <v>3600</v>
      </c>
      <c r="AE975" t="s">
        <v>3601</v>
      </c>
      <c r="AF975" t="s">
        <v>3602</v>
      </c>
      <c r="AG975" t="s">
        <v>66</v>
      </c>
      <c r="AH975" t="s">
        <v>66</v>
      </c>
      <c r="AI975" t="s">
        <v>66</v>
      </c>
      <c r="AJ975" t="s">
        <v>66</v>
      </c>
      <c r="AK975">
        <v>1</v>
      </c>
      <c r="AL975" t="s">
        <v>3800</v>
      </c>
      <c r="AM975" t="s">
        <v>3699</v>
      </c>
      <c r="AN975" t="s">
        <v>3801</v>
      </c>
      <c r="AO975" t="s">
        <v>66</v>
      </c>
      <c r="AP975">
        <v>1</v>
      </c>
      <c r="AQ975" t="s">
        <v>66</v>
      </c>
      <c r="AR975" t="s">
        <v>66</v>
      </c>
      <c r="AS975" t="s">
        <v>66</v>
      </c>
      <c r="AT975" t="s">
        <v>66</v>
      </c>
    </row>
    <row r="976" spans="1:46" x14ac:dyDescent="0.15">
      <c r="A976" t="s">
        <v>3827</v>
      </c>
      <c r="B976" t="s">
        <v>3589</v>
      </c>
      <c r="C976" t="s">
        <v>3590</v>
      </c>
      <c r="D976">
        <v>46</v>
      </c>
      <c r="E976" t="s">
        <v>3591</v>
      </c>
      <c r="F976" t="s">
        <v>3592</v>
      </c>
      <c r="G976" t="s">
        <v>51</v>
      </c>
      <c r="H976" t="s">
        <v>3593</v>
      </c>
      <c r="I976" t="s">
        <v>1553</v>
      </c>
      <c r="J976" t="s">
        <v>1554</v>
      </c>
      <c r="K976" t="s">
        <v>3594</v>
      </c>
      <c r="L976" t="s">
        <v>19</v>
      </c>
      <c r="M976" t="s">
        <v>18</v>
      </c>
      <c r="N976">
        <v>3026</v>
      </c>
      <c r="O976">
        <v>162</v>
      </c>
      <c r="P976">
        <v>0</v>
      </c>
      <c r="Q976" t="s">
        <v>3828</v>
      </c>
      <c r="R976" t="s">
        <v>3829</v>
      </c>
      <c r="S976" t="s">
        <v>3830</v>
      </c>
      <c r="T976" t="s">
        <v>3831</v>
      </c>
      <c r="U976" t="s">
        <v>60</v>
      </c>
      <c r="V976" t="s">
        <v>61</v>
      </c>
      <c r="W976">
        <v>10</v>
      </c>
      <c r="X976">
        <v>0.13</v>
      </c>
      <c r="Y976" t="s">
        <v>362</v>
      </c>
      <c r="Z976" t="s">
        <v>363</v>
      </c>
      <c r="AA976">
        <v>2</v>
      </c>
      <c r="AB976" t="s">
        <v>3598</v>
      </c>
      <c r="AC976" t="s">
        <v>3599</v>
      </c>
      <c r="AD976" t="s">
        <v>3600</v>
      </c>
      <c r="AE976" t="s">
        <v>3601</v>
      </c>
      <c r="AF976" t="s">
        <v>3602</v>
      </c>
      <c r="AG976" t="s">
        <v>66</v>
      </c>
      <c r="AH976" t="s">
        <v>66</v>
      </c>
      <c r="AI976" t="s">
        <v>66</v>
      </c>
      <c r="AJ976" t="s">
        <v>66</v>
      </c>
      <c r="AK976">
        <v>1</v>
      </c>
      <c r="AL976" t="s">
        <v>3800</v>
      </c>
      <c r="AM976" t="s">
        <v>3699</v>
      </c>
      <c r="AN976" t="s">
        <v>3801</v>
      </c>
      <c r="AO976" t="s">
        <v>66</v>
      </c>
      <c r="AP976">
        <v>1</v>
      </c>
      <c r="AQ976" t="s">
        <v>66</v>
      </c>
      <c r="AR976" t="s">
        <v>66</v>
      </c>
      <c r="AS976" t="s">
        <v>66</v>
      </c>
      <c r="AT976" t="s">
        <v>66</v>
      </c>
    </row>
    <row r="977" spans="1:46" x14ac:dyDescent="0.15">
      <c r="A977" t="s">
        <v>3832</v>
      </c>
      <c r="B977" t="s">
        <v>3589</v>
      </c>
      <c r="C977" t="s">
        <v>3590</v>
      </c>
      <c r="D977">
        <v>47</v>
      </c>
      <c r="E977" t="s">
        <v>3591</v>
      </c>
      <c r="F977" t="s">
        <v>3592</v>
      </c>
      <c r="G977" t="s">
        <v>51</v>
      </c>
      <c r="H977" t="s">
        <v>3593</v>
      </c>
      <c r="I977" t="s">
        <v>1553</v>
      </c>
      <c r="J977" t="s">
        <v>1554</v>
      </c>
      <c r="K977" t="s">
        <v>3594</v>
      </c>
      <c r="L977" t="s">
        <v>19</v>
      </c>
      <c r="M977" t="s">
        <v>18</v>
      </c>
      <c r="N977">
        <v>3082</v>
      </c>
      <c r="O977">
        <v>165</v>
      </c>
      <c r="P977">
        <v>0</v>
      </c>
      <c r="Q977" t="s">
        <v>3833</v>
      </c>
      <c r="R977" t="s">
        <v>3834</v>
      </c>
      <c r="S977" t="s">
        <v>3835</v>
      </c>
      <c r="T977" t="s">
        <v>3836</v>
      </c>
      <c r="U977" t="s">
        <v>60</v>
      </c>
      <c r="V977" t="s">
        <v>61</v>
      </c>
      <c r="W977">
        <v>10</v>
      </c>
      <c r="X977">
        <v>0.13</v>
      </c>
      <c r="Y977" t="s">
        <v>217</v>
      </c>
      <c r="Z977" t="s">
        <v>369</v>
      </c>
      <c r="AA977">
        <v>2</v>
      </c>
      <c r="AB977" t="s">
        <v>3598</v>
      </c>
      <c r="AC977" t="s">
        <v>3599</v>
      </c>
      <c r="AD977" t="s">
        <v>3600</v>
      </c>
      <c r="AE977" t="s">
        <v>3601</v>
      </c>
      <c r="AF977" t="s">
        <v>3602</v>
      </c>
      <c r="AG977" t="s">
        <v>66</v>
      </c>
      <c r="AH977" t="s">
        <v>66</v>
      </c>
      <c r="AI977" t="s">
        <v>66</v>
      </c>
      <c r="AJ977" t="s">
        <v>66</v>
      </c>
      <c r="AK977">
        <v>1</v>
      </c>
      <c r="AL977" t="s">
        <v>3800</v>
      </c>
      <c r="AM977" t="s">
        <v>3699</v>
      </c>
      <c r="AN977" t="s">
        <v>3801</v>
      </c>
      <c r="AO977" t="s">
        <v>66</v>
      </c>
      <c r="AP977">
        <v>1</v>
      </c>
      <c r="AQ977" t="s">
        <v>66</v>
      </c>
      <c r="AR977" t="s">
        <v>66</v>
      </c>
      <c r="AS977" t="s">
        <v>66</v>
      </c>
      <c r="AT977" t="s">
        <v>66</v>
      </c>
    </row>
    <row r="978" spans="1:46" x14ac:dyDescent="0.15">
      <c r="A978" t="s">
        <v>3837</v>
      </c>
      <c r="B978" t="s">
        <v>3589</v>
      </c>
      <c r="C978" t="s">
        <v>3590</v>
      </c>
      <c r="D978">
        <v>48</v>
      </c>
      <c r="E978" t="s">
        <v>3591</v>
      </c>
      <c r="F978" t="s">
        <v>3592</v>
      </c>
      <c r="G978" t="s">
        <v>51</v>
      </c>
      <c r="H978" t="s">
        <v>3593</v>
      </c>
      <c r="I978" t="s">
        <v>1553</v>
      </c>
      <c r="J978" t="s">
        <v>1554</v>
      </c>
      <c r="K978" t="s">
        <v>3594</v>
      </c>
      <c r="L978" t="s">
        <v>19</v>
      </c>
      <c r="M978" t="s">
        <v>18</v>
      </c>
      <c r="N978">
        <v>3138</v>
      </c>
      <c r="O978">
        <v>168</v>
      </c>
      <c r="P978">
        <v>0</v>
      </c>
      <c r="Q978" t="s">
        <v>3838</v>
      </c>
      <c r="R978" t="s">
        <v>3839</v>
      </c>
      <c r="S978" t="s">
        <v>3840</v>
      </c>
      <c r="T978" t="s">
        <v>3841</v>
      </c>
      <c r="U978" t="s">
        <v>60</v>
      </c>
      <c r="V978" t="s">
        <v>61</v>
      </c>
      <c r="W978">
        <v>10</v>
      </c>
      <c r="X978">
        <v>0.13</v>
      </c>
      <c r="Y978" t="s">
        <v>375</v>
      </c>
      <c r="Z978" t="s">
        <v>376</v>
      </c>
      <c r="AA978">
        <v>2</v>
      </c>
      <c r="AB978" t="s">
        <v>3598</v>
      </c>
      <c r="AC978" t="s">
        <v>3599</v>
      </c>
      <c r="AD978" t="s">
        <v>3600</v>
      </c>
      <c r="AE978" t="s">
        <v>3601</v>
      </c>
      <c r="AF978" t="s">
        <v>3602</v>
      </c>
      <c r="AG978" t="s">
        <v>66</v>
      </c>
      <c r="AH978" t="s">
        <v>66</v>
      </c>
      <c r="AI978" t="s">
        <v>66</v>
      </c>
      <c r="AJ978" t="s">
        <v>66</v>
      </c>
      <c r="AK978">
        <v>1</v>
      </c>
      <c r="AL978" t="s">
        <v>3800</v>
      </c>
      <c r="AM978" t="s">
        <v>3699</v>
      </c>
      <c r="AN978" t="s">
        <v>3801</v>
      </c>
      <c r="AO978" t="s">
        <v>66</v>
      </c>
      <c r="AP978">
        <v>1</v>
      </c>
      <c r="AQ978" t="s">
        <v>66</v>
      </c>
      <c r="AR978" t="s">
        <v>66</v>
      </c>
      <c r="AS978" t="s">
        <v>66</v>
      </c>
      <c r="AT978" t="s">
        <v>66</v>
      </c>
    </row>
    <row r="979" spans="1:46" x14ac:dyDescent="0.15">
      <c r="A979" t="s">
        <v>3842</v>
      </c>
      <c r="B979" t="s">
        <v>3589</v>
      </c>
      <c r="C979" t="s">
        <v>3590</v>
      </c>
      <c r="D979">
        <v>49</v>
      </c>
      <c r="E979" t="s">
        <v>3591</v>
      </c>
      <c r="F979" t="s">
        <v>3592</v>
      </c>
      <c r="G979" t="s">
        <v>51</v>
      </c>
      <c r="H979" t="s">
        <v>3593</v>
      </c>
      <c r="I979" t="s">
        <v>1553</v>
      </c>
      <c r="J979" t="s">
        <v>1554</v>
      </c>
      <c r="K979" t="s">
        <v>3594</v>
      </c>
      <c r="L979" t="s">
        <v>19</v>
      </c>
      <c r="M979" t="s">
        <v>18</v>
      </c>
      <c r="N979">
        <v>3194</v>
      </c>
      <c r="O979">
        <v>171</v>
      </c>
      <c r="P979">
        <v>0</v>
      </c>
      <c r="Q979" t="s">
        <v>3843</v>
      </c>
      <c r="R979" t="s">
        <v>3844</v>
      </c>
      <c r="S979" t="s">
        <v>3845</v>
      </c>
      <c r="T979" t="s">
        <v>3846</v>
      </c>
      <c r="U979" t="s">
        <v>60</v>
      </c>
      <c r="V979" t="s">
        <v>61</v>
      </c>
      <c r="W979">
        <v>10</v>
      </c>
      <c r="X979">
        <v>0.13</v>
      </c>
      <c r="Y979" t="s">
        <v>223</v>
      </c>
      <c r="Z979" t="s">
        <v>382</v>
      </c>
      <c r="AA979">
        <v>2</v>
      </c>
      <c r="AB979" t="s">
        <v>3598</v>
      </c>
      <c r="AC979" t="s">
        <v>3599</v>
      </c>
      <c r="AD979" t="s">
        <v>3600</v>
      </c>
      <c r="AE979" t="s">
        <v>3601</v>
      </c>
      <c r="AF979" t="s">
        <v>3602</v>
      </c>
      <c r="AG979" t="s">
        <v>66</v>
      </c>
      <c r="AH979" t="s">
        <v>66</v>
      </c>
      <c r="AI979" t="s">
        <v>66</v>
      </c>
      <c r="AJ979" t="s">
        <v>66</v>
      </c>
      <c r="AK979">
        <v>1</v>
      </c>
      <c r="AL979" t="s">
        <v>3800</v>
      </c>
      <c r="AM979" t="s">
        <v>3699</v>
      </c>
      <c r="AN979" t="s">
        <v>3801</v>
      </c>
      <c r="AO979" t="s">
        <v>66</v>
      </c>
      <c r="AP979">
        <v>1</v>
      </c>
      <c r="AQ979" t="s">
        <v>66</v>
      </c>
      <c r="AR979" t="s">
        <v>66</v>
      </c>
      <c r="AS979" t="s">
        <v>66</v>
      </c>
      <c r="AT979" t="s">
        <v>66</v>
      </c>
    </row>
    <row r="980" spans="1:46" x14ac:dyDescent="0.15">
      <c r="A980" t="s">
        <v>3847</v>
      </c>
      <c r="B980" t="s">
        <v>3589</v>
      </c>
      <c r="C980" t="s">
        <v>3590</v>
      </c>
      <c r="D980">
        <v>50</v>
      </c>
      <c r="E980" t="s">
        <v>3591</v>
      </c>
      <c r="F980" t="s">
        <v>3592</v>
      </c>
      <c r="G980" t="s">
        <v>51</v>
      </c>
      <c r="H980" t="s">
        <v>3593</v>
      </c>
      <c r="I980" t="s">
        <v>1553</v>
      </c>
      <c r="J980" t="s">
        <v>1554</v>
      </c>
      <c r="K980" t="s">
        <v>3594</v>
      </c>
      <c r="L980" t="s">
        <v>19</v>
      </c>
      <c r="M980" t="s">
        <v>18</v>
      </c>
      <c r="N980">
        <v>3250</v>
      </c>
      <c r="O980">
        <v>174</v>
      </c>
      <c r="P980">
        <v>0</v>
      </c>
      <c r="Q980" t="s">
        <v>3848</v>
      </c>
      <c r="R980" t="s">
        <v>3849</v>
      </c>
      <c r="S980" t="s">
        <v>3850</v>
      </c>
      <c r="T980" t="s">
        <v>3851</v>
      </c>
      <c r="U980" t="s">
        <v>60</v>
      </c>
      <c r="V980" t="s">
        <v>61</v>
      </c>
      <c r="W980">
        <v>10</v>
      </c>
      <c r="X980">
        <v>0.13</v>
      </c>
      <c r="Y980" t="s">
        <v>388</v>
      </c>
      <c r="Z980" t="s">
        <v>389</v>
      </c>
      <c r="AA980">
        <v>2</v>
      </c>
      <c r="AB980" t="s">
        <v>3598</v>
      </c>
      <c r="AC980" t="s">
        <v>3599</v>
      </c>
      <c r="AD980" t="s">
        <v>3600</v>
      </c>
      <c r="AE980" t="s">
        <v>3601</v>
      </c>
      <c r="AF980" t="s">
        <v>3602</v>
      </c>
      <c r="AG980" t="s">
        <v>66</v>
      </c>
      <c r="AH980" t="s">
        <v>66</v>
      </c>
      <c r="AI980" t="s">
        <v>66</v>
      </c>
      <c r="AJ980" t="s">
        <v>66</v>
      </c>
      <c r="AK980">
        <v>1</v>
      </c>
      <c r="AL980" t="s">
        <v>3800</v>
      </c>
      <c r="AM980" t="s">
        <v>3699</v>
      </c>
      <c r="AN980" t="s">
        <v>3801</v>
      </c>
      <c r="AO980" t="s">
        <v>66</v>
      </c>
      <c r="AP980">
        <v>1</v>
      </c>
      <c r="AQ980" t="s">
        <v>66</v>
      </c>
      <c r="AR980" t="s">
        <v>66</v>
      </c>
      <c r="AS980" t="s">
        <v>66</v>
      </c>
      <c r="AT980" t="s">
        <v>66</v>
      </c>
    </row>
    <row r="981" spans="1:46" x14ac:dyDescent="0.15">
      <c r="A981" t="s">
        <v>3852</v>
      </c>
      <c r="B981" t="s">
        <v>3589</v>
      </c>
      <c r="C981" t="s">
        <v>3590</v>
      </c>
      <c r="D981">
        <v>51</v>
      </c>
      <c r="E981" t="s">
        <v>3591</v>
      </c>
      <c r="F981" t="s">
        <v>3592</v>
      </c>
      <c r="G981" t="s">
        <v>51</v>
      </c>
      <c r="H981" t="s">
        <v>3593</v>
      </c>
      <c r="I981" t="s">
        <v>1553</v>
      </c>
      <c r="J981" t="s">
        <v>1554</v>
      </c>
      <c r="K981" t="s">
        <v>3594</v>
      </c>
      <c r="L981" t="s">
        <v>19</v>
      </c>
      <c r="M981" t="s">
        <v>18</v>
      </c>
      <c r="N981">
        <v>3306</v>
      </c>
      <c r="O981">
        <v>177</v>
      </c>
      <c r="P981">
        <v>0</v>
      </c>
      <c r="Q981" t="s">
        <v>3853</v>
      </c>
      <c r="R981" t="s">
        <v>3854</v>
      </c>
      <c r="S981" t="s">
        <v>3855</v>
      </c>
      <c r="T981" t="s">
        <v>3856</v>
      </c>
      <c r="U981" t="s">
        <v>60</v>
      </c>
      <c r="V981" t="s">
        <v>61</v>
      </c>
      <c r="W981">
        <v>10</v>
      </c>
      <c r="X981">
        <v>0.13</v>
      </c>
      <c r="Y981" t="s">
        <v>230</v>
      </c>
      <c r="Z981" t="s">
        <v>395</v>
      </c>
      <c r="AA981">
        <v>2</v>
      </c>
      <c r="AB981" t="s">
        <v>3598</v>
      </c>
      <c r="AC981" t="s">
        <v>3599</v>
      </c>
      <c r="AD981" t="s">
        <v>3600</v>
      </c>
      <c r="AE981" t="s">
        <v>3601</v>
      </c>
      <c r="AF981" t="s">
        <v>3602</v>
      </c>
      <c r="AG981" t="s">
        <v>66</v>
      </c>
      <c r="AH981" t="s">
        <v>66</v>
      </c>
      <c r="AI981" t="s">
        <v>66</v>
      </c>
      <c r="AJ981" t="s">
        <v>66</v>
      </c>
      <c r="AK981">
        <v>1</v>
      </c>
      <c r="AL981" t="s">
        <v>3800</v>
      </c>
      <c r="AM981" t="s">
        <v>3699</v>
      </c>
      <c r="AN981" t="s">
        <v>3801</v>
      </c>
      <c r="AO981" t="s">
        <v>66</v>
      </c>
      <c r="AP981">
        <v>1</v>
      </c>
      <c r="AQ981" t="s">
        <v>66</v>
      </c>
      <c r="AR981" t="s">
        <v>66</v>
      </c>
      <c r="AS981" t="s">
        <v>66</v>
      </c>
      <c r="AT981" t="s">
        <v>66</v>
      </c>
    </row>
    <row r="982" spans="1:46" x14ac:dyDescent="0.15">
      <c r="A982" t="s">
        <v>3857</v>
      </c>
      <c r="B982" t="s">
        <v>3589</v>
      </c>
      <c r="C982" t="s">
        <v>3590</v>
      </c>
      <c r="D982">
        <v>52</v>
      </c>
      <c r="E982" t="s">
        <v>3591</v>
      </c>
      <c r="F982" t="s">
        <v>3592</v>
      </c>
      <c r="G982" t="s">
        <v>51</v>
      </c>
      <c r="H982" t="s">
        <v>3593</v>
      </c>
      <c r="I982" t="s">
        <v>1553</v>
      </c>
      <c r="J982" t="s">
        <v>1554</v>
      </c>
      <c r="K982" t="s">
        <v>3594</v>
      </c>
      <c r="L982" t="s">
        <v>19</v>
      </c>
      <c r="M982" t="s">
        <v>18</v>
      </c>
      <c r="N982">
        <v>3362</v>
      </c>
      <c r="O982">
        <v>180</v>
      </c>
      <c r="P982">
        <v>0</v>
      </c>
      <c r="Q982" t="s">
        <v>3858</v>
      </c>
      <c r="R982" t="s">
        <v>3859</v>
      </c>
      <c r="S982" t="s">
        <v>3860</v>
      </c>
      <c r="T982" t="s">
        <v>3861</v>
      </c>
      <c r="U982" t="s">
        <v>60</v>
      </c>
      <c r="V982" t="s">
        <v>61</v>
      </c>
      <c r="W982">
        <v>10</v>
      </c>
      <c r="X982">
        <v>0.13</v>
      </c>
      <c r="Y982" t="s">
        <v>401</v>
      </c>
      <c r="Z982" t="s">
        <v>402</v>
      </c>
      <c r="AA982">
        <v>2</v>
      </c>
      <c r="AB982" t="s">
        <v>3598</v>
      </c>
      <c r="AC982" t="s">
        <v>3599</v>
      </c>
      <c r="AD982" t="s">
        <v>3600</v>
      </c>
      <c r="AE982" t="s">
        <v>3601</v>
      </c>
      <c r="AF982" t="s">
        <v>3602</v>
      </c>
      <c r="AG982" t="s">
        <v>66</v>
      </c>
      <c r="AH982" t="s">
        <v>66</v>
      </c>
      <c r="AI982" t="s">
        <v>66</v>
      </c>
      <c r="AJ982" t="s">
        <v>66</v>
      </c>
      <c r="AK982">
        <v>1</v>
      </c>
      <c r="AL982" t="s">
        <v>3800</v>
      </c>
      <c r="AM982" t="s">
        <v>3699</v>
      </c>
      <c r="AN982" t="s">
        <v>3801</v>
      </c>
      <c r="AO982" t="s">
        <v>66</v>
      </c>
      <c r="AP982">
        <v>1</v>
      </c>
      <c r="AQ982" t="s">
        <v>66</v>
      </c>
      <c r="AR982" t="s">
        <v>66</v>
      </c>
      <c r="AS982" t="s">
        <v>66</v>
      </c>
      <c r="AT982" t="s">
        <v>66</v>
      </c>
    </row>
    <row r="983" spans="1:46" x14ac:dyDescent="0.15">
      <c r="A983" t="s">
        <v>3862</v>
      </c>
      <c r="B983" t="s">
        <v>3589</v>
      </c>
      <c r="C983" t="s">
        <v>3590</v>
      </c>
      <c r="D983">
        <v>53</v>
      </c>
      <c r="E983" t="s">
        <v>3591</v>
      </c>
      <c r="F983" t="s">
        <v>3592</v>
      </c>
      <c r="G983" t="s">
        <v>51</v>
      </c>
      <c r="H983" t="s">
        <v>3593</v>
      </c>
      <c r="I983" t="s">
        <v>1553</v>
      </c>
      <c r="J983" t="s">
        <v>1554</v>
      </c>
      <c r="K983" t="s">
        <v>3594</v>
      </c>
      <c r="L983" t="s">
        <v>19</v>
      </c>
      <c r="M983" t="s">
        <v>18</v>
      </c>
      <c r="N983">
        <v>3418</v>
      </c>
      <c r="O983">
        <v>183</v>
      </c>
      <c r="P983">
        <v>0</v>
      </c>
      <c r="Q983" t="s">
        <v>3863</v>
      </c>
      <c r="R983" t="s">
        <v>3864</v>
      </c>
      <c r="S983" t="s">
        <v>3865</v>
      </c>
      <c r="T983" t="s">
        <v>3866</v>
      </c>
      <c r="U983" t="s">
        <v>60</v>
      </c>
      <c r="V983" t="s">
        <v>61</v>
      </c>
      <c r="W983">
        <v>10</v>
      </c>
      <c r="X983">
        <v>0.13</v>
      </c>
      <c r="Y983" t="s">
        <v>236</v>
      </c>
      <c r="Z983" t="s">
        <v>408</v>
      </c>
      <c r="AA983">
        <v>2</v>
      </c>
      <c r="AB983" t="s">
        <v>3598</v>
      </c>
      <c r="AC983" t="s">
        <v>3599</v>
      </c>
      <c r="AD983" t="s">
        <v>3600</v>
      </c>
      <c r="AE983" t="s">
        <v>3601</v>
      </c>
      <c r="AF983" t="s">
        <v>3602</v>
      </c>
      <c r="AG983" t="s">
        <v>66</v>
      </c>
      <c r="AH983" t="s">
        <v>66</v>
      </c>
      <c r="AI983" t="s">
        <v>66</v>
      </c>
      <c r="AJ983" t="s">
        <v>66</v>
      </c>
      <c r="AK983">
        <v>1</v>
      </c>
      <c r="AL983" t="s">
        <v>3800</v>
      </c>
      <c r="AM983" t="s">
        <v>3699</v>
      </c>
      <c r="AN983" t="s">
        <v>3801</v>
      </c>
      <c r="AO983" t="s">
        <v>66</v>
      </c>
      <c r="AP983">
        <v>1</v>
      </c>
      <c r="AQ983" t="s">
        <v>66</v>
      </c>
      <c r="AR983" t="s">
        <v>66</v>
      </c>
      <c r="AS983" t="s">
        <v>66</v>
      </c>
      <c r="AT983" t="s">
        <v>66</v>
      </c>
    </row>
    <row r="984" spans="1:46" x14ac:dyDescent="0.15">
      <c r="A984" t="s">
        <v>3867</v>
      </c>
      <c r="B984" t="s">
        <v>3589</v>
      </c>
      <c r="C984" t="s">
        <v>3590</v>
      </c>
      <c r="D984">
        <v>54</v>
      </c>
      <c r="E984" t="s">
        <v>3591</v>
      </c>
      <c r="F984" t="s">
        <v>3592</v>
      </c>
      <c r="G984" t="s">
        <v>51</v>
      </c>
      <c r="H984" t="s">
        <v>3593</v>
      </c>
      <c r="I984" t="s">
        <v>1553</v>
      </c>
      <c r="J984" t="s">
        <v>1554</v>
      </c>
      <c r="K984" t="s">
        <v>3594</v>
      </c>
      <c r="L984" t="s">
        <v>19</v>
      </c>
      <c r="M984" t="s">
        <v>18</v>
      </c>
      <c r="N984">
        <v>3474</v>
      </c>
      <c r="O984">
        <v>185</v>
      </c>
      <c r="P984">
        <v>0</v>
      </c>
      <c r="Q984" t="s">
        <v>3868</v>
      </c>
      <c r="R984" t="s">
        <v>3869</v>
      </c>
      <c r="S984" t="s">
        <v>3870</v>
      </c>
      <c r="T984" t="s">
        <v>3871</v>
      </c>
      <c r="U984" t="s">
        <v>60</v>
      </c>
      <c r="V984" t="s">
        <v>61</v>
      </c>
      <c r="W984">
        <v>10</v>
      </c>
      <c r="X984">
        <v>0.13</v>
      </c>
      <c r="Y984" t="s">
        <v>414</v>
      </c>
      <c r="Z984" t="s">
        <v>415</v>
      </c>
      <c r="AA984">
        <v>2</v>
      </c>
      <c r="AB984" t="s">
        <v>3598</v>
      </c>
      <c r="AC984" t="s">
        <v>3599</v>
      </c>
      <c r="AD984" t="s">
        <v>3600</v>
      </c>
      <c r="AE984" t="s">
        <v>3601</v>
      </c>
      <c r="AF984" t="s">
        <v>3602</v>
      </c>
      <c r="AG984" t="s">
        <v>66</v>
      </c>
      <c r="AH984" t="s">
        <v>66</v>
      </c>
      <c r="AI984" t="s">
        <v>66</v>
      </c>
      <c r="AJ984" t="s">
        <v>66</v>
      </c>
      <c r="AK984">
        <v>1</v>
      </c>
      <c r="AL984" t="s">
        <v>3800</v>
      </c>
      <c r="AM984" t="s">
        <v>3699</v>
      </c>
      <c r="AN984" t="s">
        <v>3801</v>
      </c>
      <c r="AO984" t="s">
        <v>66</v>
      </c>
      <c r="AP984">
        <v>1</v>
      </c>
      <c r="AQ984" t="s">
        <v>66</v>
      </c>
      <c r="AR984" t="s">
        <v>66</v>
      </c>
      <c r="AS984" t="s">
        <v>66</v>
      </c>
      <c r="AT984" t="s">
        <v>66</v>
      </c>
    </row>
    <row r="985" spans="1:46" x14ac:dyDescent="0.15">
      <c r="A985" t="s">
        <v>3872</v>
      </c>
      <c r="B985" t="s">
        <v>3589</v>
      </c>
      <c r="C985" t="s">
        <v>3590</v>
      </c>
      <c r="D985">
        <v>55</v>
      </c>
      <c r="E985" t="s">
        <v>3591</v>
      </c>
      <c r="F985" t="s">
        <v>3592</v>
      </c>
      <c r="G985" t="s">
        <v>51</v>
      </c>
      <c r="H985" t="s">
        <v>3593</v>
      </c>
      <c r="I985" t="s">
        <v>1553</v>
      </c>
      <c r="J985" t="s">
        <v>1554</v>
      </c>
      <c r="K985" t="s">
        <v>3594</v>
      </c>
      <c r="L985" t="s">
        <v>19</v>
      </c>
      <c r="M985" t="s">
        <v>18</v>
      </c>
      <c r="N985">
        <v>3531</v>
      </c>
      <c r="O985">
        <v>188</v>
      </c>
      <c r="P985">
        <v>0</v>
      </c>
      <c r="Q985" t="s">
        <v>3873</v>
      </c>
      <c r="R985" t="s">
        <v>3874</v>
      </c>
      <c r="S985" t="s">
        <v>3875</v>
      </c>
      <c r="T985" t="s">
        <v>3876</v>
      </c>
      <c r="U985" t="s">
        <v>60</v>
      </c>
      <c r="V985" t="s">
        <v>61</v>
      </c>
      <c r="W985">
        <v>10</v>
      </c>
      <c r="X985">
        <v>0.13</v>
      </c>
      <c r="Y985" t="s">
        <v>243</v>
      </c>
      <c r="Z985" t="s">
        <v>421</v>
      </c>
      <c r="AA985">
        <v>2</v>
      </c>
      <c r="AB985" t="s">
        <v>3598</v>
      </c>
      <c r="AC985" t="s">
        <v>3599</v>
      </c>
      <c r="AD985" t="s">
        <v>3600</v>
      </c>
      <c r="AE985" t="s">
        <v>3601</v>
      </c>
      <c r="AF985" t="s">
        <v>3602</v>
      </c>
      <c r="AG985" t="s">
        <v>66</v>
      </c>
      <c r="AH985" t="s">
        <v>66</v>
      </c>
      <c r="AI985" t="s">
        <v>66</v>
      </c>
      <c r="AJ985" t="s">
        <v>66</v>
      </c>
      <c r="AK985">
        <v>1</v>
      </c>
      <c r="AL985" t="s">
        <v>3800</v>
      </c>
      <c r="AM985" t="s">
        <v>3699</v>
      </c>
      <c r="AN985" t="s">
        <v>3801</v>
      </c>
      <c r="AO985" t="s">
        <v>66</v>
      </c>
      <c r="AP985">
        <v>1</v>
      </c>
      <c r="AQ985" t="s">
        <v>66</v>
      </c>
      <c r="AR985" t="s">
        <v>66</v>
      </c>
      <c r="AS985" t="s">
        <v>66</v>
      </c>
      <c r="AT985" t="s">
        <v>66</v>
      </c>
    </row>
    <row r="986" spans="1:46" x14ac:dyDescent="0.15">
      <c r="A986" t="s">
        <v>3877</v>
      </c>
      <c r="B986" t="s">
        <v>3589</v>
      </c>
      <c r="C986" t="s">
        <v>3590</v>
      </c>
      <c r="D986">
        <v>56</v>
      </c>
      <c r="E986" t="s">
        <v>3591</v>
      </c>
      <c r="F986" t="s">
        <v>3592</v>
      </c>
      <c r="G986" t="s">
        <v>51</v>
      </c>
      <c r="H986" t="s">
        <v>3593</v>
      </c>
      <c r="I986" t="s">
        <v>1553</v>
      </c>
      <c r="J986" t="s">
        <v>1554</v>
      </c>
      <c r="K986" t="s">
        <v>3594</v>
      </c>
      <c r="L986" t="s">
        <v>19</v>
      </c>
      <c r="M986" t="s">
        <v>18</v>
      </c>
      <c r="N986">
        <v>3587</v>
      </c>
      <c r="O986">
        <v>191</v>
      </c>
      <c r="P986">
        <v>0</v>
      </c>
      <c r="Q986" t="s">
        <v>3878</v>
      </c>
      <c r="R986" t="s">
        <v>3879</v>
      </c>
      <c r="S986" t="s">
        <v>3880</v>
      </c>
      <c r="T986" t="s">
        <v>3881</v>
      </c>
      <c r="U986" t="s">
        <v>60</v>
      </c>
      <c r="V986" t="s">
        <v>61</v>
      </c>
      <c r="W986">
        <v>10</v>
      </c>
      <c r="X986">
        <v>0.13</v>
      </c>
      <c r="Y986" t="s">
        <v>427</v>
      </c>
      <c r="Z986" t="s">
        <v>428</v>
      </c>
      <c r="AA986">
        <v>2</v>
      </c>
      <c r="AB986" t="s">
        <v>3598</v>
      </c>
      <c r="AC986" t="s">
        <v>3599</v>
      </c>
      <c r="AD986" t="s">
        <v>3600</v>
      </c>
      <c r="AE986" t="s">
        <v>3601</v>
      </c>
      <c r="AF986" t="s">
        <v>3602</v>
      </c>
      <c r="AG986" t="s">
        <v>66</v>
      </c>
      <c r="AH986" t="s">
        <v>66</v>
      </c>
      <c r="AI986" t="s">
        <v>66</v>
      </c>
      <c r="AJ986" t="s">
        <v>66</v>
      </c>
      <c r="AK986">
        <v>1</v>
      </c>
      <c r="AL986" t="s">
        <v>3800</v>
      </c>
      <c r="AM986" t="s">
        <v>3699</v>
      </c>
      <c r="AN986" t="s">
        <v>3801</v>
      </c>
      <c r="AO986" t="s">
        <v>66</v>
      </c>
      <c r="AP986">
        <v>1</v>
      </c>
      <c r="AQ986" t="s">
        <v>66</v>
      </c>
      <c r="AR986" t="s">
        <v>66</v>
      </c>
      <c r="AS986" t="s">
        <v>66</v>
      </c>
      <c r="AT986" t="s">
        <v>66</v>
      </c>
    </row>
    <row r="987" spans="1:46" x14ac:dyDescent="0.15">
      <c r="A987" t="s">
        <v>3882</v>
      </c>
      <c r="B987" t="s">
        <v>3589</v>
      </c>
      <c r="C987" t="s">
        <v>3590</v>
      </c>
      <c r="D987">
        <v>57</v>
      </c>
      <c r="E987" t="s">
        <v>3591</v>
      </c>
      <c r="F987" t="s">
        <v>3592</v>
      </c>
      <c r="G987" t="s">
        <v>51</v>
      </c>
      <c r="H987" t="s">
        <v>3593</v>
      </c>
      <c r="I987" t="s">
        <v>1553</v>
      </c>
      <c r="J987" t="s">
        <v>1554</v>
      </c>
      <c r="K987" t="s">
        <v>3594</v>
      </c>
      <c r="L987" t="s">
        <v>19</v>
      </c>
      <c r="M987" t="s">
        <v>18</v>
      </c>
      <c r="N987">
        <v>3643</v>
      </c>
      <c r="O987">
        <v>194</v>
      </c>
      <c r="P987">
        <v>0</v>
      </c>
      <c r="Q987" t="s">
        <v>3883</v>
      </c>
      <c r="R987" t="s">
        <v>3884</v>
      </c>
      <c r="S987" t="s">
        <v>3885</v>
      </c>
      <c r="T987" t="s">
        <v>3886</v>
      </c>
      <c r="U987" t="s">
        <v>60</v>
      </c>
      <c r="V987" t="s">
        <v>61</v>
      </c>
      <c r="W987">
        <v>10</v>
      </c>
      <c r="X987">
        <v>0.13</v>
      </c>
      <c r="Y987" t="s">
        <v>249</v>
      </c>
      <c r="Z987" t="s">
        <v>434</v>
      </c>
      <c r="AA987">
        <v>2</v>
      </c>
      <c r="AB987" t="s">
        <v>3598</v>
      </c>
      <c r="AC987" t="s">
        <v>3599</v>
      </c>
      <c r="AD987" t="s">
        <v>3600</v>
      </c>
      <c r="AE987" t="s">
        <v>3601</v>
      </c>
      <c r="AF987" t="s">
        <v>3602</v>
      </c>
      <c r="AG987" t="s">
        <v>66</v>
      </c>
      <c r="AH987" t="s">
        <v>66</v>
      </c>
      <c r="AI987" t="s">
        <v>66</v>
      </c>
      <c r="AJ987" t="s">
        <v>66</v>
      </c>
      <c r="AK987">
        <v>1</v>
      </c>
      <c r="AL987" t="s">
        <v>3800</v>
      </c>
      <c r="AM987" t="s">
        <v>3699</v>
      </c>
      <c r="AN987" t="s">
        <v>3801</v>
      </c>
      <c r="AO987" t="s">
        <v>66</v>
      </c>
      <c r="AP987">
        <v>1</v>
      </c>
      <c r="AQ987" t="s">
        <v>66</v>
      </c>
      <c r="AR987" t="s">
        <v>66</v>
      </c>
      <c r="AS987" t="s">
        <v>66</v>
      </c>
      <c r="AT987" t="s">
        <v>66</v>
      </c>
    </row>
    <row r="988" spans="1:46" x14ac:dyDescent="0.15">
      <c r="A988" t="s">
        <v>3887</v>
      </c>
      <c r="B988" t="s">
        <v>3589</v>
      </c>
      <c r="C988" t="s">
        <v>3590</v>
      </c>
      <c r="D988">
        <v>58</v>
      </c>
      <c r="E988" t="s">
        <v>3591</v>
      </c>
      <c r="F988" t="s">
        <v>3592</v>
      </c>
      <c r="G988" t="s">
        <v>51</v>
      </c>
      <c r="H988" t="s">
        <v>3593</v>
      </c>
      <c r="I988" t="s">
        <v>1553</v>
      </c>
      <c r="J988" t="s">
        <v>1554</v>
      </c>
      <c r="K988" t="s">
        <v>3594</v>
      </c>
      <c r="L988" t="s">
        <v>19</v>
      </c>
      <c r="M988" t="s">
        <v>18</v>
      </c>
      <c r="N988">
        <v>3699</v>
      </c>
      <c r="O988">
        <v>197</v>
      </c>
      <c r="P988">
        <v>0</v>
      </c>
      <c r="Q988" t="s">
        <v>3888</v>
      </c>
      <c r="R988" t="s">
        <v>3889</v>
      </c>
      <c r="S988" t="s">
        <v>3890</v>
      </c>
      <c r="T988" t="s">
        <v>3891</v>
      </c>
      <c r="U988" t="s">
        <v>60</v>
      </c>
      <c r="V988" t="s">
        <v>61</v>
      </c>
      <c r="W988">
        <v>10</v>
      </c>
      <c r="X988">
        <v>0.13</v>
      </c>
      <c r="Y988" t="s">
        <v>440</v>
      </c>
      <c r="Z988" t="s">
        <v>441</v>
      </c>
      <c r="AA988">
        <v>2</v>
      </c>
      <c r="AB988" t="s">
        <v>3598</v>
      </c>
      <c r="AC988" t="s">
        <v>3599</v>
      </c>
      <c r="AD988" t="s">
        <v>3600</v>
      </c>
      <c r="AE988" t="s">
        <v>3601</v>
      </c>
      <c r="AF988" t="s">
        <v>3602</v>
      </c>
      <c r="AG988" t="s">
        <v>66</v>
      </c>
      <c r="AH988" t="s">
        <v>66</v>
      </c>
      <c r="AI988" t="s">
        <v>66</v>
      </c>
      <c r="AJ988" t="s">
        <v>66</v>
      </c>
      <c r="AK988">
        <v>1</v>
      </c>
      <c r="AL988" t="s">
        <v>3800</v>
      </c>
      <c r="AM988" t="s">
        <v>3699</v>
      </c>
      <c r="AN988" t="s">
        <v>3801</v>
      </c>
      <c r="AO988" t="s">
        <v>66</v>
      </c>
      <c r="AP988">
        <v>1</v>
      </c>
      <c r="AQ988" t="s">
        <v>66</v>
      </c>
      <c r="AR988" t="s">
        <v>66</v>
      </c>
      <c r="AS988" t="s">
        <v>66</v>
      </c>
      <c r="AT988" t="s">
        <v>66</v>
      </c>
    </row>
    <row r="989" spans="1:46" x14ac:dyDescent="0.15">
      <c r="A989" t="s">
        <v>3892</v>
      </c>
      <c r="B989" t="s">
        <v>3589</v>
      </c>
      <c r="C989" t="s">
        <v>3590</v>
      </c>
      <c r="D989">
        <v>59</v>
      </c>
      <c r="E989" t="s">
        <v>3591</v>
      </c>
      <c r="F989" t="s">
        <v>3592</v>
      </c>
      <c r="G989" t="s">
        <v>51</v>
      </c>
      <c r="H989" t="s">
        <v>3593</v>
      </c>
      <c r="I989" t="s">
        <v>1553</v>
      </c>
      <c r="J989" t="s">
        <v>1554</v>
      </c>
      <c r="K989" t="s">
        <v>3594</v>
      </c>
      <c r="L989" t="s">
        <v>19</v>
      </c>
      <c r="M989" t="s">
        <v>18</v>
      </c>
      <c r="N989">
        <v>3755</v>
      </c>
      <c r="O989">
        <v>200</v>
      </c>
      <c r="P989">
        <v>0</v>
      </c>
      <c r="Q989" t="s">
        <v>3893</v>
      </c>
      <c r="R989" t="s">
        <v>3894</v>
      </c>
      <c r="S989" t="s">
        <v>3895</v>
      </c>
      <c r="T989" t="s">
        <v>3896</v>
      </c>
      <c r="U989" t="s">
        <v>60</v>
      </c>
      <c r="V989" t="s">
        <v>61</v>
      </c>
      <c r="W989">
        <v>10</v>
      </c>
      <c r="X989">
        <v>0.13</v>
      </c>
      <c r="Y989" t="s">
        <v>256</v>
      </c>
      <c r="Z989" t="s">
        <v>447</v>
      </c>
      <c r="AA989">
        <v>2</v>
      </c>
      <c r="AB989" t="s">
        <v>3598</v>
      </c>
      <c r="AC989" t="s">
        <v>3599</v>
      </c>
      <c r="AD989" t="s">
        <v>3600</v>
      </c>
      <c r="AE989" t="s">
        <v>3601</v>
      </c>
      <c r="AF989" t="s">
        <v>3602</v>
      </c>
      <c r="AG989" t="s">
        <v>66</v>
      </c>
      <c r="AH989" t="s">
        <v>66</v>
      </c>
      <c r="AI989" t="s">
        <v>66</v>
      </c>
      <c r="AJ989" t="s">
        <v>66</v>
      </c>
      <c r="AK989">
        <v>1</v>
      </c>
      <c r="AL989" t="s">
        <v>3800</v>
      </c>
      <c r="AM989" t="s">
        <v>3699</v>
      </c>
      <c r="AN989" t="s">
        <v>3801</v>
      </c>
      <c r="AO989" t="s">
        <v>66</v>
      </c>
      <c r="AP989">
        <v>1</v>
      </c>
      <c r="AQ989" t="s">
        <v>66</v>
      </c>
      <c r="AR989" t="s">
        <v>66</v>
      </c>
      <c r="AS989" t="s">
        <v>66</v>
      </c>
      <c r="AT989" t="s">
        <v>66</v>
      </c>
    </row>
    <row r="990" spans="1:46" x14ac:dyDescent="0.15">
      <c r="A990" t="s">
        <v>3897</v>
      </c>
      <c r="B990" t="s">
        <v>3589</v>
      </c>
      <c r="C990" t="s">
        <v>3590</v>
      </c>
      <c r="D990">
        <v>60</v>
      </c>
      <c r="E990" t="s">
        <v>3591</v>
      </c>
      <c r="F990" t="s">
        <v>3592</v>
      </c>
      <c r="G990" t="s">
        <v>51</v>
      </c>
      <c r="H990" t="s">
        <v>3593</v>
      </c>
      <c r="I990" t="s">
        <v>1553</v>
      </c>
      <c r="J990" t="s">
        <v>1554</v>
      </c>
      <c r="K990" t="s">
        <v>3594</v>
      </c>
      <c r="L990" t="s">
        <v>19</v>
      </c>
      <c r="M990" t="s">
        <v>18</v>
      </c>
      <c r="N990">
        <v>3811</v>
      </c>
      <c r="O990">
        <v>203</v>
      </c>
      <c r="P990">
        <v>0</v>
      </c>
      <c r="Q990" t="s">
        <v>3898</v>
      </c>
      <c r="R990" t="s">
        <v>3899</v>
      </c>
      <c r="S990" t="s">
        <v>3900</v>
      </c>
      <c r="T990" t="s">
        <v>3901</v>
      </c>
      <c r="U990" t="s">
        <v>60</v>
      </c>
      <c r="V990" t="s">
        <v>61</v>
      </c>
      <c r="W990">
        <v>10</v>
      </c>
      <c r="X990">
        <v>0.13</v>
      </c>
      <c r="Y990" t="s">
        <v>453</v>
      </c>
      <c r="Z990" t="s">
        <v>454</v>
      </c>
      <c r="AA990">
        <v>2</v>
      </c>
      <c r="AB990" t="s">
        <v>3598</v>
      </c>
      <c r="AC990" t="s">
        <v>3599</v>
      </c>
      <c r="AD990" t="s">
        <v>3600</v>
      </c>
      <c r="AE990" t="s">
        <v>3601</v>
      </c>
      <c r="AF990" t="s">
        <v>3602</v>
      </c>
      <c r="AG990" t="s">
        <v>66</v>
      </c>
      <c r="AH990" t="s">
        <v>66</v>
      </c>
      <c r="AI990" t="s">
        <v>66</v>
      </c>
      <c r="AJ990" t="s">
        <v>66</v>
      </c>
      <c r="AK990">
        <v>1</v>
      </c>
      <c r="AL990" t="s">
        <v>3800</v>
      </c>
      <c r="AM990" t="s">
        <v>3699</v>
      </c>
      <c r="AN990" t="s">
        <v>3801</v>
      </c>
      <c r="AO990" t="s">
        <v>66</v>
      </c>
      <c r="AP990">
        <v>1</v>
      </c>
      <c r="AQ990" t="s">
        <v>66</v>
      </c>
      <c r="AR990" t="s">
        <v>66</v>
      </c>
      <c r="AS990" t="s">
        <v>66</v>
      </c>
      <c r="AT990" t="s">
        <v>66</v>
      </c>
    </row>
    <row r="991" spans="1:46" x14ac:dyDescent="0.15">
      <c r="A991" t="s">
        <v>3897</v>
      </c>
      <c r="B991" t="s">
        <v>3589</v>
      </c>
      <c r="C991" t="s">
        <v>3590</v>
      </c>
      <c r="D991">
        <v>60</v>
      </c>
      <c r="E991" t="s">
        <v>3591</v>
      </c>
      <c r="F991" t="s">
        <v>3592</v>
      </c>
      <c r="G991" t="s">
        <v>51</v>
      </c>
      <c r="H991" t="s">
        <v>3593</v>
      </c>
      <c r="I991" t="s">
        <v>1553</v>
      </c>
      <c r="J991" t="s">
        <v>1554</v>
      </c>
      <c r="K991" t="s">
        <v>3594</v>
      </c>
      <c r="L991" t="s">
        <v>19</v>
      </c>
      <c r="M991" t="s">
        <v>18</v>
      </c>
      <c r="N991">
        <v>3811</v>
      </c>
      <c r="O991">
        <v>203</v>
      </c>
      <c r="P991">
        <v>0</v>
      </c>
      <c r="Q991" t="s">
        <v>3898</v>
      </c>
      <c r="R991" t="s">
        <v>3899</v>
      </c>
      <c r="S991" t="s">
        <v>3900</v>
      </c>
      <c r="T991" t="s">
        <v>3901</v>
      </c>
      <c r="U991" t="s">
        <v>60</v>
      </c>
      <c r="V991" t="s">
        <v>61</v>
      </c>
      <c r="W991">
        <v>10</v>
      </c>
      <c r="X991">
        <v>0.13</v>
      </c>
      <c r="Y991" t="s">
        <v>453</v>
      </c>
      <c r="Z991" t="s">
        <v>454</v>
      </c>
      <c r="AA991">
        <v>3</v>
      </c>
      <c r="AB991" t="s">
        <v>3598</v>
      </c>
      <c r="AC991" t="s">
        <v>3599</v>
      </c>
      <c r="AD991" t="s">
        <v>3600</v>
      </c>
      <c r="AE991" t="s">
        <v>3601</v>
      </c>
      <c r="AF991" t="s">
        <v>3602</v>
      </c>
      <c r="AG991" t="s">
        <v>3902</v>
      </c>
      <c r="AH991" t="s">
        <v>3903</v>
      </c>
      <c r="AI991" t="s">
        <v>3902</v>
      </c>
      <c r="AJ991" t="s">
        <v>66</v>
      </c>
      <c r="AK991">
        <v>1</v>
      </c>
      <c r="AL991" t="s">
        <v>3800</v>
      </c>
      <c r="AM991" t="s">
        <v>3699</v>
      </c>
      <c r="AN991" t="s">
        <v>3801</v>
      </c>
      <c r="AO991" t="s">
        <v>66</v>
      </c>
      <c r="AP991">
        <v>1</v>
      </c>
      <c r="AQ991" t="s">
        <v>3904</v>
      </c>
      <c r="AR991" t="s">
        <v>3905</v>
      </c>
      <c r="AS991" t="s">
        <v>66</v>
      </c>
      <c r="AT991" t="s">
        <v>66</v>
      </c>
    </row>
    <row r="992" spans="1:46" x14ac:dyDescent="0.15">
      <c r="A992" t="s">
        <v>3906</v>
      </c>
      <c r="B992" t="s">
        <v>3589</v>
      </c>
      <c r="C992" t="s">
        <v>3590</v>
      </c>
      <c r="D992">
        <v>61</v>
      </c>
      <c r="E992" t="s">
        <v>3591</v>
      </c>
      <c r="F992" t="s">
        <v>3592</v>
      </c>
      <c r="G992" t="s">
        <v>51</v>
      </c>
      <c r="H992" t="s">
        <v>3593</v>
      </c>
      <c r="I992" t="s">
        <v>1553</v>
      </c>
      <c r="J992" t="s">
        <v>1554</v>
      </c>
      <c r="K992" t="s">
        <v>3594</v>
      </c>
      <c r="L992" t="s">
        <v>19</v>
      </c>
      <c r="M992" t="s">
        <v>18</v>
      </c>
      <c r="N992">
        <v>3867</v>
      </c>
      <c r="O992">
        <v>206</v>
      </c>
      <c r="P992">
        <v>0</v>
      </c>
      <c r="Q992" t="s">
        <v>3907</v>
      </c>
      <c r="R992" t="s">
        <v>3908</v>
      </c>
      <c r="S992" t="s">
        <v>3909</v>
      </c>
      <c r="T992" t="s">
        <v>3910</v>
      </c>
      <c r="U992" t="s">
        <v>60</v>
      </c>
      <c r="V992" t="s">
        <v>61</v>
      </c>
      <c r="W992">
        <v>10</v>
      </c>
      <c r="X992">
        <v>0.13</v>
      </c>
      <c r="Y992" t="s">
        <v>262</v>
      </c>
      <c r="Z992" t="s">
        <v>465</v>
      </c>
      <c r="AA992">
        <v>3</v>
      </c>
      <c r="AB992" t="s">
        <v>3598</v>
      </c>
      <c r="AC992" t="s">
        <v>3599</v>
      </c>
      <c r="AD992" t="s">
        <v>3600</v>
      </c>
      <c r="AE992" t="s">
        <v>3601</v>
      </c>
      <c r="AF992" t="s">
        <v>3602</v>
      </c>
      <c r="AG992" t="s">
        <v>3902</v>
      </c>
      <c r="AH992" t="s">
        <v>3903</v>
      </c>
      <c r="AI992" t="s">
        <v>3902</v>
      </c>
      <c r="AJ992" t="s">
        <v>66</v>
      </c>
      <c r="AK992">
        <v>1</v>
      </c>
      <c r="AL992" t="s">
        <v>3800</v>
      </c>
      <c r="AM992" t="s">
        <v>3699</v>
      </c>
      <c r="AN992" t="s">
        <v>3801</v>
      </c>
      <c r="AO992" t="s">
        <v>66</v>
      </c>
      <c r="AP992">
        <v>1</v>
      </c>
      <c r="AQ992" t="s">
        <v>3904</v>
      </c>
      <c r="AR992" t="s">
        <v>3905</v>
      </c>
      <c r="AS992" t="s">
        <v>66</v>
      </c>
      <c r="AT992" t="s">
        <v>66</v>
      </c>
    </row>
    <row r="993" spans="1:46" x14ac:dyDescent="0.15">
      <c r="A993" t="s">
        <v>3911</v>
      </c>
      <c r="B993" t="s">
        <v>3589</v>
      </c>
      <c r="C993" t="s">
        <v>3590</v>
      </c>
      <c r="D993">
        <v>62</v>
      </c>
      <c r="E993" t="s">
        <v>3591</v>
      </c>
      <c r="F993" t="s">
        <v>3592</v>
      </c>
      <c r="G993" t="s">
        <v>51</v>
      </c>
      <c r="H993" t="s">
        <v>3593</v>
      </c>
      <c r="I993" t="s">
        <v>1553</v>
      </c>
      <c r="J993" t="s">
        <v>1554</v>
      </c>
      <c r="K993" t="s">
        <v>3594</v>
      </c>
      <c r="L993" t="s">
        <v>19</v>
      </c>
      <c r="M993" t="s">
        <v>18</v>
      </c>
      <c r="N993">
        <v>3923</v>
      </c>
      <c r="O993">
        <v>209</v>
      </c>
      <c r="P993">
        <v>0</v>
      </c>
      <c r="Q993" t="s">
        <v>3912</v>
      </c>
      <c r="R993" t="s">
        <v>3913</v>
      </c>
      <c r="S993" t="s">
        <v>3914</v>
      </c>
      <c r="T993" t="s">
        <v>3915</v>
      </c>
      <c r="U993" t="s">
        <v>60</v>
      </c>
      <c r="V993" t="s">
        <v>61</v>
      </c>
      <c r="W993">
        <v>10</v>
      </c>
      <c r="X993">
        <v>0.13</v>
      </c>
      <c r="Y993" t="s">
        <v>471</v>
      </c>
      <c r="Z993" t="s">
        <v>472</v>
      </c>
      <c r="AA993">
        <v>3</v>
      </c>
      <c r="AB993" t="s">
        <v>3598</v>
      </c>
      <c r="AC993" t="s">
        <v>3599</v>
      </c>
      <c r="AD993" t="s">
        <v>3600</v>
      </c>
      <c r="AE993" t="s">
        <v>3601</v>
      </c>
      <c r="AF993" t="s">
        <v>3602</v>
      </c>
      <c r="AG993" t="s">
        <v>3902</v>
      </c>
      <c r="AH993" t="s">
        <v>3903</v>
      </c>
      <c r="AI993" t="s">
        <v>3902</v>
      </c>
      <c r="AJ993" t="s">
        <v>66</v>
      </c>
      <c r="AK993">
        <v>1</v>
      </c>
      <c r="AL993" t="s">
        <v>3800</v>
      </c>
      <c r="AM993" t="s">
        <v>3699</v>
      </c>
      <c r="AN993" t="s">
        <v>3801</v>
      </c>
      <c r="AO993" t="s">
        <v>66</v>
      </c>
      <c r="AP993">
        <v>1</v>
      </c>
      <c r="AQ993" t="s">
        <v>3904</v>
      </c>
      <c r="AR993" t="s">
        <v>3905</v>
      </c>
      <c r="AS993" t="s">
        <v>66</v>
      </c>
      <c r="AT993" t="s">
        <v>66</v>
      </c>
    </row>
    <row r="994" spans="1:46" x14ac:dyDescent="0.15">
      <c r="A994" t="s">
        <v>3916</v>
      </c>
      <c r="B994" t="s">
        <v>3589</v>
      </c>
      <c r="C994" t="s">
        <v>3590</v>
      </c>
      <c r="D994">
        <v>63</v>
      </c>
      <c r="E994" t="s">
        <v>3591</v>
      </c>
      <c r="F994" t="s">
        <v>3592</v>
      </c>
      <c r="G994" t="s">
        <v>51</v>
      </c>
      <c r="H994" t="s">
        <v>3593</v>
      </c>
      <c r="I994" t="s">
        <v>1553</v>
      </c>
      <c r="J994" t="s">
        <v>1554</v>
      </c>
      <c r="K994" t="s">
        <v>3594</v>
      </c>
      <c r="L994" t="s">
        <v>19</v>
      </c>
      <c r="M994" t="s">
        <v>18</v>
      </c>
      <c r="N994">
        <v>3980</v>
      </c>
      <c r="O994">
        <v>212</v>
      </c>
      <c r="P994">
        <v>0</v>
      </c>
      <c r="Q994" t="s">
        <v>3917</v>
      </c>
      <c r="R994" t="s">
        <v>3918</v>
      </c>
      <c r="S994" t="s">
        <v>3919</v>
      </c>
      <c r="T994" t="s">
        <v>3920</v>
      </c>
      <c r="U994" t="s">
        <v>60</v>
      </c>
      <c r="V994" t="s">
        <v>61</v>
      </c>
      <c r="W994">
        <v>10</v>
      </c>
      <c r="X994">
        <v>0.13</v>
      </c>
      <c r="Y994" t="s">
        <v>269</v>
      </c>
      <c r="Z994" t="s">
        <v>478</v>
      </c>
      <c r="AA994">
        <v>3</v>
      </c>
      <c r="AB994" t="s">
        <v>3598</v>
      </c>
      <c r="AC994" t="s">
        <v>3599</v>
      </c>
      <c r="AD994" t="s">
        <v>3600</v>
      </c>
      <c r="AE994" t="s">
        <v>3601</v>
      </c>
      <c r="AF994" t="s">
        <v>3602</v>
      </c>
      <c r="AG994" t="s">
        <v>3902</v>
      </c>
      <c r="AH994" t="s">
        <v>3903</v>
      </c>
      <c r="AI994" t="s">
        <v>3902</v>
      </c>
      <c r="AJ994" t="s">
        <v>66</v>
      </c>
      <c r="AK994">
        <v>1</v>
      </c>
      <c r="AL994" t="s">
        <v>3800</v>
      </c>
      <c r="AM994" t="s">
        <v>3699</v>
      </c>
      <c r="AN994" t="s">
        <v>3801</v>
      </c>
      <c r="AO994" t="s">
        <v>66</v>
      </c>
      <c r="AP994">
        <v>1</v>
      </c>
      <c r="AQ994" t="s">
        <v>3904</v>
      </c>
      <c r="AR994" t="s">
        <v>3905</v>
      </c>
      <c r="AS994" t="s">
        <v>66</v>
      </c>
      <c r="AT994" t="s">
        <v>66</v>
      </c>
    </row>
    <row r="995" spans="1:46" x14ac:dyDescent="0.15">
      <c r="A995" t="s">
        <v>3921</v>
      </c>
      <c r="B995" t="s">
        <v>3589</v>
      </c>
      <c r="C995" t="s">
        <v>3590</v>
      </c>
      <c r="D995">
        <v>64</v>
      </c>
      <c r="E995" t="s">
        <v>3591</v>
      </c>
      <c r="F995" t="s">
        <v>3592</v>
      </c>
      <c r="G995" t="s">
        <v>51</v>
      </c>
      <c r="H995" t="s">
        <v>3593</v>
      </c>
      <c r="I995" t="s">
        <v>1553</v>
      </c>
      <c r="J995" t="s">
        <v>1554</v>
      </c>
      <c r="K995" t="s">
        <v>3594</v>
      </c>
      <c r="L995" t="s">
        <v>19</v>
      </c>
      <c r="M995" t="s">
        <v>18</v>
      </c>
      <c r="N995">
        <v>4036</v>
      </c>
      <c r="O995">
        <v>215</v>
      </c>
      <c r="P995">
        <v>0</v>
      </c>
      <c r="Q995" t="s">
        <v>3922</v>
      </c>
      <c r="R995" t="s">
        <v>3923</v>
      </c>
      <c r="S995" t="s">
        <v>3924</v>
      </c>
      <c r="T995" t="s">
        <v>3925</v>
      </c>
      <c r="U995" t="s">
        <v>60</v>
      </c>
      <c r="V995" t="s">
        <v>61</v>
      </c>
      <c r="W995">
        <v>10</v>
      </c>
      <c r="X995">
        <v>0.13</v>
      </c>
      <c r="Y995" t="s">
        <v>484</v>
      </c>
      <c r="Z995" t="s">
        <v>485</v>
      </c>
      <c r="AA995">
        <v>3</v>
      </c>
      <c r="AB995" t="s">
        <v>3598</v>
      </c>
      <c r="AC995" t="s">
        <v>3599</v>
      </c>
      <c r="AD995" t="s">
        <v>3600</v>
      </c>
      <c r="AE995" t="s">
        <v>3601</v>
      </c>
      <c r="AF995" t="s">
        <v>3602</v>
      </c>
      <c r="AG995" t="s">
        <v>3902</v>
      </c>
      <c r="AH995" t="s">
        <v>3903</v>
      </c>
      <c r="AI995" t="s">
        <v>3902</v>
      </c>
      <c r="AJ995" t="s">
        <v>66</v>
      </c>
      <c r="AK995">
        <v>1</v>
      </c>
      <c r="AL995" t="s">
        <v>3800</v>
      </c>
      <c r="AM995" t="s">
        <v>3699</v>
      </c>
      <c r="AN995" t="s">
        <v>3801</v>
      </c>
      <c r="AO995" t="s">
        <v>66</v>
      </c>
      <c r="AP995">
        <v>1</v>
      </c>
      <c r="AQ995" t="s">
        <v>3904</v>
      </c>
      <c r="AR995" t="s">
        <v>3905</v>
      </c>
      <c r="AS995" t="s">
        <v>66</v>
      </c>
      <c r="AT995" t="s">
        <v>66</v>
      </c>
    </row>
    <row r="996" spans="1:46" x14ac:dyDescent="0.15">
      <c r="A996" t="s">
        <v>3926</v>
      </c>
      <c r="B996" t="s">
        <v>3589</v>
      </c>
      <c r="C996" t="s">
        <v>3590</v>
      </c>
      <c r="D996">
        <v>65</v>
      </c>
      <c r="E996" t="s">
        <v>3591</v>
      </c>
      <c r="F996" t="s">
        <v>3592</v>
      </c>
      <c r="G996" t="s">
        <v>51</v>
      </c>
      <c r="H996" t="s">
        <v>3593</v>
      </c>
      <c r="I996" t="s">
        <v>1553</v>
      </c>
      <c r="J996" t="s">
        <v>1554</v>
      </c>
      <c r="K996" t="s">
        <v>3594</v>
      </c>
      <c r="L996" t="s">
        <v>19</v>
      </c>
      <c r="M996" t="s">
        <v>18</v>
      </c>
      <c r="N996">
        <v>4092</v>
      </c>
      <c r="O996">
        <v>218</v>
      </c>
      <c r="P996">
        <v>0</v>
      </c>
      <c r="Q996" t="s">
        <v>3927</v>
      </c>
      <c r="R996" t="s">
        <v>3928</v>
      </c>
      <c r="S996" t="s">
        <v>3929</v>
      </c>
      <c r="T996" t="s">
        <v>3930</v>
      </c>
      <c r="U996" t="s">
        <v>60</v>
      </c>
      <c r="V996" t="s">
        <v>61</v>
      </c>
      <c r="W996">
        <v>10</v>
      </c>
      <c r="X996">
        <v>0.13</v>
      </c>
      <c r="Y996" t="s">
        <v>275</v>
      </c>
      <c r="Z996" t="s">
        <v>491</v>
      </c>
      <c r="AA996">
        <v>3</v>
      </c>
      <c r="AB996" t="s">
        <v>3598</v>
      </c>
      <c r="AC996" t="s">
        <v>3599</v>
      </c>
      <c r="AD996" t="s">
        <v>3600</v>
      </c>
      <c r="AE996" t="s">
        <v>3601</v>
      </c>
      <c r="AF996" t="s">
        <v>3602</v>
      </c>
      <c r="AG996" t="s">
        <v>3902</v>
      </c>
      <c r="AH996" t="s">
        <v>3903</v>
      </c>
      <c r="AI996" t="s">
        <v>3902</v>
      </c>
      <c r="AJ996" t="s">
        <v>66</v>
      </c>
      <c r="AK996">
        <v>1</v>
      </c>
      <c r="AL996" t="s">
        <v>3800</v>
      </c>
      <c r="AM996" t="s">
        <v>3699</v>
      </c>
      <c r="AN996" t="s">
        <v>3801</v>
      </c>
      <c r="AO996" t="s">
        <v>66</v>
      </c>
      <c r="AP996">
        <v>1</v>
      </c>
      <c r="AQ996" t="s">
        <v>3904</v>
      </c>
      <c r="AR996" t="s">
        <v>3905</v>
      </c>
      <c r="AS996" t="s">
        <v>66</v>
      </c>
      <c r="AT996" t="s">
        <v>66</v>
      </c>
    </row>
    <row r="997" spans="1:46" x14ac:dyDescent="0.15">
      <c r="A997" t="s">
        <v>3931</v>
      </c>
      <c r="B997" t="s">
        <v>3589</v>
      </c>
      <c r="C997" t="s">
        <v>3590</v>
      </c>
      <c r="D997">
        <v>66</v>
      </c>
      <c r="E997" t="s">
        <v>3591</v>
      </c>
      <c r="F997" t="s">
        <v>3592</v>
      </c>
      <c r="G997" t="s">
        <v>51</v>
      </c>
      <c r="H997" t="s">
        <v>3593</v>
      </c>
      <c r="I997" t="s">
        <v>1553</v>
      </c>
      <c r="J997" t="s">
        <v>1554</v>
      </c>
      <c r="K997" t="s">
        <v>3594</v>
      </c>
      <c r="L997" t="s">
        <v>19</v>
      </c>
      <c r="M997" t="s">
        <v>18</v>
      </c>
      <c r="N997">
        <v>4148</v>
      </c>
      <c r="O997">
        <v>221</v>
      </c>
      <c r="P997">
        <v>0</v>
      </c>
      <c r="Q997" t="s">
        <v>3932</v>
      </c>
      <c r="R997" t="s">
        <v>3933</v>
      </c>
      <c r="S997" t="s">
        <v>3934</v>
      </c>
      <c r="T997" t="s">
        <v>3935</v>
      </c>
      <c r="U997" t="s">
        <v>60</v>
      </c>
      <c r="V997" t="s">
        <v>61</v>
      </c>
      <c r="W997">
        <v>10</v>
      </c>
      <c r="X997">
        <v>0.13</v>
      </c>
      <c r="Y997" t="s">
        <v>497</v>
      </c>
      <c r="Z997" t="s">
        <v>498</v>
      </c>
      <c r="AA997">
        <v>3</v>
      </c>
      <c r="AB997" t="s">
        <v>3598</v>
      </c>
      <c r="AC997" t="s">
        <v>3599</v>
      </c>
      <c r="AD997" t="s">
        <v>3600</v>
      </c>
      <c r="AE997" t="s">
        <v>3601</v>
      </c>
      <c r="AF997" t="s">
        <v>3602</v>
      </c>
      <c r="AG997" t="s">
        <v>3902</v>
      </c>
      <c r="AH997" t="s">
        <v>3903</v>
      </c>
      <c r="AI997" t="s">
        <v>3902</v>
      </c>
      <c r="AJ997" t="s">
        <v>66</v>
      </c>
      <c r="AK997">
        <v>1</v>
      </c>
      <c r="AL997" t="s">
        <v>3800</v>
      </c>
      <c r="AM997" t="s">
        <v>3699</v>
      </c>
      <c r="AN997" t="s">
        <v>3801</v>
      </c>
      <c r="AO997" t="s">
        <v>66</v>
      </c>
      <c r="AP997">
        <v>1</v>
      </c>
      <c r="AQ997" t="s">
        <v>3904</v>
      </c>
      <c r="AR997" t="s">
        <v>3905</v>
      </c>
      <c r="AS997" t="s">
        <v>66</v>
      </c>
      <c r="AT997" t="s">
        <v>66</v>
      </c>
    </row>
    <row r="998" spans="1:46" x14ac:dyDescent="0.15">
      <c r="A998" t="s">
        <v>3936</v>
      </c>
      <c r="B998" t="s">
        <v>3589</v>
      </c>
      <c r="C998" t="s">
        <v>3590</v>
      </c>
      <c r="D998">
        <v>67</v>
      </c>
      <c r="E998" t="s">
        <v>3591</v>
      </c>
      <c r="F998" t="s">
        <v>3592</v>
      </c>
      <c r="G998" t="s">
        <v>51</v>
      </c>
      <c r="H998" t="s">
        <v>3593</v>
      </c>
      <c r="I998" t="s">
        <v>1553</v>
      </c>
      <c r="J998" t="s">
        <v>1554</v>
      </c>
      <c r="K998" t="s">
        <v>3594</v>
      </c>
      <c r="L998" t="s">
        <v>19</v>
      </c>
      <c r="M998" t="s">
        <v>18</v>
      </c>
      <c r="N998">
        <v>4204</v>
      </c>
      <c r="O998">
        <v>224</v>
      </c>
      <c r="P998">
        <v>0</v>
      </c>
      <c r="Q998" t="s">
        <v>3937</v>
      </c>
      <c r="R998" t="s">
        <v>3938</v>
      </c>
      <c r="S998" t="s">
        <v>3939</v>
      </c>
      <c r="T998" t="s">
        <v>3940</v>
      </c>
      <c r="U998" t="s">
        <v>60</v>
      </c>
      <c r="V998" t="s">
        <v>61</v>
      </c>
      <c r="W998">
        <v>10</v>
      </c>
      <c r="X998">
        <v>0.13</v>
      </c>
      <c r="Y998" t="s">
        <v>282</v>
      </c>
      <c r="Z998" t="s">
        <v>504</v>
      </c>
      <c r="AA998">
        <v>3</v>
      </c>
      <c r="AB998" t="s">
        <v>3598</v>
      </c>
      <c r="AC998" t="s">
        <v>3599</v>
      </c>
      <c r="AD998" t="s">
        <v>3600</v>
      </c>
      <c r="AE998" t="s">
        <v>3601</v>
      </c>
      <c r="AF998" t="s">
        <v>3602</v>
      </c>
      <c r="AG998" t="s">
        <v>3902</v>
      </c>
      <c r="AH998" t="s">
        <v>3903</v>
      </c>
      <c r="AI998" t="s">
        <v>3902</v>
      </c>
      <c r="AJ998" t="s">
        <v>66</v>
      </c>
      <c r="AK998">
        <v>1</v>
      </c>
      <c r="AL998" t="s">
        <v>3800</v>
      </c>
      <c r="AM998" t="s">
        <v>3699</v>
      </c>
      <c r="AN998" t="s">
        <v>3801</v>
      </c>
      <c r="AO998" t="s">
        <v>66</v>
      </c>
      <c r="AP998">
        <v>1</v>
      </c>
      <c r="AQ998" t="s">
        <v>3904</v>
      </c>
      <c r="AR998" t="s">
        <v>3905</v>
      </c>
      <c r="AS998" t="s">
        <v>66</v>
      </c>
      <c r="AT998" t="s">
        <v>66</v>
      </c>
    </row>
    <row r="999" spans="1:46" x14ac:dyDescent="0.15">
      <c r="A999" t="s">
        <v>3941</v>
      </c>
      <c r="B999" t="s">
        <v>3589</v>
      </c>
      <c r="C999" t="s">
        <v>3590</v>
      </c>
      <c r="D999">
        <v>68</v>
      </c>
      <c r="E999" t="s">
        <v>3591</v>
      </c>
      <c r="F999" t="s">
        <v>3592</v>
      </c>
      <c r="G999" t="s">
        <v>51</v>
      </c>
      <c r="H999" t="s">
        <v>3593</v>
      </c>
      <c r="I999" t="s">
        <v>1553</v>
      </c>
      <c r="J999" t="s">
        <v>1554</v>
      </c>
      <c r="K999" t="s">
        <v>3594</v>
      </c>
      <c r="L999" t="s">
        <v>19</v>
      </c>
      <c r="M999" t="s">
        <v>18</v>
      </c>
      <c r="N999">
        <v>4260</v>
      </c>
      <c r="O999">
        <v>227</v>
      </c>
      <c r="P999">
        <v>0</v>
      </c>
      <c r="Q999" t="s">
        <v>3942</v>
      </c>
      <c r="R999" t="s">
        <v>3943</v>
      </c>
      <c r="S999" t="s">
        <v>3944</v>
      </c>
      <c r="T999" t="s">
        <v>3945</v>
      </c>
      <c r="U999" t="s">
        <v>60</v>
      </c>
      <c r="V999" t="s">
        <v>61</v>
      </c>
      <c r="W999">
        <v>10</v>
      </c>
      <c r="X999">
        <v>0.13</v>
      </c>
      <c r="Y999" t="s">
        <v>510</v>
      </c>
      <c r="Z999" t="s">
        <v>511</v>
      </c>
      <c r="AA999">
        <v>3</v>
      </c>
      <c r="AB999" t="s">
        <v>3598</v>
      </c>
      <c r="AC999" t="s">
        <v>3599</v>
      </c>
      <c r="AD999" t="s">
        <v>3600</v>
      </c>
      <c r="AE999" t="s">
        <v>3601</v>
      </c>
      <c r="AF999" t="s">
        <v>3602</v>
      </c>
      <c r="AG999" t="s">
        <v>3902</v>
      </c>
      <c r="AH999" t="s">
        <v>3903</v>
      </c>
      <c r="AI999" t="s">
        <v>3902</v>
      </c>
      <c r="AJ999" t="s">
        <v>66</v>
      </c>
      <c r="AK999">
        <v>1</v>
      </c>
      <c r="AL999" t="s">
        <v>3800</v>
      </c>
      <c r="AM999" t="s">
        <v>3699</v>
      </c>
      <c r="AN999" t="s">
        <v>3801</v>
      </c>
      <c r="AO999" t="s">
        <v>66</v>
      </c>
      <c r="AP999">
        <v>1</v>
      </c>
      <c r="AQ999" t="s">
        <v>3904</v>
      </c>
      <c r="AR999" t="s">
        <v>3905</v>
      </c>
      <c r="AS999" t="s">
        <v>66</v>
      </c>
      <c r="AT999" t="s">
        <v>66</v>
      </c>
    </row>
    <row r="1000" spans="1:46" x14ac:dyDescent="0.15">
      <c r="A1000" t="s">
        <v>3946</v>
      </c>
      <c r="B1000" t="s">
        <v>3589</v>
      </c>
      <c r="C1000" t="s">
        <v>3590</v>
      </c>
      <c r="D1000">
        <v>69</v>
      </c>
      <c r="E1000" t="s">
        <v>3591</v>
      </c>
      <c r="F1000" t="s">
        <v>3592</v>
      </c>
      <c r="G1000" t="s">
        <v>51</v>
      </c>
      <c r="H1000" t="s">
        <v>3593</v>
      </c>
      <c r="I1000" t="s">
        <v>1553</v>
      </c>
      <c r="J1000" t="s">
        <v>1554</v>
      </c>
      <c r="K1000" t="s">
        <v>3594</v>
      </c>
      <c r="L1000" t="s">
        <v>19</v>
      </c>
      <c r="M1000" t="s">
        <v>18</v>
      </c>
      <c r="N1000">
        <v>4316</v>
      </c>
      <c r="O1000">
        <v>230</v>
      </c>
      <c r="P1000">
        <v>0</v>
      </c>
      <c r="Q1000" t="s">
        <v>3947</v>
      </c>
      <c r="R1000" t="s">
        <v>3948</v>
      </c>
      <c r="S1000" t="s">
        <v>3949</v>
      </c>
      <c r="T1000" t="s">
        <v>3950</v>
      </c>
      <c r="U1000" t="s">
        <v>60</v>
      </c>
      <c r="V1000" t="s">
        <v>61</v>
      </c>
      <c r="W1000">
        <v>10</v>
      </c>
      <c r="X1000">
        <v>0.13</v>
      </c>
      <c r="Y1000" t="s">
        <v>288</v>
      </c>
      <c r="Z1000" t="s">
        <v>517</v>
      </c>
      <c r="AA1000">
        <v>3</v>
      </c>
      <c r="AB1000" t="s">
        <v>3598</v>
      </c>
      <c r="AC1000" t="s">
        <v>3599</v>
      </c>
      <c r="AD1000" t="s">
        <v>3600</v>
      </c>
      <c r="AE1000" t="s">
        <v>3601</v>
      </c>
      <c r="AF1000" t="s">
        <v>3602</v>
      </c>
      <c r="AG1000" t="s">
        <v>3902</v>
      </c>
      <c r="AH1000" t="s">
        <v>3903</v>
      </c>
      <c r="AI1000" t="s">
        <v>3902</v>
      </c>
      <c r="AJ1000" t="s">
        <v>66</v>
      </c>
      <c r="AK1000">
        <v>1</v>
      </c>
      <c r="AL1000" t="s">
        <v>3800</v>
      </c>
      <c r="AM1000" t="s">
        <v>3699</v>
      </c>
      <c r="AN1000" t="s">
        <v>3801</v>
      </c>
      <c r="AO1000" t="s">
        <v>66</v>
      </c>
      <c r="AP1000">
        <v>1</v>
      </c>
      <c r="AQ1000" t="s">
        <v>3904</v>
      </c>
      <c r="AR1000" t="s">
        <v>3905</v>
      </c>
      <c r="AS1000" t="s">
        <v>66</v>
      </c>
      <c r="AT1000" t="s">
        <v>66</v>
      </c>
    </row>
    <row r="1001" spans="1:46" x14ac:dyDescent="0.15">
      <c r="A1001" t="s">
        <v>3951</v>
      </c>
      <c r="B1001" t="s">
        <v>3589</v>
      </c>
      <c r="C1001" t="s">
        <v>3590</v>
      </c>
      <c r="D1001">
        <v>70</v>
      </c>
      <c r="E1001" t="s">
        <v>3591</v>
      </c>
      <c r="F1001" t="s">
        <v>3592</v>
      </c>
      <c r="G1001" t="s">
        <v>51</v>
      </c>
      <c r="H1001" t="s">
        <v>3593</v>
      </c>
      <c r="I1001" t="s">
        <v>1553</v>
      </c>
      <c r="J1001" t="s">
        <v>1554</v>
      </c>
      <c r="K1001" t="s">
        <v>3594</v>
      </c>
      <c r="L1001" t="s">
        <v>19</v>
      </c>
      <c r="M1001" t="s">
        <v>18</v>
      </c>
      <c r="N1001">
        <v>4372</v>
      </c>
      <c r="O1001">
        <v>232</v>
      </c>
      <c r="P1001">
        <v>0</v>
      </c>
      <c r="Q1001" t="s">
        <v>3952</v>
      </c>
      <c r="R1001" t="s">
        <v>3953</v>
      </c>
      <c r="S1001" t="s">
        <v>3954</v>
      </c>
      <c r="T1001" t="s">
        <v>3955</v>
      </c>
      <c r="U1001" t="s">
        <v>60</v>
      </c>
      <c r="V1001" t="s">
        <v>61</v>
      </c>
      <c r="W1001">
        <v>10</v>
      </c>
      <c r="X1001">
        <v>0.13</v>
      </c>
      <c r="Y1001" t="s">
        <v>523</v>
      </c>
      <c r="Z1001" t="s">
        <v>524</v>
      </c>
      <c r="AA1001">
        <v>3</v>
      </c>
      <c r="AB1001" t="s">
        <v>3598</v>
      </c>
      <c r="AC1001" t="s">
        <v>3599</v>
      </c>
      <c r="AD1001" t="s">
        <v>3600</v>
      </c>
      <c r="AE1001" t="s">
        <v>3601</v>
      </c>
      <c r="AF1001" t="s">
        <v>3602</v>
      </c>
      <c r="AG1001" t="s">
        <v>3902</v>
      </c>
      <c r="AH1001" t="s">
        <v>3903</v>
      </c>
      <c r="AI1001" t="s">
        <v>3902</v>
      </c>
      <c r="AJ1001" t="s">
        <v>66</v>
      </c>
      <c r="AK1001">
        <v>1</v>
      </c>
      <c r="AL1001" t="s">
        <v>3800</v>
      </c>
      <c r="AM1001" t="s">
        <v>3699</v>
      </c>
      <c r="AN1001" t="s">
        <v>3801</v>
      </c>
      <c r="AO1001" t="s">
        <v>66</v>
      </c>
      <c r="AP1001">
        <v>1</v>
      </c>
      <c r="AQ1001" t="s">
        <v>3904</v>
      </c>
      <c r="AR1001" t="s">
        <v>3905</v>
      </c>
      <c r="AS1001" t="s">
        <v>66</v>
      </c>
      <c r="AT1001" t="s">
        <v>66</v>
      </c>
    </row>
    <row r="1002" spans="1:46" x14ac:dyDescent="0.15">
      <c r="A1002" t="s">
        <v>3956</v>
      </c>
      <c r="B1002" t="s">
        <v>3589</v>
      </c>
      <c r="C1002" t="s">
        <v>3590</v>
      </c>
      <c r="D1002">
        <v>71</v>
      </c>
      <c r="E1002" t="s">
        <v>3591</v>
      </c>
      <c r="F1002" t="s">
        <v>3592</v>
      </c>
      <c r="G1002" t="s">
        <v>51</v>
      </c>
      <c r="H1002" t="s">
        <v>3593</v>
      </c>
      <c r="I1002" t="s">
        <v>1553</v>
      </c>
      <c r="J1002" t="s">
        <v>1554</v>
      </c>
      <c r="K1002" t="s">
        <v>3594</v>
      </c>
      <c r="L1002" t="s">
        <v>19</v>
      </c>
      <c r="M1002" t="s">
        <v>18</v>
      </c>
      <c r="N1002">
        <v>4429</v>
      </c>
      <c r="O1002">
        <v>235</v>
      </c>
      <c r="P1002">
        <v>0</v>
      </c>
      <c r="Q1002" t="s">
        <v>3957</v>
      </c>
      <c r="R1002" t="s">
        <v>3958</v>
      </c>
      <c r="S1002" t="s">
        <v>3959</v>
      </c>
      <c r="T1002" t="s">
        <v>3960</v>
      </c>
      <c r="U1002" t="s">
        <v>60</v>
      </c>
      <c r="V1002" t="s">
        <v>61</v>
      </c>
      <c r="W1002">
        <v>10</v>
      </c>
      <c r="X1002">
        <v>0.13</v>
      </c>
      <c r="Y1002" t="s">
        <v>295</v>
      </c>
      <c r="Z1002" t="s">
        <v>530</v>
      </c>
      <c r="AA1002">
        <v>3</v>
      </c>
      <c r="AB1002" t="s">
        <v>3598</v>
      </c>
      <c r="AC1002" t="s">
        <v>3599</v>
      </c>
      <c r="AD1002" t="s">
        <v>3600</v>
      </c>
      <c r="AE1002" t="s">
        <v>3601</v>
      </c>
      <c r="AF1002" t="s">
        <v>3602</v>
      </c>
      <c r="AG1002" t="s">
        <v>3902</v>
      </c>
      <c r="AH1002" t="s">
        <v>3903</v>
      </c>
      <c r="AI1002" t="s">
        <v>3902</v>
      </c>
      <c r="AJ1002" t="s">
        <v>66</v>
      </c>
      <c r="AK1002">
        <v>1</v>
      </c>
      <c r="AL1002" t="s">
        <v>3800</v>
      </c>
      <c r="AM1002" t="s">
        <v>3699</v>
      </c>
      <c r="AN1002" t="s">
        <v>3801</v>
      </c>
      <c r="AO1002" t="s">
        <v>66</v>
      </c>
      <c r="AP1002">
        <v>1</v>
      </c>
      <c r="AQ1002" t="s">
        <v>3904</v>
      </c>
      <c r="AR1002" t="s">
        <v>3905</v>
      </c>
      <c r="AS1002" t="s">
        <v>66</v>
      </c>
      <c r="AT1002" t="s">
        <v>66</v>
      </c>
    </row>
    <row r="1003" spans="1:46" x14ac:dyDescent="0.15">
      <c r="A1003" t="s">
        <v>3961</v>
      </c>
      <c r="B1003" t="s">
        <v>3589</v>
      </c>
      <c r="C1003" t="s">
        <v>3590</v>
      </c>
      <c r="D1003">
        <v>72</v>
      </c>
      <c r="E1003" t="s">
        <v>3591</v>
      </c>
      <c r="F1003" t="s">
        <v>3592</v>
      </c>
      <c r="G1003" t="s">
        <v>51</v>
      </c>
      <c r="H1003" t="s">
        <v>3593</v>
      </c>
      <c r="I1003" t="s">
        <v>1553</v>
      </c>
      <c r="J1003" t="s">
        <v>1554</v>
      </c>
      <c r="K1003" t="s">
        <v>3594</v>
      </c>
      <c r="L1003" t="s">
        <v>19</v>
      </c>
      <c r="M1003" t="s">
        <v>18</v>
      </c>
      <c r="N1003">
        <v>4485</v>
      </c>
      <c r="O1003">
        <v>238</v>
      </c>
      <c r="P1003">
        <v>0</v>
      </c>
      <c r="Q1003" t="s">
        <v>3962</v>
      </c>
      <c r="R1003" t="s">
        <v>3963</v>
      </c>
      <c r="S1003" t="s">
        <v>3964</v>
      </c>
      <c r="T1003" t="s">
        <v>3965</v>
      </c>
      <c r="U1003" t="s">
        <v>60</v>
      </c>
      <c r="V1003" t="s">
        <v>61</v>
      </c>
      <c r="W1003">
        <v>10</v>
      </c>
      <c r="X1003">
        <v>0.13</v>
      </c>
      <c r="Y1003" t="s">
        <v>536</v>
      </c>
      <c r="Z1003" t="s">
        <v>537</v>
      </c>
      <c r="AA1003">
        <v>3</v>
      </c>
      <c r="AB1003" t="s">
        <v>3598</v>
      </c>
      <c r="AC1003" t="s">
        <v>3599</v>
      </c>
      <c r="AD1003" t="s">
        <v>3600</v>
      </c>
      <c r="AE1003" t="s">
        <v>3601</v>
      </c>
      <c r="AF1003" t="s">
        <v>3602</v>
      </c>
      <c r="AG1003" t="s">
        <v>3902</v>
      </c>
      <c r="AH1003" t="s">
        <v>3903</v>
      </c>
      <c r="AI1003" t="s">
        <v>3902</v>
      </c>
      <c r="AJ1003" t="s">
        <v>66</v>
      </c>
      <c r="AK1003">
        <v>1</v>
      </c>
      <c r="AL1003" t="s">
        <v>3800</v>
      </c>
      <c r="AM1003" t="s">
        <v>3699</v>
      </c>
      <c r="AN1003" t="s">
        <v>3801</v>
      </c>
      <c r="AO1003" t="s">
        <v>66</v>
      </c>
      <c r="AP1003">
        <v>1</v>
      </c>
      <c r="AQ1003" t="s">
        <v>3904</v>
      </c>
      <c r="AR1003" t="s">
        <v>3905</v>
      </c>
      <c r="AS1003" t="s">
        <v>66</v>
      </c>
      <c r="AT1003" t="s">
        <v>66</v>
      </c>
    </row>
    <row r="1004" spans="1:46" x14ac:dyDescent="0.15">
      <c r="A1004" t="s">
        <v>3966</v>
      </c>
      <c r="B1004" t="s">
        <v>3589</v>
      </c>
      <c r="C1004" t="s">
        <v>3590</v>
      </c>
      <c r="D1004">
        <v>73</v>
      </c>
      <c r="E1004" t="s">
        <v>3591</v>
      </c>
      <c r="F1004" t="s">
        <v>3592</v>
      </c>
      <c r="G1004" t="s">
        <v>51</v>
      </c>
      <c r="H1004" t="s">
        <v>3593</v>
      </c>
      <c r="I1004" t="s">
        <v>1553</v>
      </c>
      <c r="J1004" t="s">
        <v>1554</v>
      </c>
      <c r="K1004" t="s">
        <v>3594</v>
      </c>
      <c r="L1004" t="s">
        <v>19</v>
      </c>
      <c r="M1004" t="s">
        <v>18</v>
      </c>
      <c r="N1004">
        <v>4541</v>
      </c>
      <c r="O1004">
        <v>241</v>
      </c>
      <c r="P1004">
        <v>0</v>
      </c>
      <c r="Q1004" t="s">
        <v>3967</v>
      </c>
      <c r="R1004" t="s">
        <v>3968</v>
      </c>
      <c r="S1004" t="s">
        <v>3969</v>
      </c>
      <c r="T1004" t="s">
        <v>3970</v>
      </c>
      <c r="U1004" t="s">
        <v>60</v>
      </c>
      <c r="V1004" t="s">
        <v>61</v>
      </c>
      <c r="W1004">
        <v>10</v>
      </c>
      <c r="X1004">
        <v>0.13</v>
      </c>
      <c r="Y1004" t="s">
        <v>301</v>
      </c>
      <c r="Z1004" t="s">
        <v>543</v>
      </c>
      <c r="AA1004">
        <v>3</v>
      </c>
      <c r="AB1004" t="s">
        <v>3598</v>
      </c>
      <c r="AC1004" t="s">
        <v>3599</v>
      </c>
      <c r="AD1004" t="s">
        <v>3600</v>
      </c>
      <c r="AE1004" t="s">
        <v>3601</v>
      </c>
      <c r="AF1004" t="s">
        <v>3602</v>
      </c>
      <c r="AG1004" t="s">
        <v>3902</v>
      </c>
      <c r="AH1004" t="s">
        <v>3903</v>
      </c>
      <c r="AI1004" t="s">
        <v>3902</v>
      </c>
      <c r="AJ1004" t="s">
        <v>66</v>
      </c>
      <c r="AK1004">
        <v>1</v>
      </c>
      <c r="AL1004" t="s">
        <v>3800</v>
      </c>
      <c r="AM1004" t="s">
        <v>3699</v>
      </c>
      <c r="AN1004" t="s">
        <v>3801</v>
      </c>
      <c r="AO1004" t="s">
        <v>66</v>
      </c>
      <c r="AP1004">
        <v>1</v>
      </c>
      <c r="AQ1004" t="s">
        <v>3904</v>
      </c>
      <c r="AR1004" t="s">
        <v>3905</v>
      </c>
      <c r="AS1004" t="s">
        <v>66</v>
      </c>
      <c r="AT1004" t="s">
        <v>66</v>
      </c>
    </row>
    <row r="1005" spans="1:46" x14ac:dyDescent="0.15">
      <c r="A1005" t="s">
        <v>3971</v>
      </c>
      <c r="B1005" t="s">
        <v>3589</v>
      </c>
      <c r="C1005" t="s">
        <v>3590</v>
      </c>
      <c r="D1005">
        <v>74</v>
      </c>
      <c r="E1005" t="s">
        <v>3591</v>
      </c>
      <c r="F1005" t="s">
        <v>3592</v>
      </c>
      <c r="G1005" t="s">
        <v>51</v>
      </c>
      <c r="H1005" t="s">
        <v>3593</v>
      </c>
      <c r="I1005" t="s">
        <v>1553</v>
      </c>
      <c r="J1005" t="s">
        <v>1554</v>
      </c>
      <c r="K1005" t="s">
        <v>3594</v>
      </c>
      <c r="L1005" t="s">
        <v>19</v>
      </c>
      <c r="M1005" t="s">
        <v>18</v>
      </c>
      <c r="N1005">
        <v>4597</v>
      </c>
      <c r="O1005">
        <v>244</v>
      </c>
      <c r="P1005">
        <v>0</v>
      </c>
      <c r="Q1005" t="s">
        <v>3972</v>
      </c>
      <c r="R1005" t="s">
        <v>3973</v>
      </c>
      <c r="S1005" t="s">
        <v>3974</v>
      </c>
      <c r="T1005" t="s">
        <v>3975</v>
      </c>
      <c r="U1005" t="s">
        <v>60</v>
      </c>
      <c r="V1005" t="s">
        <v>61</v>
      </c>
      <c r="W1005">
        <v>10</v>
      </c>
      <c r="X1005">
        <v>0.13</v>
      </c>
      <c r="Y1005" t="s">
        <v>549</v>
      </c>
      <c r="Z1005" t="s">
        <v>550</v>
      </c>
      <c r="AA1005">
        <v>3</v>
      </c>
      <c r="AB1005" t="s">
        <v>3598</v>
      </c>
      <c r="AC1005" t="s">
        <v>3599</v>
      </c>
      <c r="AD1005" t="s">
        <v>3600</v>
      </c>
      <c r="AE1005" t="s">
        <v>3601</v>
      </c>
      <c r="AF1005" t="s">
        <v>3602</v>
      </c>
      <c r="AG1005" t="s">
        <v>3902</v>
      </c>
      <c r="AH1005" t="s">
        <v>3903</v>
      </c>
      <c r="AI1005" t="s">
        <v>3902</v>
      </c>
      <c r="AJ1005" t="s">
        <v>66</v>
      </c>
      <c r="AK1005">
        <v>1</v>
      </c>
      <c r="AL1005" t="s">
        <v>3800</v>
      </c>
      <c r="AM1005" t="s">
        <v>3699</v>
      </c>
      <c r="AN1005" t="s">
        <v>3801</v>
      </c>
      <c r="AO1005" t="s">
        <v>66</v>
      </c>
      <c r="AP1005">
        <v>1</v>
      </c>
      <c r="AQ1005" t="s">
        <v>3904</v>
      </c>
      <c r="AR1005" t="s">
        <v>3905</v>
      </c>
      <c r="AS1005" t="s">
        <v>66</v>
      </c>
      <c r="AT1005" t="s">
        <v>66</v>
      </c>
    </row>
    <row r="1006" spans="1:46" x14ac:dyDescent="0.15">
      <c r="A1006" t="s">
        <v>3976</v>
      </c>
      <c r="B1006" t="s">
        <v>3589</v>
      </c>
      <c r="C1006" t="s">
        <v>3590</v>
      </c>
      <c r="D1006">
        <v>75</v>
      </c>
      <c r="E1006" t="s">
        <v>3591</v>
      </c>
      <c r="F1006" t="s">
        <v>3592</v>
      </c>
      <c r="G1006" t="s">
        <v>51</v>
      </c>
      <c r="H1006" t="s">
        <v>3593</v>
      </c>
      <c r="I1006" t="s">
        <v>1553</v>
      </c>
      <c r="J1006" t="s">
        <v>1554</v>
      </c>
      <c r="K1006" t="s">
        <v>3594</v>
      </c>
      <c r="L1006" t="s">
        <v>19</v>
      </c>
      <c r="M1006" t="s">
        <v>18</v>
      </c>
      <c r="N1006">
        <v>4653</v>
      </c>
      <c r="O1006">
        <v>247</v>
      </c>
      <c r="P1006">
        <v>0</v>
      </c>
      <c r="Q1006" t="s">
        <v>3977</v>
      </c>
      <c r="R1006" t="s">
        <v>3978</v>
      </c>
      <c r="S1006" t="s">
        <v>3979</v>
      </c>
      <c r="T1006" t="s">
        <v>3980</v>
      </c>
      <c r="U1006" t="s">
        <v>60</v>
      </c>
      <c r="V1006" t="s">
        <v>61</v>
      </c>
      <c r="W1006">
        <v>10</v>
      </c>
      <c r="X1006">
        <v>0.13</v>
      </c>
      <c r="Y1006" t="s">
        <v>308</v>
      </c>
      <c r="Z1006" t="s">
        <v>556</v>
      </c>
      <c r="AA1006">
        <v>3</v>
      </c>
      <c r="AB1006" t="s">
        <v>3598</v>
      </c>
      <c r="AC1006" t="s">
        <v>3599</v>
      </c>
      <c r="AD1006" t="s">
        <v>3600</v>
      </c>
      <c r="AE1006" t="s">
        <v>3601</v>
      </c>
      <c r="AF1006" t="s">
        <v>3602</v>
      </c>
      <c r="AG1006" t="s">
        <v>3902</v>
      </c>
      <c r="AH1006" t="s">
        <v>3903</v>
      </c>
      <c r="AI1006" t="s">
        <v>3902</v>
      </c>
      <c r="AJ1006" t="s">
        <v>66</v>
      </c>
      <c r="AK1006">
        <v>1</v>
      </c>
      <c r="AL1006" t="s">
        <v>3800</v>
      </c>
      <c r="AM1006" t="s">
        <v>3699</v>
      </c>
      <c r="AN1006" t="s">
        <v>3801</v>
      </c>
      <c r="AO1006" t="s">
        <v>66</v>
      </c>
      <c r="AP1006">
        <v>1</v>
      </c>
      <c r="AQ1006" t="s">
        <v>3904</v>
      </c>
      <c r="AR1006" t="s">
        <v>3905</v>
      </c>
      <c r="AS1006" t="s">
        <v>66</v>
      </c>
      <c r="AT1006" t="s">
        <v>66</v>
      </c>
    </row>
    <row r="1007" spans="1:46" x14ac:dyDescent="0.15">
      <c r="A1007" t="s">
        <v>3981</v>
      </c>
      <c r="B1007" t="s">
        <v>3589</v>
      </c>
      <c r="C1007" t="s">
        <v>3590</v>
      </c>
      <c r="D1007">
        <v>76</v>
      </c>
      <c r="E1007" t="s">
        <v>3591</v>
      </c>
      <c r="F1007" t="s">
        <v>3592</v>
      </c>
      <c r="G1007" t="s">
        <v>51</v>
      </c>
      <c r="H1007" t="s">
        <v>3593</v>
      </c>
      <c r="I1007" t="s">
        <v>1553</v>
      </c>
      <c r="J1007" t="s">
        <v>1554</v>
      </c>
      <c r="K1007" t="s">
        <v>3594</v>
      </c>
      <c r="L1007" t="s">
        <v>19</v>
      </c>
      <c r="M1007" t="s">
        <v>18</v>
      </c>
      <c r="N1007">
        <v>4709</v>
      </c>
      <c r="O1007">
        <v>250</v>
      </c>
      <c r="P1007">
        <v>0</v>
      </c>
      <c r="Q1007" t="s">
        <v>3982</v>
      </c>
      <c r="R1007" t="s">
        <v>3983</v>
      </c>
      <c r="S1007" t="s">
        <v>3984</v>
      </c>
      <c r="T1007" t="s">
        <v>3985</v>
      </c>
      <c r="U1007" t="s">
        <v>60</v>
      </c>
      <c r="V1007" t="s">
        <v>61</v>
      </c>
      <c r="W1007">
        <v>10</v>
      </c>
      <c r="X1007">
        <v>0.13</v>
      </c>
      <c r="Y1007" t="s">
        <v>562</v>
      </c>
      <c r="Z1007" t="s">
        <v>563</v>
      </c>
      <c r="AA1007">
        <v>3</v>
      </c>
      <c r="AB1007" t="s">
        <v>3598</v>
      </c>
      <c r="AC1007" t="s">
        <v>3599</v>
      </c>
      <c r="AD1007" t="s">
        <v>3600</v>
      </c>
      <c r="AE1007" t="s">
        <v>3601</v>
      </c>
      <c r="AF1007" t="s">
        <v>3602</v>
      </c>
      <c r="AG1007" t="s">
        <v>3902</v>
      </c>
      <c r="AH1007" t="s">
        <v>3903</v>
      </c>
      <c r="AI1007" t="s">
        <v>3902</v>
      </c>
      <c r="AJ1007" t="s">
        <v>66</v>
      </c>
      <c r="AK1007">
        <v>1</v>
      </c>
      <c r="AL1007" t="s">
        <v>3800</v>
      </c>
      <c r="AM1007" t="s">
        <v>3699</v>
      </c>
      <c r="AN1007" t="s">
        <v>3801</v>
      </c>
      <c r="AO1007" t="s">
        <v>66</v>
      </c>
      <c r="AP1007">
        <v>1</v>
      </c>
      <c r="AQ1007" t="s">
        <v>3904</v>
      </c>
      <c r="AR1007" t="s">
        <v>3905</v>
      </c>
      <c r="AS1007" t="s">
        <v>66</v>
      </c>
      <c r="AT1007" t="s">
        <v>66</v>
      </c>
    </row>
    <row r="1008" spans="1:46" x14ac:dyDescent="0.15">
      <c r="A1008" t="s">
        <v>3986</v>
      </c>
      <c r="B1008" t="s">
        <v>3589</v>
      </c>
      <c r="C1008" t="s">
        <v>3590</v>
      </c>
      <c r="D1008">
        <v>77</v>
      </c>
      <c r="E1008" t="s">
        <v>3591</v>
      </c>
      <c r="F1008" t="s">
        <v>3592</v>
      </c>
      <c r="G1008" t="s">
        <v>51</v>
      </c>
      <c r="H1008" t="s">
        <v>3593</v>
      </c>
      <c r="I1008" t="s">
        <v>1553</v>
      </c>
      <c r="J1008" t="s">
        <v>1554</v>
      </c>
      <c r="K1008" t="s">
        <v>3594</v>
      </c>
      <c r="L1008" t="s">
        <v>19</v>
      </c>
      <c r="M1008" t="s">
        <v>18</v>
      </c>
      <c r="N1008">
        <v>4765</v>
      </c>
      <c r="O1008">
        <v>253</v>
      </c>
      <c r="P1008">
        <v>0</v>
      </c>
      <c r="Q1008" t="s">
        <v>3987</v>
      </c>
      <c r="R1008" t="s">
        <v>3988</v>
      </c>
      <c r="S1008" t="s">
        <v>3989</v>
      </c>
      <c r="T1008" t="s">
        <v>3990</v>
      </c>
      <c r="U1008" t="s">
        <v>60</v>
      </c>
      <c r="V1008" t="s">
        <v>61</v>
      </c>
      <c r="W1008">
        <v>10</v>
      </c>
      <c r="X1008">
        <v>0.13</v>
      </c>
      <c r="Y1008" t="s">
        <v>314</v>
      </c>
      <c r="Z1008" t="s">
        <v>569</v>
      </c>
      <c r="AA1008">
        <v>3</v>
      </c>
      <c r="AB1008" t="s">
        <v>3598</v>
      </c>
      <c r="AC1008" t="s">
        <v>3599</v>
      </c>
      <c r="AD1008" t="s">
        <v>3600</v>
      </c>
      <c r="AE1008" t="s">
        <v>3601</v>
      </c>
      <c r="AF1008" t="s">
        <v>3602</v>
      </c>
      <c r="AG1008" t="s">
        <v>3902</v>
      </c>
      <c r="AH1008" t="s">
        <v>3903</v>
      </c>
      <c r="AI1008" t="s">
        <v>3902</v>
      </c>
      <c r="AJ1008" t="s">
        <v>66</v>
      </c>
      <c r="AK1008">
        <v>1</v>
      </c>
      <c r="AL1008" t="s">
        <v>3800</v>
      </c>
      <c r="AM1008" t="s">
        <v>3699</v>
      </c>
      <c r="AN1008" t="s">
        <v>3801</v>
      </c>
      <c r="AO1008" t="s">
        <v>66</v>
      </c>
      <c r="AP1008">
        <v>1</v>
      </c>
      <c r="AQ1008" t="s">
        <v>3904</v>
      </c>
      <c r="AR1008" t="s">
        <v>3905</v>
      </c>
      <c r="AS1008" t="s">
        <v>66</v>
      </c>
      <c r="AT1008" t="s">
        <v>66</v>
      </c>
    </row>
    <row r="1009" spans="1:46" x14ac:dyDescent="0.15">
      <c r="A1009" t="s">
        <v>3991</v>
      </c>
      <c r="B1009" t="s">
        <v>3589</v>
      </c>
      <c r="C1009" t="s">
        <v>3590</v>
      </c>
      <c r="D1009">
        <v>78</v>
      </c>
      <c r="E1009" t="s">
        <v>3591</v>
      </c>
      <c r="F1009" t="s">
        <v>3592</v>
      </c>
      <c r="G1009" t="s">
        <v>51</v>
      </c>
      <c r="H1009" t="s">
        <v>3593</v>
      </c>
      <c r="I1009" t="s">
        <v>1553</v>
      </c>
      <c r="J1009" t="s">
        <v>1554</v>
      </c>
      <c r="K1009" t="s">
        <v>3594</v>
      </c>
      <c r="L1009" t="s">
        <v>19</v>
      </c>
      <c r="M1009" t="s">
        <v>18</v>
      </c>
      <c r="N1009">
        <v>4821</v>
      </c>
      <c r="O1009">
        <v>256</v>
      </c>
      <c r="P1009">
        <v>0</v>
      </c>
      <c r="Q1009" t="s">
        <v>3992</v>
      </c>
      <c r="R1009" t="s">
        <v>3993</v>
      </c>
      <c r="S1009" t="s">
        <v>3994</v>
      </c>
      <c r="T1009" t="s">
        <v>3995</v>
      </c>
      <c r="U1009" t="s">
        <v>60</v>
      </c>
      <c r="V1009" t="s">
        <v>61</v>
      </c>
      <c r="W1009">
        <v>10</v>
      </c>
      <c r="X1009">
        <v>0.13</v>
      </c>
      <c r="Y1009" t="s">
        <v>575</v>
      </c>
      <c r="Z1009" t="s">
        <v>576</v>
      </c>
      <c r="AA1009">
        <v>3</v>
      </c>
      <c r="AB1009" t="s">
        <v>3598</v>
      </c>
      <c r="AC1009" t="s">
        <v>3599</v>
      </c>
      <c r="AD1009" t="s">
        <v>3600</v>
      </c>
      <c r="AE1009" t="s">
        <v>3601</v>
      </c>
      <c r="AF1009" t="s">
        <v>3602</v>
      </c>
      <c r="AG1009" t="s">
        <v>3902</v>
      </c>
      <c r="AH1009" t="s">
        <v>3903</v>
      </c>
      <c r="AI1009" t="s">
        <v>3902</v>
      </c>
      <c r="AJ1009" t="s">
        <v>66</v>
      </c>
      <c r="AK1009">
        <v>1</v>
      </c>
      <c r="AL1009" t="s">
        <v>3800</v>
      </c>
      <c r="AM1009" t="s">
        <v>3699</v>
      </c>
      <c r="AN1009" t="s">
        <v>3801</v>
      </c>
      <c r="AO1009" t="s">
        <v>66</v>
      </c>
      <c r="AP1009">
        <v>1</v>
      </c>
      <c r="AQ1009" t="s">
        <v>3904</v>
      </c>
      <c r="AR1009" t="s">
        <v>3905</v>
      </c>
      <c r="AS1009" t="s">
        <v>66</v>
      </c>
      <c r="AT1009" t="s">
        <v>66</v>
      </c>
    </row>
    <row r="1010" spans="1:46" x14ac:dyDescent="0.15">
      <c r="A1010" t="s">
        <v>3996</v>
      </c>
      <c r="B1010" t="s">
        <v>3589</v>
      </c>
      <c r="C1010" t="s">
        <v>3590</v>
      </c>
      <c r="D1010">
        <v>79</v>
      </c>
      <c r="E1010" t="s">
        <v>3591</v>
      </c>
      <c r="F1010" t="s">
        <v>3592</v>
      </c>
      <c r="G1010" t="s">
        <v>51</v>
      </c>
      <c r="H1010" t="s">
        <v>3593</v>
      </c>
      <c r="I1010" t="s">
        <v>1553</v>
      </c>
      <c r="J1010" t="s">
        <v>1554</v>
      </c>
      <c r="K1010" t="s">
        <v>3594</v>
      </c>
      <c r="L1010" t="s">
        <v>19</v>
      </c>
      <c r="M1010" t="s">
        <v>18</v>
      </c>
      <c r="N1010">
        <v>4878</v>
      </c>
      <c r="O1010">
        <v>259</v>
      </c>
      <c r="P1010">
        <v>0</v>
      </c>
      <c r="Q1010" t="s">
        <v>3997</v>
      </c>
      <c r="R1010" t="s">
        <v>3998</v>
      </c>
      <c r="S1010" t="s">
        <v>3999</v>
      </c>
      <c r="T1010" t="s">
        <v>4000</v>
      </c>
      <c r="U1010" t="s">
        <v>60</v>
      </c>
      <c r="V1010" t="s">
        <v>61</v>
      </c>
      <c r="W1010">
        <v>10</v>
      </c>
      <c r="X1010">
        <v>0.13</v>
      </c>
      <c r="Y1010" t="s">
        <v>321</v>
      </c>
      <c r="Z1010" t="s">
        <v>582</v>
      </c>
      <c r="AA1010">
        <v>3</v>
      </c>
      <c r="AB1010" t="s">
        <v>3598</v>
      </c>
      <c r="AC1010" t="s">
        <v>3599</v>
      </c>
      <c r="AD1010" t="s">
        <v>3600</v>
      </c>
      <c r="AE1010" t="s">
        <v>3601</v>
      </c>
      <c r="AF1010" t="s">
        <v>3602</v>
      </c>
      <c r="AG1010" t="s">
        <v>3902</v>
      </c>
      <c r="AH1010" t="s">
        <v>3903</v>
      </c>
      <c r="AI1010" t="s">
        <v>3902</v>
      </c>
      <c r="AJ1010" t="s">
        <v>66</v>
      </c>
      <c r="AK1010">
        <v>1</v>
      </c>
      <c r="AL1010" t="s">
        <v>3800</v>
      </c>
      <c r="AM1010" t="s">
        <v>3699</v>
      </c>
      <c r="AN1010" t="s">
        <v>3801</v>
      </c>
      <c r="AO1010" t="s">
        <v>66</v>
      </c>
      <c r="AP1010">
        <v>1</v>
      </c>
      <c r="AQ1010" t="s">
        <v>3904</v>
      </c>
      <c r="AR1010" t="s">
        <v>3905</v>
      </c>
      <c r="AS1010" t="s">
        <v>66</v>
      </c>
      <c r="AT1010" t="s">
        <v>66</v>
      </c>
    </row>
    <row r="1011" spans="1:46" x14ac:dyDescent="0.15">
      <c r="A1011" t="s">
        <v>4001</v>
      </c>
      <c r="B1011" t="s">
        <v>3589</v>
      </c>
      <c r="C1011" t="s">
        <v>3590</v>
      </c>
      <c r="D1011">
        <v>80</v>
      </c>
      <c r="E1011" t="s">
        <v>3591</v>
      </c>
      <c r="F1011" t="s">
        <v>3592</v>
      </c>
      <c r="G1011" t="s">
        <v>51</v>
      </c>
      <c r="H1011" t="s">
        <v>3593</v>
      </c>
      <c r="I1011" t="s">
        <v>1553</v>
      </c>
      <c r="J1011" t="s">
        <v>1554</v>
      </c>
      <c r="K1011" t="s">
        <v>3594</v>
      </c>
      <c r="L1011" t="s">
        <v>19</v>
      </c>
      <c r="M1011" t="s">
        <v>18</v>
      </c>
      <c r="N1011">
        <v>4934</v>
      </c>
      <c r="O1011">
        <v>262</v>
      </c>
      <c r="P1011">
        <v>0</v>
      </c>
      <c r="Q1011" t="s">
        <v>4002</v>
      </c>
      <c r="R1011" t="s">
        <v>4003</v>
      </c>
      <c r="S1011" t="s">
        <v>4004</v>
      </c>
      <c r="T1011" t="s">
        <v>4005</v>
      </c>
      <c r="U1011" t="s">
        <v>60</v>
      </c>
      <c r="V1011" t="s">
        <v>61</v>
      </c>
      <c r="W1011">
        <v>10</v>
      </c>
      <c r="X1011">
        <v>0.13</v>
      </c>
      <c r="Y1011" t="s">
        <v>588</v>
      </c>
      <c r="Z1011" t="s">
        <v>589</v>
      </c>
      <c r="AA1011">
        <v>3</v>
      </c>
      <c r="AB1011" t="s">
        <v>3598</v>
      </c>
      <c r="AC1011" t="s">
        <v>3599</v>
      </c>
      <c r="AD1011" t="s">
        <v>3600</v>
      </c>
      <c r="AE1011" t="s">
        <v>3601</v>
      </c>
      <c r="AF1011" t="s">
        <v>3602</v>
      </c>
      <c r="AG1011" t="s">
        <v>3902</v>
      </c>
      <c r="AH1011" t="s">
        <v>3903</v>
      </c>
      <c r="AI1011" t="s">
        <v>3902</v>
      </c>
      <c r="AJ1011" t="s">
        <v>66</v>
      </c>
      <c r="AK1011">
        <v>1</v>
      </c>
      <c r="AL1011" t="s">
        <v>3800</v>
      </c>
      <c r="AM1011" t="s">
        <v>3699</v>
      </c>
      <c r="AN1011" t="s">
        <v>3801</v>
      </c>
      <c r="AO1011" t="s">
        <v>66</v>
      </c>
      <c r="AP1011">
        <v>1</v>
      </c>
      <c r="AQ1011" t="s">
        <v>3904</v>
      </c>
      <c r="AR1011" t="s">
        <v>3905</v>
      </c>
      <c r="AS1011" t="s">
        <v>66</v>
      </c>
      <c r="AT1011" t="s">
        <v>66</v>
      </c>
    </row>
    <row r="1012" spans="1:46" x14ac:dyDescent="0.15">
      <c r="A1012" t="s">
        <v>4001</v>
      </c>
      <c r="B1012" t="s">
        <v>3589</v>
      </c>
      <c r="C1012" t="s">
        <v>3590</v>
      </c>
      <c r="D1012">
        <v>80</v>
      </c>
      <c r="E1012" t="s">
        <v>3591</v>
      </c>
      <c r="F1012" t="s">
        <v>3592</v>
      </c>
      <c r="G1012" t="s">
        <v>51</v>
      </c>
      <c r="H1012" t="s">
        <v>3593</v>
      </c>
      <c r="I1012" t="s">
        <v>1553</v>
      </c>
      <c r="J1012" t="s">
        <v>1554</v>
      </c>
      <c r="K1012" t="s">
        <v>3594</v>
      </c>
      <c r="L1012" t="s">
        <v>19</v>
      </c>
      <c r="M1012" t="s">
        <v>18</v>
      </c>
      <c r="N1012">
        <v>4934</v>
      </c>
      <c r="O1012">
        <v>262</v>
      </c>
      <c r="P1012">
        <v>0</v>
      </c>
      <c r="Q1012" t="s">
        <v>4002</v>
      </c>
      <c r="R1012" t="s">
        <v>4003</v>
      </c>
      <c r="S1012" t="s">
        <v>4004</v>
      </c>
      <c r="T1012" t="s">
        <v>4005</v>
      </c>
      <c r="U1012" t="s">
        <v>60</v>
      </c>
      <c r="V1012" t="s">
        <v>61</v>
      </c>
      <c r="W1012">
        <v>10</v>
      </c>
      <c r="X1012">
        <v>0.13</v>
      </c>
      <c r="Y1012" t="s">
        <v>588</v>
      </c>
      <c r="Z1012" t="s">
        <v>589</v>
      </c>
      <c r="AA1012">
        <v>4</v>
      </c>
      <c r="AB1012" t="s">
        <v>3598</v>
      </c>
      <c r="AC1012" t="s">
        <v>3599</v>
      </c>
      <c r="AD1012" t="s">
        <v>3600</v>
      </c>
      <c r="AE1012" t="s">
        <v>3601</v>
      </c>
      <c r="AF1012" t="s">
        <v>3602</v>
      </c>
      <c r="AG1012" t="s">
        <v>3902</v>
      </c>
      <c r="AH1012" t="s">
        <v>3903</v>
      </c>
      <c r="AI1012" t="s">
        <v>3902</v>
      </c>
      <c r="AJ1012" t="s">
        <v>4006</v>
      </c>
      <c r="AK1012">
        <v>1</v>
      </c>
      <c r="AL1012" t="s">
        <v>3800</v>
      </c>
      <c r="AM1012" t="s">
        <v>3699</v>
      </c>
      <c r="AN1012" t="s">
        <v>3801</v>
      </c>
      <c r="AO1012" t="s">
        <v>66</v>
      </c>
      <c r="AP1012">
        <v>1</v>
      </c>
      <c r="AQ1012" t="s">
        <v>3904</v>
      </c>
      <c r="AR1012" t="s">
        <v>3905</v>
      </c>
      <c r="AS1012" t="s">
        <v>66</v>
      </c>
      <c r="AT1012" t="s">
        <v>66</v>
      </c>
    </row>
    <row r="1013" spans="1:46" x14ac:dyDescent="0.15">
      <c r="A1013" t="s">
        <v>4007</v>
      </c>
      <c r="B1013" t="s">
        <v>3589</v>
      </c>
      <c r="C1013" t="s">
        <v>3590</v>
      </c>
      <c r="D1013">
        <v>81</v>
      </c>
      <c r="E1013" t="s">
        <v>3591</v>
      </c>
      <c r="F1013" t="s">
        <v>3592</v>
      </c>
      <c r="G1013" t="s">
        <v>51</v>
      </c>
      <c r="H1013" t="s">
        <v>3593</v>
      </c>
      <c r="I1013" t="s">
        <v>1553</v>
      </c>
      <c r="J1013" t="s">
        <v>1554</v>
      </c>
      <c r="K1013" t="s">
        <v>3594</v>
      </c>
      <c r="L1013" t="s">
        <v>19</v>
      </c>
      <c r="M1013" t="s">
        <v>18</v>
      </c>
      <c r="N1013">
        <v>4990</v>
      </c>
      <c r="O1013">
        <v>265</v>
      </c>
      <c r="P1013">
        <v>0</v>
      </c>
      <c r="Q1013" t="s">
        <v>4008</v>
      </c>
      <c r="R1013" t="s">
        <v>4009</v>
      </c>
      <c r="S1013" t="s">
        <v>4010</v>
      </c>
      <c r="T1013" t="s">
        <v>4011</v>
      </c>
      <c r="U1013" t="s">
        <v>60</v>
      </c>
      <c r="V1013" t="s">
        <v>61</v>
      </c>
      <c r="W1013">
        <v>10</v>
      </c>
      <c r="X1013">
        <v>0.13</v>
      </c>
      <c r="Y1013" t="s">
        <v>330</v>
      </c>
      <c r="Z1013" t="s">
        <v>596</v>
      </c>
      <c r="AA1013">
        <v>4</v>
      </c>
      <c r="AB1013" t="s">
        <v>3598</v>
      </c>
      <c r="AC1013" t="s">
        <v>3599</v>
      </c>
      <c r="AD1013" t="s">
        <v>3600</v>
      </c>
      <c r="AE1013" t="s">
        <v>3601</v>
      </c>
      <c r="AF1013" t="s">
        <v>3602</v>
      </c>
      <c r="AG1013" t="s">
        <v>3902</v>
      </c>
      <c r="AH1013" t="s">
        <v>3903</v>
      </c>
      <c r="AI1013" t="s">
        <v>3902</v>
      </c>
      <c r="AJ1013" t="s">
        <v>4006</v>
      </c>
      <c r="AK1013">
        <v>1</v>
      </c>
      <c r="AL1013" t="s">
        <v>3800</v>
      </c>
      <c r="AM1013" t="s">
        <v>3699</v>
      </c>
      <c r="AN1013" t="s">
        <v>3801</v>
      </c>
      <c r="AO1013" t="s">
        <v>66</v>
      </c>
      <c r="AP1013">
        <v>1</v>
      </c>
      <c r="AQ1013" t="s">
        <v>3904</v>
      </c>
      <c r="AR1013" t="s">
        <v>3905</v>
      </c>
      <c r="AS1013" t="s">
        <v>66</v>
      </c>
      <c r="AT1013" t="s">
        <v>66</v>
      </c>
    </row>
    <row r="1014" spans="1:46" x14ac:dyDescent="0.15">
      <c r="A1014" t="s">
        <v>4012</v>
      </c>
      <c r="B1014" t="s">
        <v>3589</v>
      </c>
      <c r="C1014" t="s">
        <v>3590</v>
      </c>
      <c r="D1014">
        <v>82</v>
      </c>
      <c r="E1014" t="s">
        <v>3591</v>
      </c>
      <c r="F1014" t="s">
        <v>3592</v>
      </c>
      <c r="G1014" t="s">
        <v>51</v>
      </c>
      <c r="H1014" t="s">
        <v>3593</v>
      </c>
      <c r="I1014" t="s">
        <v>1553</v>
      </c>
      <c r="J1014" t="s">
        <v>1554</v>
      </c>
      <c r="K1014" t="s">
        <v>3594</v>
      </c>
      <c r="L1014" t="s">
        <v>19</v>
      </c>
      <c r="M1014" t="s">
        <v>18</v>
      </c>
      <c r="N1014">
        <v>5046</v>
      </c>
      <c r="O1014">
        <v>268</v>
      </c>
      <c r="P1014">
        <v>0</v>
      </c>
      <c r="Q1014" t="s">
        <v>4013</v>
      </c>
      <c r="R1014" t="s">
        <v>4014</v>
      </c>
      <c r="S1014" t="s">
        <v>4015</v>
      </c>
      <c r="T1014" t="s">
        <v>4016</v>
      </c>
      <c r="U1014" t="s">
        <v>60</v>
      </c>
      <c r="V1014" t="s">
        <v>61</v>
      </c>
      <c r="W1014">
        <v>10</v>
      </c>
      <c r="X1014">
        <v>0.13</v>
      </c>
      <c r="Y1014" t="s">
        <v>602</v>
      </c>
      <c r="Z1014" t="s">
        <v>603</v>
      </c>
      <c r="AA1014">
        <v>4</v>
      </c>
      <c r="AB1014" t="s">
        <v>3598</v>
      </c>
      <c r="AC1014" t="s">
        <v>3599</v>
      </c>
      <c r="AD1014" t="s">
        <v>3600</v>
      </c>
      <c r="AE1014" t="s">
        <v>3601</v>
      </c>
      <c r="AF1014" t="s">
        <v>3602</v>
      </c>
      <c r="AG1014" t="s">
        <v>3902</v>
      </c>
      <c r="AH1014" t="s">
        <v>3903</v>
      </c>
      <c r="AI1014" t="s">
        <v>3902</v>
      </c>
      <c r="AJ1014" t="s">
        <v>4006</v>
      </c>
      <c r="AK1014">
        <v>1</v>
      </c>
      <c r="AL1014" t="s">
        <v>3800</v>
      </c>
      <c r="AM1014" t="s">
        <v>3699</v>
      </c>
      <c r="AN1014" t="s">
        <v>3801</v>
      </c>
      <c r="AO1014" t="s">
        <v>66</v>
      </c>
      <c r="AP1014">
        <v>1</v>
      </c>
      <c r="AQ1014" t="s">
        <v>3904</v>
      </c>
      <c r="AR1014" t="s">
        <v>3905</v>
      </c>
      <c r="AS1014" t="s">
        <v>66</v>
      </c>
      <c r="AT1014" t="s">
        <v>66</v>
      </c>
    </row>
    <row r="1015" spans="1:46" x14ac:dyDescent="0.15">
      <c r="A1015" t="s">
        <v>4017</v>
      </c>
      <c r="B1015" t="s">
        <v>3589</v>
      </c>
      <c r="C1015" t="s">
        <v>3590</v>
      </c>
      <c r="D1015">
        <v>83</v>
      </c>
      <c r="E1015" t="s">
        <v>3591</v>
      </c>
      <c r="F1015" t="s">
        <v>3592</v>
      </c>
      <c r="G1015" t="s">
        <v>51</v>
      </c>
      <c r="H1015" t="s">
        <v>3593</v>
      </c>
      <c r="I1015" t="s">
        <v>1553</v>
      </c>
      <c r="J1015" t="s">
        <v>1554</v>
      </c>
      <c r="K1015" t="s">
        <v>3594</v>
      </c>
      <c r="L1015" t="s">
        <v>19</v>
      </c>
      <c r="M1015" t="s">
        <v>18</v>
      </c>
      <c r="N1015">
        <v>5102</v>
      </c>
      <c r="O1015">
        <v>271</v>
      </c>
      <c r="P1015">
        <v>0</v>
      </c>
      <c r="Q1015" t="s">
        <v>4018</v>
      </c>
      <c r="R1015" t="s">
        <v>4019</v>
      </c>
      <c r="S1015" t="s">
        <v>4020</v>
      </c>
      <c r="T1015" t="s">
        <v>4021</v>
      </c>
      <c r="U1015" t="s">
        <v>60</v>
      </c>
      <c r="V1015" t="s">
        <v>61</v>
      </c>
      <c r="W1015">
        <v>10</v>
      </c>
      <c r="X1015">
        <v>0.13</v>
      </c>
      <c r="Y1015" t="s">
        <v>337</v>
      </c>
      <c r="Z1015" t="s">
        <v>609</v>
      </c>
      <c r="AA1015">
        <v>4</v>
      </c>
      <c r="AB1015" t="s">
        <v>3598</v>
      </c>
      <c r="AC1015" t="s">
        <v>3599</v>
      </c>
      <c r="AD1015" t="s">
        <v>3600</v>
      </c>
      <c r="AE1015" t="s">
        <v>3601</v>
      </c>
      <c r="AF1015" t="s">
        <v>3602</v>
      </c>
      <c r="AG1015" t="s">
        <v>3902</v>
      </c>
      <c r="AH1015" t="s">
        <v>3903</v>
      </c>
      <c r="AI1015" t="s">
        <v>3902</v>
      </c>
      <c r="AJ1015" t="s">
        <v>4006</v>
      </c>
      <c r="AK1015">
        <v>1</v>
      </c>
      <c r="AL1015" t="s">
        <v>3800</v>
      </c>
      <c r="AM1015" t="s">
        <v>3699</v>
      </c>
      <c r="AN1015" t="s">
        <v>3801</v>
      </c>
      <c r="AO1015" t="s">
        <v>66</v>
      </c>
      <c r="AP1015">
        <v>1</v>
      </c>
      <c r="AQ1015" t="s">
        <v>3904</v>
      </c>
      <c r="AR1015" t="s">
        <v>3905</v>
      </c>
      <c r="AS1015" t="s">
        <v>66</v>
      </c>
      <c r="AT1015" t="s">
        <v>66</v>
      </c>
    </row>
    <row r="1016" spans="1:46" x14ac:dyDescent="0.15">
      <c r="A1016" t="s">
        <v>4022</v>
      </c>
      <c r="B1016" t="s">
        <v>3589</v>
      </c>
      <c r="C1016" t="s">
        <v>3590</v>
      </c>
      <c r="D1016">
        <v>84</v>
      </c>
      <c r="E1016" t="s">
        <v>3591</v>
      </c>
      <c r="F1016" t="s">
        <v>3592</v>
      </c>
      <c r="G1016" t="s">
        <v>51</v>
      </c>
      <c r="H1016" t="s">
        <v>3593</v>
      </c>
      <c r="I1016" t="s">
        <v>1553</v>
      </c>
      <c r="J1016" t="s">
        <v>1554</v>
      </c>
      <c r="K1016" t="s">
        <v>3594</v>
      </c>
      <c r="L1016" t="s">
        <v>19</v>
      </c>
      <c r="M1016" t="s">
        <v>18</v>
      </c>
      <c r="N1016">
        <v>5158</v>
      </c>
      <c r="O1016">
        <v>274</v>
      </c>
      <c r="P1016">
        <v>0</v>
      </c>
      <c r="Q1016" t="s">
        <v>4023</v>
      </c>
      <c r="R1016" t="s">
        <v>4024</v>
      </c>
      <c r="S1016" t="s">
        <v>4025</v>
      </c>
      <c r="T1016" t="s">
        <v>4026</v>
      </c>
      <c r="U1016" t="s">
        <v>60</v>
      </c>
      <c r="V1016" t="s">
        <v>61</v>
      </c>
      <c r="W1016">
        <v>10</v>
      </c>
      <c r="X1016">
        <v>0.13</v>
      </c>
      <c r="Y1016" t="s">
        <v>615</v>
      </c>
      <c r="Z1016" t="s">
        <v>616</v>
      </c>
      <c r="AA1016">
        <v>4</v>
      </c>
      <c r="AB1016" t="s">
        <v>3598</v>
      </c>
      <c r="AC1016" t="s">
        <v>3599</v>
      </c>
      <c r="AD1016" t="s">
        <v>3600</v>
      </c>
      <c r="AE1016" t="s">
        <v>3601</v>
      </c>
      <c r="AF1016" t="s">
        <v>3602</v>
      </c>
      <c r="AG1016" t="s">
        <v>3902</v>
      </c>
      <c r="AH1016" t="s">
        <v>3903</v>
      </c>
      <c r="AI1016" t="s">
        <v>3902</v>
      </c>
      <c r="AJ1016" t="s">
        <v>4006</v>
      </c>
      <c r="AK1016">
        <v>1</v>
      </c>
      <c r="AL1016" t="s">
        <v>3800</v>
      </c>
      <c r="AM1016" t="s">
        <v>3699</v>
      </c>
      <c r="AN1016" t="s">
        <v>3801</v>
      </c>
      <c r="AO1016" t="s">
        <v>66</v>
      </c>
      <c r="AP1016">
        <v>1</v>
      </c>
      <c r="AQ1016" t="s">
        <v>3904</v>
      </c>
      <c r="AR1016" t="s">
        <v>3905</v>
      </c>
      <c r="AS1016" t="s">
        <v>66</v>
      </c>
      <c r="AT1016" t="s">
        <v>66</v>
      </c>
    </row>
    <row r="1017" spans="1:46" x14ac:dyDescent="0.15">
      <c r="A1017" t="s">
        <v>4027</v>
      </c>
      <c r="B1017" t="s">
        <v>3589</v>
      </c>
      <c r="C1017" t="s">
        <v>3590</v>
      </c>
      <c r="D1017">
        <v>85</v>
      </c>
      <c r="E1017" t="s">
        <v>3591</v>
      </c>
      <c r="F1017" t="s">
        <v>3592</v>
      </c>
      <c r="G1017" t="s">
        <v>51</v>
      </c>
      <c r="H1017" t="s">
        <v>3593</v>
      </c>
      <c r="I1017" t="s">
        <v>1553</v>
      </c>
      <c r="J1017" t="s">
        <v>1554</v>
      </c>
      <c r="K1017" t="s">
        <v>3594</v>
      </c>
      <c r="L1017" t="s">
        <v>19</v>
      </c>
      <c r="M1017" t="s">
        <v>18</v>
      </c>
      <c r="N1017">
        <v>5214</v>
      </c>
      <c r="O1017">
        <v>276</v>
      </c>
      <c r="P1017">
        <v>0</v>
      </c>
      <c r="Q1017" t="s">
        <v>4028</v>
      </c>
      <c r="R1017" t="s">
        <v>4029</v>
      </c>
      <c r="S1017" t="s">
        <v>4030</v>
      </c>
      <c r="T1017" t="s">
        <v>4031</v>
      </c>
      <c r="U1017" t="s">
        <v>60</v>
      </c>
      <c r="V1017" t="s">
        <v>61</v>
      </c>
      <c r="W1017">
        <v>10</v>
      </c>
      <c r="X1017">
        <v>0.13</v>
      </c>
      <c r="Y1017" t="s">
        <v>343</v>
      </c>
      <c r="Z1017" t="s">
        <v>622</v>
      </c>
      <c r="AA1017">
        <v>4</v>
      </c>
      <c r="AB1017" t="s">
        <v>3598</v>
      </c>
      <c r="AC1017" t="s">
        <v>3599</v>
      </c>
      <c r="AD1017" t="s">
        <v>3600</v>
      </c>
      <c r="AE1017" t="s">
        <v>3601</v>
      </c>
      <c r="AF1017" t="s">
        <v>3602</v>
      </c>
      <c r="AG1017" t="s">
        <v>3902</v>
      </c>
      <c r="AH1017" t="s">
        <v>3903</v>
      </c>
      <c r="AI1017" t="s">
        <v>3902</v>
      </c>
      <c r="AJ1017" t="s">
        <v>4006</v>
      </c>
      <c r="AK1017">
        <v>1</v>
      </c>
      <c r="AL1017" t="s">
        <v>3800</v>
      </c>
      <c r="AM1017" t="s">
        <v>3699</v>
      </c>
      <c r="AN1017" t="s">
        <v>3801</v>
      </c>
      <c r="AO1017" t="s">
        <v>66</v>
      </c>
      <c r="AP1017">
        <v>1</v>
      </c>
      <c r="AQ1017" t="s">
        <v>3904</v>
      </c>
      <c r="AR1017" t="s">
        <v>3905</v>
      </c>
      <c r="AS1017" t="s">
        <v>66</v>
      </c>
      <c r="AT1017" t="s">
        <v>66</v>
      </c>
    </row>
    <row r="1018" spans="1:46" x14ac:dyDescent="0.15">
      <c r="A1018" t="s">
        <v>4032</v>
      </c>
      <c r="B1018" t="s">
        <v>3589</v>
      </c>
      <c r="C1018" t="s">
        <v>3590</v>
      </c>
      <c r="D1018">
        <v>86</v>
      </c>
      <c r="E1018" t="s">
        <v>3591</v>
      </c>
      <c r="F1018" t="s">
        <v>3592</v>
      </c>
      <c r="G1018" t="s">
        <v>51</v>
      </c>
      <c r="H1018" t="s">
        <v>3593</v>
      </c>
      <c r="I1018" t="s">
        <v>1553</v>
      </c>
      <c r="J1018" t="s">
        <v>1554</v>
      </c>
      <c r="K1018" t="s">
        <v>3594</v>
      </c>
      <c r="L1018" t="s">
        <v>19</v>
      </c>
      <c r="M1018" t="s">
        <v>18</v>
      </c>
      <c r="N1018">
        <v>5270</v>
      </c>
      <c r="O1018">
        <v>279</v>
      </c>
      <c r="P1018">
        <v>0</v>
      </c>
      <c r="Q1018" t="s">
        <v>4033</v>
      </c>
      <c r="R1018" t="s">
        <v>4034</v>
      </c>
      <c r="S1018" t="s">
        <v>4035</v>
      </c>
      <c r="T1018" t="s">
        <v>4036</v>
      </c>
      <c r="U1018" t="s">
        <v>60</v>
      </c>
      <c r="V1018" t="s">
        <v>61</v>
      </c>
      <c r="W1018">
        <v>10</v>
      </c>
      <c r="X1018">
        <v>0.13</v>
      </c>
      <c r="Y1018" t="s">
        <v>628</v>
      </c>
      <c r="Z1018" t="s">
        <v>629</v>
      </c>
      <c r="AA1018">
        <v>4</v>
      </c>
      <c r="AB1018" t="s">
        <v>3598</v>
      </c>
      <c r="AC1018" t="s">
        <v>3599</v>
      </c>
      <c r="AD1018" t="s">
        <v>3600</v>
      </c>
      <c r="AE1018" t="s">
        <v>3601</v>
      </c>
      <c r="AF1018" t="s">
        <v>3602</v>
      </c>
      <c r="AG1018" t="s">
        <v>3902</v>
      </c>
      <c r="AH1018" t="s">
        <v>3903</v>
      </c>
      <c r="AI1018" t="s">
        <v>3902</v>
      </c>
      <c r="AJ1018" t="s">
        <v>4006</v>
      </c>
      <c r="AK1018">
        <v>1</v>
      </c>
      <c r="AL1018" t="s">
        <v>3800</v>
      </c>
      <c r="AM1018" t="s">
        <v>3699</v>
      </c>
      <c r="AN1018" t="s">
        <v>3801</v>
      </c>
      <c r="AO1018" t="s">
        <v>66</v>
      </c>
      <c r="AP1018">
        <v>1</v>
      </c>
      <c r="AQ1018" t="s">
        <v>3904</v>
      </c>
      <c r="AR1018" t="s">
        <v>3905</v>
      </c>
      <c r="AS1018" t="s">
        <v>66</v>
      </c>
      <c r="AT1018" t="s">
        <v>66</v>
      </c>
    </row>
    <row r="1019" spans="1:46" x14ac:dyDescent="0.15">
      <c r="A1019" t="s">
        <v>4037</v>
      </c>
      <c r="B1019" t="s">
        <v>3589</v>
      </c>
      <c r="C1019" t="s">
        <v>3590</v>
      </c>
      <c r="D1019">
        <v>87</v>
      </c>
      <c r="E1019" t="s">
        <v>3591</v>
      </c>
      <c r="F1019" t="s">
        <v>3592</v>
      </c>
      <c r="G1019" t="s">
        <v>51</v>
      </c>
      <c r="H1019" t="s">
        <v>3593</v>
      </c>
      <c r="I1019" t="s">
        <v>1553</v>
      </c>
      <c r="J1019" t="s">
        <v>1554</v>
      </c>
      <c r="K1019" t="s">
        <v>3594</v>
      </c>
      <c r="L1019" t="s">
        <v>19</v>
      </c>
      <c r="M1019" t="s">
        <v>18</v>
      </c>
      <c r="N1019">
        <v>5327</v>
      </c>
      <c r="O1019">
        <v>282</v>
      </c>
      <c r="P1019">
        <v>0</v>
      </c>
      <c r="Q1019" t="s">
        <v>4038</v>
      </c>
      <c r="R1019" t="s">
        <v>4039</v>
      </c>
      <c r="S1019" t="s">
        <v>4040</v>
      </c>
      <c r="T1019" t="s">
        <v>4041</v>
      </c>
      <c r="U1019" t="s">
        <v>60</v>
      </c>
      <c r="V1019" t="s">
        <v>61</v>
      </c>
      <c r="W1019">
        <v>10</v>
      </c>
      <c r="X1019">
        <v>0.13</v>
      </c>
      <c r="Y1019" t="s">
        <v>350</v>
      </c>
      <c r="Z1019" t="s">
        <v>635</v>
      </c>
      <c r="AA1019">
        <v>4</v>
      </c>
      <c r="AB1019" t="s">
        <v>3598</v>
      </c>
      <c r="AC1019" t="s">
        <v>3599</v>
      </c>
      <c r="AD1019" t="s">
        <v>3600</v>
      </c>
      <c r="AE1019" t="s">
        <v>3601</v>
      </c>
      <c r="AF1019" t="s">
        <v>3602</v>
      </c>
      <c r="AG1019" t="s">
        <v>3902</v>
      </c>
      <c r="AH1019" t="s">
        <v>3903</v>
      </c>
      <c r="AI1019" t="s">
        <v>3902</v>
      </c>
      <c r="AJ1019" t="s">
        <v>4006</v>
      </c>
      <c r="AK1019">
        <v>1</v>
      </c>
      <c r="AL1019" t="s">
        <v>3800</v>
      </c>
      <c r="AM1019" t="s">
        <v>3699</v>
      </c>
      <c r="AN1019" t="s">
        <v>3801</v>
      </c>
      <c r="AO1019" t="s">
        <v>66</v>
      </c>
      <c r="AP1019">
        <v>1</v>
      </c>
      <c r="AQ1019" t="s">
        <v>3904</v>
      </c>
      <c r="AR1019" t="s">
        <v>3905</v>
      </c>
      <c r="AS1019" t="s">
        <v>66</v>
      </c>
      <c r="AT1019" t="s">
        <v>66</v>
      </c>
    </row>
    <row r="1020" spans="1:46" x14ac:dyDescent="0.15">
      <c r="A1020" t="s">
        <v>4042</v>
      </c>
      <c r="B1020" t="s">
        <v>3589</v>
      </c>
      <c r="C1020" t="s">
        <v>3590</v>
      </c>
      <c r="D1020">
        <v>88</v>
      </c>
      <c r="E1020" t="s">
        <v>3591</v>
      </c>
      <c r="F1020" t="s">
        <v>3592</v>
      </c>
      <c r="G1020" t="s">
        <v>51</v>
      </c>
      <c r="H1020" t="s">
        <v>3593</v>
      </c>
      <c r="I1020" t="s">
        <v>1553</v>
      </c>
      <c r="J1020" t="s">
        <v>1554</v>
      </c>
      <c r="K1020" t="s">
        <v>3594</v>
      </c>
      <c r="L1020" t="s">
        <v>19</v>
      </c>
      <c r="M1020" t="s">
        <v>18</v>
      </c>
      <c r="N1020">
        <v>5383</v>
      </c>
      <c r="O1020">
        <v>285</v>
      </c>
      <c r="P1020">
        <v>0</v>
      </c>
      <c r="Q1020" t="s">
        <v>4043</v>
      </c>
      <c r="R1020" t="s">
        <v>4044</v>
      </c>
      <c r="S1020" t="s">
        <v>4045</v>
      </c>
      <c r="T1020" t="s">
        <v>4046</v>
      </c>
      <c r="U1020" t="s">
        <v>60</v>
      </c>
      <c r="V1020" t="s">
        <v>61</v>
      </c>
      <c r="W1020">
        <v>10</v>
      </c>
      <c r="X1020">
        <v>0.13</v>
      </c>
      <c r="Y1020" t="s">
        <v>641</v>
      </c>
      <c r="Z1020" t="s">
        <v>642</v>
      </c>
      <c r="AA1020">
        <v>4</v>
      </c>
      <c r="AB1020" t="s">
        <v>3598</v>
      </c>
      <c r="AC1020" t="s">
        <v>3599</v>
      </c>
      <c r="AD1020" t="s">
        <v>3600</v>
      </c>
      <c r="AE1020" t="s">
        <v>3601</v>
      </c>
      <c r="AF1020" t="s">
        <v>3602</v>
      </c>
      <c r="AG1020" t="s">
        <v>3902</v>
      </c>
      <c r="AH1020" t="s">
        <v>3903</v>
      </c>
      <c r="AI1020" t="s">
        <v>3902</v>
      </c>
      <c r="AJ1020" t="s">
        <v>4006</v>
      </c>
      <c r="AK1020">
        <v>1</v>
      </c>
      <c r="AL1020" t="s">
        <v>3800</v>
      </c>
      <c r="AM1020" t="s">
        <v>3699</v>
      </c>
      <c r="AN1020" t="s">
        <v>3801</v>
      </c>
      <c r="AO1020" t="s">
        <v>66</v>
      </c>
      <c r="AP1020">
        <v>1</v>
      </c>
      <c r="AQ1020" t="s">
        <v>3904</v>
      </c>
      <c r="AR1020" t="s">
        <v>3905</v>
      </c>
      <c r="AS1020" t="s">
        <v>66</v>
      </c>
      <c r="AT1020" t="s">
        <v>66</v>
      </c>
    </row>
    <row r="1021" spans="1:46" x14ac:dyDescent="0.15">
      <c r="A1021" t="s">
        <v>4047</v>
      </c>
      <c r="B1021" t="s">
        <v>3589</v>
      </c>
      <c r="C1021" t="s">
        <v>3590</v>
      </c>
      <c r="D1021">
        <v>89</v>
      </c>
      <c r="E1021" t="s">
        <v>3591</v>
      </c>
      <c r="F1021" t="s">
        <v>3592</v>
      </c>
      <c r="G1021" t="s">
        <v>51</v>
      </c>
      <c r="H1021" t="s">
        <v>3593</v>
      </c>
      <c r="I1021" t="s">
        <v>1553</v>
      </c>
      <c r="J1021" t="s">
        <v>1554</v>
      </c>
      <c r="K1021" t="s">
        <v>3594</v>
      </c>
      <c r="L1021" t="s">
        <v>19</v>
      </c>
      <c r="M1021" t="s">
        <v>18</v>
      </c>
      <c r="N1021">
        <v>5439</v>
      </c>
      <c r="O1021">
        <v>288</v>
      </c>
      <c r="P1021">
        <v>0</v>
      </c>
      <c r="Q1021" t="s">
        <v>4048</v>
      </c>
      <c r="R1021" t="s">
        <v>4049</v>
      </c>
      <c r="S1021" t="s">
        <v>4050</v>
      </c>
      <c r="T1021" t="s">
        <v>4051</v>
      </c>
      <c r="U1021" t="s">
        <v>60</v>
      </c>
      <c r="V1021" t="s">
        <v>61</v>
      </c>
      <c r="W1021">
        <v>10</v>
      </c>
      <c r="X1021">
        <v>0.13</v>
      </c>
      <c r="Y1021" t="s">
        <v>356</v>
      </c>
      <c r="Z1021" t="s">
        <v>648</v>
      </c>
      <c r="AA1021">
        <v>4</v>
      </c>
      <c r="AB1021" t="s">
        <v>3598</v>
      </c>
      <c r="AC1021" t="s">
        <v>3599</v>
      </c>
      <c r="AD1021" t="s">
        <v>3600</v>
      </c>
      <c r="AE1021" t="s">
        <v>3601</v>
      </c>
      <c r="AF1021" t="s">
        <v>3602</v>
      </c>
      <c r="AG1021" t="s">
        <v>3902</v>
      </c>
      <c r="AH1021" t="s">
        <v>3903</v>
      </c>
      <c r="AI1021" t="s">
        <v>3902</v>
      </c>
      <c r="AJ1021" t="s">
        <v>4006</v>
      </c>
      <c r="AK1021">
        <v>1</v>
      </c>
      <c r="AL1021" t="s">
        <v>3800</v>
      </c>
      <c r="AM1021" t="s">
        <v>3699</v>
      </c>
      <c r="AN1021" t="s">
        <v>3801</v>
      </c>
      <c r="AO1021" t="s">
        <v>66</v>
      </c>
      <c r="AP1021">
        <v>1</v>
      </c>
      <c r="AQ1021" t="s">
        <v>3904</v>
      </c>
      <c r="AR1021" t="s">
        <v>3905</v>
      </c>
      <c r="AS1021" t="s">
        <v>66</v>
      </c>
      <c r="AT1021" t="s">
        <v>66</v>
      </c>
    </row>
    <row r="1022" spans="1:46" x14ac:dyDescent="0.15">
      <c r="A1022" t="s">
        <v>4052</v>
      </c>
      <c r="B1022" t="s">
        <v>3589</v>
      </c>
      <c r="C1022" t="s">
        <v>3590</v>
      </c>
      <c r="D1022">
        <v>90</v>
      </c>
      <c r="E1022" t="s">
        <v>3591</v>
      </c>
      <c r="F1022" t="s">
        <v>3592</v>
      </c>
      <c r="G1022" t="s">
        <v>51</v>
      </c>
      <c r="H1022" t="s">
        <v>3593</v>
      </c>
      <c r="I1022" t="s">
        <v>1553</v>
      </c>
      <c r="J1022" t="s">
        <v>1554</v>
      </c>
      <c r="K1022" t="s">
        <v>3594</v>
      </c>
      <c r="L1022" t="s">
        <v>19</v>
      </c>
      <c r="M1022" t="s">
        <v>18</v>
      </c>
      <c r="N1022">
        <v>5495</v>
      </c>
      <c r="O1022">
        <v>291</v>
      </c>
      <c r="P1022">
        <v>0</v>
      </c>
      <c r="Q1022" t="s">
        <v>4053</v>
      </c>
      <c r="R1022" t="s">
        <v>4054</v>
      </c>
      <c r="S1022" t="s">
        <v>4055</v>
      </c>
      <c r="T1022" t="s">
        <v>4056</v>
      </c>
      <c r="U1022" t="s">
        <v>60</v>
      </c>
      <c r="V1022" t="s">
        <v>61</v>
      </c>
      <c r="W1022">
        <v>10</v>
      </c>
      <c r="X1022">
        <v>0.13</v>
      </c>
      <c r="Y1022" t="s">
        <v>654</v>
      </c>
      <c r="Z1022" t="s">
        <v>655</v>
      </c>
      <c r="AA1022">
        <v>4</v>
      </c>
      <c r="AB1022" t="s">
        <v>3598</v>
      </c>
      <c r="AC1022" t="s">
        <v>3599</v>
      </c>
      <c r="AD1022" t="s">
        <v>3600</v>
      </c>
      <c r="AE1022" t="s">
        <v>3601</v>
      </c>
      <c r="AF1022" t="s">
        <v>3602</v>
      </c>
      <c r="AG1022" t="s">
        <v>3902</v>
      </c>
      <c r="AH1022" t="s">
        <v>3903</v>
      </c>
      <c r="AI1022" t="s">
        <v>3902</v>
      </c>
      <c r="AJ1022" t="s">
        <v>4006</v>
      </c>
      <c r="AK1022">
        <v>1</v>
      </c>
      <c r="AL1022" t="s">
        <v>3800</v>
      </c>
      <c r="AM1022" t="s">
        <v>3699</v>
      </c>
      <c r="AN1022" t="s">
        <v>3801</v>
      </c>
      <c r="AO1022" t="s">
        <v>66</v>
      </c>
      <c r="AP1022">
        <v>1</v>
      </c>
      <c r="AQ1022" t="s">
        <v>3904</v>
      </c>
      <c r="AR1022" t="s">
        <v>3905</v>
      </c>
      <c r="AS1022" t="s">
        <v>66</v>
      </c>
      <c r="AT1022" t="s">
        <v>66</v>
      </c>
    </row>
    <row r="1023" spans="1:46" x14ac:dyDescent="0.15">
      <c r="A1023" t="s">
        <v>4057</v>
      </c>
      <c r="B1023" t="s">
        <v>3589</v>
      </c>
      <c r="C1023" t="s">
        <v>3590</v>
      </c>
      <c r="D1023">
        <v>91</v>
      </c>
      <c r="E1023" t="s">
        <v>3591</v>
      </c>
      <c r="F1023" t="s">
        <v>3592</v>
      </c>
      <c r="G1023" t="s">
        <v>51</v>
      </c>
      <c r="H1023" t="s">
        <v>3593</v>
      </c>
      <c r="I1023" t="s">
        <v>1553</v>
      </c>
      <c r="J1023" t="s">
        <v>1554</v>
      </c>
      <c r="K1023" t="s">
        <v>3594</v>
      </c>
      <c r="L1023" t="s">
        <v>19</v>
      </c>
      <c r="M1023" t="s">
        <v>18</v>
      </c>
      <c r="N1023">
        <v>5551</v>
      </c>
      <c r="O1023">
        <v>294</v>
      </c>
      <c r="P1023">
        <v>0</v>
      </c>
      <c r="Q1023" t="s">
        <v>4058</v>
      </c>
      <c r="R1023" t="s">
        <v>4059</v>
      </c>
      <c r="S1023" t="s">
        <v>4060</v>
      </c>
      <c r="T1023" t="s">
        <v>4061</v>
      </c>
      <c r="U1023" t="s">
        <v>60</v>
      </c>
      <c r="V1023" t="s">
        <v>61</v>
      </c>
      <c r="W1023">
        <v>10</v>
      </c>
      <c r="X1023">
        <v>0.13</v>
      </c>
      <c r="Y1023" t="s">
        <v>363</v>
      </c>
      <c r="Z1023" t="s">
        <v>661</v>
      </c>
      <c r="AA1023">
        <v>4</v>
      </c>
      <c r="AB1023" t="s">
        <v>3598</v>
      </c>
      <c r="AC1023" t="s">
        <v>3599</v>
      </c>
      <c r="AD1023" t="s">
        <v>3600</v>
      </c>
      <c r="AE1023" t="s">
        <v>3601</v>
      </c>
      <c r="AF1023" t="s">
        <v>3602</v>
      </c>
      <c r="AG1023" t="s">
        <v>3902</v>
      </c>
      <c r="AH1023" t="s">
        <v>3903</v>
      </c>
      <c r="AI1023" t="s">
        <v>3902</v>
      </c>
      <c r="AJ1023" t="s">
        <v>4006</v>
      </c>
      <c r="AK1023">
        <v>1</v>
      </c>
      <c r="AL1023" t="s">
        <v>3800</v>
      </c>
      <c r="AM1023" t="s">
        <v>3699</v>
      </c>
      <c r="AN1023" t="s">
        <v>3801</v>
      </c>
      <c r="AO1023" t="s">
        <v>66</v>
      </c>
      <c r="AP1023">
        <v>1</v>
      </c>
      <c r="AQ1023" t="s">
        <v>3904</v>
      </c>
      <c r="AR1023" t="s">
        <v>3905</v>
      </c>
      <c r="AS1023" t="s">
        <v>66</v>
      </c>
      <c r="AT1023" t="s">
        <v>66</v>
      </c>
    </row>
    <row r="1024" spans="1:46" x14ac:dyDescent="0.15">
      <c r="A1024" t="s">
        <v>4062</v>
      </c>
      <c r="B1024" t="s">
        <v>3589</v>
      </c>
      <c r="C1024" t="s">
        <v>3590</v>
      </c>
      <c r="D1024">
        <v>92</v>
      </c>
      <c r="E1024" t="s">
        <v>3591</v>
      </c>
      <c r="F1024" t="s">
        <v>3592</v>
      </c>
      <c r="G1024" t="s">
        <v>51</v>
      </c>
      <c r="H1024" t="s">
        <v>3593</v>
      </c>
      <c r="I1024" t="s">
        <v>1553</v>
      </c>
      <c r="J1024" t="s">
        <v>1554</v>
      </c>
      <c r="K1024" t="s">
        <v>3594</v>
      </c>
      <c r="L1024" t="s">
        <v>19</v>
      </c>
      <c r="M1024" t="s">
        <v>18</v>
      </c>
      <c r="N1024">
        <v>5607</v>
      </c>
      <c r="O1024">
        <v>297</v>
      </c>
      <c r="P1024">
        <v>0</v>
      </c>
      <c r="Q1024" t="s">
        <v>4063</v>
      </c>
      <c r="R1024" t="s">
        <v>4064</v>
      </c>
      <c r="S1024" t="s">
        <v>4065</v>
      </c>
      <c r="T1024" t="s">
        <v>4066</v>
      </c>
      <c r="U1024" t="s">
        <v>60</v>
      </c>
      <c r="V1024" t="s">
        <v>61</v>
      </c>
      <c r="W1024">
        <v>10</v>
      </c>
      <c r="X1024">
        <v>0.13</v>
      </c>
      <c r="Y1024" t="s">
        <v>667</v>
      </c>
      <c r="Z1024" t="s">
        <v>668</v>
      </c>
      <c r="AA1024">
        <v>4</v>
      </c>
      <c r="AB1024" t="s">
        <v>3598</v>
      </c>
      <c r="AC1024" t="s">
        <v>3599</v>
      </c>
      <c r="AD1024" t="s">
        <v>3600</v>
      </c>
      <c r="AE1024" t="s">
        <v>3601</v>
      </c>
      <c r="AF1024" t="s">
        <v>3602</v>
      </c>
      <c r="AG1024" t="s">
        <v>3902</v>
      </c>
      <c r="AH1024" t="s">
        <v>3903</v>
      </c>
      <c r="AI1024" t="s">
        <v>3902</v>
      </c>
      <c r="AJ1024" t="s">
        <v>4006</v>
      </c>
      <c r="AK1024">
        <v>1</v>
      </c>
      <c r="AL1024" t="s">
        <v>3800</v>
      </c>
      <c r="AM1024" t="s">
        <v>3699</v>
      </c>
      <c r="AN1024" t="s">
        <v>3801</v>
      </c>
      <c r="AO1024" t="s">
        <v>66</v>
      </c>
      <c r="AP1024">
        <v>1</v>
      </c>
      <c r="AQ1024" t="s">
        <v>3904</v>
      </c>
      <c r="AR1024" t="s">
        <v>3905</v>
      </c>
      <c r="AS1024" t="s">
        <v>66</v>
      </c>
      <c r="AT1024" t="s">
        <v>66</v>
      </c>
    </row>
    <row r="1025" spans="1:46" x14ac:dyDescent="0.15">
      <c r="A1025" t="s">
        <v>4067</v>
      </c>
      <c r="B1025" t="s">
        <v>3589</v>
      </c>
      <c r="C1025" t="s">
        <v>3590</v>
      </c>
      <c r="D1025">
        <v>93</v>
      </c>
      <c r="E1025" t="s">
        <v>3591</v>
      </c>
      <c r="F1025" t="s">
        <v>3592</v>
      </c>
      <c r="G1025" t="s">
        <v>51</v>
      </c>
      <c r="H1025" t="s">
        <v>3593</v>
      </c>
      <c r="I1025" t="s">
        <v>1553</v>
      </c>
      <c r="J1025" t="s">
        <v>1554</v>
      </c>
      <c r="K1025" t="s">
        <v>3594</v>
      </c>
      <c r="L1025" t="s">
        <v>19</v>
      </c>
      <c r="M1025" t="s">
        <v>18</v>
      </c>
      <c r="N1025">
        <v>5663</v>
      </c>
      <c r="O1025">
        <v>300</v>
      </c>
      <c r="P1025">
        <v>0</v>
      </c>
      <c r="Q1025" t="s">
        <v>4068</v>
      </c>
      <c r="R1025" t="s">
        <v>4069</v>
      </c>
      <c r="S1025" t="s">
        <v>4070</v>
      </c>
      <c r="T1025" t="s">
        <v>4071</v>
      </c>
      <c r="U1025" t="s">
        <v>60</v>
      </c>
      <c r="V1025" t="s">
        <v>61</v>
      </c>
      <c r="W1025">
        <v>10</v>
      </c>
      <c r="X1025">
        <v>0.13</v>
      </c>
      <c r="Y1025" t="s">
        <v>369</v>
      </c>
      <c r="Z1025" t="s">
        <v>674</v>
      </c>
      <c r="AA1025">
        <v>4</v>
      </c>
      <c r="AB1025" t="s">
        <v>3598</v>
      </c>
      <c r="AC1025" t="s">
        <v>3599</v>
      </c>
      <c r="AD1025" t="s">
        <v>3600</v>
      </c>
      <c r="AE1025" t="s">
        <v>3601</v>
      </c>
      <c r="AF1025" t="s">
        <v>3602</v>
      </c>
      <c r="AG1025" t="s">
        <v>3902</v>
      </c>
      <c r="AH1025" t="s">
        <v>3903</v>
      </c>
      <c r="AI1025" t="s">
        <v>3902</v>
      </c>
      <c r="AJ1025" t="s">
        <v>4006</v>
      </c>
      <c r="AK1025">
        <v>1</v>
      </c>
      <c r="AL1025" t="s">
        <v>3800</v>
      </c>
      <c r="AM1025" t="s">
        <v>3699</v>
      </c>
      <c r="AN1025" t="s">
        <v>3801</v>
      </c>
      <c r="AO1025" t="s">
        <v>66</v>
      </c>
      <c r="AP1025">
        <v>1</v>
      </c>
      <c r="AQ1025" t="s">
        <v>3904</v>
      </c>
      <c r="AR1025" t="s">
        <v>3905</v>
      </c>
      <c r="AS1025" t="s">
        <v>66</v>
      </c>
      <c r="AT1025" t="s">
        <v>66</v>
      </c>
    </row>
    <row r="1026" spans="1:46" x14ac:dyDescent="0.15">
      <c r="A1026" t="s">
        <v>4072</v>
      </c>
      <c r="B1026" t="s">
        <v>3589</v>
      </c>
      <c r="C1026" t="s">
        <v>3590</v>
      </c>
      <c r="D1026">
        <v>94</v>
      </c>
      <c r="E1026" t="s">
        <v>3591</v>
      </c>
      <c r="F1026" t="s">
        <v>3592</v>
      </c>
      <c r="G1026" t="s">
        <v>51</v>
      </c>
      <c r="H1026" t="s">
        <v>3593</v>
      </c>
      <c r="I1026" t="s">
        <v>1553</v>
      </c>
      <c r="J1026" t="s">
        <v>1554</v>
      </c>
      <c r="K1026" t="s">
        <v>3594</v>
      </c>
      <c r="L1026" t="s">
        <v>19</v>
      </c>
      <c r="M1026" t="s">
        <v>18</v>
      </c>
      <c r="N1026">
        <v>5719</v>
      </c>
      <c r="O1026">
        <v>303</v>
      </c>
      <c r="P1026">
        <v>0</v>
      </c>
      <c r="Q1026" t="s">
        <v>4073</v>
      </c>
      <c r="R1026" t="s">
        <v>4074</v>
      </c>
      <c r="S1026" t="s">
        <v>4075</v>
      </c>
      <c r="T1026" t="s">
        <v>4076</v>
      </c>
      <c r="U1026" t="s">
        <v>60</v>
      </c>
      <c r="V1026" t="s">
        <v>61</v>
      </c>
      <c r="W1026">
        <v>10</v>
      </c>
      <c r="X1026">
        <v>0.13</v>
      </c>
      <c r="Y1026" t="s">
        <v>680</v>
      </c>
      <c r="Z1026" t="s">
        <v>681</v>
      </c>
      <c r="AA1026">
        <v>4</v>
      </c>
      <c r="AB1026" t="s">
        <v>3598</v>
      </c>
      <c r="AC1026" t="s">
        <v>3599</v>
      </c>
      <c r="AD1026" t="s">
        <v>3600</v>
      </c>
      <c r="AE1026" t="s">
        <v>3601</v>
      </c>
      <c r="AF1026" t="s">
        <v>3602</v>
      </c>
      <c r="AG1026" t="s">
        <v>3902</v>
      </c>
      <c r="AH1026" t="s">
        <v>3903</v>
      </c>
      <c r="AI1026" t="s">
        <v>3902</v>
      </c>
      <c r="AJ1026" t="s">
        <v>4006</v>
      </c>
      <c r="AK1026">
        <v>1</v>
      </c>
      <c r="AL1026" t="s">
        <v>3800</v>
      </c>
      <c r="AM1026" t="s">
        <v>3699</v>
      </c>
      <c r="AN1026" t="s">
        <v>3801</v>
      </c>
      <c r="AO1026" t="s">
        <v>66</v>
      </c>
      <c r="AP1026">
        <v>1</v>
      </c>
      <c r="AQ1026" t="s">
        <v>3904</v>
      </c>
      <c r="AR1026" t="s">
        <v>3905</v>
      </c>
      <c r="AS1026" t="s">
        <v>66</v>
      </c>
      <c r="AT1026" t="s">
        <v>66</v>
      </c>
    </row>
    <row r="1027" spans="1:46" x14ac:dyDescent="0.15">
      <c r="A1027" t="s">
        <v>4077</v>
      </c>
      <c r="B1027" t="s">
        <v>3589</v>
      </c>
      <c r="C1027" t="s">
        <v>3590</v>
      </c>
      <c r="D1027">
        <v>95</v>
      </c>
      <c r="E1027" t="s">
        <v>3591</v>
      </c>
      <c r="F1027" t="s">
        <v>3592</v>
      </c>
      <c r="G1027" t="s">
        <v>51</v>
      </c>
      <c r="H1027" t="s">
        <v>3593</v>
      </c>
      <c r="I1027" t="s">
        <v>1553</v>
      </c>
      <c r="J1027" t="s">
        <v>1554</v>
      </c>
      <c r="K1027" t="s">
        <v>3594</v>
      </c>
      <c r="L1027" t="s">
        <v>19</v>
      </c>
      <c r="M1027" t="s">
        <v>18</v>
      </c>
      <c r="N1027">
        <v>5776</v>
      </c>
      <c r="O1027">
        <v>306</v>
      </c>
      <c r="P1027">
        <v>0</v>
      </c>
      <c r="Q1027" t="s">
        <v>4078</v>
      </c>
      <c r="R1027" t="s">
        <v>4079</v>
      </c>
      <c r="S1027" t="s">
        <v>4080</v>
      </c>
      <c r="T1027" t="s">
        <v>4081</v>
      </c>
      <c r="U1027" t="s">
        <v>60</v>
      </c>
      <c r="V1027" t="s">
        <v>61</v>
      </c>
      <c r="W1027">
        <v>10</v>
      </c>
      <c r="X1027">
        <v>0.13</v>
      </c>
      <c r="Y1027" t="s">
        <v>376</v>
      </c>
      <c r="Z1027" t="s">
        <v>687</v>
      </c>
      <c r="AA1027">
        <v>4</v>
      </c>
      <c r="AB1027" t="s">
        <v>3598</v>
      </c>
      <c r="AC1027" t="s">
        <v>3599</v>
      </c>
      <c r="AD1027" t="s">
        <v>3600</v>
      </c>
      <c r="AE1027" t="s">
        <v>3601</v>
      </c>
      <c r="AF1027" t="s">
        <v>3602</v>
      </c>
      <c r="AG1027" t="s">
        <v>3902</v>
      </c>
      <c r="AH1027" t="s">
        <v>3903</v>
      </c>
      <c r="AI1027" t="s">
        <v>3902</v>
      </c>
      <c r="AJ1027" t="s">
        <v>4006</v>
      </c>
      <c r="AK1027">
        <v>1</v>
      </c>
      <c r="AL1027" t="s">
        <v>3800</v>
      </c>
      <c r="AM1027" t="s">
        <v>3699</v>
      </c>
      <c r="AN1027" t="s">
        <v>3801</v>
      </c>
      <c r="AO1027" t="s">
        <v>66</v>
      </c>
      <c r="AP1027">
        <v>1</v>
      </c>
      <c r="AQ1027" t="s">
        <v>3904</v>
      </c>
      <c r="AR1027" t="s">
        <v>3905</v>
      </c>
      <c r="AS1027" t="s">
        <v>66</v>
      </c>
      <c r="AT1027" t="s">
        <v>66</v>
      </c>
    </row>
    <row r="1028" spans="1:46" x14ac:dyDescent="0.15">
      <c r="A1028" t="s">
        <v>4082</v>
      </c>
      <c r="B1028" t="s">
        <v>3589</v>
      </c>
      <c r="C1028" t="s">
        <v>3590</v>
      </c>
      <c r="D1028">
        <v>96</v>
      </c>
      <c r="E1028" t="s">
        <v>3591</v>
      </c>
      <c r="F1028" t="s">
        <v>3592</v>
      </c>
      <c r="G1028" t="s">
        <v>51</v>
      </c>
      <c r="H1028" t="s">
        <v>3593</v>
      </c>
      <c r="I1028" t="s">
        <v>1553</v>
      </c>
      <c r="J1028" t="s">
        <v>1554</v>
      </c>
      <c r="K1028" t="s">
        <v>3594</v>
      </c>
      <c r="L1028" t="s">
        <v>19</v>
      </c>
      <c r="M1028" t="s">
        <v>18</v>
      </c>
      <c r="N1028">
        <v>5832</v>
      </c>
      <c r="O1028">
        <v>309</v>
      </c>
      <c r="P1028">
        <v>0</v>
      </c>
      <c r="Q1028" t="s">
        <v>4083</v>
      </c>
      <c r="R1028" t="s">
        <v>4084</v>
      </c>
      <c r="S1028" t="s">
        <v>4085</v>
      </c>
      <c r="T1028" t="s">
        <v>4086</v>
      </c>
      <c r="U1028" t="s">
        <v>60</v>
      </c>
      <c r="V1028" t="s">
        <v>61</v>
      </c>
      <c r="W1028">
        <v>10</v>
      </c>
      <c r="X1028">
        <v>0.13</v>
      </c>
      <c r="Y1028" t="s">
        <v>693</v>
      </c>
      <c r="Z1028" t="s">
        <v>694</v>
      </c>
      <c r="AA1028">
        <v>4</v>
      </c>
      <c r="AB1028" t="s">
        <v>3598</v>
      </c>
      <c r="AC1028" t="s">
        <v>3599</v>
      </c>
      <c r="AD1028" t="s">
        <v>3600</v>
      </c>
      <c r="AE1028" t="s">
        <v>3601</v>
      </c>
      <c r="AF1028" t="s">
        <v>3602</v>
      </c>
      <c r="AG1028" t="s">
        <v>3902</v>
      </c>
      <c r="AH1028" t="s">
        <v>3903</v>
      </c>
      <c r="AI1028" t="s">
        <v>3902</v>
      </c>
      <c r="AJ1028" t="s">
        <v>4006</v>
      </c>
      <c r="AK1028">
        <v>1</v>
      </c>
      <c r="AL1028" t="s">
        <v>3800</v>
      </c>
      <c r="AM1028" t="s">
        <v>3699</v>
      </c>
      <c r="AN1028" t="s">
        <v>3801</v>
      </c>
      <c r="AO1028" t="s">
        <v>66</v>
      </c>
      <c r="AP1028">
        <v>1</v>
      </c>
      <c r="AQ1028" t="s">
        <v>3904</v>
      </c>
      <c r="AR1028" t="s">
        <v>3905</v>
      </c>
      <c r="AS1028" t="s">
        <v>66</v>
      </c>
      <c r="AT1028" t="s">
        <v>66</v>
      </c>
    </row>
    <row r="1029" spans="1:46" x14ac:dyDescent="0.15">
      <c r="A1029" t="s">
        <v>4087</v>
      </c>
      <c r="B1029" t="s">
        <v>3589</v>
      </c>
      <c r="C1029" t="s">
        <v>3590</v>
      </c>
      <c r="D1029">
        <v>97</v>
      </c>
      <c r="E1029" t="s">
        <v>3591</v>
      </c>
      <c r="F1029" t="s">
        <v>3592</v>
      </c>
      <c r="G1029" t="s">
        <v>51</v>
      </c>
      <c r="H1029" t="s">
        <v>3593</v>
      </c>
      <c r="I1029" t="s">
        <v>1553</v>
      </c>
      <c r="J1029" t="s">
        <v>1554</v>
      </c>
      <c r="K1029" t="s">
        <v>3594</v>
      </c>
      <c r="L1029" t="s">
        <v>19</v>
      </c>
      <c r="M1029" t="s">
        <v>18</v>
      </c>
      <c r="N1029">
        <v>5888</v>
      </c>
      <c r="O1029">
        <v>312</v>
      </c>
      <c r="P1029">
        <v>0</v>
      </c>
      <c r="Q1029" t="s">
        <v>4088</v>
      </c>
      <c r="R1029" t="s">
        <v>4089</v>
      </c>
      <c r="S1029" t="s">
        <v>4090</v>
      </c>
      <c r="T1029" t="s">
        <v>4091</v>
      </c>
      <c r="U1029" t="s">
        <v>60</v>
      </c>
      <c r="V1029" t="s">
        <v>61</v>
      </c>
      <c r="W1029">
        <v>10</v>
      </c>
      <c r="X1029">
        <v>0.13</v>
      </c>
      <c r="Y1029" t="s">
        <v>382</v>
      </c>
      <c r="Z1029" t="s">
        <v>700</v>
      </c>
      <c r="AA1029">
        <v>4</v>
      </c>
      <c r="AB1029" t="s">
        <v>3598</v>
      </c>
      <c r="AC1029" t="s">
        <v>3599</v>
      </c>
      <c r="AD1029" t="s">
        <v>3600</v>
      </c>
      <c r="AE1029" t="s">
        <v>3601</v>
      </c>
      <c r="AF1029" t="s">
        <v>3602</v>
      </c>
      <c r="AG1029" t="s">
        <v>3902</v>
      </c>
      <c r="AH1029" t="s">
        <v>3903</v>
      </c>
      <c r="AI1029" t="s">
        <v>3902</v>
      </c>
      <c r="AJ1029" t="s">
        <v>4006</v>
      </c>
      <c r="AK1029">
        <v>1</v>
      </c>
      <c r="AL1029" t="s">
        <v>3800</v>
      </c>
      <c r="AM1029" t="s">
        <v>3699</v>
      </c>
      <c r="AN1029" t="s">
        <v>3801</v>
      </c>
      <c r="AO1029" t="s">
        <v>66</v>
      </c>
      <c r="AP1029">
        <v>1</v>
      </c>
      <c r="AQ1029" t="s">
        <v>3904</v>
      </c>
      <c r="AR1029" t="s">
        <v>3905</v>
      </c>
      <c r="AS1029" t="s">
        <v>66</v>
      </c>
      <c r="AT1029" t="s">
        <v>66</v>
      </c>
    </row>
    <row r="1030" spans="1:46" x14ac:dyDescent="0.15">
      <c r="A1030" t="s">
        <v>4092</v>
      </c>
      <c r="B1030" t="s">
        <v>3589</v>
      </c>
      <c r="C1030" t="s">
        <v>3590</v>
      </c>
      <c r="D1030">
        <v>98</v>
      </c>
      <c r="E1030" t="s">
        <v>3591</v>
      </c>
      <c r="F1030" t="s">
        <v>3592</v>
      </c>
      <c r="G1030" t="s">
        <v>51</v>
      </c>
      <c r="H1030" t="s">
        <v>3593</v>
      </c>
      <c r="I1030" t="s">
        <v>1553</v>
      </c>
      <c r="J1030" t="s">
        <v>1554</v>
      </c>
      <c r="K1030" t="s">
        <v>3594</v>
      </c>
      <c r="L1030" t="s">
        <v>19</v>
      </c>
      <c r="M1030" t="s">
        <v>18</v>
      </c>
      <c r="N1030">
        <v>5944</v>
      </c>
      <c r="O1030">
        <v>315</v>
      </c>
      <c r="P1030">
        <v>0</v>
      </c>
      <c r="Q1030" t="s">
        <v>4093</v>
      </c>
      <c r="R1030" t="s">
        <v>4094</v>
      </c>
      <c r="S1030" t="s">
        <v>4095</v>
      </c>
      <c r="T1030" t="s">
        <v>4096</v>
      </c>
      <c r="U1030" t="s">
        <v>60</v>
      </c>
      <c r="V1030" t="s">
        <v>61</v>
      </c>
      <c r="W1030">
        <v>10</v>
      </c>
      <c r="X1030">
        <v>0.13</v>
      </c>
      <c r="Y1030" t="s">
        <v>706</v>
      </c>
      <c r="Z1030" t="s">
        <v>707</v>
      </c>
      <c r="AA1030">
        <v>4</v>
      </c>
      <c r="AB1030" t="s">
        <v>3598</v>
      </c>
      <c r="AC1030" t="s">
        <v>3599</v>
      </c>
      <c r="AD1030" t="s">
        <v>3600</v>
      </c>
      <c r="AE1030" t="s">
        <v>3601</v>
      </c>
      <c r="AF1030" t="s">
        <v>3602</v>
      </c>
      <c r="AG1030" t="s">
        <v>3902</v>
      </c>
      <c r="AH1030" t="s">
        <v>3903</v>
      </c>
      <c r="AI1030" t="s">
        <v>3902</v>
      </c>
      <c r="AJ1030" t="s">
        <v>4006</v>
      </c>
      <c r="AK1030">
        <v>1</v>
      </c>
      <c r="AL1030" t="s">
        <v>3800</v>
      </c>
      <c r="AM1030" t="s">
        <v>3699</v>
      </c>
      <c r="AN1030" t="s">
        <v>3801</v>
      </c>
      <c r="AO1030" t="s">
        <v>66</v>
      </c>
      <c r="AP1030">
        <v>1</v>
      </c>
      <c r="AQ1030" t="s">
        <v>3904</v>
      </c>
      <c r="AR1030" t="s">
        <v>3905</v>
      </c>
      <c r="AS1030" t="s">
        <v>66</v>
      </c>
      <c r="AT1030" t="s">
        <v>66</v>
      </c>
    </row>
    <row r="1031" spans="1:46" x14ac:dyDescent="0.15">
      <c r="A1031" t="s">
        <v>4097</v>
      </c>
      <c r="B1031" t="s">
        <v>3589</v>
      </c>
      <c r="C1031" t="s">
        <v>3590</v>
      </c>
      <c r="D1031">
        <v>99</v>
      </c>
      <c r="E1031" t="s">
        <v>3591</v>
      </c>
      <c r="F1031" t="s">
        <v>3592</v>
      </c>
      <c r="G1031" t="s">
        <v>51</v>
      </c>
      <c r="H1031" t="s">
        <v>3593</v>
      </c>
      <c r="I1031" t="s">
        <v>1553</v>
      </c>
      <c r="J1031" t="s">
        <v>1554</v>
      </c>
      <c r="K1031" t="s">
        <v>3594</v>
      </c>
      <c r="L1031" t="s">
        <v>19</v>
      </c>
      <c r="M1031" t="s">
        <v>18</v>
      </c>
      <c r="N1031">
        <v>6000</v>
      </c>
      <c r="O1031">
        <v>318</v>
      </c>
      <c r="P1031">
        <v>0</v>
      </c>
      <c r="Q1031" t="s">
        <v>4098</v>
      </c>
      <c r="R1031" t="s">
        <v>4099</v>
      </c>
      <c r="S1031" t="s">
        <v>4100</v>
      </c>
      <c r="T1031" t="s">
        <v>4101</v>
      </c>
      <c r="U1031" t="s">
        <v>60</v>
      </c>
      <c r="V1031" t="s">
        <v>61</v>
      </c>
      <c r="W1031">
        <v>10</v>
      </c>
      <c r="X1031">
        <v>0.13</v>
      </c>
      <c r="Y1031" t="s">
        <v>389</v>
      </c>
      <c r="Z1031" t="s">
        <v>713</v>
      </c>
      <c r="AA1031">
        <v>4</v>
      </c>
      <c r="AB1031" t="s">
        <v>3598</v>
      </c>
      <c r="AC1031" t="s">
        <v>3599</v>
      </c>
      <c r="AD1031" t="s">
        <v>3600</v>
      </c>
      <c r="AE1031" t="s">
        <v>3601</v>
      </c>
      <c r="AF1031" t="s">
        <v>3602</v>
      </c>
      <c r="AG1031" t="s">
        <v>3902</v>
      </c>
      <c r="AH1031" t="s">
        <v>3903</v>
      </c>
      <c r="AI1031" t="s">
        <v>3902</v>
      </c>
      <c r="AJ1031" t="s">
        <v>4006</v>
      </c>
      <c r="AK1031">
        <v>1</v>
      </c>
      <c r="AL1031" t="s">
        <v>3800</v>
      </c>
      <c r="AM1031" t="s">
        <v>3699</v>
      </c>
      <c r="AN1031" t="s">
        <v>3801</v>
      </c>
      <c r="AO1031" t="s">
        <v>66</v>
      </c>
      <c r="AP1031">
        <v>1</v>
      </c>
      <c r="AQ1031" t="s">
        <v>3904</v>
      </c>
      <c r="AR1031" t="s">
        <v>3905</v>
      </c>
      <c r="AS1031" t="s">
        <v>66</v>
      </c>
      <c r="AT1031" t="s">
        <v>66</v>
      </c>
    </row>
    <row r="1032" spans="1:46" x14ac:dyDescent="0.15">
      <c r="A1032" t="s">
        <v>4102</v>
      </c>
      <c r="B1032" t="s">
        <v>4103</v>
      </c>
      <c r="C1032" t="s">
        <v>4104</v>
      </c>
      <c r="D1032">
        <v>1</v>
      </c>
      <c r="E1032" t="s">
        <v>4105</v>
      </c>
      <c r="F1032" t="s">
        <v>718</v>
      </c>
      <c r="G1032" t="s">
        <v>51</v>
      </c>
      <c r="H1032" t="s">
        <v>4106</v>
      </c>
      <c r="I1032" t="s">
        <v>1553</v>
      </c>
      <c r="J1032" t="s">
        <v>721</v>
      </c>
      <c r="K1032" t="s">
        <v>3594</v>
      </c>
      <c r="L1032" t="s">
        <v>16</v>
      </c>
      <c r="M1032" t="s">
        <v>19</v>
      </c>
      <c r="N1032">
        <v>500</v>
      </c>
      <c r="O1032">
        <v>30</v>
      </c>
      <c r="P1032">
        <v>0</v>
      </c>
      <c r="Q1032" t="s">
        <v>2573</v>
      </c>
      <c r="R1032" t="s">
        <v>4107</v>
      </c>
      <c r="S1032" t="s">
        <v>1557</v>
      </c>
      <c r="T1032" t="s">
        <v>4108</v>
      </c>
      <c r="U1032" t="s">
        <v>60</v>
      </c>
      <c r="V1032" t="s">
        <v>61</v>
      </c>
      <c r="W1032">
        <v>3</v>
      </c>
      <c r="X1032">
        <v>8.3125000000000004E-2</v>
      </c>
      <c r="Y1032" t="s">
        <v>62</v>
      </c>
      <c r="Z1032" t="s">
        <v>62</v>
      </c>
      <c r="AA1032">
        <v>0</v>
      </c>
      <c r="AB1032" t="s">
        <v>4109</v>
      </c>
      <c r="AC1032" t="s">
        <v>4110</v>
      </c>
      <c r="AD1032" t="s">
        <v>4111</v>
      </c>
      <c r="AE1032" t="s">
        <v>4112</v>
      </c>
      <c r="AF1032" t="s">
        <v>4113</v>
      </c>
      <c r="AG1032" t="s">
        <v>66</v>
      </c>
      <c r="AH1032" t="s">
        <v>66</v>
      </c>
      <c r="AI1032" t="s">
        <v>66</v>
      </c>
      <c r="AJ1032" t="s">
        <v>66</v>
      </c>
      <c r="AK1032">
        <v>1</v>
      </c>
      <c r="AL1032" t="s">
        <v>66</v>
      </c>
      <c r="AM1032" t="s">
        <v>66</v>
      </c>
      <c r="AN1032" t="s">
        <v>66</v>
      </c>
      <c r="AO1032" t="s">
        <v>66</v>
      </c>
      <c r="AP1032">
        <v>1</v>
      </c>
      <c r="AQ1032" t="s">
        <v>66</v>
      </c>
      <c r="AR1032" t="s">
        <v>66</v>
      </c>
      <c r="AS1032" t="s">
        <v>66</v>
      </c>
      <c r="AT1032" t="s">
        <v>66</v>
      </c>
    </row>
    <row r="1033" spans="1:46" x14ac:dyDescent="0.15">
      <c r="A1033" t="s">
        <v>4114</v>
      </c>
      <c r="B1033" t="s">
        <v>4103</v>
      </c>
      <c r="C1033" t="s">
        <v>4104</v>
      </c>
      <c r="D1033">
        <v>2</v>
      </c>
      <c r="E1033" t="s">
        <v>4105</v>
      </c>
      <c r="F1033" t="s">
        <v>718</v>
      </c>
      <c r="G1033" t="s">
        <v>51</v>
      </c>
      <c r="H1033" t="s">
        <v>4106</v>
      </c>
      <c r="I1033" t="s">
        <v>1553</v>
      </c>
      <c r="J1033" t="s">
        <v>721</v>
      </c>
      <c r="K1033" t="s">
        <v>3594</v>
      </c>
      <c r="L1033" t="s">
        <v>16</v>
      </c>
      <c r="M1033" t="s">
        <v>19</v>
      </c>
      <c r="N1033">
        <v>556</v>
      </c>
      <c r="O1033">
        <v>33</v>
      </c>
      <c r="P1033">
        <v>0</v>
      </c>
      <c r="Q1033" t="s">
        <v>4115</v>
      </c>
      <c r="R1033" t="s">
        <v>4116</v>
      </c>
      <c r="S1033" t="s">
        <v>1565</v>
      </c>
      <c r="T1033" t="s">
        <v>4117</v>
      </c>
      <c r="U1033" t="s">
        <v>60</v>
      </c>
      <c r="V1033" t="s">
        <v>61</v>
      </c>
      <c r="W1033">
        <v>3</v>
      </c>
      <c r="X1033">
        <v>8.3125000000000004E-2</v>
      </c>
      <c r="Y1033" t="s">
        <v>72</v>
      </c>
      <c r="Z1033" t="s">
        <v>73</v>
      </c>
      <c r="AA1033">
        <v>0</v>
      </c>
      <c r="AB1033" t="s">
        <v>4109</v>
      </c>
      <c r="AC1033" t="s">
        <v>4110</v>
      </c>
      <c r="AD1033" t="s">
        <v>4111</v>
      </c>
      <c r="AE1033" t="s">
        <v>4112</v>
      </c>
      <c r="AF1033" t="s">
        <v>4113</v>
      </c>
      <c r="AG1033" t="s">
        <v>66</v>
      </c>
      <c r="AH1033" t="s">
        <v>66</v>
      </c>
      <c r="AI1033" t="s">
        <v>66</v>
      </c>
      <c r="AJ1033" t="s">
        <v>66</v>
      </c>
      <c r="AK1033">
        <v>1</v>
      </c>
      <c r="AL1033" t="s">
        <v>66</v>
      </c>
      <c r="AM1033" t="s">
        <v>66</v>
      </c>
      <c r="AN1033" t="s">
        <v>66</v>
      </c>
      <c r="AO1033" t="s">
        <v>66</v>
      </c>
      <c r="AP1033">
        <v>1</v>
      </c>
      <c r="AQ1033" t="s">
        <v>66</v>
      </c>
      <c r="AR1033" t="s">
        <v>66</v>
      </c>
      <c r="AS1033" t="s">
        <v>66</v>
      </c>
      <c r="AT1033" t="s">
        <v>66</v>
      </c>
    </row>
    <row r="1034" spans="1:46" x14ac:dyDescent="0.15">
      <c r="A1034" t="s">
        <v>4118</v>
      </c>
      <c r="B1034" t="s">
        <v>4103</v>
      </c>
      <c r="C1034" t="s">
        <v>4104</v>
      </c>
      <c r="D1034">
        <v>3</v>
      </c>
      <c r="E1034" t="s">
        <v>4105</v>
      </c>
      <c r="F1034" t="s">
        <v>718</v>
      </c>
      <c r="G1034" t="s">
        <v>51</v>
      </c>
      <c r="H1034" t="s">
        <v>4106</v>
      </c>
      <c r="I1034" t="s">
        <v>1553</v>
      </c>
      <c r="J1034" t="s">
        <v>721</v>
      </c>
      <c r="K1034" t="s">
        <v>3594</v>
      </c>
      <c r="L1034" t="s">
        <v>16</v>
      </c>
      <c r="M1034" t="s">
        <v>19</v>
      </c>
      <c r="N1034">
        <v>612</v>
      </c>
      <c r="O1034">
        <v>36</v>
      </c>
      <c r="P1034">
        <v>0</v>
      </c>
      <c r="Q1034" t="s">
        <v>4119</v>
      </c>
      <c r="R1034" t="s">
        <v>4120</v>
      </c>
      <c r="S1034" t="s">
        <v>1570</v>
      </c>
      <c r="T1034" t="s">
        <v>4121</v>
      </c>
      <c r="U1034" t="s">
        <v>60</v>
      </c>
      <c r="V1034" t="s">
        <v>61</v>
      </c>
      <c r="W1034">
        <v>3</v>
      </c>
      <c r="X1034">
        <v>8.3125000000000004E-2</v>
      </c>
      <c r="Y1034" t="s">
        <v>73</v>
      </c>
      <c r="Z1034" t="s">
        <v>79</v>
      </c>
      <c r="AA1034">
        <v>0</v>
      </c>
      <c r="AB1034" t="s">
        <v>4109</v>
      </c>
      <c r="AC1034" t="s">
        <v>4110</v>
      </c>
      <c r="AD1034" t="s">
        <v>4111</v>
      </c>
      <c r="AE1034" t="s">
        <v>4112</v>
      </c>
      <c r="AF1034" t="s">
        <v>4113</v>
      </c>
      <c r="AG1034" t="s">
        <v>66</v>
      </c>
      <c r="AH1034" t="s">
        <v>66</v>
      </c>
      <c r="AI1034" t="s">
        <v>66</v>
      </c>
      <c r="AJ1034" t="s">
        <v>66</v>
      </c>
      <c r="AK1034">
        <v>1</v>
      </c>
      <c r="AL1034" t="s">
        <v>66</v>
      </c>
      <c r="AM1034" t="s">
        <v>66</v>
      </c>
      <c r="AN1034" t="s">
        <v>66</v>
      </c>
      <c r="AO1034" t="s">
        <v>66</v>
      </c>
      <c r="AP1034">
        <v>1</v>
      </c>
      <c r="AQ1034" t="s">
        <v>66</v>
      </c>
      <c r="AR1034" t="s">
        <v>66</v>
      </c>
      <c r="AS1034" t="s">
        <v>66</v>
      </c>
      <c r="AT1034" t="s">
        <v>66</v>
      </c>
    </row>
    <row r="1035" spans="1:46" x14ac:dyDescent="0.15">
      <c r="A1035" t="s">
        <v>4122</v>
      </c>
      <c r="B1035" t="s">
        <v>4103</v>
      </c>
      <c r="C1035" t="s">
        <v>4104</v>
      </c>
      <c r="D1035">
        <v>4</v>
      </c>
      <c r="E1035" t="s">
        <v>4105</v>
      </c>
      <c r="F1035" t="s">
        <v>718</v>
      </c>
      <c r="G1035" t="s">
        <v>51</v>
      </c>
      <c r="H1035" t="s">
        <v>4106</v>
      </c>
      <c r="I1035" t="s">
        <v>1553</v>
      </c>
      <c r="J1035" t="s">
        <v>721</v>
      </c>
      <c r="K1035" t="s">
        <v>3594</v>
      </c>
      <c r="L1035" t="s">
        <v>16</v>
      </c>
      <c r="M1035" t="s">
        <v>19</v>
      </c>
      <c r="N1035">
        <v>668</v>
      </c>
      <c r="O1035">
        <v>39</v>
      </c>
      <c r="P1035">
        <v>0</v>
      </c>
      <c r="Q1035" t="s">
        <v>4123</v>
      </c>
      <c r="R1035" t="s">
        <v>4124</v>
      </c>
      <c r="S1035" t="s">
        <v>1575</v>
      </c>
      <c r="T1035" t="s">
        <v>4125</v>
      </c>
      <c r="U1035" t="s">
        <v>60</v>
      </c>
      <c r="V1035" t="s">
        <v>61</v>
      </c>
      <c r="W1035">
        <v>3</v>
      </c>
      <c r="X1035">
        <v>8.3125000000000004E-2</v>
      </c>
      <c r="Y1035" t="s">
        <v>85</v>
      </c>
      <c r="Z1035" t="s">
        <v>86</v>
      </c>
      <c r="AA1035">
        <v>0</v>
      </c>
      <c r="AB1035" t="s">
        <v>4109</v>
      </c>
      <c r="AC1035" t="s">
        <v>4110</v>
      </c>
      <c r="AD1035" t="s">
        <v>4111</v>
      </c>
      <c r="AE1035" t="s">
        <v>4112</v>
      </c>
      <c r="AF1035" t="s">
        <v>4113</v>
      </c>
      <c r="AG1035" t="s">
        <v>66</v>
      </c>
      <c r="AH1035" t="s">
        <v>66</v>
      </c>
      <c r="AI1035" t="s">
        <v>66</v>
      </c>
      <c r="AJ1035" t="s">
        <v>66</v>
      </c>
      <c r="AK1035">
        <v>1</v>
      </c>
      <c r="AL1035" t="s">
        <v>66</v>
      </c>
      <c r="AM1035" t="s">
        <v>66</v>
      </c>
      <c r="AN1035" t="s">
        <v>66</v>
      </c>
      <c r="AO1035" t="s">
        <v>66</v>
      </c>
      <c r="AP1035">
        <v>1</v>
      </c>
      <c r="AQ1035" t="s">
        <v>66</v>
      </c>
      <c r="AR1035" t="s">
        <v>66</v>
      </c>
      <c r="AS1035" t="s">
        <v>66</v>
      </c>
      <c r="AT1035" t="s">
        <v>66</v>
      </c>
    </row>
    <row r="1036" spans="1:46" x14ac:dyDescent="0.15">
      <c r="A1036" t="s">
        <v>4126</v>
      </c>
      <c r="B1036" t="s">
        <v>4103</v>
      </c>
      <c r="C1036" t="s">
        <v>4104</v>
      </c>
      <c r="D1036">
        <v>5</v>
      </c>
      <c r="E1036" t="s">
        <v>4105</v>
      </c>
      <c r="F1036" t="s">
        <v>718</v>
      </c>
      <c r="G1036" t="s">
        <v>51</v>
      </c>
      <c r="H1036" t="s">
        <v>4106</v>
      </c>
      <c r="I1036" t="s">
        <v>1553</v>
      </c>
      <c r="J1036" t="s">
        <v>721</v>
      </c>
      <c r="K1036" t="s">
        <v>3594</v>
      </c>
      <c r="L1036" t="s">
        <v>16</v>
      </c>
      <c r="M1036" t="s">
        <v>19</v>
      </c>
      <c r="N1036">
        <v>724</v>
      </c>
      <c r="O1036">
        <v>42</v>
      </c>
      <c r="P1036">
        <v>0</v>
      </c>
      <c r="Q1036" t="s">
        <v>4127</v>
      </c>
      <c r="R1036" t="s">
        <v>4128</v>
      </c>
      <c r="S1036" t="s">
        <v>1580</v>
      </c>
      <c r="T1036" t="s">
        <v>4129</v>
      </c>
      <c r="U1036" t="s">
        <v>60</v>
      </c>
      <c r="V1036" t="s">
        <v>61</v>
      </c>
      <c r="W1036">
        <v>3</v>
      </c>
      <c r="X1036">
        <v>8.3125000000000004E-2</v>
      </c>
      <c r="Y1036" t="s">
        <v>79</v>
      </c>
      <c r="Z1036" t="s">
        <v>92</v>
      </c>
      <c r="AA1036">
        <v>0</v>
      </c>
      <c r="AB1036" t="s">
        <v>4109</v>
      </c>
      <c r="AC1036" t="s">
        <v>4110</v>
      </c>
      <c r="AD1036" t="s">
        <v>4111</v>
      </c>
      <c r="AE1036" t="s">
        <v>4112</v>
      </c>
      <c r="AF1036" t="s">
        <v>4113</v>
      </c>
      <c r="AG1036" t="s">
        <v>66</v>
      </c>
      <c r="AH1036" t="s">
        <v>66</v>
      </c>
      <c r="AI1036" t="s">
        <v>66</v>
      </c>
      <c r="AJ1036" t="s">
        <v>66</v>
      </c>
      <c r="AK1036">
        <v>1</v>
      </c>
      <c r="AL1036" t="s">
        <v>66</v>
      </c>
      <c r="AM1036" t="s">
        <v>66</v>
      </c>
      <c r="AN1036" t="s">
        <v>66</v>
      </c>
      <c r="AO1036" t="s">
        <v>66</v>
      </c>
      <c r="AP1036">
        <v>1</v>
      </c>
      <c r="AQ1036" t="s">
        <v>66</v>
      </c>
      <c r="AR1036" t="s">
        <v>66</v>
      </c>
      <c r="AS1036" t="s">
        <v>66</v>
      </c>
      <c r="AT1036" t="s">
        <v>66</v>
      </c>
    </row>
    <row r="1037" spans="1:46" x14ac:dyDescent="0.15">
      <c r="A1037" t="s">
        <v>4130</v>
      </c>
      <c r="B1037" t="s">
        <v>4103</v>
      </c>
      <c r="C1037" t="s">
        <v>4104</v>
      </c>
      <c r="D1037">
        <v>6</v>
      </c>
      <c r="E1037" t="s">
        <v>4105</v>
      </c>
      <c r="F1037" t="s">
        <v>718</v>
      </c>
      <c r="G1037" t="s">
        <v>51</v>
      </c>
      <c r="H1037" t="s">
        <v>4106</v>
      </c>
      <c r="I1037" t="s">
        <v>1553</v>
      </c>
      <c r="J1037" t="s">
        <v>721</v>
      </c>
      <c r="K1037" t="s">
        <v>3594</v>
      </c>
      <c r="L1037" t="s">
        <v>16</v>
      </c>
      <c r="M1037" t="s">
        <v>19</v>
      </c>
      <c r="N1037">
        <v>781</v>
      </c>
      <c r="O1037">
        <v>45</v>
      </c>
      <c r="P1037">
        <v>0</v>
      </c>
      <c r="Q1037" t="s">
        <v>4131</v>
      </c>
      <c r="R1037" t="s">
        <v>4132</v>
      </c>
      <c r="S1037" t="s">
        <v>1585</v>
      </c>
      <c r="T1037" t="s">
        <v>4133</v>
      </c>
      <c r="U1037" t="s">
        <v>60</v>
      </c>
      <c r="V1037" t="s">
        <v>61</v>
      </c>
      <c r="W1037">
        <v>3</v>
      </c>
      <c r="X1037">
        <v>8.3125000000000004E-2</v>
      </c>
      <c r="Y1037" t="s">
        <v>98</v>
      </c>
      <c r="Z1037" t="s">
        <v>99</v>
      </c>
      <c r="AA1037">
        <v>0</v>
      </c>
      <c r="AB1037" t="s">
        <v>4109</v>
      </c>
      <c r="AC1037" t="s">
        <v>4110</v>
      </c>
      <c r="AD1037" t="s">
        <v>4111</v>
      </c>
      <c r="AE1037" t="s">
        <v>4112</v>
      </c>
      <c r="AF1037" t="s">
        <v>4113</v>
      </c>
      <c r="AG1037" t="s">
        <v>66</v>
      </c>
      <c r="AH1037" t="s">
        <v>66</v>
      </c>
      <c r="AI1037" t="s">
        <v>66</v>
      </c>
      <c r="AJ1037" t="s">
        <v>66</v>
      </c>
      <c r="AK1037">
        <v>1</v>
      </c>
      <c r="AL1037" t="s">
        <v>66</v>
      </c>
      <c r="AM1037" t="s">
        <v>66</v>
      </c>
      <c r="AN1037" t="s">
        <v>66</v>
      </c>
      <c r="AO1037" t="s">
        <v>66</v>
      </c>
      <c r="AP1037">
        <v>1</v>
      </c>
      <c r="AQ1037" t="s">
        <v>66</v>
      </c>
      <c r="AR1037" t="s">
        <v>66</v>
      </c>
      <c r="AS1037" t="s">
        <v>66</v>
      </c>
      <c r="AT1037" t="s">
        <v>66</v>
      </c>
    </row>
    <row r="1038" spans="1:46" x14ac:dyDescent="0.15">
      <c r="A1038" t="s">
        <v>4134</v>
      </c>
      <c r="B1038" t="s">
        <v>4103</v>
      </c>
      <c r="C1038" t="s">
        <v>4104</v>
      </c>
      <c r="D1038">
        <v>7</v>
      </c>
      <c r="E1038" t="s">
        <v>4105</v>
      </c>
      <c r="F1038" t="s">
        <v>718</v>
      </c>
      <c r="G1038" t="s">
        <v>51</v>
      </c>
      <c r="H1038" t="s">
        <v>4106</v>
      </c>
      <c r="I1038" t="s">
        <v>1553</v>
      </c>
      <c r="J1038" t="s">
        <v>721</v>
      </c>
      <c r="K1038" t="s">
        <v>3594</v>
      </c>
      <c r="L1038" t="s">
        <v>16</v>
      </c>
      <c r="M1038" t="s">
        <v>19</v>
      </c>
      <c r="N1038">
        <v>837</v>
      </c>
      <c r="O1038">
        <v>48</v>
      </c>
      <c r="P1038">
        <v>0</v>
      </c>
      <c r="Q1038" t="s">
        <v>4135</v>
      </c>
      <c r="R1038" t="s">
        <v>4136</v>
      </c>
      <c r="S1038" t="s">
        <v>1590</v>
      </c>
      <c r="T1038" t="s">
        <v>4137</v>
      </c>
      <c r="U1038" t="s">
        <v>60</v>
      </c>
      <c r="V1038" t="s">
        <v>61</v>
      </c>
      <c r="W1038">
        <v>3</v>
      </c>
      <c r="X1038">
        <v>8.3125000000000004E-2</v>
      </c>
      <c r="Y1038" t="s">
        <v>86</v>
      </c>
      <c r="Z1038" t="s">
        <v>105</v>
      </c>
      <c r="AA1038">
        <v>0</v>
      </c>
      <c r="AB1038" t="s">
        <v>4109</v>
      </c>
      <c r="AC1038" t="s">
        <v>4110</v>
      </c>
      <c r="AD1038" t="s">
        <v>4111</v>
      </c>
      <c r="AE1038" t="s">
        <v>4112</v>
      </c>
      <c r="AF1038" t="s">
        <v>4113</v>
      </c>
      <c r="AG1038" t="s">
        <v>66</v>
      </c>
      <c r="AH1038" t="s">
        <v>66</v>
      </c>
      <c r="AI1038" t="s">
        <v>66</v>
      </c>
      <c r="AJ1038" t="s">
        <v>66</v>
      </c>
      <c r="AK1038">
        <v>1</v>
      </c>
      <c r="AL1038" t="s">
        <v>66</v>
      </c>
      <c r="AM1038" t="s">
        <v>66</v>
      </c>
      <c r="AN1038" t="s">
        <v>66</v>
      </c>
      <c r="AO1038" t="s">
        <v>66</v>
      </c>
      <c r="AP1038">
        <v>1</v>
      </c>
      <c r="AQ1038" t="s">
        <v>66</v>
      </c>
      <c r="AR1038" t="s">
        <v>66</v>
      </c>
      <c r="AS1038" t="s">
        <v>66</v>
      </c>
      <c r="AT1038" t="s">
        <v>66</v>
      </c>
    </row>
    <row r="1039" spans="1:46" x14ac:dyDescent="0.15">
      <c r="A1039" t="s">
        <v>4138</v>
      </c>
      <c r="B1039" t="s">
        <v>4103</v>
      </c>
      <c r="C1039" t="s">
        <v>4104</v>
      </c>
      <c r="D1039">
        <v>8</v>
      </c>
      <c r="E1039" t="s">
        <v>4105</v>
      </c>
      <c r="F1039" t="s">
        <v>718</v>
      </c>
      <c r="G1039" t="s">
        <v>51</v>
      </c>
      <c r="H1039" t="s">
        <v>4106</v>
      </c>
      <c r="I1039" t="s">
        <v>1553</v>
      </c>
      <c r="J1039" t="s">
        <v>721</v>
      </c>
      <c r="K1039" t="s">
        <v>3594</v>
      </c>
      <c r="L1039" t="s">
        <v>16</v>
      </c>
      <c r="M1039" t="s">
        <v>19</v>
      </c>
      <c r="N1039">
        <v>893</v>
      </c>
      <c r="O1039">
        <v>51</v>
      </c>
      <c r="P1039">
        <v>0</v>
      </c>
      <c r="Q1039" t="s">
        <v>4139</v>
      </c>
      <c r="R1039" t="s">
        <v>4140</v>
      </c>
      <c r="S1039" t="s">
        <v>1595</v>
      </c>
      <c r="T1039" t="s">
        <v>4141</v>
      </c>
      <c r="U1039" t="s">
        <v>60</v>
      </c>
      <c r="V1039" t="s">
        <v>61</v>
      </c>
      <c r="W1039">
        <v>3</v>
      </c>
      <c r="X1039">
        <v>8.3125000000000004E-2</v>
      </c>
      <c r="Y1039" t="s">
        <v>111</v>
      </c>
      <c r="Z1039" t="s">
        <v>112</v>
      </c>
      <c r="AA1039">
        <v>0</v>
      </c>
      <c r="AB1039" t="s">
        <v>4109</v>
      </c>
      <c r="AC1039" t="s">
        <v>4110</v>
      </c>
      <c r="AD1039" t="s">
        <v>4111</v>
      </c>
      <c r="AE1039" t="s">
        <v>4112</v>
      </c>
      <c r="AF1039" t="s">
        <v>4113</v>
      </c>
      <c r="AG1039" t="s">
        <v>66</v>
      </c>
      <c r="AH1039" t="s">
        <v>66</v>
      </c>
      <c r="AI1039" t="s">
        <v>66</v>
      </c>
      <c r="AJ1039" t="s">
        <v>66</v>
      </c>
      <c r="AK1039">
        <v>1</v>
      </c>
      <c r="AL1039" t="s">
        <v>66</v>
      </c>
      <c r="AM1039" t="s">
        <v>66</v>
      </c>
      <c r="AN1039" t="s">
        <v>66</v>
      </c>
      <c r="AO1039" t="s">
        <v>66</v>
      </c>
      <c r="AP1039">
        <v>1</v>
      </c>
      <c r="AQ1039" t="s">
        <v>66</v>
      </c>
      <c r="AR1039" t="s">
        <v>66</v>
      </c>
      <c r="AS1039" t="s">
        <v>66</v>
      </c>
      <c r="AT1039" t="s">
        <v>66</v>
      </c>
    </row>
    <row r="1040" spans="1:46" x14ac:dyDescent="0.15">
      <c r="A1040" t="s">
        <v>4142</v>
      </c>
      <c r="B1040" t="s">
        <v>4103</v>
      </c>
      <c r="C1040" t="s">
        <v>4104</v>
      </c>
      <c r="D1040">
        <v>9</v>
      </c>
      <c r="E1040" t="s">
        <v>4105</v>
      </c>
      <c r="F1040" t="s">
        <v>718</v>
      </c>
      <c r="G1040" t="s">
        <v>51</v>
      </c>
      <c r="H1040" t="s">
        <v>4106</v>
      </c>
      <c r="I1040" t="s">
        <v>1553</v>
      </c>
      <c r="J1040" t="s">
        <v>721</v>
      </c>
      <c r="K1040" t="s">
        <v>3594</v>
      </c>
      <c r="L1040" t="s">
        <v>16</v>
      </c>
      <c r="M1040" t="s">
        <v>19</v>
      </c>
      <c r="N1040">
        <v>949</v>
      </c>
      <c r="O1040">
        <v>54</v>
      </c>
      <c r="P1040">
        <v>0</v>
      </c>
      <c r="Q1040" t="s">
        <v>4143</v>
      </c>
      <c r="R1040" t="s">
        <v>4144</v>
      </c>
      <c r="S1040" t="s">
        <v>1600</v>
      </c>
      <c r="T1040" t="s">
        <v>4145</v>
      </c>
      <c r="U1040" t="s">
        <v>60</v>
      </c>
      <c r="V1040" t="s">
        <v>61</v>
      </c>
      <c r="W1040">
        <v>3</v>
      </c>
      <c r="X1040">
        <v>8.3125000000000004E-2</v>
      </c>
      <c r="Y1040" t="s">
        <v>92</v>
      </c>
      <c r="Z1040" t="s">
        <v>118</v>
      </c>
      <c r="AA1040">
        <v>0</v>
      </c>
      <c r="AB1040" t="s">
        <v>4109</v>
      </c>
      <c r="AC1040" t="s">
        <v>4110</v>
      </c>
      <c r="AD1040" t="s">
        <v>4111</v>
      </c>
      <c r="AE1040" t="s">
        <v>4112</v>
      </c>
      <c r="AF1040" t="s">
        <v>4113</v>
      </c>
      <c r="AG1040" t="s">
        <v>66</v>
      </c>
      <c r="AH1040" t="s">
        <v>66</v>
      </c>
      <c r="AI1040" t="s">
        <v>66</v>
      </c>
      <c r="AJ1040" t="s">
        <v>66</v>
      </c>
      <c r="AK1040">
        <v>1</v>
      </c>
      <c r="AL1040" t="s">
        <v>66</v>
      </c>
      <c r="AM1040" t="s">
        <v>66</v>
      </c>
      <c r="AN1040" t="s">
        <v>66</v>
      </c>
      <c r="AO1040" t="s">
        <v>66</v>
      </c>
      <c r="AP1040">
        <v>1</v>
      </c>
      <c r="AQ1040" t="s">
        <v>66</v>
      </c>
      <c r="AR1040" t="s">
        <v>66</v>
      </c>
      <c r="AS1040" t="s">
        <v>66</v>
      </c>
      <c r="AT1040" t="s">
        <v>66</v>
      </c>
    </row>
    <row r="1041" spans="1:46" x14ac:dyDescent="0.15">
      <c r="A1041" t="s">
        <v>4146</v>
      </c>
      <c r="B1041" t="s">
        <v>4103</v>
      </c>
      <c r="C1041" t="s">
        <v>4104</v>
      </c>
      <c r="D1041">
        <v>10</v>
      </c>
      <c r="E1041" t="s">
        <v>4105</v>
      </c>
      <c r="F1041" t="s">
        <v>718</v>
      </c>
      <c r="G1041" t="s">
        <v>51</v>
      </c>
      <c r="H1041" t="s">
        <v>4106</v>
      </c>
      <c r="I1041" t="s">
        <v>1553</v>
      </c>
      <c r="J1041" t="s">
        <v>721</v>
      </c>
      <c r="K1041" t="s">
        <v>3594</v>
      </c>
      <c r="L1041" t="s">
        <v>16</v>
      </c>
      <c r="M1041" t="s">
        <v>19</v>
      </c>
      <c r="N1041">
        <v>1005</v>
      </c>
      <c r="O1041">
        <v>57</v>
      </c>
      <c r="P1041">
        <v>0</v>
      </c>
      <c r="Q1041" t="s">
        <v>4147</v>
      </c>
      <c r="R1041" t="s">
        <v>4148</v>
      </c>
      <c r="S1041" t="s">
        <v>1605</v>
      </c>
      <c r="T1041" t="s">
        <v>4149</v>
      </c>
      <c r="U1041" t="s">
        <v>60</v>
      </c>
      <c r="V1041" t="s">
        <v>61</v>
      </c>
      <c r="W1041">
        <v>3</v>
      </c>
      <c r="X1041">
        <v>8.3125000000000004E-2</v>
      </c>
      <c r="Y1041" t="s">
        <v>124</v>
      </c>
      <c r="Z1041" t="s">
        <v>125</v>
      </c>
      <c r="AA1041">
        <v>0</v>
      </c>
      <c r="AB1041" t="s">
        <v>4109</v>
      </c>
      <c r="AC1041" t="s">
        <v>4110</v>
      </c>
      <c r="AD1041" t="s">
        <v>4111</v>
      </c>
      <c r="AE1041" t="s">
        <v>4112</v>
      </c>
      <c r="AF1041" t="s">
        <v>4113</v>
      </c>
      <c r="AG1041" t="s">
        <v>66</v>
      </c>
      <c r="AH1041" t="s">
        <v>66</v>
      </c>
      <c r="AI1041" t="s">
        <v>66</v>
      </c>
      <c r="AJ1041" t="s">
        <v>66</v>
      </c>
      <c r="AK1041">
        <v>1</v>
      </c>
      <c r="AL1041" t="s">
        <v>66</v>
      </c>
      <c r="AM1041" t="s">
        <v>66</v>
      </c>
      <c r="AN1041" t="s">
        <v>66</v>
      </c>
      <c r="AO1041" t="s">
        <v>66</v>
      </c>
      <c r="AP1041">
        <v>1</v>
      </c>
      <c r="AQ1041" t="s">
        <v>66</v>
      </c>
      <c r="AR1041" t="s">
        <v>66</v>
      </c>
      <c r="AS1041" t="s">
        <v>66</v>
      </c>
      <c r="AT1041" t="s">
        <v>66</v>
      </c>
    </row>
    <row r="1042" spans="1:46" x14ac:dyDescent="0.15">
      <c r="A1042" t="s">
        <v>4150</v>
      </c>
      <c r="B1042" t="s">
        <v>4103</v>
      </c>
      <c r="C1042" t="s">
        <v>4104</v>
      </c>
      <c r="D1042">
        <v>11</v>
      </c>
      <c r="E1042" t="s">
        <v>4105</v>
      </c>
      <c r="F1042" t="s">
        <v>718</v>
      </c>
      <c r="G1042" t="s">
        <v>51</v>
      </c>
      <c r="H1042" t="s">
        <v>4106</v>
      </c>
      <c r="I1042" t="s">
        <v>1553</v>
      </c>
      <c r="J1042" t="s">
        <v>721</v>
      </c>
      <c r="K1042" t="s">
        <v>3594</v>
      </c>
      <c r="L1042" t="s">
        <v>16</v>
      </c>
      <c r="M1042" t="s">
        <v>19</v>
      </c>
      <c r="N1042">
        <v>1061</v>
      </c>
      <c r="O1042">
        <v>60</v>
      </c>
      <c r="P1042">
        <v>0</v>
      </c>
      <c r="Q1042" t="s">
        <v>4151</v>
      </c>
      <c r="R1042" t="s">
        <v>4152</v>
      </c>
      <c r="S1042" t="s">
        <v>1610</v>
      </c>
      <c r="T1042" t="s">
        <v>4153</v>
      </c>
      <c r="U1042" t="s">
        <v>60</v>
      </c>
      <c r="V1042" t="s">
        <v>61</v>
      </c>
      <c r="W1042">
        <v>3</v>
      </c>
      <c r="X1042">
        <v>8.3125000000000004E-2</v>
      </c>
      <c r="Y1042" t="s">
        <v>99</v>
      </c>
      <c r="Z1042" t="s">
        <v>131</v>
      </c>
      <c r="AA1042">
        <v>0</v>
      </c>
      <c r="AB1042" t="s">
        <v>4109</v>
      </c>
      <c r="AC1042" t="s">
        <v>4110</v>
      </c>
      <c r="AD1042" t="s">
        <v>4111</v>
      </c>
      <c r="AE1042" t="s">
        <v>4112</v>
      </c>
      <c r="AF1042" t="s">
        <v>4113</v>
      </c>
      <c r="AG1042" t="s">
        <v>66</v>
      </c>
      <c r="AH1042" t="s">
        <v>66</v>
      </c>
      <c r="AI1042" t="s">
        <v>66</v>
      </c>
      <c r="AJ1042" t="s">
        <v>66</v>
      </c>
      <c r="AK1042">
        <v>1</v>
      </c>
      <c r="AL1042" t="s">
        <v>66</v>
      </c>
      <c r="AM1042" t="s">
        <v>66</v>
      </c>
      <c r="AN1042" t="s">
        <v>66</v>
      </c>
      <c r="AO1042" t="s">
        <v>66</v>
      </c>
      <c r="AP1042">
        <v>1</v>
      </c>
      <c r="AQ1042" t="s">
        <v>66</v>
      </c>
      <c r="AR1042" t="s">
        <v>66</v>
      </c>
      <c r="AS1042" t="s">
        <v>66</v>
      </c>
      <c r="AT1042" t="s">
        <v>66</v>
      </c>
    </row>
    <row r="1043" spans="1:46" x14ac:dyDescent="0.15">
      <c r="A1043" t="s">
        <v>4154</v>
      </c>
      <c r="B1043" t="s">
        <v>4103</v>
      </c>
      <c r="C1043" t="s">
        <v>4104</v>
      </c>
      <c r="D1043">
        <v>12</v>
      </c>
      <c r="E1043" t="s">
        <v>4105</v>
      </c>
      <c r="F1043" t="s">
        <v>718</v>
      </c>
      <c r="G1043" t="s">
        <v>51</v>
      </c>
      <c r="H1043" t="s">
        <v>4106</v>
      </c>
      <c r="I1043" t="s">
        <v>1553</v>
      </c>
      <c r="J1043" t="s">
        <v>721</v>
      </c>
      <c r="K1043" t="s">
        <v>3594</v>
      </c>
      <c r="L1043" t="s">
        <v>16</v>
      </c>
      <c r="M1043" t="s">
        <v>19</v>
      </c>
      <c r="N1043">
        <v>1117</v>
      </c>
      <c r="O1043">
        <v>63</v>
      </c>
      <c r="P1043">
        <v>0</v>
      </c>
      <c r="Q1043" t="s">
        <v>4155</v>
      </c>
      <c r="R1043" t="s">
        <v>4156</v>
      </c>
      <c r="S1043" t="s">
        <v>1615</v>
      </c>
      <c r="T1043" t="s">
        <v>4157</v>
      </c>
      <c r="U1043" t="s">
        <v>60</v>
      </c>
      <c r="V1043" t="s">
        <v>61</v>
      </c>
      <c r="W1043">
        <v>3</v>
      </c>
      <c r="X1043">
        <v>8.3125000000000004E-2</v>
      </c>
      <c r="Y1043" t="s">
        <v>137</v>
      </c>
      <c r="Z1043" t="s">
        <v>138</v>
      </c>
      <c r="AA1043">
        <v>0</v>
      </c>
      <c r="AB1043" t="s">
        <v>4109</v>
      </c>
      <c r="AC1043" t="s">
        <v>4110</v>
      </c>
      <c r="AD1043" t="s">
        <v>4111</v>
      </c>
      <c r="AE1043" t="s">
        <v>4112</v>
      </c>
      <c r="AF1043" t="s">
        <v>4113</v>
      </c>
      <c r="AG1043" t="s">
        <v>66</v>
      </c>
      <c r="AH1043" t="s">
        <v>66</v>
      </c>
      <c r="AI1043" t="s">
        <v>66</v>
      </c>
      <c r="AJ1043" t="s">
        <v>66</v>
      </c>
      <c r="AK1043">
        <v>1</v>
      </c>
      <c r="AL1043" t="s">
        <v>66</v>
      </c>
      <c r="AM1043" t="s">
        <v>66</v>
      </c>
      <c r="AN1043" t="s">
        <v>66</v>
      </c>
      <c r="AO1043" t="s">
        <v>66</v>
      </c>
      <c r="AP1043">
        <v>1</v>
      </c>
      <c r="AQ1043" t="s">
        <v>66</v>
      </c>
      <c r="AR1043" t="s">
        <v>66</v>
      </c>
      <c r="AS1043" t="s">
        <v>66</v>
      </c>
      <c r="AT1043" t="s">
        <v>66</v>
      </c>
    </row>
    <row r="1044" spans="1:46" x14ac:dyDescent="0.15">
      <c r="A1044" t="s">
        <v>4158</v>
      </c>
      <c r="B1044" t="s">
        <v>4103</v>
      </c>
      <c r="C1044" t="s">
        <v>4104</v>
      </c>
      <c r="D1044">
        <v>13</v>
      </c>
      <c r="E1044" t="s">
        <v>4105</v>
      </c>
      <c r="F1044" t="s">
        <v>718</v>
      </c>
      <c r="G1044" t="s">
        <v>51</v>
      </c>
      <c r="H1044" t="s">
        <v>4106</v>
      </c>
      <c r="I1044" t="s">
        <v>1553</v>
      </c>
      <c r="J1044" t="s">
        <v>721</v>
      </c>
      <c r="K1044" t="s">
        <v>3594</v>
      </c>
      <c r="L1044" t="s">
        <v>16</v>
      </c>
      <c r="M1044" t="s">
        <v>19</v>
      </c>
      <c r="N1044">
        <v>1173</v>
      </c>
      <c r="O1044">
        <v>66</v>
      </c>
      <c r="P1044">
        <v>0</v>
      </c>
      <c r="Q1044" t="s">
        <v>4159</v>
      </c>
      <c r="R1044" t="s">
        <v>4160</v>
      </c>
      <c r="S1044" t="s">
        <v>1620</v>
      </c>
      <c r="T1044" t="s">
        <v>4161</v>
      </c>
      <c r="U1044" t="s">
        <v>60</v>
      </c>
      <c r="V1044" t="s">
        <v>61</v>
      </c>
      <c r="W1044">
        <v>3</v>
      </c>
      <c r="X1044">
        <v>8.3125000000000004E-2</v>
      </c>
      <c r="Y1044" t="s">
        <v>105</v>
      </c>
      <c r="Z1044" t="s">
        <v>144</v>
      </c>
      <c r="AA1044">
        <v>0</v>
      </c>
      <c r="AB1044" t="s">
        <v>4109</v>
      </c>
      <c r="AC1044" t="s">
        <v>4110</v>
      </c>
      <c r="AD1044" t="s">
        <v>4111</v>
      </c>
      <c r="AE1044" t="s">
        <v>4112</v>
      </c>
      <c r="AF1044" t="s">
        <v>4113</v>
      </c>
      <c r="AG1044" t="s">
        <v>66</v>
      </c>
      <c r="AH1044" t="s">
        <v>66</v>
      </c>
      <c r="AI1044" t="s">
        <v>66</v>
      </c>
      <c r="AJ1044" t="s">
        <v>66</v>
      </c>
      <c r="AK1044">
        <v>1</v>
      </c>
      <c r="AL1044" t="s">
        <v>66</v>
      </c>
      <c r="AM1044" t="s">
        <v>66</v>
      </c>
      <c r="AN1044" t="s">
        <v>66</v>
      </c>
      <c r="AO1044" t="s">
        <v>66</v>
      </c>
      <c r="AP1044">
        <v>1</v>
      </c>
      <c r="AQ1044" t="s">
        <v>66</v>
      </c>
      <c r="AR1044" t="s">
        <v>66</v>
      </c>
      <c r="AS1044" t="s">
        <v>66</v>
      </c>
      <c r="AT1044" t="s">
        <v>66</v>
      </c>
    </row>
    <row r="1045" spans="1:46" x14ac:dyDescent="0.15">
      <c r="A1045" t="s">
        <v>4162</v>
      </c>
      <c r="B1045" t="s">
        <v>4103</v>
      </c>
      <c r="C1045" t="s">
        <v>4104</v>
      </c>
      <c r="D1045">
        <v>14</v>
      </c>
      <c r="E1045" t="s">
        <v>4105</v>
      </c>
      <c r="F1045" t="s">
        <v>718</v>
      </c>
      <c r="G1045" t="s">
        <v>51</v>
      </c>
      <c r="H1045" t="s">
        <v>4106</v>
      </c>
      <c r="I1045" t="s">
        <v>1553</v>
      </c>
      <c r="J1045" t="s">
        <v>721</v>
      </c>
      <c r="K1045" t="s">
        <v>3594</v>
      </c>
      <c r="L1045" t="s">
        <v>16</v>
      </c>
      <c r="M1045" t="s">
        <v>19</v>
      </c>
      <c r="N1045">
        <v>1230</v>
      </c>
      <c r="O1045">
        <v>69</v>
      </c>
      <c r="P1045">
        <v>0</v>
      </c>
      <c r="Q1045" t="s">
        <v>4163</v>
      </c>
      <c r="R1045" t="s">
        <v>4164</v>
      </c>
      <c r="S1045" t="s">
        <v>1625</v>
      </c>
      <c r="T1045" t="s">
        <v>4165</v>
      </c>
      <c r="U1045" t="s">
        <v>60</v>
      </c>
      <c r="V1045" t="s">
        <v>61</v>
      </c>
      <c r="W1045">
        <v>3</v>
      </c>
      <c r="X1045">
        <v>8.3125000000000004E-2</v>
      </c>
      <c r="Y1045" t="s">
        <v>150</v>
      </c>
      <c r="Z1045" t="s">
        <v>151</v>
      </c>
      <c r="AA1045">
        <v>0</v>
      </c>
      <c r="AB1045" t="s">
        <v>4109</v>
      </c>
      <c r="AC1045" t="s">
        <v>4110</v>
      </c>
      <c r="AD1045" t="s">
        <v>4111</v>
      </c>
      <c r="AE1045" t="s">
        <v>4112</v>
      </c>
      <c r="AF1045" t="s">
        <v>4113</v>
      </c>
      <c r="AG1045" t="s">
        <v>66</v>
      </c>
      <c r="AH1045" t="s">
        <v>66</v>
      </c>
      <c r="AI1045" t="s">
        <v>66</v>
      </c>
      <c r="AJ1045" t="s">
        <v>66</v>
      </c>
      <c r="AK1045">
        <v>1</v>
      </c>
      <c r="AL1045" t="s">
        <v>66</v>
      </c>
      <c r="AM1045" t="s">
        <v>66</v>
      </c>
      <c r="AN1045" t="s">
        <v>66</v>
      </c>
      <c r="AO1045" t="s">
        <v>66</v>
      </c>
      <c r="AP1045">
        <v>1</v>
      </c>
      <c r="AQ1045" t="s">
        <v>66</v>
      </c>
      <c r="AR1045" t="s">
        <v>66</v>
      </c>
      <c r="AS1045" t="s">
        <v>66</v>
      </c>
      <c r="AT1045" t="s">
        <v>66</v>
      </c>
    </row>
    <row r="1046" spans="1:46" x14ac:dyDescent="0.15">
      <c r="A1046" t="s">
        <v>4166</v>
      </c>
      <c r="B1046" t="s">
        <v>4103</v>
      </c>
      <c r="C1046" t="s">
        <v>4104</v>
      </c>
      <c r="D1046">
        <v>15</v>
      </c>
      <c r="E1046" t="s">
        <v>4105</v>
      </c>
      <c r="F1046" t="s">
        <v>718</v>
      </c>
      <c r="G1046" t="s">
        <v>51</v>
      </c>
      <c r="H1046" t="s">
        <v>4106</v>
      </c>
      <c r="I1046" t="s">
        <v>1553</v>
      </c>
      <c r="J1046" t="s">
        <v>721</v>
      </c>
      <c r="K1046" t="s">
        <v>3594</v>
      </c>
      <c r="L1046" t="s">
        <v>16</v>
      </c>
      <c r="M1046" t="s">
        <v>19</v>
      </c>
      <c r="N1046">
        <v>1286</v>
      </c>
      <c r="O1046">
        <v>72</v>
      </c>
      <c r="P1046">
        <v>0</v>
      </c>
      <c r="Q1046" t="s">
        <v>4167</v>
      </c>
      <c r="R1046" t="s">
        <v>4168</v>
      </c>
      <c r="S1046" t="s">
        <v>1630</v>
      </c>
      <c r="T1046" t="s">
        <v>4169</v>
      </c>
      <c r="U1046" t="s">
        <v>60</v>
      </c>
      <c r="V1046" t="s">
        <v>61</v>
      </c>
      <c r="W1046">
        <v>3</v>
      </c>
      <c r="X1046">
        <v>8.3125000000000004E-2</v>
      </c>
      <c r="Y1046" t="s">
        <v>112</v>
      </c>
      <c r="Z1046" t="s">
        <v>157</v>
      </c>
      <c r="AA1046">
        <v>0</v>
      </c>
      <c r="AB1046" t="s">
        <v>4109</v>
      </c>
      <c r="AC1046" t="s">
        <v>4110</v>
      </c>
      <c r="AD1046" t="s">
        <v>4111</v>
      </c>
      <c r="AE1046" t="s">
        <v>4112</v>
      </c>
      <c r="AF1046" t="s">
        <v>4113</v>
      </c>
      <c r="AG1046" t="s">
        <v>66</v>
      </c>
      <c r="AH1046" t="s">
        <v>66</v>
      </c>
      <c r="AI1046" t="s">
        <v>66</v>
      </c>
      <c r="AJ1046" t="s">
        <v>66</v>
      </c>
      <c r="AK1046">
        <v>1</v>
      </c>
      <c r="AL1046" t="s">
        <v>66</v>
      </c>
      <c r="AM1046" t="s">
        <v>66</v>
      </c>
      <c r="AN1046" t="s">
        <v>66</v>
      </c>
      <c r="AO1046" t="s">
        <v>66</v>
      </c>
      <c r="AP1046">
        <v>1</v>
      </c>
      <c r="AQ1046" t="s">
        <v>66</v>
      </c>
      <c r="AR1046" t="s">
        <v>66</v>
      </c>
      <c r="AS1046" t="s">
        <v>66</v>
      </c>
      <c r="AT1046" t="s">
        <v>66</v>
      </c>
    </row>
    <row r="1047" spans="1:46" x14ac:dyDescent="0.15">
      <c r="A1047" t="s">
        <v>4170</v>
      </c>
      <c r="B1047" t="s">
        <v>4103</v>
      </c>
      <c r="C1047" t="s">
        <v>4104</v>
      </c>
      <c r="D1047">
        <v>16</v>
      </c>
      <c r="E1047" t="s">
        <v>4105</v>
      </c>
      <c r="F1047" t="s">
        <v>718</v>
      </c>
      <c r="G1047" t="s">
        <v>51</v>
      </c>
      <c r="H1047" t="s">
        <v>4106</v>
      </c>
      <c r="I1047" t="s">
        <v>1553</v>
      </c>
      <c r="J1047" t="s">
        <v>721</v>
      </c>
      <c r="K1047" t="s">
        <v>3594</v>
      </c>
      <c r="L1047" t="s">
        <v>16</v>
      </c>
      <c r="M1047" t="s">
        <v>19</v>
      </c>
      <c r="N1047">
        <v>1342</v>
      </c>
      <c r="O1047">
        <v>75</v>
      </c>
      <c r="P1047">
        <v>0</v>
      </c>
      <c r="Q1047" t="s">
        <v>4171</v>
      </c>
      <c r="R1047" t="s">
        <v>4172</v>
      </c>
      <c r="S1047" t="s">
        <v>1635</v>
      </c>
      <c r="T1047" t="s">
        <v>4173</v>
      </c>
      <c r="U1047" t="s">
        <v>60</v>
      </c>
      <c r="V1047" t="s">
        <v>61</v>
      </c>
      <c r="W1047">
        <v>3</v>
      </c>
      <c r="X1047">
        <v>8.3125000000000004E-2</v>
      </c>
      <c r="Y1047" t="s">
        <v>163</v>
      </c>
      <c r="Z1047" t="s">
        <v>164</v>
      </c>
      <c r="AA1047">
        <v>0</v>
      </c>
      <c r="AB1047" t="s">
        <v>4109</v>
      </c>
      <c r="AC1047" t="s">
        <v>4110</v>
      </c>
      <c r="AD1047" t="s">
        <v>4111</v>
      </c>
      <c r="AE1047" t="s">
        <v>4112</v>
      </c>
      <c r="AF1047" t="s">
        <v>4113</v>
      </c>
      <c r="AG1047" t="s">
        <v>66</v>
      </c>
      <c r="AH1047" t="s">
        <v>66</v>
      </c>
      <c r="AI1047" t="s">
        <v>66</v>
      </c>
      <c r="AJ1047" t="s">
        <v>66</v>
      </c>
      <c r="AK1047">
        <v>1</v>
      </c>
      <c r="AL1047" t="s">
        <v>66</v>
      </c>
      <c r="AM1047" t="s">
        <v>66</v>
      </c>
      <c r="AN1047" t="s">
        <v>66</v>
      </c>
      <c r="AO1047" t="s">
        <v>66</v>
      </c>
      <c r="AP1047">
        <v>1</v>
      </c>
      <c r="AQ1047" t="s">
        <v>66</v>
      </c>
      <c r="AR1047" t="s">
        <v>66</v>
      </c>
      <c r="AS1047" t="s">
        <v>66</v>
      </c>
      <c r="AT1047" t="s">
        <v>66</v>
      </c>
    </row>
    <row r="1048" spans="1:46" x14ac:dyDescent="0.15">
      <c r="A1048" t="s">
        <v>4174</v>
      </c>
      <c r="B1048" t="s">
        <v>4103</v>
      </c>
      <c r="C1048" t="s">
        <v>4104</v>
      </c>
      <c r="D1048">
        <v>17</v>
      </c>
      <c r="E1048" t="s">
        <v>4105</v>
      </c>
      <c r="F1048" t="s">
        <v>718</v>
      </c>
      <c r="G1048" t="s">
        <v>51</v>
      </c>
      <c r="H1048" t="s">
        <v>4106</v>
      </c>
      <c r="I1048" t="s">
        <v>1553</v>
      </c>
      <c r="J1048" t="s">
        <v>721</v>
      </c>
      <c r="K1048" t="s">
        <v>3594</v>
      </c>
      <c r="L1048" t="s">
        <v>16</v>
      </c>
      <c r="M1048" t="s">
        <v>19</v>
      </c>
      <c r="N1048">
        <v>1398</v>
      </c>
      <c r="O1048">
        <v>78</v>
      </c>
      <c r="P1048">
        <v>0</v>
      </c>
      <c r="Q1048" t="s">
        <v>4175</v>
      </c>
      <c r="R1048" t="s">
        <v>4176</v>
      </c>
      <c r="S1048" t="s">
        <v>1640</v>
      </c>
      <c r="T1048" t="s">
        <v>4177</v>
      </c>
      <c r="U1048" t="s">
        <v>60</v>
      </c>
      <c r="V1048" t="s">
        <v>61</v>
      </c>
      <c r="W1048">
        <v>3</v>
      </c>
      <c r="X1048">
        <v>8.3125000000000004E-2</v>
      </c>
      <c r="Y1048" t="s">
        <v>118</v>
      </c>
      <c r="Z1048" t="s">
        <v>170</v>
      </c>
      <c r="AA1048">
        <v>0</v>
      </c>
      <c r="AB1048" t="s">
        <v>4109</v>
      </c>
      <c r="AC1048" t="s">
        <v>4110</v>
      </c>
      <c r="AD1048" t="s">
        <v>4111</v>
      </c>
      <c r="AE1048" t="s">
        <v>4112</v>
      </c>
      <c r="AF1048" t="s">
        <v>4113</v>
      </c>
      <c r="AG1048" t="s">
        <v>66</v>
      </c>
      <c r="AH1048" t="s">
        <v>66</v>
      </c>
      <c r="AI1048" t="s">
        <v>66</v>
      </c>
      <c r="AJ1048" t="s">
        <v>66</v>
      </c>
      <c r="AK1048">
        <v>1</v>
      </c>
      <c r="AL1048" t="s">
        <v>66</v>
      </c>
      <c r="AM1048" t="s">
        <v>66</v>
      </c>
      <c r="AN1048" t="s">
        <v>66</v>
      </c>
      <c r="AO1048" t="s">
        <v>66</v>
      </c>
      <c r="AP1048">
        <v>1</v>
      </c>
      <c r="AQ1048" t="s">
        <v>66</v>
      </c>
      <c r="AR1048" t="s">
        <v>66</v>
      </c>
      <c r="AS1048" t="s">
        <v>66</v>
      </c>
      <c r="AT1048" t="s">
        <v>66</v>
      </c>
    </row>
    <row r="1049" spans="1:46" x14ac:dyDescent="0.15">
      <c r="A1049" t="s">
        <v>4178</v>
      </c>
      <c r="B1049" t="s">
        <v>4103</v>
      </c>
      <c r="C1049" t="s">
        <v>4104</v>
      </c>
      <c r="D1049">
        <v>18</v>
      </c>
      <c r="E1049" t="s">
        <v>4105</v>
      </c>
      <c r="F1049" t="s">
        <v>718</v>
      </c>
      <c r="G1049" t="s">
        <v>51</v>
      </c>
      <c r="H1049" t="s">
        <v>4106</v>
      </c>
      <c r="I1049" t="s">
        <v>1553</v>
      </c>
      <c r="J1049" t="s">
        <v>721</v>
      </c>
      <c r="K1049" t="s">
        <v>3594</v>
      </c>
      <c r="L1049" t="s">
        <v>16</v>
      </c>
      <c r="M1049" t="s">
        <v>19</v>
      </c>
      <c r="N1049">
        <v>1454</v>
      </c>
      <c r="O1049">
        <v>81</v>
      </c>
      <c r="P1049">
        <v>0</v>
      </c>
      <c r="Q1049" t="s">
        <v>4179</v>
      </c>
      <c r="R1049" t="s">
        <v>4180</v>
      </c>
      <c r="S1049" t="s">
        <v>1645</v>
      </c>
      <c r="T1049" t="s">
        <v>4181</v>
      </c>
      <c r="U1049" t="s">
        <v>60</v>
      </c>
      <c r="V1049" t="s">
        <v>61</v>
      </c>
      <c r="W1049">
        <v>3</v>
      </c>
      <c r="X1049">
        <v>8.3125000000000004E-2</v>
      </c>
      <c r="Y1049" t="s">
        <v>176</v>
      </c>
      <c r="Z1049" t="s">
        <v>177</v>
      </c>
      <c r="AA1049">
        <v>0</v>
      </c>
      <c r="AB1049" t="s">
        <v>4109</v>
      </c>
      <c r="AC1049" t="s">
        <v>4110</v>
      </c>
      <c r="AD1049" t="s">
        <v>4111</v>
      </c>
      <c r="AE1049" t="s">
        <v>4112</v>
      </c>
      <c r="AF1049" t="s">
        <v>4113</v>
      </c>
      <c r="AG1049" t="s">
        <v>66</v>
      </c>
      <c r="AH1049" t="s">
        <v>66</v>
      </c>
      <c r="AI1049" t="s">
        <v>66</v>
      </c>
      <c r="AJ1049" t="s">
        <v>66</v>
      </c>
      <c r="AK1049">
        <v>1</v>
      </c>
      <c r="AL1049" t="s">
        <v>66</v>
      </c>
      <c r="AM1049" t="s">
        <v>66</v>
      </c>
      <c r="AN1049" t="s">
        <v>66</v>
      </c>
      <c r="AO1049" t="s">
        <v>66</v>
      </c>
      <c r="AP1049">
        <v>1</v>
      </c>
      <c r="AQ1049" t="s">
        <v>66</v>
      </c>
      <c r="AR1049" t="s">
        <v>66</v>
      </c>
      <c r="AS1049" t="s">
        <v>66</v>
      </c>
      <c r="AT1049" t="s">
        <v>66</v>
      </c>
    </row>
    <row r="1050" spans="1:46" x14ac:dyDescent="0.15">
      <c r="A1050" t="s">
        <v>4182</v>
      </c>
      <c r="B1050" t="s">
        <v>4103</v>
      </c>
      <c r="C1050" t="s">
        <v>4104</v>
      </c>
      <c r="D1050">
        <v>19</v>
      </c>
      <c r="E1050" t="s">
        <v>4105</v>
      </c>
      <c r="F1050" t="s">
        <v>718</v>
      </c>
      <c r="G1050" t="s">
        <v>51</v>
      </c>
      <c r="H1050" t="s">
        <v>4106</v>
      </c>
      <c r="I1050" t="s">
        <v>1553</v>
      </c>
      <c r="J1050" t="s">
        <v>721</v>
      </c>
      <c r="K1050" t="s">
        <v>3594</v>
      </c>
      <c r="L1050" t="s">
        <v>16</v>
      </c>
      <c r="M1050" t="s">
        <v>19</v>
      </c>
      <c r="N1050">
        <v>1510</v>
      </c>
      <c r="O1050">
        <v>84</v>
      </c>
      <c r="P1050">
        <v>0</v>
      </c>
      <c r="Q1050" t="s">
        <v>4183</v>
      </c>
      <c r="R1050" t="s">
        <v>4184</v>
      </c>
      <c r="S1050" t="s">
        <v>1650</v>
      </c>
      <c r="T1050" t="s">
        <v>4185</v>
      </c>
      <c r="U1050" t="s">
        <v>60</v>
      </c>
      <c r="V1050" t="s">
        <v>61</v>
      </c>
      <c r="W1050">
        <v>3</v>
      </c>
      <c r="X1050">
        <v>8.3125000000000004E-2</v>
      </c>
      <c r="Y1050" t="s">
        <v>125</v>
      </c>
      <c r="Z1050" t="s">
        <v>183</v>
      </c>
      <c r="AA1050">
        <v>0</v>
      </c>
      <c r="AB1050" t="s">
        <v>4109</v>
      </c>
      <c r="AC1050" t="s">
        <v>4110</v>
      </c>
      <c r="AD1050" t="s">
        <v>4111</v>
      </c>
      <c r="AE1050" t="s">
        <v>4112</v>
      </c>
      <c r="AF1050" t="s">
        <v>4113</v>
      </c>
      <c r="AG1050" t="s">
        <v>66</v>
      </c>
      <c r="AH1050" t="s">
        <v>66</v>
      </c>
      <c r="AI1050" t="s">
        <v>66</v>
      </c>
      <c r="AJ1050" t="s">
        <v>66</v>
      </c>
      <c r="AK1050">
        <v>1</v>
      </c>
      <c r="AL1050" t="s">
        <v>66</v>
      </c>
      <c r="AM1050" t="s">
        <v>66</v>
      </c>
      <c r="AN1050" t="s">
        <v>66</v>
      </c>
      <c r="AO1050" t="s">
        <v>66</v>
      </c>
      <c r="AP1050">
        <v>1</v>
      </c>
      <c r="AQ1050" t="s">
        <v>66</v>
      </c>
      <c r="AR1050" t="s">
        <v>66</v>
      </c>
      <c r="AS1050" t="s">
        <v>66</v>
      </c>
      <c r="AT1050" t="s">
        <v>66</v>
      </c>
    </row>
    <row r="1051" spans="1:46" x14ac:dyDescent="0.15">
      <c r="A1051" t="s">
        <v>4186</v>
      </c>
      <c r="B1051" t="s">
        <v>4103</v>
      </c>
      <c r="C1051" t="s">
        <v>4104</v>
      </c>
      <c r="D1051">
        <v>20</v>
      </c>
      <c r="E1051" t="s">
        <v>4105</v>
      </c>
      <c r="F1051" t="s">
        <v>718</v>
      </c>
      <c r="G1051" t="s">
        <v>51</v>
      </c>
      <c r="H1051" t="s">
        <v>4106</v>
      </c>
      <c r="I1051" t="s">
        <v>1553</v>
      </c>
      <c r="J1051" t="s">
        <v>721</v>
      </c>
      <c r="K1051" t="s">
        <v>3594</v>
      </c>
      <c r="L1051" t="s">
        <v>16</v>
      </c>
      <c r="M1051" t="s">
        <v>19</v>
      </c>
      <c r="N1051">
        <v>1566</v>
      </c>
      <c r="O1051">
        <v>87</v>
      </c>
      <c r="P1051">
        <v>0</v>
      </c>
      <c r="Q1051" t="s">
        <v>4187</v>
      </c>
      <c r="R1051" t="s">
        <v>4188</v>
      </c>
      <c r="S1051" t="s">
        <v>1655</v>
      </c>
      <c r="T1051" t="s">
        <v>4189</v>
      </c>
      <c r="U1051" t="s">
        <v>60</v>
      </c>
      <c r="V1051" t="s">
        <v>61</v>
      </c>
      <c r="W1051">
        <v>3</v>
      </c>
      <c r="X1051">
        <v>8.3125000000000004E-2</v>
      </c>
      <c r="Y1051" t="s">
        <v>189</v>
      </c>
      <c r="Z1051" t="s">
        <v>190</v>
      </c>
      <c r="AA1051">
        <v>0</v>
      </c>
      <c r="AB1051" t="s">
        <v>4109</v>
      </c>
      <c r="AC1051" t="s">
        <v>4110</v>
      </c>
      <c r="AD1051" t="s">
        <v>4111</v>
      </c>
      <c r="AE1051" t="s">
        <v>4112</v>
      </c>
      <c r="AF1051" t="s">
        <v>4113</v>
      </c>
      <c r="AG1051" t="s">
        <v>66</v>
      </c>
      <c r="AH1051" t="s">
        <v>66</v>
      </c>
      <c r="AI1051" t="s">
        <v>66</v>
      </c>
      <c r="AJ1051" t="s">
        <v>66</v>
      </c>
      <c r="AK1051">
        <v>1</v>
      </c>
      <c r="AL1051" t="s">
        <v>66</v>
      </c>
      <c r="AM1051" t="s">
        <v>66</v>
      </c>
      <c r="AN1051" t="s">
        <v>66</v>
      </c>
      <c r="AO1051" t="s">
        <v>66</v>
      </c>
      <c r="AP1051">
        <v>1</v>
      </c>
      <c r="AQ1051" t="s">
        <v>66</v>
      </c>
      <c r="AR1051" t="s">
        <v>66</v>
      </c>
      <c r="AS1051" t="s">
        <v>66</v>
      </c>
      <c r="AT1051" t="s">
        <v>66</v>
      </c>
    </row>
    <row r="1052" spans="1:46" x14ac:dyDescent="0.15">
      <c r="A1052" t="s">
        <v>4186</v>
      </c>
      <c r="B1052" t="s">
        <v>4103</v>
      </c>
      <c r="C1052" t="s">
        <v>4104</v>
      </c>
      <c r="D1052">
        <v>20</v>
      </c>
      <c r="E1052" t="s">
        <v>4105</v>
      </c>
      <c r="F1052" t="s">
        <v>718</v>
      </c>
      <c r="G1052" t="s">
        <v>51</v>
      </c>
      <c r="H1052" t="s">
        <v>4106</v>
      </c>
      <c r="I1052" t="s">
        <v>1553</v>
      </c>
      <c r="J1052" t="s">
        <v>721</v>
      </c>
      <c r="K1052" t="s">
        <v>3594</v>
      </c>
      <c r="L1052" t="s">
        <v>16</v>
      </c>
      <c r="M1052" t="s">
        <v>19</v>
      </c>
      <c r="N1052">
        <v>1566</v>
      </c>
      <c r="O1052">
        <v>87</v>
      </c>
      <c r="P1052">
        <v>0</v>
      </c>
      <c r="Q1052" t="s">
        <v>4187</v>
      </c>
      <c r="R1052" t="s">
        <v>4188</v>
      </c>
      <c r="S1052" t="s">
        <v>1655</v>
      </c>
      <c r="T1052" t="s">
        <v>4189</v>
      </c>
      <c r="U1052" t="s">
        <v>60</v>
      </c>
      <c r="V1052" t="s">
        <v>61</v>
      </c>
      <c r="W1052">
        <v>3</v>
      </c>
      <c r="X1052">
        <v>8.3125000000000004E-2</v>
      </c>
      <c r="Y1052" t="s">
        <v>189</v>
      </c>
      <c r="Z1052" t="s">
        <v>190</v>
      </c>
      <c r="AA1052">
        <v>1</v>
      </c>
      <c r="AB1052" t="s">
        <v>4109</v>
      </c>
      <c r="AC1052" t="s">
        <v>4110</v>
      </c>
      <c r="AD1052" t="s">
        <v>4111</v>
      </c>
      <c r="AE1052" t="s">
        <v>4112</v>
      </c>
      <c r="AF1052" t="s">
        <v>4113</v>
      </c>
      <c r="AG1052" t="s">
        <v>806</v>
      </c>
      <c r="AH1052" t="s">
        <v>66</v>
      </c>
      <c r="AI1052" t="s">
        <v>66</v>
      </c>
      <c r="AJ1052" t="s">
        <v>66</v>
      </c>
      <c r="AK1052">
        <v>1</v>
      </c>
      <c r="AL1052" t="s">
        <v>4190</v>
      </c>
      <c r="AM1052" t="s">
        <v>4191</v>
      </c>
      <c r="AN1052" t="s">
        <v>66</v>
      </c>
      <c r="AO1052" t="s">
        <v>66</v>
      </c>
      <c r="AP1052">
        <v>1</v>
      </c>
      <c r="AQ1052" t="s">
        <v>66</v>
      </c>
      <c r="AR1052" t="s">
        <v>66</v>
      </c>
      <c r="AS1052" t="s">
        <v>66</v>
      </c>
      <c r="AT1052" t="s">
        <v>66</v>
      </c>
    </row>
    <row r="1053" spans="1:46" x14ac:dyDescent="0.15">
      <c r="A1053" t="s">
        <v>4192</v>
      </c>
      <c r="B1053" t="s">
        <v>4103</v>
      </c>
      <c r="C1053" t="s">
        <v>4104</v>
      </c>
      <c r="D1053">
        <v>21</v>
      </c>
      <c r="E1053" t="s">
        <v>4105</v>
      </c>
      <c r="F1053" t="s">
        <v>718</v>
      </c>
      <c r="G1053" t="s">
        <v>51</v>
      </c>
      <c r="H1053" t="s">
        <v>4106</v>
      </c>
      <c r="I1053" t="s">
        <v>1553</v>
      </c>
      <c r="J1053" t="s">
        <v>721</v>
      </c>
      <c r="K1053" t="s">
        <v>3594</v>
      </c>
      <c r="L1053" t="s">
        <v>16</v>
      </c>
      <c r="M1053" t="s">
        <v>19</v>
      </c>
      <c r="N1053">
        <v>1622</v>
      </c>
      <c r="O1053">
        <v>90</v>
      </c>
      <c r="P1053">
        <v>0</v>
      </c>
      <c r="Q1053" t="s">
        <v>4193</v>
      </c>
      <c r="R1053" t="s">
        <v>4194</v>
      </c>
      <c r="S1053" t="s">
        <v>1660</v>
      </c>
      <c r="T1053" t="s">
        <v>4195</v>
      </c>
      <c r="U1053" t="s">
        <v>60</v>
      </c>
      <c r="V1053" t="s">
        <v>61</v>
      </c>
      <c r="W1053">
        <v>3</v>
      </c>
      <c r="X1053">
        <v>8.3125000000000004E-2</v>
      </c>
      <c r="Y1053" t="s">
        <v>131</v>
      </c>
      <c r="Z1053" t="s">
        <v>197</v>
      </c>
      <c r="AA1053">
        <v>1</v>
      </c>
      <c r="AB1053" t="s">
        <v>4109</v>
      </c>
      <c r="AC1053" t="s">
        <v>4110</v>
      </c>
      <c r="AD1053" t="s">
        <v>4111</v>
      </c>
      <c r="AE1053" t="s">
        <v>4112</v>
      </c>
      <c r="AF1053" t="s">
        <v>4113</v>
      </c>
      <c r="AG1053" t="s">
        <v>806</v>
      </c>
      <c r="AH1053" t="s">
        <v>66</v>
      </c>
      <c r="AI1053" t="s">
        <v>66</v>
      </c>
      <c r="AJ1053" t="s">
        <v>66</v>
      </c>
      <c r="AK1053">
        <v>1</v>
      </c>
      <c r="AL1053" t="s">
        <v>4190</v>
      </c>
      <c r="AM1053" t="s">
        <v>4191</v>
      </c>
      <c r="AN1053" t="s">
        <v>66</v>
      </c>
      <c r="AO1053" t="s">
        <v>66</v>
      </c>
      <c r="AP1053">
        <v>1</v>
      </c>
      <c r="AQ1053" t="s">
        <v>66</v>
      </c>
      <c r="AR1053" t="s">
        <v>66</v>
      </c>
      <c r="AS1053" t="s">
        <v>66</v>
      </c>
      <c r="AT1053" t="s">
        <v>66</v>
      </c>
    </row>
    <row r="1054" spans="1:46" x14ac:dyDescent="0.15">
      <c r="A1054" t="s">
        <v>4196</v>
      </c>
      <c r="B1054" t="s">
        <v>4103</v>
      </c>
      <c r="C1054" t="s">
        <v>4104</v>
      </c>
      <c r="D1054">
        <v>22</v>
      </c>
      <c r="E1054" t="s">
        <v>4105</v>
      </c>
      <c r="F1054" t="s">
        <v>718</v>
      </c>
      <c r="G1054" t="s">
        <v>51</v>
      </c>
      <c r="H1054" t="s">
        <v>4106</v>
      </c>
      <c r="I1054" t="s">
        <v>1553</v>
      </c>
      <c r="J1054" t="s">
        <v>721</v>
      </c>
      <c r="K1054" t="s">
        <v>3594</v>
      </c>
      <c r="L1054" t="s">
        <v>16</v>
      </c>
      <c r="M1054" t="s">
        <v>19</v>
      </c>
      <c r="N1054">
        <v>1679</v>
      </c>
      <c r="O1054">
        <v>93</v>
      </c>
      <c r="P1054">
        <v>0</v>
      </c>
      <c r="Q1054" t="s">
        <v>4197</v>
      </c>
      <c r="R1054" t="s">
        <v>4198</v>
      </c>
      <c r="S1054" t="s">
        <v>1665</v>
      </c>
      <c r="T1054" t="s">
        <v>4199</v>
      </c>
      <c r="U1054" t="s">
        <v>60</v>
      </c>
      <c r="V1054" t="s">
        <v>61</v>
      </c>
      <c r="W1054">
        <v>3</v>
      </c>
      <c r="X1054">
        <v>8.3125000000000004E-2</v>
      </c>
      <c r="Y1054" t="s">
        <v>203</v>
      </c>
      <c r="Z1054" t="s">
        <v>204</v>
      </c>
      <c r="AA1054">
        <v>1</v>
      </c>
      <c r="AB1054" t="s">
        <v>4109</v>
      </c>
      <c r="AC1054" t="s">
        <v>4110</v>
      </c>
      <c r="AD1054" t="s">
        <v>4111</v>
      </c>
      <c r="AE1054" t="s">
        <v>4112</v>
      </c>
      <c r="AF1054" t="s">
        <v>4113</v>
      </c>
      <c r="AG1054" t="s">
        <v>806</v>
      </c>
      <c r="AH1054" t="s">
        <v>66</v>
      </c>
      <c r="AI1054" t="s">
        <v>66</v>
      </c>
      <c r="AJ1054" t="s">
        <v>66</v>
      </c>
      <c r="AK1054">
        <v>1</v>
      </c>
      <c r="AL1054" t="s">
        <v>4190</v>
      </c>
      <c r="AM1054" t="s">
        <v>4191</v>
      </c>
      <c r="AN1054" t="s">
        <v>66</v>
      </c>
      <c r="AO1054" t="s">
        <v>66</v>
      </c>
      <c r="AP1054">
        <v>1</v>
      </c>
      <c r="AQ1054" t="s">
        <v>66</v>
      </c>
      <c r="AR1054" t="s">
        <v>66</v>
      </c>
      <c r="AS1054" t="s">
        <v>66</v>
      </c>
      <c r="AT1054" t="s">
        <v>66</v>
      </c>
    </row>
    <row r="1055" spans="1:46" x14ac:dyDescent="0.15">
      <c r="A1055" t="s">
        <v>4200</v>
      </c>
      <c r="B1055" t="s">
        <v>4103</v>
      </c>
      <c r="C1055" t="s">
        <v>4104</v>
      </c>
      <c r="D1055">
        <v>23</v>
      </c>
      <c r="E1055" t="s">
        <v>4105</v>
      </c>
      <c r="F1055" t="s">
        <v>718</v>
      </c>
      <c r="G1055" t="s">
        <v>51</v>
      </c>
      <c r="H1055" t="s">
        <v>4106</v>
      </c>
      <c r="I1055" t="s">
        <v>1553</v>
      </c>
      <c r="J1055" t="s">
        <v>721</v>
      </c>
      <c r="K1055" t="s">
        <v>3594</v>
      </c>
      <c r="L1055" t="s">
        <v>16</v>
      </c>
      <c r="M1055" t="s">
        <v>19</v>
      </c>
      <c r="N1055">
        <v>1735</v>
      </c>
      <c r="O1055">
        <v>96</v>
      </c>
      <c r="P1055">
        <v>0</v>
      </c>
      <c r="Q1055" t="s">
        <v>4201</v>
      </c>
      <c r="R1055" t="s">
        <v>4202</v>
      </c>
      <c r="S1055" t="s">
        <v>1670</v>
      </c>
      <c r="T1055" t="s">
        <v>4203</v>
      </c>
      <c r="U1055" t="s">
        <v>60</v>
      </c>
      <c r="V1055" t="s">
        <v>61</v>
      </c>
      <c r="W1055">
        <v>3</v>
      </c>
      <c r="X1055">
        <v>8.3125000000000004E-2</v>
      </c>
      <c r="Y1055" t="s">
        <v>138</v>
      </c>
      <c r="Z1055" t="s">
        <v>210</v>
      </c>
      <c r="AA1055">
        <v>1</v>
      </c>
      <c r="AB1055" t="s">
        <v>4109</v>
      </c>
      <c r="AC1055" t="s">
        <v>4110</v>
      </c>
      <c r="AD1055" t="s">
        <v>4111</v>
      </c>
      <c r="AE1055" t="s">
        <v>4112</v>
      </c>
      <c r="AF1055" t="s">
        <v>4113</v>
      </c>
      <c r="AG1055" t="s">
        <v>806</v>
      </c>
      <c r="AH1055" t="s">
        <v>66</v>
      </c>
      <c r="AI1055" t="s">
        <v>66</v>
      </c>
      <c r="AJ1055" t="s">
        <v>66</v>
      </c>
      <c r="AK1055">
        <v>1</v>
      </c>
      <c r="AL1055" t="s">
        <v>4190</v>
      </c>
      <c r="AM1055" t="s">
        <v>4191</v>
      </c>
      <c r="AN1055" t="s">
        <v>66</v>
      </c>
      <c r="AO1055" t="s">
        <v>66</v>
      </c>
      <c r="AP1055">
        <v>1</v>
      </c>
      <c r="AQ1055" t="s">
        <v>66</v>
      </c>
      <c r="AR1055" t="s">
        <v>66</v>
      </c>
      <c r="AS1055" t="s">
        <v>66</v>
      </c>
      <c r="AT1055" t="s">
        <v>66</v>
      </c>
    </row>
    <row r="1056" spans="1:46" x14ac:dyDescent="0.15">
      <c r="A1056" t="s">
        <v>4204</v>
      </c>
      <c r="B1056" t="s">
        <v>4103</v>
      </c>
      <c r="C1056" t="s">
        <v>4104</v>
      </c>
      <c r="D1056">
        <v>24</v>
      </c>
      <c r="E1056" t="s">
        <v>4105</v>
      </c>
      <c r="F1056" t="s">
        <v>718</v>
      </c>
      <c r="G1056" t="s">
        <v>51</v>
      </c>
      <c r="H1056" t="s">
        <v>4106</v>
      </c>
      <c r="I1056" t="s">
        <v>1553</v>
      </c>
      <c r="J1056" t="s">
        <v>721</v>
      </c>
      <c r="K1056" t="s">
        <v>3594</v>
      </c>
      <c r="L1056" t="s">
        <v>16</v>
      </c>
      <c r="M1056" t="s">
        <v>19</v>
      </c>
      <c r="N1056">
        <v>1791</v>
      </c>
      <c r="O1056">
        <v>99</v>
      </c>
      <c r="P1056">
        <v>0</v>
      </c>
      <c r="Q1056" t="s">
        <v>4205</v>
      </c>
      <c r="R1056" t="s">
        <v>4206</v>
      </c>
      <c r="S1056" t="s">
        <v>1675</v>
      </c>
      <c r="T1056" t="s">
        <v>4207</v>
      </c>
      <c r="U1056" t="s">
        <v>60</v>
      </c>
      <c r="V1056" t="s">
        <v>61</v>
      </c>
      <c r="W1056">
        <v>3</v>
      </c>
      <c r="X1056">
        <v>8.3125000000000004E-2</v>
      </c>
      <c r="Y1056" t="s">
        <v>216</v>
      </c>
      <c r="Z1056" t="s">
        <v>217</v>
      </c>
      <c r="AA1056">
        <v>1</v>
      </c>
      <c r="AB1056" t="s">
        <v>4109</v>
      </c>
      <c r="AC1056" t="s">
        <v>4110</v>
      </c>
      <c r="AD1056" t="s">
        <v>4111</v>
      </c>
      <c r="AE1056" t="s">
        <v>4112</v>
      </c>
      <c r="AF1056" t="s">
        <v>4113</v>
      </c>
      <c r="AG1056" t="s">
        <v>806</v>
      </c>
      <c r="AH1056" t="s">
        <v>66</v>
      </c>
      <c r="AI1056" t="s">
        <v>66</v>
      </c>
      <c r="AJ1056" t="s">
        <v>66</v>
      </c>
      <c r="AK1056">
        <v>1</v>
      </c>
      <c r="AL1056" t="s">
        <v>4190</v>
      </c>
      <c r="AM1056" t="s">
        <v>4191</v>
      </c>
      <c r="AN1056" t="s">
        <v>66</v>
      </c>
      <c r="AO1056" t="s">
        <v>66</v>
      </c>
      <c r="AP1056">
        <v>1</v>
      </c>
      <c r="AQ1056" t="s">
        <v>66</v>
      </c>
      <c r="AR1056" t="s">
        <v>66</v>
      </c>
      <c r="AS1056" t="s">
        <v>66</v>
      </c>
      <c r="AT1056" t="s">
        <v>66</v>
      </c>
    </row>
    <row r="1057" spans="1:46" x14ac:dyDescent="0.15">
      <c r="A1057" t="s">
        <v>4208</v>
      </c>
      <c r="B1057" t="s">
        <v>4103</v>
      </c>
      <c r="C1057" t="s">
        <v>4104</v>
      </c>
      <c r="D1057">
        <v>25</v>
      </c>
      <c r="E1057" t="s">
        <v>4105</v>
      </c>
      <c r="F1057" t="s">
        <v>718</v>
      </c>
      <c r="G1057" t="s">
        <v>51</v>
      </c>
      <c r="H1057" t="s">
        <v>4106</v>
      </c>
      <c r="I1057" t="s">
        <v>1553</v>
      </c>
      <c r="J1057" t="s">
        <v>721</v>
      </c>
      <c r="K1057" t="s">
        <v>3594</v>
      </c>
      <c r="L1057" t="s">
        <v>16</v>
      </c>
      <c r="M1057" t="s">
        <v>19</v>
      </c>
      <c r="N1057">
        <v>1847</v>
      </c>
      <c r="O1057">
        <v>102</v>
      </c>
      <c r="P1057">
        <v>0</v>
      </c>
      <c r="Q1057" t="s">
        <v>4209</v>
      </c>
      <c r="R1057" t="s">
        <v>4210</v>
      </c>
      <c r="S1057" t="s">
        <v>1680</v>
      </c>
      <c r="T1057" t="s">
        <v>4211</v>
      </c>
      <c r="U1057" t="s">
        <v>60</v>
      </c>
      <c r="V1057" t="s">
        <v>61</v>
      </c>
      <c r="W1057">
        <v>3</v>
      </c>
      <c r="X1057">
        <v>8.3125000000000004E-2</v>
      </c>
      <c r="Y1057" t="s">
        <v>144</v>
      </c>
      <c r="Z1057" t="s">
        <v>223</v>
      </c>
      <c r="AA1057">
        <v>1</v>
      </c>
      <c r="AB1057" t="s">
        <v>4109</v>
      </c>
      <c r="AC1057" t="s">
        <v>4110</v>
      </c>
      <c r="AD1057" t="s">
        <v>4111</v>
      </c>
      <c r="AE1057" t="s">
        <v>4112</v>
      </c>
      <c r="AF1057" t="s">
        <v>4113</v>
      </c>
      <c r="AG1057" t="s">
        <v>806</v>
      </c>
      <c r="AH1057" t="s">
        <v>66</v>
      </c>
      <c r="AI1057" t="s">
        <v>66</v>
      </c>
      <c r="AJ1057" t="s">
        <v>66</v>
      </c>
      <c r="AK1057">
        <v>1</v>
      </c>
      <c r="AL1057" t="s">
        <v>4190</v>
      </c>
      <c r="AM1057" t="s">
        <v>4191</v>
      </c>
      <c r="AN1057" t="s">
        <v>66</v>
      </c>
      <c r="AO1057" t="s">
        <v>66</v>
      </c>
      <c r="AP1057">
        <v>1</v>
      </c>
      <c r="AQ1057" t="s">
        <v>66</v>
      </c>
      <c r="AR1057" t="s">
        <v>66</v>
      </c>
      <c r="AS1057" t="s">
        <v>66</v>
      </c>
      <c r="AT1057" t="s">
        <v>66</v>
      </c>
    </row>
    <row r="1058" spans="1:46" x14ac:dyDescent="0.15">
      <c r="A1058" t="s">
        <v>4212</v>
      </c>
      <c r="B1058" t="s">
        <v>4103</v>
      </c>
      <c r="C1058" t="s">
        <v>4104</v>
      </c>
      <c r="D1058">
        <v>26</v>
      </c>
      <c r="E1058" t="s">
        <v>4105</v>
      </c>
      <c r="F1058" t="s">
        <v>718</v>
      </c>
      <c r="G1058" t="s">
        <v>51</v>
      </c>
      <c r="H1058" t="s">
        <v>4106</v>
      </c>
      <c r="I1058" t="s">
        <v>1553</v>
      </c>
      <c r="J1058" t="s">
        <v>721</v>
      </c>
      <c r="K1058" t="s">
        <v>3594</v>
      </c>
      <c r="L1058" t="s">
        <v>16</v>
      </c>
      <c r="M1058" t="s">
        <v>19</v>
      </c>
      <c r="N1058">
        <v>1903</v>
      </c>
      <c r="O1058">
        <v>105</v>
      </c>
      <c r="P1058">
        <v>0</v>
      </c>
      <c r="Q1058" t="s">
        <v>4213</v>
      </c>
      <c r="R1058" t="s">
        <v>4214</v>
      </c>
      <c r="S1058" t="s">
        <v>1685</v>
      </c>
      <c r="T1058" t="s">
        <v>4215</v>
      </c>
      <c r="U1058" t="s">
        <v>60</v>
      </c>
      <c r="V1058" t="s">
        <v>61</v>
      </c>
      <c r="W1058">
        <v>3</v>
      </c>
      <c r="X1058">
        <v>8.3125000000000004E-2</v>
      </c>
      <c r="Y1058" t="s">
        <v>229</v>
      </c>
      <c r="Z1058" t="s">
        <v>230</v>
      </c>
      <c r="AA1058">
        <v>1</v>
      </c>
      <c r="AB1058" t="s">
        <v>4109</v>
      </c>
      <c r="AC1058" t="s">
        <v>4110</v>
      </c>
      <c r="AD1058" t="s">
        <v>4111</v>
      </c>
      <c r="AE1058" t="s">
        <v>4112</v>
      </c>
      <c r="AF1058" t="s">
        <v>4113</v>
      </c>
      <c r="AG1058" t="s">
        <v>806</v>
      </c>
      <c r="AH1058" t="s">
        <v>66</v>
      </c>
      <c r="AI1058" t="s">
        <v>66</v>
      </c>
      <c r="AJ1058" t="s">
        <v>66</v>
      </c>
      <c r="AK1058">
        <v>1</v>
      </c>
      <c r="AL1058" t="s">
        <v>4190</v>
      </c>
      <c r="AM1058" t="s">
        <v>4191</v>
      </c>
      <c r="AN1058" t="s">
        <v>66</v>
      </c>
      <c r="AO1058" t="s">
        <v>66</v>
      </c>
      <c r="AP1058">
        <v>1</v>
      </c>
      <c r="AQ1058" t="s">
        <v>66</v>
      </c>
      <c r="AR1058" t="s">
        <v>66</v>
      </c>
      <c r="AS1058" t="s">
        <v>66</v>
      </c>
      <c r="AT1058" t="s">
        <v>66</v>
      </c>
    </row>
    <row r="1059" spans="1:46" x14ac:dyDescent="0.15">
      <c r="A1059" t="s">
        <v>4216</v>
      </c>
      <c r="B1059" t="s">
        <v>4103</v>
      </c>
      <c r="C1059" t="s">
        <v>4104</v>
      </c>
      <c r="D1059">
        <v>27</v>
      </c>
      <c r="E1059" t="s">
        <v>4105</v>
      </c>
      <c r="F1059" t="s">
        <v>718</v>
      </c>
      <c r="G1059" t="s">
        <v>51</v>
      </c>
      <c r="H1059" t="s">
        <v>4106</v>
      </c>
      <c r="I1059" t="s">
        <v>1553</v>
      </c>
      <c r="J1059" t="s">
        <v>721</v>
      </c>
      <c r="K1059" t="s">
        <v>3594</v>
      </c>
      <c r="L1059" t="s">
        <v>16</v>
      </c>
      <c r="M1059" t="s">
        <v>19</v>
      </c>
      <c r="N1059">
        <v>1959</v>
      </c>
      <c r="O1059">
        <v>108</v>
      </c>
      <c r="P1059">
        <v>0</v>
      </c>
      <c r="Q1059" t="s">
        <v>4217</v>
      </c>
      <c r="R1059" t="s">
        <v>4218</v>
      </c>
      <c r="S1059" t="s">
        <v>1690</v>
      </c>
      <c r="T1059" t="s">
        <v>4219</v>
      </c>
      <c r="U1059" t="s">
        <v>60</v>
      </c>
      <c r="V1059" t="s">
        <v>61</v>
      </c>
      <c r="W1059">
        <v>3</v>
      </c>
      <c r="X1059">
        <v>8.3125000000000004E-2</v>
      </c>
      <c r="Y1059" t="s">
        <v>151</v>
      </c>
      <c r="Z1059" t="s">
        <v>236</v>
      </c>
      <c r="AA1059">
        <v>1</v>
      </c>
      <c r="AB1059" t="s">
        <v>4109</v>
      </c>
      <c r="AC1059" t="s">
        <v>4110</v>
      </c>
      <c r="AD1059" t="s">
        <v>4111</v>
      </c>
      <c r="AE1059" t="s">
        <v>4112</v>
      </c>
      <c r="AF1059" t="s">
        <v>4113</v>
      </c>
      <c r="AG1059" t="s">
        <v>806</v>
      </c>
      <c r="AH1059" t="s">
        <v>66</v>
      </c>
      <c r="AI1059" t="s">
        <v>66</v>
      </c>
      <c r="AJ1059" t="s">
        <v>66</v>
      </c>
      <c r="AK1059">
        <v>1</v>
      </c>
      <c r="AL1059" t="s">
        <v>4190</v>
      </c>
      <c r="AM1059" t="s">
        <v>4191</v>
      </c>
      <c r="AN1059" t="s">
        <v>66</v>
      </c>
      <c r="AO1059" t="s">
        <v>66</v>
      </c>
      <c r="AP1059">
        <v>1</v>
      </c>
      <c r="AQ1059" t="s">
        <v>66</v>
      </c>
      <c r="AR1059" t="s">
        <v>66</v>
      </c>
      <c r="AS1059" t="s">
        <v>66</v>
      </c>
      <c r="AT1059" t="s">
        <v>66</v>
      </c>
    </row>
    <row r="1060" spans="1:46" x14ac:dyDescent="0.15">
      <c r="A1060" t="s">
        <v>4220</v>
      </c>
      <c r="B1060" t="s">
        <v>4103</v>
      </c>
      <c r="C1060" t="s">
        <v>4104</v>
      </c>
      <c r="D1060">
        <v>28</v>
      </c>
      <c r="E1060" t="s">
        <v>4105</v>
      </c>
      <c r="F1060" t="s">
        <v>718</v>
      </c>
      <c r="G1060" t="s">
        <v>51</v>
      </c>
      <c r="H1060" t="s">
        <v>4106</v>
      </c>
      <c r="I1060" t="s">
        <v>1553</v>
      </c>
      <c r="J1060" t="s">
        <v>721</v>
      </c>
      <c r="K1060" t="s">
        <v>3594</v>
      </c>
      <c r="L1060" t="s">
        <v>16</v>
      </c>
      <c r="M1060" t="s">
        <v>19</v>
      </c>
      <c r="N1060">
        <v>2015</v>
      </c>
      <c r="O1060">
        <v>111</v>
      </c>
      <c r="P1060">
        <v>0</v>
      </c>
      <c r="Q1060" t="s">
        <v>4221</v>
      </c>
      <c r="R1060" t="s">
        <v>4222</v>
      </c>
      <c r="S1060" t="s">
        <v>1695</v>
      </c>
      <c r="T1060" t="s">
        <v>4223</v>
      </c>
      <c r="U1060" t="s">
        <v>60</v>
      </c>
      <c r="V1060" t="s">
        <v>61</v>
      </c>
      <c r="W1060">
        <v>3</v>
      </c>
      <c r="X1060">
        <v>8.3125000000000004E-2</v>
      </c>
      <c r="Y1060" t="s">
        <v>242</v>
      </c>
      <c r="Z1060" t="s">
        <v>243</v>
      </c>
      <c r="AA1060">
        <v>1</v>
      </c>
      <c r="AB1060" t="s">
        <v>4109</v>
      </c>
      <c r="AC1060" t="s">
        <v>4110</v>
      </c>
      <c r="AD1060" t="s">
        <v>4111</v>
      </c>
      <c r="AE1060" t="s">
        <v>4112</v>
      </c>
      <c r="AF1060" t="s">
        <v>4113</v>
      </c>
      <c r="AG1060" t="s">
        <v>806</v>
      </c>
      <c r="AH1060" t="s">
        <v>66</v>
      </c>
      <c r="AI1060" t="s">
        <v>66</v>
      </c>
      <c r="AJ1060" t="s">
        <v>66</v>
      </c>
      <c r="AK1060">
        <v>1</v>
      </c>
      <c r="AL1060" t="s">
        <v>4190</v>
      </c>
      <c r="AM1060" t="s">
        <v>4191</v>
      </c>
      <c r="AN1060" t="s">
        <v>66</v>
      </c>
      <c r="AO1060" t="s">
        <v>66</v>
      </c>
      <c r="AP1060">
        <v>1</v>
      </c>
      <c r="AQ1060" t="s">
        <v>66</v>
      </c>
      <c r="AR1060" t="s">
        <v>66</v>
      </c>
      <c r="AS1060" t="s">
        <v>66</v>
      </c>
      <c r="AT1060" t="s">
        <v>66</v>
      </c>
    </row>
    <row r="1061" spans="1:46" x14ac:dyDescent="0.15">
      <c r="A1061" t="s">
        <v>4224</v>
      </c>
      <c r="B1061" t="s">
        <v>4103</v>
      </c>
      <c r="C1061" t="s">
        <v>4104</v>
      </c>
      <c r="D1061">
        <v>29</v>
      </c>
      <c r="E1061" t="s">
        <v>4105</v>
      </c>
      <c r="F1061" t="s">
        <v>718</v>
      </c>
      <c r="G1061" t="s">
        <v>51</v>
      </c>
      <c r="H1061" t="s">
        <v>4106</v>
      </c>
      <c r="I1061" t="s">
        <v>1553</v>
      </c>
      <c r="J1061" t="s">
        <v>721</v>
      </c>
      <c r="K1061" t="s">
        <v>3594</v>
      </c>
      <c r="L1061" t="s">
        <v>16</v>
      </c>
      <c r="M1061" t="s">
        <v>19</v>
      </c>
      <c r="N1061">
        <v>2071</v>
      </c>
      <c r="O1061">
        <v>114</v>
      </c>
      <c r="P1061">
        <v>0</v>
      </c>
      <c r="Q1061" t="s">
        <v>4225</v>
      </c>
      <c r="R1061" t="s">
        <v>4226</v>
      </c>
      <c r="S1061" t="s">
        <v>1700</v>
      </c>
      <c r="T1061" t="s">
        <v>4227</v>
      </c>
      <c r="U1061" t="s">
        <v>60</v>
      </c>
      <c r="V1061" t="s">
        <v>61</v>
      </c>
      <c r="W1061">
        <v>3</v>
      </c>
      <c r="X1061">
        <v>8.3125000000000004E-2</v>
      </c>
      <c r="Y1061" t="s">
        <v>157</v>
      </c>
      <c r="Z1061" t="s">
        <v>249</v>
      </c>
      <c r="AA1061">
        <v>1</v>
      </c>
      <c r="AB1061" t="s">
        <v>4109</v>
      </c>
      <c r="AC1061" t="s">
        <v>4110</v>
      </c>
      <c r="AD1061" t="s">
        <v>4111</v>
      </c>
      <c r="AE1061" t="s">
        <v>4112</v>
      </c>
      <c r="AF1061" t="s">
        <v>4113</v>
      </c>
      <c r="AG1061" t="s">
        <v>806</v>
      </c>
      <c r="AH1061" t="s">
        <v>66</v>
      </c>
      <c r="AI1061" t="s">
        <v>66</v>
      </c>
      <c r="AJ1061" t="s">
        <v>66</v>
      </c>
      <c r="AK1061">
        <v>1</v>
      </c>
      <c r="AL1061" t="s">
        <v>4190</v>
      </c>
      <c r="AM1061" t="s">
        <v>4191</v>
      </c>
      <c r="AN1061" t="s">
        <v>66</v>
      </c>
      <c r="AO1061" t="s">
        <v>66</v>
      </c>
      <c r="AP1061">
        <v>1</v>
      </c>
      <c r="AQ1061" t="s">
        <v>66</v>
      </c>
      <c r="AR1061" t="s">
        <v>66</v>
      </c>
      <c r="AS1061" t="s">
        <v>66</v>
      </c>
      <c r="AT1061" t="s">
        <v>66</v>
      </c>
    </row>
    <row r="1062" spans="1:46" x14ac:dyDescent="0.15">
      <c r="A1062" t="s">
        <v>4228</v>
      </c>
      <c r="B1062" t="s">
        <v>4103</v>
      </c>
      <c r="C1062" t="s">
        <v>4104</v>
      </c>
      <c r="D1062">
        <v>30</v>
      </c>
      <c r="E1062" t="s">
        <v>4105</v>
      </c>
      <c r="F1062" t="s">
        <v>718</v>
      </c>
      <c r="G1062" t="s">
        <v>51</v>
      </c>
      <c r="H1062" t="s">
        <v>4106</v>
      </c>
      <c r="I1062" t="s">
        <v>1553</v>
      </c>
      <c r="J1062" t="s">
        <v>721</v>
      </c>
      <c r="K1062" t="s">
        <v>3594</v>
      </c>
      <c r="L1062" t="s">
        <v>16</v>
      </c>
      <c r="M1062" t="s">
        <v>19</v>
      </c>
      <c r="N1062">
        <v>2128</v>
      </c>
      <c r="O1062">
        <v>117</v>
      </c>
      <c r="P1062">
        <v>0</v>
      </c>
      <c r="Q1062" t="s">
        <v>4229</v>
      </c>
      <c r="R1062" t="s">
        <v>4230</v>
      </c>
      <c r="S1062" t="s">
        <v>1705</v>
      </c>
      <c r="T1062" t="s">
        <v>4231</v>
      </c>
      <c r="U1062" t="s">
        <v>60</v>
      </c>
      <c r="V1062" t="s">
        <v>61</v>
      </c>
      <c r="W1062">
        <v>3</v>
      </c>
      <c r="X1062">
        <v>8.3125000000000004E-2</v>
      </c>
      <c r="Y1062" t="s">
        <v>255</v>
      </c>
      <c r="Z1062" t="s">
        <v>256</v>
      </c>
      <c r="AA1062">
        <v>1</v>
      </c>
      <c r="AB1062" t="s">
        <v>4109</v>
      </c>
      <c r="AC1062" t="s">
        <v>4110</v>
      </c>
      <c r="AD1062" t="s">
        <v>4111</v>
      </c>
      <c r="AE1062" t="s">
        <v>4112</v>
      </c>
      <c r="AF1062" t="s">
        <v>4113</v>
      </c>
      <c r="AG1062" t="s">
        <v>806</v>
      </c>
      <c r="AH1062" t="s">
        <v>66</v>
      </c>
      <c r="AI1062" t="s">
        <v>66</v>
      </c>
      <c r="AJ1062" t="s">
        <v>66</v>
      </c>
      <c r="AK1062">
        <v>1</v>
      </c>
      <c r="AL1062" t="s">
        <v>4190</v>
      </c>
      <c r="AM1062" t="s">
        <v>4191</v>
      </c>
      <c r="AN1062" t="s">
        <v>66</v>
      </c>
      <c r="AO1062" t="s">
        <v>66</v>
      </c>
      <c r="AP1062">
        <v>1</v>
      </c>
      <c r="AQ1062" t="s">
        <v>66</v>
      </c>
      <c r="AR1062" t="s">
        <v>66</v>
      </c>
      <c r="AS1062" t="s">
        <v>66</v>
      </c>
      <c r="AT1062" t="s">
        <v>66</v>
      </c>
    </row>
    <row r="1063" spans="1:46" x14ac:dyDescent="0.15">
      <c r="A1063" t="s">
        <v>4232</v>
      </c>
      <c r="B1063" t="s">
        <v>4103</v>
      </c>
      <c r="C1063" t="s">
        <v>4104</v>
      </c>
      <c r="D1063">
        <v>31</v>
      </c>
      <c r="E1063" t="s">
        <v>4105</v>
      </c>
      <c r="F1063" t="s">
        <v>718</v>
      </c>
      <c r="G1063" t="s">
        <v>51</v>
      </c>
      <c r="H1063" t="s">
        <v>4106</v>
      </c>
      <c r="I1063" t="s">
        <v>1553</v>
      </c>
      <c r="J1063" t="s">
        <v>721</v>
      </c>
      <c r="K1063" t="s">
        <v>3594</v>
      </c>
      <c r="L1063" t="s">
        <v>16</v>
      </c>
      <c r="M1063" t="s">
        <v>19</v>
      </c>
      <c r="N1063">
        <v>2184</v>
      </c>
      <c r="O1063">
        <v>120</v>
      </c>
      <c r="P1063">
        <v>0</v>
      </c>
      <c r="Q1063" t="s">
        <v>4233</v>
      </c>
      <c r="R1063" t="s">
        <v>4234</v>
      </c>
      <c r="S1063" t="s">
        <v>1710</v>
      </c>
      <c r="T1063" t="s">
        <v>4235</v>
      </c>
      <c r="U1063" t="s">
        <v>60</v>
      </c>
      <c r="V1063" t="s">
        <v>61</v>
      </c>
      <c r="W1063">
        <v>3</v>
      </c>
      <c r="X1063">
        <v>8.3125000000000004E-2</v>
      </c>
      <c r="Y1063" t="s">
        <v>164</v>
      </c>
      <c r="Z1063" t="s">
        <v>262</v>
      </c>
      <c r="AA1063">
        <v>1</v>
      </c>
      <c r="AB1063" t="s">
        <v>4109</v>
      </c>
      <c r="AC1063" t="s">
        <v>4110</v>
      </c>
      <c r="AD1063" t="s">
        <v>4111</v>
      </c>
      <c r="AE1063" t="s">
        <v>4112</v>
      </c>
      <c r="AF1063" t="s">
        <v>4113</v>
      </c>
      <c r="AG1063" t="s">
        <v>806</v>
      </c>
      <c r="AH1063" t="s">
        <v>66</v>
      </c>
      <c r="AI1063" t="s">
        <v>66</v>
      </c>
      <c r="AJ1063" t="s">
        <v>66</v>
      </c>
      <c r="AK1063">
        <v>1</v>
      </c>
      <c r="AL1063" t="s">
        <v>4190</v>
      </c>
      <c r="AM1063" t="s">
        <v>4191</v>
      </c>
      <c r="AN1063" t="s">
        <v>66</v>
      </c>
      <c r="AO1063" t="s">
        <v>66</v>
      </c>
      <c r="AP1063">
        <v>1</v>
      </c>
      <c r="AQ1063" t="s">
        <v>66</v>
      </c>
      <c r="AR1063" t="s">
        <v>66</v>
      </c>
      <c r="AS1063" t="s">
        <v>66</v>
      </c>
      <c r="AT1063" t="s">
        <v>66</v>
      </c>
    </row>
    <row r="1064" spans="1:46" x14ac:dyDescent="0.15">
      <c r="A1064" t="s">
        <v>4236</v>
      </c>
      <c r="B1064" t="s">
        <v>4103</v>
      </c>
      <c r="C1064" t="s">
        <v>4104</v>
      </c>
      <c r="D1064">
        <v>32</v>
      </c>
      <c r="E1064" t="s">
        <v>4105</v>
      </c>
      <c r="F1064" t="s">
        <v>718</v>
      </c>
      <c r="G1064" t="s">
        <v>51</v>
      </c>
      <c r="H1064" t="s">
        <v>4106</v>
      </c>
      <c r="I1064" t="s">
        <v>1553</v>
      </c>
      <c r="J1064" t="s">
        <v>721</v>
      </c>
      <c r="K1064" t="s">
        <v>3594</v>
      </c>
      <c r="L1064" t="s">
        <v>16</v>
      </c>
      <c r="M1064" t="s">
        <v>19</v>
      </c>
      <c r="N1064">
        <v>2240</v>
      </c>
      <c r="O1064">
        <v>123</v>
      </c>
      <c r="P1064">
        <v>0</v>
      </c>
      <c r="Q1064" t="s">
        <v>4237</v>
      </c>
      <c r="R1064" t="s">
        <v>4238</v>
      </c>
      <c r="S1064" t="s">
        <v>1715</v>
      </c>
      <c r="T1064" t="s">
        <v>4239</v>
      </c>
      <c r="U1064" t="s">
        <v>60</v>
      </c>
      <c r="V1064" t="s">
        <v>61</v>
      </c>
      <c r="W1064">
        <v>3</v>
      </c>
      <c r="X1064">
        <v>8.3125000000000004E-2</v>
      </c>
      <c r="Y1064" t="s">
        <v>268</v>
      </c>
      <c r="Z1064" t="s">
        <v>269</v>
      </c>
      <c r="AA1064">
        <v>1</v>
      </c>
      <c r="AB1064" t="s">
        <v>4109</v>
      </c>
      <c r="AC1064" t="s">
        <v>4110</v>
      </c>
      <c r="AD1064" t="s">
        <v>4111</v>
      </c>
      <c r="AE1064" t="s">
        <v>4112</v>
      </c>
      <c r="AF1064" t="s">
        <v>4113</v>
      </c>
      <c r="AG1064" t="s">
        <v>806</v>
      </c>
      <c r="AH1064" t="s">
        <v>66</v>
      </c>
      <c r="AI1064" t="s">
        <v>66</v>
      </c>
      <c r="AJ1064" t="s">
        <v>66</v>
      </c>
      <c r="AK1064">
        <v>1</v>
      </c>
      <c r="AL1064" t="s">
        <v>4190</v>
      </c>
      <c r="AM1064" t="s">
        <v>4191</v>
      </c>
      <c r="AN1064" t="s">
        <v>66</v>
      </c>
      <c r="AO1064" t="s">
        <v>66</v>
      </c>
      <c r="AP1064">
        <v>1</v>
      </c>
      <c r="AQ1064" t="s">
        <v>66</v>
      </c>
      <c r="AR1064" t="s">
        <v>66</v>
      </c>
      <c r="AS1064" t="s">
        <v>66</v>
      </c>
      <c r="AT1064" t="s">
        <v>66</v>
      </c>
    </row>
    <row r="1065" spans="1:46" x14ac:dyDescent="0.15">
      <c r="A1065" t="s">
        <v>4240</v>
      </c>
      <c r="B1065" t="s">
        <v>4103</v>
      </c>
      <c r="C1065" t="s">
        <v>4104</v>
      </c>
      <c r="D1065">
        <v>33</v>
      </c>
      <c r="E1065" t="s">
        <v>4105</v>
      </c>
      <c r="F1065" t="s">
        <v>718</v>
      </c>
      <c r="G1065" t="s">
        <v>51</v>
      </c>
      <c r="H1065" t="s">
        <v>4106</v>
      </c>
      <c r="I1065" t="s">
        <v>1553</v>
      </c>
      <c r="J1065" t="s">
        <v>721</v>
      </c>
      <c r="K1065" t="s">
        <v>3594</v>
      </c>
      <c r="L1065" t="s">
        <v>16</v>
      </c>
      <c r="M1065" t="s">
        <v>19</v>
      </c>
      <c r="N1065">
        <v>2296</v>
      </c>
      <c r="O1065">
        <v>126</v>
      </c>
      <c r="P1065">
        <v>0</v>
      </c>
      <c r="Q1065" t="s">
        <v>4241</v>
      </c>
      <c r="R1065" t="s">
        <v>4242</v>
      </c>
      <c r="S1065" t="s">
        <v>1720</v>
      </c>
      <c r="T1065" t="s">
        <v>4243</v>
      </c>
      <c r="U1065" t="s">
        <v>60</v>
      </c>
      <c r="V1065" t="s">
        <v>61</v>
      </c>
      <c r="W1065">
        <v>3</v>
      </c>
      <c r="X1065">
        <v>8.3125000000000004E-2</v>
      </c>
      <c r="Y1065" t="s">
        <v>170</v>
      </c>
      <c r="Z1065" t="s">
        <v>275</v>
      </c>
      <c r="AA1065">
        <v>1</v>
      </c>
      <c r="AB1065" t="s">
        <v>4109</v>
      </c>
      <c r="AC1065" t="s">
        <v>4110</v>
      </c>
      <c r="AD1065" t="s">
        <v>4111</v>
      </c>
      <c r="AE1065" t="s">
        <v>4112</v>
      </c>
      <c r="AF1065" t="s">
        <v>4113</v>
      </c>
      <c r="AG1065" t="s">
        <v>806</v>
      </c>
      <c r="AH1065" t="s">
        <v>66</v>
      </c>
      <c r="AI1065" t="s">
        <v>66</v>
      </c>
      <c r="AJ1065" t="s">
        <v>66</v>
      </c>
      <c r="AK1065">
        <v>1</v>
      </c>
      <c r="AL1065" t="s">
        <v>4190</v>
      </c>
      <c r="AM1065" t="s">
        <v>4191</v>
      </c>
      <c r="AN1065" t="s">
        <v>66</v>
      </c>
      <c r="AO1065" t="s">
        <v>66</v>
      </c>
      <c r="AP1065">
        <v>1</v>
      </c>
      <c r="AQ1065" t="s">
        <v>66</v>
      </c>
      <c r="AR1065" t="s">
        <v>66</v>
      </c>
      <c r="AS1065" t="s">
        <v>66</v>
      </c>
      <c r="AT1065" t="s">
        <v>66</v>
      </c>
    </row>
    <row r="1066" spans="1:46" x14ac:dyDescent="0.15">
      <c r="A1066" t="s">
        <v>4244</v>
      </c>
      <c r="B1066" t="s">
        <v>4103</v>
      </c>
      <c r="C1066" t="s">
        <v>4104</v>
      </c>
      <c r="D1066">
        <v>34</v>
      </c>
      <c r="E1066" t="s">
        <v>4105</v>
      </c>
      <c r="F1066" t="s">
        <v>718</v>
      </c>
      <c r="G1066" t="s">
        <v>51</v>
      </c>
      <c r="H1066" t="s">
        <v>4106</v>
      </c>
      <c r="I1066" t="s">
        <v>1553</v>
      </c>
      <c r="J1066" t="s">
        <v>721</v>
      </c>
      <c r="K1066" t="s">
        <v>3594</v>
      </c>
      <c r="L1066" t="s">
        <v>16</v>
      </c>
      <c r="M1066" t="s">
        <v>19</v>
      </c>
      <c r="N1066">
        <v>2352</v>
      </c>
      <c r="O1066">
        <v>129</v>
      </c>
      <c r="P1066">
        <v>0</v>
      </c>
      <c r="Q1066" t="s">
        <v>4245</v>
      </c>
      <c r="R1066" t="s">
        <v>4246</v>
      </c>
      <c r="S1066" t="s">
        <v>1725</v>
      </c>
      <c r="T1066" t="s">
        <v>4247</v>
      </c>
      <c r="U1066" t="s">
        <v>60</v>
      </c>
      <c r="V1066" t="s">
        <v>61</v>
      </c>
      <c r="W1066">
        <v>3</v>
      </c>
      <c r="X1066">
        <v>8.3125000000000004E-2</v>
      </c>
      <c r="Y1066" t="s">
        <v>281</v>
      </c>
      <c r="Z1066" t="s">
        <v>282</v>
      </c>
      <c r="AA1066">
        <v>1</v>
      </c>
      <c r="AB1066" t="s">
        <v>4109</v>
      </c>
      <c r="AC1066" t="s">
        <v>4110</v>
      </c>
      <c r="AD1066" t="s">
        <v>4111</v>
      </c>
      <c r="AE1066" t="s">
        <v>4112</v>
      </c>
      <c r="AF1066" t="s">
        <v>4113</v>
      </c>
      <c r="AG1066" t="s">
        <v>806</v>
      </c>
      <c r="AH1066" t="s">
        <v>66</v>
      </c>
      <c r="AI1066" t="s">
        <v>66</v>
      </c>
      <c r="AJ1066" t="s">
        <v>66</v>
      </c>
      <c r="AK1066">
        <v>1</v>
      </c>
      <c r="AL1066" t="s">
        <v>4190</v>
      </c>
      <c r="AM1066" t="s">
        <v>4191</v>
      </c>
      <c r="AN1066" t="s">
        <v>66</v>
      </c>
      <c r="AO1066" t="s">
        <v>66</v>
      </c>
      <c r="AP1066">
        <v>1</v>
      </c>
      <c r="AQ1066" t="s">
        <v>66</v>
      </c>
      <c r="AR1066" t="s">
        <v>66</v>
      </c>
      <c r="AS1066" t="s">
        <v>66</v>
      </c>
      <c r="AT1066" t="s">
        <v>66</v>
      </c>
    </row>
    <row r="1067" spans="1:46" x14ac:dyDescent="0.15">
      <c r="A1067" t="s">
        <v>4248</v>
      </c>
      <c r="B1067" t="s">
        <v>4103</v>
      </c>
      <c r="C1067" t="s">
        <v>4104</v>
      </c>
      <c r="D1067">
        <v>35</v>
      </c>
      <c r="E1067" t="s">
        <v>4105</v>
      </c>
      <c r="F1067" t="s">
        <v>718</v>
      </c>
      <c r="G1067" t="s">
        <v>51</v>
      </c>
      <c r="H1067" t="s">
        <v>4106</v>
      </c>
      <c r="I1067" t="s">
        <v>1553</v>
      </c>
      <c r="J1067" t="s">
        <v>721</v>
      </c>
      <c r="K1067" t="s">
        <v>3594</v>
      </c>
      <c r="L1067" t="s">
        <v>16</v>
      </c>
      <c r="M1067" t="s">
        <v>19</v>
      </c>
      <c r="N1067">
        <v>2408</v>
      </c>
      <c r="O1067">
        <v>132</v>
      </c>
      <c r="P1067">
        <v>0</v>
      </c>
      <c r="Q1067" t="s">
        <v>4249</v>
      </c>
      <c r="R1067" t="s">
        <v>4250</v>
      </c>
      <c r="S1067" t="s">
        <v>1730</v>
      </c>
      <c r="T1067" t="s">
        <v>4251</v>
      </c>
      <c r="U1067" t="s">
        <v>60</v>
      </c>
      <c r="V1067" t="s">
        <v>61</v>
      </c>
      <c r="W1067">
        <v>3</v>
      </c>
      <c r="X1067">
        <v>8.3125000000000004E-2</v>
      </c>
      <c r="Y1067" t="s">
        <v>177</v>
      </c>
      <c r="Z1067" t="s">
        <v>288</v>
      </c>
      <c r="AA1067">
        <v>1</v>
      </c>
      <c r="AB1067" t="s">
        <v>4109</v>
      </c>
      <c r="AC1067" t="s">
        <v>4110</v>
      </c>
      <c r="AD1067" t="s">
        <v>4111</v>
      </c>
      <c r="AE1067" t="s">
        <v>4112</v>
      </c>
      <c r="AF1067" t="s">
        <v>4113</v>
      </c>
      <c r="AG1067" t="s">
        <v>806</v>
      </c>
      <c r="AH1067" t="s">
        <v>66</v>
      </c>
      <c r="AI1067" t="s">
        <v>66</v>
      </c>
      <c r="AJ1067" t="s">
        <v>66</v>
      </c>
      <c r="AK1067">
        <v>1</v>
      </c>
      <c r="AL1067" t="s">
        <v>4190</v>
      </c>
      <c r="AM1067" t="s">
        <v>4191</v>
      </c>
      <c r="AN1067" t="s">
        <v>66</v>
      </c>
      <c r="AO1067" t="s">
        <v>66</v>
      </c>
      <c r="AP1067">
        <v>1</v>
      </c>
      <c r="AQ1067" t="s">
        <v>66</v>
      </c>
      <c r="AR1067" t="s">
        <v>66</v>
      </c>
      <c r="AS1067" t="s">
        <v>66</v>
      </c>
      <c r="AT1067" t="s">
        <v>66</v>
      </c>
    </row>
    <row r="1068" spans="1:46" x14ac:dyDescent="0.15">
      <c r="A1068" t="s">
        <v>4252</v>
      </c>
      <c r="B1068" t="s">
        <v>4103</v>
      </c>
      <c r="C1068" t="s">
        <v>4104</v>
      </c>
      <c r="D1068">
        <v>36</v>
      </c>
      <c r="E1068" t="s">
        <v>4105</v>
      </c>
      <c r="F1068" t="s">
        <v>718</v>
      </c>
      <c r="G1068" t="s">
        <v>51</v>
      </c>
      <c r="H1068" t="s">
        <v>4106</v>
      </c>
      <c r="I1068" t="s">
        <v>1553</v>
      </c>
      <c r="J1068" t="s">
        <v>721</v>
      </c>
      <c r="K1068" t="s">
        <v>3594</v>
      </c>
      <c r="L1068" t="s">
        <v>16</v>
      </c>
      <c r="M1068" t="s">
        <v>19</v>
      </c>
      <c r="N1068">
        <v>2464</v>
      </c>
      <c r="O1068">
        <v>135</v>
      </c>
      <c r="P1068">
        <v>0</v>
      </c>
      <c r="Q1068" t="s">
        <v>4253</v>
      </c>
      <c r="R1068" t="s">
        <v>4254</v>
      </c>
      <c r="S1068" t="s">
        <v>1735</v>
      </c>
      <c r="T1068" t="s">
        <v>4255</v>
      </c>
      <c r="U1068" t="s">
        <v>60</v>
      </c>
      <c r="V1068" t="s">
        <v>61</v>
      </c>
      <c r="W1068">
        <v>3</v>
      </c>
      <c r="X1068">
        <v>8.3125000000000004E-2</v>
      </c>
      <c r="Y1068" t="s">
        <v>294</v>
      </c>
      <c r="Z1068" t="s">
        <v>295</v>
      </c>
      <c r="AA1068">
        <v>1</v>
      </c>
      <c r="AB1068" t="s">
        <v>4109</v>
      </c>
      <c r="AC1068" t="s">
        <v>4110</v>
      </c>
      <c r="AD1068" t="s">
        <v>4111</v>
      </c>
      <c r="AE1068" t="s">
        <v>4112</v>
      </c>
      <c r="AF1068" t="s">
        <v>4113</v>
      </c>
      <c r="AG1068" t="s">
        <v>806</v>
      </c>
      <c r="AH1068" t="s">
        <v>66</v>
      </c>
      <c r="AI1068" t="s">
        <v>66</v>
      </c>
      <c r="AJ1068" t="s">
        <v>66</v>
      </c>
      <c r="AK1068">
        <v>1</v>
      </c>
      <c r="AL1068" t="s">
        <v>4190</v>
      </c>
      <c r="AM1068" t="s">
        <v>4191</v>
      </c>
      <c r="AN1068" t="s">
        <v>66</v>
      </c>
      <c r="AO1068" t="s">
        <v>66</v>
      </c>
      <c r="AP1068">
        <v>1</v>
      </c>
      <c r="AQ1068" t="s">
        <v>66</v>
      </c>
      <c r="AR1068" t="s">
        <v>66</v>
      </c>
      <c r="AS1068" t="s">
        <v>66</v>
      </c>
      <c r="AT1068" t="s">
        <v>66</v>
      </c>
    </row>
    <row r="1069" spans="1:46" x14ac:dyDescent="0.15">
      <c r="A1069" t="s">
        <v>4256</v>
      </c>
      <c r="B1069" t="s">
        <v>4103</v>
      </c>
      <c r="C1069" t="s">
        <v>4104</v>
      </c>
      <c r="D1069">
        <v>37</v>
      </c>
      <c r="E1069" t="s">
        <v>4105</v>
      </c>
      <c r="F1069" t="s">
        <v>718</v>
      </c>
      <c r="G1069" t="s">
        <v>51</v>
      </c>
      <c r="H1069" t="s">
        <v>4106</v>
      </c>
      <c r="I1069" t="s">
        <v>1553</v>
      </c>
      <c r="J1069" t="s">
        <v>721</v>
      </c>
      <c r="K1069" t="s">
        <v>3594</v>
      </c>
      <c r="L1069" t="s">
        <v>16</v>
      </c>
      <c r="M1069" t="s">
        <v>19</v>
      </c>
      <c r="N1069">
        <v>2520</v>
      </c>
      <c r="O1069">
        <v>138</v>
      </c>
      <c r="P1069">
        <v>0</v>
      </c>
      <c r="Q1069" t="s">
        <v>4257</v>
      </c>
      <c r="R1069" t="s">
        <v>4258</v>
      </c>
      <c r="S1069" t="s">
        <v>1740</v>
      </c>
      <c r="T1069" t="s">
        <v>4259</v>
      </c>
      <c r="U1069" t="s">
        <v>60</v>
      </c>
      <c r="V1069" t="s">
        <v>61</v>
      </c>
      <c r="W1069">
        <v>3</v>
      </c>
      <c r="X1069">
        <v>8.3125000000000004E-2</v>
      </c>
      <c r="Y1069" t="s">
        <v>183</v>
      </c>
      <c r="Z1069" t="s">
        <v>301</v>
      </c>
      <c r="AA1069">
        <v>1</v>
      </c>
      <c r="AB1069" t="s">
        <v>4109</v>
      </c>
      <c r="AC1069" t="s">
        <v>4110</v>
      </c>
      <c r="AD1069" t="s">
        <v>4111</v>
      </c>
      <c r="AE1069" t="s">
        <v>4112</v>
      </c>
      <c r="AF1069" t="s">
        <v>4113</v>
      </c>
      <c r="AG1069" t="s">
        <v>806</v>
      </c>
      <c r="AH1069" t="s">
        <v>66</v>
      </c>
      <c r="AI1069" t="s">
        <v>66</v>
      </c>
      <c r="AJ1069" t="s">
        <v>66</v>
      </c>
      <c r="AK1069">
        <v>1</v>
      </c>
      <c r="AL1069" t="s">
        <v>4190</v>
      </c>
      <c r="AM1069" t="s">
        <v>4191</v>
      </c>
      <c r="AN1069" t="s">
        <v>66</v>
      </c>
      <c r="AO1069" t="s">
        <v>66</v>
      </c>
      <c r="AP1069">
        <v>1</v>
      </c>
      <c r="AQ1069" t="s">
        <v>66</v>
      </c>
      <c r="AR1069" t="s">
        <v>66</v>
      </c>
      <c r="AS1069" t="s">
        <v>66</v>
      </c>
      <c r="AT1069" t="s">
        <v>66</v>
      </c>
    </row>
    <row r="1070" spans="1:46" x14ac:dyDescent="0.15">
      <c r="A1070" t="s">
        <v>4260</v>
      </c>
      <c r="B1070" t="s">
        <v>4103</v>
      </c>
      <c r="C1070" t="s">
        <v>4104</v>
      </c>
      <c r="D1070">
        <v>38</v>
      </c>
      <c r="E1070" t="s">
        <v>4105</v>
      </c>
      <c r="F1070" t="s">
        <v>718</v>
      </c>
      <c r="G1070" t="s">
        <v>51</v>
      </c>
      <c r="H1070" t="s">
        <v>4106</v>
      </c>
      <c r="I1070" t="s">
        <v>1553</v>
      </c>
      <c r="J1070" t="s">
        <v>721</v>
      </c>
      <c r="K1070" t="s">
        <v>3594</v>
      </c>
      <c r="L1070" t="s">
        <v>16</v>
      </c>
      <c r="M1070" t="s">
        <v>19</v>
      </c>
      <c r="N1070">
        <v>2577</v>
      </c>
      <c r="O1070">
        <v>141</v>
      </c>
      <c r="P1070">
        <v>0</v>
      </c>
      <c r="Q1070" t="s">
        <v>4261</v>
      </c>
      <c r="R1070" t="s">
        <v>4262</v>
      </c>
      <c r="S1070" t="s">
        <v>1745</v>
      </c>
      <c r="T1070" t="s">
        <v>4263</v>
      </c>
      <c r="U1070" t="s">
        <v>60</v>
      </c>
      <c r="V1070" t="s">
        <v>61</v>
      </c>
      <c r="W1070">
        <v>3</v>
      </c>
      <c r="X1070">
        <v>8.3125000000000004E-2</v>
      </c>
      <c r="Y1070" t="s">
        <v>307</v>
      </c>
      <c r="Z1070" t="s">
        <v>308</v>
      </c>
      <c r="AA1070">
        <v>1</v>
      </c>
      <c r="AB1070" t="s">
        <v>4109</v>
      </c>
      <c r="AC1070" t="s">
        <v>4110</v>
      </c>
      <c r="AD1070" t="s">
        <v>4111</v>
      </c>
      <c r="AE1070" t="s">
        <v>4112</v>
      </c>
      <c r="AF1070" t="s">
        <v>4113</v>
      </c>
      <c r="AG1070" t="s">
        <v>806</v>
      </c>
      <c r="AH1070" t="s">
        <v>66</v>
      </c>
      <c r="AI1070" t="s">
        <v>66</v>
      </c>
      <c r="AJ1070" t="s">
        <v>66</v>
      </c>
      <c r="AK1070">
        <v>1</v>
      </c>
      <c r="AL1070" t="s">
        <v>4190</v>
      </c>
      <c r="AM1070" t="s">
        <v>4191</v>
      </c>
      <c r="AN1070" t="s">
        <v>66</v>
      </c>
      <c r="AO1070" t="s">
        <v>66</v>
      </c>
      <c r="AP1070">
        <v>1</v>
      </c>
      <c r="AQ1070" t="s">
        <v>66</v>
      </c>
      <c r="AR1070" t="s">
        <v>66</v>
      </c>
      <c r="AS1070" t="s">
        <v>66</v>
      </c>
      <c r="AT1070" t="s">
        <v>66</v>
      </c>
    </row>
    <row r="1071" spans="1:46" x14ac:dyDescent="0.15">
      <c r="A1071" t="s">
        <v>4264</v>
      </c>
      <c r="B1071" t="s">
        <v>4103</v>
      </c>
      <c r="C1071" t="s">
        <v>4104</v>
      </c>
      <c r="D1071">
        <v>39</v>
      </c>
      <c r="E1071" t="s">
        <v>4105</v>
      </c>
      <c r="F1071" t="s">
        <v>718</v>
      </c>
      <c r="G1071" t="s">
        <v>51</v>
      </c>
      <c r="H1071" t="s">
        <v>4106</v>
      </c>
      <c r="I1071" t="s">
        <v>1553</v>
      </c>
      <c r="J1071" t="s">
        <v>721</v>
      </c>
      <c r="K1071" t="s">
        <v>3594</v>
      </c>
      <c r="L1071" t="s">
        <v>16</v>
      </c>
      <c r="M1071" t="s">
        <v>19</v>
      </c>
      <c r="N1071">
        <v>2633</v>
      </c>
      <c r="O1071">
        <v>144</v>
      </c>
      <c r="P1071">
        <v>0</v>
      </c>
      <c r="Q1071" t="s">
        <v>4265</v>
      </c>
      <c r="R1071" t="s">
        <v>4266</v>
      </c>
      <c r="S1071" t="s">
        <v>1750</v>
      </c>
      <c r="T1071" t="s">
        <v>4267</v>
      </c>
      <c r="U1071" t="s">
        <v>60</v>
      </c>
      <c r="V1071" t="s">
        <v>61</v>
      </c>
      <c r="W1071">
        <v>3</v>
      </c>
      <c r="X1071">
        <v>8.3125000000000004E-2</v>
      </c>
      <c r="Y1071" t="s">
        <v>190</v>
      </c>
      <c r="Z1071" t="s">
        <v>314</v>
      </c>
      <c r="AA1071">
        <v>1</v>
      </c>
      <c r="AB1071" t="s">
        <v>4109</v>
      </c>
      <c r="AC1071" t="s">
        <v>4110</v>
      </c>
      <c r="AD1071" t="s">
        <v>4111</v>
      </c>
      <c r="AE1071" t="s">
        <v>4112</v>
      </c>
      <c r="AF1071" t="s">
        <v>4113</v>
      </c>
      <c r="AG1071" t="s">
        <v>806</v>
      </c>
      <c r="AH1071" t="s">
        <v>66</v>
      </c>
      <c r="AI1071" t="s">
        <v>66</v>
      </c>
      <c r="AJ1071" t="s">
        <v>66</v>
      </c>
      <c r="AK1071">
        <v>1</v>
      </c>
      <c r="AL1071" t="s">
        <v>4190</v>
      </c>
      <c r="AM1071" t="s">
        <v>4191</v>
      </c>
      <c r="AN1071" t="s">
        <v>66</v>
      </c>
      <c r="AO1071" t="s">
        <v>66</v>
      </c>
      <c r="AP1071">
        <v>1</v>
      </c>
      <c r="AQ1071" t="s">
        <v>66</v>
      </c>
      <c r="AR1071" t="s">
        <v>66</v>
      </c>
      <c r="AS1071" t="s">
        <v>66</v>
      </c>
      <c r="AT1071" t="s">
        <v>66</v>
      </c>
    </row>
    <row r="1072" spans="1:46" x14ac:dyDescent="0.15">
      <c r="A1072" t="s">
        <v>4268</v>
      </c>
      <c r="B1072" t="s">
        <v>4103</v>
      </c>
      <c r="C1072" t="s">
        <v>4104</v>
      </c>
      <c r="D1072">
        <v>40</v>
      </c>
      <c r="E1072" t="s">
        <v>4105</v>
      </c>
      <c r="F1072" t="s">
        <v>718</v>
      </c>
      <c r="G1072" t="s">
        <v>51</v>
      </c>
      <c r="H1072" t="s">
        <v>4106</v>
      </c>
      <c r="I1072" t="s">
        <v>1553</v>
      </c>
      <c r="J1072" t="s">
        <v>721</v>
      </c>
      <c r="K1072" t="s">
        <v>3594</v>
      </c>
      <c r="L1072" t="s">
        <v>16</v>
      </c>
      <c r="M1072" t="s">
        <v>19</v>
      </c>
      <c r="N1072">
        <v>2689</v>
      </c>
      <c r="O1072">
        <v>147</v>
      </c>
      <c r="P1072">
        <v>0</v>
      </c>
      <c r="Q1072" t="s">
        <v>4269</v>
      </c>
      <c r="R1072" t="s">
        <v>4270</v>
      </c>
      <c r="S1072" t="s">
        <v>1755</v>
      </c>
      <c r="T1072" t="s">
        <v>4271</v>
      </c>
      <c r="U1072" t="s">
        <v>60</v>
      </c>
      <c r="V1072" t="s">
        <v>61</v>
      </c>
      <c r="W1072">
        <v>3</v>
      </c>
      <c r="X1072">
        <v>8.3125000000000004E-2</v>
      </c>
      <c r="Y1072" t="s">
        <v>320</v>
      </c>
      <c r="Z1072" t="s">
        <v>321</v>
      </c>
      <c r="AA1072">
        <v>1</v>
      </c>
      <c r="AB1072" t="s">
        <v>4109</v>
      </c>
      <c r="AC1072" t="s">
        <v>4110</v>
      </c>
      <c r="AD1072" t="s">
        <v>4111</v>
      </c>
      <c r="AE1072" t="s">
        <v>4112</v>
      </c>
      <c r="AF1072" t="s">
        <v>4113</v>
      </c>
      <c r="AG1072" t="s">
        <v>806</v>
      </c>
      <c r="AH1072" t="s">
        <v>66</v>
      </c>
      <c r="AI1072" t="s">
        <v>66</v>
      </c>
      <c r="AJ1072" t="s">
        <v>66</v>
      </c>
      <c r="AK1072">
        <v>1</v>
      </c>
      <c r="AL1072" t="s">
        <v>4190</v>
      </c>
      <c r="AM1072" t="s">
        <v>4191</v>
      </c>
      <c r="AN1072" t="s">
        <v>66</v>
      </c>
      <c r="AO1072" t="s">
        <v>66</v>
      </c>
      <c r="AP1072">
        <v>1</v>
      </c>
      <c r="AQ1072" t="s">
        <v>66</v>
      </c>
      <c r="AR1072" t="s">
        <v>66</v>
      </c>
      <c r="AS1072" t="s">
        <v>66</v>
      </c>
      <c r="AT1072" t="s">
        <v>66</v>
      </c>
    </row>
    <row r="1073" spans="1:46" x14ac:dyDescent="0.15">
      <c r="A1073" t="s">
        <v>4268</v>
      </c>
      <c r="B1073" t="s">
        <v>4103</v>
      </c>
      <c r="C1073" t="s">
        <v>4104</v>
      </c>
      <c r="D1073">
        <v>40</v>
      </c>
      <c r="E1073" t="s">
        <v>4105</v>
      </c>
      <c r="F1073" t="s">
        <v>718</v>
      </c>
      <c r="G1073" t="s">
        <v>51</v>
      </c>
      <c r="H1073" t="s">
        <v>4106</v>
      </c>
      <c r="I1073" t="s">
        <v>1553</v>
      </c>
      <c r="J1073" t="s">
        <v>721</v>
      </c>
      <c r="K1073" t="s">
        <v>3594</v>
      </c>
      <c r="L1073" t="s">
        <v>16</v>
      </c>
      <c r="M1073" t="s">
        <v>19</v>
      </c>
      <c r="N1073">
        <v>2689</v>
      </c>
      <c r="O1073">
        <v>147</v>
      </c>
      <c r="P1073">
        <v>0</v>
      </c>
      <c r="Q1073" t="s">
        <v>4269</v>
      </c>
      <c r="R1073" t="s">
        <v>4270</v>
      </c>
      <c r="S1073" t="s">
        <v>1755</v>
      </c>
      <c r="T1073" t="s">
        <v>4271</v>
      </c>
      <c r="U1073" t="s">
        <v>60</v>
      </c>
      <c r="V1073" t="s">
        <v>61</v>
      </c>
      <c r="W1073">
        <v>3</v>
      </c>
      <c r="X1073">
        <v>8.3125000000000004E-2</v>
      </c>
      <c r="Y1073" t="s">
        <v>320</v>
      </c>
      <c r="Z1073" t="s">
        <v>321</v>
      </c>
      <c r="AA1073">
        <v>2</v>
      </c>
      <c r="AB1073" t="s">
        <v>4109</v>
      </c>
      <c r="AC1073" t="s">
        <v>4110</v>
      </c>
      <c r="AD1073" t="s">
        <v>4111</v>
      </c>
      <c r="AE1073" t="s">
        <v>4112</v>
      </c>
      <c r="AF1073" t="s">
        <v>4113</v>
      </c>
      <c r="AG1073" t="s">
        <v>806</v>
      </c>
      <c r="AH1073" t="s">
        <v>889</v>
      </c>
      <c r="AI1073" t="s">
        <v>66</v>
      </c>
      <c r="AJ1073" t="s">
        <v>66</v>
      </c>
      <c r="AK1073">
        <v>1</v>
      </c>
      <c r="AL1073" t="s">
        <v>4190</v>
      </c>
      <c r="AM1073" t="s">
        <v>4191</v>
      </c>
      <c r="AN1073" t="s">
        <v>66</v>
      </c>
      <c r="AO1073" t="s">
        <v>66</v>
      </c>
      <c r="AP1073">
        <v>1</v>
      </c>
      <c r="AQ1073" t="s">
        <v>66</v>
      </c>
      <c r="AR1073" t="s">
        <v>66</v>
      </c>
      <c r="AS1073" t="s">
        <v>66</v>
      </c>
      <c r="AT1073" t="s">
        <v>66</v>
      </c>
    </row>
    <row r="1074" spans="1:46" x14ac:dyDescent="0.15">
      <c r="A1074" t="s">
        <v>4272</v>
      </c>
      <c r="B1074" t="s">
        <v>4103</v>
      </c>
      <c r="C1074" t="s">
        <v>4104</v>
      </c>
      <c r="D1074">
        <v>41</v>
      </c>
      <c r="E1074" t="s">
        <v>4105</v>
      </c>
      <c r="F1074" t="s">
        <v>718</v>
      </c>
      <c r="G1074" t="s">
        <v>51</v>
      </c>
      <c r="H1074" t="s">
        <v>4106</v>
      </c>
      <c r="I1074" t="s">
        <v>1553</v>
      </c>
      <c r="J1074" t="s">
        <v>721</v>
      </c>
      <c r="K1074" t="s">
        <v>3594</v>
      </c>
      <c r="L1074" t="s">
        <v>16</v>
      </c>
      <c r="M1074" t="s">
        <v>19</v>
      </c>
      <c r="N1074">
        <v>2745</v>
      </c>
      <c r="O1074">
        <v>150</v>
      </c>
      <c r="P1074">
        <v>0</v>
      </c>
      <c r="Q1074" t="s">
        <v>4273</v>
      </c>
      <c r="R1074" t="s">
        <v>4274</v>
      </c>
      <c r="S1074" t="s">
        <v>1760</v>
      </c>
      <c r="T1074" t="s">
        <v>4275</v>
      </c>
      <c r="U1074" t="s">
        <v>60</v>
      </c>
      <c r="V1074" t="s">
        <v>61</v>
      </c>
      <c r="W1074">
        <v>3</v>
      </c>
      <c r="X1074">
        <v>8.3125000000000004E-2</v>
      </c>
      <c r="Y1074" t="s">
        <v>197</v>
      </c>
      <c r="Z1074" t="s">
        <v>330</v>
      </c>
      <c r="AA1074">
        <v>2</v>
      </c>
      <c r="AB1074" t="s">
        <v>4109</v>
      </c>
      <c r="AC1074" t="s">
        <v>4110</v>
      </c>
      <c r="AD1074" t="s">
        <v>4111</v>
      </c>
      <c r="AE1074" t="s">
        <v>4112</v>
      </c>
      <c r="AF1074" t="s">
        <v>4113</v>
      </c>
      <c r="AG1074" t="s">
        <v>806</v>
      </c>
      <c r="AH1074" t="s">
        <v>889</v>
      </c>
      <c r="AI1074" t="s">
        <v>66</v>
      </c>
      <c r="AJ1074" t="s">
        <v>66</v>
      </c>
      <c r="AK1074">
        <v>1</v>
      </c>
      <c r="AL1074" t="s">
        <v>4190</v>
      </c>
      <c r="AM1074" t="s">
        <v>4191</v>
      </c>
      <c r="AN1074" t="s">
        <v>66</v>
      </c>
      <c r="AO1074" t="s">
        <v>66</v>
      </c>
      <c r="AP1074">
        <v>1</v>
      </c>
      <c r="AQ1074" t="s">
        <v>66</v>
      </c>
      <c r="AR1074" t="s">
        <v>66</v>
      </c>
      <c r="AS1074" t="s">
        <v>66</v>
      </c>
      <c r="AT1074" t="s">
        <v>66</v>
      </c>
    </row>
    <row r="1075" spans="1:46" x14ac:dyDescent="0.15">
      <c r="A1075" t="s">
        <v>4276</v>
      </c>
      <c r="B1075" t="s">
        <v>4103</v>
      </c>
      <c r="C1075" t="s">
        <v>4104</v>
      </c>
      <c r="D1075">
        <v>42</v>
      </c>
      <c r="E1075" t="s">
        <v>4105</v>
      </c>
      <c r="F1075" t="s">
        <v>718</v>
      </c>
      <c r="G1075" t="s">
        <v>51</v>
      </c>
      <c r="H1075" t="s">
        <v>4106</v>
      </c>
      <c r="I1075" t="s">
        <v>1553</v>
      </c>
      <c r="J1075" t="s">
        <v>721</v>
      </c>
      <c r="K1075" t="s">
        <v>3594</v>
      </c>
      <c r="L1075" t="s">
        <v>16</v>
      </c>
      <c r="M1075" t="s">
        <v>19</v>
      </c>
      <c r="N1075">
        <v>2801</v>
      </c>
      <c r="O1075">
        <v>153</v>
      </c>
      <c r="P1075">
        <v>0</v>
      </c>
      <c r="Q1075" t="s">
        <v>4277</v>
      </c>
      <c r="R1075" t="s">
        <v>4278</v>
      </c>
      <c r="S1075" t="s">
        <v>1765</v>
      </c>
      <c r="T1075" t="s">
        <v>4279</v>
      </c>
      <c r="U1075" t="s">
        <v>60</v>
      </c>
      <c r="V1075" t="s">
        <v>61</v>
      </c>
      <c r="W1075">
        <v>3</v>
      </c>
      <c r="X1075">
        <v>8.3125000000000004E-2</v>
      </c>
      <c r="Y1075" t="s">
        <v>336</v>
      </c>
      <c r="Z1075" t="s">
        <v>337</v>
      </c>
      <c r="AA1075">
        <v>2</v>
      </c>
      <c r="AB1075" t="s">
        <v>4109</v>
      </c>
      <c r="AC1075" t="s">
        <v>4110</v>
      </c>
      <c r="AD1075" t="s">
        <v>4111</v>
      </c>
      <c r="AE1075" t="s">
        <v>4112</v>
      </c>
      <c r="AF1075" t="s">
        <v>4113</v>
      </c>
      <c r="AG1075" t="s">
        <v>806</v>
      </c>
      <c r="AH1075" t="s">
        <v>889</v>
      </c>
      <c r="AI1075" t="s">
        <v>66</v>
      </c>
      <c r="AJ1075" t="s">
        <v>66</v>
      </c>
      <c r="AK1075">
        <v>1</v>
      </c>
      <c r="AL1075" t="s">
        <v>4190</v>
      </c>
      <c r="AM1075" t="s">
        <v>4191</v>
      </c>
      <c r="AN1075" t="s">
        <v>66</v>
      </c>
      <c r="AO1075" t="s">
        <v>66</v>
      </c>
      <c r="AP1075">
        <v>1</v>
      </c>
      <c r="AQ1075" t="s">
        <v>66</v>
      </c>
      <c r="AR1075" t="s">
        <v>66</v>
      </c>
      <c r="AS1075" t="s">
        <v>66</v>
      </c>
      <c r="AT1075" t="s">
        <v>66</v>
      </c>
    </row>
    <row r="1076" spans="1:46" x14ac:dyDescent="0.15">
      <c r="A1076" t="s">
        <v>4280</v>
      </c>
      <c r="B1076" t="s">
        <v>4103</v>
      </c>
      <c r="C1076" t="s">
        <v>4104</v>
      </c>
      <c r="D1076">
        <v>43</v>
      </c>
      <c r="E1076" t="s">
        <v>4105</v>
      </c>
      <c r="F1076" t="s">
        <v>718</v>
      </c>
      <c r="G1076" t="s">
        <v>51</v>
      </c>
      <c r="H1076" t="s">
        <v>4106</v>
      </c>
      <c r="I1076" t="s">
        <v>1553</v>
      </c>
      <c r="J1076" t="s">
        <v>721</v>
      </c>
      <c r="K1076" t="s">
        <v>3594</v>
      </c>
      <c r="L1076" t="s">
        <v>16</v>
      </c>
      <c r="M1076" t="s">
        <v>19</v>
      </c>
      <c r="N1076">
        <v>2857</v>
      </c>
      <c r="O1076">
        <v>156</v>
      </c>
      <c r="P1076">
        <v>0</v>
      </c>
      <c r="Q1076" t="s">
        <v>4281</v>
      </c>
      <c r="R1076" t="s">
        <v>4282</v>
      </c>
      <c r="S1076" t="s">
        <v>1770</v>
      </c>
      <c r="T1076" t="s">
        <v>4283</v>
      </c>
      <c r="U1076" t="s">
        <v>60</v>
      </c>
      <c r="V1076" t="s">
        <v>61</v>
      </c>
      <c r="W1076">
        <v>3</v>
      </c>
      <c r="X1076">
        <v>8.3125000000000004E-2</v>
      </c>
      <c r="Y1076" t="s">
        <v>204</v>
      </c>
      <c r="Z1076" t="s">
        <v>343</v>
      </c>
      <c r="AA1076">
        <v>2</v>
      </c>
      <c r="AB1076" t="s">
        <v>4109</v>
      </c>
      <c r="AC1076" t="s">
        <v>4110</v>
      </c>
      <c r="AD1076" t="s">
        <v>4111</v>
      </c>
      <c r="AE1076" t="s">
        <v>4112</v>
      </c>
      <c r="AF1076" t="s">
        <v>4113</v>
      </c>
      <c r="AG1076" t="s">
        <v>806</v>
      </c>
      <c r="AH1076" t="s">
        <v>889</v>
      </c>
      <c r="AI1076" t="s">
        <v>66</v>
      </c>
      <c r="AJ1076" t="s">
        <v>66</v>
      </c>
      <c r="AK1076">
        <v>1</v>
      </c>
      <c r="AL1076" t="s">
        <v>4190</v>
      </c>
      <c r="AM1076" t="s">
        <v>4191</v>
      </c>
      <c r="AN1076" t="s">
        <v>66</v>
      </c>
      <c r="AO1076" t="s">
        <v>66</v>
      </c>
      <c r="AP1076">
        <v>1</v>
      </c>
      <c r="AQ1076" t="s">
        <v>66</v>
      </c>
      <c r="AR1076" t="s">
        <v>66</v>
      </c>
      <c r="AS1076" t="s">
        <v>66</v>
      </c>
      <c r="AT1076" t="s">
        <v>66</v>
      </c>
    </row>
    <row r="1077" spans="1:46" x14ac:dyDescent="0.15">
      <c r="A1077" t="s">
        <v>4284</v>
      </c>
      <c r="B1077" t="s">
        <v>4103</v>
      </c>
      <c r="C1077" t="s">
        <v>4104</v>
      </c>
      <c r="D1077">
        <v>44</v>
      </c>
      <c r="E1077" t="s">
        <v>4105</v>
      </c>
      <c r="F1077" t="s">
        <v>718</v>
      </c>
      <c r="G1077" t="s">
        <v>51</v>
      </c>
      <c r="H1077" t="s">
        <v>4106</v>
      </c>
      <c r="I1077" t="s">
        <v>1553</v>
      </c>
      <c r="J1077" t="s">
        <v>721</v>
      </c>
      <c r="K1077" t="s">
        <v>3594</v>
      </c>
      <c r="L1077" t="s">
        <v>16</v>
      </c>
      <c r="M1077" t="s">
        <v>19</v>
      </c>
      <c r="N1077">
        <v>2913</v>
      </c>
      <c r="O1077">
        <v>159</v>
      </c>
      <c r="P1077">
        <v>0</v>
      </c>
      <c r="Q1077" t="s">
        <v>4285</v>
      </c>
      <c r="R1077" t="s">
        <v>4286</v>
      </c>
      <c r="S1077" t="s">
        <v>1775</v>
      </c>
      <c r="T1077" t="s">
        <v>4287</v>
      </c>
      <c r="U1077" t="s">
        <v>60</v>
      </c>
      <c r="V1077" t="s">
        <v>61</v>
      </c>
      <c r="W1077">
        <v>3</v>
      </c>
      <c r="X1077">
        <v>8.3125000000000004E-2</v>
      </c>
      <c r="Y1077" t="s">
        <v>349</v>
      </c>
      <c r="Z1077" t="s">
        <v>350</v>
      </c>
      <c r="AA1077">
        <v>2</v>
      </c>
      <c r="AB1077" t="s">
        <v>4109</v>
      </c>
      <c r="AC1077" t="s">
        <v>4110</v>
      </c>
      <c r="AD1077" t="s">
        <v>4111</v>
      </c>
      <c r="AE1077" t="s">
        <v>4112</v>
      </c>
      <c r="AF1077" t="s">
        <v>4113</v>
      </c>
      <c r="AG1077" t="s">
        <v>806</v>
      </c>
      <c r="AH1077" t="s">
        <v>889</v>
      </c>
      <c r="AI1077" t="s">
        <v>66</v>
      </c>
      <c r="AJ1077" t="s">
        <v>66</v>
      </c>
      <c r="AK1077">
        <v>1</v>
      </c>
      <c r="AL1077" t="s">
        <v>4190</v>
      </c>
      <c r="AM1077" t="s">
        <v>4191</v>
      </c>
      <c r="AN1077" t="s">
        <v>66</v>
      </c>
      <c r="AO1077" t="s">
        <v>66</v>
      </c>
      <c r="AP1077">
        <v>1</v>
      </c>
      <c r="AQ1077" t="s">
        <v>66</v>
      </c>
      <c r="AR1077" t="s">
        <v>66</v>
      </c>
      <c r="AS1077" t="s">
        <v>66</v>
      </c>
      <c r="AT1077" t="s">
        <v>66</v>
      </c>
    </row>
    <row r="1078" spans="1:46" x14ac:dyDescent="0.15">
      <c r="A1078" t="s">
        <v>4288</v>
      </c>
      <c r="B1078" t="s">
        <v>4103</v>
      </c>
      <c r="C1078" t="s">
        <v>4104</v>
      </c>
      <c r="D1078">
        <v>45</v>
      </c>
      <c r="E1078" t="s">
        <v>4105</v>
      </c>
      <c r="F1078" t="s">
        <v>718</v>
      </c>
      <c r="G1078" t="s">
        <v>51</v>
      </c>
      <c r="H1078" t="s">
        <v>4106</v>
      </c>
      <c r="I1078" t="s">
        <v>1553</v>
      </c>
      <c r="J1078" t="s">
        <v>721</v>
      </c>
      <c r="K1078" t="s">
        <v>3594</v>
      </c>
      <c r="L1078" t="s">
        <v>16</v>
      </c>
      <c r="M1078" t="s">
        <v>19</v>
      </c>
      <c r="N1078">
        <v>2969</v>
      </c>
      <c r="O1078">
        <v>162</v>
      </c>
      <c r="P1078">
        <v>0</v>
      </c>
      <c r="Q1078" t="s">
        <v>4289</v>
      </c>
      <c r="R1078" t="s">
        <v>4290</v>
      </c>
      <c r="S1078" t="s">
        <v>1780</v>
      </c>
      <c r="T1078" t="s">
        <v>4291</v>
      </c>
      <c r="U1078" t="s">
        <v>60</v>
      </c>
      <c r="V1078" t="s">
        <v>61</v>
      </c>
      <c r="W1078">
        <v>3</v>
      </c>
      <c r="X1078">
        <v>8.3125000000000004E-2</v>
      </c>
      <c r="Y1078" t="s">
        <v>210</v>
      </c>
      <c r="Z1078" t="s">
        <v>356</v>
      </c>
      <c r="AA1078">
        <v>2</v>
      </c>
      <c r="AB1078" t="s">
        <v>4109</v>
      </c>
      <c r="AC1078" t="s">
        <v>4110</v>
      </c>
      <c r="AD1078" t="s">
        <v>4111</v>
      </c>
      <c r="AE1078" t="s">
        <v>4112</v>
      </c>
      <c r="AF1078" t="s">
        <v>4113</v>
      </c>
      <c r="AG1078" t="s">
        <v>806</v>
      </c>
      <c r="AH1078" t="s">
        <v>889</v>
      </c>
      <c r="AI1078" t="s">
        <v>66</v>
      </c>
      <c r="AJ1078" t="s">
        <v>66</v>
      </c>
      <c r="AK1078">
        <v>1</v>
      </c>
      <c r="AL1078" t="s">
        <v>4190</v>
      </c>
      <c r="AM1078" t="s">
        <v>4191</v>
      </c>
      <c r="AN1078" t="s">
        <v>66</v>
      </c>
      <c r="AO1078" t="s">
        <v>66</v>
      </c>
      <c r="AP1078">
        <v>1</v>
      </c>
      <c r="AQ1078" t="s">
        <v>66</v>
      </c>
      <c r="AR1078" t="s">
        <v>66</v>
      </c>
      <c r="AS1078" t="s">
        <v>66</v>
      </c>
      <c r="AT1078" t="s">
        <v>66</v>
      </c>
    </row>
    <row r="1079" spans="1:46" x14ac:dyDescent="0.15">
      <c r="A1079" t="s">
        <v>4292</v>
      </c>
      <c r="B1079" t="s">
        <v>4103</v>
      </c>
      <c r="C1079" t="s">
        <v>4104</v>
      </c>
      <c r="D1079">
        <v>46</v>
      </c>
      <c r="E1079" t="s">
        <v>4105</v>
      </c>
      <c r="F1079" t="s">
        <v>718</v>
      </c>
      <c r="G1079" t="s">
        <v>51</v>
      </c>
      <c r="H1079" t="s">
        <v>4106</v>
      </c>
      <c r="I1079" t="s">
        <v>1553</v>
      </c>
      <c r="J1079" t="s">
        <v>721</v>
      </c>
      <c r="K1079" t="s">
        <v>3594</v>
      </c>
      <c r="L1079" t="s">
        <v>16</v>
      </c>
      <c r="M1079" t="s">
        <v>19</v>
      </c>
      <c r="N1079">
        <v>3026</v>
      </c>
      <c r="O1079">
        <v>165</v>
      </c>
      <c r="P1079">
        <v>0</v>
      </c>
      <c r="Q1079" t="s">
        <v>4293</v>
      </c>
      <c r="R1079" t="s">
        <v>4294</v>
      </c>
      <c r="S1079" t="s">
        <v>1785</v>
      </c>
      <c r="T1079" t="s">
        <v>4295</v>
      </c>
      <c r="U1079" t="s">
        <v>60</v>
      </c>
      <c r="V1079" t="s">
        <v>61</v>
      </c>
      <c r="W1079">
        <v>3</v>
      </c>
      <c r="X1079">
        <v>8.3125000000000004E-2</v>
      </c>
      <c r="Y1079" t="s">
        <v>362</v>
      </c>
      <c r="Z1079" t="s">
        <v>363</v>
      </c>
      <c r="AA1079">
        <v>2</v>
      </c>
      <c r="AB1079" t="s">
        <v>4109</v>
      </c>
      <c r="AC1079" t="s">
        <v>4110</v>
      </c>
      <c r="AD1079" t="s">
        <v>4111</v>
      </c>
      <c r="AE1079" t="s">
        <v>4112</v>
      </c>
      <c r="AF1079" t="s">
        <v>4113</v>
      </c>
      <c r="AG1079" t="s">
        <v>806</v>
      </c>
      <c r="AH1079" t="s">
        <v>889</v>
      </c>
      <c r="AI1079" t="s">
        <v>66</v>
      </c>
      <c r="AJ1079" t="s">
        <v>66</v>
      </c>
      <c r="AK1079">
        <v>1</v>
      </c>
      <c r="AL1079" t="s">
        <v>4190</v>
      </c>
      <c r="AM1079" t="s">
        <v>4191</v>
      </c>
      <c r="AN1079" t="s">
        <v>66</v>
      </c>
      <c r="AO1079" t="s">
        <v>66</v>
      </c>
      <c r="AP1079">
        <v>1</v>
      </c>
      <c r="AQ1079" t="s">
        <v>66</v>
      </c>
      <c r="AR1079" t="s">
        <v>66</v>
      </c>
      <c r="AS1079" t="s">
        <v>66</v>
      </c>
      <c r="AT1079" t="s">
        <v>66</v>
      </c>
    </row>
    <row r="1080" spans="1:46" x14ac:dyDescent="0.15">
      <c r="A1080" t="s">
        <v>4296</v>
      </c>
      <c r="B1080" t="s">
        <v>4103</v>
      </c>
      <c r="C1080" t="s">
        <v>4104</v>
      </c>
      <c r="D1080">
        <v>47</v>
      </c>
      <c r="E1080" t="s">
        <v>4105</v>
      </c>
      <c r="F1080" t="s">
        <v>718</v>
      </c>
      <c r="G1080" t="s">
        <v>51</v>
      </c>
      <c r="H1080" t="s">
        <v>4106</v>
      </c>
      <c r="I1080" t="s">
        <v>1553</v>
      </c>
      <c r="J1080" t="s">
        <v>721</v>
      </c>
      <c r="K1080" t="s">
        <v>3594</v>
      </c>
      <c r="L1080" t="s">
        <v>16</v>
      </c>
      <c r="M1080" t="s">
        <v>19</v>
      </c>
      <c r="N1080">
        <v>3082</v>
      </c>
      <c r="O1080">
        <v>168</v>
      </c>
      <c r="P1080">
        <v>0</v>
      </c>
      <c r="Q1080" t="s">
        <v>4297</v>
      </c>
      <c r="R1080" t="s">
        <v>4298</v>
      </c>
      <c r="S1080" t="s">
        <v>1790</v>
      </c>
      <c r="T1080" t="s">
        <v>4299</v>
      </c>
      <c r="U1080" t="s">
        <v>60</v>
      </c>
      <c r="V1080" t="s">
        <v>61</v>
      </c>
      <c r="W1080">
        <v>3</v>
      </c>
      <c r="X1080">
        <v>8.3125000000000004E-2</v>
      </c>
      <c r="Y1080" t="s">
        <v>217</v>
      </c>
      <c r="Z1080" t="s">
        <v>369</v>
      </c>
      <c r="AA1080">
        <v>2</v>
      </c>
      <c r="AB1080" t="s">
        <v>4109</v>
      </c>
      <c r="AC1080" t="s">
        <v>4110</v>
      </c>
      <c r="AD1080" t="s">
        <v>4111</v>
      </c>
      <c r="AE1080" t="s">
        <v>4112</v>
      </c>
      <c r="AF1080" t="s">
        <v>4113</v>
      </c>
      <c r="AG1080" t="s">
        <v>806</v>
      </c>
      <c r="AH1080" t="s">
        <v>889</v>
      </c>
      <c r="AI1080" t="s">
        <v>66</v>
      </c>
      <c r="AJ1080" t="s">
        <v>66</v>
      </c>
      <c r="AK1080">
        <v>1</v>
      </c>
      <c r="AL1080" t="s">
        <v>4190</v>
      </c>
      <c r="AM1080" t="s">
        <v>4191</v>
      </c>
      <c r="AN1080" t="s">
        <v>66</v>
      </c>
      <c r="AO1080" t="s">
        <v>66</v>
      </c>
      <c r="AP1080">
        <v>1</v>
      </c>
      <c r="AQ1080" t="s">
        <v>66</v>
      </c>
      <c r="AR1080" t="s">
        <v>66</v>
      </c>
      <c r="AS1080" t="s">
        <v>66</v>
      </c>
      <c r="AT1080" t="s">
        <v>66</v>
      </c>
    </row>
    <row r="1081" spans="1:46" x14ac:dyDescent="0.15">
      <c r="A1081" t="s">
        <v>4300</v>
      </c>
      <c r="B1081" t="s">
        <v>4103</v>
      </c>
      <c r="C1081" t="s">
        <v>4104</v>
      </c>
      <c r="D1081">
        <v>48</v>
      </c>
      <c r="E1081" t="s">
        <v>4105</v>
      </c>
      <c r="F1081" t="s">
        <v>718</v>
      </c>
      <c r="G1081" t="s">
        <v>51</v>
      </c>
      <c r="H1081" t="s">
        <v>4106</v>
      </c>
      <c r="I1081" t="s">
        <v>1553</v>
      </c>
      <c r="J1081" t="s">
        <v>721</v>
      </c>
      <c r="K1081" t="s">
        <v>3594</v>
      </c>
      <c r="L1081" t="s">
        <v>16</v>
      </c>
      <c r="M1081" t="s">
        <v>19</v>
      </c>
      <c r="N1081">
        <v>3138</v>
      </c>
      <c r="O1081">
        <v>171</v>
      </c>
      <c r="P1081">
        <v>0</v>
      </c>
      <c r="Q1081" t="s">
        <v>4301</v>
      </c>
      <c r="R1081" t="s">
        <v>4302</v>
      </c>
      <c r="S1081" t="s">
        <v>1795</v>
      </c>
      <c r="T1081" t="s">
        <v>4303</v>
      </c>
      <c r="U1081" t="s">
        <v>60</v>
      </c>
      <c r="V1081" t="s">
        <v>61</v>
      </c>
      <c r="W1081">
        <v>3</v>
      </c>
      <c r="X1081">
        <v>8.3125000000000004E-2</v>
      </c>
      <c r="Y1081" t="s">
        <v>375</v>
      </c>
      <c r="Z1081" t="s">
        <v>376</v>
      </c>
      <c r="AA1081">
        <v>2</v>
      </c>
      <c r="AB1081" t="s">
        <v>4109</v>
      </c>
      <c r="AC1081" t="s">
        <v>4110</v>
      </c>
      <c r="AD1081" t="s">
        <v>4111</v>
      </c>
      <c r="AE1081" t="s">
        <v>4112</v>
      </c>
      <c r="AF1081" t="s">
        <v>4113</v>
      </c>
      <c r="AG1081" t="s">
        <v>806</v>
      </c>
      <c r="AH1081" t="s">
        <v>889</v>
      </c>
      <c r="AI1081" t="s">
        <v>66</v>
      </c>
      <c r="AJ1081" t="s">
        <v>66</v>
      </c>
      <c r="AK1081">
        <v>1</v>
      </c>
      <c r="AL1081" t="s">
        <v>4190</v>
      </c>
      <c r="AM1081" t="s">
        <v>4191</v>
      </c>
      <c r="AN1081" t="s">
        <v>66</v>
      </c>
      <c r="AO1081" t="s">
        <v>66</v>
      </c>
      <c r="AP1081">
        <v>1</v>
      </c>
      <c r="AQ1081" t="s">
        <v>66</v>
      </c>
      <c r="AR1081" t="s">
        <v>66</v>
      </c>
      <c r="AS1081" t="s">
        <v>66</v>
      </c>
      <c r="AT1081" t="s">
        <v>66</v>
      </c>
    </row>
    <row r="1082" spans="1:46" x14ac:dyDescent="0.15">
      <c r="A1082" t="s">
        <v>4304</v>
      </c>
      <c r="B1082" t="s">
        <v>4103</v>
      </c>
      <c r="C1082" t="s">
        <v>4104</v>
      </c>
      <c r="D1082">
        <v>49</v>
      </c>
      <c r="E1082" t="s">
        <v>4105</v>
      </c>
      <c r="F1082" t="s">
        <v>718</v>
      </c>
      <c r="G1082" t="s">
        <v>51</v>
      </c>
      <c r="H1082" t="s">
        <v>4106</v>
      </c>
      <c r="I1082" t="s">
        <v>1553</v>
      </c>
      <c r="J1082" t="s">
        <v>721</v>
      </c>
      <c r="K1082" t="s">
        <v>3594</v>
      </c>
      <c r="L1082" t="s">
        <v>16</v>
      </c>
      <c r="M1082" t="s">
        <v>19</v>
      </c>
      <c r="N1082">
        <v>3194</v>
      </c>
      <c r="O1082">
        <v>174</v>
      </c>
      <c r="P1082">
        <v>0</v>
      </c>
      <c r="Q1082" t="s">
        <v>4305</v>
      </c>
      <c r="R1082" t="s">
        <v>4306</v>
      </c>
      <c r="S1082" t="s">
        <v>1800</v>
      </c>
      <c r="T1082" t="s">
        <v>4307</v>
      </c>
      <c r="U1082" t="s">
        <v>60</v>
      </c>
      <c r="V1082" t="s">
        <v>61</v>
      </c>
      <c r="W1082">
        <v>3</v>
      </c>
      <c r="X1082">
        <v>8.3125000000000004E-2</v>
      </c>
      <c r="Y1082" t="s">
        <v>223</v>
      </c>
      <c r="Z1082" t="s">
        <v>382</v>
      </c>
      <c r="AA1082">
        <v>2</v>
      </c>
      <c r="AB1082" t="s">
        <v>4109</v>
      </c>
      <c r="AC1082" t="s">
        <v>4110</v>
      </c>
      <c r="AD1082" t="s">
        <v>4111</v>
      </c>
      <c r="AE1082" t="s">
        <v>4112</v>
      </c>
      <c r="AF1082" t="s">
        <v>4113</v>
      </c>
      <c r="AG1082" t="s">
        <v>806</v>
      </c>
      <c r="AH1082" t="s">
        <v>889</v>
      </c>
      <c r="AI1082" t="s">
        <v>66</v>
      </c>
      <c r="AJ1082" t="s">
        <v>66</v>
      </c>
      <c r="AK1082">
        <v>1</v>
      </c>
      <c r="AL1082" t="s">
        <v>4190</v>
      </c>
      <c r="AM1082" t="s">
        <v>4191</v>
      </c>
      <c r="AN1082" t="s">
        <v>66</v>
      </c>
      <c r="AO1082" t="s">
        <v>66</v>
      </c>
      <c r="AP1082">
        <v>1</v>
      </c>
      <c r="AQ1082" t="s">
        <v>66</v>
      </c>
      <c r="AR1082" t="s">
        <v>66</v>
      </c>
      <c r="AS1082" t="s">
        <v>66</v>
      </c>
      <c r="AT1082" t="s">
        <v>66</v>
      </c>
    </row>
    <row r="1083" spans="1:46" x14ac:dyDescent="0.15">
      <c r="A1083" t="s">
        <v>4308</v>
      </c>
      <c r="B1083" t="s">
        <v>4103</v>
      </c>
      <c r="C1083" t="s">
        <v>4104</v>
      </c>
      <c r="D1083">
        <v>50</v>
      </c>
      <c r="E1083" t="s">
        <v>4105</v>
      </c>
      <c r="F1083" t="s">
        <v>718</v>
      </c>
      <c r="G1083" t="s">
        <v>51</v>
      </c>
      <c r="H1083" t="s">
        <v>4106</v>
      </c>
      <c r="I1083" t="s">
        <v>1553</v>
      </c>
      <c r="J1083" t="s">
        <v>721</v>
      </c>
      <c r="K1083" t="s">
        <v>3594</v>
      </c>
      <c r="L1083" t="s">
        <v>16</v>
      </c>
      <c r="M1083" t="s">
        <v>19</v>
      </c>
      <c r="N1083">
        <v>3250</v>
      </c>
      <c r="O1083">
        <v>177</v>
      </c>
      <c r="P1083">
        <v>0</v>
      </c>
      <c r="Q1083" t="s">
        <v>4309</v>
      </c>
      <c r="R1083" t="s">
        <v>4310</v>
      </c>
      <c r="S1083" t="s">
        <v>1805</v>
      </c>
      <c r="T1083" t="s">
        <v>4311</v>
      </c>
      <c r="U1083" t="s">
        <v>60</v>
      </c>
      <c r="V1083" t="s">
        <v>61</v>
      </c>
      <c r="W1083">
        <v>3</v>
      </c>
      <c r="X1083">
        <v>8.3125000000000004E-2</v>
      </c>
      <c r="Y1083" t="s">
        <v>388</v>
      </c>
      <c r="Z1083" t="s">
        <v>389</v>
      </c>
      <c r="AA1083">
        <v>2</v>
      </c>
      <c r="AB1083" t="s">
        <v>4109</v>
      </c>
      <c r="AC1083" t="s">
        <v>4110</v>
      </c>
      <c r="AD1083" t="s">
        <v>4111</v>
      </c>
      <c r="AE1083" t="s">
        <v>4112</v>
      </c>
      <c r="AF1083" t="s">
        <v>4113</v>
      </c>
      <c r="AG1083" t="s">
        <v>806</v>
      </c>
      <c r="AH1083" t="s">
        <v>889</v>
      </c>
      <c r="AI1083" t="s">
        <v>66</v>
      </c>
      <c r="AJ1083" t="s">
        <v>66</v>
      </c>
      <c r="AK1083">
        <v>1</v>
      </c>
      <c r="AL1083" t="s">
        <v>4190</v>
      </c>
      <c r="AM1083" t="s">
        <v>4191</v>
      </c>
      <c r="AN1083" t="s">
        <v>66</v>
      </c>
      <c r="AO1083" t="s">
        <v>66</v>
      </c>
      <c r="AP1083">
        <v>1</v>
      </c>
      <c r="AQ1083" t="s">
        <v>66</v>
      </c>
      <c r="AR1083" t="s">
        <v>66</v>
      </c>
      <c r="AS1083" t="s">
        <v>66</v>
      </c>
      <c r="AT1083" t="s">
        <v>66</v>
      </c>
    </row>
    <row r="1084" spans="1:46" x14ac:dyDescent="0.15">
      <c r="A1084" t="s">
        <v>4312</v>
      </c>
      <c r="B1084" t="s">
        <v>4103</v>
      </c>
      <c r="C1084" t="s">
        <v>4104</v>
      </c>
      <c r="D1084">
        <v>51</v>
      </c>
      <c r="E1084" t="s">
        <v>4105</v>
      </c>
      <c r="F1084" t="s">
        <v>718</v>
      </c>
      <c r="G1084" t="s">
        <v>51</v>
      </c>
      <c r="H1084" t="s">
        <v>4106</v>
      </c>
      <c r="I1084" t="s">
        <v>1553</v>
      </c>
      <c r="J1084" t="s">
        <v>721</v>
      </c>
      <c r="K1084" t="s">
        <v>3594</v>
      </c>
      <c r="L1084" t="s">
        <v>16</v>
      </c>
      <c r="M1084" t="s">
        <v>19</v>
      </c>
      <c r="N1084">
        <v>3306</v>
      </c>
      <c r="O1084">
        <v>180</v>
      </c>
      <c r="P1084">
        <v>0</v>
      </c>
      <c r="Q1084" t="s">
        <v>4313</v>
      </c>
      <c r="R1084" t="s">
        <v>4314</v>
      </c>
      <c r="S1084" t="s">
        <v>1810</v>
      </c>
      <c r="T1084" t="s">
        <v>4315</v>
      </c>
      <c r="U1084" t="s">
        <v>60</v>
      </c>
      <c r="V1084" t="s">
        <v>61</v>
      </c>
      <c r="W1084">
        <v>3</v>
      </c>
      <c r="X1084">
        <v>8.3125000000000004E-2</v>
      </c>
      <c r="Y1084" t="s">
        <v>230</v>
      </c>
      <c r="Z1084" t="s">
        <v>395</v>
      </c>
      <c r="AA1084">
        <v>2</v>
      </c>
      <c r="AB1084" t="s">
        <v>4109</v>
      </c>
      <c r="AC1084" t="s">
        <v>4110</v>
      </c>
      <c r="AD1084" t="s">
        <v>4111</v>
      </c>
      <c r="AE1084" t="s">
        <v>4112</v>
      </c>
      <c r="AF1084" t="s">
        <v>4113</v>
      </c>
      <c r="AG1084" t="s">
        <v>806</v>
      </c>
      <c r="AH1084" t="s">
        <v>889</v>
      </c>
      <c r="AI1084" t="s">
        <v>66</v>
      </c>
      <c r="AJ1084" t="s">
        <v>66</v>
      </c>
      <c r="AK1084">
        <v>1</v>
      </c>
      <c r="AL1084" t="s">
        <v>4190</v>
      </c>
      <c r="AM1084" t="s">
        <v>4191</v>
      </c>
      <c r="AN1084" t="s">
        <v>66</v>
      </c>
      <c r="AO1084" t="s">
        <v>66</v>
      </c>
      <c r="AP1084">
        <v>1</v>
      </c>
      <c r="AQ1084" t="s">
        <v>66</v>
      </c>
      <c r="AR1084" t="s">
        <v>66</v>
      </c>
      <c r="AS1084" t="s">
        <v>66</v>
      </c>
      <c r="AT1084" t="s">
        <v>66</v>
      </c>
    </row>
    <row r="1085" spans="1:46" x14ac:dyDescent="0.15">
      <c r="A1085" t="s">
        <v>4316</v>
      </c>
      <c r="B1085" t="s">
        <v>4103</v>
      </c>
      <c r="C1085" t="s">
        <v>4104</v>
      </c>
      <c r="D1085">
        <v>52</v>
      </c>
      <c r="E1085" t="s">
        <v>4105</v>
      </c>
      <c r="F1085" t="s">
        <v>718</v>
      </c>
      <c r="G1085" t="s">
        <v>51</v>
      </c>
      <c r="H1085" t="s">
        <v>4106</v>
      </c>
      <c r="I1085" t="s">
        <v>1553</v>
      </c>
      <c r="J1085" t="s">
        <v>721</v>
      </c>
      <c r="K1085" t="s">
        <v>3594</v>
      </c>
      <c r="L1085" t="s">
        <v>16</v>
      </c>
      <c r="M1085" t="s">
        <v>19</v>
      </c>
      <c r="N1085">
        <v>3362</v>
      </c>
      <c r="O1085">
        <v>183</v>
      </c>
      <c r="P1085">
        <v>0</v>
      </c>
      <c r="Q1085" t="s">
        <v>4317</v>
      </c>
      <c r="R1085" t="s">
        <v>4318</v>
      </c>
      <c r="S1085" t="s">
        <v>1815</v>
      </c>
      <c r="T1085" t="s">
        <v>4319</v>
      </c>
      <c r="U1085" t="s">
        <v>60</v>
      </c>
      <c r="V1085" t="s">
        <v>61</v>
      </c>
      <c r="W1085">
        <v>3</v>
      </c>
      <c r="X1085">
        <v>8.3125000000000004E-2</v>
      </c>
      <c r="Y1085" t="s">
        <v>401</v>
      </c>
      <c r="Z1085" t="s">
        <v>402</v>
      </c>
      <c r="AA1085">
        <v>2</v>
      </c>
      <c r="AB1085" t="s">
        <v>4109</v>
      </c>
      <c r="AC1085" t="s">
        <v>4110</v>
      </c>
      <c r="AD1085" t="s">
        <v>4111</v>
      </c>
      <c r="AE1085" t="s">
        <v>4112</v>
      </c>
      <c r="AF1085" t="s">
        <v>4113</v>
      </c>
      <c r="AG1085" t="s">
        <v>806</v>
      </c>
      <c r="AH1085" t="s">
        <v>889</v>
      </c>
      <c r="AI1085" t="s">
        <v>66</v>
      </c>
      <c r="AJ1085" t="s">
        <v>66</v>
      </c>
      <c r="AK1085">
        <v>1</v>
      </c>
      <c r="AL1085" t="s">
        <v>4190</v>
      </c>
      <c r="AM1085" t="s">
        <v>4191</v>
      </c>
      <c r="AN1085" t="s">
        <v>66</v>
      </c>
      <c r="AO1085" t="s">
        <v>66</v>
      </c>
      <c r="AP1085">
        <v>1</v>
      </c>
      <c r="AQ1085" t="s">
        <v>66</v>
      </c>
      <c r="AR1085" t="s">
        <v>66</v>
      </c>
      <c r="AS1085" t="s">
        <v>66</v>
      </c>
      <c r="AT1085" t="s">
        <v>66</v>
      </c>
    </row>
    <row r="1086" spans="1:46" x14ac:dyDescent="0.15">
      <c r="A1086" t="s">
        <v>4320</v>
      </c>
      <c r="B1086" t="s">
        <v>4103</v>
      </c>
      <c r="C1086" t="s">
        <v>4104</v>
      </c>
      <c r="D1086">
        <v>53</v>
      </c>
      <c r="E1086" t="s">
        <v>4105</v>
      </c>
      <c r="F1086" t="s">
        <v>718</v>
      </c>
      <c r="G1086" t="s">
        <v>51</v>
      </c>
      <c r="H1086" t="s">
        <v>4106</v>
      </c>
      <c r="I1086" t="s">
        <v>1553</v>
      </c>
      <c r="J1086" t="s">
        <v>721</v>
      </c>
      <c r="K1086" t="s">
        <v>3594</v>
      </c>
      <c r="L1086" t="s">
        <v>16</v>
      </c>
      <c r="M1086" t="s">
        <v>19</v>
      </c>
      <c r="N1086">
        <v>3418</v>
      </c>
      <c r="O1086">
        <v>186</v>
      </c>
      <c r="P1086">
        <v>0</v>
      </c>
      <c r="Q1086" t="s">
        <v>4321</v>
      </c>
      <c r="R1086" t="s">
        <v>4322</v>
      </c>
      <c r="S1086" t="s">
        <v>1820</v>
      </c>
      <c r="T1086" t="s">
        <v>4323</v>
      </c>
      <c r="U1086" t="s">
        <v>60</v>
      </c>
      <c r="V1086" t="s">
        <v>61</v>
      </c>
      <c r="W1086">
        <v>3</v>
      </c>
      <c r="X1086">
        <v>8.3125000000000004E-2</v>
      </c>
      <c r="Y1086" t="s">
        <v>236</v>
      </c>
      <c r="Z1086" t="s">
        <v>408</v>
      </c>
      <c r="AA1086">
        <v>2</v>
      </c>
      <c r="AB1086" t="s">
        <v>4109</v>
      </c>
      <c r="AC1086" t="s">
        <v>4110</v>
      </c>
      <c r="AD1086" t="s">
        <v>4111</v>
      </c>
      <c r="AE1086" t="s">
        <v>4112</v>
      </c>
      <c r="AF1086" t="s">
        <v>4113</v>
      </c>
      <c r="AG1086" t="s">
        <v>806</v>
      </c>
      <c r="AH1086" t="s">
        <v>889</v>
      </c>
      <c r="AI1086" t="s">
        <v>66</v>
      </c>
      <c r="AJ1086" t="s">
        <v>66</v>
      </c>
      <c r="AK1086">
        <v>1</v>
      </c>
      <c r="AL1086" t="s">
        <v>4190</v>
      </c>
      <c r="AM1086" t="s">
        <v>4191</v>
      </c>
      <c r="AN1086" t="s">
        <v>66</v>
      </c>
      <c r="AO1086" t="s">
        <v>66</v>
      </c>
      <c r="AP1086">
        <v>1</v>
      </c>
      <c r="AQ1086" t="s">
        <v>66</v>
      </c>
      <c r="AR1086" t="s">
        <v>66</v>
      </c>
      <c r="AS1086" t="s">
        <v>66</v>
      </c>
      <c r="AT1086" t="s">
        <v>66</v>
      </c>
    </row>
    <row r="1087" spans="1:46" x14ac:dyDescent="0.15">
      <c r="A1087" t="s">
        <v>4324</v>
      </c>
      <c r="B1087" t="s">
        <v>4103</v>
      </c>
      <c r="C1087" t="s">
        <v>4104</v>
      </c>
      <c r="D1087">
        <v>54</v>
      </c>
      <c r="E1087" t="s">
        <v>4105</v>
      </c>
      <c r="F1087" t="s">
        <v>718</v>
      </c>
      <c r="G1087" t="s">
        <v>51</v>
      </c>
      <c r="H1087" t="s">
        <v>4106</v>
      </c>
      <c r="I1087" t="s">
        <v>1553</v>
      </c>
      <c r="J1087" t="s">
        <v>721</v>
      </c>
      <c r="K1087" t="s">
        <v>3594</v>
      </c>
      <c r="L1087" t="s">
        <v>16</v>
      </c>
      <c r="M1087" t="s">
        <v>19</v>
      </c>
      <c r="N1087">
        <v>3474</v>
      </c>
      <c r="O1087">
        <v>189</v>
      </c>
      <c r="P1087">
        <v>0</v>
      </c>
      <c r="Q1087" t="s">
        <v>4325</v>
      </c>
      <c r="R1087" t="s">
        <v>4326</v>
      </c>
      <c r="S1087" t="s">
        <v>1825</v>
      </c>
      <c r="T1087" t="s">
        <v>4327</v>
      </c>
      <c r="U1087" t="s">
        <v>60</v>
      </c>
      <c r="V1087" t="s">
        <v>61</v>
      </c>
      <c r="W1087">
        <v>3</v>
      </c>
      <c r="X1087">
        <v>8.3125000000000004E-2</v>
      </c>
      <c r="Y1087" t="s">
        <v>414</v>
      </c>
      <c r="Z1087" t="s">
        <v>415</v>
      </c>
      <c r="AA1087">
        <v>2</v>
      </c>
      <c r="AB1087" t="s">
        <v>4109</v>
      </c>
      <c r="AC1087" t="s">
        <v>4110</v>
      </c>
      <c r="AD1087" t="s">
        <v>4111</v>
      </c>
      <c r="AE1087" t="s">
        <v>4112</v>
      </c>
      <c r="AF1087" t="s">
        <v>4113</v>
      </c>
      <c r="AG1087" t="s">
        <v>806</v>
      </c>
      <c r="AH1087" t="s">
        <v>889</v>
      </c>
      <c r="AI1087" t="s">
        <v>66</v>
      </c>
      <c r="AJ1087" t="s">
        <v>66</v>
      </c>
      <c r="AK1087">
        <v>1</v>
      </c>
      <c r="AL1087" t="s">
        <v>4190</v>
      </c>
      <c r="AM1087" t="s">
        <v>4191</v>
      </c>
      <c r="AN1087" t="s">
        <v>66</v>
      </c>
      <c r="AO1087" t="s">
        <v>66</v>
      </c>
      <c r="AP1087">
        <v>1</v>
      </c>
      <c r="AQ1087" t="s">
        <v>66</v>
      </c>
      <c r="AR1087" t="s">
        <v>66</v>
      </c>
      <c r="AS1087" t="s">
        <v>66</v>
      </c>
      <c r="AT1087" t="s">
        <v>66</v>
      </c>
    </row>
    <row r="1088" spans="1:46" x14ac:dyDescent="0.15">
      <c r="A1088" t="s">
        <v>4328</v>
      </c>
      <c r="B1088" t="s">
        <v>4103</v>
      </c>
      <c r="C1088" t="s">
        <v>4104</v>
      </c>
      <c r="D1088">
        <v>55</v>
      </c>
      <c r="E1088" t="s">
        <v>4105</v>
      </c>
      <c r="F1088" t="s">
        <v>718</v>
      </c>
      <c r="G1088" t="s">
        <v>51</v>
      </c>
      <c r="H1088" t="s">
        <v>4106</v>
      </c>
      <c r="I1088" t="s">
        <v>1553</v>
      </c>
      <c r="J1088" t="s">
        <v>721</v>
      </c>
      <c r="K1088" t="s">
        <v>3594</v>
      </c>
      <c r="L1088" t="s">
        <v>16</v>
      </c>
      <c r="M1088" t="s">
        <v>19</v>
      </c>
      <c r="N1088">
        <v>3531</v>
      </c>
      <c r="O1088">
        <v>192</v>
      </c>
      <c r="P1088">
        <v>0</v>
      </c>
      <c r="Q1088" t="s">
        <v>4329</v>
      </c>
      <c r="R1088" t="s">
        <v>4330</v>
      </c>
      <c r="S1088" t="s">
        <v>1830</v>
      </c>
      <c r="T1088" t="s">
        <v>4331</v>
      </c>
      <c r="U1088" t="s">
        <v>60</v>
      </c>
      <c r="V1088" t="s">
        <v>61</v>
      </c>
      <c r="W1088">
        <v>3</v>
      </c>
      <c r="X1088">
        <v>8.3125000000000004E-2</v>
      </c>
      <c r="Y1088" t="s">
        <v>243</v>
      </c>
      <c r="Z1088" t="s">
        <v>421</v>
      </c>
      <c r="AA1088">
        <v>2</v>
      </c>
      <c r="AB1088" t="s">
        <v>4109</v>
      </c>
      <c r="AC1088" t="s">
        <v>4110</v>
      </c>
      <c r="AD1088" t="s">
        <v>4111</v>
      </c>
      <c r="AE1088" t="s">
        <v>4112</v>
      </c>
      <c r="AF1088" t="s">
        <v>4113</v>
      </c>
      <c r="AG1088" t="s">
        <v>806</v>
      </c>
      <c r="AH1088" t="s">
        <v>889</v>
      </c>
      <c r="AI1088" t="s">
        <v>66</v>
      </c>
      <c r="AJ1088" t="s">
        <v>66</v>
      </c>
      <c r="AK1088">
        <v>1</v>
      </c>
      <c r="AL1088" t="s">
        <v>4190</v>
      </c>
      <c r="AM1088" t="s">
        <v>4191</v>
      </c>
      <c r="AN1088" t="s">
        <v>66</v>
      </c>
      <c r="AO1088" t="s">
        <v>66</v>
      </c>
      <c r="AP1088">
        <v>1</v>
      </c>
      <c r="AQ1088" t="s">
        <v>66</v>
      </c>
      <c r="AR1088" t="s">
        <v>66</v>
      </c>
      <c r="AS1088" t="s">
        <v>66</v>
      </c>
      <c r="AT1088" t="s">
        <v>66</v>
      </c>
    </row>
    <row r="1089" spans="1:46" x14ac:dyDescent="0.15">
      <c r="A1089" t="s">
        <v>4332</v>
      </c>
      <c r="B1089" t="s">
        <v>4103</v>
      </c>
      <c r="C1089" t="s">
        <v>4104</v>
      </c>
      <c r="D1089">
        <v>56</v>
      </c>
      <c r="E1089" t="s">
        <v>4105</v>
      </c>
      <c r="F1089" t="s">
        <v>718</v>
      </c>
      <c r="G1089" t="s">
        <v>51</v>
      </c>
      <c r="H1089" t="s">
        <v>4106</v>
      </c>
      <c r="I1089" t="s">
        <v>1553</v>
      </c>
      <c r="J1089" t="s">
        <v>721</v>
      </c>
      <c r="K1089" t="s">
        <v>3594</v>
      </c>
      <c r="L1089" t="s">
        <v>16</v>
      </c>
      <c r="M1089" t="s">
        <v>19</v>
      </c>
      <c r="N1089">
        <v>3587</v>
      </c>
      <c r="O1089">
        <v>195</v>
      </c>
      <c r="P1089">
        <v>0</v>
      </c>
      <c r="Q1089" t="s">
        <v>4333</v>
      </c>
      <c r="R1089" t="s">
        <v>4334</v>
      </c>
      <c r="S1089" t="s">
        <v>1835</v>
      </c>
      <c r="T1089" t="s">
        <v>4335</v>
      </c>
      <c r="U1089" t="s">
        <v>60</v>
      </c>
      <c r="V1089" t="s">
        <v>61</v>
      </c>
      <c r="W1089">
        <v>3</v>
      </c>
      <c r="X1089">
        <v>8.3125000000000004E-2</v>
      </c>
      <c r="Y1089" t="s">
        <v>427</v>
      </c>
      <c r="Z1089" t="s">
        <v>428</v>
      </c>
      <c r="AA1089">
        <v>2</v>
      </c>
      <c r="AB1089" t="s">
        <v>4109</v>
      </c>
      <c r="AC1089" t="s">
        <v>4110</v>
      </c>
      <c r="AD1089" t="s">
        <v>4111</v>
      </c>
      <c r="AE1089" t="s">
        <v>4112</v>
      </c>
      <c r="AF1089" t="s">
        <v>4113</v>
      </c>
      <c r="AG1089" t="s">
        <v>806</v>
      </c>
      <c r="AH1089" t="s">
        <v>889</v>
      </c>
      <c r="AI1089" t="s">
        <v>66</v>
      </c>
      <c r="AJ1089" t="s">
        <v>66</v>
      </c>
      <c r="AK1089">
        <v>1</v>
      </c>
      <c r="AL1089" t="s">
        <v>4190</v>
      </c>
      <c r="AM1089" t="s">
        <v>4191</v>
      </c>
      <c r="AN1089" t="s">
        <v>66</v>
      </c>
      <c r="AO1089" t="s">
        <v>66</v>
      </c>
      <c r="AP1089">
        <v>1</v>
      </c>
      <c r="AQ1089" t="s">
        <v>66</v>
      </c>
      <c r="AR1089" t="s">
        <v>66</v>
      </c>
      <c r="AS1089" t="s">
        <v>66</v>
      </c>
      <c r="AT1089" t="s">
        <v>66</v>
      </c>
    </row>
    <row r="1090" spans="1:46" x14ac:dyDescent="0.15">
      <c r="A1090" t="s">
        <v>4336</v>
      </c>
      <c r="B1090" t="s">
        <v>4103</v>
      </c>
      <c r="C1090" t="s">
        <v>4104</v>
      </c>
      <c r="D1090">
        <v>57</v>
      </c>
      <c r="E1090" t="s">
        <v>4105</v>
      </c>
      <c r="F1090" t="s">
        <v>718</v>
      </c>
      <c r="G1090" t="s">
        <v>51</v>
      </c>
      <c r="H1090" t="s">
        <v>4106</v>
      </c>
      <c r="I1090" t="s">
        <v>1553</v>
      </c>
      <c r="J1090" t="s">
        <v>721</v>
      </c>
      <c r="K1090" t="s">
        <v>3594</v>
      </c>
      <c r="L1090" t="s">
        <v>16</v>
      </c>
      <c r="M1090" t="s">
        <v>19</v>
      </c>
      <c r="N1090">
        <v>3643</v>
      </c>
      <c r="O1090">
        <v>198</v>
      </c>
      <c r="P1090">
        <v>0</v>
      </c>
      <c r="Q1090" t="s">
        <v>4337</v>
      </c>
      <c r="R1090" t="s">
        <v>4338</v>
      </c>
      <c r="S1090" t="s">
        <v>1840</v>
      </c>
      <c r="T1090" t="s">
        <v>4339</v>
      </c>
      <c r="U1090" t="s">
        <v>60</v>
      </c>
      <c r="V1090" t="s">
        <v>61</v>
      </c>
      <c r="W1090">
        <v>3</v>
      </c>
      <c r="X1090">
        <v>8.3125000000000004E-2</v>
      </c>
      <c r="Y1090" t="s">
        <v>249</v>
      </c>
      <c r="Z1090" t="s">
        <v>434</v>
      </c>
      <c r="AA1090">
        <v>2</v>
      </c>
      <c r="AB1090" t="s">
        <v>4109</v>
      </c>
      <c r="AC1090" t="s">
        <v>4110</v>
      </c>
      <c r="AD1090" t="s">
        <v>4111</v>
      </c>
      <c r="AE1090" t="s">
        <v>4112</v>
      </c>
      <c r="AF1090" t="s">
        <v>4113</v>
      </c>
      <c r="AG1090" t="s">
        <v>806</v>
      </c>
      <c r="AH1090" t="s">
        <v>889</v>
      </c>
      <c r="AI1090" t="s">
        <v>66</v>
      </c>
      <c r="AJ1090" t="s">
        <v>66</v>
      </c>
      <c r="AK1090">
        <v>1</v>
      </c>
      <c r="AL1090" t="s">
        <v>4190</v>
      </c>
      <c r="AM1090" t="s">
        <v>4191</v>
      </c>
      <c r="AN1090" t="s">
        <v>66</v>
      </c>
      <c r="AO1090" t="s">
        <v>66</v>
      </c>
      <c r="AP1090">
        <v>1</v>
      </c>
      <c r="AQ1090" t="s">
        <v>66</v>
      </c>
      <c r="AR1090" t="s">
        <v>66</v>
      </c>
      <c r="AS1090" t="s">
        <v>66</v>
      </c>
      <c r="AT1090" t="s">
        <v>66</v>
      </c>
    </row>
    <row r="1091" spans="1:46" x14ac:dyDescent="0.15">
      <c r="A1091" t="s">
        <v>4340</v>
      </c>
      <c r="B1091" t="s">
        <v>4103</v>
      </c>
      <c r="C1091" t="s">
        <v>4104</v>
      </c>
      <c r="D1091">
        <v>58</v>
      </c>
      <c r="E1091" t="s">
        <v>4105</v>
      </c>
      <c r="F1091" t="s">
        <v>718</v>
      </c>
      <c r="G1091" t="s">
        <v>51</v>
      </c>
      <c r="H1091" t="s">
        <v>4106</v>
      </c>
      <c r="I1091" t="s">
        <v>1553</v>
      </c>
      <c r="J1091" t="s">
        <v>721</v>
      </c>
      <c r="K1091" t="s">
        <v>3594</v>
      </c>
      <c r="L1091" t="s">
        <v>16</v>
      </c>
      <c r="M1091" t="s">
        <v>19</v>
      </c>
      <c r="N1091">
        <v>3699</v>
      </c>
      <c r="O1091">
        <v>201</v>
      </c>
      <c r="P1091">
        <v>0</v>
      </c>
      <c r="Q1091" t="s">
        <v>4341</v>
      </c>
      <c r="R1091" t="s">
        <v>4342</v>
      </c>
      <c r="S1091" t="s">
        <v>1845</v>
      </c>
      <c r="T1091" t="s">
        <v>4343</v>
      </c>
      <c r="U1091" t="s">
        <v>60</v>
      </c>
      <c r="V1091" t="s">
        <v>61</v>
      </c>
      <c r="W1091">
        <v>3</v>
      </c>
      <c r="X1091">
        <v>8.3125000000000004E-2</v>
      </c>
      <c r="Y1091" t="s">
        <v>440</v>
      </c>
      <c r="Z1091" t="s">
        <v>441</v>
      </c>
      <c r="AA1091">
        <v>2</v>
      </c>
      <c r="AB1091" t="s">
        <v>4109</v>
      </c>
      <c r="AC1091" t="s">
        <v>4110</v>
      </c>
      <c r="AD1091" t="s">
        <v>4111</v>
      </c>
      <c r="AE1091" t="s">
        <v>4112</v>
      </c>
      <c r="AF1091" t="s">
        <v>4113</v>
      </c>
      <c r="AG1091" t="s">
        <v>806</v>
      </c>
      <c r="AH1091" t="s">
        <v>889</v>
      </c>
      <c r="AI1091" t="s">
        <v>66</v>
      </c>
      <c r="AJ1091" t="s">
        <v>66</v>
      </c>
      <c r="AK1091">
        <v>1</v>
      </c>
      <c r="AL1091" t="s">
        <v>4190</v>
      </c>
      <c r="AM1091" t="s">
        <v>4191</v>
      </c>
      <c r="AN1091" t="s">
        <v>66</v>
      </c>
      <c r="AO1091" t="s">
        <v>66</v>
      </c>
      <c r="AP1091">
        <v>1</v>
      </c>
      <c r="AQ1091" t="s">
        <v>66</v>
      </c>
      <c r="AR1091" t="s">
        <v>66</v>
      </c>
      <c r="AS1091" t="s">
        <v>66</v>
      </c>
      <c r="AT1091" t="s">
        <v>66</v>
      </c>
    </row>
    <row r="1092" spans="1:46" x14ac:dyDescent="0.15">
      <c r="A1092" t="s">
        <v>4344</v>
      </c>
      <c r="B1092" t="s">
        <v>4103</v>
      </c>
      <c r="C1092" t="s">
        <v>4104</v>
      </c>
      <c r="D1092">
        <v>59</v>
      </c>
      <c r="E1092" t="s">
        <v>4105</v>
      </c>
      <c r="F1092" t="s">
        <v>718</v>
      </c>
      <c r="G1092" t="s">
        <v>51</v>
      </c>
      <c r="H1092" t="s">
        <v>4106</v>
      </c>
      <c r="I1092" t="s">
        <v>1553</v>
      </c>
      <c r="J1092" t="s">
        <v>721</v>
      </c>
      <c r="K1092" t="s">
        <v>3594</v>
      </c>
      <c r="L1092" t="s">
        <v>16</v>
      </c>
      <c r="M1092" t="s">
        <v>19</v>
      </c>
      <c r="N1092">
        <v>3755</v>
      </c>
      <c r="O1092">
        <v>204</v>
      </c>
      <c r="P1092">
        <v>0</v>
      </c>
      <c r="Q1092" t="s">
        <v>4345</v>
      </c>
      <c r="R1092" t="s">
        <v>4346</v>
      </c>
      <c r="S1092" t="s">
        <v>1850</v>
      </c>
      <c r="T1092" t="s">
        <v>4347</v>
      </c>
      <c r="U1092" t="s">
        <v>60</v>
      </c>
      <c r="V1092" t="s">
        <v>61</v>
      </c>
      <c r="W1092">
        <v>3</v>
      </c>
      <c r="X1092">
        <v>8.3125000000000004E-2</v>
      </c>
      <c r="Y1092" t="s">
        <v>256</v>
      </c>
      <c r="Z1092" t="s">
        <v>447</v>
      </c>
      <c r="AA1092">
        <v>2</v>
      </c>
      <c r="AB1092" t="s">
        <v>4109</v>
      </c>
      <c r="AC1092" t="s">
        <v>4110</v>
      </c>
      <c r="AD1092" t="s">
        <v>4111</v>
      </c>
      <c r="AE1092" t="s">
        <v>4112</v>
      </c>
      <c r="AF1092" t="s">
        <v>4113</v>
      </c>
      <c r="AG1092" t="s">
        <v>806</v>
      </c>
      <c r="AH1092" t="s">
        <v>889</v>
      </c>
      <c r="AI1092" t="s">
        <v>66</v>
      </c>
      <c r="AJ1092" t="s">
        <v>66</v>
      </c>
      <c r="AK1092">
        <v>1</v>
      </c>
      <c r="AL1092" t="s">
        <v>4190</v>
      </c>
      <c r="AM1092" t="s">
        <v>4191</v>
      </c>
      <c r="AN1092" t="s">
        <v>66</v>
      </c>
      <c r="AO1092" t="s">
        <v>66</v>
      </c>
      <c r="AP1092">
        <v>1</v>
      </c>
      <c r="AQ1092" t="s">
        <v>66</v>
      </c>
      <c r="AR1092" t="s">
        <v>66</v>
      </c>
      <c r="AS1092" t="s">
        <v>66</v>
      </c>
      <c r="AT1092" t="s">
        <v>66</v>
      </c>
    </row>
    <row r="1093" spans="1:46" x14ac:dyDescent="0.15">
      <c r="A1093" t="s">
        <v>4348</v>
      </c>
      <c r="B1093" t="s">
        <v>4103</v>
      </c>
      <c r="C1093" t="s">
        <v>4104</v>
      </c>
      <c r="D1093">
        <v>60</v>
      </c>
      <c r="E1093" t="s">
        <v>4105</v>
      </c>
      <c r="F1093" t="s">
        <v>718</v>
      </c>
      <c r="G1093" t="s">
        <v>51</v>
      </c>
      <c r="H1093" t="s">
        <v>4106</v>
      </c>
      <c r="I1093" t="s">
        <v>1553</v>
      </c>
      <c r="J1093" t="s">
        <v>721</v>
      </c>
      <c r="K1093" t="s">
        <v>3594</v>
      </c>
      <c r="L1093" t="s">
        <v>16</v>
      </c>
      <c r="M1093" t="s">
        <v>19</v>
      </c>
      <c r="N1093">
        <v>3811</v>
      </c>
      <c r="O1093">
        <v>207</v>
      </c>
      <c r="P1093">
        <v>0</v>
      </c>
      <c r="Q1093" t="s">
        <v>4349</v>
      </c>
      <c r="R1093" t="s">
        <v>4350</v>
      </c>
      <c r="S1093" t="s">
        <v>1854</v>
      </c>
      <c r="T1093" t="s">
        <v>4351</v>
      </c>
      <c r="U1093" t="s">
        <v>60</v>
      </c>
      <c r="V1093" t="s">
        <v>61</v>
      </c>
      <c r="W1093">
        <v>3</v>
      </c>
      <c r="X1093">
        <v>8.3125000000000004E-2</v>
      </c>
      <c r="Y1093" t="s">
        <v>453</v>
      </c>
      <c r="Z1093" t="s">
        <v>454</v>
      </c>
      <c r="AA1093">
        <v>2</v>
      </c>
      <c r="AB1093" t="s">
        <v>4109</v>
      </c>
      <c r="AC1093" t="s">
        <v>4110</v>
      </c>
      <c r="AD1093" t="s">
        <v>4111</v>
      </c>
      <c r="AE1093" t="s">
        <v>4112</v>
      </c>
      <c r="AF1093" t="s">
        <v>4113</v>
      </c>
      <c r="AG1093" t="s">
        <v>806</v>
      </c>
      <c r="AH1093" t="s">
        <v>889</v>
      </c>
      <c r="AI1093" t="s">
        <v>66</v>
      </c>
      <c r="AJ1093" t="s">
        <v>66</v>
      </c>
      <c r="AK1093">
        <v>1</v>
      </c>
      <c r="AL1093" t="s">
        <v>4190</v>
      </c>
      <c r="AM1093" t="s">
        <v>4191</v>
      </c>
      <c r="AN1093" t="s">
        <v>66</v>
      </c>
      <c r="AO1093" t="s">
        <v>66</v>
      </c>
      <c r="AP1093">
        <v>1</v>
      </c>
      <c r="AQ1093" t="s">
        <v>66</v>
      </c>
      <c r="AR1093" t="s">
        <v>66</v>
      </c>
      <c r="AS1093" t="s">
        <v>66</v>
      </c>
      <c r="AT1093" t="s">
        <v>66</v>
      </c>
    </row>
    <row r="1094" spans="1:46" x14ac:dyDescent="0.15">
      <c r="A1094" t="s">
        <v>4348</v>
      </c>
      <c r="B1094" t="s">
        <v>4103</v>
      </c>
      <c r="C1094" t="s">
        <v>4104</v>
      </c>
      <c r="D1094">
        <v>60</v>
      </c>
      <c r="E1094" t="s">
        <v>4105</v>
      </c>
      <c r="F1094" t="s">
        <v>718</v>
      </c>
      <c r="G1094" t="s">
        <v>51</v>
      </c>
      <c r="H1094" t="s">
        <v>4106</v>
      </c>
      <c r="I1094" t="s">
        <v>1553</v>
      </c>
      <c r="J1094" t="s">
        <v>721</v>
      </c>
      <c r="K1094" t="s">
        <v>3594</v>
      </c>
      <c r="L1094" t="s">
        <v>16</v>
      </c>
      <c r="M1094" t="s">
        <v>19</v>
      </c>
      <c r="N1094">
        <v>3811</v>
      </c>
      <c r="O1094">
        <v>207</v>
      </c>
      <c r="P1094">
        <v>0</v>
      </c>
      <c r="Q1094" t="s">
        <v>4349</v>
      </c>
      <c r="R1094" t="s">
        <v>4350</v>
      </c>
      <c r="S1094" t="s">
        <v>1854</v>
      </c>
      <c r="T1094" t="s">
        <v>4351</v>
      </c>
      <c r="U1094" t="s">
        <v>60</v>
      </c>
      <c r="V1094" t="s">
        <v>61</v>
      </c>
      <c r="W1094">
        <v>3</v>
      </c>
      <c r="X1094">
        <v>8.3125000000000004E-2</v>
      </c>
      <c r="Y1094" t="s">
        <v>453</v>
      </c>
      <c r="Z1094" t="s">
        <v>454</v>
      </c>
      <c r="AA1094">
        <v>3</v>
      </c>
      <c r="AB1094" t="s">
        <v>4109</v>
      </c>
      <c r="AC1094" t="s">
        <v>4110</v>
      </c>
      <c r="AD1094" t="s">
        <v>4111</v>
      </c>
      <c r="AE1094" t="s">
        <v>4112</v>
      </c>
      <c r="AF1094" t="s">
        <v>4113</v>
      </c>
      <c r="AG1094" t="s">
        <v>806</v>
      </c>
      <c r="AH1094" t="s">
        <v>889</v>
      </c>
      <c r="AI1094" t="s">
        <v>889</v>
      </c>
      <c r="AJ1094" t="s">
        <v>66</v>
      </c>
      <c r="AK1094">
        <v>1</v>
      </c>
      <c r="AL1094" t="s">
        <v>4190</v>
      </c>
      <c r="AM1094" t="s">
        <v>4191</v>
      </c>
      <c r="AN1094" t="s">
        <v>4352</v>
      </c>
      <c r="AO1094" t="s">
        <v>66</v>
      </c>
      <c r="AP1094">
        <v>1</v>
      </c>
      <c r="AQ1094" t="s">
        <v>4353</v>
      </c>
      <c r="AR1094" t="s">
        <v>4354</v>
      </c>
      <c r="AS1094" t="s">
        <v>4355</v>
      </c>
      <c r="AT1094" t="s">
        <v>66</v>
      </c>
    </row>
    <row r="1095" spans="1:46" x14ac:dyDescent="0.15">
      <c r="A1095" t="s">
        <v>4356</v>
      </c>
      <c r="B1095" t="s">
        <v>4103</v>
      </c>
      <c r="C1095" t="s">
        <v>4104</v>
      </c>
      <c r="D1095">
        <v>61</v>
      </c>
      <c r="E1095" t="s">
        <v>4105</v>
      </c>
      <c r="F1095" t="s">
        <v>718</v>
      </c>
      <c r="G1095" t="s">
        <v>51</v>
      </c>
      <c r="H1095" t="s">
        <v>4106</v>
      </c>
      <c r="I1095" t="s">
        <v>1553</v>
      </c>
      <c r="J1095" t="s">
        <v>721</v>
      </c>
      <c r="K1095" t="s">
        <v>3594</v>
      </c>
      <c r="L1095" t="s">
        <v>16</v>
      </c>
      <c r="M1095" t="s">
        <v>19</v>
      </c>
      <c r="N1095">
        <v>3867</v>
      </c>
      <c r="O1095">
        <v>210</v>
      </c>
      <c r="P1095">
        <v>0</v>
      </c>
      <c r="Q1095" t="s">
        <v>4357</v>
      </c>
      <c r="R1095" t="s">
        <v>4358</v>
      </c>
      <c r="S1095" t="s">
        <v>1865</v>
      </c>
      <c r="T1095" t="s">
        <v>4359</v>
      </c>
      <c r="U1095" t="s">
        <v>60</v>
      </c>
      <c r="V1095" t="s">
        <v>61</v>
      </c>
      <c r="W1095">
        <v>3</v>
      </c>
      <c r="X1095">
        <v>8.3125000000000004E-2</v>
      </c>
      <c r="Y1095" t="s">
        <v>262</v>
      </c>
      <c r="Z1095" t="s">
        <v>465</v>
      </c>
      <c r="AA1095">
        <v>3</v>
      </c>
      <c r="AB1095" t="s">
        <v>4109</v>
      </c>
      <c r="AC1095" t="s">
        <v>4110</v>
      </c>
      <c r="AD1095" t="s">
        <v>4111</v>
      </c>
      <c r="AE1095" t="s">
        <v>4112</v>
      </c>
      <c r="AF1095" t="s">
        <v>4113</v>
      </c>
      <c r="AG1095" t="s">
        <v>806</v>
      </c>
      <c r="AH1095" t="s">
        <v>889</v>
      </c>
      <c r="AI1095" t="s">
        <v>889</v>
      </c>
      <c r="AJ1095" t="s">
        <v>66</v>
      </c>
      <c r="AK1095">
        <v>1</v>
      </c>
      <c r="AL1095" t="s">
        <v>4190</v>
      </c>
      <c r="AM1095" t="s">
        <v>4191</v>
      </c>
      <c r="AN1095" t="s">
        <v>4352</v>
      </c>
      <c r="AO1095" t="s">
        <v>66</v>
      </c>
      <c r="AP1095">
        <v>1</v>
      </c>
      <c r="AQ1095" t="s">
        <v>4353</v>
      </c>
      <c r="AR1095" t="s">
        <v>4354</v>
      </c>
      <c r="AS1095" t="s">
        <v>4355</v>
      </c>
      <c r="AT1095" t="s">
        <v>66</v>
      </c>
    </row>
    <row r="1096" spans="1:46" x14ac:dyDescent="0.15">
      <c r="A1096" t="s">
        <v>4360</v>
      </c>
      <c r="B1096" t="s">
        <v>4103</v>
      </c>
      <c r="C1096" t="s">
        <v>4104</v>
      </c>
      <c r="D1096">
        <v>62</v>
      </c>
      <c r="E1096" t="s">
        <v>4105</v>
      </c>
      <c r="F1096" t="s">
        <v>718</v>
      </c>
      <c r="G1096" t="s">
        <v>51</v>
      </c>
      <c r="H1096" t="s">
        <v>4106</v>
      </c>
      <c r="I1096" t="s">
        <v>1553</v>
      </c>
      <c r="J1096" t="s">
        <v>721</v>
      </c>
      <c r="K1096" t="s">
        <v>3594</v>
      </c>
      <c r="L1096" t="s">
        <v>16</v>
      </c>
      <c r="M1096" t="s">
        <v>19</v>
      </c>
      <c r="N1096">
        <v>3923</v>
      </c>
      <c r="O1096">
        <v>213</v>
      </c>
      <c r="P1096">
        <v>0</v>
      </c>
      <c r="Q1096" t="s">
        <v>4361</v>
      </c>
      <c r="R1096" t="s">
        <v>4362</v>
      </c>
      <c r="S1096" t="s">
        <v>1870</v>
      </c>
      <c r="T1096" t="s">
        <v>4363</v>
      </c>
      <c r="U1096" t="s">
        <v>60</v>
      </c>
      <c r="V1096" t="s">
        <v>61</v>
      </c>
      <c r="W1096">
        <v>3</v>
      </c>
      <c r="X1096">
        <v>8.3125000000000004E-2</v>
      </c>
      <c r="Y1096" t="s">
        <v>471</v>
      </c>
      <c r="Z1096" t="s">
        <v>472</v>
      </c>
      <c r="AA1096">
        <v>3</v>
      </c>
      <c r="AB1096" t="s">
        <v>4109</v>
      </c>
      <c r="AC1096" t="s">
        <v>4110</v>
      </c>
      <c r="AD1096" t="s">
        <v>4111</v>
      </c>
      <c r="AE1096" t="s">
        <v>4112</v>
      </c>
      <c r="AF1096" t="s">
        <v>4113</v>
      </c>
      <c r="AG1096" t="s">
        <v>806</v>
      </c>
      <c r="AH1096" t="s">
        <v>889</v>
      </c>
      <c r="AI1096" t="s">
        <v>889</v>
      </c>
      <c r="AJ1096" t="s">
        <v>66</v>
      </c>
      <c r="AK1096">
        <v>1</v>
      </c>
      <c r="AL1096" t="s">
        <v>4190</v>
      </c>
      <c r="AM1096" t="s">
        <v>4191</v>
      </c>
      <c r="AN1096" t="s">
        <v>4352</v>
      </c>
      <c r="AO1096" t="s">
        <v>66</v>
      </c>
      <c r="AP1096">
        <v>1</v>
      </c>
      <c r="AQ1096" t="s">
        <v>4353</v>
      </c>
      <c r="AR1096" t="s">
        <v>4354</v>
      </c>
      <c r="AS1096" t="s">
        <v>4355</v>
      </c>
      <c r="AT1096" t="s">
        <v>66</v>
      </c>
    </row>
    <row r="1097" spans="1:46" x14ac:dyDescent="0.15">
      <c r="A1097" t="s">
        <v>4364</v>
      </c>
      <c r="B1097" t="s">
        <v>4103</v>
      </c>
      <c r="C1097" t="s">
        <v>4104</v>
      </c>
      <c r="D1097">
        <v>63</v>
      </c>
      <c r="E1097" t="s">
        <v>4105</v>
      </c>
      <c r="F1097" t="s">
        <v>718</v>
      </c>
      <c r="G1097" t="s">
        <v>51</v>
      </c>
      <c r="H1097" t="s">
        <v>4106</v>
      </c>
      <c r="I1097" t="s">
        <v>1553</v>
      </c>
      <c r="J1097" t="s">
        <v>721</v>
      </c>
      <c r="K1097" t="s">
        <v>3594</v>
      </c>
      <c r="L1097" t="s">
        <v>16</v>
      </c>
      <c r="M1097" t="s">
        <v>19</v>
      </c>
      <c r="N1097">
        <v>3980</v>
      </c>
      <c r="O1097">
        <v>216</v>
      </c>
      <c r="P1097">
        <v>0</v>
      </c>
      <c r="Q1097" t="s">
        <v>4365</v>
      </c>
      <c r="R1097" t="s">
        <v>4366</v>
      </c>
      <c r="S1097" t="s">
        <v>1875</v>
      </c>
      <c r="T1097" t="s">
        <v>4367</v>
      </c>
      <c r="U1097" t="s">
        <v>60</v>
      </c>
      <c r="V1097" t="s">
        <v>61</v>
      </c>
      <c r="W1097">
        <v>3</v>
      </c>
      <c r="X1097">
        <v>8.3125000000000004E-2</v>
      </c>
      <c r="Y1097" t="s">
        <v>269</v>
      </c>
      <c r="Z1097" t="s">
        <v>478</v>
      </c>
      <c r="AA1097">
        <v>3</v>
      </c>
      <c r="AB1097" t="s">
        <v>4109</v>
      </c>
      <c r="AC1097" t="s">
        <v>4110</v>
      </c>
      <c r="AD1097" t="s">
        <v>4111</v>
      </c>
      <c r="AE1097" t="s">
        <v>4112</v>
      </c>
      <c r="AF1097" t="s">
        <v>4113</v>
      </c>
      <c r="AG1097" t="s">
        <v>806</v>
      </c>
      <c r="AH1097" t="s">
        <v>889</v>
      </c>
      <c r="AI1097" t="s">
        <v>889</v>
      </c>
      <c r="AJ1097" t="s">
        <v>66</v>
      </c>
      <c r="AK1097">
        <v>1</v>
      </c>
      <c r="AL1097" t="s">
        <v>4190</v>
      </c>
      <c r="AM1097" t="s">
        <v>4191</v>
      </c>
      <c r="AN1097" t="s">
        <v>4352</v>
      </c>
      <c r="AO1097" t="s">
        <v>66</v>
      </c>
      <c r="AP1097">
        <v>1</v>
      </c>
      <c r="AQ1097" t="s">
        <v>4353</v>
      </c>
      <c r="AR1097" t="s">
        <v>4354</v>
      </c>
      <c r="AS1097" t="s">
        <v>4355</v>
      </c>
      <c r="AT1097" t="s">
        <v>66</v>
      </c>
    </row>
    <row r="1098" spans="1:46" x14ac:dyDescent="0.15">
      <c r="A1098" t="s">
        <v>4368</v>
      </c>
      <c r="B1098" t="s">
        <v>4103</v>
      </c>
      <c r="C1098" t="s">
        <v>4104</v>
      </c>
      <c r="D1098">
        <v>64</v>
      </c>
      <c r="E1098" t="s">
        <v>4105</v>
      </c>
      <c r="F1098" t="s">
        <v>718</v>
      </c>
      <c r="G1098" t="s">
        <v>51</v>
      </c>
      <c r="H1098" t="s">
        <v>4106</v>
      </c>
      <c r="I1098" t="s">
        <v>1553</v>
      </c>
      <c r="J1098" t="s">
        <v>721</v>
      </c>
      <c r="K1098" t="s">
        <v>3594</v>
      </c>
      <c r="L1098" t="s">
        <v>16</v>
      </c>
      <c r="M1098" t="s">
        <v>19</v>
      </c>
      <c r="N1098">
        <v>4036</v>
      </c>
      <c r="O1098">
        <v>219</v>
      </c>
      <c r="P1098">
        <v>0</v>
      </c>
      <c r="Q1098" t="s">
        <v>4369</v>
      </c>
      <c r="R1098" t="s">
        <v>4370</v>
      </c>
      <c r="S1098" t="s">
        <v>1880</v>
      </c>
      <c r="T1098" t="s">
        <v>4371</v>
      </c>
      <c r="U1098" t="s">
        <v>60</v>
      </c>
      <c r="V1098" t="s">
        <v>61</v>
      </c>
      <c r="W1098">
        <v>3</v>
      </c>
      <c r="X1098">
        <v>8.3125000000000004E-2</v>
      </c>
      <c r="Y1098" t="s">
        <v>484</v>
      </c>
      <c r="Z1098" t="s">
        <v>485</v>
      </c>
      <c r="AA1098">
        <v>3</v>
      </c>
      <c r="AB1098" t="s">
        <v>4109</v>
      </c>
      <c r="AC1098" t="s">
        <v>4110</v>
      </c>
      <c r="AD1098" t="s">
        <v>4111</v>
      </c>
      <c r="AE1098" t="s">
        <v>4112</v>
      </c>
      <c r="AF1098" t="s">
        <v>4113</v>
      </c>
      <c r="AG1098" t="s">
        <v>806</v>
      </c>
      <c r="AH1098" t="s">
        <v>889</v>
      </c>
      <c r="AI1098" t="s">
        <v>889</v>
      </c>
      <c r="AJ1098" t="s">
        <v>66</v>
      </c>
      <c r="AK1098">
        <v>1</v>
      </c>
      <c r="AL1098" t="s">
        <v>4190</v>
      </c>
      <c r="AM1098" t="s">
        <v>4191</v>
      </c>
      <c r="AN1098" t="s">
        <v>4352</v>
      </c>
      <c r="AO1098" t="s">
        <v>66</v>
      </c>
      <c r="AP1098">
        <v>1</v>
      </c>
      <c r="AQ1098" t="s">
        <v>4353</v>
      </c>
      <c r="AR1098" t="s">
        <v>4354</v>
      </c>
      <c r="AS1098" t="s">
        <v>4355</v>
      </c>
      <c r="AT1098" t="s">
        <v>66</v>
      </c>
    </row>
    <row r="1099" spans="1:46" x14ac:dyDescent="0.15">
      <c r="A1099" t="s">
        <v>4372</v>
      </c>
      <c r="B1099" t="s">
        <v>4103</v>
      </c>
      <c r="C1099" t="s">
        <v>4104</v>
      </c>
      <c r="D1099">
        <v>65</v>
      </c>
      <c r="E1099" t="s">
        <v>4105</v>
      </c>
      <c r="F1099" t="s">
        <v>718</v>
      </c>
      <c r="G1099" t="s">
        <v>51</v>
      </c>
      <c r="H1099" t="s">
        <v>4106</v>
      </c>
      <c r="I1099" t="s">
        <v>1553</v>
      </c>
      <c r="J1099" t="s">
        <v>721</v>
      </c>
      <c r="K1099" t="s">
        <v>3594</v>
      </c>
      <c r="L1099" t="s">
        <v>16</v>
      </c>
      <c r="M1099" t="s">
        <v>19</v>
      </c>
      <c r="N1099">
        <v>4092</v>
      </c>
      <c r="O1099">
        <v>222</v>
      </c>
      <c r="P1099">
        <v>0</v>
      </c>
      <c r="Q1099" t="s">
        <v>4373</v>
      </c>
      <c r="R1099" t="s">
        <v>4374</v>
      </c>
      <c r="S1099" t="s">
        <v>1885</v>
      </c>
      <c r="T1099" t="s">
        <v>4375</v>
      </c>
      <c r="U1099" t="s">
        <v>60</v>
      </c>
      <c r="V1099" t="s">
        <v>61</v>
      </c>
      <c r="W1099">
        <v>3</v>
      </c>
      <c r="X1099">
        <v>8.3125000000000004E-2</v>
      </c>
      <c r="Y1099" t="s">
        <v>275</v>
      </c>
      <c r="Z1099" t="s">
        <v>491</v>
      </c>
      <c r="AA1099">
        <v>3</v>
      </c>
      <c r="AB1099" t="s">
        <v>4109</v>
      </c>
      <c r="AC1099" t="s">
        <v>4110</v>
      </c>
      <c r="AD1099" t="s">
        <v>4111</v>
      </c>
      <c r="AE1099" t="s">
        <v>4112</v>
      </c>
      <c r="AF1099" t="s">
        <v>4113</v>
      </c>
      <c r="AG1099" t="s">
        <v>806</v>
      </c>
      <c r="AH1099" t="s">
        <v>889</v>
      </c>
      <c r="AI1099" t="s">
        <v>889</v>
      </c>
      <c r="AJ1099" t="s">
        <v>66</v>
      </c>
      <c r="AK1099">
        <v>1</v>
      </c>
      <c r="AL1099" t="s">
        <v>4190</v>
      </c>
      <c r="AM1099" t="s">
        <v>4191</v>
      </c>
      <c r="AN1099" t="s">
        <v>4352</v>
      </c>
      <c r="AO1099" t="s">
        <v>66</v>
      </c>
      <c r="AP1099">
        <v>1</v>
      </c>
      <c r="AQ1099" t="s">
        <v>4353</v>
      </c>
      <c r="AR1099" t="s">
        <v>4354</v>
      </c>
      <c r="AS1099" t="s">
        <v>4355</v>
      </c>
      <c r="AT1099" t="s">
        <v>66</v>
      </c>
    </row>
    <row r="1100" spans="1:46" x14ac:dyDescent="0.15">
      <c r="A1100" t="s">
        <v>4376</v>
      </c>
      <c r="B1100" t="s">
        <v>4103</v>
      </c>
      <c r="C1100" t="s">
        <v>4104</v>
      </c>
      <c r="D1100">
        <v>66</v>
      </c>
      <c r="E1100" t="s">
        <v>4105</v>
      </c>
      <c r="F1100" t="s">
        <v>718</v>
      </c>
      <c r="G1100" t="s">
        <v>51</v>
      </c>
      <c r="H1100" t="s">
        <v>4106</v>
      </c>
      <c r="I1100" t="s">
        <v>1553</v>
      </c>
      <c r="J1100" t="s">
        <v>721</v>
      </c>
      <c r="K1100" t="s">
        <v>3594</v>
      </c>
      <c r="L1100" t="s">
        <v>16</v>
      </c>
      <c r="M1100" t="s">
        <v>19</v>
      </c>
      <c r="N1100">
        <v>4148</v>
      </c>
      <c r="O1100">
        <v>225</v>
      </c>
      <c r="P1100">
        <v>0</v>
      </c>
      <c r="Q1100" t="s">
        <v>4377</v>
      </c>
      <c r="R1100" t="s">
        <v>4378</v>
      </c>
      <c r="S1100" t="s">
        <v>1890</v>
      </c>
      <c r="T1100" t="s">
        <v>4379</v>
      </c>
      <c r="U1100" t="s">
        <v>60</v>
      </c>
      <c r="V1100" t="s">
        <v>61</v>
      </c>
      <c r="W1100">
        <v>3</v>
      </c>
      <c r="X1100">
        <v>8.3125000000000004E-2</v>
      </c>
      <c r="Y1100" t="s">
        <v>497</v>
      </c>
      <c r="Z1100" t="s">
        <v>498</v>
      </c>
      <c r="AA1100">
        <v>3</v>
      </c>
      <c r="AB1100" t="s">
        <v>4109</v>
      </c>
      <c r="AC1100" t="s">
        <v>4110</v>
      </c>
      <c r="AD1100" t="s">
        <v>4111</v>
      </c>
      <c r="AE1100" t="s">
        <v>4112</v>
      </c>
      <c r="AF1100" t="s">
        <v>4113</v>
      </c>
      <c r="AG1100" t="s">
        <v>806</v>
      </c>
      <c r="AH1100" t="s">
        <v>889</v>
      </c>
      <c r="AI1100" t="s">
        <v>889</v>
      </c>
      <c r="AJ1100" t="s">
        <v>66</v>
      </c>
      <c r="AK1100">
        <v>1</v>
      </c>
      <c r="AL1100" t="s">
        <v>4190</v>
      </c>
      <c r="AM1100" t="s">
        <v>4191</v>
      </c>
      <c r="AN1100" t="s">
        <v>4352</v>
      </c>
      <c r="AO1100" t="s">
        <v>66</v>
      </c>
      <c r="AP1100">
        <v>1</v>
      </c>
      <c r="AQ1100" t="s">
        <v>4353</v>
      </c>
      <c r="AR1100" t="s">
        <v>4354</v>
      </c>
      <c r="AS1100" t="s">
        <v>4355</v>
      </c>
      <c r="AT1100" t="s">
        <v>66</v>
      </c>
    </row>
    <row r="1101" spans="1:46" x14ac:dyDescent="0.15">
      <c r="A1101" t="s">
        <v>4380</v>
      </c>
      <c r="B1101" t="s">
        <v>4103</v>
      </c>
      <c r="C1101" t="s">
        <v>4104</v>
      </c>
      <c r="D1101">
        <v>67</v>
      </c>
      <c r="E1101" t="s">
        <v>4105</v>
      </c>
      <c r="F1101" t="s">
        <v>718</v>
      </c>
      <c r="G1101" t="s">
        <v>51</v>
      </c>
      <c r="H1101" t="s">
        <v>4106</v>
      </c>
      <c r="I1101" t="s">
        <v>1553</v>
      </c>
      <c r="J1101" t="s">
        <v>721</v>
      </c>
      <c r="K1101" t="s">
        <v>3594</v>
      </c>
      <c r="L1101" t="s">
        <v>16</v>
      </c>
      <c r="M1101" t="s">
        <v>19</v>
      </c>
      <c r="N1101">
        <v>4204</v>
      </c>
      <c r="O1101">
        <v>228</v>
      </c>
      <c r="P1101">
        <v>0</v>
      </c>
      <c r="Q1101" t="s">
        <v>4381</v>
      </c>
      <c r="R1101" t="s">
        <v>4382</v>
      </c>
      <c r="S1101" t="s">
        <v>1895</v>
      </c>
      <c r="T1101" t="s">
        <v>4383</v>
      </c>
      <c r="U1101" t="s">
        <v>60</v>
      </c>
      <c r="V1101" t="s">
        <v>61</v>
      </c>
      <c r="W1101">
        <v>3</v>
      </c>
      <c r="X1101">
        <v>8.3125000000000004E-2</v>
      </c>
      <c r="Y1101" t="s">
        <v>282</v>
      </c>
      <c r="Z1101" t="s">
        <v>504</v>
      </c>
      <c r="AA1101">
        <v>3</v>
      </c>
      <c r="AB1101" t="s">
        <v>4109</v>
      </c>
      <c r="AC1101" t="s">
        <v>4110</v>
      </c>
      <c r="AD1101" t="s">
        <v>4111</v>
      </c>
      <c r="AE1101" t="s">
        <v>4112</v>
      </c>
      <c r="AF1101" t="s">
        <v>4113</v>
      </c>
      <c r="AG1101" t="s">
        <v>806</v>
      </c>
      <c r="AH1101" t="s">
        <v>889</v>
      </c>
      <c r="AI1101" t="s">
        <v>889</v>
      </c>
      <c r="AJ1101" t="s">
        <v>66</v>
      </c>
      <c r="AK1101">
        <v>1</v>
      </c>
      <c r="AL1101" t="s">
        <v>4190</v>
      </c>
      <c r="AM1101" t="s">
        <v>4191</v>
      </c>
      <c r="AN1101" t="s">
        <v>4352</v>
      </c>
      <c r="AO1101" t="s">
        <v>66</v>
      </c>
      <c r="AP1101">
        <v>1</v>
      </c>
      <c r="AQ1101" t="s">
        <v>4353</v>
      </c>
      <c r="AR1101" t="s">
        <v>4354</v>
      </c>
      <c r="AS1101" t="s">
        <v>4355</v>
      </c>
      <c r="AT1101" t="s">
        <v>66</v>
      </c>
    </row>
    <row r="1102" spans="1:46" x14ac:dyDescent="0.15">
      <c r="A1102" t="s">
        <v>4384</v>
      </c>
      <c r="B1102" t="s">
        <v>4103</v>
      </c>
      <c r="C1102" t="s">
        <v>4104</v>
      </c>
      <c r="D1102">
        <v>68</v>
      </c>
      <c r="E1102" t="s">
        <v>4105</v>
      </c>
      <c r="F1102" t="s">
        <v>718</v>
      </c>
      <c r="G1102" t="s">
        <v>51</v>
      </c>
      <c r="H1102" t="s">
        <v>4106</v>
      </c>
      <c r="I1102" t="s">
        <v>1553</v>
      </c>
      <c r="J1102" t="s">
        <v>721</v>
      </c>
      <c r="K1102" t="s">
        <v>3594</v>
      </c>
      <c r="L1102" t="s">
        <v>16</v>
      </c>
      <c r="M1102" t="s">
        <v>19</v>
      </c>
      <c r="N1102">
        <v>4260</v>
      </c>
      <c r="O1102">
        <v>231</v>
      </c>
      <c r="P1102">
        <v>0</v>
      </c>
      <c r="Q1102" t="s">
        <v>4385</v>
      </c>
      <c r="R1102" t="s">
        <v>4386</v>
      </c>
      <c r="S1102" t="s">
        <v>1899</v>
      </c>
      <c r="T1102" t="s">
        <v>4387</v>
      </c>
      <c r="U1102" t="s">
        <v>60</v>
      </c>
      <c r="V1102" t="s">
        <v>61</v>
      </c>
      <c r="W1102">
        <v>3</v>
      </c>
      <c r="X1102">
        <v>8.3125000000000004E-2</v>
      </c>
      <c r="Y1102" t="s">
        <v>510</v>
      </c>
      <c r="Z1102" t="s">
        <v>511</v>
      </c>
      <c r="AA1102">
        <v>3</v>
      </c>
      <c r="AB1102" t="s">
        <v>4109</v>
      </c>
      <c r="AC1102" t="s">
        <v>4110</v>
      </c>
      <c r="AD1102" t="s">
        <v>4111</v>
      </c>
      <c r="AE1102" t="s">
        <v>4112</v>
      </c>
      <c r="AF1102" t="s">
        <v>4113</v>
      </c>
      <c r="AG1102" t="s">
        <v>806</v>
      </c>
      <c r="AH1102" t="s">
        <v>889</v>
      </c>
      <c r="AI1102" t="s">
        <v>889</v>
      </c>
      <c r="AJ1102" t="s">
        <v>66</v>
      </c>
      <c r="AK1102">
        <v>1</v>
      </c>
      <c r="AL1102" t="s">
        <v>4190</v>
      </c>
      <c r="AM1102" t="s">
        <v>4191</v>
      </c>
      <c r="AN1102" t="s">
        <v>4352</v>
      </c>
      <c r="AO1102" t="s">
        <v>66</v>
      </c>
      <c r="AP1102">
        <v>1</v>
      </c>
      <c r="AQ1102" t="s">
        <v>4353</v>
      </c>
      <c r="AR1102" t="s">
        <v>4354</v>
      </c>
      <c r="AS1102" t="s">
        <v>4355</v>
      </c>
      <c r="AT1102" t="s">
        <v>66</v>
      </c>
    </row>
    <row r="1103" spans="1:46" x14ac:dyDescent="0.15">
      <c r="A1103" t="s">
        <v>4388</v>
      </c>
      <c r="B1103" t="s">
        <v>4103</v>
      </c>
      <c r="C1103" t="s">
        <v>4104</v>
      </c>
      <c r="D1103">
        <v>69</v>
      </c>
      <c r="E1103" t="s">
        <v>4105</v>
      </c>
      <c r="F1103" t="s">
        <v>718</v>
      </c>
      <c r="G1103" t="s">
        <v>51</v>
      </c>
      <c r="H1103" t="s">
        <v>4106</v>
      </c>
      <c r="I1103" t="s">
        <v>1553</v>
      </c>
      <c r="J1103" t="s">
        <v>721</v>
      </c>
      <c r="K1103" t="s">
        <v>3594</v>
      </c>
      <c r="L1103" t="s">
        <v>16</v>
      </c>
      <c r="M1103" t="s">
        <v>19</v>
      </c>
      <c r="N1103">
        <v>4316</v>
      </c>
      <c r="O1103">
        <v>234</v>
      </c>
      <c r="P1103">
        <v>0</v>
      </c>
      <c r="Q1103" t="s">
        <v>4389</v>
      </c>
      <c r="R1103" t="s">
        <v>4390</v>
      </c>
      <c r="S1103" t="s">
        <v>1904</v>
      </c>
      <c r="T1103" t="s">
        <v>4391</v>
      </c>
      <c r="U1103" t="s">
        <v>60</v>
      </c>
      <c r="V1103" t="s">
        <v>61</v>
      </c>
      <c r="W1103">
        <v>3</v>
      </c>
      <c r="X1103">
        <v>8.3125000000000004E-2</v>
      </c>
      <c r="Y1103" t="s">
        <v>288</v>
      </c>
      <c r="Z1103" t="s">
        <v>517</v>
      </c>
      <c r="AA1103">
        <v>3</v>
      </c>
      <c r="AB1103" t="s">
        <v>4109</v>
      </c>
      <c r="AC1103" t="s">
        <v>4110</v>
      </c>
      <c r="AD1103" t="s">
        <v>4111</v>
      </c>
      <c r="AE1103" t="s">
        <v>4112</v>
      </c>
      <c r="AF1103" t="s">
        <v>4113</v>
      </c>
      <c r="AG1103" t="s">
        <v>806</v>
      </c>
      <c r="AH1103" t="s">
        <v>889</v>
      </c>
      <c r="AI1103" t="s">
        <v>889</v>
      </c>
      <c r="AJ1103" t="s">
        <v>66</v>
      </c>
      <c r="AK1103">
        <v>1</v>
      </c>
      <c r="AL1103" t="s">
        <v>4190</v>
      </c>
      <c r="AM1103" t="s">
        <v>4191</v>
      </c>
      <c r="AN1103" t="s">
        <v>4352</v>
      </c>
      <c r="AO1103" t="s">
        <v>66</v>
      </c>
      <c r="AP1103">
        <v>1</v>
      </c>
      <c r="AQ1103" t="s">
        <v>4353</v>
      </c>
      <c r="AR1103" t="s">
        <v>4354</v>
      </c>
      <c r="AS1103" t="s">
        <v>4355</v>
      </c>
      <c r="AT1103" t="s">
        <v>66</v>
      </c>
    </row>
    <row r="1104" spans="1:46" x14ac:dyDescent="0.15">
      <c r="A1104" t="s">
        <v>4392</v>
      </c>
      <c r="B1104" t="s">
        <v>4103</v>
      </c>
      <c r="C1104" t="s">
        <v>4104</v>
      </c>
      <c r="D1104">
        <v>70</v>
      </c>
      <c r="E1104" t="s">
        <v>4105</v>
      </c>
      <c r="F1104" t="s">
        <v>718</v>
      </c>
      <c r="G1104" t="s">
        <v>51</v>
      </c>
      <c r="H1104" t="s">
        <v>4106</v>
      </c>
      <c r="I1104" t="s">
        <v>1553</v>
      </c>
      <c r="J1104" t="s">
        <v>721</v>
      </c>
      <c r="K1104" t="s">
        <v>3594</v>
      </c>
      <c r="L1104" t="s">
        <v>16</v>
      </c>
      <c r="M1104" t="s">
        <v>19</v>
      </c>
      <c r="N1104">
        <v>4372</v>
      </c>
      <c r="O1104">
        <v>237</v>
      </c>
      <c r="P1104">
        <v>0</v>
      </c>
      <c r="Q1104" t="s">
        <v>4393</v>
      </c>
      <c r="R1104" t="s">
        <v>4394</v>
      </c>
      <c r="S1104" t="s">
        <v>1909</v>
      </c>
      <c r="T1104" t="s">
        <v>4395</v>
      </c>
      <c r="U1104" t="s">
        <v>60</v>
      </c>
      <c r="V1104" t="s">
        <v>61</v>
      </c>
      <c r="W1104">
        <v>3</v>
      </c>
      <c r="X1104">
        <v>8.3125000000000004E-2</v>
      </c>
      <c r="Y1104" t="s">
        <v>523</v>
      </c>
      <c r="Z1104" t="s">
        <v>524</v>
      </c>
      <c r="AA1104">
        <v>3</v>
      </c>
      <c r="AB1104" t="s">
        <v>4109</v>
      </c>
      <c r="AC1104" t="s">
        <v>4110</v>
      </c>
      <c r="AD1104" t="s">
        <v>4111</v>
      </c>
      <c r="AE1104" t="s">
        <v>4112</v>
      </c>
      <c r="AF1104" t="s">
        <v>4113</v>
      </c>
      <c r="AG1104" t="s">
        <v>806</v>
      </c>
      <c r="AH1104" t="s">
        <v>889</v>
      </c>
      <c r="AI1104" t="s">
        <v>889</v>
      </c>
      <c r="AJ1104" t="s">
        <v>66</v>
      </c>
      <c r="AK1104">
        <v>1</v>
      </c>
      <c r="AL1104" t="s">
        <v>4190</v>
      </c>
      <c r="AM1104" t="s">
        <v>4191</v>
      </c>
      <c r="AN1104" t="s">
        <v>4352</v>
      </c>
      <c r="AO1104" t="s">
        <v>66</v>
      </c>
      <c r="AP1104">
        <v>1</v>
      </c>
      <c r="AQ1104" t="s">
        <v>4353</v>
      </c>
      <c r="AR1104" t="s">
        <v>4354</v>
      </c>
      <c r="AS1104" t="s">
        <v>4355</v>
      </c>
      <c r="AT1104" t="s">
        <v>66</v>
      </c>
    </row>
    <row r="1105" spans="1:46" x14ac:dyDescent="0.15">
      <c r="A1105" t="s">
        <v>4396</v>
      </c>
      <c r="B1105" t="s">
        <v>4103</v>
      </c>
      <c r="C1105" t="s">
        <v>4104</v>
      </c>
      <c r="D1105">
        <v>71</v>
      </c>
      <c r="E1105" t="s">
        <v>4105</v>
      </c>
      <c r="F1105" t="s">
        <v>718</v>
      </c>
      <c r="G1105" t="s">
        <v>51</v>
      </c>
      <c r="H1105" t="s">
        <v>4106</v>
      </c>
      <c r="I1105" t="s">
        <v>1553</v>
      </c>
      <c r="J1105" t="s">
        <v>721</v>
      </c>
      <c r="K1105" t="s">
        <v>3594</v>
      </c>
      <c r="L1105" t="s">
        <v>16</v>
      </c>
      <c r="M1105" t="s">
        <v>19</v>
      </c>
      <c r="N1105">
        <v>4429</v>
      </c>
      <c r="O1105">
        <v>240</v>
      </c>
      <c r="P1105">
        <v>0</v>
      </c>
      <c r="Q1105" t="s">
        <v>4397</v>
      </c>
      <c r="R1105" t="s">
        <v>4398</v>
      </c>
      <c r="S1105" t="s">
        <v>1914</v>
      </c>
      <c r="T1105" t="s">
        <v>4399</v>
      </c>
      <c r="U1105" t="s">
        <v>60</v>
      </c>
      <c r="V1105" t="s">
        <v>61</v>
      </c>
      <c r="W1105">
        <v>3</v>
      </c>
      <c r="X1105">
        <v>8.3125000000000004E-2</v>
      </c>
      <c r="Y1105" t="s">
        <v>295</v>
      </c>
      <c r="Z1105" t="s">
        <v>530</v>
      </c>
      <c r="AA1105">
        <v>3</v>
      </c>
      <c r="AB1105" t="s">
        <v>4109</v>
      </c>
      <c r="AC1105" t="s">
        <v>4110</v>
      </c>
      <c r="AD1105" t="s">
        <v>4111</v>
      </c>
      <c r="AE1105" t="s">
        <v>4112</v>
      </c>
      <c r="AF1105" t="s">
        <v>4113</v>
      </c>
      <c r="AG1105" t="s">
        <v>806</v>
      </c>
      <c r="AH1105" t="s">
        <v>889</v>
      </c>
      <c r="AI1105" t="s">
        <v>889</v>
      </c>
      <c r="AJ1105" t="s">
        <v>66</v>
      </c>
      <c r="AK1105">
        <v>1</v>
      </c>
      <c r="AL1105" t="s">
        <v>4190</v>
      </c>
      <c r="AM1105" t="s">
        <v>4191</v>
      </c>
      <c r="AN1105" t="s">
        <v>4352</v>
      </c>
      <c r="AO1105" t="s">
        <v>66</v>
      </c>
      <c r="AP1105">
        <v>1</v>
      </c>
      <c r="AQ1105" t="s">
        <v>4353</v>
      </c>
      <c r="AR1105" t="s">
        <v>4354</v>
      </c>
      <c r="AS1105" t="s">
        <v>4355</v>
      </c>
      <c r="AT1105" t="s">
        <v>66</v>
      </c>
    </row>
    <row r="1106" spans="1:46" x14ac:dyDescent="0.15">
      <c r="A1106" t="s">
        <v>4400</v>
      </c>
      <c r="B1106" t="s">
        <v>4103</v>
      </c>
      <c r="C1106" t="s">
        <v>4104</v>
      </c>
      <c r="D1106">
        <v>72</v>
      </c>
      <c r="E1106" t="s">
        <v>4105</v>
      </c>
      <c r="F1106" t="s">
        <v>718</v>
      </c>
      <c r="G1106" t="s">
        <v>51</v>
      </c>
      <c r="H1106" t="s">
        <v>4106</v>
      </c>
      <c r="I1106" t="s">
        <v>1553</v>
      </c>
      <c r="J1106" t="s">
        <v>721</v>
      </c>
      <c r="K1106" t="s">
        <v>3594</v>
      </c>
      <c r="L1106" t="s">
        <v>16</v>
      </c>
      <c r="M1106" t="s">
        <v>19</v>
      </c>
      <c r="N1106">
        <v>4485</v>
      </c>
      <c r="O1106">
        <v>243</v>
      </c>
      <c r="P1106">
        <v>0</v>
      </c>
      <c r="Q1106" t="s">
        <v>4401</v>
      </c>
      <c r="R1106" t="s">
        <v>4402</v>
      </c>
      <c r="S1106" t="s">
        <v>1919</v>
      </c>
      <c r="T1106" t="s">
        <v>4403</v>
      </c>
      <c r="U1106" t="s">
        <v>60</v>
      </c>
      <c r="V1106" t="s">
        <v>61</v>
      </c>
      <c r="W1106">
        <v>3</v>
      </c>
      <c r="X1106">
        <v>8.3125000000000004E-2</v>
      </c>
      <c r="Y1106" t="s">
        <v>536</v>
      </c>
      <c r="Z1106" t="s">
        <v>537</v>
      </c>
      <c r="AA1106">
        <v>3</v>
      </c>
      <c r="AB1106" t="s">
        <v>4109</v>
      </c>
      <c r="AC1106" t="s">
        <v>4110</v>
      </c>
      <c r="AD1106" t="s">
        <v>4111</v>
      </c>
      <c r="AE1106" t="s">
        <v>4112</v>
      </c>
      <c r="AF1106" t="s">
        <v>4113</v>
      </c>
      <c r="AG1106" t="s">
        <v>806</v>
      </c>
      <c r="AH1106" t="s">
        <v>889</v>
      </c>
      <c r="AI1106" t="s">
        <v>889</v>
      </c>
      <c r="AJ1106" t="s">
        <v>66</v>
      </c>
      <c r="AK1106">
        <v>1</v>
      </c>
      <c r="AL1106" t="s">
        <v>4190</v>
      </c>
      <c r="AM1106" t="s">
        <v>4191</v>
      </c>
      <c r="AN1106" t="s">
        <v>4352</v>
      </c>
      <c r="AO1106" t="s">
        <v>66</v>
      </c>
      <c r="AP1106">
        <v>1</v>
      </c>
      <c r="AQ1106" t="s">
        <v>4353</v>
      </c>
      <c r="AR1106" t="s">
        <v>4354</v>
      </c>
      <c r="AS1106" t="s">
        <v>4355</v>
      </c>
      <c r="AT1106" t="s">
        <v>66</v>
      </c>
    </row>
    <row r="1107" spans="1:46" x14ac:dyDescent="0.15">
      <c r="A1107" t="s">
        <v>4404</v>
      </c>
      <c r="B1107" t="s">
        <v>4103</v>
      </c>
      <c r="C1107" t="s">
        <v>4104</v>
      </c>
      <c r="D1107">
        <v>73</v>
      </c>
      <c r="E1107" t="s">
        <v>4105</v>
      </c>
      <c r="F1107" t="s">
        <v>718</v>
      </c>
      <c r="G1107" t="s">
        <v>51</v>
      </c>
      <c r="H1107" t="s">
        <v>4106</v>
      </c>
      <c r="I1107" t="s">
        <v>1553</v>
      </c>
      <c r="J1107" t="s">
        <v>721</v>
      </c>
      <c r="K1107" t="s">
        <v>3594</v>
      </c>
      <c r="L1107" t="s">
        <v>16</v>
      </c>
      <c r="M1107" t="s">
        <v>19</v>
      </c>
      <c r="N1107">
        <v>4541</v>
      </c>
      <c r="O1107">
        <v>246</v>
      </c>
      <c r="P1107">
        <v>0</v>
      </c>
      <c r="Q1107" t="s">
        <v>4405</v>
      </c>
      <c r="R1107" t="s">
        <v>4406</v>
      </c>
      <c r="S1107" t="s">
        <v>1924</v>
      </c>
      <c r="T1107" t="s">
        <v>4407</v>
      </c>
      <c r="U1107" t="s">
        <v>60</v>
      </c>
      <c r="V1107" t="s">
        <v>61</v>
      </c>
      <c r="W1107">
        <v>3</v>
      </c>
      <c r="X1107">
        <v>8.3125000000000004E-2</v>
      </c>
      <c r="Y1107" t="s">
        <v>301</v>
      </c>
      <c r="Z1107" t="s">
        <v>543</v>
      </c>
      <c r="AA1107">
        <v>3</v>
      </c>
      <c r="AB1107" t="s">
        <v>4109</v>
      </c>
      <c r="AC1107" t="s">
        <v>4110</v>
      </c>
      <c r="AD1107" t="s">
        <v>4111</v>
      </c>
      <c r="AE1107" t="s">
        <v>4112</v>
      </c>
      <c r="AF1107" t="s">
        <v>4113</v>
      </c>
      <c r="AG1107" t="s">
        <v>806</v>
      </c>
      <c r="AH1107" t="s">
        <v>889</v>
      </c>
      <c r="AI1107" t="s">
        <v>889</v>
      </c>
      <c r="AJ1107" t="s">
        <v>66</v>
      </c>
      <c r="AK1107">
        <v>1</v>
      </c>
      <c r="AL1107" t="s">
        <v>4190</v>
      </c>
      <c r="AM1107" t="s">
        <v>4191</v>
      </c>
      <c r="AN1107" t="s">
        <v>4352</v>
      </c>
      <c r="AO1107" t="s">
        <v>66</v>
      </c>
      <c r="AP1107">
        <v>1</v>
      </c>
      <c r="AQ1107" t="s">
        <v>4353</v>
      </c>
      <c r="AR1107" t="s">
        <v>4354</v>
      </c>
      <c r="AS1107" t="s">
        <v>4355</v>
      </c>
      <c r="AT1107" t="s">
        <v>66</v>
      </c>
    </row>
    <row r="1108" spans="1:46" x14ac:dyDescent="0.15">
      <c r="A1108" t="s">
        <v>4408</v>
      </c>
      <c r="B1108" t="s">
        <v>4103</v>
      </c>
      <c r="C1108" t="s">
        <v>4104</v>
      </c>
      <c r="D1108">
        <v>74</v>
      </c>
      <c r="E1108" t="s">
        <v>4105</v>
      </c>
      <c r="F1108" t="s">
        <v>718</v>
      </c>
      <c r="G1108" t="s">
        <v>51</v>
      </c>
      <c r="H1108" t="s">
        <v>4106</v>
      </c>
      <c r="I1108" t="s">
        <v>1553</v>
      </c>
      <c r="J1108" t="s">
        <v>721</v>
      </c>
      <c r="K1108" t="s">
        <v>3594</v>
      </c>
      <c r="L1108" t="s">
        <v>16</v>
      </c>
      <c r="M1108" t="s">
        <v>19</v>
      </c>
      <c r="N1108">
        <v>4597</v>
      </c>
      <c r="O1108">
        <v>249</v>
      </c>
      <c r="P1108">
        <v>0</v>
      </c>
      <c r="Q1108" t="s">
        <v>4409</v>
      </c>
      <c r="R1108" t="s">
        <v>4410</v>
      </c>
      <c r="S1108" t="s">
        <v>1929</v>
      </c>
      <c r="T1108" t="s">
        <v>4411</v>
      </c>
      <c r="U1108" t="s">
        <v>60</v>
      </c>
      <c r="V1108" t="s">
        <v>61</v>
      </c>
      <c r="W1108">
        <v>3</v>
      </c>
      <c r="X1108">
        <v>8.3125000000000004E-2</v>
      </c>
      <c r="Y1108" t="s">
        <v>549</v>
      </c>
      <c r="Z1108" t="s">
        <v>550</v>
      </c>
      <c r="AA1108">
        <v>3</v>
      </c>
      <c r="AB1108" t="s">
        <v>4109</v>
      </c>
      <c r="AC1108" t="s">
        <v>4110</v>
      </c>
      <c r="AD1108" t="s">
        <v>4111</v>
      </c>
      <c r="AE1108" t="s">
        <v>4112</v>
      </c>
      <c r="AF1108" t="s">
        <v>4113</v>
      </c>
      <c r="AG1108" t="s">
        <v>806</v>
      </c>
      <c r="AH1108" t="s">
        <v>889</v>
      </c>
      <c r="AI1108" t="s">
        <v>889</v>
      </c>
      <c r="AJ1108" t="s">
        <v>66</v>
      </c>
      <c r="AK1108">
        <v>1</v>
      </c>
      <c r="AL1108" t="s">
        <v>4190</v>
      </c>
      <c r="AM1108" t="s">
        <v>4191</v>
      </c>
      <c r="AN1108" t="s">
        <v>4352</v>
      </c>
      <c r="AO1108" t="s">
        <v>66</v>
      </c>
      <c r="AP1108">
        <v>1</v>
      </c>
      <c r="AQ1108" t="s">
        <v>4353</v>
      </c>
      <c r="AR1108" t="s">
        <v>4354</v>
      </c>
      <c r="AS1108" t="s">
        <v>4355</v>
      </c>
      <c r="AT1108" t="s">
        <v>66</v>
      </c>
    </row>
    <row r="1109" spans="1:46" x14ac:dyDescent="0.15">
      <c r="A1109" t="s">
        <v>4412</v>
      </c>
      <c r="B1109" t="s">
        <v>4103</v>
      </c>
      <c r="C1109" t="s">
        <v>4104</v>
      </c>
      <c r="D1109">
        <v>75</v>
      </c>
      <c r="E1109" t="s">
        <v>4105</v>
      </c>
      <c r="F1109" t="s">
        <v>718</v>
      </c>
      <c r="G1109" t="s">
        <v>51</v>
      </c>
      <c r="H1109" t="s">
        <v>4106</v>
      </c>
      <c r="I1109" t="s">
        <v>1553</v>
      </c>
      <c r="J1109" t="s">
        <v>721</v>
      </c>
      <c r="K1109" t="s">
        <v>3594</v>
      </c>
      <c r="L1109" t="s">
        <v>16</v>
      </c>
      <c r="M1109" t="s">
        <v>19</v>
      </c>
      <c r="N1109">
        <v>4653</v>
      </c>
      <c r="O1109">
        <v>252</v>
      </c>
      <c r="P1109">
        <v>0</v>
      </c>
      <c r="Q1109" t="s">
        <v>4413</v>
      </c>
      <c r="R1109" t="s">
        <v>4414</v>
      </c>
      <c r="S1109" t="s">
        <v>1934</v>
      </c>
      <c r="T1109" t="s">
        <v>4415</v>
      </c>
      <c r="U1109" t="s">
        <v>60</v>
      </c>
      <c r="V1109" t="s">
        <v>61</v>
      </c>
      <c r="W1109">
        <v>3</v>
      </c>
      <c r="X1109">
        <v>8.3125000000000004E-2</v>
      </c>
      <c r="Y1109" t="s">
        <v>308</v>
      </c>
      <c r="Z1109" t="s">
        <v>556</v>
      </c>
      <c r="AA1109">
        <v>3</v>
      </c>
      <c r="AB1109" t="s">
        <v>4109</v>
      </c>
      <c r="AC1109" t="s">
        <v>4110</v>
      </c>
      <c r="AD1109" t="s">
        <v>4111</v>
      </c>
      <c r="AE1109" t="s">
        <v>4112</v>
      </c>
      <c r="AF1109" t="s">
        <v>4113</v>
      </c>
      <c r="AG1109" t="s">
        <v>806</v>
      </c>
      <c r="AH1109" t="s">
        <v>889</v>
      </c>
      <c r="AI1109" t="s">
        <v>889</v>
      </c>
      <c r="AJ1109" t="s">
        <v>66</v>
      </c>
      <c r="AK1109">
        <v>1</v>
      </c>
      <c r="AL1109" t="s">
        <v>4190</v>
      </c>
      <c r="AM1109" t="s">
        <v>4191</v>
      </c>
      <c r="AN1109" t="s">
        <v>4352</v>
      </c>
      <c r="AO1109" t="s">
        <v>66</v>
      </c>
      <c r="AP1109">
        <v>1</v>
      </c>
      <c r="AQ1109" t="s">
        <v>4353</v>
      </c>
      <c r="AR1109" t="s">
        <v>4354</v>
      </c>
      <c r="AS1109" t="s">
        <v>4355</v>
      </c>
      <c r="AT1109" t="s">
        <v>66</v>
      </c>
    </row>
    <row r="1110" spans="1:46" x14ac:dyDescent="0.15">
      <c r="A1110" t="s">
        <v>4416</v>
      </c>
      <c r="B1110" t="s">
        <v>4103</v>
      </c>
      <c r="C1110" t="s">
        <v>4104</v>
      </c>
      <c r="D1110">
        <v>76</v>
      </c>
      <c r="E1110" t="s">
        <v>4105</v>
      </c>
      <c r="F1110" t="s">
        <v>718</v>
      </c>
      <c r="G1110" t="s">
        <v>51</v>
      </c>
      <c r="H1110" t="s">
        <v>4106</v>
      </c>
      <c r="I1110" t="s">
        <v>1553</v>
      </c>
      <c r="J1110" t="s">
        <v>721</v>
      </c>
      <c r="K1110" t="s">
        <v>3594</v>
      </c>
      <c r="L1110" t="s">
        <v>16</v>
      </c>
      <c r="M1110" t="s">
        <v>19</v>
      </c>
      <c r="N1110">
        <v>4709</v>
      </c>
      <c r="O1110">
        <v>255</v>
      </c>
      <c r="P1110">
        <v>0</v>
      </c>
      <c r="Q1110" t="s">
        <v>4417</v>
      </c>
      <c r="R1110" t="s">
        <v>4418</v>
      </c>
      <c r="S1110" t="s">
        <v>1939</v>
      </c>
      <c r="T1110" t="s">
        <v>4419</v>
      </c>
      <c r="U1110" t="s">
        <v>60</v>
      </c>
      <c r="V1110" t="s">
        <v>61</v>
      </c>
      <c r="W1110">
        <v>3</v>
      </c>
      <c r="X1110">
        <v>8.3125000000000004E-2</v>
      </c>
      <c r="Y1110" t="s">
        <v>562</v>
      </c>
      <c r="Z1110" t="s">
        <v>563</v>
      </c>
      <c r="AA1110">
        <v>3</v>
      </c>
      <c r="AB1110" t="s">
        <v>4109</v>
      </c>
      <c r="AC1110" t="s">
        <v>4110</v>
      </c>
      <c r="AD1110" t="s">
        <v>4111</v>
      </c>
      <c r="AE1110" t="s">
        <v>4112</v>
      </c>
      <c r="AF1110" t="s">
        <v>4113</v>
      </c>
      <c r="AG1110" t="s">
        <v>806</v>
      </c>
      <c r="AH1110" t="s">
        <v>889</v>
      </c>
      <c r="AI1110" t="s">
        <v>889</v>
      </c>
      <c r="AJ1110" t="s">
        <v>66</v>
      </c>
      <c r="AK1110">
        <v>1</v>
      </c>
      <c r="AL1110" t="s">
        <v>4190</v>
      </c>
      <c r="AM1110" t="s">
        <v>4191</v>
      </c>
      <c r="AN1110" t="s">
        <v>4352</v>
      </c>
      <c r="AO1110" t="s">
        <v>66</v>
      </c>
      <c r="AP1110">
        <v>1</v>
      </c>
      <c r="AQ1110" t="s">
        <v>4353</v>
      </c>
      <c r="AR1110" t="s">
        <v>4354</v>
      </c>
      <c r="AS1110" t="s">
        <v>4355</v>
      </c>
      <c r="AT1110" t="s">
        <v>66</v>
      </c>
    </row>
    <row r="1111" spans="1:46" x14ac:dyDescent="0.15">
      <c r="A1111" t="s">
        <v>4420</v>
      </c>
      <c r="B1111" t="s">
        <v>4103</v>
      </c>
      <c r="C1111" t="s">
        <v>4104</v>
      </c>
      <c r="D1111">
        <v>77</v>
      </c>
      <c r="E1111" t="s">
        <v>4105</v>
      </c>
      <c r="F1111" t="s">
        <v>718</v>
      </c>
      <c r="G1111" t="s">
        <v>51</v>
      </c>
      <c r="H1111" t="s">
        <v>4106</v>
      </c>
      <c r="I1111" t="s">
        <v>1553</v>
      </c>
      <c r="J1111" t="s">
        <v>721</v>
      </c>
      <c r="K1111" t="s">
        <v>3594</v>
      </c>
      <c r="L1111" t="s">
        <v>16</v>
      </c>
      <c r="M1111" t="s">
        <v>19</v>
      </c>
      <c r="N1111">
        <v>4765</v>
      </c>
      <c r="O1111">
        <v>258</v>
      </c>
      <c r="P1111">
        <v>0</v>
      </c>
      <c r="Q1111" t="s">
        <v>4421</v>
      </c>
      <c r="R1111" t="s">
        <v>4422</v>
      </c>
      <c r="S1111" t="s">
        <v>1944</v>
      </c>
      <c r="T1111" t="s">
        <v>4423</v>
      </c>
      <c r="U1111" t="s">
        <v>60</v>
      </c>
      <c r="V1111" t="s">
        <v>61</v>
      </c>
      <c r="W1111">
        <v>3</v>
      </c>
      <c r="X1111">
        <v>8.3125000000000004E-2</v>
      </c>
      <c r="Y1111" t="s">
        <v>314</v>
      </c>
      <c r="Z1111" t="s">
        <v>569</v>
      </c>
      <c r="AA1111">
        <v>3</v>
      </c>
      <c r="AB1111" t="s">
        <v>4109</v>
      </c>
      <c r="AC1111" t="s">
        <v>4110</v>
      </c>
      <c r="AD1111" t="s">
        <v>4111</v>
      </c>
      <c r="AE1111" t="s">
        <v>4112</v>
      </c>
      <c r="AF1111" t="s">
        <v>4113</v>
      </c>
      <c r="AG1111" t="s">
        <v>806</v>
      </c>
      <c r="AH1111" t="s">
        <v>889</v>
      </c>
      <c r="AI1111" t="s">
        <v>889</v>
      </c>
      <c r="AJ1111" t="s">
        <v>66</v>
      </c>
      <c r="AK1111">
        <v>1</v>
      </c>
      <c r="AL1111" t="s">
        <v>4190</v>
      </c>
      <c r="AM1111" t="s">
        <v>4191</v>
      </c>
      <c r="AN1111" t="s">
        <v>4352</v>
      </c>
      <c r="AO1111" t="s">
        <v>66</v>
      </c>
      <c r="AP1111">
        <v>1</v>
      </c>
      <c r="AQ1111" t="s">
        <v>4353</v>
      </c>
      <c r="AR1111" t="s">
        <v>4354</v>
      </c>
      <c r="AS1111" t="s">
        <v>4355</v>
      </c>
      <c r="AT1111" t="s">
        <v>66</v>
      </c>
    </row>
    <row r="1112" spans="1:46" x14ac:dyDescent="0.15">
      <c r="A1112" t="s">
        <v>4424</v>
      </c>
      <c r="B1112" t="s">
        <v>4103</v>
      </c>
      <c r="C1112" t="s">
        <v>4104</v>
      </c>
      <c r="D1112">
        <v>78</v>
      </c>
      <c r="E1112" t="s">
        <v>4105</v>
      </c>
      <c r="F1112" t="s">
        <v>718</v>
      </c>
      <c r="G1112" t="s">
        <v>51</v>
      </c>
      <c r="H1112" t="s">
        <v>4106</v>
      </c>
      <c r="I1112" t="s">
        <v>1553</v>
      </c>
      <c r="J1112" t="s">
        <v>721</v>
      </c>
      <c r="K1112" t="s">
        <v>3594</v>
      </c>
      <c r="L1112" t="s">
        <v>16</v>
      </c>
      <c r="M1112" t="s">
        <v>19</v>
      </c>
      <c r="N1112">
        <v>4821</v>
      </c>
      <c r="O1112">
        <v>261</v>
      </c>
      <c r="P1112">
        <v>0</v>
      </c>
      <c r="Q1112" t="s">
        <v>4425</v>
      </c>
      <c r="R1112" t="s">
        <v>4426</v>
      </c>
      <c r="S1112" t="s">
        <v>1949</v>
      </c>
      <c r="T1112" t="s">
        <v>4427</v>
      </c>
      <c r="U1112" t="s">
        <v>60</v>
      </c>
      <c r="V1112" t="s">
        <v>61</v>
      </c>
      <c r="W1112">
        <v>3</v>
      </c>
      <c r="X1112">
        <v>8.3125000000000004E-2</v>
      </c>
      <c r="Y1112" t="s">
        <v>575</v>
      </c>
      <c r="Z1112" t="s">
        <v>576</v>
      </c>
      <c r="AA1112">
        <v>3</v>
      </c>
      <c r="AB1112" t="s">
        <v>4109</v>
      </c>
      <c r="AC1112" t="s">
        <v>4110</v>
      </c>
      <c r="AD1112" t="s">
        <v>4111</v>
      </c>
      <c r="AE1112" t="s">
        <v>4112</v>
      </c>
      <c r="AF1112" t="s">
        <v>4113</v>
      </c>
      <c r="AG1112" t="s">
        <v>806</v>
      </c>
      <c r="AH1112" t="s">
        <v>889</v>
      </c>
      <c r="AI1112" t="s">
        <v>889</v>
      </c>
      <c r="AJ1112" t="s">
        <v>66</v>
      </c>
      <c r="AK1112">
        <v>1</v>
      </c>
      <c r="AL1112" t="s">
        <v>4190</v>
      </c>
      <c r="AM1112" t="s">
        <v>4191</v>
      </c>
      <c r="AN1112" t="s">
        <v>4352</v>
      </c>
      <c r="AO1112" t="s">
        <v>66</v>
      </c>
      <c r="AP1112">
        <v>1</v>
      </c>
      <c r="AQ1112" t="s">
        <v>4353</v>
      </c>
      <c r="AR1112" t="s">
        <v>4354</v>
      </c>
      <c r="AS1112" t="s">
        <v>4355</v>
      </c>
      <c r="AT1112" t="s">
        <v>66</v>
      </c>
    </row>
    <row r="1113" spans="1:46" x14ac:dyDescent="0.15">
      <c r="A1113" t="s">
        <v>4428</v>
      </c>
      <c r="B1113" t="s">
        <v>4103</v>
      </c>
      <c r="C1113" t="s">
        <v>4104</v>
      </c>
      <c r="D1113">
        <v>79</v>
      </c>
      <c r="E1113" t="s">
        <v>4105</v>
      </c>
      <c r="F1113" t="s">
        <v>718</v>
      </c>
      <c r="G1113" t="s">
        <v>51</v>
      </c>
      <c r="H1113" t="s">
        <v>4106</v>
      </c>
      <c r="I1113" t="s">
        <v>1553</v>
      </c>
      <c r="J1113" t="s">
        <v>721</v>
      </c>
      <c r="K1113" t="s">
        <v>3594</v>
      </c>
      <c r="L1113" t="s">
        <v>16</v>
      </c>
      <c r="M1113" t="s">
        <v>19</v>
      </c>
      <c r="N1113">
        <v>4878</v>
      </c>
      <c r="O1113">
        <v>264</v>
      </c>
      <c r="P1113">
        <v>0</v>
      </c>
      <c r="Q1113" t="s">
        <v>4429</v>
      </c>
      <c r="R1113" t="s">
        <v>4430</v>
      </c>
      <c r="S1113" t="s">
        <v>1954</v>
      </c>
      <c r="T1113" t="s">
        <v>4431</v>
      </c>
      <c r="U1113" t="s">
        <v>60</v>
      </c>
      <c r="V1113" t="s">
        <v>61</v>
      </c>
      <c r="W1113">
        <v>3</v>
      </c>
      <c r="X1113">
        <v>8.3125000000000004E-2</v>
      </c>
      <c r="Y1113" t="s">
        <v>321</v>
      </c>
      <c r="Z1113" t="s">
        <v>582</v>
      </c>
      <c r="AA1113">
        <v>3</v>
      </c>
      <c r="AB1113" t="s">
        <v>4109</v>
      </c>
      <c r="AC1113" t="s">
        <v>4110</v>
      </c>
      <c r="AD1113" t="s">
        <v>4111</v>
      </c>
      <c r="AE1113" t="s">
        <v>4112</v>
      </c>
      <c r="AF1113" t="s">
        <v>4113</v>
      </c>
      <c r="AG1113" t="s">
        <v>806</v>
      </c>
      <c r="AH1113" t="s">
        <v>889</v>
      </c>
      <c r="AI1113" t="s">
        <v>889</v>
      </c>
      <c r="AJ1113" t="s">
        <v>66</v>
      </c>
      <c r="AK1113">
        <v>1</v>
      </c>
      <c r="AL1113" t="s">
        <v>4190</v>
      </c>
      <c r="AM1113" t="s">
        <v>4191</v>
      </c>
      <c r="AN1113" t="s">
        <v>4352</v>
      </c>
      <c r="AO1113" t="s">
        <v>66</v>
      </c>
      <c r="AP1113">
        <v>1</v>
      </c>
      <c r="AQ1113" t="s">
        <v>4353</v>
      </c>
      <c r="AR1113" t="s">
        <v>4354</v>
      </c>
      <c r="AS1113" t="s">
        <v>4355</v>
      </c>
      <c r="AT1113" t="s">
        <v>66</v>
      </c>
    </row>
    <row r="1114" spans="1:46" x14ac:dyDescent="0.15">
      <c r="A1114" t="s">
        <v>4432</v>
      </c>
      <c r="B1114" t="s">
        <v>4103</v>
      </c>
      <c r="C1114" t="s">
        <v>4104</v>
      </c>
      <c r="D1114">
        <v>80</v>
      </c>
      <c r="E1114" t="s">
        <v>4105</v>
      </c>
      <c r="F1114" t="s">
        <v>718</v>
      </c>
      <c r="G1114" t="s">
        <v>51</v>
      </c>
      <c r="H1114" t="s">
        <v>4106</v>
      </c>
      <c r="I1114" t="s">
        <v>1553</v>
      </c>
      <c r="J1114" t="s">
        <v>721</v>
      </c>
      <c r="K1114" t="s">
        <v>3594</v>
      </c>
      <c r="L1114" t="s">
        <v>16</v>
      </c>
      <c r="M1114" t="s">
        <v>19</v>
      </c>
      <c r="N1114">
        <v>4934</v>
      </c>
      <c r="O1114">
        <v>267</v>
      </c>
      <c r="P1114">
        <v>0</v>
      </c>
      <c r="Q1114" t="s">
        <v>4433</v>
      </c>
      <c r="R1114" t="s">
        <v>4434</v>
      </c>
      <c r="S1114" t="s">
        <v>1959</v>
      </c>
      <c r="T1114" t="s">
        <v>4435</v>
      </c>
      <c r="U1114" t="s">
        <v>60</v>
      </c>
      <c r="V1114" t="s">
        <v>61</v>
      </c>
      <c r="W1114">
        <v>3</v>
      </c>
      <c r="X1114">
        <v>8.3125000000000004E-2</v>
      </c>
      <c r="Y1114" t="s">
        <v>588</v>
      </c>
      <c r="Z1114" t="s">
        <v>589</v>
      </c>
      <c r="AA1114">
        <v>3</v>
      </c>
      <c r="AB1114" t="s">
        <v>4109</v>
      </c>
      <c r="AC1114" t="s">
        <v>4110</v>
      </c>
      <c r="AD1114" t="s">
        <v>4111</v>
      </c>
      <c r="AE1114" t="s">
        <v>4112</v>
      </c>
      <c r="AF1114" t="s">
        <v>4113</v>
      </c>
      <c r="AG1114" t="s">
        <v>806</v>
      </c>
      <c r="AH1114" t="s">
        <v>889</v>
      </c>
      <c r="AI1114" t="s">
        <v>889</v>
      </c>
      <c r="AJ1114" t="s">
        <v>66</v>
      </c>
      <c r="AK1114">
        <v>1</v>
      </c>
      <c r="AL1114" t="s">
        <v>4190</v>
      </c>
      <c r="AM1114" t="s">
        <v>4191</v>
      </c>
      <c r="AN1114" t="s">
        <v>4352</v>
      </c>
      <c r="AO1114" t="s">
        <v>66</v>
      </c>
      <c r="AP1114">
        <v>1</v>
      </c>
      <c r="AQ1114" t="s">
        <v>4353</v>
      </c>
      <c r="AR1114" t="s">
        <v>4354</v>
      </c>
      <c r="AS1114" t="s">
        <v>4355</v>
      </c>
      <c r="AT1114" t="s">
        <v>66</v>
      </c>
    </row>
    <row r="1115" spans="1:46" x14ac:dyDescent="0.15">
      <c r="A1115" t="s">
        <v>4432</v>
      </c>
      <c r="B1115" t="s">
        <v>4103</v>
      </c>
      <c r="C1115" t="s">
        <v>4104</v>
      </c>
      <c r="D1115">
        <v>80</v>
      </c>
      <c r="E1115" t="s">
        <v>4105</v>
      </c>
      <c r="F1115" t="s">
        <v>718</v>
      </c>
      <c r="G1115" t="s">
        <v>51</v>
      </c>
      <c r="H1115" t="s">
        <v>4106</v>
      </c>
      <c r="I1115" t="s">
        <v>1553</v>
      </c>
      <c r="J1115" t="s">
        <v>721</v>
      </c>
      <c r="K1115" t="s">
        <v>3594</v>
      </c>
      <c r="L1115" t="s">
        <v>16</v>
      </c>
      <c r="M1115" t="s">
        <v>19</v>
      </c>
      <c r="N1115">
        <v>4934</v>
      </c>
      <c r="O1115">
        <v>267</v>
      </c>
      <c r="P1115">
        <v>0</v>
      </c>
      <c r="Q1115" t="s">
        <v>4433</v>
      </c>
      <c r="R1115" t="s">
        <v>4434</v>
      </c>
      <c r="S1115" t="s">
        <v>1959</v>
      </c>
      <c r="T1115" t="s">
        <v>4435</v>
      </c>
      <c r="U1115" t="s">
        <v>60</v>
      </c>
      <c r="V1115" t="s">
        <v>61</v>
      </c>
      <c r="W1115">
        <v>3</v>
      </c>
      <c r="X1115">
        <v>8.3125000000000004E-2</v>
      </c>
      <c r="Y1115" t="s">
        <v>588</v>
      </c>
      <c r="Z1115" t="s">
        <v>589</v>
      </c>
      <c r="AA1115">
        <v>4</v>
      </c>
      <c r="AB1115" t="s">
        <v>4109</v>
      </c>
      <c r="AC1115" t="s">
        <v>4110</v>
      </c>
      <c r="AD1115" t="s">
        <v>4111</v>
      </c>
      <c r="AE1115" t="s">
        <v>4112</v>
      </c>
      <c r="AF1115" t="s">
        <v>4113</v>
      </c>
      <c r="AG1115" t="s">
        <v>806</v>
      </c>
      <c r="AH1115" t="s">
        <v>889</v>
      </c>
      <c r="AI1115" t="s">
        <v>889</v>
      </c>
      <c r="AJ1115" t="s">
        <v>1054</v>
      </c>
      <c r="AK1115">
        <v>1</v>
      </c>
      <c r="AL1115" t="s">
        <v>4190</v>
      </c>
      <c r="AM1115" t="s">
        <v>4191</v>
      </c>
      <c r="AN1115" t="s">
        <v>4352</v>
      </c>
      <c r="AO1115" t="s">
        <v>66</v>
      </c>
      <c r="AP1115">
        <v>1</v>
      </c>
      <c r="AQ1115" t="s">
        <v>4353</v>
      </c>
      <c r="AR1115" t="s">
        <v>4354</v>
      </c>
      <c r="AS1115" t="s">
        <v>4355</v>
      </c>
      <c r="AT1115" t="s">
        <v>66</v>
      </c>
    </row>
    <row r="1116" spans="1:46" x14ac:dyDescent="0.15">
      <c r="A1116" t="s">
        <v>4436</v>
      </c>
      <c r="B1116" t="s">
        <v>4103</v>
      </c>
      <c r="C1116" t="s">
        <v>4104</v>
      </c>
      <c r="D1116">
        <v>81</v>
      </c>
      <c r="E1116" t="s">
        <v>4105</v>
      </c>
      <c r="F1116" t="s">
        <v>718</v>
      </c>
      <c r="G1116" t="s">
        <v>51</v>
      </c>
      <c r="H1116" t="s">
        <v>4106</v>
      </c>
      <c r="I1116" t="s">
        <v>1553</v>
      </c>
      <c r="J1116" t="s">
        <v>721</v>
      </c>
      <c r="K1116" t="s">
        <v>3594</v>
      </c>
      <c r="L1116" t="s">
        <v>16</v>
      </c>
      <c r="M1116" t="s">
        <v>19</v>
      </c>
      <c r="N1116">
        <v>4990</v>
      </c>
      <c r="O1116">
        <v>270</v>
      </c>
      <c r="P1116">
        <v>0</v>
      </c>
      <c r="Q1116" t="s">
        <v>4437</v>
      </c>
      <c r="R1116" t="s">
        <v>4438</v>
      </c>
      <c r="S1116" t="s">
        <v>1966</v>
      </c>
      <c r="T1116" t="s">
        <v>4439</v>
      </c>
      <c r="U1116" t="s">
        <v>60</v>
      </c>
      <c r="V1116" t="s">
        <v>61</v>
      </c>
      <c r="W1116">
        <v>3</v>
      </c>
      <c r="X1116">
        <v>8.3125000000000004E-2</v>
      </c>
      <c r="Y1116" t="s">
        <v>330</v>
      </c>
      <c r="Z1116" t="s">
        <v>596</v>
      </c>
      <c r="AA1116">
        <v>4</v>
      </c>
      <c r="AB1116" t="s">
        <v>4109</v>
      </c>
      <c r="AC1116" t="s">
        <v>4110</v>
      </c>
      <c r="AD1116" t="s">
        <v>4111</v>
      </c>
      <c r="AE1116" t="s">
        <v>4112</v>
      </c>
      <c r="AF1116" t="s">
        <v>4113</v>
      </c>
      <c r="AG1116" t="s">
        <v>806</v>
      </c>
      <c r="AH1116" t="s">
        <v>889</v>
      </c>
      <c r="AI1116" t="s">
        <v>889</v>
      </c>
      <c r="AJ1116" t="s">
        <v>1054</v>
      </c>
      <c r="AK1116">
        <v>1</v>
      </c>
      <c r="AL1116" t="s">
        <v>4190</v>
      </c>
      <c r="AM1116" t="s">
        <v>4191</v>
      </c>
      <c r="AN1116" t="s">
        <v>4352</v>
      </c>
      <c r="AO1116" t="s">
        <v>66</v>
      </c>
      <c r="AP1116">
        <v>1</v>
      </c>
      <c r="AQ1116" t="s">
        <v>4353</v>
      </c>
      <c r="AR1116" t="s">
        <v>4354</v>
      </c>
      <c r="AS1116" t="s">
        <v>4355</v>
      </c>
      <c r="AT1116" t="s">
        <v>66</v>
      </c>
    </row>
    <row r="1117" spans="1:46" x14ac:dyDescent="0.15">
      <c r="A1117" t="s">
        <v>4440</v>
      </c>
      <c r="B1117" t="s">
        <v>4103</v>
      </c>
      <c r="C1117" t="s">
        <v>4104</v>
      </c>
      <c r="D1117">
        <v>82</v>
      </c>
      <c r="E1117" t="s">
        <v>4105</v>
      </c>
      <c r="F1117" t="s">
        <v>718</v>
      </c>
      <c r="G1117" t="s">
        <v>51</v>
      </c>
      <c r="H1117" t="s">
        <v>4106</v>
      </c>
      <c r="I1117" t="s">
        <v>1553</v>
      </c>
      <c r="J1117" t="s">
        <v>721</v>
      </c>
      <c r="K1117" t="s">
        <v>3594</v>
      </c>
      <c r="L1117" t="s">
        <v>16</v>
      </c>
      <c r="M1117" t="s">
        <v>19</v>
      </c>
      <c r="N1117">
        <v>5046</v>
      </c>
      <c r="O1117">
        <v>273</v>
      </c>
      <c r="P1117">
        <v>0</v>
      </c>
      <c r="Q1117" t="s">
        <v>4441</v>
      </c>
      <c r="R1117" t="s">
        <v>4442</v>
      </c>
      <c r="S1117" t="s">
        <v>1971</v>
      </c>
      <c r="T1117" t="s">
        <v>4443</v>
      </c>
      <c r="U1117" t="s">
        <v>60</v>
      </c>
      <c r="V1117" t="s">
        <v>61</v>
      </c>
      <c r="W1117">
        <v>3</v>
      </c>
      <c r="X1117">
        <v>8.3125000000000004E-2</v>
      </c>
      <c r="Y1117" t="s">
        <v>602</v>
      </c>
      <c r="Z1117" t="s">
        <v>603</v>
      </c>
      <c r="AA1117">
        <v>4</v>
      </c>
      <c r="AB1117" t="s">
        <v>4109</v>
      </c>
      <c r="AC1117" t="s">
        <v>4110</v>
      </c>
      <c r="AD1117" t="s">
        <v>4111</v>
      </c>
      <c r="AE1117" t="s">
        <v>4112</v>
      </c>
      <c r="AF1117" t="s">
        <v>4113</v>
      </c>
      <c r="AG1117" t="s">
        <v>806</v>
      </c>
      <c r="AH1117" t="s">
        <v>889</v>
      </c>
      <c r="AI1117" t="s">
        <v>889</v>
      </c>
      <c r="AJ1117" t="s">
        <v>1054</v>
      </c>
      <c r="AK1117">
        <v>1</v>
      </c>
      <c r="AL1117" t="s">
        <v>4190</v>
      </c>
      <c r="AM1117" t="s">
        <v>4191</v>
      </c>
      <c r="AN1117" t="s">
        <v>4352</v>
      </c>
      <c r="AO1117" t="s">
        <v>66</v>
      </c>
      <c r="AP1117">
        <v>1</v>
      </c>
      <c r="AQ1117" t="s">
        <v>4353</v>
      </c>
      <c r="AR1117" t="s">
        <v>4354</v>
      </c>
      <c r="AS1117" t="s">
        <v>4355</v>
      </c>
      <c r="AT1117" t="s">
        <v>66</v>
      </c>
    </row>
    <row r="1118" spans="1:46" x14ac:dyDescent="0.15">
      <c r="A1118" t="s">
        <v>4444</v>
      </c>
      <c r="B1118" t="s">
        <v>4103</v>
      </c>
      <c r="C1118" t="s">
        <v>4104</v>
      </c>
      <c r="D1118">
        <v>83</v>
      </c>
      <c r="E1118" t="s">
        <v>4105</v>
      </c>
      <c r="F1118" t="s">
        <v>718</v>
      </c>
      <c r="G1118" t="s">
        <v>51</v>
      </c>
      <c r="H1118" t="s">
        <v>4106</v>
      </c>
      <c r="I1118" t="s">
        <v>1553</v>
      </c>
      <c r="J1118" t="s">
        <v>721</v>
      </c>
      <c r="K1118" t="s">
        <v>3594</v>
      </c>
      <c r="L1118" t="s">
        <v>16</v>
      </c>
      <c r="M1118" t="s">
        <v>19</v>
      </c>
      <c r="N1118">
        <v>5102</v>
      </c>
      <c r="O1118">
        <v>276</v>
      </c>
      <c r="P1118">
        <v>0</v>
      </c>
      <c r="Q1118" t="s">
        <v>4445</v>
      </c>
      <c r="R1118" t="s">
        <v>4446</v>
      </c>
      <c r="S1118" t="s">
        <v>1976</v>
      </c>
      <c r="T1118" t="s">
        <v>4447</v>
      </c>
      <c r="U1118" t="s">
        <v>60</v>
      </c>
      <c r="V1118" t="s">
        <v>61</v>
      </c>
      <c r="W1118">
        <v>3</v>
      </c>
      <c r="X1118">
        <v>8.3125000000000004E-2</v>
      </c>
      <c r="Y1118" t="s">
        <v>337</v>
      </c>
      <c r="Z1118" t="s">
        <v>609</v>
      </c>
      <c r="AA1118">
        <v>4</v>
      </c>
      <c r="AB1118" t="s">
        <v>4109</v>
      </c>
      <c r="AC1118" t="s">
        <v>4110</v>
      </c>
      <c r="AD1118" t="s">
        <v>4111</v>
      </c>
      <c r="AE1118" t="s">
        <v>4112</v>
      </c>
      <c r="AF1118" t="s">
        <v>4113</v>
      </c>
      <c r="AG1118" t="s">
        <v>806</v>
      </c>
      <c r="AH1118" t="s">
        <v>889</v>
      </c>
      <c r="AI1118" t="s">
        <v>889</v>
      </c>
      <c r="AJ1118" t="s">
        <v>1054</v>
      </c>
      <c r="AK1118">
        <v>1</v>
      </c>
      <c r="AL1118" t="s">
        <v>4190</v>
      </c>
      <c r="AM1118" t="s">
        <v>4191</v>
      </c>
      <c r="AN1118" t="s">
        <v>4352</v>
      </c>
      <c r="AO1118" t="s">
        <v>66</v>
      </c>
      <c r="AP1118">
        <v>1</v>
      </c>
      <c r="AQ1118" t="s">
        <v>4353</v>
      </c>
      <c r="AR1118" t="s">
        <v>4354</v>
      </c>
      <c r="AS1118" t="s">
        <v>4355</v>
      </c>
      <c r="AT1118" t="s">
        <v>66</v>
      </c>
    </row>
    <row r="1119" spans="1:46" x14ac:dyDescent="0.15">
      <c r="A1119" t="s">
        <v>4448</v>
      </c>
      <c r="B1119" t="s">
        <v>4103</v>
      </c>
      <c r="C1119" t="s">
        <v>4104</v>
      </c>
      <c r="D1119">
        <v>84</v>
      </c>
      <c r="E1119" t="s">
        <v>4105</v>
      </c>
      <c r="F1119" t="s">
        <v>718</v>
      </c>
      <c r="G1119" t="s">
        <v>51</v>
      </c>
      <c r="H1119" t="s">
        <v>4106</v>
      </c>
      <c r="I1119" t="s">
        <v>1553</v>
      </c>
      <c r="J1119" t="s">
        <v>721</v>
      </c>
      <c r="K1119" t="s">
        <v>3594</v>
      </c>
      <c r="L1119" t="s">
        <v>16</v>
      </c>
      <c r="M1119" t="s">
        <v>19</v>
      </c>
      <c r="N1119">
        <v>5158</v>
      </c>
      <c r="O1119">
        <v>279</v>
      </c>
      <c r="P1119">
        <v>0</v>
      </c>
      <c r="Q1119" t="s">
        <v>4449</v>
      </c>
      <c r="R1119" t="s">
        <v>4450</v>
      </c>
      <c r="S1119" t="s">
        <v>1981</v>
      </c>
      <c r="T1119" t="s">
        <v>4451</v>
      </c>
      <c r="U1119" t="s">
        <v>60</v>
      </c>
      <c r="V1119" t="s">
        <v>61</v>
      </c>
      <c r="W1119">
        <v>3</v>
      </c>
      <c r="X1119">
        <v>8.3125000000000004E-2</v>
      </c>
      <c r="Y1119" t="s">
        <v>615</v>
      </c>
      <c r="Z1119" t="s">
        <v>616</v>
      </c>
      <c r="AA1119">
        <v>4</v>
      </c>
      <c r="AB1119" t="s">
        <v>4109</v>
      </c>
      <c r="AC1119" t="s">
        <v>4110</v>
      </c>
      <c r="AD1119" t="s">
        <v>4111</v>
      </c>
      <c r="AE1119" t="s">
        <v>4112</v>
      </c>
      <c r="AF1119" t="s">
        <v>4113</v>
      </c>
      <c r="AG1119" t="s">
        <v>806</v>
      </c>
      <c r="AH1119" t="s">
        <v>889</v>
      </c>
      <c r="AI1119" t="s">
        <v>889</v>
      </c>
      <c r="AJ1119" t="s">
        <v>1054</v>
      </c>
      <c r="AK1119">
        <v>1</v>
      </c>
      <c r="AL1119" t="s">
        <v>4190</v>
      </c>
      <c r="AM1119" t="s">
        <v>4191</v>
      </c>
      <c r="AN1119" t="s">
        <v>4352</v>
      </c>
      <c r="AO1119" t="s">
        <v>66</v>
      </c>
      <c r="AP1119">
        <v>1</v>
      </c>
      <c r="AQ1119" t="s">
        <v>4353</v>
      </c>
      <c r="AR1119" t="s">
        <v>4354</v>
      </c>
      <c r="AS1119" t="s">
        <v>4355</v>
      </c>
      <c r="AT1119" t="s">
        <v>66</v>
      </c>
    </row>
    <row r="1120" spans="1:46" x14ac:dyDescent="0.15">
      <c r="A1120" t="s">
        <v>4452</v>
      </c>
      <c r="B1120" t="s">
        <v>4103</v>
      </c>
      <c r="C1120" t="s">
        <v>4104</v>
      </c>
      <c r="D1120">
        <v>85</v>
      </c>
      <c r="E1120" t="s">
        <v>4105</v>
      </c>
      <c r="F1120" t="s">
        <v>718</v>
      </c>
      <c r="G1120" t="s">
        <v>51</v>
      </c>
      <c r="H1120" t="s">
        <v>4106</v>
      </c>
      <c r="I1120" t="s">
        <v>1553</v>
      </c>
      <c r="J1120" t="s">
        <v>721</v>
      </c>
      <c r="K1120" t="s">
        <v>3594</v>
      </c>
      <c r="L1120" t="s">
        <v>16</v>
      </c>
      <c r="M1120" t="s">
        <v>19</v>
      </c>
      <c r="N1120">
        <v>5214</v>
      </c>
      <c r="O1120">
        <v>282</v>
      </c>
      <c r="P1120">
        <v>0</v>
      </c>
      <c r="Q1120" t="s">
        <v>4453</v>
      </c>
      <c r="R1120" t="s">
        <v>4454</v>
      </c>
      <c r="S1120" t="s">
        <v>1986</v>
      </c>
      <c r="T1120" t="s">
        <v>4455</v>
      </c>
      <c r="U1120" t="s">
        <v>60</v>
      </c>
      <c r="V1120" t="s">
        <v>61</v>
      </c>
      <c r="W1120">
        <v>3</v>
      </c>
      <c r="X1120">
        <v>8.3125000000000004E-2</v>
      </c>
      <c r="Y1120" t="s">
        <v>343</v>
      </c>
      <c r="Z1120" t="s">
        <v>622</v>
      </c>
      <c r="AA1120">
        <v>4</v>
      </c>
      <c r="AB1120" t="s">
        <v>4109</v>
      </c>
      <c r="AC1120" t="s">
        <v>4110</v>
      </c>
      <c r="AD1120" t="s">
        <v>4111</v>
      </c>
      <c r="AE1120" t="s">
        <v>4112</v>
      </c>
      <c r="AF1120" t="s">
        <v>4113</v>
      </c>
      <c r="AG1120" t="s">
        <v>806</v>
      </c>
      <c r="AH1120" t="s">
        <v>889</v>
      </c>
      <c r="AI1120" t="s">
        <v>889</v>
      </c>
      <c r="AJ1120" t="s">
        <v>1054</v>
      </c>
      <c r="AK1120">
        <v>1</v>
      </c>
      <c r="AL1120" t="s">
        <v>4190</v>
      </c>
      <c r="AM1120" t="s">
        <v>4191</v>
      </c>
      <c r="AN1120" t="s">
        <v>4352</v>
      </c>
      <c r="AO1120" t="s">
        <v>66</v>
      </c>
      <c r="AP1120">
        <v>1</v>
      </c>
      <c r="AQ1120" t="s">
        <v>4353</v>
      </c>
      <c r="AR1120" t="s">
        <v>4354</v>
      </c>
      <c r="AS1120" t="s">
        <v>4355</v>
      </c>
      <c r="AT1120" t="s">
        <v>66</v>
      </c>
    </row>
    <row r="1121" spans="1:46" x14ac:dyDescent="0.15">
      <c r="A1121" t="s">
        <v>4456</v>
      </c>
      <c r="B1121" t="s">
        <v>4103</v>
      </c>
      <c r="C1121" t="s">
        <v>4104</v>
      </c>
      <c r="D1121">
        <v>86</v>
      </c>
      <c r="E1121" t="s">
        <v>4105</v>
      </c>
      <c r="F1121" t="s">
        <v>718</v>
      </c>
      <c r="G1121" t="s">
        <v>51</v>
      </c>
      <c r="H1121" t="s">
        <v>4106</v>
      </c>
      <c r="I1121" t="s">
        <v>1553</v>
      </c>
      <c r="J1121" t="s">
        <v>721</v>
      </c>
      <c r="K1121" t="s">
        <v>3594</v>
      </c>
      <c r="L1121" t="s">
        <v>16</v>
      </c>
      <c r="M1121" t="s">
        <v>19</v>
      </c>
      <c r="N1121">
        <v>5270</v>
      </c>
      <c r="O1121">
        <v>285</v>
      </c>
      <c r="P1121">
        <v>0</v>
      </c>
      <c r="Q1121" t="s">
        <v>4457</v>
      </c>
      <c r="R1121" t="s">
        <v>4458</v>
      </c>
      <c r="S1121" t="s">
        <v>1991</v>
      </c>
      <c r="T1121" t="s">
        <v>4459</v>
      </c>
      <c r="U1121" t="s">
        <v>60</v>
      </c>
      <c r="V1121" t="s">
        <v>61</v>
      </c>
      <c r="W1121">
        <v>3</v>
      </c>
      <c r="X1121">
        <v>8.3125000000000004E-2</v>
      </c>
      <c r="Y1121" t="s">
        <v>628</v>
      </c>
      <c r="Z1121" t="s">
        <v>629</v>
      </c>
      <c r="AA1121">
        <v>4</v>
      </c>
      <c r="AB1121" t="s">
        <v>4109</v>
      </c>
      <c r="AC1121" t="s">
        <v>4110</v>
      </c>
      <c r="AD1121" t="s">
        <v>4111</v>
      </c>
      <c r="AE1121" t="s">
        <v>4112</v>
      </c>
      <c r="AF1121" t="s">
        <v>4113</v>
      </c>
      <c r="AG1121" t="s">
        <v>806</v>
      </c>
      <c r="AH1121" t="s">
        <v>889</v>
      </c>
      <c r="AI1121" t="s">
        <v>889</v>
      </c>
      <c r="AJ1121" t="s">
        <v>1054</v>
      </c>
      <c r="AK1121">
        <v>1</v>
      </c>
      <c r="AL1121" t="s">
        <v>4190</v>
      </c>
      <c r="AM1121" t="s">
        <v>4191</v>
      </c>
      <c r="AN1121" t="s">
        <v>4352</v>
      </c>
      <c r="AO1121" t="s">
        <v>66</v>
      </c>
      <c r="AP1121">
        <v>1</v>
      </c>
      <c r="AQ1121" t="s">
        <v>4353</v>
      </c>
      <c r="AR1121" t="s">
        <v>4354</v>
      </c>
      <c r="AS1121" t="s">
        <v>4355</v>
      </c>
      <c r="AT1121" t="s">
        <v>66</v>
      </c>
    </row>
    <row r="1122" spans="1:46" x14ac:dyDescent="0.15">
      <c r="A1122" t="s">
        <v>4460</v>
      </c>
      <c r="B1122" t="s">
        <v>4103</v>
      </c>
      <c r="C1122" t="s">
        <v>4104</v>
      </c>
      <c r="D1122">
        <v>87</v>
      </c>
      <c r="E1122" t="s">
        <v>4105</v>
      </c>
      <c r="F1122" t="s">
        <v>718</v>
      </c>
      <c r="G1122" t="s">
        <v>51</v>
      </c>
      <c r="H1122" t="s">
        <v>4106</v>
      </c>
      <c r="I1122" t="s">
        <v>1553</v>
      </c>
      <c r="J1122" t="s">
        <v>721</v>
      </c>
      <c r="K1122" t="s">
        <v>3594</v>
      </c>
      <c r="L1122" t="s">
        <v>16</v>
      </c>
      <c r="M1122" t="s">
        <v>19</v>
      </c>
      <c r="N1122">
        <v>5327</v>
      </c>
      <c r="O1122">
        <v>288</v>
      </c>
      <c r="P1122">
        <v>0</v>
      </c>
      <c r="Q1122" t="s">
        <v>4461</v>
      </c>
      <c r="R1122" t="s">
        <v>4462</v>
      </c>
      <c r="S1122" t="s">
        <v>1996</v>
      </c>
      <c r="T1122" t="s">
        <v>4463</v>
      </c>
      <c r="U1122" t="s">
        <v>60</v>
      </c>
      <c r="V1122" t="s">
        <v>61</v>
      </c>
      <c r="W1122">
        <v>3</v>
      </c>
      <c r="X1122">
        <v>8.3125000000000004E-2</v>
      </c>
      <c r="Y1122" t="s">
        <v>350</v>
      </c>
      <c r="Z1122" t="s">
        <v>635</v>
      </c>
      <c r="AA1122">
        <v>4</v>
      </c>
      <c r="AB1122" t="s">
        <v>4109</v>
      </c>
      <c r="AC1122" t="s">
        <v>4110</v>
      </c>
      <c r="AD1122" t="s">
        <v>4111</v>
      </c>
      <c r="AE1122" t="s">
        <v>4112</v>
      </c>
      <c r="AF1122" t="s">
        <v>4113</v>
      </c>
      <c r="AG1122" t="s">
        <v>806</v>
      </c>
      <c r="AH1122" t="s">
        <v>889</v>
      </c>
      <c r="AI1122" t="s">
        <v>889</v>
      </c>
      <c r="AJ1122" t="s">
        <v>1054</v>
      </c>
      <c r="AK1122">
        <v>1</v>
      </c>
      <c r="AL1122" t="s">
        <v>4190</v>
      </c>
      <c r="AM1122" t="s">
        <v>4191</v>
      </c>
      <c r="AN1122" t="s">
        <v>4352</v>
      </c>
      <c r="AO1122" t="s">
        <v>66</v>
      </c>
      <c r="AP1122">
        <v>1</v>
      </c>
      <c r="AQ1122" t="s">
        <v>4353</v>
      </c>
      <c r="AR1122" t="s">
        <v>4354</v>
      </c>
      <c r="AS1122" t="s">
        <v>4355</v>
      </c>
      <c r="AT1122" t="s">
        <v>66</v>
      </c>
    </row>
    <row r="1123" spans="1:46" x14ac:dyDescent="0.15">
      <c r="A1123" t="s">
        <v>4464</v>
      </c>
      <c r="B1123" t="s">
        <v>4103</v>
      </c>
      <c r="C1123" t="s">
        <v>4104</v>
      </c>
      <c r="D1123">
        <v>88</v>
      </c>
      <c r="E1123" t="s">
        <v>4105</v>
      </c>
      <c r="F1123" t="s">
        <v>718</v>
      </c>
      <c r="G1123" t="s">
        <v>51</v>
      </c>
      <c r="H1123" t="s">
        <v>4106</v>
      </c>
      <c r="I1123" t="s">
        <v>1553</v>
      </c>
      <c r="J1123" t="s">
        <v>721</v>
      </c>
      <c r="K1123" t="s">
        <v>3594</v>
      </c>
      <c r="L1123" t="s">
        <v>16</v>
      </c>
      <c r="M1123" t="s">
        <v>19</v>
      </c>
      <c r="N1123">
        <v>5383</v>
      </c>
      <c r="O1123">
        <v>291</v>
      </c>
      <c r="P1123">
        <v>0</v>
      </c>
      <c r="Q1123" t="s">
        <v>4465</v>
      </c>
      <c r="R1123" t="s">
        <v>4466</v>
      </c>
      <c r="S1123" t="s">
        <v>2001</v>
      </c>
      <c r="T1123" t="s">
        <v>4467</v>
      </c>
      <c r="U1123" t="s">
        <v>60</v>
      </c>
      <c r="V1123" t="s">
        <v>61</v>
      </c>
      <c r="W1123">
        <v>3</v>
      </c>
      <c r="X1123">
        <v>8.3125000000000004E-2</v>
      </c>
      <c r="Y1123" t="s">
        <v>641</v>
      </c>
      <c r="Z1123" t="s">
        <v>642</v>
      </c>
      <c r="AA1123">
        <v>4</v>
      </c>
      <c r="AB1123" t="s">
        <v>4109</v>
      </c>
      <c r="AC1123" t="s">
        <v>4110</v>
      </c>
      <c r="AD1123" t="s">
        <v>4111</v>
      </c>
      <c r="AE1123" t="s">
        <v>4112</v>
      </c>
      <c r="AF1123" t="s">
        <v>4113</v>
      </c>
      <c r="AG1123" t="s">
        <v>806</v>
      </c>
      <c r="AH1123" t="s">
        <v>889</v>
      </c>
      <c r="AI1123" t="s">
        <v>889</v>
      </c>
      <c r="AJ1123" t="s">
        <v>1054</v>
      </c>
      <c r="AK1123">
        <v>1</v>
      </c>
      <c r="AL1123" t="s">
        <v>4190</v>
      </c>
      <c r="AM1123" t="s">
        <v>4191</v>
      </c>
      <c r="AN1123" t="s">
        <v>4352</v>
      </c>
      <c r="AO1123" t="s">
        <v>66</v>
      </c>
      <c r="AP1123">
        <v>1</v>
      </c>
      <c r="AQ1123" t="s">
        <v>4353</v>
      </c>
      <c r="AR1123" t="s">
        <v>4354</v>
      </c>
      <c r="AS1123" t="s">
        <v>4355</v>
      </c>
      <c r="AT1123" t="s">
        <v>66</v>
      </c>
    </row>
    <row r="1124" spans="1:46" x14ac:dyDescent="0.15">
      <c r="A1124" t="s">
        <v>4468</v>
      </c>
      <c r="B1124" t="s">
        <v>4103</v>
      </c>
      <c r="C1124" t="s">
        <v>4104</v>
      </c>
      <c r="D1124">
        <v>89</v>
      </c>
      <c r="E1124" t="s">
        <v>4105</v>
      </c>
      <c r="F1124" t="s">
        <v>718</v>
      </c>
      <c r="G1124" t="s">
        <v>51</v>
      </c>
      <c r="H1124" t="s">
        <v>4106</v>
      </c>
      <c r="I1124" t="s">
        <v>1553</v>
      </c>
      <c r="J1124" t="s">
        <v>721</v>
      </c>
      <c r="K1124" t="s">
        <v>3594</v>
      </c>
      <c r="L1124" t="s">
        <v>16</v>
      </c>
      <c r="M1124" t="s">
        <v>19</v>
      </c>
      <c r="N1124">
        <v>5439</v>
      </c>
      <c r="O1124">
        <v>294</v>
      </c>
      <c r="P1124">
        <v>0</v>
      </c>
      <c r="Q1124" t="s">
        <v>4469</v>
      </c>
      <c r="R1124" t="s">
        <v>4470</v>
      </c>
      <c r="S1124" t="s">
        <v>2005</v>
      </c>
      <c r="T1124" t="s">
        <v>4471</v>
      </c>
      <c r="U1124" t="s">
        <v>60</v>
      </c>
      <c r="V1124" t="s">
        <v>61</v>
      </c>
      <c r="W1124">
        <v>3</v>
      </c>
      <c r="X1124">
        <v>8.3125000000000004E-2</v>
      </c>
      <c r="Y1124" t="s">
        <v>356</v>
      </c>
      <c r="Z1124" t="s">
        <v>648</v>
      </c>
      <c r="AA1124">
        <v>4</v>
      </c>
      <c r="AB1124" t="s">
        <v>4109</v>
      </c>
      <c r="AC1124" t="s">
        <v>4110</v>
      </c>
      <c r="AD1124" t="s">
        <v>4111</v>
      </c>
      <c r="AE1124" t="s">
        <v>4112</v>
      </c>
      <c r="AF1124" t="s">
        <v>4113</v>
      </c>
      <c r="AG1124" t="s">
        <v>806</v>
      </c>
      <c r="AH1124" t="s">
        <v>889</v>
      </c>
      <c r="AI1124" t="s">
        <v>889</v>
      </c>
      <c r="AJ1124" t="s">
        <v>1054</v>
      </c>
      <c r="AK1124">
        <v>1</v>
      </c>
      <c r="AL1124" t="s">
        <v>4190</v>
      </c>
      <c r="AM1124" t="s">
        <v>4191</v>
      </c>
      <c r="AN1124" t="s">
        <v>4352</v>
      </c>
      <c r="AO1124" t="s">
        <v>66</v>
      </c>
      <c r="AP1124">
        <v>1</v>
      </c>
      <c r="AQ1124" t="s">
        <v>4353</v>
      </c>
      <c r="AR1124" t="s">
        <v>4354</v>
      </c>
      <c r="AS1124" t="s">
        <v>4355</v>
      </c>
      <c r="AT1124" t="s">
        <v>66</v>
      </c>
    </row>
    <row r="1125" spans="1:46" x14ac:dyDescent="0.15">
      <c r="A1125" t="s">
        <v>4472</v>
      </c>
      <c r="B1125" t="s">
        <v>4103</v>
      </c>
      <c r="C1125" t="s">
        <v>4104</v>
      </c>
      <c r="D1125">
        <v>90</v>
      </c>
      <c r="E1125" t="s">
        <v>4105</v>
      </c>
      <c r="F1125" t="s">
        <v>718</v>
      </c>
      <c r="G1125" t="s">
        <v>51</v>
      </c>
      <c r="H1125" t="s">
        <v>4106</v>
      </c>
      <c r="I1125" t="s">
        <v>1553</v>
      </c>
      <c r="J1125" t="s">
        <v>721</v>
      </c>
      <c r="K1125" t="s">
        <v>3594</v>
      </c>
      <c r="L1125" t="s">
        <v>16</v>
      </c>
      <c r="M1125" t="s">
        <v>19</v>
      </c>
      <c r="N1125">
        <v>5495</v>
      </c>
      <c r="O1125">
        <v>297</v>
      </c>
      <c r="P1125">
        <v>0</v>
      </c>
      <c r="Q1125" t="s">
        <v>4473</v>
      </c>
      <c r="R1125" t="s">
        <v>4474</v>
      </c>
      <c r="S1125" t="s">
        <v>2010</v>
      </c>
      <c r="T1125" t="s">
        <v>4475</v>
      </c>
      <c r="U1125" t="s">
        <v>60</v>
      </c>
      <c r="V1125" t="s">
        <v>61</v>
      </c>
      <c r="W1125">
        <v>3</v>
      </c>
      <c r="X1125">
        <v>8.3125000000000004E-2</v>
      </c>
      <c r="Y1125" t="s">
        <v>654</v>
      </c>
      <c r="Z1125" t="s">
        <v>655</v>
      </c>
      <c r="AA1125">
        <v>4</v>
      </c>
      <c r="AB1125" t="s">
        <v>4109</v>
      </c>
      <c r="AC1125" t="s">
        <v>4110</v>
      </c>
      <c r="AD1125" t="s">
        <v>4111</v>
      </c>
      <c r="AE1125" t="s">
        <v>4112</v>
      </c>
      <c r="AF1125" t="s">
        <v>4113</v>
      </c>
      <c r="AG1125" t="s">
        <v>806</v>
      </c>
      <c r="AH1125" t="s">
        <v>889</v>
      </c>
      <c r="AI1125" t="s">
        <v>889</v>
      </c>
      <c r="AJ1125" t="s">
        <v>1054</v>
      </c>
      <c r="AK1125">
        <v>1</v>
      </c>
      <c r="AL1125" t="s">
        <v>4190</v>
      </c>
      <c r="AM1125" t="s">
        <v>4191</v>
      </c>
      <c r="AN1125" t="s">
        <v>4352</v>
      </c>
      <c r="AO1125" t="s">
        <v>66</v>
      </c>
      <c r="AP1125">
        <v>1</v>
      </c>
      <c r="AQ1125" t="s">
        <v>4353</v>
      </c>
      <c r="AR1125" t="s">
        <v>4354</v>
      </c>
      <c r="AS1125" t="s">
        <v>4355</v>
      </c>
      <c r="AT1125" t="s">
        <v>66</v>
      </c>
    </row>
    <row r="1126" spans="1:46" x14ac:dyDescent="0.15">
      <c r="A1126" t="s">
        <v>4476</v>
      </c>
      <c r="B1126" t="s">
        <v>4103</v>
      </c>
      <c r="C1126" t="s">
        <v>4104</v>
      </c>
      <c r="D1126">
        <v>91</v>
      </c>
      <c r="E1126" t="s">
        <v>4105</v>
      </c>
      <c r="F1126" t="s">
        <v>718</v>
      </c>
      <c r="G1126" t="s">
        <v>51</v>
      </c>
      <c r="H1126" t="s">
        <v>4106</v>
      </c>
      <c r="I1126" t="s">
        <v>1553</v>
      </c>
      <c r="J1126" t="s">
        <v>721</v>
      </c>
      <c r="K1126" t="s">
        <v>3594</v>
      </c>
      <c r="L1126" t="s">
        <v>16</v>
      </c>
      <c r="M1126" t="s">
        <v>19</v>
      </c>
      <c r="N1126">
        <v>5551</v>
      </c>
      <c r="O1126">
        <v>300</v>
      </c>
      <c r="P1126">
        <v>0</v>
      </c>
      <c r="Q1126" t="s">
        <v>4477</v>
      </c>
      <c r="R1126" t="s">
        <v>4478</v>
      </c>
      <c r="S1126" t="s">
        <v>2015</v>
      </c>
      <c r="T1126" t="s">
        <v>4479</v>
      </c>
      <c r="U1126" t="s">
        <v>60</v>
      </c>
      <c r="V1126" t="s">
        <v>61</v>
      </c>
      <c r="W1126">
        <v>3</v>
      </c>
      <c r="X1126">
        <v>8.3125000000000004E-2</v>
      </c>
      <c r="Y1126" t="s">
        <v>363</v>
      </c>
      <c r="Z1126" t="s">
        <v>661</v>
      </c>
      <c r="AA1126">
        <v>4</v>
      </c>
      <c r="AB1126" t="s">
        <v>4109</v>
      </c>
      <c r="AC1126" t="s">
        <v>4110</v>
      </c>
      <c r="AD1126" t="s">
        <v>4111</v>
      </c>
      <c r="AE1126" t="s">
        <v>4112</v>
      </c>
      <c r="AF1126" t="s">
        <v>4113</v>
      </c>
      <c r="AG1126" t="s">
        <v>806</v>
      </c>
      <c r="AH1126" t="s">
        <v>889</v>
      </c>
      <c r="AI1126" t="s">
        <v>889</v>
      </c>
      <c r="AJ1126" t="s">
        <v>1054</v>
      </c>
      <c r="AK1126">
        <v>1</v>
      </c>
      <c r="AL1126" t="s">
        <v>4190</v>
      </c>
      <c r="AM1126" t="s">
        <v>4191</v>
      </c>
      <c r="AN1126" t="s">
        <v>4352</v>
      </c>
      <c r="AO1126" t="s">
        <v>66</v>
      </c>
      <c r="AP1126">
        <v>1</v>
      </c>
      <c r="AQ1126" t="s">
        <v>4353</v>
      </c>
      <c r="AR1126" t="s">
        <v>4354</v>
      </c>
      <c r="AS1126" t="s">
        <v>4355</v>
      </c>
      <c r="AT1126" t="s">
        <v>66</v>
      </c>
    </row>
    <row r="1127" spans="1:46" x14ac:dyDescent="0.15">
      <c r="A1127" t="s">
        <v>4480</v>
      </c>
      <c r="B1127" t="s">
        <v>4103</v>
      </c>
      <c r="C1127" t="s">
        <v>4104</v>
      </c>
      <c r="D1127">
        <v>92</v>
      </c>
      <c r="E1127" t="s">
        <v>4105</v>
      </c>
      <c r="F1127" t="s">
        <v>718</v>
      </c>
      <c r="G1127" t="s">
        <v>51</v>
      </c>
      <c r="H1127" t="s">
        <v>4106</v>
      </c>
      <c r="I1127" t="s">
        <v>1553</v>
      </c>
      <c r="J1127" t="s">
        <v>721</v>
      </c>
      <c r="K1127" t="s">
        <v>3594</v>
      </c>
      <c r="L1127" t="s">
        <v>16</v>
      </c>
      <c r="M1127" t="s">
        <v>19</v>
      </c>
      <c r="N1127">
        <v>5607</v>
      </c>
      <c r="O1127">
        <v>303</v>
      </c>
      <c r="P1127">
        <v>0</v>
      </c>
      <c r="Q1127" t="s">
        <v>4481</v>
      </c>
      <c r="R1127" t="s">
        <v>4482</v>
      </c>
      <c r="S1127" t="s">
        <v>2020</v>
      </c>
      <c r="T1127" t="s">
        <v>4483</v>
      </c>
      <c r="U1127" t="s">
        <v>60</v>
      </c>
      <c r="V1127" t="s">
        <v>61</v>
      </c>
      <c r="W1127">
        <v>3</v>
      </c>
      <c r="X1127">
        <v>8.3125000000000004E-2</v>
      </c>
      <c r="Y1127" t="s">
        <v>667</v>
      </c>
      <c r="Z1127" t="s">
        <v>668</v>
      </c>
      <c r="AA1127">
        <v>4</v>
      </c>
      <c r="AB1127" t="s">
        <v>4109</v>
      </c>
      <c r="AC1127" t="s">
        <v>4110</v>
      </c>
      <c r="AD1127" t="s">
        <v>4111</v>
      </c>
      <c r="AE1127" t="s">
        <v>4112</v>
      </c>
      <c r="AF1127" t="s">
        <v>4113</v>
      </c>
      <c r="AG1127" t="s">
        <v>806</v>
      </c>
      <c r="AH1127" t="s">
        <v>889</v>
      </c>
      <c r="AI1127" t="s">
        <v>889</v>
      </c>
      <c r="AJ1127" t="s">
        <v>1054</v>
      </c>
      <c r="AK1127">
        <v>1</v>
      </c>
      <c r="AL1127" t="s">
        <v>4190</v>
      </c>
      <c r="AM1127" t="s">
        <v>4191</v>
      </c>
      <c r="AN1127" t="s">
        <v>4352</v>
      </c>
      <c r="AO1127" t="s">
        <v>66</v>
      </c>
      <c r="AP1127">
        <v>1</v>
      </c>
      <c r="AQ1127" t="s">
        <v>4353</v>
      </c>
      <c r="AR1127" t="s">
        <v>4354</v>
      </c>
      <c r="AS1127" t="s">
        <v>4355</v>
      </c>
      <c r="AT1127" t="s">
        <v>66</v>
      </c>
    </row>
    <row r="1128" spans="1:46" x14ac:dyDescent="0.15">
      <c r="A1128" t="s">
        <v>4484</v>
      </c>
      <c r="B1128" t="s">
        <v>4103</v>
      </c>
      <c r="C1128" t="s">
        <v>4104</v>
      </c>
      <c r="D1128">
        <v>93</v>
      </c>
      <c r="E1128" t="s">
        <v>4105</v>
      </c>
      <c r="F1128" t="s">
        <v>718</v>
      </c>
      <c r="G1128" t="s">
        <v>51</v>
      </c>
      <c r="H1128" t="s">
        <v>4106</v>
      </c>
      <c r="I1128" t="s">
        <v>1553</v>
      </c>
      <c r="J1128" t="s">
        <v>721</v>
      </c>
      <c r="K1128" t="s">
        <v>3594</v>
      </c>
      <c r="L1128" t="s">
        <v>16</v>
      </c>
      <c r="M1128" t="s">
        <v>19</v>
      </c>
      <c r="N1128">
        <v>5663</v>
      </c>
      <c r="O1128">
        <v>306</v>
      </c>
      <c r="P1128">
        <v>0</v>
      </c>
      <c r="Q1128" t="s">
        <v>4485</v>
      </c>
      <c r="R1128" t="s">
        <v>4486</v>
      </c>
      <c r="S1128" t="s">
        <v>2025</v>
      </c>
      <c r="T1128" t="s">
        <v>4487</v>
      </c>
      <c r="U1128" t="s">
        <v>60</v>
      </c>
      <c r="V1128" t="s">
        <v>61</v>
      </c>
      <c r="W1128">
        <v>3</v>
      </c>
      <c r="X1128">
        <v>8.3125000000000004E-2</v>
      </c>
      <c r="Y1128" t="s">
        <v>369</v>
      </c>
      <c r="Z1128" t="s">
        <v>674</v>
      </c>
      <c r="AA1128">
        <v>4</v>
      </c>
      <c r="AB1128" t="s">
        <v>4109</v>
      </c>
      <c r="AC1128" t="s">
        <v>4110</v>
      </c>
      <c r="AD1128" t="s">
        <v>4111</v>
      </c>
      <c r="AE1128" t="s">
        <v>4112</v>
      </c>
      <c r="AF1128" t="s">
        <v>4113</v>
      </c>
      <c r="AG1128" t="s">
        <v>806</v>
      </c>
      <c r="AH1128" t="s">
        <v>889</v>
      </c>
      <c r="AI1128" t="s">
        <v>889</v>
      </c>
      <c r="AJ1128" t="s">
        <v>1054</v>
      </c>
      <c r="AK1128">
        <v>1</v>
      </c>
      <c r="AL1128" t="s">
        <v>4190</v>
      </c>
      <c r="AM1128" t="s">
        <v>4191</v>
      </c>
      <c r="AN1128" t="s">
        <v>4352</v>
      </c>
      <c r="AO1128" t="s">
        <v>66</v>
      </c>
      <c r="AP1128">
        <v>1</v>
      </c>
      <c r="AQ1128" t="s">
        <v>4353</v>
      </c>
      <c r="AR1128" t="s">
        <v>4354</v>
      </c>
      <c r="AS1128" t="s">
        <v>4355</v>
      </c>
      <c r="AT1128" t="s">
        <v>66</v>
      </c>
    </row>
    <row r="1129" spans="1:46" x14ac:dyDescent="0.15">
      <c r="A1129" t="s">
        <v>4488</v>
      </c>
      <c r="B1129" t="s">
        <v>4103</v>
      </c>
      <c r="C1129" t="s">
        <v>4104</v>
      </c>
      <c r="D1129">
        <v>94</v>
      </c>
      <c r="E1129" t="s">
        <v>4105</v>
      </c>
      <c r="F1129" t="s">
        <v>718</v>
      </c>
      <c r="G1129" t="s">
        <v>51</v>
      </c>
      <c r="H1129" t="s">
        <v>4106</v>
      </c>
      <c r="I1129" t="s">
        <v>1553</v>
      </c>
      <c r="J1129" t="s">
        <v>721</v>
      </c>
      <c r="K1129" t="s">
        <v>3594</v>
      </c>
      <c r="L1129" t="s">
        <v>16</v>
      </c>
      <c r="M1129" t="s">
        <v>19</v>
      </c>
      <c r="N1129">
        <v>5719</v>
      </c>
      <c r="O1129">
        <v>309</v>
      </c>
      <c r="P1129">
        <v>0</v>
      </c>
      <c r="Q1129" t="s">
        <v>4489</v>
      </c>
      <c r="R1129" t="s">
        <v>4490</v>
      </c>
      <c r="S1129" t="s">
        <v>2030</v>
      </c>
      <c r="T1129" t="s">
        <v>4491</v>
      </c>
      <c r="U1129" t="s">
        <v>60</v>
      </c>
      <c r="V1129" t="s">
        <v>61</v>
      </c>
      <c r="W1129">
        <v>3</v>
      </c>
      <c r="X1129">
        <v>8.3125000000000004E-2</v>
      </c>
      <c r="Y1129" t="s">
        <v>680</v>
      </c>
      <c r="Z1129" t="s">
        <v>681</v>
      </c>
      <c r="AA1129">
        <v>4</v>
      </c>
      <c r="AB1129" t="s">
        <v>4109</v>
      </c>
      <c r="AC1129" t="s">
        <v>4110</v>
      </c>
      <c r="AD1129" t="s">
        <v>4111</v>
      </c>
      <c r="AE1129" t="s">
        <v>4112</v>
      </c>
      <c r="AF1129" t="s">
        <v>4113</v>
      </c>
      <c r="AG1129" t="s">
        <v>806</v>
      </c>
      <c r="AH1129" t="s">
        <v>889</v>
      </c>
      <c r="AI1129" t="s">
        <v>889</v>
      </c>
      <c r="AJ1129" t="s">
        <v>1054</v>
      </c>
      <c r="AK1129">
        <v>1</v>
      </c>
      <c r="AL1129" t="s">
        <v>4190</v>
      </c>
      <c r="AM1129" t="s">
        <v>4191</v>
      </c>
      <c r="AN1129" t="s">
        <v>4352</v>
      </c>
      <c r="AO1129" t="s">
        <v>66</v>
      </c>
      <c r="AP1129">
        <v>1</v>
      </c>
      <c r="AQ1129" t="s">
        <v>4353</v>
      </c>
      <c r="AR1129" t="s">
        <v>4354</v>
      </c>
      <c r="AS1129" t="s">
        <v>4355</v>
      </c>
      <c r="AT1129" t="s">
        <v>66</v>
      </c>
    </row>
    <row r="1130" spans="1:46" x14ac:dyDescent="0.15">
      <c r="A1130" t="s">
        <v>4492</v>
      </c>
      <c r="B1130" t="s">
        <v>4103</v>
      </c>
      <c r="C1130" t="s">
        <v>4104</v>
      </c>
      <c r="D1130">
        <v>95</v>
      </c>
      <c r="E1130" t="s">
        <v>4105</v>
      </c>
      <c r="F1130" t="s">
        <v>718</v>
      </c>
      <c r="G1130" t="s">
        <v>51</v>
      </c>
      <c r="H1130" t="s">
        <v>4106</v>
      </c>
      <c r="I1130" t="s">
        <v>1553</v>
      </c>
      <c r="J1130" t="s">
        <v>721</v>
      </c>
      <c r="K1130" t="s">
        <v>3594</v>
      </c>
      <c r="L1130" t="s">
        <v>16</v>
      </c>
      <c r="M1130" t="s">
        <v>19</v>
      </c>
      <c r="N1130">
        <v>5776</v>
      </c>
      <c r="O1130">
        <v>312</v>
      </c>
      <c r="P1130">
        <v>0</v>
      </c>
      <c r="Q1130" t="s">
        <v>4493</v>
      </c>
      <c r="R1130" t="s">
        <v>4494</v>
      </c>
      <c r="S1130" t="s">
        <v>2035</v>
      </c>
      <c r="T1130" t="s">
        <v>4495</v>
      </c>
      <c r="U1130" t="s">
        <v>60</v>
      </c>
      <c r="V1130" t="s">
        <v>61</v>
      </c>
      <c r="W1130">
        <v>3</v>
      </c>
      <c r="X1130">
        <v>8.3125000000000004E-2</v>
      </c>
      <c r="Y1130" t="s">
        <v>376</v>
      </c>
      <c r="Z1130" t="s">
        <v>687</v>
      </c>
      <c r="AA1130">
        <v>4</v>
      </c>
      <c r="AB1130" t="s">
        <v>4109</v>
      </c>
      <c r="AC1130" t="s">
        <v>4110</v>
      </c>
      <c r="AD1130" t="s">
        <v>4111</v>
      </c>
      <c r="AE1130" t="s">
        <v>4112</v>
      </c>
      <c r="AF1130" t="s">
        <v>4113</v>
      </c>
      <c r="AG1130" t="s">
        <v>806</v>
      </c>
      <c r="AH1130" t="s">
        <v>889</v>
      </c>
      <c r="AI1130" t="s">
        <v>889</v>
      </c>
      <c r="AJ1130" t="s">
        <v>1054</v>
      </c>
      <c r="AK1130">
        <v>1</v>
      </c>
      <c r="AL1130" t="s">
        <v>4190</v>
      </c>
      <c r="AM1130" t="s">
        <v>4191</v>
      </c>
      <c r="AN1130" t="s">
        <v>4352</v>
      </c>
      <c r="AO1130" t="s">
        <v>66</v>
      </c>
      <c r="AP1130">
        <v>1</v>
      </c>
      <c r="AQ1130" t="s">
        <v>4353</v>
      </c>
      <c r="AR1130" t="s">
        <v>4354</v>
      </c>
      <c r="AS1130" t="s">
        <v>4355</v>
      </c>
      <c r="AT1130" t="s">
        <v>66</v>
      </c>
    </row>
    <row r="1131" spans="1:46" x14ac:dyDescent="0.15">
      <c r="A1131" t="s">
        <v>4496</v>
      </c>
      <c r="B1131" t="s">
        <v>4103</v>
      </c>
      <c r="C1131" t="s">
        <v>4104</v>
      </c>
      <c r="D1131">
        <v>96</v>
      </c>
      <c r="E1131" t="s">
        <v>4105</v>
      </c>
      <c r="F1131" t="s">
        <v>718</v>
      </c>
      <c r="G1131" t="s">
        <v>51</v>
      </c>
      <c r="H1131" t="s">
        <v>4106</v>
      </c>
      <c r="I1131" t="s">
        <v>1553</v>
      </c>
      <c r="J1131" t="s">
        <v>721</v>
      </c>
      <c r="K1131" t="s">
        <v>3594</v>
      </c>
      <c r="L1131" t="s">
        <v>16</v>
      </c>
      <c r="M1131" t="s">
        <v>19</v>
      </c>
      <c r="N1131">
        <v>5832</v>
      </c>
      <c r="O1131">
        <v>315</v>
      </c>
      <c r="P1131">
        <v>0</v>
      </c>
      <c r="Q1131" t="s">
        <v>4497</v>
      </c>
      <c r="R1131" t="s">
        <v>4498</v>
      </c>
      <c r="S1131" t="s">
        <v>2039</v>
      </c>
      <c r="T1131" t="s">
        <v>4499</v>
      </c>
      <c r="U1131" t="s">
        <v>60</v>
      </c>
      <c r="V1131" t="s">
        <v>61</v>
      </c>
      <c r="W1131">
        <v>3</v>
      </c>
      <c r="X1131">
        <v>8.3125000000000004E-2</v>
      </c>
      <c r="Y1131" t="s">
        <v>693</v>
      </c>
      <c r="Z1131" t="s">
        <v>694</v>
      </c>
      <c r="AA1131">
        <v>4</v>
      </c>
      <c r="AB1131" t="s">
        <v>4109</v>
      </c>
      <c r="AC1131" t="s">
        <v>4110</v>
      </c>
      <c r="AD1131" t="s">
        <v>4111</v>
      </c>
      <c r="AE1131" t="s">
        <v>4112</v>
      </c>
      <c r="AF1131" t="s">
        <v>4113</v>
      </c>
      <c r="AG1131" t="s">
        <v>806</v>
      </c>
      <c r="AH1131" t="s">
        <v>889</v>
      </c>
      <c r="AI1131" t="s">
        <v>889</v>
      </c>
      <c r="AJ1131" t="s">
        <v>1054</v>
      </c>
      <c r="AK1131">
        <v>1</v>
      </c>
      <c r="AL1131" t="s">
        <v>4190</v>
      </c>
      <c r="AM1131" t="s">
        <v>4191</v>
      </c>
      <c r="AN1131" t="s">
        <v>4352</v>
      </c>
      <c r="AO1131" t="s">
        <v>66</v>
      </c>
      <c r="AP1131">
        <v>1</v>
      </c>
      <c r="AQ1131" t="s">
        <v>4353</v>
      </c>
      <c r="AR1131" t="s">
        <v>4354</v>
      </c>
      <c r="AS1131" t="s">
        <v>4355</v>
      </c>
      <c r="AT1131" t="s">
        <v>66</v>
      </c>
    </row>
    <row r="1132" spans="1:46" x14ac:dyDescent="0.15">
      <c r="A1132" t="s">
        <v>4500</v>
      </c>
      <c r="B1132" t="s">
        <v>4103</v>
      </c>
      <c r="C1132" t="s">
        <v>4104</v>
      </c>
      <c r="D1132">
        <v>97</v>
      </c>
      <c r="E1132" t="s">
        <v>4105</v>
      </c>
      <c r="F1132" t="s">
        <v>718</v>
      </c>
      <c r="G1132" t="s">
        <v>51</v>
      </c>
      <c r="H1132" t="s">
        <v>4106</v>
      </c>
      <c r="I1132" t="s">
        <v>1553</v>
      </c>
      <c r="J1132" t="s">
        <v>721</v>
      </c>
      <c r="K1132" t="s">
        <v>3594</v>
      </c>
      <c r="L1132" t="s">
        <v>16</v>
      </c>
      <c r="M1132" t="s">
        <v>19</v>
      </c>
      <c r="N1132">
        <v>5888</v>
      </c>
      <c r="O1132">
        <v>318</v>
      </c>
      <c r="P1132">
        <v>0</v>
      </c>
      <c r="Q1132" t="s">
        <v>4501</v>
      </c>
      <c r="R1132" t="s">
        <v>4502</v>
      </c>
      <c r="S1132" t="s">
        <v>2044</v>
      </c>
      <c r="T1132" t="s">
        <v>4503</v>
      </c>
      <c r="U1132" t="s">
        <v>60</v>
      </c>
      <c r="V1132" t="s">
        <v>61</v>
      </c>
      <c r="W1132">
        <v>3</v>
      </c>
      <c r="X1132">
        <v>8.3125000000000004E-2</v>
      </c>
      <c r="Y1132" t="s">
        <v>382</v>
      </c>
      <c r="Z1132" t="s">
        <v>700</v>
      </c>
      <c r="AA1132">
        <v>4</v>
      </c>
      <c r="AB1132" t="s">
        <v>4109</v>
      </c>
      <c r="AC1132" t="s">
        <v>4110</v>
      </c>
      <c r="AD1132" t="s">
        <v>4111</v>
      </c>
      <c r="AE1132" t="s">
        <v>4112</v>
      </c>
      <c r="AF1132" t="s">
        <v>4113</v>
      </c>
      <c r="AG1132" t="s">
        <v>806</v>
      </c>
      <c r="AH1132" t="s">
        <v>889</v>
      </c>
      <c r="AI1132" t="s">
        <v>889</v>
      </c>
      <c r="AJ1132" t="s">
        <v>1054</v>
      </c>
      <c r="AK1132">
        <v>1</v>
      </c>
      <c r="AL1132" t="s">
        <v>4190</v>
      </c>
      <c r="AM1132" t="s">
        <v>4191</v>
      </c>
      <c r="AN1132" t="s">
        <v>4352</v>
      </c>
      <c r="AO1132" t="s">
        <v>66</v>
      </c>
      <c r="AP1132">
        <v>1</v>
      </c>
      <c r="AQ1132" t="s">
        <v>4353</v>
      </c>
      <c r="AR1132" t="s">
        <v>4354</v>
      </c>
      <c r="AS1132" t="s">
        <v>4355</v>
      </c>
      <c r="AT1132" t="s">
        <v>66</v>
      </c>
    </row>
    <row r="1133" spans="1:46" x14ac:dyDescent="0.15">
      <c r="A1133" t="s">
        <v>4504</v>
      </c>
      <c r="B1133" t="s">
        <v>4103</v>
      </c>
      <c r="C1133" t="s">
        <v>4104</v>
      </c>
      <c r="D1133">
        <v>98</v>
      </c>
      <c r="E1133" t="s">
        <v>4105</v>
      </c>
      <c r="F1133" t="s">
        <v>718</v>
      </c>
      <c r="G1133" t="s">
        <v>51</v>
      </c>
      <c r="H1133" t="s">
        <v>4106</v>
      </c>
      <c r="I1133" t="s">
        <v>1553</v>
      </c>
      <c r="J1133" t="s">
        <v>721</v>
      </c>
      <c r="K1133" t="s">
        <v>3594</v>
      </c>
      <c r="L1133" t="s">
        <v>16</v>
      </c>
      <c r="M1133" t="s">
        <v>19</v>
      </c>
      <c r="N1133">
        <v>5944</v>
      </c>
      <c r="O1133">
        <v>321</v>
      </c>
      <c r="P1133">
        <v>0</v>
      </c>
      <c r="Q1133" t="s">
        <v>4505</v>
      </c>
      <c r="R1133" t="s">
        <v>4506</v>
      </c>
      <c r="S1133" t="s">
        <v>2049</v>
      </c>
      <c r="T1133" t="s">
        <v>4507</v>
      </c>
      <c r="U1133" t="s">
        <v>60</v>
      </c>
      <c r="V1133" t="s">
        <v>61</v>
      </c>
      <c r="W1133">
        <v>3</v>
      </c>
      <c r="X1133">
        <v>8.3125000000000004E-2</v>
      </c>
      <c r="Y1133" t="s">
        <v>706</v>
      </c>
      <c r="Z1133" t="s">
        <v>707</v>
      </c>
      <c r="AA1133">
        <v>4</v>
      </c>
      <c r="AB1133" t="s">
        <v>4109</v>
      </c>
      <c r="AC1133" t="s">
        <v>4110</v>
      </c>
      <c r="AD1133" t="s">
        <v>4111</v>
      </c>
      <c r="AE1133" t="s">
        <v>4112</v>
      </c>
      <c r="AF1133" t="s">
        <v>4113</v>
      </c>
      <c r="AG1133" t="s">
        <v>806</v>
      </c>
      <c r="AH1133" t="s">
        <v>889</v>
      </c>
      <c r="AI1133" t="s">
        <v>889</v>
      </c>
      <c r="AJ1133" t="s">
        <v>1054</v>
      </c>
      <c r="AK1133">
        <v>1</v>
      </c>
      <c r="AL1133" t="s">
        <v>4190</v>
      </c>
      <c r="AM1133" t="s">
        <v>4191</v>
      </c>
      <c r="AN1133" t="s">
        <v>4352</v>
      </c>
      <c r="AO1133" t="s">
        <v>66</v>
      </c>
      <c r="AP1133">
        <v>1</v>
      </c>
      <c r="AQ1133" t="s">
        <v>4353</v>
      </c>
      <c r="AR1133" t="s">
        <v>4354</v>
      </c>
      <c r="AS1133" t="s">
        <v>4355</v>
      </c>
      <c r="AT1133" t="s">
        <v>66</v>
      </c>
    </row>
    <row r="1134" spans="1:46" x14ac:dyDescent="0.15">
      <c r="A1134" t="s">
        <v>4508</v>
      </c>
      <c r="B1134" t="s">
        <v>4103</v>
      </c>
      <c r="C1134" t="s">
        <v>4104</v>
      </c>
      <c r="D1134">
        <v>99</v>
      </c>
      <c r="E1134" t="s">
        <v>4105</v>
      </c>
      <c r="F1134" t="s">
        <v>718</v>
      </c>
      <c r="G1134" t="s">
        <v>51</v>
      </c>
      <c r="H1134" t="s">
        <v>4106</v>
      </c>
      <c r="I1134" t="s">
        <v>1553</v>
      </c>
      <c r="J1134" t="s">
        <v>721</v>
      </c>
      <c r="K1134" t="s">
        <v>3594</v>
      </c>
      <c r="L1134" t="s">
        <v>16</v>
      </c>
      <c r="M1134" t="s">
        <v>19</v>
      </c>
      <c r="N1134">
        <v>6000</v>
      </c>
      <c r="O1134">
        <v>324</v>
      </c>
      <c r="P1134">
        <v>0</v>
      </c>
      <c r="Q1134" t="s">
        <v>4509</v>
      </c>
      <c r="R1134" t="s">
        <v>4510</v>
      </c>
      <c r="S1134" t="s">
        <v>2054</v>
      </c>
      <c r="T1134" t="s">
        <v>4511</v>
      </c>
      <c r="U1134" t="s">
        <v>60</v>
      </c>
      <c r="V1134" t="s">
        <v>61</v>
      </c>
      <c r="W1134">
        <v>3</v>
      </c>
      <c r="X1134">
        <v>8.3125000000000004E-2</v>
      </c>
      <c r="Y1134" t="s">
        <v>389</v>
      </c>
      <c r="Z1134" t="s">
        <v>713</v>
      </c>
      <c r="AA1134">
        <v>4</v>
      </c>
      <c r="AB1134" t="s">
        <v>4109</v>
      </c>
      <c r="AC1134" t="s">
        <v>4110</v>
      </c>
      <c r="AD1134" t="s">
        <v>4111</v>
      </c>
      <c r="AE1134" t="s">
        <v>4112</v>
      </c>
      <c r="AF1134" t="s">
        <v>4113</v>
      </c>
      <c r="AG1134" t="s">
        <v>806</v>
      </c>
      <c r="AH1134" t="s">
        <v>889</v>
      </c>
      <c r="AI1134" t="s">
        <v>889</v>
      </c>
      <c r="AJ1134" t="s">
        <v>1054</v>
      </c>
      <c r="AK1134">
        <v>1</v>
      </c>
      <c r="AL1134" t="s">
        <v>4190</v>
      </c>
      <c r="AM1134" t="s">
        <v>4191</v>
      </c>
      <c r="AN1134" t="s">
        <v>4352</v>
      </c>
      <c r="AO1134" t="s">
        <v>66</v>
      </c>
      <c r="AP1134">
        <v>1</v>
      </c>
      <c r="AQ1134" t="s">
        <v>4353</v>
      </c>
      <c r="AR1134" t="s">
        <v>4354</v>
      </c>
      <c r="AS1134" t="s">
        <v>4355</v>
      </c>
      <c r="AT1134" t="s">
        <v>66</v>
      </c>
    </row>
    <row r="1135" spans="1:46" x14ac:dyDescent="0.15">
      <c r="A1135" t="s">
        <v>4512</v>
      </c>
      <c r="B1135" t="s">
        <v>4513</v>
      </c>
      <c r="C1135" t="s">
        <v>4514</v>
      </c>
      <c r="D1135">
        <v>1</v>
      </c>
      <c r="E1135" t="s">
        <v>4515</v>
      </c>
      <c r="F1135" t="s">
        <v>4516</v>
      </c>
      <c r="G1135" t="s">
        <v>51</v>
      </c>
      <c r="H1135" t="s">
        <v>4517</v>
      </c>
      <c r="I1135" t="s">
        <v>1553</v>
      </c>
      <c r="J1135" t="s">
        <v>4518</v>
      </c>
      <c r="K1135" t="s">
        <v>1555</v>
      </c>
      <c r="L1135" t="s">
        <v>19</v>
      </c>
      <c r="M1135" t="s">
        <v>17</v>
      </c>
      <c r="N1135">
        <v>500</v>
      </c>
      <c r="O1135">
        <v>30</v>
      </c>
      <c r="P1135">
        <v>0</v>
      </c>
      <c r="Q1135" t="s">
        <v>4519</v>
      </c>
      <c r="R1135" t="s">
        <v>2062</v>
      </c>
      <c r="S1135" t="s">
        <v>4520</v>
      </c>
      <c r="T1135" t="s">
        <v>4521</v>
      </c>
      <c r="U1135" t="s">
        <v>60</v>
      </c>
      <c r="V1135" t="s">
        <v>61</v>
      </c>
      <c r="W1135">
        <v>3</v>
      </c>
      <c r="X1135">
        <v>0.13387499999999999</v>
      </c>
      <c r="Y1135" t="s">
        <v>62</v>
      </c>
      <c r="Z1135" t="s">
        <v>62</v>
      </c>
      <c r="AA1135">
        <v>0</v>
      </c>
      <c r="AB1135" t="s">
        <v>4522</v>
      </c>
      <c r="AC1135" t="s">
        <v>4523</v>
      </c>
      <c r="AD1135" t="s">
        <v>4524</v>
      </c>
      <c r="AE1135" t="s">
        <v>4525</v>
      </c>
      <c r="AF1135" t="s">
        <v>4526</v>
      </c>
      <c r="AG1135" t="s">
        <v>66</v>
      </c>
      <c r="AH1135" t="s">
        <v>66</v>
      </c>
      <c r="AI1135" t="s">
        <v>66</v>
      </c>
      <c r="AJ1135" t="s">
        <v>66</v>
      </c>
      <c r="AK1135">
        <v>1</v>
      </c>
      <c r="AL1135" t="s">
        <v>66</v>
      </c>
      <c r="AM1135" t="s">
        <v>66</v>
      </c>
      <c r="AN1135" t="s">
        <v>66</v>
      </c>
      <c r="AO1135" t="s">
        <v>66</v>
      </c>
      <c r="AP1135">
        <v>1</v>
      </c>
      <c r="AQ1135" t="s">
        <v>66</v>
      </c>
      <c r="AR1135" t="s">
        <v>66</v>
      </c>
      <c r="AS1135" t="s">
        <v>66</v>
      </c>
      <c r="AT1135" t="s">
        <v>66</v>
      </c>
    </row>
    <row r="1136" spans="1:46" x14ac:dyDescent="0.15">
      <c r="A1136" t="s">
        <v>4527</v>
      </c>
      <c r="B1136" t="s">
        <v>4513</v>
      </c>
      <c r="C1136" t="s">
        <v>4514</v>
      </c>
      <c r="D1136">
        <v>2</v>
      </c>
      <c r="E1136" t="s">
        <v>4515</v>
      </c>
      <c r="F1136" t="s">
        <v>4516</v>
      </c>
      <c r="G1136" t="s">
        <v>51</v>
      </c>
      <c r="H1136" t="s">
        <v>4517</v>
      </c>
      <c r="I1136" t="s">
        <v>1553</v>
      </c>
      <c r="J1136" t="s">
        <v>4518</v>
      </c>
      <c r="K1136" t="s">
        <v>1555</v>
      </c>
      <c r="L1136" t="s">
        <v>19</v>
      </c>
      <c r="M1136" t="s">
        <v>17</v>
      </c>
      <c r="N1136">
        <v>556</v>
      </c>
      <c r="O1136">
        <v>33</v>
      </c>
      <c r="P1136">
        <v>0</v>
      </c>
      <c r="Q1136" t="s">
        <v>4528</v>
      </c>
      <c r="R1136" t="s">
        <v>2072</v>
      </c>
      <c r="S1136" t="s">
        <v>4529</v>
      </c>
      <c r="T1136" t="s">
        <v>4133</v>
      </c>
      <c r="U1136" t="s">
        <v>60</v>
      </c>
      <c r="V1136" t="s">
        <v>61</v>
      </c>
      <c r="W1136">
        <v>3</v>
      </c>
      <c r="X1136">
        <v>0.13387499999999999</v>
      </c>
      <c r="Y1136" t="s">
        <v>72</v>
      </c>
      <c r="Z1136" t="s">
        <v>73</v>
      </c>
      <c r="AA1136">
        <v>0</v>
      </c>
      <c r="AB1136" t="s">
        <v>4522</v>
      </c>
      <c r="AC1136" t="s">
        <v>4523</v>
      </c>
      <c r="AD1136" t="s">
        <v>4524</v>
      </c>
      <c r="AE1136" t="s">
        <v>4525</v>
      </c>
      <c r="AF1136" t="s">
        <v>4526</v>
      </c>
      <c r="AG1136" t="s">
        <v>66</v>
      </c>
      <c r="AH1136" t="s">
        <v>66</v>
      </c>
      <c r="AI1136" t="s">
        <v>66</v>
      </c>
      <c r="AJ1136" t="s">
        <v>66</v>
      </c>
      <c r="AK1136">
        <v>1</v>
      </c>
      <c r="AL1136" t="s">
        <v>66</v>
      </c>
      <c r="AM1136" t="s">
        <v>66</v>
      </c>
      <c r="AN1136" t="s">
        <v>66</v>
      </c>
      <c r="AO1136" t="s">
        <v>66</v>
      </c>
      <c r="AP1136">
        <v>1</v>
      </c>
      <c r="AQ1136" t="s">
        <v>66</v>
      </c>
      <c r="AR1136" t="s">
        <v>66</v>
      </c>
      <c r="AS1136" t="s">
        <v>66</v>
      </c>
      <c r="AT1136" t="s">
        <v>66</v>
      </c>
    </row>
    <row r="1137" spans="1:46" x14ac:dyDescent="0.15">
      <c r="A1137" t="s">
        <v>4530</v>
      </c>
      <c r="B1137" t="s">
        <v>4513</v>
      </c>
      <c r="C1137" t="s">
        <v>4514</v>
      </c>
      <c r="D1137">
        <v>3</v>
      </c>
      <c r="E1137" t="s">
        <v>4515</v>
      </c>
      <c r="F1137" t="s">
        <v>4516</v>
      </c>
      <c r="G1137" t="s">
        <v>51</v>
      </c>
      <c r="H1137" t="s">
        <v>4517</v>
      </c>
      <c r="I1137" t="s">
        <v>1553</v>
      </c>
      <c r="J1137" t="s">
        <v>4518</v>
      </c>
      <c r="K1137" t="s">
        <v>1555</v>
      </c>
      <c r="L1137" t="s">
        <v>19</v>
      </c>
      <c r="M1137" t="s">
        <v>17</v>
      </c>
      <c r="N1137">
        <v>612</v>
      </c>
      <c r="O1137">
        <v>36</v>
      </c>
      <c r="P1137">
        <v>0</v>
      </c>
      <c r="Q1137" t="s">
        <v>4531</v>
      </c>
      <c r="R1137" t="s">
        <v>2077</v>
      </c>
      <c r="S1137" t="s">
        <v>4532</v>
      </c>
      <c r="T1137" t="s">
        <v>4533</v>
      </c>
      <c r="U1137" t="s">
        <v>60</v>
      </c>
      <c r="V1137" t="s">
        <v>61</v>
      </c>
      <c r="W1137">
        <v>3</v>
      </c>
      <c r="X1137">
        <v>0.13387499999999999</v>
      </c>
      <c r="Y1137" t="s">
        <v>73</v>
      </c>
      <c r="Z1137" t="s">
        <v>79</v>
      </c>
      <c r="AA1137">
        <v>0</v>
      </c>
      <c r="AB1137" t="s">
        <v>4522</v>
      </c>
      <c r="AC1137" t="s">
        <v>4523</v>
      </c>
      <c r="AD1137" t="s">
        <v>4524</v>
      </c>
      <c r="AE1137" t="s">
        <v>4525</v>
      </c>
      <c r="AF1137" t="s">
        <v>4526</v>
      </c>
      <c r="AG1137" t="s">
        <v>66</v>
      </c>
      <c r="AH1137" t="s">
        <v>66</v>
      </c>
      <c r="AI1137" t="s">
        <v>66</v>
      </c>
      <c r="AJ1137" t="s">
        <v>66</v>
      </c>
      <c r="AK1137">
        <v>1</v>
      </c>
      <c r="AL1137" t="s">
        <v>66</v>
      </c>
      <c r="AM1137" t="s">
        <v>66</v>
      </c>
      <c r="AN1137" t="s">
        <v>66</v>
      </c>
      <c r="AO1137" t="s">
        <v>66</v>
      </c>
      <c r="AP1137">
        <v>1</v>
      </c>
      <c r="AQ1137" t="s">
        <v>66</v>
      </c>
      <c r="AR1137" t="s">
        <v>66</v>
      </c>
      <c r="AS1137" t="s">
        <v>66</v>
      </c>
      <c r="AT1137" t="s">
        <v>66</v>
      </c>
    </row>
    <row r="1138" spans="1:46" x14ac:dyDescent="0.15">
      <c r="A1138" t="s">
        <v>4534</v>
      </c>
      <c r="B1138" t="s">
        <v>4513</v>
      </c>
      <c r="C1138" t="s">
        <v>4514</v>
      </c>
      <c r="D1138">
        <v>4</v>
      </c>
      <c r="E1138" t="s">
        <v>4515</v>
      </c>
      <c r="F1138" t="s">
        <v>4516</v>
      </c>
      <c r="G1138" t="s">
        <v>51</v>
      </c>
      <c r="H1138" t="s">
        <v>4517</v>
      </c>
      <c r="I1138" t="s">
        <v>1553</v>
      </c>
      <c r="J1138" t="s">
        <v>4518</v>
      </c>
      <c r="K1138" t="s">
        <v>1555</v>
      </c>
      <c r="L1138" t="s">
        <v>19</v>
      </c>
      <c r="M1138" t="s">
        <v>17</v>
      </c>
      <c r="N1138">
        <v>668</v>
      </c>
      <c r="O1138">
        <v>39</v>
      </c>
      <c r="P1138">
        <v>0</v>
      </c>
      <c r="Q1138" t="s">
        <v>4535</v>
      </c>
      <c r="R1138" t="s">
        <v>2082</v>
      </c>
      <c r="S1138" t="s">
        <v>4536</v>
      </c>
      <c r="T1138" t="s">
        <v>4537</v>
      </c>
      <c r="U1138" t="s">
        <v>60</v>
      </c>
      <c r="V1138" t="s">
        <v>61</v>
      </c>
      <c r="W1138">
        <v>3</v>
      </c>
      <c r="X1138">
        <v>0.13387499999999999</v>
      </c>
      <c r="Y1138" t="s">
        <v>85</v>
      </c>
      <c r="Z1138" t="s">
        <v>86</v>
      </c>
      <c r="AA1138">
        <v>0</v>
      </c>
      <c r="AB1138" t="s">
        <v>4522</v>
      </c>
      <c r="AC1138" t="s">
        <v>4523</v>
      </c>
      <c r="AD1138" t="s">
        <v>4524</v>
      </c>
      <c r="AE1138" t="s">
        <v>4525</v>
      </c>
      <c r="AF1138" t="s">
        <v>4526</v>
      </c>
      <c r="AG1138" t="s">
        <v>66</v>
      </c>
      <c r="AH1138" t="s">
        <v>66</v>
      </c>
      <c r="AI1138" t="s">
        <v>66</v>
      </c>
      <c r="AJ1138" t="s">
        <v>66</v>
      </c>
      <c r="AK1138">
        <v>1</v>
      </c>
      <c r="AL1138" t="s">
        <v>66</v>
      </c>
      <c r="AM1138" t="s">
        <v>66</v>
      </c>
      <c r="AN1138" t="s">
        <v>66</v>
      </c>
      <c r="AO1138" t="s">
        <v>66</v>
      </c>
      <c r="AP1138">
        <v>1</v>
      </c>
      <c r="AQ1138" t="s">
        <v>66</v>
      </c>
      <c r="AR1138" t="s">
        <v>66</v>
      </c>
      <c r="AS1138" t="s">
        <v>66</v>
      </c>
      <c r="AT1138" t="s">
        <v>66</v>
      </c>
    </row>
    <row r="1139" spans="1:46" x14ac:dyDescent="0.15">
      <c r="A1139" t="s">
        <v>4538</v>
      </c>
      <c r="B1139" t="s">
        <v>4513</v>
      </c>
      <c r="C1139" t="s">
        <v>4514</v>
      </c>
      <c r="D1139">
        <v>5</v>
      </c>
      <c r="E1139" t="s">
        <v>4515</v>
      </c>
      <c r="F1139" t="s">
        <v>4516</v>
      </c>
      <c r="G1139" t="s">
        <v>51</v>
      </c>
      <c r="H1139" t="s">
        <v>4517</v>
      </c>
      <c r="I1139" t="s">
        <v>1553</v>
      </c>
      <c r="J1139" t="s">
        <v>4518</v>
      </c>
      <c r="K1139" t="s">
        <v>1555</v>
      </c>
      <c r="L1139" t="s">
        <v>19</v>
      </c>
      <c r="M1139" t="s">
        <v>17</v>
      </c>
      <c r="N1139">
        <v>724</v>
      </c>
      <c r="O1139">
        <v>43</v>
      </c>
      <c r="P1139">
        <v>0</v>
      </c>
      <c r="Q1139" t="s">
        <v>4539</v>
      </c>
      <c r="R1139" t="s">
        <v>2087</v>
      </c>
      <c r="S1139" t="s">
        <v>4540</v>
      </c>
      <c r="T1139" t="s">
        <v>4541</v>
      </c>
      <c r="U1139" t="s">
        <v>60</v>
      </c>
      <c r="V1139" t="s">
        <v>61</v>
      </c>
      <c r="W1139">
        <v>3</v>
      </c>
      <c r="X1139">
        <v>0.13387499999999999</v>
      </c>
      <c r="Y1139" t="s">
        <v>79</v>
      </c>
      <c r="Z1139" t="s">
        <v>92</v>
      </c>
      <c r="AA1139">
        <v>0</v>
      </c>
      <c r="AB1139" t="s">
        <v>4522</v>
      </c>
      <c r="AC1139" t="s">
        <v>4523</v>
      </c>
      <c r="AD1139" t="s">
        <v>4524</v>
      </c>
      <c r="AE1139" t="s">
        <v>4525</v>
      </c>
      <c r="AF1139" t="s">
        <v>4526</v>
      </c>
      <c r="AG1139" t="s">
        <v>66</v>
      </c>
      <c r="AH1139" t="s">
        <v>66</v>
      </c>
      <c r="AI1139" t="s">
        <v>66</v>
      </c>
      <c r="AJ1139" t="s">
        <v>66</v>
      </c>
      <c r="AK1139">
        <v>1</v>
      </c>
      <c r="AL1139" t="s">
        <v>66</v>
      </c>
      <c r="AM1139" t="s">
        <v>66</v>
      </c>
      <c r="AN1139" t="s">
        <v>66</v>
      </c>
      <c r="AO1139" t="s">
        <v>66</v>
      </c>
      <c r="AP1139">
        <v>1</v>
      </c>
      <c r="AQ1139" t="s">
        <v>66</v>
      </c>
      <c r="AR1139" t="s">
        <v>66</v>
      </c>
      <c r="AS1139" t="s">
        <v>66</v>
      </c>
      <c r="AT1139" t="s">
        <v>66</v>
      </c>
    </row>
    <row r="1140" spans="1:46" x14ac:dyDescent="0.15">
      <c r="A1140" t="s">
        <v>4542</v>
      </c>
      <c r="B1140" t="s">
        <v>4513</v>
      </c>
      <c r="C1140" t="s">
        <v>4514</v>
      </c>
      <c r="D1140">
        <v>6</v>
      </c>
      <c r="E1140" t="s">
        <v>4515</v>
      </c>
      <c r="F1140" t="s">
        <v>4516</v>
      </c>
      <c r="G1140" t="s">
        <v>51</v>
      </c>
      <c r="H1140" t="s">
        <v>4517</v>
      </c>
      <c r="I1140" t="s">
        <v>1553</v>
      </c>
      <c r="J1140" t="s">
        <v>4518</v>
      </c>
      <c r="K1140" t="s">
        <v>1555</v>
      </c>
      <c r="L1140" t="s">
        <v>19</v>
      </c>
      <c r="M1140" t="s">
        <v>17</v>
      </c>
      <c r="N1140">
        <v>781</v>
      </c>
      <c r="O1140">
        <v>46</v>
      </c>
      <c r="P1140">
        <v>0</v>
      </c>
      <c r="Q1140" t="s">
        <v>4543</v>
      </c>
      <c r="R1140" t="s">
        <v>2092</v>
      </c>
      <c r="S1140" t="s">
        <v>4544</v>
      </c>
      <c r="T1140" t="s">
        <v>4545</v>
      </c>
      <c r="U1140" t="s">
        <v>60</v>
      </c>
      <c r="V1140" t="s">
        <v>61</v>
      </c>
      <c r="W1140">
        <v>3</v>
      </c>
      <c r="X1140">
        <v>0.13387499999999999</v>
      </c>
      <c r="Y1140" t="s">
        <v>98</v>
      </c>
      <c r="Z1140" t="s">
        <v>99</v>
      </c>
      <c r="AA1140">
        <v>0</v>
      </c>
      <c r="AB1140" t="s">
        <v>4522</v>
      </c>
      <c r="AC1140" t="s">
        <v>4523</v>
      </c>
      <c r="AD1140" t="s">
        <v>4524</v>
      </c>
      <c r="AE1140" t="s">
        <v>4525</v>
      </c>
      <c r="AF1140" t="s">
        <v>4526</v>
      </c>
      <c r="AG1140" t="s">
        <v>66</v>
      </c>
      <c r="AH1140" t="s">
        <v>66</v>
      </c>
      <c r="AI1140" t="s">
        <v>66</v>
      </c>
      <c r="AJ1140" t="s">
        <v>66</v>
      </c>
      <c r="AK1140">
        <v>1</v>
      </c>
      <c r="AL1140" t="s">
        <v>66</v>
      </c>
      <c r="AM1140" t="s">
        <v>66</v>
      </c>
      <c r="AN1140" t="s">
        <v>66</v>
      </c>
      <c r="AO1140" t="s">
        <v>66</v>
      </c>
      <c r="AP1140">
        <v>1</v>
      </c>
      <c r="AQ1140" t="s">
        <v>66</v>
      </c>
      <c r="AR1140" t="s">
        <v>66</v>
      </c>
      <c r="AS1140" t="s">
        <v>66</v>
      </c>
      <c r="AT1140" t="s">
        <v>66</v>
      </c>
    </row>
    <row r="1141" spans="1:46" x14ac:dyDescent="0.15">
      <c r="A1141" t="s">
        <v>4546</v>
      </c>
      <c r="B1141" t="s">
        <v>4513</v>
      </c>
      <c r="C1141" t="s">
        <v>4514</v>
      </c>
      <c r="D1141">
        <v>7</v>
      </c>
      <c r="E1141" t="s">
        <v>4515</v>
      </c>
      <c r="F1141" t="s">
        <v>4516</v>
      </c>
      <c r="G1141" t="s">
        <v>51</v>
      </c>
      <c r="H1141" t="s">
        <v>4517</v>
      </c>
      <c r="I1141" t="s">
        <v>1553</v>
      </c>
      <c r="J1141" t="s">
        <v>4518</v>
      </c>
      <c r="K1141" t="s">
        <v>1555</v>
      </c>
      <c r="L1141" t="s">
        <v>19</v>
      </c>
      <c r="M1141" t="s">
        <v>17</v>
      </c>
      <c r="N1141">
        <v>837</v>
      </c>
      <c r="O1141">
        <v>49</v>
      </c>
      <c r="P1141">
        <v>0</v>
      </c>
      <c r="Q1141" t="s">
        <v>4547</v>
      </c>
      <c r="R1141" t="s">
        <v>2097</v>
      </c>
      <c r="S1141" t="s">
        <v>4548</v>
      </c>
      <c r="T1141" t="s">
        <v>4549</v>
      </c>
      <c r="U1141" t="s">
        <v>60</v>
      </c>
      <c r="V1141" t="s">
        <v>61</v>
      </c>
      <c r="W1141">
        <v>3</v>
      </c>
      <c r="X1141">
        <v>0.13387499999999999</v>
      </c>
      <c r="Y1141" t="s">
        <v>86</v>
      </c>
      <c r="Z1141" t="s">
        <v>105</v>
      </c>
      <c r="AA1141">
        <v>0</v>
      </c>
      <c r="AB1141" t="s">
        <v>4522</v>
      </c>
      <c r="AC1141" t="s">
        <v>4523</v>
      </c>
      <c r="AD1141" t="s">
        <v>4524</v>
      </c>
      <c r="AE1141" t="s">
        <v>4525</v>
      </c>
      <c r="AF1141" t="s">
        <v>4526</v>
      </c>
      <c r="AG1141" t="s">
        <v>66</v>
      </c>
      <c r="AH1141" t="s">
        <v>66</v>
      </c>
      <c r="AI1141" t="s">
        <v>66</v>
      </c>
      <c r="AJ1141" t="s">
        <v>66</v>
      </c>
      <c r="AK1141">
        <v>1</v>
      </c>
      <c r="AL1141" t="s">
        <v>66</v>
      </c>
      <c r="AM1141" t="s">
        <v>66</v>
      </c>
      <c r="AN1141" t="s">
        <v>66</v>
      </c>
      <c r="AO1141" t="s">
        <v>66</v>
      </c>
      <c r="AP1141">
        <v>1</v>
      </c>
      <c r="AQ1141" t="s">
        <v>66</v>
      </c>
      <c r="AR1141" t="s">
        <v>66</v>
      </c>
      <c r="AS1141" t="s">
        <v>66</v>
      </c>
      <c r="AT1141" t="s">
        <v>66</v>
      </c>
    </row>
    <row r="1142" spans="1:46" x14ac:dyDescent="0.15">
      <c r="A1142" t="s">
        <v>4550</v>
      </c>
      <c r="B1142" t="s">
        <v>4513</v>
      </c>
      <c r="C1142" t="s">
        <v>4514</v>
      </c>
      <c r="D1142">
        <v>8</v>
      </c>
      <c r="E1142" t="s">
        <v>4515</v>
      </c>
      <c r="F1142" t="s">
        <v>4516</v>
      </c>
      <c r="G1142" t="s">
        <v>51</v>
      </c>
      <c r="H1142" t="s">
        <v>4517</v>
      </c>
      <c r="I1142" t="s">
        <v>1553</v>
      </c>
      <c r="J1142" t="s">
        <v>4518</v>
      </c>
      <c r="K1142" t="s">
        <v>1555</v>
      </c>
      <c r="L1142" t="s">
        <v>19</v>
      </c>
      <c r="M1142" t="s">
        <v>17</v>
      </c>
      <c r="N1142">
        <v>893</v>
      </c>
      <c r="O1142">
        <v>52</v>
      </c>
      <c r="P1142">
        <v>0</v>
      </c>
      <c r="Q1142" t="s">
        <v>4551</v>
      </c>
      <c r="R1142" t="s">
        <v>2102</v>
      </c>
      <c r="S1142" t="s">
        <v>4552</v>
      </c>
      <c r="T1142" t="s">
        <v>4553</v>
      </c>
      <c r="U1142" t="s">
        <v>60</v>
      </c>
      <c r="V1142" t="s">
        <v>61</v>
      </c>
      <c r="W1142">
        <v>3</v>
      </c>
      <c r="X1142">
        <v>0.13387499999999999</v>
      </c>
      <c r="Y1142" t="s">
        <v>111</v>
      </c>
      <c r="Z1142" t="s">
        <v>112</v>
      </c>
      <c r="AA1142">
        <v>0</v>
      </c>
      <c r="AB1142" t="s">
        <v>4522</v>
      </c>
      <c r="AC1142" t="s">
        <v>4523</v>
      </c>
      <c r="AD1142" t="s">
        <v>4524</v>
      </c>
      <c r="AE1142" t="s">
        <v>4525</v>
      </c>
      <c r="AF1142" t="s">
        <v>4526</v>
      </c>
      <c r="AG1142" t="s">
        <v>66</v>
      </c>
      <c r="AH1142" t="s">
        <v>66</v>
      </c>
      <c r="AI1142" t="s">
        <v>66</v>
      </c>
      <c r="AJ1142" t="s">
        <v>66</v>
      </c>
      <c r="AK1142">
        <v>1</v>
      </c>
      <c r="AL1142" t="s">
        <v>66</v>
      </c>
      <c r="AM1142" t="s">
        <v>66</v>
      </c>
      <c r="AN1142" t="s">
        <v>66</v>
      </c>
      <c r="AO1142" t="s">
        <v>66</v>
      </c>
      <c r="AP1142">
        <v>1</v>
      </c>
      <c r="AQ1142" t="s">
        <v>66</v>
      </c>
      <c r="AR1142" t="s">
        <v>66</v>
      </c>
      <c r="AS1142" t="s">
        <v>66</v>
      </c>
      <c r="AT1142" t="s">
        <v>66</v>
      </c>
    </row>
    <row r="1143" spans="1:46" x14ac:dyDescent="0.15">
      <c r="A1143" t="s">
        <v>4554</v>
      </c>
      <c r="B1143" t="s">
        <v>4513</v>
      </c>
      <c r="C1143" t="s">
        <v>4514</v>
      </c>
      <c r="D1143">
        <v>9</v>
      </c>
      <c r="E1143" t="s">
        <v>4515</v>
      </c>
      <c r="F1143" t="s">
        <v>4516</v>
      </c>
      <c r="G1143" t="s">
        <v>51</v>
      </c>
      <c r="H1143" t="s">
        <v>4517</v>
      </c>
      <c r="I1143" t="s">
        <v>1553</v>
      </c>
      <c r="J1143" t="s">
        <v>4518</v>
      </c>
      <c r="K1143" t="s">
        <v>1555</v>
      </c>
      <c r="L1143" t="s">
        <v>19</v>
      </c>
      <c r="M1143" t="s">
        <v>17</v>
      </c>
      <c r="N1143">
        <v>949</v>
      </c>
      <c r="O1143">
        <v>55</v>
      </c>
      <c r="P1143">
        <v>0</v>
      </c>
      <c r="Q1143" t="s">
        <v>4555</v>
      </c>
      <c r="R1143" t="s">
        <v>2107</v>
      </c>
      <c r="S1143" t="s">
        <v>4556</v>
      </c>
      <c r="T1143" t="s">
        <v>4557</v>
      </c>
      <c r="U1143" t="s">
        <v>60</v>
      </c>
      <c r="V1143" t="s">
        <v>61</v>
      </c>
      <c r="W1143">
        <v>3</v>
      </c>
      <c r="X1143">
        <v>0.13387499999999999</v>
      </c>
      <c r="Y1143" t="s">
        <v>92</v>
      </c>
      <c r="Z1143" t="s">
        <v>118</v>
      </c>
      <c r="AA1143">
        <v>0</v>
      </c>
      <c r="AB1143" t="s">
        <v>4522</v>
      </c>
      <c r="AC1143" t="s">
        <v>4523</v>
      </c>
      <c r="AD1143" t="s">
        <v>4524</v>
      </c>
      <c r="AE1143" t="s">
        <v>4525</v>
      </c>
      <c r="AF1143" t="s">
        <v>4526</v>
      </c>
      <c r="AG1143" t="s">
        <v>66</v>
      </c>
      <c r="AH1143" t="s">
        <v>66</v>
      </c>
      <c r="AI1143" t="s">
        <v>66</v>
      </c>
      <c r="AJ1143" t="s">
        <v>66</v>
      </c>
      <c r="AK1143">
        <v>1</v>
      </c>
      <c r="AL1143" t="s">
        <v>66</v>
      </c>
      <c r="AM1143" t="s">
        <v>66</v>
      </c>
      <c r="AN1143" t="s">
        <v>66</v>
      </c>
      <c r="AO1143" t="s">
        <v>66</v>
      </c>
      <c r="AP1143">
        <v>1</v>
      </c>
      <c r="AQ1143" t="s">
        <v>66</v>
      </c>
      <c r="AR1143" t="s">
        <v>66</v>
      </c>
      <c r="AS1143" t="s">
        <v>66</v>
      </c>
      <c r="AT1143" t="s">
        <v>66</v>
      </c>
    </row>
    <row r="1144" spans="1:46" x14ac:dyDescent="0.15">
      <c r="A1144" t="s">
        <v>4558</v>
      </c>
      <c r="B1144" t="s">
        <v>4513</v>
      </c>
      <c r="C1144" t="s">
        <v>4514</v>
      </c>
      <c r="D1144">
        <v>10</v>
      </c>
      <c r="E1144" t="s">
        <v>4515</v>
      </c>
      <c r="F1144" t="s">
        <v>4516</v>
      </c>
      <c r="G1144" t="s">
        <v>51</v>
      </c>
      <c r="H1144" t="s">
        <v>4517</v>
      </c>
      <c r="I1144" t="s">
        <v>1553</v>
      </c>
      <c r="J1144" t="s">
        <v>4518</v>
      </c>
      <c r="K1144" t="s">
        <v>1555</v>
      </c>
      <c r="L1144" t="s">
        <v>19</v>
      </c>
      <c r="M1144" t="s">
        <v>17</v>
      </c>
      <c r="N1144">
        <v>1005</v>
      </c>
      <c r="O1144">
        <v>58</v>
      </c>
      <c r="P1144">
        <v>0</v>
      </c>
      <c r="Q1144" t="s">
        <v>4559</v>
      </c>
      <c r="R1144" t="s">
        <v>2112</v>
      </c>
      <c r="S1144" t="s">
        <v>4560</v>
      </c>
      <c r="T1144" t="s">
        <v>4561</v>
      </c>
      <c r="U1144" t="s">
        <v>60</v>
      </c>
      <c r="V1144" t="s">
        <v>61</v>
      </c>
      <c r="W1144">
        <v>3</v>
      </c>
      <c r="X1144">
        <v>0.13387499999999999</v>
      </c>
      <c r="Y1144" t="s">
        <v>124</v>
      </c>
      <c r="Z1144" t="s">
        <v>125</v>
      </c>
      <c r="AA1144">
        <v>0</v>
      </c>
      <c r="AB1144" t="s">
        <v>4522</v>
      </c>
      <c r="AC1144" t="s">
        <v>4523</v>
      </c>
      <c r="AD1144" t="s">
        <v>4524</v>
      </c>
      <c r="AE1144" t="s">
        <v>4525</v>
      </c>
      <c r="AF1144" t="s">
        <v>4526</v>
      </c>
      <c r="AG1144" t="s">
        <v>66</v>
      </c>
      <c r="AH1144" t="s">
        <v>66</v>
      </c>
      <c r="AI1144" t="s">
        <v>66</v>
      </c>
      <c r="AJ1144" t="s">
        <v>66</v>
      </c>
      <c r="AK1144">
        <v>1</v>
      </c>
      <c r="AL1144" t="s">
        <v>66</v>
      </c>
      <c r="AM1144" t="s">
        <v>66</v>
      </c>
      <c r="AN1144" t="s">
        <v>66</v>
      </c>
      <c r="AO1144" t="s">
        <v>66</v>
      </c>
      <c r="AP1144">
        <v>1</v>
      </c>
      <c r="AQ1144" t="s">
        <v>66</v>
      </c>
      <c r="AR1144" t="s">
        <v>66</v>
      </c>
      <c r="AS1144" t="s">
        <v>66</v>
      </c>
      <c r="AT1144" t="s">
        <v>66</v>
      </c>
    </row>
    <row r="1145" spans="1:46" x14ac:dyDescent="0.15">
      <c r="A1145" t="s">
        <v>4562</v>
      </c>
      <c r="B1145" t="s">
        <v>4513</v>
      </c>
      <c r="C1145" t="s">
        <v>4514</v>
      </c>
      <c r="D1145">
        <v>11</v>
      </c>
      <c r="E1145" t="s">
        <v>4515</v>
      </c>
      <c r="F1145" t="s">
        <v>4516</v>
      </c>
      <c r="G1145" t="s">
        <v>51</v>
      </c>
      <c r="H1145" t="s">
        <v>4517</v>
      </c>
      <c r="I1145" t="s">
        <v>1553</v>
      </c>
      <c r="J1145" t="s">
        <v>4518</v>
      </c>
      <c r="K1145" t="s">
        <v>1555</v>
      </c>
      <c r="L1145" t="s">
        <v>19</v>
      </c>
      <c r="M1145" t="s">
        <v>17</v>
      </c>
      <c r="N1145">
        <v>1061</v>
      </c>
      <c r="O1145">
        <v>62</v>
      </c>
      <c r="P1145">
        <v>0</v>
      </c>
      <c r="Q1145" t="s">
        <v>4563</v>
      </c>
      <c r="R1145" t="s">
        <v>2117</v>
      </c>
      <c r="S1145" t="s">
        <v>4564</v>
      </c>
      <c r="T1145" t="s">
        <v>4565</v>
      </c>
      <c r="U1145" t="s">
        <v>60</v>
      </c>
      <c r="V1145" t="s">
        <v>61</v>
      </c>
      <c r="W1145">
        <v>3</v>
      </c>
      <c r="X1145">
        <v>0.13387499999999999</v>
      </c>
      <c r="Y1145" t="s">
        <v>99</v>
      </c>
      <c r="Z1145" t="s">
        <v>131</v>
      </c>
      <c r="AA1145">
        <v>0</v>
      </c>
      <c r="AB1145" t="s">
        <v>4522</v>
      </c>
      <c r="AC1145" t="s">
        <v>4523</v>
      </c>
      <c r="AD1145" t="s">
        <v>4524</v>
      </c>
      <c r="AE1145" t="s">
        <v>4525</v>
      </c>
      <c r="AF1145" t="s">
        <v>4526</v>
      </c>
      <c r="AG1145" t="s">
        <v>66</v>
      </c>
      <c r="AH1145" t="s">
        <v>66</v>
      </c>
      <c r="AI1145" t="s">
        <v>66</v>
      </c>
      <c r="AJ1145" t="s">
        <v>66</v>
      </c>
      <c r="AK1145">
        <v>1</v>
      </c>
      <c r="AL1145" t="s">
        <v>66</v>
      </c>
      <c r="AM1145" t="s">
        <v>66</v>
      </c>
      <c r="AN1145" t="s">
        <v>66</v>
      </c>
      <c r="AO1145" t="s">
        <v>66</v>
      </c>
      <c r="AP1145">
        <v>1</v>
      </c>
      <c r="AQ1145" t="s">
        <v>66</v>
      </c>
      <c r="AR1145" t="s">
        <v>66</v>
      </c>
      <c r="AS1145" t="s">
        <v>66</v>
      </c>
      <c r="AT1145" t="s">
        <v>66</v>
      </c>
    </row>
    <row r="1146" spans="1:46" x14ac:dyDescent="0.15">
      <c r="A1146" t="s">
        <v>4566</v>
      </c>
      <c r="B1146" t="s">
        <v>4513</v>
      </c>
      <c r="C1146" t="s">
        <v>4514</v>
      </c>
      <c r="D1146">
        <v>12</v>
      </c>
      <c r="E1146" t="s">
        <v>4515</v>
      </c>
      <c r="F1146" t="s">
        <v>4516</v>
      </c>
      <c r="G1146" t="s">
        <v>51</v>
      </c>
      <c r="H1146" t="s">
        <v>4517</v>
      </c>
      <c r="I1146" t="s">
        <v>1553</v>
      </c>
      <c r="J1146" t="s">
        <v>4518</v>
      </c>
      <c r="K1146" t="s">
        <v>1555</v>
      </c>
      <c r="L1146" t="s">
        <v>19</v>
      </c>
      <c r="M1146" t="s">
        <v>17</v>
      </c>
      <c r="N1146">
        <v>1117</v>
      </c>
      <c r="O1146">
        <v>65</v>
      </c>
      <c r="P1146">
        <v>0</v>
      </c>
      <c r="Q1146" t="s">
        <v>4567</v>
      </c>
      <c r="R1146" t="s">
        <v>2122</v>
      </c>
      <c r="S1146" t="s">
        <v>4568</v>
      </c>
      <c r="T1146" t="s">
        <v>4569</v>
      </c>
      <c r="U1146" t="s">
        <v>60</v>
      </c>
      <c r="V1146" t="s">
        <v>61</v>
      </c>
      <c r="W1146">
        <v>3</v>
      </c>
      <c r="X1146">
        <v>0.13387499999999999</v>
      </c>
      <c r="Y1146" t="s">
        <v>137</v>
      </c>
      <c r="Z1146" t="s">
        <v>138</v>
      </c>
      <c r="AA1146">
        <v>0</v>
      </c>
      <c r="AB1146" t="s">
        <v>4522</v>
      </c>
      <c r="AC1146" t="s">
        <v>4523</v>
      </c>
      <c r="AD1146" t="s">
        <v>4524</v>
      </c>
      <c r="AE1146" t="s">
        <v>4525</v>
      </c>
      <c r="AF1146" t="s">
        <v>4526</v>
      </c>
      <c r="AG1146" t="s">
        <v>66</v>
      </c>
      <c r="AH1146" t="s">
        <v>66</v>
      </c>
      <c r="AI1146" t="s">
        <v>66</v>
      </c>
      <c r="AJ1146" t="s">
        <v>66</v>
      </c>
      <c r="AK1146">
        <v>1</v>
      </c>
      <c r="AL1146" t="s">
        <v>66</v>
      </c>
      <c r="AM1146" t="s">
        <v>66</v>
      </c>
      <c r="AN1146" t="s">
        <v>66</v>
      </c>
      <c r="AO1146" t="s">
        <v>66</v>
      </c>
      <c r="AP1146">
        <v>1</v>
      </c>
      <c r="AQ1146" t="s">
        <v>66</v>
      </c>
      <c r="AR1146" t="s">
        <v>66</v>
      </c>
      <c r="AS1146" t="s">
        <v>66</v>
      </c>
      <c r="AT1146" t="s">
        <v>66</v>
      </c>
    </row>
    <row r="1147" spans="1:46" x14ac:dyDescent="0.15">
      <c r="A1147" t="s">
        <v>4570</v>
      </c>
      <c r="B1147" t="s">
        <v>4513</v>
      </c>
      <c r="C1147" t="s">
        <v>4514</v>
      </c>
      <c r="D1147">
        <v>13</v>
      </c>
      <c r="E1147" t="s">
        <v>4515</v>
      </c>
      <c r="F1147" t="s">
        <v>4516</v>
      </c>
      <c r="G1147" t="s">
        <v>51</v>
      </c>
      <c r="H1147" t="s">
        <v>4517</v>
      </c>
      <c r="I1147" t="s">
        <v>1553</v>
      </c>
      <c r="J1147" t="s">
        <v>4518</v>
      </c>
      <c r="K1147" t="s">
        <v>1555</v>
      </c>
      <c r="L1147" t="s">
        <v>19</v>
      </c>
      <c r="M1147" t="s">
        <v>17</v>
      </c>
      <c r="N1147">
        <v>1173</v>
      </c>
      <c r="O1147">
        <v>68</v>
      </c>
      <c r="P1147">
        <v>0</v>
      </c>
      <c r="Q1147" t="s">
        <v>4571</v>
      </c>
      <c r="R1147" t="s">
        <v>2127</v>
      </c>
      <c r="S1147" t="s">
        <v>4572</v>
      </c>
      <c r="T1147" t="s">
        <v>4195</v>
      </c>
      <c r="U1147" t="s">
        <v>60</v>
      </c>
      <c r="V1147" t="s">
        <v>61</v>
      </c>
      <c r="W1147">
        <v>3</v>
      </c>
      <c r="X1147">
        <v>0.13387499999999999</v>
      </c>
      <c r="Y1147" t="s">
        <v>105</v>
      </c>
      <c r="Z1147" t="s">
        <v>144</v>
      </c>
      <c r="AA1147">
        <v>0</v>
      </c>
      <c r="AB1147" t="s">
        <v>4522</v>
      </c>
      <c r="AC1147" t="s">
        <v>4523</v>
      </c>
      <c r="AD1147" t="s">
        <v>4524</v>
      </c>
      <c r="AE1147" t="s">
        <v>4525</v>
      </c>
      <c r="AF1147" t="s">
        <v>4526</v>
      </c>
      <c r="AG1147" t="s">
        <v>66</v>
      </c>
      <c r="AH1147" t="s">
        <v>66</v>
      </c>
      <c r="AI1147" t="s">
        <v>66</v>
      </c>
      <c r="AJ1147" t="s">
        <v>66</v>
      </c>
      <c r="AK1147">
        <v>1</v>
      </c>
      <c r="AL1147" t="s">
        <v>66</v>
      </c>
      <c r="AM1147" t="s">
        <v>66</v>
      </c>
      <c r="AN1147" t="s">
        <v>66</v>
      </c>
      <c r="AO1147" t="s">
        <v>66</v>
      </c>
      <c r="AP1147">
        <v>1</v>
      </c>
      <c r="AQ1147" t="s">
        <v>66</v>
      </c>
      <c r="AR1147" t="s">
        <v>66</v>
      </c>
      <c r="AS1147" t="s">
        <v>66</v>
      </c>
      <c r="AT1147" t="s">
        <v>66</v>
      </c>
    </row>
    <row r="1148" spans="1:46" x14ac:dyDescent="0.15">
      <c r="A1148" t="s">
        <v>4573</v>
      </c>
      <c r="B1148" t="s">
        <v>4513</v>
      </c>
      <c r="C1148" t="s">
        <v>4514</v>
      </c>
      <c r="D1148">
        <v>14</v>
      </c>
      <c r="E1148" t="s">
        <v>4515</v>
      </c>
      <c r="F1148" t="s">
        <v>4516</v>
      </c>
      <c r="G1148" t="s">
        <v>51</v>
      </c>
      <c r="H1148" t="s">
        <v>4517</v>
      </c>
      <c r="I1148" t="s">
        <v>1553</v>
      </c>
      <c r="J1148" t="s">
        <v>4518</v>
      </c>
      <c r="K1148" t="s">
        <v>1555</v>
      </c>
      <c r="L1148" t="s">
        <v>19</v>
      </c>
      <c r="M1148" t="s">
        <v>17</v>
      </c>
      <c r="N1148">
        <v>1230</v>
      </c>
      <c r="O1148">
        <v>71</v>
      </c>
      <c r="P1148">
        <v>0</v>
      </c>
      <c r="Q1148" t="s">
        <v>4574</v>
      </c>
      <c r="R1148" t="s">
        <v>2132</v>
      </c>
      <c r="S1148" t="s">
        <v>4575</v>
      </c>
      <c r="T1148" t="s">
        <v>4576</v>
      </c>
      <c r="U1148" t="s">
        <v>60</v>
      </c>
      <c r="V1148" t="s">
        <v>61</v>
      </c>
      <c r="W1148">
        <v>3</v>
      </c>
      <c r="X1148">
        <v>0.13387499999999999</v>
      </c>
      <c r="Y1148" t="s">
        <v>150</v>
      </c>
      <c r="Z1148" t="s">
        <v>151</v>
      </c>
      <c r="AA1148">
        <v>0</v>
      </c>
      <c r="AB1148" t="s">
        <v>4522</v>
      </c>
      <c r="AC1148" t="s">
        <v>4523</v>
      </c>
      <c r="AD1148" t="s">
        <v>4524</v>
      </c>
      <c r="AE1148" t="s">
        <v>4525</v>
      </c>
      <c r="AF1148" t="s">
        <v>4526</v>
      </c>
      <c r="AG1148" t="s">
        <v>66</v>
      </c>
      <c r="AH1148" t="s">
        <v>66</v>
      </c>
      <c r="AI1148" t="s">
        <v>66</v>
      </c>
      <c r="AJ1148" t="s">
        <v>66</v>
      </c>
      <c r="AK1148">
        <v>1</v>
      </c>
      <c r="AL1148" t="s">
        <v>66</v>
      </c>
      <c r="AM1148" t="s">
        <v>66</v>
      </c>
      <c r="AN1148" t="s">
        <v>66</v>
      </c>
      <c r="AO1148" t="s">
        <v>66</v>
      </c>
      <c r="AP1148">
        <v>1</v>
      </c>
      <c r="AQ1148" t="s">
        <v>66</v>
      </c>
      <c r="AR1148" t="s">
        <v>66</v>
      </c>
      <c r="AS1148" t="s">
        <v>66</v>
      </c>
      <c r="AT1148" t="s">
        <v>66</v>
      </c>
    </row>
    <row r="1149" spans="1:46" x14ac:dyDescent="0.15">
      <c r="A1149" t="s">
        <v>4577</v>
      </c>
      <c r="B1149" t="s">
        <v>4513</v>
      </c>
      <c r="C1149" t="s">
        <v>4514</v>
      </c>
      <c r="D1149">
        <v>15</v>
      </c>
      <c r="E1149" t="s">
        <v>4515</v>
      </c>
      <c r="F1149" t="s">
        <v>4516</v>
      </c>
      <c r="G1149" t="s">
        <v>51</v>
      </c>
      <c r="H1149" t="s">
        <v>4517</v>
      </c>
      <c r="I1149" t="s">
        <v>1553</v>
      </c>
      <c r="J1149" t="s">
        <v>4518</v>
      </c>
      <c r="K1149" t="s">
        <v>1555</v>
      </c>
      <c r="L1149" t="s">
        <v>19</v>
      </c>
      <c r="M1149" t="s">
        <v>17</v>
      </c>
      <c r="N1149">
        <v>1286</v>
      </c>
      <c r="O1149">
        <v>74</v>
      </c>
      <c r="P1149">
        <v>0</v>
      </c>
      <c r="Q1149" t="s">
        <v>4578</v>
      </c>
      <c r="R1149" t="s">
        <v>2137</v>
      </c>
      <c r="S1149" t="s">
        <v>4579</v>
      </c>
      <c r="T1149" t="s">
        <v>4580</v>
      </c>
      <c r="U1149" t="s">
        <v>60</v>
      </c>
      <c r="V1149" t="s">
        <v>61</v>
      </c>
      <c r="W1149">
        <v>3</v>
      </c>
      <c r="X1149">
        <v>0.13387499999999999</v>
      </c>
      <c r="Y1149" t="s">
        <v>112</v>
      </c>
      <c r="Z1149" t="s">
        <v>157</v>
      </c>
      <c r="AA1149">
        <v>0</v>
      </c>
      <c r="AB1149" t="s">
        <v>4522</v>
      </c>
      <c r="AC1149" t="s">
        <v>4523</v>
      </c>
      <c r="AD1149" t="s">
        <v>4524</v>
      </c>
      <c r="AE1149" t="s">
        <v>4525</v>
      </c>
      <c r="AF1149" t="s">
        <v>4526</v>
      </c>
      <c r="AG1149" t="s">
        <v>66</v>
      </c>
      <c r="AH1149" t="s">
        <v>66</v>
      </c>
      <c r="AI1149" t="s">
        <v>66</v>
      </c>
      <c r="AJ1149" t="s">
        <v>66</v>
      </c>
      <c r="AK1149">
        <v>1</v>
      </c>
      <c r="AL1149" t="s">
        <v>66</v>
      </c>
      <c r="AM1149" t="s">
        <v>66</v>
      </c>
      <c r="AN1149" t="s">
        <v>66</v>
      </c>
      <c r="AO1149" t="s">
        <v>66</v>
      </c>
      <c r="AP1149">
        <v>1</v>
      </c>
      <c r="AQ1149" t="s">
        <v>66</v>
      </c>
      <c r="AR1149" t="s">
        <v>66</v>
      </c>
      <c r="AS1149" t="s">
        <v>66</v>
      </c>
      <c r="AT1149" t="s">
        <v>66</v>
      </c>
    </row>
    <row r="1150" spans="1:46" x14ac:dyDescent="0.15">
      <c r="A1150" t="s">
        <v>4581</v>
      </c>
      <c r="B1150" t="s">
        <v>4513</v>
      </c>
      <c r="C1150" t="s">
        <v>4514</v>
      </c>
      <c r="D1150">
        <v>16</v>
      </c>
      <c r="E1150" t="s">
        <v>4515</v>
      </c>
      <c r="F1150" t="s">
        <v>4516</v>
      </c>
      <c r="G1150" t="s">
        <v>51</v>
      </c>
      <c r="H1150" t="s">
        <v>4517</v>
      </c>
      <c r="I1150" t="s">
        <v>1553</v>
      </c>
      <c r="J1150" t="s">
        <v>4518</v>
      </c>
      <c r="K1150" t="s">
        <v>1555</v>
      </c>
      <c r="L1150" t="s">
        <v>19</v>
      </c>
      <c r="M1150" t="s">
        <v>17</v>
      </c>
      <c r="N1150">
        <v>1342</v>
      </c>
      <c r="O1150">
        <v>77</v>
      </c>
      <c r="P1150">
        <v>0</v>
      </c>
      <c r="Q1150" t="s">
        <v>4582</v>
      </c>
      <c r="R1150" t="s">
        <v>2142</v>
      </c>
      <c r="S1150" t="s">
        <v>4583</v>
      </c>
      <c r="T1150" t="s">
        <v>4584</v>
      </c>
      <c r="U1150" t="s">
        <v>60</v>
      </c>
      <c r="V1150" t="s">
        <v>61</v>
      </c>
      <c r="W1150">
        <v>3</v>
      </c>
      <c r="X1150">
        <v>0.13387499999999999</v>
      </c>
      <c r="Y1150" t="s">
        <v>163</v>
      </c>
      <c r="Z1150" t="s">
        <v>164</v>
      </c>
      <c r="AA1150">
        <v>0</v>
      </c>
      <c r="AB1150" t="s">
        <v>4522</v>
      </c>
      <c r="AC1150" t="s">
        <v>4523</v>
      </c>
      <c r="AD1150" t="s">
        <v>4524</v>
      </c>
      <c r="AE1150" t="s">
        <v>4525</v>
      </c>
      <c r="AF1150" t="s">
        <v>4526</v>
      </c>
      <c r="AG1150" t="s">
        <v>66</v>
      </c>
      <c r="AH1150" t="s">
        <v>66</v>
      </c>
      <c r="AI1150" t="s">
        <v>66</v>
      </c>
      <c r="AJ1150" t="s">
        <v>66</v>
      </c>
      <c r="AK1150">
        <v>1</v>
      </c>
      <c r="AL1150" t="s">
        <v>66</v>
      </c>
      <c r="AM1150" t="s">
        <v>66</v>
      </c>
      <c r="AN1150" t="s">
        <v>66</v>
      </c>
      <c r="AO1150" t="s">
        <v>66</v>
      </c>
      <c r="AP1150">
        <v>1</v>
      </c>
      <c r="AQ1150" t="s">
        <v>66</v>
      </c>
      <c r="AR1150" t="s">
        <v>66</v>
      </c>
      <c r="AS1150" t="s">
        <v>66</v>
      </c>
      <c r="AT1150" t="s">
        <v>66</v>
      </c>
    </row>
    <row r="1151" spans="1:46" x14ac:dyDescent="0.15">
      <c r="A1151" t="s">
        <v>4585</v>
      </c>
      <c r="B1151" t="s">
        <v>4513</v>
      </c>
      <c r="C1151" t="s">
        <v>4514</v>
      </c>
      <c r="D1151">
        <v>17</v>
      </c>
      <c r="E1151" t="s">
        <v>4515</v>
      </c>
      <c r="F1151" t="s">
        <v>4516</v>
      </c>
      <c r="G1151" t="s">
        <v>51</v>
      </c>
      <c r="H1151" t="s">
        <v>4517</v>
      </c>
      <c r="I1151" t="s">
        <v>1553</v>
      </c>
      <c r="J1151" t="s">
        <v>4518</v>
      </c>
      <c r="K1151" t="s">
        <v>1555</v>
      </c>
      <c r="L1151" t="s">
        <v>19</v>
      </c>
      <c r="M1151" t="s">
        <v>17</v>
      </c>
      <c r="N1151">
        <v>1398</v>
      </c>
      <c r="O1151">
        <v>81</v>
      </c>
      <c r="P1151">
        <v>0</v>
      </c>
      <c r="Q1151" t="s">
        <v>4586</v>
      </c>
      <c r="R1151" t="s">
        <v>2147</v>
      </c>
      <c r="S1151" t="s">
        <v>4587</v>
      </c>
      <c r="T1151" t="s">
        <v>4588</v>
      </c>
      <c r="U1151" t="s">
        <v>60</v>
      </c>
      <c r="V1151" t="s">
        <v>61</v>
      </c>
      <c r="W1151">
        <v>3</v>
      </c>
      <c r="X1151">
        <v>0.13387499999999999</v>
      </c>
      <c r="Y1151" t="s">
        <v>118</v>
      </c>
      <c r="Z1151" t="s">
        <v>170</v>
      </c>
      <c r="AA1151">
        <v>0</v>
      </c>
      <c r="AB1151" t="s">
        <v>4522</v>
      </c>
      <c r="AC1151" t="s">
        <v>4523</v>
      </c>
      <c r="AD1151" t="s">
        <v>4524</v>
      </c>
      <c r="AE1151" t="s">
        <v>4525</v>
      </c>
      <c r="AF1151" t="s">
        <v>4526</v>
      </c>
      <c r="AG1151" t="s">
        <v>66</v>
      </c>
      <c r="AH1151" t="s">
        <v>66</v>
      </c>
      <c r="AI1151" t="s">
        <v>66</v>
      </c>
      <c r="AJ1151" t="s">
        <v>66</v>
      </c>
      <c r="AK1151">
        <v>1</v>
      </c>
      <c r="AL1151" t="s">
        <v>66</v>
      </c>
      <c r="AM1151" t="s">
        <v>66</v>
      </c>
      <c r="AN1151" t="s">
        <v>66</v>
      </c>
      <c r="AO1151" t="s">
        <v>66</v>
      </c>
      <c r="AP1151">
        <v>1</v>
      </c>
      <c r="AQ1151" t="s">
        <v>66</v>
      </c>
      <c r="AR1151" t="s">
        <v>66</v>
      </c>
      <c r="AS1151" t="s">
        <v>66</v>
      </c>
      <c r="AT1151" t="s">
        <v>66</v>
      </c>
    </row>
    <row r="1152" spans="1:46" x14ac:dyDescent="0.15">
      <c r="A1152" t="s">
        <v>4589</v>
      </c>
      <c r="B1152" t="s">
        <v>4513</v>
      </c>
      <c r="C1152" t="s">
        <v>4514</v>
      </c>
      <c r="D1152">
        <v>18</v>
      </c>
      <c r="E1152" t="s">
        <v>4515</v>
      </c>
      <c r="F1152" t="s">
        <v>4516</v>
      </c>
      <c r="G1152" t="s">
        <v>51</v>
      </c>
      <c r="H1152" t="s">
        <v>4517</v>
      </c>
      <c r="I1152" t="s">
        <v>1553</v>
      </c>
      <c r="J1152" t="s">
        <v>4518</v>
      </c>
      <c r="K1152" t="s">
        <v>1555</v>
      </c>
      <c r="L1152" t="s">
        <v>19</v>
      </c>
      <c r="M1152" t="s">
        <v>17</v>
      </c>
      <c r="N1152">
        <v>1454</v>
      </c>
      <c r="O1152">
        <v>84</v>
      </c>
      <c r="P1152">
        <v>0</v>
      </c>
      <c r="Q1152" t="s">
        <v>4590</v>
      </c>
      <c r="R1152" t="s">
        <v>2152</v>
      </c>
      <c r="S1152" t="s">
        <v>4591</v>
      </c>
      <c r="T1152" t="s">
        <v>4592</v>
      </c>
      <c r="U1152" t="s">
        <v>60</v>
      </c>
      <c r="V1152" t="s">
        <v>61</v>
      </c>
      <c r="W1152">
        <v>3</v>
      </c>
      <c r="X1152">
        <v>0.13387499999999999</v>
      </c>
      <c r="Y1152" t="s">
        <v>176</v>
      </c>
      <c r="Z1152" t="s">
        <v>177</v>
      </c>
      <c r="AA1152">
        <v>0</v>
      </c>
      <c r="AB1152" t="s">
        <v>4522</v>
      </c>
      <c r="AC1152" t="s">
        <v>4523</v>
      </c>
      <c r="AD1152" t="s">
        <v>4524</v>
      </c>
      <c r="AE1152" t="s">
        <v>4525</v>
      </c>
      <c r="AF1152" t="s">
        <v>4526</v>
      </c>
      <c r="AG1152" t="s">
        <v>66</v>
      </c>
      <c r="AH1152" t="s">
        <v>66</v>
      </c>
      <c r="AI1152" t="s">
        <v>66</v>
      </c>
      <c r="AJ1152" t="s">
        <v>66</v>
      </c>
      <c r="AK1152">
        <v>1</v>
      </c>
      <c r="AL1152" t="s">
        <v>66</v>
      </c>
      <c r="AM1152" t="s">
        <v>66</v>
      </c>
      <c r="AN1152" t="s">
        <v>66</v>
      </c>
      <c r="AO1152" t="s">
        <v>66</v>
      </c>
      <c r="AP1152">
        <v>1</v>
      </c>
      <c r="AQ1152" t="s">
        <v>66</v>
      </c>
      <c r="AR1152" t="s">
        <v>66</v>
      </c>
      <c r="AS1152" t="s">
        <v>66</v>
      </c>
      <c r="AT1152" t="s">
        <v>66</v>
      </c>
    </row>
    <row r="1153" spans="1:46" x14ac:dyDescent="0.15">
      <c r="A1153" t="s">
        <v>4593</v>
      </c>
      <c r="B1153" t="s">
        <v>4513</v>
      </c>
      <c r="C1153" t="s">
        <v>4514</v>
      </c>
      <c r="D1153">
        <v>19</v>
      </c>
      <c r="E1153" t="s">
        <v>4515</v>
      </c>
      <c r="F1153" t="s">
        <v>4516</v>
      </c>
      <c r="G1153" t="s">
        <v>51</v>
      </c>
      <c r="H1153" t="s">
        <v>4517</v>
      </c>
      <c r="I1153" t="s">
        <v>1553</v>
      </c>
      <c r="J1153" t="s">
        <v>4518</v>
      </c>
      <c r="K1153" t="s">
        <v>1555</v>
      </c>
      <c r="L1153" t="s">
        <v>19</v>
      </c>
      <c r="M1153" t="s">
        <v>17</v>
      </c>
      <c r="N1153">
        <v>1510</v>
      </c>
      <c r="O1153">
        <v>87</v>
      </c>
      <c r="P1153">
        <v>0</v>
      </c>
      <c r="Q1153" t="s">
        <v>4594</v>
      </c>
      <c r="R1153" t="s">
        <v>2157</v>
      </c>
      <c r="S1153" t="s">
        <v>4595</v>
      </c>
      <c r="T1153" t="s">
        <v>4596</v>
      </c>
      <c r="U1153" t="s">
        <v>60</v>
      </c>
      <c r="V1153" t="s">
        <v>61</v>
      </c>
      <c r="W1153">
        <v>3</v>
      </c>
      <c r="X1153">
        <v>0.13387499999999999</v>
      </c>
      <c r="Y1153" t="s">
        <v>125</v>
      </c>
      <c r="Z1153" t="s">
        <v>183</v>
      </c>
      <c r="AA1153">
        <v>0</v>
      </c>
      <c r="AB1153" t="s">
        <v>4522</v>
      </c>
      <c r="AC1153" t="s">
        <v>4523</v>
      </c>
      <c r="AD1153" t="s">
        <v>4524</v>
      </c>
      <c r="AE1153" t="s">
        <v>4525</v>
      </c>
      <c r="AF1153" t="s">
        <v>4526</v>
      </c>
      <c r="AG1153" t="s">
        <v>66</v>
      </c>
      <c r="AH1153" t="s">
        <v>66</v>
      </c>
      <c r="AI1153" t="s">
        <v>66</v>
      </c>
      <c r="AJ1153" t="s">
        <v>66</v>
      </c>
      <c r="AK1153">
        <v>1</v>
      </c>
      <c r="AL1153" t="s">
        <v>66</v>
      </c>
      <c r="AM1153" t="s">
        <v>66</v>
      </c>
      <c r="AN1153" t="s">
        <v>66</v>
      </c>
      <c r="AO1153" t="s">
        <v>66</v>
      </c>
      <c r="AP1153">
        <v>1</v>
      </c>
      <c r="AQ1153" t="s">
        <v>66</v>
      </c>
      <c r="AR1153" t="s">
        <v>66</v>
      </c>
      <c r="AS1153" t="s">
        <v>66</v>
      </c>
      <c r="AT1153" t="s">
        <v>66</v>
      </c>
    </row>
    <row r="1154" spans="1:46" x14ac:dyDescent="0.15">
      <c r="A1154" t="s">
        <v>4597</v>
      </c>
      <c r="B1154" t="s">
        <v>4513</v>
      </c>
      <c r="C1154" t="s">
        <v>4514</v>
      </c>
      <c r="D1154">
        <v>20</v>
      </c>
      <c r="E1154" t="s">
        <v>4515</v>
      </c>
      <c r="F1154" t="s">
        <v>4516</v>
      </c>
      <c r="G1154" t="s">
        <v>51</v>
      </c>
      <c r="H1154" t="s">
        <v>4517</v>
      </c>
      <c r="I1154" t="s">
        <v>1553</v>
      </c>
      <c r="J1154" t="s">
        <v>4518</v>
      </c>
      <c r="K1154" t="s">
        <v>1555</v>
      </c>
      <c r="L1154" t="s">
        <v>19</v>
      </c>
      <c r="M1154" t="s">
        <v>17</v>
      </c>
      <c r="N1154">
        <v>1566</v>
      </c>
      <c r="O1154">
        <v>90</v>
      </c>
      <c r="P1154">
        <v>0</v>
      </c>
      <c r="Q1154" t="s">
        <v>4598</v>
      </c>
      <c r="R1154" t="s">
        <v>2162</v>
      </c>
      <c r="S1154" t="s">
        <v>4599</v>
      </c>
      <c r="T1154" t="s">
        <v>4600</v>
      </c>
      <c r="U1154" t="s">
        <v>60</v>
      </c>
      <c r="V1154" t="s">
        <v>61</v>
      </c>
      <c r="W1154">
        <v>3</v>
      </c>
      <c r="X1154">
        <v>0.13387499999999999</v>
      </c>
      <c r="Y1154" t="s">
        <v>189</v>
      </c>
      <c r="Z1154" t="s">
        <v>190</v>
      </c>
      <c r="AA1154">
        <v>0</v>
      </c>
      <c r="AB1154" t="s">
        <v>4522</v>
      </c>
      <c r="AC1154" t="s">
        <v>4523</v>
      </c>
      <c r="AD1154" t="s">
        <v>4524</v>
      </c>
      <c r="AE1154" t="s">
        <v>4525</v>
      </c>
      <c r="AF1154" t="s">
        <v>4526</v>
      </c>
      <c r="AG1154" t="s">
        <v>66</v>
      </c>
      <c r="AH1154" t="s">
        <v>66</v>
      </c>
      <c r="AI1154" t="s">
        <v>66</v>
      </c>
      <c r="AJ1154" t="s">
        <v>66</v>
      </c>
      <c r="AK1154">
        <v>1</v>
      </c>
      <c r="AL1154" t="s">
        <v>66</v>
      </c>
      <c r="AM1154" t="s">
        <v>66</v>
      </c>
      <c r="AN1154" t="s">
        <v>66</v>
      </c>
      <c r="AO1154" t="s">
        <v>66</v>
      </c>
      <c r="AP1154">
        <v>1</v>
      </c>
      <c r="AQ1154" t="s">
        <v>66</v>
      </c>
      <c r="AR1154" t="s">
        <v>66</v>
      </c>
      <c r="AS1154" t="s">
        <v>66</v>
      </c>
      <c r="AT1154" t="s">
        <v>66</v>
      </c>
    </row>
    <row r="1155" spans="1:46" x14ac:dyDescent="0.15">
      <c r="A1155" t="s">
        <v>4597</v>
      </c>
      <c r="B1155" t="s">
        <v>4513</v>
      </c>
      <c r="C1155" t="s">
        <v>4514</v>
      </c>
      <c r="D1155">
        <v>20</v>
      </c>
      <c r="E1155" t="s">
        <v>4515</v>
      </c>
      <c r="F1155" t="s">
        <v>4516</v>
      </c>
      <c r="G1155" t="s">
        <v>51</v>
      </c>
      <c r="H1155" t="s">
        <v>4517</v>
      </c>
      <c r="I1155" t="s">
        <v>1553</v>
      </c>
      <c r="J1155" t="s">
        <v>4518</v>
      </c>
      <c r="K1155" t="s">
        <v>1555</v>
      </c>
      <c r="L1155" t="s">
        <v>19</v>
      </c>
      <c r="M1155" t="s">
        <v>17</v>
      </c>
      <c r="N1155">
        <v>1566</v>
      </c>
      <c r="O1155">
        <v>90</v>
      </c>
      <c r="P1155">
        <v>0</v>
      </c>
      <c r="Q1155" t="s">
        <v>4598</v>
      </c>
      <c r="R1155" t="s">
        <v>2162</v>
      </c>
      <c r="S1155" t="s">
        <v>4599</v>
      </c>
      <c r="T1155" t="s">
        <v>4600</v>
      </c>
      <c r="U1155" t="s">
        <v>60</v>
      </c>
      <c r="V1155" t="s">
        <v>61</v>
      </c>
      <c r="W1155">
        <v>3</v>
      </c>
      <c r="X1155">
        <v>0.13387499999999999</v>
      </c>
      <c r="Y1155" t="s">
        <v>189</v>
      </c>
      <c r="Z1155" t="s">
        <v>190</v>
      </c>
      <c r="AA1155">
        <v>1</v>
      </c>
      <c r="AB1155" t="s">
        <v>4522</v>
      </c>
      <c r="AC1155" t="s">
        <v>4523</v>
      </c>
      <c r="AD1155" t="s">
        <v>4524</v>
      </c>
      <c r="AE1155" t="s">
        <v>4525</v>
      </c>
      <c r="AF1155" t="s">
        <v>4526</v>
      </c>
      <c r="AG1155" t="s">
        <v>66</v>
      </c>
      <c r="AH1155" t="s">
        <v>66</v>
      </c>
      <c r="AI1155" t="s">
        <v>66</v>
      </c>
      <c r="AJ1155" t="s">
        <v>66</v>
      </c>
      <c r="AK1155">
        <v>1</v>
      </c>
      <c r="AL1155" t="s">
        <v>4601</v>
      </c>
      <c r="AM1155" t="s">
        <v>4602</v>
      </c>
      <c r="AN1155" t="s">
        <v>66</v>
      </c>
      <c r="AO1155" t="s">
        <v>66</v>
      </c>
      <c r="AP1155">
        <v>1</v>
      </c>
      <c r="AQ1155" t="s">
        <v>66</v>
      </c>
      <c r="AR1155" t="s">
        <v>66</v>
      </c>
      <c r="AS1155" t="s">
        <v>66</v>
      </c>
      <c r="AT1155" t="s">
        <v>66</v>
      </c>
    </row>
    <row r="1156" spans="1:46" x14ac:dyDescent="0.15">
      <c r="A1156" t="s">
        <v>4603</v>
      </c>
      <c r="B1156" t="s">
        <v>4513</v>
      </c>
      <c r="C1156" t="s">
        <v>4514</v>
      </c>
      <c r="D1156">
        <v>21</v>
      </c>
      <c r="E1156" t="s">
        <v>4515</v>
      </c>
      <c r="F1156" t="s">
        <v>4516</v>
      </c>
      <c r="G1156" t="s">
        <v>51</v>
      </c>
      <c r="H1156" t="s">
        <v>4517</v>
      </c>
      <c r="I1156" t="s">
        <v>1553</v>
      </c>
      <c r="J1156" t="s">
        <v>4518</v>
      </c>
      <c r="K1156" t="s">
        <v>1555</v>
      </c>
      <c r="L1156" t="s">
        <v>19</v>
      </c>
      <c r="M1156" t="s">
        <v>17</v>
      </c>
      <c r="N1156">
        <v>1622</v>
      </c>
      <c r="O1156">
        <v>93</v>
      </c>
      <c r="P1156">
        <v>0</v>
      </c>
      <c r="Q1156" t="s">
        <v>4604</v>
      </c>
      <c r="R1156" t="s">
        <v>2169</v>
      </c>
      <c r="S1156" t="s">
        <v>4605</v>
      </c>
      <c r="T1156" t="s">
        <v>4606</v>
      </c>
      <c r="U1156" t="s">
        <v>60</v>
      </c>
      <c r="V1156" t="s">
        <v>61</v>
      </c>
      <c r="W1156">
        <v>3</v>
      </c>
      <c r="X1156">
        <v>0.13387499999999999</v>
      </c>
      <c r="Y1156" t="s">
        <v>131</v>
      </c>
      <c r="Z1156" t="s">
        <v>197</v>
      </c>
      <c r="AA1156">
        <v>1</v>
      </c>
      <c r="AB1156" t="s">
        <v>4522</v>
      </c>
      <c r="AC1156" t="s">
        <v>4523</v>
      </c>
      <c r="AD1156" t="s">
        <v>4524</v>
      </c>
      <c r="AE1156" t="s">
        <v>4525</v>
      </c>
      <c r="AF1156" t="s">
        <v>4526</v>
      </c>
      <c r="AG1156" t="s">
        <v>66</v>
      </c>
      <c r="AH1156" t="s">
        <v>66</v>
      </c>
      <c r="AI1156" t="s">
        <v>66</v>
      </c>
      <c r="AJ1156" t="s">
        <v>66</v>
      </c>
      <c r="AK1156">
        <v>1</v>
      </c>
      <c r="AL1156" t="s">
        <v>4601</v>
      </c>
      <c r="AM1156" t="s">
        <v>4602</v>
      </c>
      <c r="AN1156" t="s">
        <v>66</v>
      </c>
      <c r="AO1156" t="s">
        <v>66</v>
      </c>
      <c r="AP1156">
        <v>1</v>
      </c>
      <c r="AQ1156" t="s">
        <v>66</v>
      </c>
      <c r="AR1156" t="s">
        <v>66</v>
      </c>
      <c r="AS1156" t="s">
        <v>66</v>
      </c>
      <c r="AT1156" t="s">
        <v>66</v>
      </c>
    </row>
    <row r="1157" spans="1:46" x14ac:dyDescent="0.15">
      <c r="A1157" t="s">
        <v>4607</v>
      </c>
      <c r="B1157" t="s">
        <v>4513</v>
      </c>
      <c r="C1157" t="s">
        <v>4514</v>
      </c>
      <c r="D1157">
        <v>22</v>
      </c>
      <c r="E1157" t="s">
        <v>4515</v>
      </c>
      <c r="F1157" t="s">
        <v>4516</v>
      </c>
      <c r="G1157" t="s">
        <v>51</v>
      </c>
      <c r="H1157" t="s">
        <v>4517</v>
      </c>
      <c r="I1157" t="s">
        <v>1553</v>
      </c>
      <c r="J1157" t="s">
        <v>4518</v>
      </c>
      <c r="K1157" t="s">
        <v>1555</v>
      </c>
      <c r="L1157" t="s">
        <v>19</v>
      </c>
      <c r="M1157" t="s">
        <v>17</v>
      </c>
      <c r="N1157">
        <v>1679</v>
      </c>
      <c r="O1157">
        <v>96</v>
      </c>
      <c r="P1157">
        <v>0</v>
      </c>
      <c r="Q1157" t="s">
        <v>4608</v>
      </c>
      <c r="R1157" t="s">
        <v>2174</v>
      </c>
      <c r="S1157" t="s">
        <v>4609</v>
      </c>
      <c r="T1157" t="s">
        <v>4610</v>
      </c>
      <c r="U1157" t="s">
        <v>60</v>
      </c>
      <c r="V1157" t="s">
        <v>61</v>
      </c>
      <c r="W1157">
        <v>3</v>
      </c>
      <c r="X1157">
        <v>0.13387499999999999</v>
      </c>
      <c r="Y1157" t="s">
        <v>203</v>
      </c>
      <c r="Z1157" t="s">
        <v>204</v>
      </c>
      <c r="AA1157">
        <v>1</v>
      </c>
      <c r="AB1157" t="s">
        <v>4522</v>
      </c>
      <c r="AC1157" t="s">
        <v>4523</v>
      </c>
      <c r="AD1157" t="s">
        <v>4524</v>
      </c>
      <c r="AE1157" t="s">
        <v>4525</v>
      </c>
      <c r="AF1157" t="s">
        <v>4526</v>
      </c>
      <c r="AG1157" t="s">
        <v>66</v>
      </c>
      <c r="AH1157" t="s">
        <v>66</v>
      </c>
      <c r="AI1157" t="s">
        <v>66</v>
      </c>
      <c r="AJ1157" t="s">
        <v>66</v>
      </c>
      <c r="AK1157">
        <v>1</v>
      </c>
      <c r="AL1157" t="s">
        <v>4601</v>
      </c>
      <c r="AM1157" t="s">
        <v>4602</v>
      </c>
      <c r="AN1157" t="s">
        <v>66</v>
      </c>
      <c r="AO1157" t="s">
        <v>66</v>
      </c>
      <c r="AP1157">
        <v>1</v>
      </c>
      <c r="AQ1157" t="s">
        <v>66</v>
      </c>
      <c r="AR1157" t="s">
        <v>66</v>
      </c>
      <c r="AS1157" t="s">
        <v>66</v>
      </c>
      <c r="AT1157" t="s">
        <v>66</v>
      </c>
    </row>
    <row r="1158" spans="1:46" x14ac:dyDescent="0.15">
      <c r="A1158" t="s">
        <v>4611</v>
      </c>
      <c r="B1158" t="s">
        <v>4513</v>
      </c>
      <c r="C1158" t="s">
        <v>4514</v>
      </c>
      <c r="D1158">
        <v>23</v>
      </c>
      <c r="E1158" t="s">
        <v>4515</v>
      </c>
      <c r="F1158" t="s">
        <v>4516</v>
      </c>
      <c r="G1158" t="s">
        <v>51</v>
      </c>
      <c r="H1158" t="s">
        <v>4517</v>
      </c>
      <c r="I1158" t="s">
        <v>1553</v>
      </c>
      <c r="J1158" t="s">
        <v>4518</v>
      </c>
      <c r="K1158" t="s">
        <v>1555</v>
      </c>
      <c r="L1158" t="s">
        <v>19</v>
      </c>
      <c r="M1158" t="s">
        <v>17</v>
      </c>
      <c r="N1158">
        <v>1735</v>
      </c>
      <c r="O1158">
        <v>100</v>
      </c>
      <c r="P1158">
        <v>0</v>
      </c>
      <c r="Q1158" t="s">
        <v>4612</v>
      </c>
      <c r="R1158" t="s">
        <v>2179</v>
      </c>
      <c r="S1158" t="s">
        <v>4613</v>
      </c>
      <c r="T1158" t="s">
        <v>4614</v>
      </c>
      <c r="U1158" t="s">
        <v>60</v>
      </c>
      <c r="V1158" t="s">
        <v>61</v>
      </c>
      <c r="W1158">
        <v>3</v>
      </c>
      <c r="X1158">
        <v>0.13387499999999999</v>
      </c>
      <c r="Y1158" t="s">
        <v>138</v>
      </c>
      <c r="Z1158" t="s">
        <v>210</v>
      </c>
      <c r="AA1158">
        <v>1</v>
      </c>
      <c r="AB1158" t="s">
        <v>4522</v>
      </c>
      <c r="AC1158" t="s">
        <v>4523</v>
      </c>
      <c r="AD1158" t="s">
        <v>4524</v>
      </c>
      <c r="AE1158" t="s">
        <v>4525</v>
      </c>
      <c r="AF1158" t="s">
        <v>4526</v>
      </c>
      <c r="AG1158" t="s">
        <v>66</v>
      </c>
      <c r="AH1158" t="s">
        <v>66</v>
      </c>
      <c r="AI1158" t="s">
        <v>66</v>
      </c>
      <c r="AJ1158" t="s">
        <v>66</v>
      </c>
      <c r="AK1158">
        <v>1</v>
      </c>
      <c r="AL1158" t="s">
        <v>4601</v>
      </c>
      <c r="AM1158" t="s">
        <v>4602</v>
      </c>
      <c r="AN1158" t="s">
        <v>66</v>
      </c>
      <c r="AO1158" t="s">
        <v>66</v>
      </c>
      <c r="AP1158">
        <v>1</v>
      </c>
      <c r="AQ1158" t="s">
        <v>66</v>
      </c>
      <c r="AR1158" t="s">
        <v>66</v>
      </c>
      <c r="AS1158" t="s">
        <v>66</v>
      </c>
      <c r="AT1158" t="s">
        <v>66</v>
      </c>
    </row>
    <row r="1159" spans="1:46" x14ac:dyDescent="0.15">
      <c r="A1159" t="s">
        <v>4615</v>
      </c>
      <c r="B1159" t="s">
        <v>4513</v>
      </c>
      <c r="C1159" t="s">
        <v>4514</v>
      </c>
      <c r="D1159">
        <v>24</v>
      </c>
      <c r="E1159" t="s">
        <v>4515</v>
      </c>
      <c r="F1159" t="s">
        <v>4516</v>
      </c>
      <c r="G1159" t="s">
        <v>51</v>
      </c>
      <c r="H1159" t="s">
        <v>4517</v>
      </c>
      <c r="I1159" t="s">
        <v>1553</v>
      </c>
      <c r="J1159" t="s">
        <v>4518</v>
      </c>
      <c r="K1159" t="s">
        <v>1555</v>
      </c>
      <c r="L1159" t="s">
        <v>19</v>
      </c>
      <c r="M1159" t="s">
        <v>17</v>
      </c>
      <c r="N1159">
        <v>1791</v>
      </c>
      <c r="O1159">
        <v>103</v>
      </c>
      <c r="P1159">
        <v>0</v>
      </c>
      <c r="Q1159" t="s">
        <v>4616</v>
      </c>
      <c r="R1159" t="s">
        <v>2184</v>
      </c>
      <c r="S1159" t="s">
        <v>4617</v>
      </c>
      <c r="T1159" t="s">
        <v>4618</v>
      </c>
      <c r="U1159" t="s">
        <v>60</v>
      </c>
      <c r="V1159" t="s">
        <v>61</v>
      </c>
      <c r="W1159">
        <v>3</v>
      </c>
      <c r="X1159">
        <v>0.13387499999999999</v>
      </c>
      <c r="Y1159" t="s">
        <v>216</v>
      </c>
      <c r="Z1159" t="s">
        <v>217</v>
      </c>
      <c r="AA1159">
        <v>1</v>
      </c>
      <c r="AB1159" t="s">
        <v>4522</v>
      </c>
      <c r="AC1159" t="s">
        <v>4523</v>
      </c>
      <c r="AD1159" t="s">
        <v>4524</v>
      </c>
      <c r="AE1159" t="s">
        <v>4525</v>
      </c>
      <c r="AF1159" t="s">
        <v>4526</v>
      </c>
      <c r="AG1159" t="s">
        <v>66</v>
      </c>
      <c r="AH1159" t="s">
        <v>66</v>
      </c>
      <c r="AI1159" t="s">
        <v>66</v>
      </c>
      <c r="AJ1159" t="s">
        <v>66</v>
      </c>
      <c r="AK1159">
        <v>1</v>
      </c>
      <c r="AL1159" t="s">
        <v>4601</v>
      </c>
      <c r="AM1159" t="s">
        <v>4602</v>
      </c>
      <c r="AN1159" t="s">
        <v>66</v>
      </c>
      <c r="AO1159" t="s">
        <v>66</v>
      </c>
      <c r="AP1159">
        <v>1</v>
      </c>
      <c r="AQ1159" t="s">
        <v>66</v>
      </c>
      <c r="AR1159" t="s">
        <v>66</v>
      </c>
      <c r="AS1159" t="s">
        <v>66</v>
      </c>
      <c r="AT1159" t="s">
        <v>66</v>
      </c>
    </row>
    <row r="1160" spans="1:46" x14ac:dyDescent="0.15">
      <c r="A1160" t="s">
        <v>4619</v>
      </c>
      <c r="B1160" t="s">
        <v>4513</v>
      </c>
      <c r="C1160" t="s">
        <v>4514</v>
      </c>
      <c r="D1160">
        <v>25</v>
      </c>
      <c r="E1160" t="s">
        <v>4515</v>
      </c>
      <c r="F1160" t="s">
        <v>4516</v>
      </c>
      <c r="G1160" t="s">
        <v>51</v>
      </c>
      <c r="H1160" t="s">
        <v>4517</v>
      </c>
      <c r="I1160" t="s">
        <v>1553</v>
      </c>
      <c r="J1160" t="s">
        <v>4518</v>
      </c>
      <c r="K1160" t="s">
        <v>1555</v>
      </c>
      <c r="L1160" t="s">
        <v>19</v>
      </c>
      <c r="M1160" t="s">
        <v>17</v>
      </c>
      <c r="N1160">
        <v>1847</v>
      </c>
      <c r="O1160">
        <v>106</v>
      </c>
      <c r="P1160">
        <v>0</v>
      </c>
      <c r="Q1160" t="s">
        <v>4620</v>
      </c>
      <c r="R1160" t="s">
        <v>2189</v>
      </c>
      <c r="S1160" t="s">
        <v>4621</v>
      </c>
      <c r="T1160" t="s">
        <v>4622</v>
      </c>
      <c r="U1160" t="s">
        <v>60</v>
      </c>
      <c r="V1160" t="s">
        <v>61</v>
      </c>
      <c r="W1160">
        <v>3</v>
      </c>
      <c r="X1160">
        <v>0.13387499999999999</v>
      </c>
      <c r="Y1160" t="s">
        <v>144</v>
      </c>
      <c r="Z1160" t="s">
        <v>223</v>
      </c>
      <c r="AA1160">
        <v>1</v>
      </c>
      <c r="AB1160" t="s">
        <v>4522</v>
      </c>
      <c r="AC1160" t="s">
        <v>4523</v>
      </c>
      <c r="AD1160" t="s">
        <v>4524</v>
      </c>
      <c r="AE1160" t="s">
        <v>4525</v>
      </c>
      <c r="AF1160" t="s">
        <v>4526</v>
      </c>
      <c r="AG1160" t="s">
        <v>66</v>
      </c>
      <c r="AH1160" t="s">
        <v>66</v>
      </c>
      <c r="AI1160" t="s">
        <v>66</v>
      </c>
      <c r="AJ1160" t="s">
        <v>66</v>
      </c>
      <c r="AK1160">
        <v>1</v>
      </c>
      <c r="AL1160" t="s">
        <v>4601</v>
      </c>
      <c r="AM1160" t="s">
        <v>4602</v>
      </c>
      <c r="AN1160" t="s">
        <v>66</v>
      </c>
      <c r="AO1160" t="s">
        <v>66</v>
      </c>
      <c r="AP1160">
        <v>1</v>
      </c>
      <c r="AQ1160" t="s">
        <v>66</v>
      </c>
      <c r="AR1160" t="s">
        <v>66</v>
      </c>
      <c r="AS1160" t="s">
        <v>66</v>
      </c>
      <c r="AT1160" t="s">
        <v>66</v>
      </c>
    </row>
    <row r="1161" spans="1:46" x14ac:dyDescent="0.15">
      <c r="A1161" t="s">
        <v>4623</v>
      </c>
      <c r="B1161" t="s">
        <v>4513</v>
      </c>
      <c r="C1161" t="s">
        <v>4514</v>
      </c>
      <c r="D1161">
        <v>26</v>
      </c>
      <c r="E1161" t="s">
        <v>4515</v>
      </c>
      <c r="F1161" t="s">
        <v>4516</v>
      </c>
      <c r="G1161" t="s">
        <v>51</v>
      </c>
      <c r="H1161" t="s">
        <v>4517</v>
      </c>
      <c r="I1161" t="s">
        <v>1553</v>
      </c>
      <c r="J1161" t="s">
        <v>4518</v>
      </c>
      <c r="K1161" t="s">
        <v>1555</v>
      </c>
      <c r="L1161" t="s">
        <v>19</v>
      </c>
      <c r="M1161" t="s">
        <v>17</v>
      </c>
      <c r="N1161">
        <v>1903</v>
      </c>
      <c r="O1161">
        <v>109</v>
      </c>
      <c r="P1161">
        <v>0</v>
      </c>
      <c r="Q1161" t="s">
        <v>4624</v>
      </c>
      <c r="R1161" t="s">
        <v>2194</v>
      </c>
      <c r="S1161" t="s">
        <v>4625</v>
      </c>
      <c r="T1161" t="s">
        <v>4626</v>
      </c>
      <c r="U1161" t="s">
        <v>60</v>
      </c>
      <c r="V1161" t="s">
        <v>61</v>
      </c>
      <c r="W1161">
        <v>3</v>
      </c>
      <c r="X1161">
        <v>0.13387499999999999</v>
      </c>
      <c r="Y1161" t="s">
        <v>229</v>
      </c>
      <c r="Z1161" t="s">
        <v>230</v>
      </c>
      <c r="AA1161">
        <v>1</v>
      </c>
      <c r="AB1161" t="s">
        <v>4522</v>
      </c>
      <c r="AC1161" t="s">
        <v>4523</v>
      </c>
      <c r="AD1161" t="s">
        <v>4524</v>
      </c>
      <c r="AE1161" t="s">
        <v>4525</v>
      </c>
      <c r="AF1161" t="s">
        <v>4526</v>
      </c>
      <c r="AG1161" t="s">
        <v>66</v>
      </c>
      <c r="AH1161" t="s">
        <v>66</v>
      </c>
      <c r="AI1161" t="s">
        <v>66</v>
      </c>
      <c r="AJ1161" t="s">
        <v>66</v>
      </c>
      <c r="AK1161">
        <v>1</v>
      </c>
      <c r="AL1161" t="s">
        <v>4601</v>
      </c>
      <c r="AM1161" t="s">
        <v>4602</v>
      </c>
      <c r="AN1161" t="s">
        <v>66</v>
      </c>
      <c r="AO1161" t="s">
        <v>66</v>
      </c>
      <c r="AP1161">
        <v>1</v>
      </c>
      <c r="AQ1161" t="s">
        <v>66</v>
      </c>
      <c r="AR1161" t="s">
        <v>66</v>
      </c>
      <c r="AS1161" t="s">
        <v>66</v>
      </c>
      <c r="AT1161" t="s">
        <v>66</v>
      </c>
    </row>
    <row r="1162" spans="1:46" x14ac:dyDescent="0.15">
      <c r="A1162" t="s">
        <v>4627</v>
      </c>
      <c r="B1162" t="s">
        <v>4513</v>
      </c>
      <c r="C1162" t="s">
        <v>4514</v>
      </c>
      <c r="D1162">
        <v>27</v>
      </c>
      <c r="E1162" t="s">
        <v>4515</v>
      </c>
      <c r="F1162" t="s">
        <v>4516</v>
      </c>
      <c r="G1162" t="s">
        <v>51</v>
      </c>
      <c r="H1162" t="s">
        <v>4517</v>
      </c>
      <c r="I1162" t="s">
        <v>1553</v>
      </c>
      <c r="J1162" t="s">
        <v>4518</v>
      </c>
      <c r="K1162" t="s">
        <v>1555</v>
      </c>
      <c r="L1162" t="s">
        <v>19</v>
      </c>
      <c r="M1162" t="s">
        <v>17</v>
      </c>
      <c r="N1162">
        <v>1959</v>
      </c>
      <c r="O1162">
        <v>112</v>
      </c>
      <c r="P1162">
        <v>0</v>
      </c>
      <c r="Q1162" t="s">
        <v>4628</v>
      </c>
      <c r="R1162" t="s">
        <v>2199</v>
      </c>
      <c r="S1162" t="s">
        <v>4629</v>
      </c>
      <c r="T1162" t="s">
        <v>4630</v>
      </c>
      <c r="U1162" t="s">
        <v>60</v>
      </c>
      <c r="V1162" t="s">
        <v>61</v>
      </c>
      <c r="W1162">
        <v>3</v>
      </c>
      <c r="X1162">
        <v>0.13387499999999999</v>
      </c>
      <c r="Y1162" t="s">
        <v>151</v>
      </c>
      <c r="Z1162" t="s">
        <v>236</v>
      </c>
      <c r="AA1162">
        <v>1</v>
      </c>
      <c r="AB1162" t="s">
        <v>4522</v>
      </c>
      <c r="AC1162" t="s">
        <v>4523</v>
      </c>
      <c r="AD1162" t="s">
        <v>4524</v>
      </c>
      <c r="AE1162" t="s">
        <v>4525</v>
      </c>
      <c r="AF1162" t="s">
        <v>4526</v>
      </c>
      <c r="AG1162" t="s">
        <v>66</v>
      </c>
      <c r="AH1162" t="s">
        <v>66</v>
      </c>
      <c r="AI1162" t="s">
        <v>66</v>
      </c>
      <c r="AJ1162" t="s">
        <v>66</v>
      </c>
      <c r="AK1162">
        <v>1</v>
      </c>
      <c r="AL1162" t="s">
        <v>4601</v>
      </c>
      <c r="AM1162" t="s">
        <v>4602</v>
      </c>
      <c r="AN1162" t="s">
        <v>66</v>
      </c>
      <c r="AO1162" t="s">
        <v>66</v>
      </c>
      <c r="AP1162">
        <v>1</v>
      </c>
      <c r="AQ1162" t="s">
        <v>66</v>
      </c>
      <c r="AR1162" t="s">
        <v>66</v>
      </c>
      <c r="AS1162" t="s">
        <v>66</v>
      </c>
      <c r="AT1162" t="s">
        <v>66</v>
      </c>
    </row>
    <row r="1163" spans="1:46" x14ac:dyDescent="0.15">
      <c r="A1163" t="s">
        <v>4631</v>
      </c>
      <c r="B1163" t="s">
        <v>4513</v>
      </c>
      <c r="C1163" t="s">
        <v>4514</v>
      </c>
      <c r="D1163">
        <v>28</v>
      </c>
      <c r="E1163" t="s">
        <v>4515</v>
      </c>
      <c r="F1163" t="s">
        <v>4516</v>
      </c>
      <c r="G1163" t="s">
        <v>51</v>
      </c>
      <c r="H1163" t="s">
        <v>4517</v>
      </c>
      <c r="I1163" t="s">
        <v>1553</v>
      </c>
      <c r="J1163" t="s">
        <v>4518</v>
      </c>
      <c r="K1163" t="s">
        <v>1555</v>
      </c>
      <c r="L1163" t="s">
        <v>19</v>
      </c>
      <c r="M1163" t="s">
        <v>17</v>
      </c>
      <c r="N1163">
        <v>2015</v>
      </c>
      <c r="O1163">
        <v>115</v>
      </c>
      <c r="P1163">
        <v>0</v>
      </c>
      <c r="Q1163" t="s">
        <v>4632</v>
      </c>
      <c r="R1163" t="s">
        <v>2204</v>
      </c>
      <c r="S1163" t="s">
        <v>4633</v>
      </c>
      <c r="T1163" t="s">
        <v>4634</v>
      </c>
      <c r="U1163" t="s">
        <v>60</v>
      </c>
      <c r="V1163" t="s">
        <v>61</v>
      </c>
      <c r="W1163">
        <v>3</v>
      </c>
      <c r="X1163">
        <v>0.13387499999999999</v>
      </c>
      <c r="Y1163" t="s">
        <v>242</v>
      </c>
      <c r="Z1163" t="s">
        <v>243</v>
      </c>
      <c r="AA1163">
        <v>1</v>
      </c>
      <c r="AB1163" t="s">
        <v>4522</v>
      </c>
      <c r="AC1163" t="s">
        <v>4523</v>
      </c>
      <c r="AD1163" t="s">
        <v>4524</v>
      </c>
      <c r="AE1163" t="s">
        <v>4525</v>
      </c>
      <c r="AF1163" t="s">
        <v>4526</v>
      </c>
      <c r="AG1163" t="s">
        <v>66</v>
      </c>
      <c r="AH1163" t="s">
        <v>66</v>
      </c>
      <c r="AI1163" t="s">
        <v>66</v>
      </c>
      <c r="AJ1163" t="s">
        <v>66</v>
      </c>
      <c r="AK1163">
        <v>1</v>
      </c>
      <c r="AL1163" t="s">
        <v>4601</v>
      </c>
      <c r="AM1163" t="s">
        <v>4602</v>
      </c>
      <c r="AN1163" t="s">
        <v>66</v>
      </c>
      <c r="AO1163" t="s">
        <v>66</v>
      </c>
      <c r="AP1163">
        <v>1</v>
      </c>
      <c r="AQ1163" t="s">
        <v>66</v>
      </c>
      <c r="AR1163" t="s">
        <v>66</v>
      </c>
      <c r="AS1163" t="s">
        <v>66</v>
      </c>
      <c r="AT1163" t="s">
        <v>66</v>
      </c>
    </row>
    <row r="1164" spans="1:46" x14ac:dyDescent="0.15">
      <c r="A1164" t="s">
        <v>4635</v>
      </c>
      <c r="B1164" t="s">
        <v>4513</v>
      </c>
      <c r="C1164" t="s">
        <v>4514</v>
      </c>
      <c r="D1164">
        <v>29</v>
      </c>
      <c r="E1164" t="s">
        <v>4515</v>
      </c>
      <c r="F1164" t="s">
        <v>4516</v>
      </c>
      <c r="G1164" t="s">
        <v>51</v>
      </c>
      <c r="H1164" t="s">
        <v>4517</v>
      </c>
      <c r="I1164" t="s">
        <v>1553</v>
      </c>
      <c r="J1164" t="s">
        <v>4518</v>
      </c>
      <c r="K1164" t="s">
        <v>1555</v>
      </c>
      <c r="L1164" t="s">
        <v>19</v>
      </c>
      <c r="M1164" t="s">
        <v>17</v>
      </c>
      <c r="N1164">
        <v>2071</v>
      </c>
      <c r="O1164">
        <v>119</v>
      </c>
      <c r="P1164">
        <v>0</v>
      </c>
      <c r="Q1164" t="s">
        <v>4636</v>
      </c>
      <c r="R1164" t="s">
        <v>2209</v>
      </c>
      <c r="S1164" t="s">
        <v>4637</v>
      </c>
      <c r="T1164" t="s">
        <v>4638</v>
      </c>
      <c r="U1164" t="s">
        <v>60</v>
      </c>
      <c r="V1164" t="s">
        <v>61</v>
      </c>
      <c r="W1164">
        <v>3</v>
      </c>
      <c r="X1164">
        <v>0.13387499999999999</v>
      </c>
      <c r="Y1164" t="s">
        <v>157</v>
      </c>
      <c r="Z1164" t="s">
        <v>249</v>
      </c>
      <c r="AA1164">
        <v>1</v>
      </c>
      <c r="AB1164" t="s">
        <v>4522</v>
      </c>
      <c r="AC1164" t="s">
        <v>4523</v>
      </c>
      <c r="AD1164" t="s">
        <v>4524</v>
      </c>
      <c r="AE1164" t="s">
        <v>4525</v>
      </c>
      <c r="AF1164" t="s">
        <v>4526</v>
      </c>
      <c r="AG1164" t="s">
        <v>66</v>
      </c>
      <c r="AH1164" t="s">
        <v>66</v>
      </c>
      <c r="AI1164" t="s">
        <v>66</v>
      </c>
      <c r="AJ1164" t="s">
        <v>66</v>
      </c>
      <c r="AK1164">
        <v>1</v>
      </c>
      <c r="AL1164" t="s">
        <v>4601</v>
      </c>
      <c r="AM1164" t="s">
        <v>4602</v>
      </c>
      <c r="AN1164" t="s">
        <v>66</v>
      </c>
      <c r="AO1164" t="s">
        <v>66</v>
      </c>
      <c r="AP1164">
        <v>1</v>
      </c>
      <c r="AQ1164" t="s">
        <v>66</v>
      </c>
      <c r="AR1164" t="s">
        <v>66</v>
      </c>
      <c r="AS1164" t="s">
        <v>66</v>
      </c>
      <c r="AT1164" t="s">
        <v>66</v>
      </c>
    </row>
    <row r="1165" spans="1:46" x14ac:dyDescent="0.15">
      <c r="A1165" t="s">
        <v>4639</v>
      </c>
      <c r="B1165" t="s">
        <v>4513</v>
      </c>
      <c r="C1165" t="s">
        <v>4514</v>
      </c>
      <c r="D1165">
        <v>30</v>
      </c>
      <c r="E1165" t="s">
        <v>4515</v>
      </c>
      <c r="F1165" t="s">
        <v>4516</v>
      </c>
      <c r="G1165" t="s">
        <v>51</v>
      </c>
      <c r="H1165" t="s">
        <v>4517</v>
      </c>
      <c r="I1165" t="s">
        <v>1553</v>
      </c>
      <c r="J1165" t="s">
        <v>4518</v>
      </c>
      <c r="K1165" t="s">
        <v>1555</v>
      </c>
      <c r="L1165" t="s">
        <v>19</v>
      </c>
      <c r="M1165" t="s">
        <v>17</v>
      </c>
      <c r="N1165">
        <v>2128</v>
      </c>
      <c r="O1165">
        <v>122</v>
      </c>
      <c r="P1165">
        <v>0</v>
      </c>
      <c r="Q1165" t="s">
        <v>4640</v>
      </c>
      <c r="R1165" t="s">
        <v>2214</v>
      </c>
      <c r="S1165" t="s">
        <v>4641</v>
      </c>
      <c r="T1165" t="s">
        <v>4642</v>
      </c>
      <c r="U1165" t="s">
        <v>60</v>
      </c>
      <c r="V1165" t="s">
        <v>61</v>
      </c>
      <c r="W1165">
        <v>3</v>
      </c>
      <c r="X1165">
        <v>0.13387499999999999</v>
      </c>
      <c r="Y1165" t="s">
        <v>255</v>
      </c>
      <c r="Z1165" t="s">
        <v>256</v>
      </c>
      <c r="AA1165">
        <v>1</v>
      </c>
      <c r="AB1165" t="s">
        <v>4522</v>
      </c>
      <c r="AC1165" t="s">
        <v>4523</v>
      </c>
      <c r="AD1165" t="s">
        <v>4524</v>
      </c>
      <c r="AE1165" t="s">
        <v>4525</v>
      </c>
      <c r="AF1165" t="s">
        <v>4526</v>
      </c>
      <c r="AG1165" t="s">
        <v>66</v>
      </c>
      <c r="AH1165" t="s">
        <v>66</v>
      </c>
      <c r="AI1165" t="s">
        <v>66</v>
      </c>
      <c r="AJ1165" t="s">
        <v>66</v>
      </c>
      <c r="AK1165">
        <v>1</v>
      </c>
      <c r="AL1165" t="s">
        <v>4601</v>
      </c>
      <c r="AM1165" t="s">
        <v>4602</v>
      </c>
      <c r="AN1165" t="s">
        <v>66</v>
      </c>
      <c r="AO1165" t="s">
        <v>66</v>
      </c>
      <c r="AP1165">
        <v>1</v>
      </c>
      <c r="AQ1165" t="s">
        <v>66</v>
      </c>
      <c r="AR1165" t="s">
        <v>66</v>
      </c>
      <c r="AS1165" t="s">
        <v>66</v>
      </c>
      <c r="AT1165" t="s">
        <v>66</v>
      </c>
    </row>
    <row r="1166" spans="1:46" x14ac:dyDescent="0.15">
      <c r="A1166" t="s">
        <v>4643</v>
      </c>
      <c r="B1166" t="s">
        <v>4513</v>
      </c>
      <c r="C1166" t="s">
        <v>4514</v>
      </c>
      <c r="D1166">
        <v>31</v>
      </c>
      <c r="E1166" t="s">
        <v>4515</v>
      </c>
      <c r="F1166" t="s">
        <v>4516</v>
      </c>
      <c r="G1166" t="s">
        <v>51</v>
      </c>
      <c r="H1166" t="s">
        <v>4517</v>
      </c>
      <c r="I1166" t="s">
        <v>1553</v>
      </c>
      <c r="J1166" t="s">
        <v>4518</v>
      </c>
      <c r="K1166" t="s">
        <v>1555</v>
      </c>
      <c r="L1166" t="s">
        <v>19</v>
      </c>
      <c r="M1166" t="s">
        <v>17</v>
      </c>
      <c r="N1166">
        <v>2184</v>
      </c>
      <c r="O1166">
        <v>125</v>
      </c>
      <c r="P1166">
        <v>0</v>
      </c>
      <c r="Q1166" t="s">
        <v>4644</v>
      </c>
      <c r="R1166" t="s">
        <v>2219</v>
      </c>
      <c r="S1166" t="s">
        <v>4645</v>
      </c>
      <c r="T1166" t="s">
        <v>4646</v>
      </c>
      <c r="U1166" t="s">
        <v>60</v>
      </c>
      <c r="V1166" t="s">
        <v>61</v>
      </c>
      <c r="W1166">
        <v>3</v>
      </c>
      <c r="X1166">
        <v>0.13387499999999999</v>
      </c>
      <c r="Y1166" t="s">
        <v>164</v>
      </c>
      <c r="Z1166" t="s">
        <v>262</v>
      </c>
      <c r="AA1166">
        <v>1</v>
      </c>
      <c r="AB1166" t="s">
        <v>4522</v>
      </c>
      <c r="AC1166" t="s">
        <v>4523</v>
      </c>
      <c r="AD1166" t="s">
        <v>4524</v>
      </c>
      <c r="AE1166" t="s">
        <v>4525</v>
      </c>
      <c r="AF1166" t="s">
        <v>4526</v>
      </c>
      <c r="AG1166" t="s">
        <v>66</v>
      </c>
      <c r="AH1166" t="s">
        <v>66</v>
      </c>
      <c r="AI1166" t="s">
        <v>66</v>
      </c>
      <c r="AJ1166" t="s">
        <v>66</v>
      </c>
      <c r="AK1166">
        <v>1</v>
      </c>
      <c r="AL1166" t="s">
        <v>4601</v>
      </c>
      <c r="AM1166" t="s">
        <v>4602</v>
      </c>
      <c r="AN1166" t="s">
        <v>66</v>
      </c>
      <c r="AO1166" t="s">
        <v>66</v>
      </c>
      <c r="AP1166">
        <v>1</v>
      </c>
      <c r="AQ1166" t="s">
        <v>66</v>
      </c>
      <c r="AR1166" t="s">
        <v>66</v>
      </c>
      <c r="AS1166" t="s">
        <v>66</v>
      </c>
      <c r="AT1166" t="s">
        <v>66</v>
      </c>
    </row>
    <row r="1167" spans="1:46" x14ac:dyDescent="0.15">
      <c r="A1167" t="s">
        <v>4647</v>
      </c>
      <c r="B1167" t="s">
        <v>4513</v>
      </c>
      <c r="C1167" t="s">
        <v>4514</v>
      </c>
      <c r="D1167">
        <v>32</v>
      </c>
      <c r="E1167" t="s">
        <v>4515</v>
      </c>
      <c r="F1167" t="s">
        <v>4516</v>
      </c>
      <c r="G1167" t="s">
        <v>51</v>
      </c>
      <c r="H1167" t="s">
        <v>4517</v>
      </c>
      <c r="I1167" t="s">
        <v>1553</v>
      </c>
      <c r="J1167" t="s">
        <v>4518</v>
      </c>
      <c r="K1167" t="s">
        <v>1555</v>
      </c>
      <c r="L1167" t="s">
        <v>19</v>
      </c>
      <c r="M1167" t="s">
        <v>17</v>
      </c>
      <c r="N1167">
        <v>2240</v>
      </c>
      <c r="O1167">
        <v>128</v>
      </c>
      <c r="P1167">
        <v>0</v>
      </c>
      <c r="Q1167" t="s">
        <v>4648</v>
      </c>
      <c r="R1167" t="s">
        <v>2224</v>
      </c>
      <c r="S1167" t="s">
        <v>4649</v>
      </c>
      <c r="T1167" t="s">
        <v>4650</v>
      </c>
      <c r="U1167" t="s">
        <v>60</v>
      </c>
      <c r="V1167" t="s">
        <v>61</v>
      </c>
      <c r="W1167">
        <v>3</v>
      </c>
      <c r="X1167">
        <v>0.13387499999999999</v>
      </c>
      <c r="Y1167" t="s">
        <v>268</v>
      </c>
      <c r="Z1167" t="s">
        <v>269</v>
      </c>
      <c r="AA1167">
        <v>1</v>
      </c>
      <c r="AB1167" t="s">
        <v>4522</v>
      </c>
      <c r="AC1167" t="s">
        <v>4523</v>
      </c>
      <c r="AD1167" t="s">
        <v>4524</v>
      </c>
      <c r="AE1167" t="s">
        <v>4525</v>
      </c>
      <c r="AF1167" t="s">
        <v>4526</v>
      </c>
      <c r="AG1167" t="s">
        <v>66</v>
      </c>
      <c r="AH1167" t="s">
        <v>66</v>
      </c>
      <c r="AI1167" t="s">
        <v>66</v>
      </c>
      <c r="AJ1167" t="s">
        <v>66</v>
      </c>
      <c r="AK1167">
        <v>1</v>
      </c>
      <c r="AL1167" t="s">
        <v>4601</v>
      </c>
      <c r="AM1167" t="s">
        <v>4602</v>
      </c>
      <c r="AN1167" t="s">
        <v>66</v>
      </c>
      <c r="AO1167" t="s">
        <v>66</v>
      </c>
      <c r="AP1167">
        <v>1</v>
      </c>
      <c r="AQ1167" t="s">
        <v>66</v>
      </c>
      <c r="AR1167" t="s">
        <v>66</v>
      </c>
      <c r="AS1167" t="s">
        <v>66</v>
      </c>
      <c r="AT1167" t="s">
        <v>66</v>
      </c>
    </row>
    <row r="1168" spans="1:46" x14ac:dyDescent="0.15">
      <c r="A1168" t="s">
        <v>4651</v>
      </c>
      <c r="B1168" t="s">
        <v>4513</v>
      </c>
      <c r="C1168" t="s">
        <v>4514</v>
      </c>
      <c r="D1168">
        <v>33</v>
      </c>
      <c r="E1168" t="s">
        <v>4515</v>
      </c>
      <c r="F1168" t="s">
        <v>4516</v>
      </c>
      <c r="G1168" t="s">
        <v>51</v>
      </c>
      <c r="H1168" t="s">
        <v>4517</v>
      </c>
      <c r="I1168" t="s">
        <v>1553</v>
      </c>
      <c r="J1168" t="s">
        <v>4518</v>
      </c>
      <c r="K1168" t="s">
        <v>1555</v>
      </c>
      <c r="L1168" t="s">
        <v>19</v>
      </c>
      <c r="M1168" t="s">
        <v>17</v>
      </c>
      <c r="N1168">
        <v>2296</v>
      </c>
      <c r="O1168">
        <v>131</v>
      </c>
      <c r="P1168">
        <v>0</v>
      </c>
      <c r="Q1168" t="s">
        <v>4652</v>
      </c>
      <c r="R1168" t="s">
        <v>2229</v>
      </c>
      <c r="S1168" t="s">
        <v>4653</v>
      </c>
      <c r="T1168" t="s">
        <v>4654</v>
      </c>
      <c r="U1168" t="s">
        <v>60</v>
      </c>
      <c r="V1168" t="s">
        <v>61</v>
      </c>
      <c r="W1168">
        <v>3</v>
      </c>
      <c r="X1168">
        <v>0.13387499999999999</v>
      </c>
      <c r="Y1168" t="s">
        <v>170</v>
      </c>
      <c r="Z1168" t="s">
        <v>275</v>
      </c>
      <c r="AA1168">
        <v>1</v>
      </c>
      <c r="AB1168" t="s">
        <v>4522</v>
      </c>
      <c r="AC1168" t="s">
        <v>4523</v>
      </c>
      <c r="AD1168" t="s">
        <v>4524</v>
      </c>
      <c r="AE1168" t="s">
        <v>4525</v>
      </c>
      <c r="AF1168" t="s">
        <v>4526</v>
      </c>
      <c r="AG1168" t="s">
        <v>66</v>
      </c>
      <c r="AH1168" t="s">
        <v>66</v>
      </c>
      <c r="AI1168" t="s">
        <v>66</v>
      </c>
      <c r="AJ1168" t="s">
        <v>66</v>
      </c>
      <c r="AK1168">
        <v>1</v>
      </c>
      <c r="AL1168" t="s">
        <v>4601</v>
      </c>
      <c r="AM1168" t="s">
        <v>4602</v>
      </c>
      <c r="AN1168" t="s">
        <v>66</v>
      </c>
      <c r="AO1168" t="s">
        <v>66</v>
      </c>
      <c r="AP1168">
        <v>1</v>
      </c>
      <c r="AQ1168" t="s">
        <v>66</v>
      </c>
      <c r="AR1168" t="s">
        <v>66</v>
      </c>
      <c r="AS1168" t="s">
        <v>66</v>
      </c>
      <c r="AT1168" t="s">
        <v>66</v>
      </c>
    </row>
    <row r="1169" spans="1:46" x14ac:dyDescent="0.15">
      <c r="A1169" t="s">
        <v>4655</v>
      </c>
      <c r="B1169" t="s">
        <v>4513</v>
      </c>
      <c r="C1169" t="s">
        <v>4514</v>
      </c>
      <c r="D1169">
        <v>34</v>
      </c>
      <c r="E1169" t="s">
        <v>4515</v>
      </c>
      <c r="F1169" t="s">
        <v>4516</v>
      </c>
      <c r="G1169" t="s">
        <v>51</v>
      </c>
      <c r="H1169" t="s">
        <v>4517</v>
      </c>
      <c r="I1169" t="s">
        <v>1553</v>
      </c>
      <c r="J1169" t="s">
        <v>4518</v>
      </c>
      <c r="K1169" t="s">
        <v>1555</v>
      </c>
      <c r="L1169" t="s">
        <v>19</v>
      </c>
      <c r="M1169" t="s">
        <v>17</v>
      </c>
      <c r="N1169">
        <v>2352</v>
      </c>
      <c r="O1169">
        <v>134</v>
      </c>
      <c r="P1169">
        <v>0</v>
      </c>
      <c r="Q1169" t="s">
        <v>4656</v>
      </c>
      <c r="R1169" t="s">
        <v>2234</v>
      </c>
      <c r="S1169" t="s">
        <v>4657</v>
      </c>
      <c r="T1169" t="s">
        <v>4658</v>
      </c>
      <c r="U1169" t="s">
        <v>60</v>
      </c>
      <c r="V1169" t="s">
        <v>61</v>
      </c>
      <c r="W1169">
        <v>3</v>
      </c>
      <c r="X1169">
        <v>0.13387499999999999</v>
      </c>
      <c r="Y1169" t="s">
        <v>281</v>
      </c>
      <c r="Z1169" t="s">
        <v>282</v>
      </c>
      <c r="AA1169">
        <v>1</v>
      </c>
      <c r="AB1169" t="s">
        <v>4522</v>
      </c>
      <c r="AC1169" t="s">
        <v>4523</v>
      </c>
      <c r="AD1169" t="s">
        <v>4524</v>
      </c>
      <c r="AE1169" t="s">
        <v>4525</v>
      </c>
      <c r="AF1169" t="s">
        <v>4526</v>
      </c>
      <c r="AG1169" t="s">
        <v>66</v>
      </c>
      <c r="AH1169" t="s">
        <v>66</v>
      </c>
      <c r="AI1169" t="s">
        <v>66</v>
      </c>
      <c r="AJ1169" t="s">
        <v>66</v>
      </c>
      <c r="AK1169">
        <v>1</v>
      </c>
      <c r="AL1169" t="s">
        <v>4601</v>
      </c>
      <c r="AM1169" t="s">
        <v>4602</v>
      </c>
      <c r="AN1169" t="s">
        <v>66</v>
      </c>
      <c r="AO1169" t="s">
        <v>66</v>
      </c>
      <c r="AP1169">
        <v>1</v>
      </c>
      <c r="AQ1169" t="s">
        <v>66</v>
      </c>
      <c r="AR1169" t="s">
        <v>66</v>
      </c>
      <c r="AS1169" t="s">
        <v>66</v>
      </c>
      <c r="AT1169" t="s">
        <v>66</v>
      </c>
    </row>
    <row r="1170" spans="1:46" x14ac:dyDescent="0.15">
      <c r="A1170" t="s">
        <v>4659</v>
      </c>
      <c r="B1170" t="s">
        <v>4513</v>
      </c>
      <c r="C1170" t="s">
        <v>4514</v>
      </c>
      <c r="D1170">
        <v>35</v>
      </c>
      <c r="E1170" t="s">
        <v>4515</v>
      </c>
      <c r="F1170" t="s">
        <v>4516</v>
      </c>
      <c r="G1170" t="s">
        <v>51</v>
      </c>
      <c r="H1170" t="s">
        <v>4517</v>
      </c>
      <c r="I1170" t="s">
        <v>1553</v>
      </c>
      <c r="J1170" t="s">
        <v>4518</v>
      </c>
      <c r="K1170" t="s">
        <v>1555</v>
      </c>
      <c r="L1170" t="s">
        <v>19</v>
      </c>
      <c r="M1170" t="s">
        <v>17</v>
      </c>
      <c r="N1170">
        <v>2408</v>
      </c>
      <c r="O1170">
        <v>138</v>
      </c>
      <c r="P1170">
        <v>0</v>
      </c>
      <c r="Q1170" t="s">
        <v>4660</v>
      </c>
      <c r="R1170" t="s">
        <v>2239</v>
      </c>
      <c r="S1170" t="s">
        <v>4661</v>
      </c>
      <c r="T1170" t="s">
        <v>4315</v>
      </c>
      <c r="U1170" t="s">
        <v>60</v>
      </c>
      <c r="V1170" t="s">
        <v>61</v>
      </c>
      <c r="W1170">
        <v>3</v>
      </c>
      <c r="X1170">
        <v>0.13387499999999999</v>
      </c>
      <c r="Y1170" t="s">
        <v>177</v>
      </c>
      <c r="Z1170" t="s">
        <v>288</v>
      </c>
      <c r="AA1170">
        <v>1</v>
      </c>
      <c r="AB1170" t="s">
        <v>4522</v>
      </c>
      <c r="AC1170" t="s">
        <v>4523</v>
      </c>
      <c r="AD1170" t="s">
        <v>4524</v>
      </c>
      <c r="AE1170" t="s">
        <v>4525</v>
      </c>
      <c r="AF1170" t="s">
        <v>4526</v>
      </c>
      <c r="AG1170" t="s">
        <v>66</v>
      </c>
      <c r="AH1170" t="s">
        <v>66</v>
      </c>
      <c r="AI1170" t="s">
        <v>66</v>
      </c>
      <c r="AJ1170" t="s">
        <v>66</v>
      </c>
      <c r="AK1170">
        <v>1</v>
      </c>
      <c r="AL1170" t="s">
        <v>4601</v>
      </c>
      <c r="AM1170" t="s">
        <v>4602</v>
      </c>
      <c r="AN1170" t="s">
        <v>66</v>
      </c>
      <c r="AO1170" t="s">
        <v>66</v>
      </c>
      <c r="AP1170">
        <v>1</v>
      </c>
      <c r="AQ1170" t="s">
        <v>66</v>
      </c>
      <c r="AR1170" t="s">
        <v>66</v>
      </c>
      <c r="AS1170" t="s">
        <v>66</v>
      </c>
      <c r="AT1170" t="s">
        <v>66</v>
      </c>
    </row>
    <row r="1171" spans="1:46" x14ac:dyDescent="0.15">
      <c r="A1171" t="s">
        <v>4662</v>
      </c>
      <c r="B1171" t="s">
        <v>4513</v>
      </c>
      <c r="C1171" t="s">
        <v>4514</v>
      </c>
      <c r="D1171">
        <v>36</v>
      </c>
      <c r="E1171" t="s">
        <v>4515</v>
      </c>
      <c r="F1171" t="s">
        <v>4516</v>
      </c>
      <c r="G1171" t="s">
        <v>51</v>
      </c>
      <c r="H1171" t="s">
        <v>4517</v>
      </c>
      <c r="I1171" t="s">
        <v>1553</v>
      </c>
      <c r="J1171" t="s">
        <v>4518</v>
      </c>
      <c r="K1171" t="s">
        <v>1555</v>
      </c>
      <c r="L1171" t="s">
        <v>19</v>
      </c>
      <c r="M1171" t="s">
        <v>17</v>
      </c>
      <c r="N1171">
        <v>2464</v>
      </c>
      <c r="O1171">
        <v>141</v>
      </c>
      <c r="P1171">
        <v>0</v>
      </c>
      <c r="Q1171" t="s">
        <v>4663</v>
      </c>
      <c r="R1171" t="s">
        <v>2244</v>
      </c>
      <c r="S1171" t="s">
        <v>4664</v>
      </c>
      <c r="T1171" t="s">
        <v>4665</v>
      </c>
      <c r="U1171" t="s">
        <v>60</v>
      </c>
      <c r="V1171" t="s">
        <v>61</v>
      </c>
      <c r="W1171">
        <v>3</v>
      </c>
      <c r="X1171">
        <v>0.13387499999999999</v>
      </c>
      <c r="Y1171" t="s">
        <v>294</v>
      </c>
      <c r="Z1171" t="s">
        <v>295</v>
      </c>
      <c r="AA1171">
        <v>1</v>
      </c>
      <c r="AB1171" t="s">
        <v>4522</v>
      </c>
      <c r="AC1171" t="s">
        <v>4523</v>
      </c>
      <c r="AD1171" t="s">
        <v>4524</v>
      </c>
      <c r="AE1171" t="s">
        <v>4525</v>
      </c>
      <c r="AF1171" t="s">
        <v>4526</v>
      </c>
      <c r="AG1171" t="s">
        <v>66</v>
      </c>
      <c r="AH1171" t="s">
        <v>66</v>
      </c>
      <c r="AI1171" t="s">
        <v>66</v>
      </c>
      <c r="AJ1171" t="s">
        <v>66</v>
      </c>
      <c r="AK1171">
        <v>1</v>
      </c>
      <c r="AL1171" t="s">
        <v>4601</v>
      </c>
      <c r="AM1171" t="s">
        <v>4602</v>
      </c>
      <c r="AN1171" t="s">
        <v>66</v>
      </c>
      <c r="AO1171" t="s">
        <v>66</v>
      </c>
      <c r="AP1171">
        <v>1</v>
      </c>
      <c r="AQ1171" t="s">
        <v>66</v>
      </c>
      <c r="AR1171" t="s">
        <v>66</v>
      </c>
      <c r="AS1171" t="s">
        <v>66</v>
      </c>
      <c r="AT1171" t="s">
        <v>66</v>
      </c>
    </row>
    <row r="1172" spans="1:46" x14ac:dyDescent="0.15">
      <c r="A1172" t="s">
        <v>4666</v>
      </c>
      <c r="B1172" t="s">
        <v>4513</v>
      </c>
      <c r="C1172" t="s">
        <v>4514</v>
      </c>
      <c r="D1172">
        <v>37</v>
      </c>
      <c r="E1172" t="s">
        <v>4515</v>
      </c>
      <c r="F1172" t="s">
        <v>4516</v>
      </c>
      <c r="G1172" t="s">
        <v>51</v>
      </c>
      <c r="H1172" t="s">
        <v>4517</v>
      </c>
      <c r="I1172" t="s">
        <v>1553</v>
      </c>
      <c r="J1172" t="s">
        <v>4518</v>
      </c>
      <c r="K1172" t="s">
        <v>1555</v>
      </c>
      <c r="L1172" t="s">
        <v>19</v>
      </c>
      <c r="M1172" t="s">
        <v>17</v>
      </c>
      <c r="N1172">
        <v>2520</v>
      </c>
      <c r="O1172">
        <v>144</v>
      </c>
      <c r="P1172">
        <v>0</v>
      </c>
      <c r="Q1172" t="s">
        <v>4667</v>
      </c>
      <c r="R1172" t="s">
        <v>2249</v>
      </c>
      <c r="S1172" t="s">
        <v>4668</v>
      </c>
      <c r="T1172" t="s">
        <v>4669</v>
      </c>
      <c r="U1172" t="s">
        <v>60</v>
      </c>
      <c r="V1172" t="s">
        <v>61</v>
      </c>
      <c r="W1172">
        <v>3</v>
      </c>
      <c r="X1172">
        <v>0.13387499999999999</v>
      </c>
      <c r="Y1172" t="s">
        <v>183</v>
      </c>
      <c r="Z1172" t="s">
        <v>301</v>
      </c>
      <c r="AA1172">
        <v>1</v>
      </c>
      <c r="AB1172" t="s">
        <v>4522</v>
      </c>
      <c r="AC1172" t="s">
        <v>4523</v>
      </c>
      <c r="AD1172" t="s">
        <v>4524</v>
      </c>
      <c r="AE1172" t="s">
        <v>4525</v>
      </c>
      <c r="AF1172" t="s">
        <v>4526</v>
      </c>
      <c r="AG1172" t="s">
        <v>66</v>
      </c>
      <c r="AH1172" t="s">
        <v>66</v>
      </c>
      <c r="AI1172" t="s">
        <v>66</v>
      </c>
      <c r="AJ1172" t="s">
        <v>66</v>
      </c>
      <c r="AK1172">
        <v>1</v>
      </c>
      <c r="AL1172" t="s">
        <v>4601</v>
      </c>
      <c r="AM1172" t="s">
        <v>4602</v>
      </c>
      <c r="AN1172" t="s">
        <v>66</v>
      </c>
      <c r="AO1172" t="s">
        <v>66</v>
      </c>
      <c r="AP1172">
        <v>1</v>
      </c>
      <c r="AQ1172" t="s">
        <v>66</v>
      </c>
      <c r="AR1172" t="s">
        <v>66</v>
      </c>
      <c r="AS1172" t="s">
        <v>66</v>
      </c>
      <c r="AT1172" t="s">
        <v>66</v>
      </c>
    </row>
    <row r="1173" spans="1:46" x14ac:dyDescent="0.15">
      <c r="A1173" t="s">
        <v>4670</v>
      </c>
      <c r="B1173" t="s">
        <v>4513</v>
      </c>
      <c r="C1173" t="s">
        <v>4514</v>
      </c>
      <c r="D1173">
        <v>38</v>
      </c>
      <c r="E1173" t="s">
        <v>4515</v>
      </c>
      <c r="F1173" t="s">
        <v>4516</v>
      </c>
      <c r="G1173" t="s">
        <v>51</v>
      </c>
      <c r="H1173" t="s">
        <v>4517</v>
      </c>
      <c r="I1173" t="s">
        <v>1553</v>
      </c>
      <c r="J1173" t="s">
        <v>4518</v>
      </c>
      <c r="K1173" t="s">
        <v>1555</v>
      </c>
      <c r="L1173" t="s">
        <v>19</v>
      </c>
      <c r="M1173" t="s">
        <v>17</v>
      </c>
      <c r="N1173">
        <v>2577</v>
      </c>
      <c r="O1173">
        <v>147</v>
      </c>
      <c r="P1173">
        <v>0</v>
      </c>
      <c r="Q1173" t="s">
        <v>4671</v>
      </c>
      <c r="R1173" t="s">
        <v>2254</v>
      </c>
      <c r="S1173" t="s">
        <v>4672</v>
      </c>
      <c r="T1173" t="s">
        <v>4673</v>
      </c>
      <c r="U1173" t="s">
        <v>60</v>
      </c>
      <c r="V1173" t="s">
        <v>61</v>
      </c>
      <c r="W1173">
        <v>3</v>
      </c>
      <c r="X1173">
        <v>0.13387499999999999</v>
      </c>
      <c r="Y1173" t="s">
        <v>307</v>
      </c>
      <c r="Z1173" t="s">
        <v>308</v>
      </c>
      <c r="AA1173">
        <v>1</v>
      </c>
      <c r="AB1173" t="s">
        <v>4522</v>
      </c>
      <c r="AC1173" t="s">
        <v>4523</v>
      </c>
      <c r="AD1173" t="s">
        <v>4524</v>
      </c>
      <c r="AE1173" t="s">
        <v>4525</v>
      </c>
      <c r="AF1173" t="s">
        <v>4526</v>
      </c>
      <c r="AG1173" t="s">
        <v>66</v>
      </c>
      <c r="AH1173" t="s">
        <v>66</v>
      </c>
      <c r="AI1173" t="s">
        <v>66</v>
      </c>
      <c r="AJ1173" t="s">
        <v>66</v>
      </c>
      <c r="AK1173">
        <v>1</v>
      </c>
      <c r="AL1173" t="s">
        <v>4601</v>
      </c>
      <c r="AM1173" t="s">
        <v>4602</v>
      </c>
      <c r="AN1173" t="s">
        <v>66</v>
      </c>
      <c r="AO1173" t="s">
        <v>66</v>
      </c>
      <c r="AP1173">
        <v>1</v>
      </c>
      <c r="AQ1173" t="s">
        <v>66</v>
      </c>
      <c r="AR1173" t="s">
        <v>66</v>
      </c>
      <c r="AS1173" t="s">
        <v>66</v>
      </c>
      <c r="AT1173" t="s">
        <v>66</v>
      </c>
    </row>
    <row r="1174" spans="1:46" x14ac:dyDescent="0.15">
      <c r="A1174" t="s">
        <v>4674</v>
      </c>
      <c r="B1174" t="s">
        <v>4513</v>
      </c>
      <c r="C1174" t="s">
        <v>4514</v>
      </c>
      <c r="D1174">
        <v>39</v>
      </c>
      <c r="E1174" t="s">
        <v>4515</v>
      </c>
      <c r="F1174" t="s">
        <v>4516</v>
      </c>
      <c r="G1174" t="s">
        <v>51</v>
      </c>
      <c r="H1174" t="s">
        <v>4517</v>
      </c>
      <c r="I1174" t="s">
        <v>1553</v>
      </c>
      <c r="J1174" t="s">
        <v>4518</v>
      </c>
      <c r="K1174" t="s">
        <v>1555</v>
      </c>
      <c r="L1174" t="s">
        <v>19</v>
      </c>
      <c r="M1174" t="s">
        <v>17</v>
      </c>
      <c r="N1174">
        <v>2633</v>
      </c>
      <c r="O1174">
        <v>150</v>
      </c>
      <c r="P1174">
        <v>0</v>
      </c>
      <c r="Q1174" t="s">
        <v>4675</v>
      </c>
      <c r="R1174" t="s">
        <v>2259</v>
      </c>
      <c r="S1174" t="s">
        <v>4676</v>
      </c>
      <c r="T1174" t="s">
        <v>4677</v>
      </c>
      <c r="U1174" t="s">
        <v>60</v>
      </c>
      <c r="V1174" t="s">
        <v>61</v>
      </c>
      <c r="W1174">
        <v>3</v>
      </c>
      <c r="X1174">
        <v>0.13387499999999999</v>
      </c>
      <c r="Y1174" t="s">
        <v>190</v>
      </c>
      <c r="Z1174" t="s">
        <v>314</v>
      </c>
      <c r="AA1174">
        <v>1</v>
      </c>
      <c r="AB1174" t="s">
        <v>4522</v>
      </c>
      <c r="AC1174" t="s">
        <v>4523</v>
      </c>
      <c r="AD1174" t="s">
        <v>4524</v>
      </c>
      <c r="AE1174" t="s">
        <v>4525</v>
      </c>
      <c r="AF1174" t="s">
        <v>4526</v>
      </c>
      <c r="AG1174" t="s">
        <v>66</v>
      </c>
      <c r="AH1174" t="s">
        <v>66</v>
      </c>
      <c r="AI1174" t="s">
        <v>66</v>
      </c>
      <c r="AJ1174" t="s">
        <v>66</v>
      </c>
      <c r="AK1174">
        <v>1</v>
      </c>
      <c r="AL1174" t="s">
        <v>4601</v>
      </c>
      <c r="AM1174" t="s">
        <v>4602</v>
      </c>
      <c r="AN1174" t="s">
        <v>66</v>
      </c>
      <c r="AO1174" t="s">
        <v>66</v>
      </c>
      <c r="AP1174">
        <v>1</v>
      </c>
      <c r="AQ1174" t="s">
        <v>66</v>
      </c>
      <c r="AR1174" t="s">
        <v>66</v>
      </c>
      <c r="AS1174" t="s">
        <v>66</v>
      </c>
      <c r="AT1174" t="s">
        <v>66</v>
      </c>
    </row>
    <row r="1175" spans="1:46" x14ac:dyDescent="0.15">
      <c r="A1175" t="s">
        <v>4678</v>
      </c>
      <c r="B1175" t="s">
        <v>4513</v>
      </c>
      <c r="C1175" t="s">
        <v>4514</v>
      </c>
      <c r="D1175">
        <v>40</v>
      </c>
      <c r="E1175" t="s">
        <v>4515</v>
      </c>
      <c r="F1175" t="s">
        <v>4516</v>
      </c>
      <c r="G1175" t="s">
        <v>51</v>
      </c>
      <c r="H1175" t="s">
        <v>4517</v>
      </c>
      <c r="I1175" t="s">
        <v>1553</v>
      </c>
      <c r="J1175" t="s">
        <v>4518</v>
      </c>
      <c r="K1175" t="s">
        <v>1555</v>
      </c>
      <c r="L1175" t="s">
        <v>19</v>
      </c>
      <c r="M1175" t="s">
        <v>17</v>
      </c>
      <c r="N1175">
        <v>2689</v>
      </c>
      <c r="O1175">
        <v>153</v>
      </c>
      <c r="P1175">
        <v>0</v>
      </c>
      <c r="Q1175" t="s">
        <v>4679</v>
      </c>
      <c r="R1175" t="s">
        <v>2264</v>
      </c>
      <c r="S1175" t="s">
        <v>4680</v>
      </c>
      <c r="T1175" t="s">
        <v>4681</v>
      </c>
      <c r="U1175" t="s">
        <v>60</v>
      </c>
      <c r="V1175" t="s">
        <v>61</v>
      </c>
      <c r="W1175">
        <v>3</v>
      </c>
      <c r="X1175">
        <v>0.13387499999999999</v>
      </c>
      <c r="Y1175" t="s">
        <v>320</v>
      </c>
      <c r="Z1175" t="s">
        <v>321</v>
      </c>
      <c r="AA1175">
        <v>1</v>
      </c>
      <c r="AB1175" t="s">
        <v>4522</v>
      </c>
      <c r="AC1175" t="s">
        <v>4523</v>
      </c>
      <c r="AD1175" t="s">
        <v>4524</v>
      </c>
      <c r="AE1175" t="s">
        <v>4525</v>
      </c>
      <c r="AF1175" t="s">
        <v>4526</v>
      </c>
      <c r="AG1175" t="s">
        <v>66</v>
      </c>
      <c r="AH1175" t="s">
        <v>66</v>
      </c>
      <c r="AI1175" t="s">
        <v>66</v>
      </c>
      <c r="AJ1175" t="s">
        <v>66</v>
      </c>
      <c r="AK1175">
        <v>1</v>
      </c>
      <c r="AL1175" t="s">
        <v>4601</v>
      </c>
      <c r="AM1175" t="s">
        <v>4602</v>
      </c>
      <c r="AN1175" t="s">
        <v>66</v>
      </c>
      <c r="AO1175" t="s">
        <v>66</v>
      </c>
      <c r="AP1175">
        <v>1</v>
      </c>
      <c r="AQ1175" t="s">
        <v>66</v>
      </c>
      <c r="AR1175" t="s">
        <v>66</v>
      </c>
      <c r="AS1175" t="s">
        <v>66</v>
      </c>
      <c r="AT1175" t="s">
        <v>66</v>
      </c>
    </row>
    <row r="1176" spans="1:46" x14ac:dyDescent="0.15">
      <c r="A1176" t="s">
        <v>4678</v>
      </c>
      <c r="B1176" t="s">
        <v>4513</v>
      </c>
      <c r="C1176" t="s">
        <v>4514</v>
      </c>
      <c r="D1176">
        <v>40</v>
      </c>
      <c r="E1176" t="s">
        <v>4515</v>
      </c>
      <c r="F1176" t="s">
        <v>4516</v>
      </c>
      <c r="G1176" t="s">
        <v>51</v>
      </c>
      <c r="H1176" t="s">
        <v>4517</v>
      </c>
      <c r="I1176" t="s">
        <v>1553</v>
      </c>
      <c r="J1176" t="s">
        <v>4518</v>
      </c>
      <c r="K1176" t="s">
        <v>1555</v>
      </c>
      <c r="L1176" t="s">
        <v>19</v>
      </c>
      <c r="M1176" t="s">
        <v>17</v>
      </c>
      <c r="N1176">
        <v>2689</v>
      </c>
      <c r="O1176">
        <v>153</v>
      </c>
      <c r="P1176">
        <v>0</v>
      </c>
      <c r="Q1176" t="s">
        <v>4679</v>
      </c>
      <c r="R1176" t="s">
        <v>2264</v>
      </c>
      <c r="S1176" t="s">
        <v>4680</v>
      </c>
      <c r="T1176" t="s">
        <v>4681</v>
      </c>
      <c r="U1176" t="s">
        <v>60</v>
      </c>
      <c r="V1176" t="s">
        <v>61</v>
      </c>
      <c r="W1176">
        <v>3</v>
      </c>
      <c r="X1176">
        <v>0.13387499999999999</v>
      </c>
      <c r="Y1176" t="s">
        <v>320</v>
      </c>
      <c r="Z1176" t="s">
        <v>321</v>
      </c>
      <c r="AA1176">
        <v>2</v>
      </c>
      <c r="AB1176" t="s">
        <v>4522</v>
      </c>
      <c r="AC1176" t="s">
        <v>4523</v>
      </c>
      <c r="AD1176" t="s">
        <v>4524</v>
      </c>
      <c r="AE1176" t="s">
        <v>4525</v>
      </c>
      <c r="AF1176" t="s">
        <v>4526</v>
      </c>
      <c r="AG1176" t="s">
        <v>3902</v>
      </c>
      <c r="AH1176" t="s">
        <v>3903</v>
      </c>
      <c r="AI1176" t="s">
        <v>66</v>
      </c>
      <c r="AJ1176" t="s">
        <v>66</v>
      </c>
      <c r="AK1176">
        <v>1</v>
      </c>
      <c r="AL1176" t="s">
        <v>4601</v>
      </c>
      <c r="AM1176" t="s">
        <v>4602</v>
      </c>
      <c r="AN1176" t="s">
        <v>4682</v>
      </c>
      <c r="AO1176" t="s">
        <v>66</v>
      </c>
      <c r="AP1176">
        <v>1</v>
      </c>
      <c r="AQ1176" t="s">
        <v>4683</v>
      </c>
      <c r="AR1176" t="s">
        <v>4684</v>
      </c>
      <c r="AS1176" t="s">
        <v>66</v>
      </c>
      <c r="AT1176" t="s">
        <v>66</v>
      </c>
    </row>
    <row r="1177" spans="1:46" x14ac:dyDescent="0.15">
      <c r="A1177" t="s">
        <v>4685</v>
      </c>
      <c r="B1177" t="s">
        <v>4513</v>
      </c>
      <c r="C1177" t="s">
        <v>4514</v>
      </c>
      <c r="D1177">
        <v>41</v>
      </c>
      <c r="E1177" t="s">
        <v>4515</v>
      </c>
      <c r="F1177" t="s">
        <v>4516</v>
      </c>
      <c r="G1177" t="s">
        <v>51</v>
      </c>
      <c r="H1177" t="s">
        <v>4517</v>
      </c>
      <c r="I1177" t="s">
        <v>1553</v>
      </c>
      <c r="J1177" t="s">
        <v>4518</v>
      </c>
      <c r="K1177" t="s">
        <v>1555</v>
      </c>
      <c r="L1177" t="s">
        <v>19</v>
      </c>
      <c r="M1177" t="s">
        <v>17</v>
      </c>
      <c r="N1177">
        <v>2745</v>
      </c>
      <c r="O1177">
        <v>157</v>
      </c>
      <c r="P1177">
        <v>0</v>
      </c>
      <c r="Q1177" t="s">
        <v>4686</v>
      </c>
      <c r="R1177" t="s">
        <v>2272</v>
      </c>
      <c r="S1177" t="s">
        <v>4687</v>
      </c>
      <c r="T1177" t="s">
        <v>4688</v>
      </c>
      <c r="U1177" t="s">
        <v>60</v>
      </c>
      <c r="V1177" t="s">
        <v>61</v>
      </c>
      <c r="W1177">
        <v>3</v>
      </c>
      <c r="X1177">
        <v>0.13387499999999999</v>
      </c>
      <c r="Y1177" t="s">
        <v>197</v>
      </c>
      <c r="Z1177" t="s">
        <v>330</v>
      </c>
      <c r="AA1177">
        <v>2</v>
      </c>
      <c r="AB1177" t="s">
        <v>4522</v>
      </c>
      <c r="AC1177" t="s">
        <v>4523</v>
      </c>
      <c r="AD1177" t="s">
        <v>4524</v>
      </c>
      <c r="AE1177" t="s">
        <v>4525</v>
      </c>
      <c r="AF1177" t="s">
        <v>4526</v>
      </c>
      <c r="AG1177" t="s">
        <v>3902</v>
      </c>
      <c r="AH1177" t="s">
        <v>3903</v>
      </c>
      <c r="AI1177" t="s">
        <v>66</v>
      </c>
      <c r="AJ1177" t="s">
        <v>66</v>
      </c>
      <c r="AK1177">
        <v>1</v>
      </c>
      <c r="AL1177" t="s">
        <v>4601</v>
      </c>
      <c r="AM1177" t="s">
        <v>4602</v>
      </c>
      <c r="AN1177" t="s">
        <v>4682</v>
      </c>
      <c r="AO1177" t="s">
        <v>66</v>
      </c>
      <c r="AP1177">
        <v>1</v>
      </c>
      <c r="AQ1177" t="s">
        <v>4683</v>
      </c>
      <c r="AR1177" t="s">
        <v>4684</v>
      </c>
      <c r="AS1177" t="s">
        <v>66</v>
      </c>
      <c r="AT1177" t="s">
        <v>66</v>
      </c>
    </row>
    <row r="1178" spans="1:46" x14ac:dyDescent="0.15">
      <c r="A1178" t="s">
        <v>4689</v>
      </c>
      <c r="B1178" t="s">
        <v>4513</v>
      </c>
      <c r="C1178" t="s">
        <v>4514</v>
      </c>
      <c r="D1178">
        <v>42</v>
      </c>
      <c r="E1178" t="s">
        <v>4515</v>
      </c>
      <c r="F1178" t="s">
        <v>4516</v>
      </c>
      <c r="G1178" t="s">
        <v>51</v>
      </c>
      <c r="H1178" t="s">
        <v>4517</v>
      </c>
      <c r="I1178" t="s">
        <v>1553</v>
      </c>
      <c r="J1178" t="s">
        <v>4518</v>
      </c>
      <c r="K1178" t="s">
        <v>1555</v>
      </c>
      <c r="L1178" t="s">
        <v>19</v>
      </c>
      <c r="M1178" t="s">
        <v>17</v>
      </c>
      <c r="N1178">
        <v>2801</v>
      </c>
      <c r="O1178">
        <v>160</v>
      </c>
      <c r="P1178">
        <v>0</v>
      </c>
      <c r="Q1178" t="s">
        <v>4690</v>
      </c>
      <c r="R1178" t="s">
        <v>2277</v>
      </c>
      <c r="S1178" t="s">
        <v>4691</v>
      </c>
      <c r="T1178" t="s">
        <v>4692</v>
      </c>
      <c r="U1178" t="s">
        <v>60</v>
      </c>
      <c r="V1178" t="s">
        <v>61</v>
      </c>
      <c r="W1178">
        <v>3</v>
      </c>
      <c r="X1178">
        <v>0.13387499999999999</v>
      </c>
      <c r="Y1178" t="s">
        <v>336</v>
      </c>
      <c r="Z1178" t="s">
        <v>337</v>
      </c>
      <c r="AA1178">
        <v>2</v>
      </c>
      <c r="AB1178" t="s">
        <v>4522</v>
      </c>
      <c r="AC1178" t="s">
        <v>4523</v>
      </c>
      <c r="AD1178" t="s">
        <v>4524</v>
      </c>
      <c r="AE1178" t="s">
        <v>4525</v>
      </c>
      <c r="AF1178" t="s">
        <v>4526</v>
      </c>
      <c r="AG1178" t="s">
        <v>3902</v>
      </c>
      <c r="AH1178" t="s">
        <v>3903</v>
      </c>
      <c r="AI1178" t="s">
        <v>66</v>
      </c>
      <c r="AJ1178" t="s">
        <v>66</v>
      </c>
      <c r="AK1178">
        <v>1</v>
      </c>
      <c r="AL1178" t="s">
        <v>4601</v>
      </c>
      <c r="AM1178" t="s">
        <v>4602</v>
      </c>
      <c r="AN1178" t="s">
        <v>4682</v>
      </c>
      <c r="AO1178" t="s">
        <v>66</v>
      </c>
      <c r="AP1178">
        <v>1</v>
      </c>
      <c r="AQ1178" t="s">
        <v>4683</v>
      </c>
      <c r="AR1178" t="s">
        <v>4684</v>
      </c>
      <c r="AS1178" t="s">
        <v>66</v>
      </c>
      <c r="AT1178" t="s">
        <v>66</v>
      </c>
    </row>
    <row r="1179" spans="1:46" x14ac:dyDescent="0.15">
      <c r="A1179" t="s">
        <v>4693</v>
      </c>
      <c r="B1179" t="s">
        <v>4513</v>
      </c>
      <c r="C1179" t="s">
        <v>4514</v>
      </c>
      <c r="D1179">
        <v>43</v>
      </c>
      <c r="E1179" t="s">
        <v>4515</v>
      </c>
      <c r="F1179" t="s">
        <v>4516</v>
      </c>
      <c r="G1179" t="s">
        <v>51</v>
      </c>
      <c r="H1179" t="s">
        <v>4517</v>
      </c>
      <c r="I1179" t="s">
        <v>1553</v>
      </c>
      <c r="J1179" t="s">
        <v>4518</v>
      </c>
      <c r="K1179" t="s">
        <v>1555</v>
      </c>
      <c r="L1179" t="s">
        <v>19</v>
      </c>
      <c r="M1179" t="s">
        <v>17</v>
      </c>
      <c r="N1179">
        <v>2857</v>
      </c>
      <c r="O1179">
        <v>163</v>
      </c>
      <c r="P1179">
        <v>0</v>
      </c>
      <c r="Q1179" t="s">
        <v>4694</v>
      </c>
      <c r="R1179" t="s">
        <v>2282</v>
      </c>
      <c r="S1179" t="s">
        <v>4695</v>
      </c>
      <c r="T1179" t="s">
        <v>4696</v>
      </c>
      <c r="U1179" t="s">
        <v>60</v>
      </c>
      <c r="V1179" t="s">
        <v>61</v>
      </c>
      <c r="W1179">
        <v>3</v>
      </c>
      <c r="X1179">
        <v>0.13387499999999999</v>
      </c>
      <c r="Y1179" t="s">
        <v>204</v>
      </c>
      <c r="Z1179" t="s">
        <v>343</v>
      </c>
      <c r="AA1179">
        <v>2</v>
      </c>
      <c r="AB1179" t="s">
        <v>4522</v>
      </c>
      <c r="AC1179" t="s">
        <v>4523</v>
      </c>
      <c r="AD1179" t="s">
        <v>4524</v>
      </c>
      <c r="AE1179" t="s">
        <v>4525</v>
      </c>
      <c r="AF1179" t="s">
        <v>4526</v>
      </c>
      <c r="AG1179" t="s">
        <v>3902</v>
      </c>
      <c r="AH1179" t="s">
        <v>3903</v>
      </c>
      <c r="AI1179" t="s">
        <v>66</v>
      </c>
      <c r="AJ1179" t="s">
        <v>66</v>
      </c>
      <c r="AK1179">
        <v>1</v>
      </c>
      <c r="AL1179" t="s">
        <v>4601</v>
      </c>
      <c r="AM1179" t="s">
        <v>4602</v>
      </c>
      <c r="AN1179" t="s">
        <v>4682</v>
      </c>
      <c r="AO1179" t="s">
        <v>66</v>
      </c>
      <c r="AP1179">
        <v>1</v>
      </c>
      <c r="AQ1179" t="s">
        <v>4683</v>
      </c>
      <c r="AR1179" t="s">
        <v>4684</v>
      </c>
      <c r="AS1179" t="s">
        <v>66</v>
      </c>
      <c r="AT1179" t="s">
        <v>66</v>
      </c>
    </row>
    <row r="1180" spans="1:46" x14ac:dyDescent="0.15">
      <c r="A1180" t="s">
        <v>4697</v>
      </c>
      <c r="B1180" t="s">
        <v>4513</v>
      </c>
      <c r="C1180" t="s">
        <v>4514</v>
      </c>
      <c r="D1180">
        <v>44</v>
      </c>
      <c r="E1180" t="s">
        <v>4515</v>
      </c>
      <c r="F1180" t="s">
        <v>4516</v>
      </c>
      <c r="G1180" t="s">
        <v>51</v>
      </c>
      <c r="H1180" t="s">
        <v>4517</v>
      </c>
      <c r="I1180" t="s">
        <v>1553</v>
      </c>
      <c r="J1180" t="s">
        <v>4518</v>
      </c>
      <c r="K1180" t="s">
        <v>1555</v>
      </c>
      <c r="L1180" t="s">
        <v>19</v>
      </c>
      <c r="M1180" t="s">
        <v>17</v>
      </c>
      <c r="N1180">
        <v>2913</v>
      </c>
      <c r="O1180">
        <v>166</v>
      </c>
      <c r="P1180">
        <v>0</v>
      </c>
      <c r="Q1180" t="s">
        <v>4698</v>
      </c>
      <c r="R1180" t="s">
        <v>2287</v>
      </c>
      <c r="S1180" t="s">
        <v>4699</v>
      </c>
      <c r="T1180" t="s">
        <v>4700</v>
      </c>
      <c r="U1180" t="s">
        <v>60</v>
      </c>
      <c r="V1180" t="s">
        <v>61</v>
      </c>
      <c r="W1180">
        <v>3</v>
      </c>
      <c r="X1180">
        <v>0.13387499999999999</v>
      </c>
      <c r="Y1180" t="s">
        <v>349</v>
      </c>
      <c r="Z1180" t="s">
        <v>350</v>
      </c>
      <c r="AA1180">
        <v>2</v>
      </c>
      <c r="AB1180" t="s">
        <v>4522</v>
      </c>
      <c r="AC1180" t="s">
        <v>4523</v>
      </c>
      <c r="AD1180" t="s">
        <v>4524</v>
      </c>
      <c r="AE1180" t="s">
        <v>4525</v>
      </c>
      <c r="AF1180" t="s">
        <v>4526</v>
      </c>
      <c r="AG1180" t="s">
        <v>3902</v>
      </c>
      <c r="AH1180" t="s">
        <v>3903</v>
      </c>
      <c r="AI1180" t="s">
        <v>66</v>
      </c>
      <c r="AJ1180" t="s">
        <v>66</v>
      </c>
      <c r="AK1180">
        <v>1</v>
      </c>
      <c r="AL1180" t="s">
        <v>4601</v>
      </c>
      <c r="AM1180" t="s">
        <v>4602</v>
      </c>
      <c r="AN1180" t="s">
        <v>4682</v>
      </c>
      <c r="AO1180" t="s">
        <v>66</v>
      </c>
      <c r="AP1180">
        <v>1</v>
      </c>
      <c r="AQ1180" t="s">
        <v>4683</v>
      </c>
      <c r="AR1180" t="s">
        <v>4684</v>
      </c>
      <c r="AS1180" t="s">
        <v>66</v>
      </c>
      <c r="AT1180" t="s">
        <v>66</v>
      </c>
    </row>
    <row r="1181" spans="1:46" x14ac:dyDescent="0.15">
      <c r="A1181" t="s">
        <v>4701</v>
      </c>
      <c r="B1181" t="s">
        <v>4513</v>
      </c>
      <c r="C1181" t="s">
        <v>4514</v>
      </c>
      <c r="D1181">
        <v>45</v>
      </c>
      <c r="E1181" t="s">
        <v>4515</v>
      </c>
      <c r="F1181" t="s">
        <v>4516</v>
      </c>
      <c r="G1181" t="s">
        <v>51</v>
      </c>
      <c r="H1181" t="s">
        <v>4517</v>
      </c>
      <c r="I1181" t="s">
        <v>1553</v>
      </c>
      <c r="J1181" t="s">
        <v>4518</v>
      </c>
      <c r="K1181" t="s">
        <v>1555</v>
      </c>
      <c r="L1181" t="s">
        <v>19</v>
      </c>
      <c r="M1181" t="s">
        <v>17</v>
      </c>
      <c r="N1181">
        <v>2969</v>
      </c>
      <c r="O1181">
        <v>169</v>
      </c>
      <c r="P1181">
        <v>0</v>
      </c>
      <c r="Q1181" t="s">
        <v>4702</v>
      </c>
      <c r="R1181" t="s">
        <v>2292</v>
      </c>
      <c r="S1181" t="s">
        <v>4703</v>
      </c>
      <c r="T1181" t="s">
        <v>4704</v>
      </c>
      <c r="U1181" t="s">
        <v>60</v>
      </c>
      <c r="V1181" t="s">
        <v>61</v>
      </c>
      <c r="W1181">
        <v>3</v>
      </c>
      <c r="X1181">
        <v>0.13387499999999999</v>
      </c>
      <c r="Y1181" t="s">
        <v>210</v>
      </c>
      <c r="Z1181" t="s">
        <v>356</v>
      </c>
      <c r="AA1181">
        <v>2</v>
      </c>
      <c r="AB1181" t="s">
        <v>4522</v>
      </c>
      <c r="AC1181" t="s">
        <v>4523</v>
      </c>
      <c r="AD1181" t="s">
        <v>4524</v>
      </c>
      <c r="AE1181" t="s">
        <v>4525</v>
      </c>
      <c r="AF1181" t="s">
        <v>4526</v>
      </c>
      <c r="AG1181" t="s">
        <v>3902</v>
      </c>
      <c r="AH1181" t="s">
        <v>3903</v>
      </c>
      <c r="AI1181" t="s">
        <v>66</v>
      </c>
      <c r="AJ1181" t="s">
        <v>66</v>
      </c>
      <c r="AK1181">
        <v>1</v>
      </c>
      <c r="AL1181" t="s">
        <v>4601</v>
      </c>
      <c r="AM1181" t="s">
        <v>4602</v>
      </c>
      <c r="AN1181" t="s">
        <v>4682</v>
      </c>
      <c r="AO1181" t="s">
        <v>66</v>
      </c>
      <c r="AP1181">
        <v>1</v>
      </c>
      <c r="AQ1181" t="s">
        <v>4683</v>
      </c>
      <c r="AR1181" t="s">
        <v>4684</v>
      </c>
      <c r="AS1181" t="s">
        <v>66</v>
      </c>
      <c r="AT1181" t="s">
        <v>66</v>
      </c>
    </row>
    <row r="1182" spans="1:46" x14ac:dyDescent="0.15">
      <c r="A1182" t="s">
        <v>4705</v>
      </c>
      <c r="B1182" t="s">
        <v>4513</v>
      </c>
      <c r="C1182" t="s">
        <v>4514</v>
      </c>
      <c r="D1182">
        <v>46</v>
      </c>
      <c r="E1182" t="s">
        <v>4515</v>
      </c>
      <c r="F1182" t="s">
        <v>4516</v>
      </c>
      <c r="G1182" t="s">
        <v>51</v>
      </c>
      <c r="H1182" t="s">
        <v>4517</v>
      </c>
      <c r="I1182" t="s">
        <v>1553</v>
      </c>
      <c r="J1182" t="s">
        <v>4518</v>
      </c>
      <c r="K1182" t="s">
        <v>1555</v>
      </c>
      <c r="L1182" t="s">
        <v>19</v>
      </c>
      <c r="M1182" t="s">
        <v>17</v>
      </c>
      <c r="N1182">
        <v>3026</v>
      </c>
      <c r="O1182">
        <v>172</v>
      </c>
      <c r="P1182">
        <v>0</v>
      </c>
      <c r="Q1182" t="s">
        <v>4706</v>
      </c>
      <c r="R1182" t="s">
        <v>2297</v>
      </c>
      <c r="S1182" t="s">
        <v>4707</v>
      </c>
      <c r="T1182" t="s">
        <v>4708</v>
      </c>
      <c r="U1182" t="s">
        <v>60</v>
      </c>
      <c r="V1182" t="s">
        <v>61</v>
      </c>
      <c r="W1182">
        <v>3</v>
      </c>
      <c r="X1182">
        <v>0.13387499999999999</v>
      </c>
      <c r="Y1182" t="s">
        <v>362</v>
      </c>
      <c r="Z1182" t="s">
        <v>363</v>
      </c>
      <c r="AA1182">
        <v>2</v>
      </c>
      <c r="AB1182" t="s">
        <v>4522</v>
      </c>
      <c r="AC1182" t="s">
        <v>4523</v>
      </c>
      <c r="AD1182" t="s">
        <v>4524</v>
      </c>
      <c r="AE1182" t="s">
        <v>4525</v>
      </c>
      <c r="AF1182" t="s">
        <v>4526</v>
      </c>
      <c r="AG1182" t="s">
        <v>3902</v>
      </c>
      <c r="AH1182" t="s">
        <v>3903</v>
      </c>
      <c r="AI1182" t="s">
        <v>66</v>
      </c>
      <c r="AJ1182" t="s">
        <v>66</v>
      </c>
      <c r="AK1182">
        <v>1</v>
      </c>
      <c r="AL1182" t="s">
        <v>4601</v>
      </c>
      <c r="AM1182" t="s">
        <v>4602</v>
      </c>
      <c r="AN1182" t="s">
        <v>4682</v>
      </c>
      <c r="AO1182" t="s">
        <v>66</v>
      </c>
      <c r="AP1182">
        <v>1</v>
      </c>
      <c r="AQ1182" t="s">
        <v>4683</v>
      </c>
      <c r="AR1182" t="s">
        <v>4684</v>
      </c>
      <c r="AS1182" t="s">
        <v>66</v>
      </c>
      <c r="AT1182" t="s">
        <v>66</v>
      </c>
    </row>
    <row r="1183" spans="1:46" x14ac:dyDescent="0.15">
      <c r="A1183" t="s">
        <v>4709</v>
      </c>
      <c r="B1183" t="s">
        <v>4513</v>
      </c>
      <c r="C1183" t="s">
        <v>4514</v>
      </c>
      <c r="D1183">
        <v>47</v>
      </c>
      <c r="E1183" t="s">
        <v>4515</v>
      </c>
      <c r="F1183" t="s">
        <v>4516</v>
      </c>
      <c r="G1183" t="s">
        <v>51</v>
      </c>
      <c r="H1183" t="s">
        <v>4517</v>
      </c>
      <c r="I1183" t="s">
        <v>1553</v>
      </c>
      <c r="J1183" t="s">
        <v>4518</v>
      </c>
      <c r="K1183" t="s">
        <v>1555</v>
      </c>
      <c r="L1183" t="s">
        <v>19</v>
      </c>
      <c r="M1183" t="s">
        <v>17</v>
      </c>
      <c r="N1183">
        <v>3082</v>
      </c>
      <c r="O1183">
        <v>176</v>
      </c>
      <c r="P1183">
        <v>0</v>
      </c>
      <c r="Q1183" t="s">
        <v>4710</v>
      </c>
      <c r="R1183" t="s">
        <v>2302</v>
      </c>
      <c r="S1183" t="s">
        <v>4711</v>
      </c>
      <c r="T1183" t="s">
        <v>4712</v>
      </c>
      <c r="U1183" t="s">
        <v>60</v>
      </c>
      <c r="V1183" t="s">
        <v>61</v>
      </c>
      <c r="W1183">
        <v>3</v>
      </c>
      <c r="X1183">
        <v>0.13387499999999999</v>
      </c>
      <c r="Y1183" t="s">
        <v>217</v>
      </c>
      <c r="Z1183" t="s">
        <v>369</v>
      </c>
      <c r="AA1183">
        <v>2</v>
      </c>
      <c r="AB1183" t="s">
        <v>4522</v>
      </c>
      <c r="AC1183" t="s">
        <v>4523</v>
      </c>
      <c r="AD1183" t="s">
        <v>4524</v>
      </c>
      <c r="AE1183" t="s">
        <v>4525</v>
      </c>
      <c r="AF1183" t="s">
        <v>4526</v>
      </c>
      <c r="AG1183" t="s">
        <v>3902</v>
      </c>
      <c r="AH1183" t="s">
        <v>3903</v>
      </c>
      <c r="AI1183" t="s">
        <v>66</v>
      </c>
      <c r="AJ1183" t="s">
        <v>66</v>
      </c>
      <c r="AK1183">
        <v>1</v>
      </c>
      <c r="AL1183" t="s">
        <v>4601</v>
      </c>
      <c r="AM1183" t="s">
        <v>4602</v>
      </c>
      <c r="AN1183" t="s">
        <v>4682</v>
      </c>
      <c r="AO1183" t="s">
        <v>66</v>
      </c>
      <c r="AP1183">
        <v>1</v>
      </c>
      <c r="AQ1183" t="s">
        <v>4683</v>
      </c>
      <c r="AR1183" t="s">
        <v>4684</v>
      </c>
      <c r="AS1183" t="s">
        <v>66</v>
      </c>
      <c r="AT1183" t="s">
        <v>66</v>
      </c>
    </row>
    <row r="1184" spans="1:46" x14ac:dyDescent="0.15">
      <c r="A1184" t="s">
        <v>4713</v>
      </c>
      <c r="B1184" t="s">
        <v>4513</v>
      </c>
      <c r="C1184" t="s">
        <v>4514</v>
      </c>
      <c r="D1184">
        <v>48</v>
      </c>
      <c r="E1184" t="s">
        <v>4515</v>
      </c>
      <c r="F1184" t="s">
        <v>4516</v>
      </c>
      <c r="G1184" t="s">
        <v>51</v>
      </c>
      <c r="H1184" t="s">
        <v>4517</v>
      </c>
      <c r="I1184" t="s">
        <v>1553</v>
      </c>
      <c r="J1184" t="s">
        <v>4518</v>
      </c>
      <c r="K1184" t="s">
        <v>1555</v>
      </c>
      <c r="L1184" t="s">
        <v>19</v>
      </c>
      <c r="M1184" t="s">
        <v>17</v>
      </c>
      <c r="N1184">
        <v>3138</v>
      </c>
      <c r="O1184">
        <v>179</v>
      </c>
      <c r="P1184">
        <v>0</v>
      </c>
      <c r="Q1184" t="s">
        <v>4714</v>
      </c>
      <c r="R1184" t="s">
        <v>2307</v>
      </c>
      <c r="S1184" t="s">
        <v>4715</v>
      </c>
      <c r="T1184" t="s">
        <v>4716</v>
      </c>
      <c r="U1184" t="s">
        <v>60</v>
      </c>
      <c r="V1184" t="s">
        <v>61</v>
      </c>
      <c r="W1184">
        <v>3</v>
      </c>
      <c r="X1184">
        <v>0.13387499999999999</v>
      </c>
      <c r="Y1184" t="s">
        <v>375</v>
      </c>
      <c r="Z1184" t="s">
        <v>376</v>
      </c>
      <c r="AA1184">
        <v>2</v>
      </c>
      <c r="AB1184" t="s">
        <v>4522</v>
      </c>
      <c r="AC1184" t="s">
        <v>4523</v>
      </c>
      <c r="AD1184" t="s">
        <v>4524</v>
      </c>
      <c r="AE1184" t="s">
        <v>4525</v>
      </c>
      <c r="AF1184" t="s">
        <v>4526</v>
      </c>
      <c r="AG1184" t="s">
        <v>3902</v>
      </c>
      <c r="AH1184" t="s">
        <v>3903</v>
      </c>
      <c r="AI1184" t="s">
        <v>66</v>
      </c>
      <c r="AJ1184" t="s">
        <v>66</v>
      </c>
      <c r="AK1184">
        <v>1</v>
      </c>
      <c r="AL1184" t="s">
        <v>4601</v>
      </c>
      <c r="AM1184" t="s">
        <v>4602</v>
      </c>
      <c r="AN1184" t="s">
        <v>4682</v>
      </c>
      <c r="AO1184" t="s">
        <v>66</v>
      </c>
      <c r="AP1184">
        <v>1</v>
      </c>
      <c r="AQ1184" t="s">
        <v>4683</v>
      </c>
      <c r="AR1184" t="s">
        <v>4684</v>
      </c>
      <c r="AS1184" t="s">
        <v>66</v>
      </c>
      <c r="AT1184" t="s">
        <v>66</v>
      </c>
    </row>
    <row r="1185" spans="1:46" x14ac:dyDescent="0.15">
      <c r="A1185" t="s">
        <v>4717</v>
      </c>
      <c r="B1185" t="s">
        <v>4513</v>
      </c>
      <c r="C1185" t="s">
        <v>4514</v>
      </c>
      <c r="D1185">
        <v>49</v>
      </c>
      <c r="E1185" t="s">
        <v>4515</v>
      </c>
      <c r="F1185" t="s">
        <v>4516</v>
      </c>
      <c r="G1185" t="s">
        <v>51</v>
      </c>
      <c r="H1185" t="s">
        <v>4517</v>
      </c>
      <c r="I1185" t="s">
        <v>1553</v>
      </c>
      <c r="J1185" t="s">
        <v>4518</v>
      </c>
      <c r="K1185" t="s">
        <v>1555</v>
      </c>
      <c r="L1185" t="s">
        <v>19</v>
      </c>
      <c r="M1185" t="s">
        <v>17</v>
      </c>
      <c r="N1185">
        <v>3194</v>
      </c>
      <c r="O1185">
        <v>182</v>
      </c>
      <c r="P1185">
        <v>0</v>
      </c>
      <c r="Q1185" t="s">
        <v>4718</v>
      </c>
      <c r="R1185" t="s">
        <v>2312</v>
      </c>
      <c r="S1185" t="s">
        <v>4719</v>
      </c>
      <c r="T1185" t="s">
        <v>4720</v>
      </c>
      <c r="U1185" t="s">
        <v>60</v>
      </c>
      <c r="V1185" t="s">
        <v>61</v>
      </c>
      <c r="W1185">
        <v>3</v>
      </c>
      <c r="X1185">
        <v>0.13387499999999999</v>
      </c>
      <c r="Y1185" t="s">
        <v>223</v>
      </c>
      <c r="Z1185" t="s">
        <v>382</v>
      </c>
      <c r="AA1185">
        <v>2</v>
      </c>
      <c r="AB1185" t="s">
        <v>4522</v>
      </c>
      <c r="AC1185" t="s">
        <v>4523</v>
      </c>
      <c r="AD1185" t="s">
        <v>4524</v>
      </c>
      <c r="AE1185" t="s">
        <v>4525</v>
      </c>
      <c r="AF1185" t="s">
        <v>4526</v>
      </c>
      <c r="AG1185" t="s">
        <v>3902</v>
      </c>
      <c r="AH1185" t="s">
        <v>3903</v>
      </c>
      <c r="AI1185" t="s">
        <v>66</v>
      </c>
      <c r="AJ1185" t="s">
        <v>66</v>
      </c>
      <c r="AK1185">
        <v>1</v>
      </c>
      <c r="AL1185" t="s">
        <v>4601</v>
      </c>
      <c r="AM1185" t="s">
        <v>4602</v>
      </c>
      <c r="AN1185" t="s">
        <v>4682</v>
      </c>
      <c r="AO1185" t="s">
        <v>66</v>
      </c>
      <c r="AP1185">
        <v>1</v>
      </c>
      <c r="AQ1185" t="s">
        <v>4683</v>
      </c>
      <c r="AR1185" t="s">
        <v>4684</v>
      </c>
      <c r="AS1185" t="s">
        <v>66</v>
      </c>
      <c r="AT1185" t="s">
        <v>66</v>
      </c>
    </row>
    <row r="1186" spans="1:46" x14ac:dyDescent="0.15">
      <c r="A1186" t="s">
        <v>4721</v>
      </c>
      <c r="B1186" t="s">
        <v>4513</v>
      </c>
      <c r="C1186" t="s">
        <v>4514</v>
      </c>
      <c r="D1186">
        <v>50</v>
      </c>
      <c r="E1186" t="s">
        <v>4515</v>
      </c>
      <c r="F1186" t="s">
        <v>4516</v>
      </c>
      <c r="G1186" t="s">
        <v>51</v>
      </c>
      <c r="H1186" t="s">
        <v>4517</v>
      </c>
      <c r="I1186" t="s">
        <v>1553</v>
      </c>
      <c r="J1186" t="s">
        <v>4518</v>
      </c>
      <c r="K1186" t="s">
        <v>1555</v>
      </c>
      <c r="L1186" t="s">
        <v>19</v>
      </c>
      <c r="M1186" t="s">
        <v>17</v>
      </c>
      <c r="N1186">
        <v>3250</v>
      </c>
      <c r="O1186">
        <v>185</v>
      </c>
      <c r="P1186">
        <v>0</v>
      </c>
      <c r="Q1186" t="s">
        <v>4722</v>
      </c>
      <c r="R1186" t="s">
        <v>2317</v>
      </c>
      <c r="S1186" t="s">
        <v>4723</v>
      </c>
      <c r="T1186" t="s">
        <v>4724</v>
      </c>
      <c r="U1186" t="s">
        <v>60</v>
      </c>
      <c r="V1186" t="s">
        <v>61</v>
      </c>
      <c r="W1186">
        <v>3</v>
      </c>
      <c r="X1186">
        <v>0.13387499999999999</v>
      </c>
      <c r="Y1186" t="s">
        <v>388</v>
      </c>
      <c r="Z1186" t="s">
        <v>389</v>
      </c>
      <c r="AA1186">
        <v>2</v>
      </c>
      <c r="AB1186" t="s">
        <v>4522</v>
      </c>
      <c r="AC1186" t="s">
        <v>4523</v>
      </c>
      <c r="AD1186" t="s">
        <v>4524</v>
      </c>
      <c r="AE1186" t="s">
        <v>4525</v>
      </c>
      <c r="AF1186" t="s">
        <v>4526</v>
      </c>
      <c r="AG1186" t="s">
        <v>3902</v>
      </c>
      <c r="AH1186" t="s">
        <v>3903</v>
      </c>
      <c r="AI1186" t="s">
        <v>66</v>
      </c>
      <c r="AJ1186" t="s">
        <v>66</v>
      </c>
      <c r="AK1186">
        <v>1</v>
      </c>
      <c r="AL1186" t="s">
        <v>4601</v>
      </c>
      <c r="AM1186" t="s">
        <v>4602</v>
      </c>
      <c r="AN1186" t="s">
        <v>4682</v>
      </c>
      <c r="AO1186" t="s">
        <v>66</v>
      </c>
      <c r="AP1186">
        <v>1</v>
      </c>
      <c r="AQ1186" t="s">
        <v>4683</v>
      </c>
      <c r="AR1186" t="s">
        <v>4684</v>
      </c>
      <c r="AS1186" t="s">
        <v>66</v>
      </c>
      <c r="AT1186" t="s">
        <v>66</v>
      </c>
    </row>
    <row r="1187" spans="1:46" x14ac:dyDescent="0.15">
      <c r="A1187" t="s">
        <v>4725</v>
      </c>
      <c r="B1187" t="s">
        <v>4513</v>
      </c>
      <c r="C1187" t="s">
        <v>4514</v>
      </c>
      <c r="D1187">
        <v>51</v>
      </c>
      <c r="E1187" t="s">
        <v>4515</v>
      </c>
      <c r="F1187" t="s">
        <v>4516</v>
      </c>
      <c r="G1187" t="s">
        <v>51</v>
      </c>
      <c r="H1187" t="s">
        <v>4517</v>
      </c>
      <c r="I1187" t="s">
        <v>1553</v>
      </c>
      <c r="J1187" t="s">
        <v>4518</v>
      </c>
      <c r="K1187" t="s">
        <v>1555</v>
      </c>
      <c r="L1187" t="s">
        <v>19</v>
      </c>
      <c r="M1187" t="s">
        <v>17</v>
      </c>
      <c r="N1187">
        <v>3306</v>
      </c>
      <c r="O1187">
        <v>188</v>
      </c>
      <c r="P1187">
        <v>0</v>
      </c>
      <c r="Q1187" t="s">
        <v>4726</v>
      </c>
      <c r="R1187" t="s">
        <v>2322</v>
      </c>
      <c r="S1187" t="s">
        <v>4727</v>
      </c>
      <c r="T1187" t="s">
        <v>4728</v>
      </c>
      <c r="U1187" t="s">
        <v>60</v>
      </c>
      <c r="V1187" t="s">
        <v>61</v>
      </c>
      <c r="W1187">
        <v>3</v>
      </c>
      <c r="X1187">
        <v>0.13387499999999999</v>
      </c>
      <c r="Y1187" t="s">
        <v>230</v>
      </c>
      <c r="Z1187" t="s">
        <v>395</v>
      </c>
      <c r="AA1187">
        <v>2</v>
      </c>
      <c r="AB1187" t="s">
        <v>4522</v>
      </c>
      <c r="AC1187" t="s">
        <v>4523</v>
      </c>
      <c r="AD1187" t="s">
        <v>4524</v>
      </c>
      <c r="AE1187" t="s">
        <v>4525</v>
      </c>
      <c r="AF1187" t="s">
        <v>4526</v>
      </c>
      <c r="AG1187" t="s">
        <v>3902</v>
      </c>
      <c r="AH1187" t="s">
        <v>3903</v>
      </c>
      <c r="AI1187" t="s">
        <v>66</v>
      </c>
      <c r="AJ1187" t="s">
        <v>66</v>
      </c>
      <c r="AK1187">
        <v>1</v>
      </c>
      <c r="AL1187" t="s">
        <v>4601</v>
      </c>
      <c r="AM1187" t="s">
        <v>4602</v>
      </c>
      <c r="AN1187" t="s">
        <v>4682</v>
      </c>
      <c r="AO1187" t="s">
        <v>66</v>
      </c>
      <c r="AP1187">
        <v>1</v>
      </c>
      <c r="AQ1187" t="s">
        <v>4683</v>
      </c>
      <c r="AR1187" t="s">
        <v>4684</v>
      </c>
      <c r="AS1187" t="s">
        <v>66</v>
      </c>
      <c r="AT1187" t="s">
        <v>66</v>
      </c>
    </row>
    <row r="1188" spans="1:46" x14ac:dyDescent="0.15">
      <c r="A1188" t="s">
        <v>4729</v>
      </c>
      <c r="B1188" t="s">
        <v>4513</v>
      </c>
      <c r="C1188" t="s">
        <v>4514</v>
      </c>
      <c r="D1188">
        <v>52</v>
      </c>
      <c r="E1188" t="s">
        <v>4515</v>
      </c>
      <c r="F1188" t="s">
        <v>4516</v>
      </c>
      <c r="G1188" t="s">
        <v>51</v>
      </c>
      <c r="H1188" t="s">
        <v>4517</v>
      </c>
      <c r="I1188" t="s">
        <v>1553</v>
      </c>
      <c r="J1188" t="s">
        <v>4518</v>
      </c>
      <c r="K1188" t="s">
        <v>1555</v>
      </c>
      <c r="L1188" t="s">
        <v>19</v>
      </c>
      <c r="M1188" t="s">
        <v>17</v>
      </c>
      <c r="N1188">
        <v>3362</v>
      </c>
      <c r="O1188">
        <v>191</v>
      </c>
      <c r="P1188">
        <v>0</v>
      </c>
      <c r="Q1188" t="s">
        <v>4730</v>
      </c>
      <c r="R1188" t="s">
        <v>2327</v>
      </c>
      <c r="S1188" t="s">
        <v>4731</v>
      </c>
      <c r="T1188" t="s">
        <v>4732</v>
      </c>
      <c r="U1188" t="s">
        <v>60</v>
      </c>
      <c r="V1188" t="s">
        <v>61</v>
      </c>
      <c r="W1188">
        <v>3</v>
      </c>
      <c r="X1188">
        <v>0.13387499999999999</v>
      </c>
      <c r="Y1188" t="s">
        <v>401</v>
      </c>
      <c r="Z1188" t="s">
        <v>402</v>
      </c>
      <c r="AA1188">
        <v>2</v>
      </c>
      <c r="AB1188" t="s">
        <v>4522</v>
      </c>
      <c r="AC1188" t="s">
        <v>4523</v>
      </c>
      <c r="AD1188" t="s">
        <v>4524</v>
      </c>
      <c r="AE1188" t="s">
        <v>4525</v>
      </c>
      <c r="AF1188" t="s">
        <v>4526</v>
      </c>
      <c r="AG1188" t="s">
        <v>3902</v>
      </c>
      <c r="AH1188" t="s">
        <v>3903</v>
      </c>
      <c r="AI1188" t="s">
        <v>66</v>
      </c>
      <c r="AJ1188" t="s">
        <v>66</v>
      </c>
      <c r="AK1188">
        <v>1</v>
      </c>
      <c r="AL1188" t="s">
        <v>4601</v>
      </c>
      <c r="AM1188" t="s">
        <v>4602</v>
      </c>
      <c r="AN1188" t="s">
        <v>4682</v>
      </c>
      <c r="AO1188" t="s">
        <v>66</v>
      </c>
      <c r="AP1188">
        <v>1</v>
      </c>
      <c r="AQ1188" t="s">
        <v>4683</v>
      </c>
      <c r="AR1188" t="s">
        <v>4684</v>
      </c>
      <c r="AS1188" t="s">
        <v>66</v>
      </c>
      <c r="AT1188" t="s">
        <v>66</v>
      </c>
    </row>
    <row r="1189" spans="1:46" x14ac:dyDescent="0.15">
      <c r="A1189" t="s">
        <v>4733</v>
      </c>
      <c r="B1189" t="s">
        <v>4513</v>
      </c>
      <c r="C1189" t="s">
        <v>4514</v>
      </c>
      <c r="D1189">
        <v>53</v>
      </c>
      <c r="E1189" t="s">
        <v>4515</v>
      </c>
      <c r="F1189" t="s">
        <v>4516</v>
      </c>
      <c r="G1189" t="s">
        <v>51</v>
      </c>
      <c r="H1189" t="s">
        <v>4517</v>
      </c>
      <c r="I1189" t="s">
        <v>1553</v>
      </c>
      <c r="J1189" t="s">
        <v>4518</v>
      </c>
      <c r="K1189" t="s">
        <v>1555</v>
      </c>
      <c r="L1189" t="s">
        <v>19</v>
      </c>
      <c r="M1189" t="s">
        <v>17</v>
      </c>
      <c r="N1189">
        <v>3418</v>
      </c>
      <c r="O1189">
        <v>195</v>
      </c>
      <c r="P1189">
        <v>0</v>
      </c>
      <c r="Q1189" t="s">
        <v>4734</v>
      </c>
      <c r="R1189" t="s">
        <v>2332</v>
      </c>
      <c r="S1189" t="s">
        <v>4735</v>
      </c>
      <c r="T1189" t="s">
        <v>4736</v>
      </c>
      <c r="U1189" t="s">
        <v>60</v>
      </c>
      <c r="V1189" t="s">
        <v>61</v>
      </c>
      <c r="W1189">
        <v>3</v>
      </c>
      <c r="X1189">
        <v>0.13387499999999999</v>
      </c>
      <c r="Y1189" t="s">
        <v>236</v>
      </c>
      <c r="Z1189" t="s">
        <v>408</v>
      </c>
      <c r="AA1189">
        <v>2</v>
      </c>
      <c r="AB1189" t="s">
        <v>4522</v>
      </c>
      <c r="AC1189" t="s">
        <v>4523</v>
      </c>
      <c r="AD1189" t="s">
        <v>4524</v>
      </c>
      <c r="AE1189" t="s">
        <v>4525</v>
      </c>
      <c r="AF1189" t="s">
        <v>4526</v>
      </c>
      <c r="AG1189" t="s">
        <v>3902</v>
      </c>
      <c r="AH1189" t="s">
        <v>3903</v>
      </c>
      <c r="AI1189" t="s">
        <v>66</v>
      </c>
      <c r="AJ1189" t="s">
        <v>66</v>
      </c>
      <c r="AK1189">
        <v>1</v>
      </c>
      <c r="AL1189" t="s">
        <v>4601</v>
      </c>
      <c r="AM1189" t="s">
        <v>4602</v>
      </c>
      <c r="AN1189" t="s">
        <v>4682</v>
      </c>
      <c r="AO1189" t="s">
        <v>66</v>
      </c>
      <c r="AP1189">
        <v>1</v>
      </c>
      <c r="AQ1189" t="s">
        <v>4683</v>
      </c>
      <c r="AR1189" t="s">
        <v>4684</v>
      </c>
      <c r="AS1189" t="s">
        <v>66</v>
      </c>
      <c r="AT1189" t="s">
        <v>66</v>
      </c>
    </row>
    <row r="1190" spans="1:46" x14ac:dyDescent="0.15">
      <c r="A1190" t="s">
        <v>4737</v>
      </c>
      <c r="B1190" t="s">
        <v>4513</v>
      </c>
      <c r="C1190" t="s">
        <v>4514</v>
      </c>
      <c r="D1190">
        <v>54</v>
      </c>
      <c r="E1190" t="s">
        <v>4515</v>
      </c>
      <c r="F1190" t="s">
        <v>4516</v>
      </c>
      <c r="G1190" t="s">
        <v>51</v>
      </c>
      <c r="H1190" t="s">
        <v>4517</v>
      </c>
      <c r="I1190" t="s">
        <v>1553</v>
      </c>
      <c r="J1190" t="s">
        <v>4518</v>
      </c>
      <c r="K1190" t="s">
        <v>1555</v>
      </c>
      <c r="L1190" t="s">
        <v>19</v>
      </c>
      <c r="M1190" t="s">
        <v>17</v>
      </c>
      <c r="N1190">
        <v>3474</v>
      </c>
      <c r="O1190">
        <v>198</v>
      </c>
      <c r="P1190">
        <v>0</v>
      </c>
      <c r="Q1190" t="s">
        <v>4738</v>
      </c>
      <c r="R1190" t="s">
        <v>2337</v>
      </c>
      <c r="S1190" t="s">
        <v>4739</v>
      </c>
      <c r="T1190" t="s">
        <v>4740</v>
      </c>
      <c r="U1190" t="s">
        <v>60</v>
      </c>
      <c r="V1190" t="s">
        <v>61</v>
      </c>
      <c r="W1190">
        <v>3</v>
      </c>
      <c r="X1190">
        <v>0.13387499999999999</v>
      </c>
      <c r="Y1190" t="s">
        <v>414</v>
      </c>
      <c r="Z1190" t="s">
        <v>415</v>
      </c>
      <c r="AA1190">
        <v>2</v>
      </c>
      <c r="AB1190" t="s">
        <v>4522</v>
      </c>
      <c r="AC1190" t="s">
        <v>4523</v>
      </c>
      <c r="AD1190" t="s">
        <v>4524</v>
      </c>
      <c r="AE1190" t="s">
        <v>4525</v>
      </c>
      <c r="AF1190" t="s">
        <v>4526</v>
      </c>
      <c r="AG1190" t="s">
        <v>3902</v>
      </c>
      <c r="AH1190" t="s">
        <v>3903</v>
      </c>
      <c r="AI1190" t="s">
        <v>66</v>
      </c>
      <c r="AJ1190" t="s">
        <v>66</v>
      </c>
      <c r="AK1190">
        <v>1</v>
      </c>
      <c r="AL1190" t="s">
        <v>4601</v>
      </c>
      <c r="AM1190" t="s">
        <v>4602</v>
      </c>
      <c r="AN1190" t="s">
        <v>4682</v>
      </c>
      <c r="AO1190" t="s">
        <v>66</v>
      </c>
      <c r="AP1190">
        <v>1</v>
      </c>
      <c r="AQ1190" t="s">
        <v>4683</v>
      </c>
      <c r="AR1190" t="s">
        <v>4684</v>
      </c>
      <c r="AS1190" t="s">
        <v>66</v>
      </c>
      <c r="AT1190" t="s">
        <v>66</v>
      </c>
    </row>
    <row r="1191" spans="1:46" x14ac:dyDescent="0.15">
      <c r="A1191" t="s">
        <v>4741</v>
      </c>
      <c r="B1191" t="s">
        <v>4513</v>
      </c>
      <c r="C1191" t="s">
        <v>4514</v>
      </c>
      <c r="D1191">
        <v>55</v>
      </c>
      <c r="E1191" t="s">
        <v>4515</v>
      </c>
      <c r="F1191" t="s">
        <v>4516</v>
      </c>
      <c r="G1191" t="s">
        <v>51</v>
      </c>
      <c r="H1191" t="s">
        <v>4517</v>
      </c>
      <c r="I1191" t="s">
        <v>1553</v>
      </c>
      <c r="J1191" t="s">
        <v>4518</v>
      </c>
      <c r="K1191" t="s">
        <v>1555</v>
      </c>
      <c r="L1191" t="s">
        <v>19</v>
      </c>
      <c r="M1191" t="s">
        <v>17</v>
      </c>
      <c r="N1191">
        <v>3531</v>
      </c>
      <c r="O1191">
        <v>201</v>
      </c>
      <c r="P1191">
        <v>0</v>
      </c>
      <c r="Q1191" t="s">
        <v>4742</v>
      </c>
      <c r="R1191" t="s">
        <v>2342</v>
      </c>
      <c r="S1191" t="s">
        <v>4743</v>
      </c>
      <c r="T1191" t="s">
        <v>4744</v>
      </c>
      <c r="U1191" t="s">
        <v>60</v>
      </c>
      <c r="V1191" t="s">
        <v>61</v>
      </c>
      <c r="W1191">
        <v>3</v>
      </c>
      <c r="X1191">
        <v>0.13387499999999999</v>
      </c>
      <c r="Y1191" t="s">
        <v>243</v>
      </c>
      <c r="Z1191" t="s">
        <v>421</v>
      </c>
      <c r="AA1191">
        <v>2</v>
      </c>
      <c r="AB1191" t="s">
        <v>4522</v>
      </c>
      <c r="AC1191" t="s">
        <v>4523</v>
      </c>
      <c r="AD1191" t="s">
        <v>4524</v>
      </c>
      <c r="AE1191" t="s">
        <v>4525</v>
      </c>
      <c r="AF1191" t="s">
        <v>4526</v>
      </c>
      <c r="AG1191" t="s">
        <v>3902</v>
      </c>
      <c r="AH1191" t="s">
        <v>3903</v>
      </c>
      <c r="AI1191" t="s">
        <v>66</v>
      </c>
      <c r="AJ1191" t="s">
        <v>66</v>
      </c>
      <c r="AK1191">
        <v>1</v>
      </c>
      <c r="AL1191" t="s">
        <v>4601</v>
      </c>
      <c r="AM1191" t="s">
        <v>4602</v>
      </c>
      <c r="AN1191" t="s">
        <v>4682</v>
      </c>
      <c r="AO1191" t="s">
        <v>66</v>
      </c>
      <c r="AP1191">
        <v>1</v>
      </c>
      <c r="AQ1191" t="s">
        <v>4683</v>
      </c>
      <c r="AR1191" t="s">
        <v>4684</v>
      </c>
      <c r="AS1191" t="s">
        <v>66</v>
      </c>
      <c r="AT1191" t="s">
        <v>66</v>
      </c>
    </row>
    <row r="1192" spans="1:46" x14ac:dyDescent="0.15">
      <c r="A1192" t="s">
        <v>4745</v>
      </c>
      <c r="B1192" t="s">
        <v>4513</v>
      </c>
      <c r="C1192" t="s">
        <v>4514</v>
      </c>
      <c r="D1192">
        <v>56</v>
      </c>
      <c r="E1192" t="s">
        <v>4515</v>
      </c>
      <c r="F1192" t="s">
        <v>4516</v>
      </c>
      <c r="G1192" t="s">
        <v>51</v>
      </c>
      <c r="H1192" t="s">
        <v>4517</v>
      </c>
      <c r="I1192" t="s">
        <v>1553</v>
      </c>
      <c r="J1192" t="s">
        <v>4518</v>
      </c>
      <c r="K1192" t="s">
        <v>1555</v>
      </c>
      <c r="L1192" t="s">
        <v>19</v>
      </c>
      <c r="M1192" t="s">
        <v>17</v>
      </c>
      <c r="N1192">
        <v>3587</v>
      </c>
      <c r="O1192">
        <v>204</v>
      </c>
      <c r="P1192">
        <v>0</v>
      </c>
      <c r="Q1192" t="s">
        <v>4746</v>
      </c>
      <c r="R1192" t="s">
        <v>2347</v>
      </c>
      <c r="S1192" t="s">
        <v>4747</v>
      </c>
      <c r="T1192" t="s">
        <v>4748</v>
      </c>
      <c r="U1192" t="s">
        <v>60</v>
      </c>
      <c r="V1192" t="s">
        <v>61</v>
      </c>
      <c r="W1192">
        <v>3</v>
      </c>
      <c r="X1192">
        <v>0.13387499999999999</v>
      </c>
      <c r="Y1192" t="s">
        <v>427</v>
      </c>
      <c r="Z1192" t="s">
        <v>428</v>
      </c>
      <c r="AA1192">
        <v>2</v>
      </c>
      <c r="AB1192" t="s">
        <v>4522</v>
      </c>
      <c r="AC1192" t="s">
        <v>4523</v>
      </c>
      <c r="AD1192" t="s">
        <v>4524</v>
      </c>
      <c r="AE1192" t="s">
        <v>4525</v>
      </c>
      <c r="AF1192" t="s">
        <v>4526</v>
      </c>
      <c r="AG1192" t="s">
        <v>3902</v>
      </c>
      <c r="AH1192" t="s">
        <v>3903</v>
      </c>
      <c r="AI1192" t="s">
        <v>66</v>
      </c>
      <c r="AJ1192" t="s">
        <v>66</v>
      </c>
      <c r="AK1192">
        <v>1</v>
      </c>
      <c r="AL1192" t="s">
        <v>4601</v>
      </c>
      <c r="AM1192" t="s">
        <v>4602</v>
      </c>
      <c r="AN1192" t="s">
        <v>4682</v>
      </c>
      <c r="AO1192" t="s">
        <v>66</v>
      </c>
      <c r="AP1192">
        <v>1</v>
      </c>
      <c r="AQ1192" t="s">
        <v>4683</v>
      </c>
      <c r="AR1192" t="s">
        <v>4684</v>
      </c>
      <c r="AS1192" t="s">
        <v>66</v>
      </c>
      <c r="AT1192" t="s">
        <v>66</v>
      </c>
    </row>
    <row r="1193" spans="1:46" x14ac:dyDescent="0.15">
      <c r="A1193" t="s">
        <v>4749</v>
      </c>
      <c r="B1193" t="s">
        <v>4513</v>
      </c>
      <c r="C1193" t="s">
        <v>4514</v>
      </c>
      <c r="D1193">
        <v>57</v>
      </c>
      <c r="E1193" t="s">
        <v>4515</v>
      </c>
      <c r="F1193" t="s">
        <v>4516</v>
      </c>
      <c r="G1193" t="s">
        <v>51</v>
      </c>
      <c r="H1193" t="s">
        <v>4517</v>
      </c>
      <c r="I1193" t="s">
        <v>1553</v>
      </c>
      <c r="J1193" t="s">
        <v>4518</v>
      </c>
      <c r="K1193" t="s">
        <v>1555</v>
      </c>
      <c r="L1193" t="s">
        <v>19</v>
      </c>
      <c r="M1193" t="s">
        <v>17</v>
      </c>
      <c r="N1193">
        <v>3643</v>
      </c>
      <c r="O1193">
        <v>207</v>
      </c>
      <c r="P1193">
        <v>0</v>
      </c>
      <c r="Q1193" t="s">
        <v>4750</v>
      </c>
      <c r="R1193" t="s">
        <v>2352</v>
      </c>
      <c r="S1193" t="s">
        <v>4751</v>
      </c>
      <c r="T1193" t="s">
        <v>4752</v>
      </c>
      <c r="U1193" t="s">
        <v>60</v>
      </c>
      <c r="V1193" t="s">
        <v>61</v>
      </c>
      <c r="W1193">
        <v>3</v>
      </c>
      <c r="X1193">
        <v>0.13387499999999999</v>
      </c>
      <c r="Y1193" t="s">
        <v>249</v>
      </c>
      <c r="Z1193" t="s">
        <v>434</v>
      </c>
      <c r="AA1193">
        <v>2</v>
      </c>
      <c r="AB1193" t="s">
        <v>4522</v>
      </c>
      <c r="AC1193" t="s">
        <v>4523</v>
      </c>
      <c r="AD1193" t="s">
        <v>4524</v>
      </c>
      <c r="AE1193" t="s">
        <v>4525</v>
      </c>
      <c r="AF1193" t="s">
        <v>4526</v>
      </c>
      <c r="AG1193" t="s">
        <v>3902</v>
      </c>
      <c r="AH1193" t="s">
        <v>3903</v>
      </c>
      <c r="AI1193" t="s">
        <v>66</v>
      </c>
      <c r="AJ1193" t="s">
        <v>66</v>
      </c>
      <c r="AK1193">
        <v>1</v>
      </c>
      <c r="AL1193" t="s">
        <v>4601</v>
      </c>
      <c r="AM1193" t="s">
        <v>4602</v>
      </c>
      <c r="AN1193" t="s">
        <v>4682</v>
      </c>
      <c r="AO1193" t="s">
        <v>66</v>
      </c>
      <c r="AP1193">
        <v>1</v>
      </c>
      <c r="AQ1193" t="s">
        <v>4683</v>
      </c>
      <c r="AR1193" t="s">
        <v>4684</v>
      </c>
      <c r="AS1193" t="s">
        <v>66</v>
      </c>
      <c r="AT1193" t="s">
        <v>66</v>
      </c>
    </row>
    <row r="1194" spans="1:46" x14ac:dyDescent="0.15">
      <c r="A1194" t="s">
        <v>4753</v>
      </c>
      <c r="B1194" t="s">
        <v>4513</v>
      </c>
      <c r="C1194" t="s">
        <v>4514</v>
      </c>
      <c r="D1194">
        <v>58</v>
      </c>
      <c r="E1194" t="s">
        <v>4515</v>
      </c>
      <c r="F1194" t="s">
        <v>4516</v>
      </c>
      <c r="G1194" t="s">
        <v>51</v>
      </c>
      <c r="H1194" t="s">
        <v>4517</v>
      </c>
      <c r="I1194" t="s">
        <v>1553</v>
      </c>
      <c r="J1194" t="s">
        <v>4518</v>
      </c>
      <c r="K1194" t="s">
        <v>1555</v>
      </c>
      <c r="L1194" t="s">
        <v>19</v>
      </c>
      <c r="M1194" t="s">
        <v>17</v>
      </c>
      <c r="N1194">
        <v>3699</v>
      </c>
      <c r="O1194">
        <v>210</v>
      </c>
      <c r="P1194">
        <v>0</v>
      </c>
      <c r="Q1194" t="s">
        <v>4754</v>
      </c>
      <c r="R1194" t="s">
        <v>2357</v>
      </c>
      <c r="S1194" t="s">
        <v>4755</v>
      </c>
      <c r="T1194" t="s">
        <v>4756</v>
      </c>
      <c r="U1194" t="s">
        <v>60</v>
      </c>
      <c r="V1194" t="s">
        <v>61</v>
      </c>
      <c r="W1194">
        <v>3</v>
      </c>
      <c r="X1194">
        <v>0.13387499999999999</v>
      </c>
      <c r="Y1194" t="s">
        <v>440</v>
      </c>
      <c r="Z1194" t="s">
        <v>441</v>
      </c>
      <c r="AA1194">
        <v>2</v>
      </c>
      <c r="AB1194" t="s">
        <v>4522</v>
      </c>
      <c r="AC1194" t="s">
        <v>4523</v>
      </c>
      <c r="AD1194" t="s">
        <v>4524</v>
      </c>
      <c r="AE1194" t="s">
        <v>4525</v>
      </c>
      <c r="AF1194" t="s">
        <v>4526</v>
      </c>
      <c r="AG1194" t="s">
        <v>3902</v>
      </c>
      <c r="AH1194" t="s">
        <v>3903</v>
      </c>
      <c r="AI1194" t="s">
        <v>66</v>
      </c>
      <c r="AJ1194" t="s">
        <v>66</v>
      </c>
      <c r="AK1194">
        <v>1</v>
      </c>
      <c r="AL1194" t="s">
        <v>4601</v>
      </c>
      <c r="AM1194" t="s">
        <v>4602</v>
      </c>
      <c r="AN1194" t="s">
        <v>4682</v>
      </c>
      <c r="AO1194" t="s">
        <v>66</v>
      </c>
      <c r="AP1194">
        <v>1</v>
      </c>
      <c r="AQ1194" t="s">
        <v>4683</v>
      </c>
      <c r="AR1194" t="s">
        <v>4684</v>
      </c>
      <c r="AS1194" t="s">
        <v>66</v>
      </c>
      <c r="AT1194" t="s">
        <v>66</v>
      </c>
    </row>
    <row r="1195" spans="1:46" x14ac:dyDescent="0.15">
      <c r="A1195" t="s">
        <v>4757</v>
      </c>
      <c r="B1195" t="s">
        <v>4513</v>
      </c>
      <c r="C1195" t="s">
        <v>4514</v>
      </c>
      <c r="D1195">
        <v>59</v>
      </c>
      <c r="E1195" t="s">
        <v>4515</v>
      </c>
      <c r="F1195" t="s">
        <v>4516</v>
      </c>
      <c r="G1195" t="s">
        <v>51</v>
      </c>
      <c r="H1195" t="s">
        <v>4517</v>
      </c>
      <c r="I1195" t="s">
        <v>1553</v>
      </c>
      <c r="J1195" t="s">
        <v>4518</v>
      </c>
      <c r="K1195" t="s">
        <v>1555</v>
      </c>
      <c r="L1195" t="s">
        <v>19</v>
      </c>
      <c r="M1195" t="s">
        <v>17</v>
      </c>
      <c r="N1195">
        <v>3755</v>
      </c>
      <c r="O1195">
        <v>214</v>
      </c>
      <c r="P1195">
        <v>0</v>
      </c>
      <c r="Q1195" t="s">
        <v>4758</v>
      </c>
      <c r="R1195" t="s">
        <v>2362</v>
      </c>
      <c r="S1195" t="s">
        <v>4759</v>
      </c>
      <c r="T1195" t="s">
        <v>4760</v>
      </c>
      <c r="U1195" t="s">
        <v>60</v>
      </c>
      <c r="V1195" t="s">
        <v>61</v>
      </c>
      <c r="W1195">
        <v>3</v>
      </c>
      <c r="X1195">
        <v>0.13387499999999999</v>
      </c>
      <c r="Y1195" t="s">
        <v>256</v>
      </c>
      <c r="Z1195" t="s">
        <v>447</v>
      </c>
      <c r="AA1195">
        <v>2</v>
      </c>
      <c r="AB1195" t="s">
        <v>4522</v>
      </c>
      <c r="AC1195" t="s">
        <v>4523</v>
      </c>
      <c r="AD1195" t="s">
        <v>4524</v>
      </c>
      <c r="AE1195" t="s">
        <v>4525</v>
      </c>
      <c r="AF1195" t="s">
        <v>4526</v>
      </c>
      <c r="AG1195" t="s">
        <v>3902</v>
      </c>
      <c r="AH1195" t="s">
        <v>3903</v>
      </c>
      <c r="AI1195" t="s">
        <v>66</v>
      </c>
      <c r="AJ1195" t="s">
        <v>66</v>
      </c>
      <c r="AK1195">
        <v>1</v>
      </c>
      <c r="AL1195" t="s">
        <v>4601</v>
      </c>
      <c r="AM1195" t="s">
        <v>4602</v>
      </c>
      <c r="AN1195" t="s">
        <v>4682</v>
      </c>
      <c r="AO1195" t="s">
        <v>66</v>
      </c>
      <c r="AP1195">
        <v>1</v>
      </c>
      <c r="AQ1195" t="s">
        <v>4683</v>
      </c>
      <c r="AR1195" t="s">
        <v>4684</v>
      </c>
      <c r="AS1195" t="s">
        <v>66</v>
      </c>
      <c r="AT1195" t="s">
        <v>66</v>
      </c>
    </row>
    <row r="1196" spans="1:46" x14ac:dyDescent="0.15">
      <c r="A1196" t="s">
        <v>4761</v>
      </c>
      <c r="B1196" t="s">
        <v>4513</v>
      </c>
      <c r="C1196" t="s">
        <v>4514</v>
      </c>
      <c r="D1196">
        <v>60</v>
      </c>
      <c r="E1196" t="s">
        <v>4515</v>
      </c>
      <c r="F1196" t="s">
        <v>4516</v>
      </c>
      <c r="G1196" t="s">
        <v>51</v>
      </c>
      <c r="H1196" t="s">
        <v>4517</v>
      </c>
      <c r="I1196" t="s">
        <v>1553</v>
      </c>
      <c r="J1196" t="s">
        <v>4518</v>
      </c>
      <c r="K1196" t="s">
        <v>1555</v>
      </c>
      <c r="L1196" t="s">
        <v>19</v>
      </c>
      <c r="M1196" t="s">
        <v>17</v>
      </c>
      <c r="N1196">
        <v>3811</v>
      </c>
      <c r="O1196">
        <v>217</v>
      </c>
      <c r="P1196">
        <v>0</v>
      </c>
      <c r="Q1196" t="s">
        <v>4762</v>
      </c>
      <c r="R1196" t="s">
        <v>2367</v>
      </c>
      <c r="S1196" t="s">
        <v>4763</v>
      </c>
      <c r="T1196" t="s">
        <v>4764</v>
      </c>
      <c r="U1196" t="s">
        <v>60</v>
      </c>
      <c r="V1196" t="s">
        <v>61</v>
      </c>
      <c r="W1196">
        <v>3</v>
      </c>
      <c r="X1196">
        <v>0.13387499999999999</v>
      </c>
      <c r="Y1196" t="s">
        <v>453</v>
      </c>
      <c r="Z1196" t="s">
        <v>454</v>
      </c>
      <c r="AA1196">
        <v>2</v>
      </c>
      <c r="AB1196" t="s">
        <v>4522</v>
      </c>
      <c r="AC1196" t="s">
        <v>4523</v>
      </c>
      <c r="AD1196" t="s">
        <v>4524</v>
      </c>
      <c r="AE1196" t="s">
        <v>4525</v>
      </c>
      <c r="AF1196" t="s">
        <v>4526</v>
      </c>
      <c r="AG1196" t="s">
        <v>3902</v>
      </c>
      <c r="AH1196" t="s">
        <v>3903</v>
      </c>
      <c r="AI1196" t="s">
        <v>66</v>
      </c>
      <c r="AJ1196" t="s">
        <v>66</v>
      </c>
      <c r="AK1196">
        <v>1</v>
      </c>
      <c r="AL1196" t="s">
        <v>4601</v>
      </c>
      <c r="AM1196" t="s">
        <v>4602</v>
      </c>
      <c r="AN1196" t="s">
        <v>4682</v>
      </c>
      <c r="AO1196" t="s">
        <v>66</v>
      </c>
      <c r="AP1196">
        <v>1</v>
      </c>
      <c r="AQ1196" t="s">
        <v>4683</v>
      </c>
      <c r="AR1196" t="s">
        <v>4684</v>
      </c>
      <c r="AS1196" t="s">
        <v>66</v>
      </c>
      <c r="AT1196" t="s">
        <v>66</v>
      </c>
    </row>
    <row r="1197" spans="1:46" x14ac:dyDescent="0.15">
      <c r="A1197" t="s">
        <v>4761</v>
      </c>
      <c r="B1197" t="s">
        <v>4513</v>
      </c>
      <c r="C1197" t="s">
        <v>4514</v>
      </c>
      <c r="D1197">
        <v>60</v>
      </c>
      <c r="E1197" t="s">
        <v>4515</v>
      </c>
      <c r="F1197" t="s">
        <v>4516</v>
      </c>
      <c r="G1197" t="s">
        <v>51</v>
      </c>
      <c r="H1197" t="s">
        <v>4517</v>
      </c>
      <c r="I1197" t="s">
        <v>1553</v>
      </c>
      <c r="J1197" t="s">
        <v>4518</v>
      </c>
      <c r="K1197" t="s">
        <v>1555</v>
      </c>
      <c r="L1197" t="s">
        <v>19</v>
      </c>
      <c r="M1197" t="s">
        <v>17</v>
      </c>
      <c r="N1197">
        <v>3811</v>
      </c>
      <c r="O1197">
        <v>217</v>
      </c>
      <c r="P1197">
        <v>0</v>
      </c>
      <c r="Q1197" t="s">
        <v>4762</v>
      </c>
      <c r="R1197" t="s">
        <v>2367</v>
      </c>
      <c r="S1197" t="s">
        <v>4763</v>
      </c>
      <c r="T1197" t="s">
        <v>4764</v>
      </c>
      <c r="U1197" t="s">
        <v>60</v>
      </c>
      <c r="V1197" t="s">
        <v>61</v>
      </c>
      <c r="W1197">
        <v>3</v>
      </c>
      <c r="X1197">
        <v>0.13387499999999999</v>
      </c>
      <c r="Y1197" t="s">
        <v>453</v>
      </c>
      <c r="Z1197" t="s">
        <v>454</v>
      </c>
      <c r="AA1197">
        <v>3</v>
      </c>
      <c r="AB1197" t="s">
        <v>4522</v>
      </c>
      <c r="AC1197" t="s">
        <v>4523</v>
      </c>
      <c r="AD1197" t="s">
        <v>4524</v>
      </c>
      <c r="AE1197" t="s">
        <v>4525</v>
      </c>
      <c r="AF1197" t="s">
        <v>4526</v>
      </c>
      <c r="AG1197" t="s">
        <v>3902</v>
      </c>
      <c r="AH1197" t="s">
        <v>3903</v>
      </c>
      <c r="AI1197" t="s">
        <v>3902</v>
      </c>
      <c r="AJ1197" t="s">
        <v>66</v>
      </c>
      <c r="AK1197">
        <v>1</v>
      </c>
      <c r="AL1197" t="s">
        <v>4601</v>
      </c>
      <c r="AM1197" t="s">
        <v>4602</v>
      </c>
      <c r="AN1197" t="s">
        <v>4682</v>
      </c>
      <c r="AO1197" t="s">
        <v>66</v>
      </c>
      <c r="AP1197">
        <v>1</v>
      </c>
      <c r="AQ1197" t="s">
        <v>4765</v>
      </c>
      <c r="AR1197" t="s">
        <v>4684</v>
      </c>
      <c r="AS1197" t="s">
        <v>4766</v>
      </c>
      <c r="AT1197" t="s">
        <v>66</v>
      </c>
    </row>
    <row r="1198" spans="1:46" x14ac:dyDescent="0.15">
      <c r="A1198" t="s">
        <v>4767</v>
      </c>
      <c r="B1198" t="s">
        <v>4513</v>
      </c>
      <c r="C1198" t="s">
        <v>4514</v>
      </c>
      <c r="D1198">
        <v>61</v>
      </c>
      <c r="E1198" t="s">
        <v>4515</v>
      </c>
      <c r="F1198" t="s">
        <v>4516</v>
      </c>
      <c r="G1198" t="s">
        <v>51</v>
      </c>
      <c r="H1198" t="s">
        <v>4517</v>
      </c>
      <c r="I1198" t="s">
        <v>1553</v>
      </c>
      <c r="J1198" t="s">
        <v>4518</v>
      </c>
      <c r="K1198" t="s">
        <v>1555</v>
      </c>
      <c r="L1198" t="s">
        <v>19</v>
      </c>
      <c r="M1198" t="s">
        <v>17</v>
      </c>
      <c r="N1198">
        <v>3867</v>
      </c>
      <c r="O1198">
        <v>220</v>
      </c>
      <c r="P1198">
        <v>0</v>
      </c>
      <c r="Q1198" t="s">
        <v>4768</v>
      </c>
      <c r="R1198" t="s">
        <v>2374</v>
      </c>
      <c r="S1198" t="s">
        <v>4769</v>
      </c>
      <c r="T1198" t="s">
        <v>4770</v>
      </c>
      <c r="U1198" t="s">
        <v>60</v>
      </c>
      <c r="V1198" t="s">
        <v>61</v>
      </c>
      <c r="W1198">
        <v>3</v>
      </c>
      <c r="X1198">
        <v>0.13387499999999999</v>
      </c>
      <c r="Y1198" t="s">
        <v>262</v>
      </c>
      <c r="Z1198" t="s">
        <v>465</v>
      </c>
      <c r="AA1198">
        <v>3</v>
      </c>
      <c r="AB1198" t="s">
        <v>4522</v>
      </c>
      <c r="AC1198" t="s">
        <v>4523</v>
      </c>
      <c r="AD1198" t="s">
        <v>4524</v>
      </c>
      <c r="AE1198" t="s">
        <v>4525</v>
      </c>
      <c r="AF1198" t="s">
        <v>4526</v>
      </c>
      <c r="AG1198" t="s">
        <v>3902</v>
      </c>
      <c r="AH1198" t="s">
        <v>3903</v>
      </c>
      <c r="AI1198" t="s">
        <v>3902</v>
      </c>
      <c r="AJ1198" t="s">
        <v>66</v>
      </c>
      <c r="AK1198">
        <v>1</v>
      </c>
      <c r="AL1198" t="s">
        <v>4601</v>
      </c>
      <c r="AM1198" t="s">
        <v>4602</v>
      </c>
      <c r="AN1198" t="s">
        <v>4682</v>
      </c>
      <c r="AO1198" t="s">
        <v>66</v>
      </c>
      <c r="AP1198">
        <v>1</v>
      </c>
      <c r="AQ1198" t="s">
        <v>4765</v>
      </c>
      <c r="AR1198" t="s">
        <v>4684</v>
      </c>
      <c r="AS1198" t="s">
        <v>4766</v>
      </c>
      <c r="AT1198" t="s">
        <v>66</v>
      </c>
    </row>
    <row r="1199" spans="1:46" x14ac:dyDescent="0.15">
      <c r="A1199" t="s">
        <v>4771</v>
      </c>
      <c r="B1199" t="s">
        <v>4513</v>
      </c>
      <c r="C1199" t="s">
        <v>4514</v>
      </c>
      <c r="D1199">
        <v>62</v>
      </c>
      <c r="E1199" t="s">
        <v>4515</v>
      </c>
      <c r="F1199" t="s">
        <v>4516</v>
      </c>
      <c r="G1199" t="s">
        <v>51</v>
      </c>
      <c r="H1199" t="s">
        <v>4517</v>
      </c>
      <c r="I1199" t="s">
        <v>1553</v>
      </c>
      <c r="J1199" t="s">
        <v>4518</v>
      </c>
      <c r="K1199" t="s">
        <v>1555</v>
      </c>
      <c r="L1199" t="s">
        <v>19</v>
      </c>
      <c r="M1199" t="s">
        <v>17</v>
      </c>
      <c r="N1199">
        <v>3923</v>
      </c>
      <c r="O1199">
        <v>223</v>
      </c>
      <c r="P1199">
        <v>0</v>
      </c>
      <c r="Q1199" t="s">
        <v>4772</v>
      </c>
      <c r="R1199" t="s">
        <v>2379</v>
      </c>
      <c r="S1199" t="s">
        <v>4773</v>
      </c>
      <c r="T1199" t="s">
        <v>4774</v>
      </c>
      <c r="U1199" t="s">
        <v>60</v>
      </c>
      <c r="V1199" t="s">
        <v>61</v>
      </c>
      <c r="W1199">
        <v>3</v>
      </c>
      <c r="X1199">
        <v>0.13387499999999999</v>
      </c>
      <c r="Y1199" t="s">
        <v>471</v>
      </c>
      <c r="Z1199" t="s">
        <v>472</v>
      </c>
      <c r="AA1199">
        <v>3</v>
      </c>
      <c r="AB1199" t="s">
        <v>4522</v>
      </c>
      <c r="AC1199" t="s">
        <v>4523</v>
      </c>
      <c r="AD1199" t="s">
        <v>4524</v>
      </c>
      <c r="AE1199" t="s">
        <v>4525</v>
      </c>
      <c r="AF1199" t="s">
        <v>4526</v>
      </c>
      <c r="AG1199" t="s">
        <v>3902</v>
      </c>
      <c r="AH1199" t="s">
        <v>3903</v>
      </c>
      <c r="AI1199" t="s">
        <v>3902</v>
      </c>
      <c r="AJ1199" t="s">
        <v>66</v>
      </c>
      <c r="AK1199">
        <v>1</v>
      </c>
      <c r="AL1199" t="s">
        <v>4601</v>
      </c>
      <c r="AM1199" t="s">
        <v>4602</v>
      </c>
      <c r="AN1199" t="s">
        <v>4682</v>
      </c>
      <c r="AO1199" t="s">
        <v>66</v>
      </c>
      <c r="AP1199">
        <v>1</v>
      </c>
      <c r="AQ1199" t="s">
        <v>4765</v>
      </c>
      <c r="AR1199" t="s">
        <v>4684</v>
      </c>
      <c r="AS1199" t="s">
        <v>4766</v>
      </c>
      <c r="AT1199" t="s">
        <v>66</v>
      </c>
    </row>
    <row r="1200" spans="1:46" x14ac:dyDescent="0.15">
      <c r="A1200" t="s">
        <v>4775</v>
      </c>
      <c r="B1200" t="s">
        <v>4513</v>
      </c>
      <c r="C1200" t="s">
        <v>4514</v>
      </c>
      <c r="D1200">
        <v>63</v>
      </c>
      <c r="E1200" t="s">
        <v>4515</v>
      </c>
      <c r="F1200" t="s">
        <v>4516</v>
      </c>
      <c r="G1200" t="s">
        <v>51</v>
      </c>
      <c r="H1200" t="s">
        <v>4517</v>
      </c>
      <c r="I1200" t="s">
        <v>1553</v>
      </c>
      <c r="J1200" t="s">
        <v>4518</v>
      </c>
      <c r="K1200" t="s">
        <v>1555</v>
      </c>
      <c r="L1200" t="s">
        <v>19</v>
      </c>
      <c r="M1200" t="s">
        <v>17</v>
      </c>
      <c r="N1200">
        <v>3980</v>
      </c>
      <c r="O1200">
        <v>226</v>
      </c>
      <c r="P1200">
        <v>0</v>
      </c>
      <c r="Q1200" t="s">
        <v>4776</v>
      </c>
      <c r="R1200" t="s">
        <v>2384</v>
      </c>
      <c r="S1200" t="s">
        <v>4777</v>
      </c>
      <c r="T1200" t="s">
        <v>4778</v>
      </c>
      <c r="U1200" t="s">
        <v>60</v>
      </c>
      <c r="V1200" t="s">
        <v>61</v>
      </c>
      <c r="W1200">
        <v>3</v>
      </c>
      <c r="X1200">
        <v>0.13387499999999999</v>
      </c>
      <c r="Y1200" t="s">
        <v>269</v>
      </c>
      <c r="Z1200" t="s">
        <v>478</v>
      </c>
      <c r="AA1200">
        <v>3</v>
      </c>
      <c r="AB1200" t="s">
        <v>4522</v>
      </c>
      <c r="AC1200" t="s">
        <v>4523</v>
      </c>
      <c r="AD1200" t="s">
        <v>4524</v>
      </c>
      <c r="AE1200" t="s">
        <v>4525</v>
      </c>
      <c r="AF1200" t="s">
        <v>4526</v>
      </c>
      <c r="AG1200" t="s">
        <v>3902</v>
      </c>
      <c r="AH1200" t="s">
        <v>3903</v>
      </c>
      <c r="AI1200" t="s">
        <v>3902</v>
      </c>
      <c r="AJ1200" t="s">
        <v>66</v>
      </c>
      <c r="AK1200">
        <v>1</v>
      </c>
      <c r="AL1200" t="s">
        <v>4601</v>
      </c>
      <c r="AM1200" t="s">
        <v>4602</v>
      </c>
      <c r="AN1200" t="s">
        <v>4682</v>
      </c>
      <c r="AO1200" t="s">
        <v>66</v>
      </c>
      <c r="AP1200">
        <v>1</v>
      </c>
      <c r="AQ1200" t="s">
        <v>4765</v>
      </c>
      <c r="AR1200" t="s">
        <v>4684</v>
      </c>
      <c r="AS1200" t="s">
        <v>4766</v>
      </c>
      <c r="AT1200" t="s">
        <v>66</v>
      </c>
    </row>
    <row r="1201" spans="1:46" x14ac:dyDescent="0.15">
      <c r="A1201" t="s">
        <v>4779</v>
      </c>
      <c r="B1201" t="s">
        <v>4513</v>
      </c>
      <c r="C1201" t="s">
        <v>4514</v>
      </c>
      <c r="D1201">
        <v>64</v>
      </c>
      <c r="E1201" t="s">
        <v>4515</v>
      </c>
      <c r="F1201" t="s">
        <v>4516</v>
      </c>
      <c r="G1201" t="s">
        <v>51</v>
      </c>
      <c r="H1201" t="s">
        <v>4517</v>
      </c>
      <c r="I1201" t="s">
        <v>1553</v>
      </c>
      <c r="J1201" t="s">
        <v>4518</v>
      </c>
      <c r="K1201" t="s">
        <v>1555</v>
      </c>
      <c r="L1201" t="s">
        <v>19</v>
      </c>
      <c r="M1201" t="s">
        <v>17</v>
      </c>
      <c r="N1201">
        <v>4036</v>
      </c>
      <c r="O1201">
        <v>229</v>
      </c>
      <c r="P1201">
        <v>0</v>
      </c>
      <c r="Q1201" t="s">
        <v>4780</v>
      </c>
      <c r="R1201" t="s">
        <v>2389</v>
      </c>
      <c r="S1201" t="s">
        <v>4781</v>
      </c>
      <c r="T1201" t="s">
        <v>4782</v>
      </c>
      <c r="U1201" t="s">
        <v>60</v>
      </c>
      <c r="V1201" t="s">
        <v>61</v>
      </c>
      <c r="W1201">
        <v>3</v>
      </c>
      <c r="X1201">
        <v>0.13387499999999999</v>
      </c>
      <c r="Y1201" t="s">
        <v>484</v>
      </c>
      <c r="Z1201" t="s">
        <v>485</v>
      </c>
      <c r="AA1201">
        <v>3</v>
      </c>
      <c r="AB1201" t="s">
        <v>4522</v>
      </c>
      <c r="AC1201" t="s">
        <v>4523</v>
      </c>
      <c r="AD1201" t="s">
        <v>4524</v>
      </c>
      <c r="AE1201" t="s">
        <v>4525</v>
      </c>
      <c r="AF1201" t="s">
        <v>4526</v>
      </c>
      <c r="AG1201" t="s">
        <v>3902</v>
      </c>
      <c r="AH1201" t="s">
        <v>3903</v>
      </c>
      <c r="AI1201" t="s">
        <v>3902</v>
      </c>
      <c r="AJ1201" t="s">
        <v>66</v>
      </c>
      <c r="AK1201">
        <v>1</v>
      </c>
      <c r="AL1201" t="s">
        <v>4601</v>
      </c>
      <c r="AM1201" t="s">
        <v>4602</v>
      </c>
      <c r="AN1201" t="s">
        <v>4682</v>
      </c>
      <c r="AO1201" t="s">
        <v>66</v>
      </c>
      <c r="AP1201">
        <v>1</v>
      </c>
      <c r="AQ1201" t="s">
        <v>4765</v>
      </c>
      <c r="AR1201" t="s">
        <v>4684</v>
      </c>
      <c r="AS1201" t="s">
        <v>4766</v>
      </c>
      <c r="AT1201" t="s">
        <v>66</v>
      </c>
    </row>
    <row r="1202" spans="1:46" x14ac:dyDescent="0.15">
      <c r="A1202" t="s">
        <v>4783</v>
      </c>
      <c r="B1202" t="s">
        <v>4513</v>
      </c>
      <c r="C1202" t="s">
        <v>4514</v>
      </c>
      <c r="D1202">
        <v>65</v>
      </c>
      <c r="E1202" t="s">
        <v>4515</v>
      </c>
      <c r="F1202" t="s">
        <v>4516</v>
      </c>
      <c r="G1202" t="s">
        <v>51</v>
      </c>
      <c r="H1202" t="s">
        <v>4517</v>
      </c>
      <c r="I1202" t="s">
        <v>1553</v>
      </c>
      <c r="J1202" t="s">
        <v>4518</v>
      </c>
      <c r="K1202" t="s">
        <v>1555</v>
      </c>
      <c r="L1202" t="s">
        <v>19</v>
      </c>
      <c r="M1202" t="s">
        <v>17</v>
      </c>
      <c r="N1202">
        <v>4092</v>
      </c>
      <c r="O1202">
        <v>233</v>
      </c>
      <c r="P1202">
        <v>0</v>
      </c>
      <c r="Q1202" t="s">
        <v>4784</v>
      </c>
      <c r="R1202" t="s">
        <v>2394</v>
      </c>
      <c r="S1202" t="s">
        <v>4785</v>
      </c>
      <c r="T1202" t="s">
        <v>4786</v>
      </c>
      <c r="U1202" t="s">
        <v>60</v>
      </c>
      <c r="V1202" t="s">
        <v>61</v>
      </c>
      <c r="W1202">
        <v>3</v>
      </c>
      <c r="X1202">
        <v>0.13387499999999999</v>
      </c>
      <c r="Y1202" t="s">
        <v>275</v>
      </c>
      <c r="Z1202" t="s">
        <v>491</v>
      </c>
      <c r="AA1202">
        <v>3</v>
      </c>
      <c r="AB1202" t="s">
        <v>4522</v>
      </c>
      <c r="AC1202" t="s">
        <v>4523</v>
      </c>
      <c r="AD1202" t="s">
        <v>4524</v>
      </c>
      <c r="AE1202" t="s">
        <v>4525</v>
      </c>
      <c r="AF1202" t="s">
        <v>4526</v>
      </c>
      <c r="AG1202" t="s">
        <v>3902</v>
      </c>
      <c r="AH1202" t="s">
        <v>3903</v>
      </c>
      <c r="AI1202" t="s">
        <v>3902</v>
      </c>
      <c r="AJ1202" t="s">
        <v>66</v>
      </c>
      <c r="AK1202">
        <v>1</v>
      </c>
      <c r="AL1202" t="s">
        <v>4601</v>
      </c>
      <c r="AM1202" t="s">
        <v>4602</v>
      </c>
      <c r="AN1202" t="s">
        <v>4682</v>
      </c>
      <c r="AO1202" t="s">
        <v>66</v>
      </c>
      <c r="AP1202">
        <v>1</v>
      </c>
      <c r="AQ1202" t="s">
        <v>4765</v>
      </c>
      <c r="AR1202" t="s">
        <v>4684</v>
      </c>
      <c r="AS1202" t="s">
        <v>4766</v>
      </c>
      <c r="AT1202" t="s">
        <v>66</v>
      </c>
    </row>
    <row r="1203" spans="1:46" x14ac:dyDescent="0.15">
      <c r="A1203" t="s">
        <v>4787</v>
      </c>
      <c r="B1203" t="s">
        <v>4513</v>
      </c>
      <c r="C1203" t="s">
        <v>4514</v>
      </c>
      <c r="D1203">
        <v>66</v>
      </c>
      <c r="E1203" t="s">
        <v>4515</v>
      </c>
      <c r="F1203" t="s">
        <v>4516</v>
      </c>
      <c r="G1203" t="s">
        <v>51</v>
      </c>
      <c r="H1203" t="s">
        <v>4517</v>
      </c>
      <c r="I1203" t="s">
        <v>1553</v>
      </c>
      <c r="J1203" t="s">
        <v>4518</v>
      </c>
      <c r="K1203" t="s">
        <v>1555</v>
      </c>
      <c r="L1203" t="s">
        <v>19</v>
      </c>
      <c r="M1203" t="s">
        <v>17</v>
      </c>
      <c r="N1203">
        <v>4148</v>
      </c>
      <c r="O1203">
        <v>236</v>
      </c>
      <c r="P1203">
        <v>0</v>
      </c>
      <c r="Q1203" t="s">
        <v>4788</v>
      </c>
      <c r="R1203" t="s">
        <v>2399</v>
      </c>
      <c r="S1203" t="s">
        <v>4789</v>
      </c>
      <c r="T1203" t="s">
        <v>4790</v>
      </c>
      <c r="U1203" t="s">
        <v>60</v>
      </c>
      <c r="V1203" t="s">
        <v>61</v>
      </c>
      <c r="W1203">
        <v>3</v>
      </c>
      <c r="X1203">
        <v>0.13387499999999999</v>
      </c>
      <c r="Y1203" t="s">
        <v>497</v>
      </c>
      <c r="Z1203" t="s">
        <v>498</v>
      </c>
      <c r="AA1203">
        <v>3</v>
      </c>
      <c r="AB1203" t="s">
        <v>4522</v>
      </c>
      <c r="AC1203" t="s">
        <v>4523</v>
      </c>
      <c r="AD1203" t="s">
        <v>4524</v>
      </c>
      <c r="AE1203" t="s">
        <v>4525</v>
      </c>
      <c r="AF1203" t="s">
        <v>4526</v>
      </c>
      <c r="AG1203" t="s">
        <v>3902</v>
      </c>
      <c r="AH1203" t="s">
        <v>3903</v>
      </c>
      <c r="AI1203" t="s">
        <v>3902</v>
      </c>
      <c r="AJ1203" t="s">
        <v>66</v>
      </c>
      <c r="AK1203">
        <v>1</v>
      </c>
      <c r="AL1203" t="s">
        <v>4601</v>
      </c>
      <c r="AM1203" t="s">
        <v>4602</v>
      </c>
      <c r="AN1203" t="s">
        <v>4682</v>
      </c>
      <c r="AO1203" t="s">
        <v>66</v>
      </c>
      <c r="AP1203">
        <v>1</v>
      </c>
      <c r="AQ1203" t="s">
        <v>4765</v>
      </c>
      <c r="AR1203" t="s">
        <v>4684</v>
      </c>
      <c r="AS1203" t="s">
        <v>4766</v>
      </c>
      <c r="AT1203" t="s">
        <v>66</v>
      </c>
    </row>
    <row r="1204" spans="1:46" x14ac:dyDescent="0.15">
      <c r="A1204" t="s">
        <v>4791</v>
      </c>
      <c r="B1204" t="s">
        <v>4513</v>
      </c>
      <c r="C1204" t="s">
        <v>4514</v>
      </c>
      <c r="D1204">
        <v>67</v>
      </c>
      <c r="E1204" t="s">
        <v>4515</v>
      </c>
      <c r="F1204" t="s">
        <v>4516</v>
      </c>
      <c r="G1204" t="s">
        <v>51</v>
      </c>
      <c r="H1204" t="s">
        <v>4517</v>
      </c>
      <c r="I1204" t="s">
        <v>1553</v>
      </c>
      <c r="J1204" t="s">
        <v>4518</v>
      </c>
      <c r="K1204" t="s">
        <v>1555</v>
      </c>
      <c r="L1204" t="s">
        <v>19</v>
      </c>
      <c r="M1204" t="s">
        <v>17</v>
      </c>
      <c r="N1204">
        <v>4204</v>
      </c>
      <c r="O1204">
        <v>239</v>
      </c>
      <c r="P1204">
        <v>0</v>
      </c>
      <c r="Q1204" t="s">
        <v>4792</v>
      </c>
      <c r="R1204" t="s">
        <v>2404</v>
      </c>
      <c r="S1204" t="s">
        <v>4793</v>
      </c>
      <c r="T1204" t="s">
        <v>4794</v>
      </c>
      <c r="U1204" t="s">
        <v>60</v>
      </c>
      <c r="V1204" t="s">
        <v>61</v>
      </c>
      <c r="W1204">
        <v>3</v>
      </c>
      <c r="X1204">
        <v>0.13387499999999999</v>
      </c>
      <c r="Y1204" t="s">
        <v>282</v>
      </c>
      <c r="Z1204" t="s">
        <v>504</v>
      </c>
      <c r="AA1204">
        <v>3</v>
      </c>
      <c r="AB1204" t="s">
        <v>4522</v>
      </c>
      <c r="AC1204" t="s">
        <v>4523</v>
      </c>
      <c r="AD1204" t="s">
        <v>4524</v>
      </c>
      <c r="AE1204" t="s">
        <v>4525</v>
      </c>
      <c r="AF1204" t="s">
        <v>4526</v>
      </c>
      <c r="AG1204" t="s">
        <v>3902</v>
      </c>
      <c r="AH1204" t="s">
        <v>3903</v>
      </c>
      <c r="AI1204" t="s">
        <v>3902</v>
      </c>
      <c r="AJ1204" t="s">
        <v>66</v>
      </c>
      <c r="AK1204">
        <v>1</v>
      </c>
      <c r="AL1204" t="s">
        <v>4601</v>
      </c>
      <c r="AM1204" t="s">
        <v>4602</v>
      </c>
      <c r="AN1204" t="s">
        <v>4682</v>
      </c>
      <c r="AO1204" t="s">
        <v>66</v>
      </c>
      <c r="AP1204">
        <v>1</v>
      </c>
      <c r="AQ1204" t="s">
        <v>4765</v>
      </c>
      <c r="AR1204" t="s">
        <v>4684</v>
      </c>
      <c r="AS1204" t="s">
        <v>4766</v>
      </c>
      <c r="AT1204" t="s">
        <v>66</v>
      </c>
    </row>
    <row r="1205" spans="1:46" x14ac:dyDescent="0.15">
      <c r="A1205" t="s">
        <v>4795</v>
      </c>
      <c r="B1205" t="s">
        <v>4513</v>
      </c>
      <c r="C1205" t="s">
        <v>4514</v>
      </c>
      <c r="D1205">
        <v>68</v>
      </c>
      <c r="E1205" t="s">
        <v>4515</v>
      </c>
      <c r="F1205" t="s">
        <v>4516</v>
      </c>
      <c r="G1205" t="s">
        <v>51</v>
      </c>
      <c r="H1205" t="s">
        <v>4517</v>
      </c>
      <c r="I1205" t="s">
        <v>1553</v>
      </c>
      <c r="J1205" t="s">
        <v>4518</v>
      </c>
      <c r="K1205" t="s">
        <v>1555</v>
      </c>
      <c r="L1205" t="s">
        <v>19</v>
      </c>
      <c r="M1205" t="s">
        <v>17</v>
      </c>
      <c r="N1205">
        <v>4260</v>
      </c>
      <c r="O1205">
        <v>242</v>
      </c>
      <c r="P1205">
        <v>0</v>
      </c>
      <c r="Q1205" t="s">
        <v>4796</v>
      </c>
      <c r="R1205" t="s">
        <v>2409</v>
      </c>
      <c r="S1205" t="s">
        <v>4797</v>
      </c>
      <c r="T1205" t="s">
        <v>4798</v>
      </c>
      <c r="U1205" t="s">
        <v>60</v>
      </c>
      <c r="V1205" t="s">
        <v>61</v>
      </c>
      <c r="W1205">
        <v>3</v>
      </c>
      <c r="X1205">
        <v>0.13387499999999999</v>
      </c>
      <c r="Y1205" t="s">
        <v>510</v>
      </c>
      <c r="Z1205" t="s">
        <v>511</v>
      </c>
      <c r="AA1205">
        <v>3</v>
      </c>
      <c r="AB1205" t="s">
        <v>4522</v>
      </c>
      <c r="AC1205" t="s">
        <v>4523</v>
      </c>
      <c r="AD1205" t="s">
        <v>4524</v>
      </c>
      <c r="AE1205" t="s">
        <v>4525</v>
      </c>
      <c r="AF1205" t="s">
        <v>4526</v>
      </c>
      <c r="AG1205" t="s">
        <v>3902</v>
      </c>
      <c r="AH1205" t="s">
        <v>3903</v>
      </c>
      <c r="AI1205" t="s">
        <v>3902</v>
      </c>
      <c r="AJ1205" t="s">
        <v>66</v>
      </c>
      <c r="AK1205">
        <v>1</v>
      </c>
      <c r="AL1205" t="s">
        <v>4601</v>
      </c>
      <c r="AM1205" t="s">
        <v>4602</v>
      </c>
      <c r="AN1205" t="s">
        <v>4682</v>
      </c>
      <c r="AO1205" t="s">
        <v>66</v>
      </c>
      <c r="AP1205">
        <v>1</v>
      </c>
      <c r="AQ1205" t="s">
        <v>4765</v>
      </c>
      <c r="AR1205" t="s">
        <v>4684</v>
      </c>
      <c r="AS1205" t="s">
        <v>4766</v>
      </c>
      <c r="AT1205" t="s">
        <v>66</v>
      </c>
    </row>
    <row r="1206" spans="1:46" x14ac:dyDescent="0.15">
      <c r="A1206" t="s">
        <v>4799</v>
      </c>
      <c r="B1206" t="s">
        <v>4513</v>
      </c>
      <c r="C1206" t="s">
        <v>4514</v>
      </c>
      <c r="D1206">
        <v>69</v>
      </c>
      <c r="E1206" t="s">
        <v>4515</v>
      </c>
      <c r="F1206" t="s">
        <v>4516</v>
      </c>
      <c r="G1206" t="s">
        <v>51</v>
      </c>
      <c r="H1206" t="s">
        <v>4517</v>
      </c>
      <c r="I1206" t="s">
        <v>1553</v>
      </c>
      <c r="J1206" t="s">
        <v>4518</v>
      </c>
      <c r="K1206" t="s">
        <v>1555</v>
      </c>
      <c r="L1206" t="s">
        <v>19</v>
      </c>
      <c r="M1206" t="s">
        <v>17</v>
      </c>
      <c r="N1206">
        <v>4316</v>
      </c>
      <c r="O1206">
        <v>245</v>
      </c>
      <c r="P1206">
        <v>0</v>
      </c>
      <c r="Q1206" t="s">
        <v>4800</v>
      </c>
      <c r="R1206" t="s">
        <v>2414</v>
      </c>
      <c r="S1206" t="s">
        <v>4801</v>
      </c>
      <c r="T1206" t="s">
        <v>4802</v>
      </c>
      <c r="U1206" t="s">
        <v>60</v>
      </c>
      <c r="V1206" t="s">
        <v>61</v>
      </c>
      <c r="W1206">
        <v>3</v>
      </c>
      <c r="X1206">
        <v>0.13387499999999999</v>
      </c>
      <c r="Y1206" t="s">
        <v>288</v>
      </c>
      <c r="Z1206" t="s">
        <v>517</v>
      </c>
      <c r="AA1206">
        <v>3</v>
      </c>
      <c r="AB1206" t="s">
        <v>4522</v>
      </c>
      <c r="AC1206" t="s">
        <v>4523</v>
      </c>
      <c r="AD1206" t="s">
        <v>4524</v>
      </c>
      <c r="AE1206" t="s">
        <v>4525</v>
      </c>
      <c r="AF1206" t="s">
        <v>4526</v>
      </c>
      <c r="AG1206" t="s">
        <v>3902</v>
      </c>
      <c r="AH1206" t="s">
        <v>3903</v>
      </c>
      <c r="AI1206" t="s">
        <v>3902</v>
      </c>
      <c r="AJ1206" t="s">
        <v>66</v>
      </c>
      <c r="AK1206">
        <v>1</v>
      </c>
      <c r="AL1206" t="s">
        <v>4601</v>
      </c>
      <c r="AM1206" t="s">
        <v>4602</v>
      </c>
      <c r="AN1206" t="s">
        <v>4682</v>
      </c>
      <c r="AO1206" t="s">
        <v>66</v>
      </c>
      <c r="AP1206">
        <v>1</v>
      </c>
      <c r="AQ1206" t="s">
        <v>4765</v>
      </c>
      <c r="AR1206" t="s">
        <v>4684</v>
      </c>
      <c r="AS1206" t="s">
        <v>4766</v>
      </c>
      <c r="AT1206" t="s">
        <v>66</v>
      </c>
    </row>
    <row r="1207" spans="1:46" x14ac:dyDescent="0.15">
      <c r="A1207" t="s">
        <v>4803</v>
      </c>
      <c r="B1207" t="s">
        <v>4513</v>
      </c>
      <c r="C1207" t="s">
        <v>4514</v>
      </c>
      <c r="D1207">
        <v>70</v>
      </c>
      <c r="E1207" t="s">
        <v>4515</v>
      </c>
      <c r="F1207" t="s">
        <v>4516</v>
      </c>
      <c r="G1207" t="s">
        <v>51</v>
      </c>
      <c r="H1207" t="s">
        <v>4517</v>
      </c>
      <c r="I1207" t="s">
        <v>1553</v>
      </c>
      <c r="J1207" t="s">
        <v>4518</v>
      </c>
      <c r="K1207" t="s">
        <v>1555</v>
      </c>
      <c r="L1207" t="s">
        <v>19</v>
      </c>
      <c r="M1207" t="s">
        <v>17</v>
      </c>
      <c r="N1207">
        <v>4372</v>
      </c>
      <c r="O1207">
        <v>248</v>
      </c>
      <c r="P1207">
        <v>0</v>
      </c>
      <c r="Q1207" t="s">
        <v>4804</v>
      </c>
      <c r="R1207" t="s">
        <v>2419</v>
      </c>
      <c r="S1207" t="s">
        <v>4805</v>
      </c>
      <c r="T1207" t="s">
        <v>4806</v>
      </c>
      <c r="U1207" t="s">
        <v>60</v>
      </c>
      <c r="V1207" t="s">
        <v>61</v>
      </c>
      <c r="W1207">
        <v>3</v>
      </c>
      <c r="X1207">
        <v>0.13387499999999999</v>
      </c>
      <c r="Y1207" t="s">
        <v>523</v>
      </c>
      <c r="Z1207" t="s">
        <v>524</v>
      </c>
      <c r="AA1207">
        <v>3</v>
      </c>
      <c r="AB1207" t="s">
        <v>4522</v>
      </c>
      <c r="AC1207" t="s">
        <v>4523</v>
      </c>
      <c r="AD1207" t="s">
        <v>4524</v>
      </c>
      <c r="AE1207" t="s">
        <v>4525</v>
      </c>
      <c r="AF1207" t="s">
        <v>4526</v>
      </c>
      <c r="AG1207" t="s">
        <v>3902</v>
      </c>
      <c r="AH1207" t="s">
        <v>3903</v>
      </c>
      <c r="AI1207" t="s">
        <v>3902</v>
      </c>
      <c r="AJ1207" t="s">
        <v>66</v>
      </c>
      <c r="AK1207">
        <v>1</v>
      </c>
      <c r="AL1207" t="s">
        <v>4601</v>
      </c>
      <c r="AM1207" t="s">
        <v>4602</v>
      </c>
      <c r="AN1207" t="s">
        <v>4682</v>
      </c>
      <c r="AO1207" t="s">
        <v>66</v>
      </c>
      <c r="AP1207">
        <v>1</v>
      </c>
      <c r="AQ1207" t="s">
        <v>4765</v>
      </c>
      <c r="AR1207" t="s">
        <v>4684</v>
      </c>
      <c r="AS1207" t="s">
        <v>4766</v>
      </c>
      <c r="AT1207" t="s">
        <v>66</v>
      </c>
    </row>
    <row r="1208" spans="1:46" x14ac:dyDescent="0.15">
      <c r="A1208" t="s">
        <v>4807</v>
      </c>
      <c r="B1208" t="s">
        <v>4513</v>
      </c>
      <c r="C1208" t="s">
        <v>4514</v>
      </c>
      <c r="D1208">
        <v>71</v>
      </c>
      <c r="E1208" t="s">
        <v>4515</v>
      </c>
      <c r="F1208" t="s">
        <v>4516</v>
      </c>
      <c r="G1208" t="s">
        <v>51</v>
      </c>
      <c r="H1208" t="s">
        <v>4517</v>
      </c>
      <c r="I1208" t="s">
        <v>1553</v>
      </c>
      <c r="J1208" t="s">
        <v>4518</v>
      </c>
      <c r="K1208" t="s">
        <v>1555</v>
      </c>
      <c r="L1208" t="s">
        <v>19</v>
      </c>
      <c r="M1208" t="s">
        <v>17</v>
      </c>
      <c r="N1208">
        <v>4429</v>
      </c>
      <c r="O1208">
        <v>252</v>
      </c>
      <c r="P1208">
        <v>0</v>
      </c>
      <c r="Q1208" t="s">
        <v>4808</v>
      </c>
      <c r="R1208" t="s">
        <v>2424</v>
      </c>
      <c r="S1208" t="s">
        <v>4809</v>
      </c>
      <c r="T1208" t="s">
        <v>4810</v>
      </c>
      <c r="U1208" t="s">
        <v>60</v>
      </c>
      <c r="V1208" t="s">
        <v>61</v>
      </c>
      <c r="W1208">
        <v>3</v>
      </c>
      <c r="X1208">
        <v>0.13387499999999999</v>
      </c>
      <c r="Y1208" t="s">
        <v>295</v>
      </c>
      <c r="Z1208" t="s">
        <v>530</v>
      </c>
      <c r="AA1208">
        <v>3</v>
      </c>
      <c r="AB1208" t="s">
        <v>4522</v>
      </c>
      <c r="AC1208" t="s">
        <v>4523</v>
      </c>
      <c r="AD1208" t="s">
        <v>4524</v>
      </c>
      <c r="AE1208" t="s">
        <v>4525</v>
      </c>
      <c r="AF1208" t="s">
        <v>4526</v>
      </c>
      <c r="AG1208" t="s">
        <v>3902</v>
      </c>
      <c r="AH1208" t="s">
        <v>3903</v>
      </c>
      <c r="AI1208" t="s">
        <v>3902</v>
      </c>
      <c r="AJ1208" t="s">
        <v>66</v>
      </c>
      <c r="AK1208">
        <v>1</v>
      </c>
      <c r="AL1208" t="s">
        <v>4601</v>
      </c>
      <c r="AM1208" t="s">
        <v>4602</v>
      </c>
      <c r="AN1208" t="s">
        <v>4682</v>
      </c>
      <c r="AO1208" t="s">
        <v>66</v>
      </c>
      <c r="AP1208">
        <v>1</v>
      </c>
      <c r="AQ1208" t="s">
        <v>4765</v>
      </c>
      <c r="AR1208" t="s">
        <v>4684</v>
      </c>
      <c r="AS1208" t="s">
        <v>4766</v>
      </c>
      <c r="AT1208" t="s">
        <v>66</v>
      </c>
    </row>
    <row r="1209" spans="1:46" x14ac:dyDescent="0.15">
      <c r="A1209" t="s">
        <v>4811</v>
      </c>
      <c r="B1209" t="s">
        <v>4513</v>
      </c>
      <c r="C1209" t="s">
        <v>4514</v>
      </c>
      <c r="D1209">
        <v>72</v>
      </c>
      <c r="E1209" t="s">
        <v>4515</v>
      </c>
      <c r="F1209" t="s">
        <v>4516</v>
      </c>
      <c r="G1209" t="s">
        <v>51</v>
      </c>
      <c r="H1209" t="s">
        <v>4517</v>
      </c>
      <c r="I1209" t="s">
        <v>1553</v>
      </c>
      <c r="J1209" t="s">
        <v>4518</v>
      </c>
      <c r="K1209" t="s">
        <v>1555</v>
      </c>
      <c r="L1209" t="s">
        <v>19</v>
      </c>
      <c r="M1209" t="s">
        <v>17</v>
      </c>
      <c r="N1209">
        <v>4485</v>
      </c>
      <c r="O1209">
        <v>255</v>
      </c>
      <c r="P1209">
        <v>0</v>
      </c>
      <c r="Q1209" t="s">
        <v>4812</v>
      </c>
      <c r="R1209" t="s">
        <v>2429</v>
      </c>
      <c r="S1209" t="s">
        <v>4813</v>
      </c>
      <c r="T1209" t="s">
        <v>4814</v>
      </c>
      <c r="U1209" t="s">
        <v>60</v>
      </c>
      <c r="V1209" t="s">
        <v>61</v>
      </c>
      <c r="W1209">
        <v>3</v>
      </c>
      <c r="X1209">
        <v>0.13387499999999999</v>
      </c>
      <c r="Y1209" t="s">
        <v>536</v>
      </c>
      <c r="Z1209" t="s">
        <v>537</v>
      </c>
      <c r="AA1209">
        <v>3</v>
      </c>
      <c r="AB1209" t="s">
        <v>4522</v>
      </c>
      <c r="AC1209" t="s">
        <v>4523</v>
      </c>
      <c r="AD1209" t="s">
        <v>4524</v>
      </c>
      <c r="AE1209" t="s">
        <v>4525</v>
      </c>
      <c r="AF1209" t="s">
        <v>4526</v>
      </c>
      <c r="AG1209" t="s">
        <v>3902</v>
      </c>
      <c r="AH1209" t="s">
        <v>3903</v>
      </c>
      <c r="AI1209" t="s">
        <v>3902</v>
      </c>
      <c r="AJ1209" t="s">
        <v>66</v>
      </c>
      <c r="AK1209">
        <v>1</v>
      </c>
      <c r="AL1209" t="s">
        <v>4601</v>
      </c>
      <c r="AM1209" t="s">
        <v>4602</v>
      </c>
      <c r="AN1209" t="s">
        <v>4682</v>
      </c>
      <c r="AO1209" t="s">
        <v>66</v>
      </c>
      <c r="AP1209">
        <v>1</v>
      </c>
      <c r="AQ1209" t="s">
        <v>4765</v>
      </c>
      <c r="AR1209" t="s">
        <v>4684</v>
      </c>
      <c r="AS1209" t="s">
        <v>4766</v>
      </c>
      <c r="AT1209" t="s">
        <v>66</v>
      </c>
    </row>
    <row r="1210" spans="1:46" x14ac:dyDescent="0.15">
      <c r="A1210" t="s">
        <v>4815</v>
      </c>
      <c r="B1210" t="s">
        <v>4513</v>
      </c>
      <c r="C1210" t="s">
        <v>4514</v>
      </c>
      <c r="D1210">
        <v>73</v>
      </c>
      <c r="E1210" t="s">
        <v>4515</v>
      </c>
      <c r="F1210" t="s">
        <v>4516</v>
      </c>
      <c r="G1210" t="s">
        <v>51</v>
      </c>
      <c r="H1210" t="s">
        <v>4517</v>
      </c>
      <c r="I1210" t="s">
        <v>1553</v>
      </c>
      <c r="J1210" t="s">
        <v>4518</v>
      </c>
      <c r="K1210" t="s">
        <v>1555</v>
      </c>
      <c r="L1210" t="s">
        <v>19</v>
      </c>
      <c r="M1210" t="s">
        <v>17</v>
      </c>
      <c r="N1210">
        <v>4541</v>
      </c>
      <c r="O1210">
        <v>258</v>
      </c>
      <c r="P1210">
        <v>0</v>
      </c>
      <c r="Q1210" t="s">
        <v>4816</v>
      </c>
      <c r="R1210" t="s">
        <v>2434</v>
      </c>
      <c r="S1210" t="s">
        <v>4817</v>
      </c>
      <c r="T1210" t="s">
        <v>4818</v>
      </c>
      <c r="U1210" t="s">
        <v>60</v>
      </c>
      <c r="V1210" t="s">
        <v>61</v>
      </c>
      <c r="W1210">
        <v>3</v>
      </c>
      <c r="X1210">
        <v>0.13387499999999999</v>
      </c>
      <c r="Y1210" t="s">
        <v>301</v>
      </c>
      <c r="Z1210" t="s">
        <v>543</v>
      </c>
      <c r="AA1210">
        <v>3</v>
      </c>
      <c r="AB1210" t="s">
        <v>4522</v>
      </c>
      <c r="AC1210" t="s">
        <v>4523</v>
      </c>
      <c r="AD1210" t="s">
        <v>4524</v>
      </c>
      <c r="AE1210" t="s">
        <v>4525</v>
      </c>
      <c r="AF1210" t="s">
        <v>4526</v>
      </c>
      <c r="AG1210" t="s">
        <v>3902</v>
      </c>
      <c r="AH1210" t="s">
        <v>3903</v>
      </c>
      <c r="AI1210" t="s">
        <v>3902</v>
      </c>
      <c r="AJ1210" t="s">
        <v>66</v>
      </c>
      <c r="AK1210">
        <v>1</v>
      </c>
      <c r="AL1210" t="s">
        <v>4601</v>
      </c>
      <c r="AM1210" t="s">
        <v>4602</v>
      </c>
      <c r="AN1210" t="s">
        <v>4682</v>
      </c>
      <c r="AO1210" t="s">
        <v>66</v>
      </c>
      <c r="AP1210">
        <v>1</v>
      </c>
      <c r="AQ1210" t="s">
        <v>4765</v>
      </c>
      <c r="AR1210" t="s">
        <v>4684</v>
      </c>
      <c r="AS1210" t="s">
        <v>4766</v>
      </c>
      <c r="AT1210" t="s">
        <v>66</v>
      </c>
    </row>
    <row r="1211" spans="1:46" x14ac:dyDescent="0.15">
      <c r="A1211" t="s">
        <v>4819</v>
      </c>
      <c r="B1211" t="s">
        <v>4513</v>
      </c>
      <c r="C1211" t="s">
        <v>4514</v>
      </c>
      <c r="D1211">
        <v>74</v>
      </c>
      <c r="E1211" t="s">
        <v>4515</v>
      </c>
      <c r="F1211" t="s">
        <v>4516</v>
      </c>
      <c r="G1211" t="s">
        <v>51</v>
      </c>
      <c r="H1211" t="s">
        <v>4517</v>
      </c>
      <c r="I1211" t="s">
        <v>1553</v>
      </c>
      <c r="J1211" t="s">
        <v>4518</v>
      </c>
      <c r="K1211" t="s">
        <v>1555</v>
      </c>
      <c r="L1211" t="s">
        <v>19</v>
      </c>
      <c r="M1211" t="s">
        <v>17</v>
      </c>
      <c r="N1211">
        <v>4597</v>
      </c>
      <c r="O1211">
        <v>261</v>
      </c>
      <c r="P1211">
        <v>0</v>
      </c>
      <c r="Q1211" t="s">
        <v>4820</v>
      </c>
      <c r="R1211" t="s">
        <v>2439</v>
      </c>
      <c r="S1211" t="s">
        <v>4821</v>
      </c>
      <c r="T1211" t="s">
        <v>4822</v>
      </c>
      <c r="U1211" t="s">
        <v>60</v>
      </c>
      <c r="V1211" t="s">
        <v>61</v>
      </c>
      <c r="W1211">
        <v>3</v>
      </c>
      <c r="X1211">
        <v>0.13387499999999999</v>
      </c>
      <c r="Y1211" t="s">
        <v>549</v>
      </c>
      <c r="Z1211" t="s">
        <v>550</v>
      </c>
      <c r="AA1211">
        <v>3</v>
      </c>
      <c r="AB1211" t="s">
        <v>4522</v>
      </c>
      <c r="AC1211" t="s">
        <v>4523</v>
      </c>
      <c r="AD1211" t="s">
        <v>4524</v>
      </c>
      <c r="AE1211" t="s">
        <v>4525</v>
      </c>
      <c r="AF1211" t="s">
        <v>4526</v>
      </c>
      <c r="AG1211" t="s">
        <v>3902</v>
      </c>
      <c r="AH1211" t="s">
        <v>3903</v>
      </c>
      <c r="AI1211" t="s">
        <v>3902</v>
      </c>
      <c r="AJ1211" t="s">
        <v>66</v>
      </c>
      <c r="AK1211">
        <v>1</v>
      </c>
      <c r="AL1211" t="s">
        <v>4601</v>
      </c>
      <c r="AM1211" t="s">
        <v>4602</v>
      </c>
      <c r="AN1211" t="s">
        <v>4682</v>
      </c>
      <c r="AO1211" t="s">
        <v>66</v>
      </c>
      <c r="AP1211">
        <v>1</v>
      </c>
      <c r="AQ1211" t="s">
        <v>4765</v>
      </c>
      <c r="AR1211" t="s">
        <v>4684</v>
      </c>
      <c r="AS1211" t="s">
        <v>4766</v>
      </c>
      <c r="AT1211" t="s">
        <v>66</v>
      </c>
    </row>
    <row r="1212" spans="1:46" x14ac:dyDescent="0.15">
      <c r="A1212" t="s">
        <v>4823</v>
      </c>
      <c r="B1212" t="s">
        <v>4513</v>
      </c>
      <c r="C1212" t="s">
        <v>4514</v>
      </c>
      <c r="D1212">
        <v>75</v>
      </c>
      <c r="E1212" t="s">
        <v>4515</v>
      </c>
      <c r="F1212" t="s">
        <v>4516</v>
      </c>
      <c r="G1212" t="s">
        <v>51</v>
      </c>
      <c r="H1212" t="s">
        <v>4517</v>
      </c>
      <c r="I1212" t="s">
        <v>1553</v>
      </c>
      <c r="J1212" t="s">
        <v>4518</v>
      </c>
      <c r="K1212" t="s">
        <v>1555</v>
      </c>
      <c r="L1212" t="s">
        <v>19</v>
      </c>
      <c r="M1212" t="s">
        <v>17</v>
      </c>
      <c r="N1212">
        <v>4653</v>
      </c>
      <c r="O1212">
        <v>264</v>
      </c>
      <c r="P1212">
        <v>0</v>
      </c>
      <c r="Q1212" t="s">
        <v>4824</v>
      </c>
      <c r="R1212" t="s">
        <v>2444</v>
      </c>
      <c r="S1212" t="s">
        <v>4825</v>
      </c>
      <c r="T1212" t="s">
        <v>4826</v>
      </c>
      <c r="U1212" t="s">
        <v>60</v>
      </c>
      <c r="V1212" t="s">
        <v>61</v>
      </c>
      <c r="W1212">
        <v>3</v>
      </c>
      <c r="X1212">
        <v>0.13387499999999999</v>
      </c>
      <c r="Y1212" t="s">
        <v>308</v>
      </c>
      <c r="Z1212" t="s">
        <v>556</v>
      </c>
      <c r="AA1212">
        <v>3</v>
      </c>
      <c r="AB1212" t="s">
        <v>4522</v>
      </c>
      <c r="AC1212" t="s">
        <v>4523</v>
      </c>
      <c r="AD1212" t="s">
        <v>4524</v>
      </c>
      <c r="AE1212" t="s">
        <v>4525</v>
      </c>
      <c r="AF1212" t="s">
        <v>4526</v>
      </c>
      <c r="AG1212" t="s">
        <v>3902</v>
      </c>
      <c r="AH1212" t="s">
        <v>3903</v>
      </c>
      <c r="AI1212" t="s">
        <v>3902</v>
      </c>
      <c r="AJ1212" t="s">
        <v>66</v>
      </c>
      <c r="AK1212">
        <v>1</v>
      </c>
      <c r="AL1212" t="s">
        <v>4601</v>
      </c>
      <c r="AM1212" t="s">
        <v>4602</v>
      </c>
      <c r="AN1212" t="s">
        <v>4682</v>
      </c>
      <c r="AO1212" t="s">
        <v>66</v>
      </c>
      <c r="AP1212">
        <v>1</v>
      </c>
      <c r="AQ1212" t="s">
        <v>4765</v>
      </c>
      <c r="AR1212" t="s">
        <v>4684</v>
      </c>
      <c r="AS1212" t="s">
        <v>4766</v>
      </c>
      <c r="AT1212" t="s">
        <v>66</v>
      </c>
    </row>
    <row r="1213" spans="1:46" x14ac:dyDescent="0.15">
      <c r="A1213" t="s">
        <v>4827</v>
      </c>
      <c r="B1213" t="s">
        <v>4513</v>
      </c>
      <c r="C1213" t="s">
        <v>4514</v>
      </c>
      <c r="D1213">
        <v>76</v>
      </c>
      <c r="E1213" t="s">
        <v>4515</v>
      </c>
      <c r="F1213" t="s">
        <v>4516</v>
      </c>
      <c r="G1213" t="s">
        <v>51</v>
      </c>
      <c r="H1213" t="s">
        <v>4517</v>
      </c>
      <c r="I1213" t="s">
        <v>1553</v>
      </c>
      <c r="J1213" t="s">
        <v>4518</v>
      </c>
      <c r="K1213" t="s">
        <v>1555</v>
      </c>
      <c r="L1213" t="s">
        <v>19</v>
      </c>
      <c r="M1213" t="s">
        <v>17</v>
      </c>
      <c r="N1213">
        <v>4709</v>
      </c>
      <c r="O1213">
        <v>267</v>
      </c>
      <c r="P1213">
        <v>0</v>
      </c>
      <c r="Q1213" t="s">
        <v>4828</v>
      </c>
      <c r="R1213" t="s">
        <v>2449</v>
      </c>
      <c r="S1213" t="s">
        <v>4829</v>
      </c>
      <c r="T1213" t="s">
        <v>4830</v>
      </c>
      <c r="U1213" t="s">
        <v>60</v>
      </c>
      <c r="V1213" t="s">
        <v>61</v>
      </c>
      <c r="W1213">
        <v>3</v>
      </c>
      <c r="X1213">
        <v>0.13387499999999999</v>
      </c>
      <c r="Y1213" t="s">
        <v>562</v>
      </c>
      <c r="Z1213" t="s">
        <v>563</v>
      </c>
      <c r="AA1213">
        <v>3</v>
      </c>
      <c r="AB1213" t="s">
        <v>4522</v>
      </c>
      <c r="AC1213" t="s">
        <v>4523</v>
      </c>
      <c r="AD1213" t="s">
        <v>4524</v>
      </c>
      <c r="AE1213" t="s">
        <v>4525</v>
      </c>
      <c r="AF1213" t="s">
        <v>4526</v>
      </c>
      <c r="AG1213" t="s">
        <v>3902</v>
      </c>
      <c r="AH1213" t="s">
        <v>3903</v>
      </c>
      <c r="AI1213" t="s">
        <v>3902</v>
      </c>
      <c r="AJ1213" t="s">
        <v>66</v>
      </c>
      <c r="AK1213">
        <v>1</v>
      </c>
      <c r="AL1213" t="s">
        <v>4601</v>
      </c>
      <c r="AM1213" t="s">
        <v>4602</v>
      </c>
      <c r="AN1213" t="s">
        <v>4682</v>
      </c>
      <c r="AO1213" t="s">
        <v>66</v>
      </c>
      <c r="AP1213">
        <v>1</v>
      </c>
      <c r="AQ1213" t="s">
        <v>4765</v>
      </c>
      <c r="AR1213" t="s">
        <v>4684</v>
      </c>
      <c r="AS1213" t="s">
        <v>4766</v>
      </c>
      <c r="AT1213" t="s">
        <v>66</v>
      </c>
    </row>
    <row r="1214" spans="1:46" x14ac:dyDescent="0.15">
      <c r="A1214" t="s">
        <v>4831</v>
      </c>
      <c r="B1214" t="s">
        <v>4513</v>
      </c>
      <c r="C1214" t="s">
        <v>4514</v>
      </c>
      <c r="D1214">
        <v>77</v>
      </c>
      <c r="E1214" t="s">
        <v>4515</v>
      </c>
      <c r="F1214" t="s">
        <v>4516</v>
      </c>
      <c r="G1214" t="s">
        <v>51</v>
      </c>
      <c r="H1214" t="s">
        <v>4517</v>
      </c>
      <c r="I1214" t="s">
        <v>1553</v>
      </c>
      <c r="J1214" t="s">
        <v>4518</v>
      </c>
      <c r="K1214" t="s">
        <v>1555</v>
      </c>
      <c r="L1214" t="s">
        <v>19</v>
      </c>
      <c r="M1214" t="s">
        <v>17</v>
      </c>
      <c r="N1214">
        <v>4765</v>
      </c>
      <c r="O1214">
        <v>271</v>
      </c>
      <c r="P1214">
        <v>0</v>
      </c>
      <c r="Q1214" t="s">
        <v>4832</v>
      </c>
      <c r="R1214" t="s">
        <v>2454</v>
      </c>
      <c r="S1214" t="s">
        <v>4833</v>
      </c>
      <c r="T1214" t="s">
        <v>4834</v>
      </c>
      <c r="U1214" t="s">
        <v>60</v>
      </c>
      <c r="V1214" t="s">
        <v>61</v>
      </c>
      <c r="W1214">
        <v>3</v>
      </c>
      <c r="X1214">
        <v>0.13387499999999999</v>
      </c>
      <c r="Y1214" t="s">
        <v>314</v>
      </c>
      <c r="Z1214" t="s">
        <v>569</v>
      </c>
      <c r="AA1214">
        <v>3</v>
      </c>
      <c r="AB1214" t="s">
        <v>4522</v>
      </c>
      <c r="AC1214" t="s">
        <v>4523</v>
      </c>
      <c r="AD1214" t="s">
        <v>4524</v>
      </c>
      <c r="AE1214" t="s">
        <v>4525</v>
      </c>
      <c r="AF1214" t="s">
        <v>4526</v>
      </c>
      <c r="AG1214" t="s">
        <v>3902</v>
      </c>
      <c r="AH1214" t="s">
        <v>3903</v>
      </c>
      <c r="AI1214" t="s">
        <v>3902</v>
      </c>
      <c r="AJ1214" t="s">
        <v>66</v>
      </c>
      <c r="AK1214">
        <v>1</v>
      </c>
      <c r="AL1214" t="s">
        <v>4601</v>
      </c>
      <c r="AM1214" t="s">
        <v>4602</v>
      </c>
      <c r="AN1214" t="s">
        <v>4682</v>
      </c>
      <c r="AO1214" t="s">
        <v>66</v>
      </c>
      <c r="AP1214">
        <v>1</v>
      </c>
      <c r="AQ1214" t="s">
        <v>4765</v>
      </c>
      <c r="AR1214" t="s">
        <v>4684</v>
      </c>
      <c r="AS1214" t="s">
        <v>4766</v>
      </c>
      <c r="AT1214" t="s">
        <v>66</v>
      </c>
    </row>
    <row r="1215" spans="1:46" x14ac:dyDescent="0.15">
      <c r="A1215" t="s">
        <v>4835</v>
      </c>
      <c r="B1215" t="s">
        <v>4513</v>
      </c>
      <c r="C1215" t="s">
        <v>4514</v>
      </c>
      <c r="D1215">
        <v>78</v>
      </c>
      <c r="E1215" t="s">
        <v>4515</v>
      </c>
      <c r="F1215" t="s">
        <v>4516</v>
      </c>
      <c r="G1215" t="s">
        <v>51</v>
      </c>
      <c r="H1215" t="s">
        <v>4517</v>
      </c>
      <c r="I1215" t="s">
        <v>1553</v>
      </c>
      <c r="J1215" t="s">
        <v>4518</v>
      </c>
      <c r="K1215" t="s">
        <v>1555</v>
      </c>
      <c r="L1215" t="s">
        <v>19</v>
      </c>
      <c r="M1215" t="s">
        <v>17</v>
      </c>
      <c r="N1215">
        <v>4821</v>
      </c>
      <c r="O1215">
        <v>274</v>
      </c>
      <c r="P1215">
        <v>0</v>
      </c>
      <c r="Q1215" t="s">
        <v>4836</v>
      </c>
      <c r="R1215" t="s">
        <v>2459</v>
      </c>
      <c r="S1215" t="s">
        <v>4837</v>
      </c>
      <c r="T1215" t="s">
        <v>4838</v>
      </c>
      <c r="U1215" t="s">
        <v>60</v>
      </c>
      <c r="V1215" t="s">
        <v>61</v>
      </c>
      <c r="W1215">
        <v>3</v>
      </c>
      <c r="X1215">
        <v>0.13387499999999999</v>
      </c>
      <c r="Y1215" t="s">
        <v>575</v>
      </c>
      <c r="Z1215" t="s">
        <v>576</v>
      </c>
      <c r="AA1215">
        <v>3</v>
      </c>
      <c r="AB1215" t="s">
        <v>4522</v>
      </c>
      <c r="AC1215" t="s">
        <v>4523</v>
      </c>
      <c r="AD1215" t="s">
        <v>4524</v>
      </c>
      <c r="AE1215" t="s">
        <v>4525</v>
      </c>
      <c r="AF1215" t="s">
        <v>4526</v>
      </c>
      <c r="AG1215" t="s">
        <v>3902</v>
      </c>
      <c r="AH1215" t="s">
        <v>3903</v>
      </c>
      <c r="AI1215" t="s">
        <v>3902</v>
      </c>
      <c r="AJ1215" t="s">
        <v>66</v>
      </c>
      <c r="AK1215">
        <v>1</v>
      </c>
      <c r="AL1215" t="s">
        <v>4601</v>
      </c>
      <c r="AM1215" t="s">
        <v>4602</v>
      </c>
      <c r="AN1215" t="s">
        <v>4682</v>
      </c>
      <c r="AO1215" t="s">
        <v>66</v>
      </c>
      <c r="AP1215">
        <v>1</v>
      </c>
      <c r="AQ1215" t="s">
        <v>4765</v>
      </c>
      <c r="AR1215" t="s">
        <v>4684</v>
      </c>
      <c r="AS1215" t="s">
        <v>4766</v>
      </c>
      <c r="AT1215" t="s">
        <v>66</v>
      </c>
    </row>
    <row r="1216" spans="1:46" x14ac:dyDescent="0.15">
      <c r="A1216" t="s">
        <v>4839</v>
      </c>
      <c r="B1216" t="s">
        <v>4513</v>
      </c>
      <c r="C1216" t="s">
        <v>4514</v>
      </c>
      <c r="D1216">
        <v>79</v>
      </c>
      <c r="E1216" t="s">
        <v>4515</v>
      </c>
      <c r="F1216" t="s">
        <v>4516</v>
      </c>
      <c r="G1216" t="s">
        <v>51</v>
      </c>
      <c r="H1216" t="s">
        <v>4517</v>
      </c>
      <c r="I1216" t="s">
        <v>1553</v>
      </c>
      <c r="J1216" t="s">
        <v>4518</v>
      </c>
      <c r="K1216" t="s">
        <v>1555</v>
      </c>
      <c r="L1216" t="s">
        <v>19</v>
      </c>
      <c r="M1216" t="s">
        <v>17</v>
      </c>
      <c r="N1216">
        <v>4878</v>
      </c>
      <c r="O1216">
        <v>277</v>
      </c>
      <c r="P1216">
        <v>0</v>
      </c>
      <c r="Q1216" t="s">
        <v>4840</v>
      </c>
      <c r="R1216" t="s">
        <v>2464</v>
      </c>
      <c r="S1216" t="s">
        <v>4841</v>
      </c>
      <c r="T1216" t="s">
        <v>4842</v>
      </c>
      <c r="U1216" t="s">
        <v>60</v>
      </c>
      <c r="V1216" t="s">
        <v>61</v>
      </c>
      <c r="W1216">
        <v>3</v>
      </c>
      <c r="X1216">
        <v>0.13387499999999999</v>
      </c>
      <c r="Y1216" t="s">
        <v>321</v>
      </c>
      <c r="Z1216" t="s">
        <v>582</v>
      </c>
      <c r="AA1216">
        <v>3</v>
      </c>
      <c r="AB1216" t="s">
        <v>4522</v>
      </c>
      <c r="AC1216" t="s">
        <v>4523</v>
      </c>
      <c r="AD1216" t="s">
        <v>4524</v>
      </c>
      <c r="AE1216" t="s">
        <v>4525</v>
      </c>
      <c r="AF1216" t="s">
        <v>4526</v>
      </c>
      <c r="AG1216" t="s">
        <v>3902</v>
      </c>
      <c r="AH1216" t="s">
        <v>3903</v>
      </c>
      <c r="AI1216" t="s">
        <v>3902</v>
      </c>
      <c r="AJ1216" t="s">
        <v>66</v>
      </c>
      <c r="AK1216">
        <v>1</v>
      </c>
      <c r="AL1216" t="s">
        <v>4601</v>
      </c>
      <c r="AM1216" t="s">
        <v>4602</v>
      </c>
      <c r="AN1216" t="s">
        <v>4682</v>
      </c>
      <c r="AO1216" t="s">
        <v>66</v>
      </c>
      <c r="AP1216">
        <v>1</v>
      </c>
      <c r="AQ1216" t="s">
        <v>4765</v>
      </c>
      <c r="AR1216" t="s">
        <v>4684</v>
      </c>
      <c r="AS1216" t="s">
        <v>4766</v>
      </c>
      <c r="AT1216" t="s">
        <v>66</v>
      </c>
    </row>
    <row r="1217" spans="1:46" x14ac:dyDescent="0.15">
      <c r="A1217" t="s">
        <v>4843</v>
      </c>
      <c r="B1217" t="s">
        <v>4513</v>
      </c>
      <c r="C1217" t="s">
        <v>4514</v>
      </c>
      <c r="D1217">
        <v>80</v>
      </c>
      <c r="E1217" t="s">
        <v>4515</v>
      </c>
      <c r="F1217" t="s">
        <v>4516</v>
      </c>
      <c r="G1217" t="s">
        <v>51</v>
      </c>
      <c r="H1217" t="s">
        <v>4517</v>
      </c>
      <c r="I1217" t="s">
        <v>1553</v>
      </c>
      <c r="J1217" t="s">
        <v>4518</v>
      </c>
      <c r="K1217" t="s">
        <v>1555</v>
      </c>
      <c r="L1217" t="s">
        <v>19</v>
      </c>
      <c r="M1217" t="s">
        <v>17</v>
      </c>
      <c r="N1217">
        <v>4934</v>
      </c>
      <c r="O1217">
        <v>280</v>
      </c>
      <c r="P1217">
        <v>0</v>
      </c>
      <c r="Q1217" t="s">
        <v>4844</v>
      </c>
      <c r="R1217" t="s">
        <v>2469</v>
      </c>
      <c r="S1217" t="s">
        <v>4845</v>
      </c>
      <c r="T1217" t="s">
        <v>4846</v>
      </c>
      <c r="U1217" t="s">
        <v>60</v>
      </c>
      <c r="V1217" t="s">
        <v>61</v>
      </c>
      <c r="W1217">
        <v>3</v>
      </c>
      <c r="X1217">
        <v>0.13387499999999999</v>
      </c>
      <c r="Y1217" t="s">
        <v>588</v>
      </c>
      <c r="Z1217" t="s">
        <v>589</v>
      </c>
      <c r="AA1217">
        <v>3</v>
      </c>
      <c r="AB1217" t="s">
        <v>4522</v>
      </c>
      <c r="AC1217" t="s">
        <v>4523</v>
      </c>
      <c r="AD1217" t="s">
        <v>4524</v>
      </c>
      <c r="AE1217" t="s">
        <v>4525</v>
      </c>
      <c r="AF1217" t="s">
        <v>4526</v>
      </c>
      <c r="AG1217" t="s">
        <v>3902</v>
      </c>
      <c r="AH1217" t="s">
        <v>3903</v>
      </c>
      <c r="AI1217" t="s">
        <v>3902</v>
      </c>
      <c r="AJ1217" t="s">
        <v>66</v>
      </c>
      <c r="AK1217">
        <v>1</v>
      </c>
      <c r="AL1217" t="s">
        <v>4601</v>
      </c>
      <c r="AM1217" t="s">
        <v>4602</v>
      </c>
      <c r="AN1217" t="s">
        <v>4682</v>
      </c>
      <c r="AO1217" t="s">
        <v>66</v>
      </c>
      <c r="AP1217">
        <v>1</v>
      </c>
      <c r="AQ1217" t="s">
        <v>4765</v>
      </c>
      <c r="AR1217" t="s">
        <v>4684</v>
      </c>
      <c r="AS1217" t="s">
        <v>4766</v>
      </c>
      <c r="AT1217" t="s">
        <v>66</v>
      </c>
    </row>
    <row r="1218" spans="1:46" x14ac:dyDescent="0.15">
      <c r="A1218" t="s">
        <v>4843</v>
      </c>
      <c r="B1218" t="s">
        <v>4513</v>
      </c>
      <c r="C1218" t="s">
        <v>4514</v>
      </c>
      <c r="D1218">
        <v>80</v>
      </c>
      <c r="E1218" t="s">
        <v>4515</v>
      </c>
      <c r="F1218" t="s">
        <v>4516</v>
      </c>
      <c r="G1218" t="s">
        <v>51</v>
      </c>
      <c r="H1218" t="s">
        <v>4517</v>
      </c>
      <c r="I1218" t="s">
        <v>1553</v>
      </c>
      <c r="J1218" t="s">
        <v>4518</v>
      </c>
      <c r="K1218" t="s">
        <v>1555</v>
      </c>
      <c r="L1218" t="s">
        <v>19</v>
      </c>
      <c r="M1218" t="s">
        <v>17</v>
      </c>
      <c r="N1218">
        <v>4934</v>
      </c>
      <c r="O1218">
        <v>280</v>
      </c>
      <c r="P1218">
        <v>0</v>
      </c>
      <c r="Q1218" t="s">
        <v>4844</v>
      </c>
      <c r="R1218" t="s">
        <v>2469</v>
      </c>
      <c r="S1218" t="s">
        <v>4845</v>
      </c>
      <c r="T1218" t="s">
        <v>4846</v>
      </c>
      <c r="U1218" t="s">
        <v>60</v>
      </c>
      <c r="V1218" t="s">
        <v>61</v>
      </c>
      <c r="W1218">
        <v>3</v>
      </c>
      <c r="X1218">
        <v>0.13387499999999999</v>
      </c>
      <c r="Y1218" t="s">
        <v>588</v>
      </c>
      <c r="Z1218" t="s">
        <v>589</v>
      </c>
      <c r="AA1218">
        <v>4</v>
      </c>
      <c r="AB1218" t="s">
        <v>4522</v>
      </c>
      <c r="AC1218" t="s">
        <v>4523</v>
      </c>
      <c r="AD1218" t="s">
        <v>4524</v>
      </c>
      <c r="AE1218" t="s">
        <v>4525</v>
      </c>
      <c r="AF1218" t="s">
        <v>4526</v>
      </c>
      <c r="AG1218" t="s">
        <v>3902</v>
      </c>
      <c r="AH1218" t="s">
        <v>3903</v>
      </c>
      <c r="AI1218" t="s">
        <v>3902</v>
      </c>
      <c r="AJ1218" t="s">
        <v>4006</v>
      </c>
      <c r="AK1218">
        <v>1</v>
      </c>
      <c r="AL1218" t="s">
        <v>4601</v>
      </c>
      <c r="AM1218" t="s">
        <v>4602</v>
      </c>
      <c r="AN1218" t="s">
        <v>4682</v>
      </c>
      <c r="AO1218" t="s">
        <v>66</v>
      </c>
      <c r="AP1218">
        <v>1</v>
      </c>
      <c r="AQ1218" t="s">
        <v>4765</v>
      </c>
      <c r="AR1218" t="s">
        <v>4684</v>
      </c>
      <c r="AS1218" t="s">
        <v>4766</v>
      </c>
      <c r="AT1218" t="s">
        <v>66</v>
      </c>
    </row>
    <row r="1219" spans="1:46" x14ac:dyDescent="0.15">
      <c r="A1219" t="s">
        <v>4847</v>
      </c>
      <c r="B1219" t="s">
        <v>4513</v>
      </c>
      <c r="C1219" t="s">
        <v>4514</v>
      </c>
      <c r="D1219">
        <v>81</v>
      </c>
      <c r="E1219" t="s">
        <v>4515</v>
      </c>
      <c r="F1219" t="s">
        <v>4516</v>
      </c>
      <c r="G1219" t="s">
        <v>51</v>
      </c>
      <c r="H1219" t="s">
        <v>4517</v>
      </c>
      <c r="I1219" t="s">
        <v>1553</v>
      </c>
      <c r="J1219" t="s">
        <v>4518</v>
      </c>
      <c r="K1219" t="s">
        <v>1555</v>
      </c>
      <c r="L1219" t="s">
        <v>19</v>
      </c>
      <c r="M1219" t="s">
        <v>17</v>
      </c>
      <c r="N1219">
        <v>4990</v>
      </c>
      <c r="O1219">
        <v>283</v>
      </c>
      <c r="P1219">
        <v>0</v>
      </c>
      <c r="Q1219" t="s">
        <v>4848</v>
      </c>
      <c r="R1219" t="s">
        <v>2474</v>
      </c>
      <c r="S1219" t="s">
        <v>4849</v>
      </c>
      <c r="T1219" t="s">
        <v>4850</v>
      </c>
      <c r="U1219" t="s">
        <v>60</v>
      </c>
      <c r="V1219" t="s">
        <v>61</v>
      </c>
      <c r="W1219">
        <v>3</v>
      </c>
      <c r="X1219">
        <v>0.13387499999999999</v>
      </c>
      <c r="Y1219" t="s">
        <v>330</v>
      </c>
      <c r="Z1219" t="s">
        <v>596</v>
      </c>
      <c r="AA1219">
        <v>4</v>
      </c>
      <c r="AB1219" t="s">
        <v>4522</v>
      </c>
      <c r="AC1219" t="s">
        <v>4523</v>
      </c>
      <c r="AD1219" t="s">
        <v>4524</v>
      </c>
      <c r="AE1219" t="s">
        <v>4525</v>
      </c>
      <c r="AF1219" t="s">
        <v>4526</v>
      </c>
      <c r="AG1219" t="s">
        <v>3902</v>
      </c>
      <c r="AH1219" t="s">
        <v>3903</v>
      </c>
      <c r="AI1219" t="s">
        <v>3902</v>
      </c>
      <c r="AJ1219" t="s">
        <v>4006</v>
      </c>
      <c r="AK1219">
        <v>1</v>
      </c>
      <c r="AL1219" t="s">
        <v>4601</v>
      </c>
      <c r="AM1219" t="s">
        <v>4602</v>
      </c>
      <c r="AN1219" t="s">
        <v>4682</v>
      </c>
      <c r="AO1219" t="s">
        <v>66</v>
      </c>
      <c r="AP1219">
        <v>1</v>
      </c>
      <c r="AQ1219" t="s">
        <v>4765</v>
      </c>
      <c r="AR1219" t="s">
        <v>4684</v>
      </c>
      <c r="AS1219" t="s">
        <v>4766</v>
      </c>
      <c r="AT1219" t="s">
        <v>66</v>
      </c>
    </row>
    <row r="1220" spans="1:46" x14ac:dyDescent="0.15">
      <c r="A1220" t="s">
        <v>4851</v>
      </c>
      <c r="B1220" t="s">
        <v>4513</v>
      </c>
      <c r="C1220" t="s">
        <v>4514</v>
      </c>
      <c r="D1220">
        <v>82</v>
      </c>
      <c r="E1220" t="s">
        <v>4515</v>
      </c>
      <c r="F1220" t="s">
        <v>4516</v>
      </c>
      <c r="G1220" t="s">
        <v>51</v>
      </c>
      <c r="H1220" t="s">
        <v>4517</v>
      </c>
      <c r="I1220" t="s">
        <v>1553</v>
      </c>
      <c r="J1220" t="s">
        <v>4518</v>
      </c>
      <c r="K1220" t="s">
        <v>1555</v>
      </c>
      <c r="L1220" t="s">
        <v>19</v>
      </c>
      <c r="M1220" t="s">
        <v>17</v>
      </c>
      <c r="N1220">
        <v>5046</v>
      </c>
      <c r="O1220">
        <v>286</v>
      </c>
      <c r="P1220">
        <v>0</v>
      </c>
      <c r="Q1220" t="s">
        <v>4852</v>
      </c>
      <c r="R1220" t="s">
        <v>2479</v>
      </c>
      <c r="S1220" t="s">
        <v>4853</v>
      </c>
      <c r="T1220" t="s">
        <v>4854</v>
      </c>
      <c r="U1220" t="s">
        <v>60</v>
      </c>
      <c r="V1220" t="s">
        <v>61</v>
      </c>
      <c r="W1220">
        <v>3</v>
      </c>
      <c r="X1220">
        <v>0.13387499999999999</v>
      </c>
      <c r="Y1220" t="s">
        <v>602</v>
      </c>
      <c r="Z1220" t="s">
        <v>603</v>
      </c>
      <c r="AA1220">
        <v>4</v>
      </c>
      <c r="AB1220" t="s">
        <v>4522</v>
      </c>
      <c r="AC1220" t="s">
        <v>4523</v>
      </c>
      <c r="AD1220" t="s">
        <v>4524</v>
      </c>
      <c r="AE1220" t="s">
        <v>4525</v>
      </c>
      <c r="AF1220" t="s">
        <v>4526</v>
      </c>
      <c r="AG1220" t="s">
        <v>3902</v>
      </c>
      <c r="AH1220" t="s">
        <v>3903</v>
      </c>
      <c r="AI1220" t="s">
        <v>3902</v>
      </c>
      <c r="AJ1220" t="s">
        <v>4006</v>
      </c>
      <c r="AK1220">
        <v>1</v>
      </c>
      <c r="AL1220" t="s">
        <v>4601</v>
      </c>
      <c r="AM1220" t="s">
        <v>4602</v>
      </c>
      <c r="AN1220" t="s">
        <v>4682</v>
      </c>
      <c r="AO1220" t="s">
        <v>66</v>
      </c>
      <c r="AP1220">
        <v>1</v>
      </c>
      <c r="AQ1220" t="s">
        <v>4765</v>
      </c>
      <c r="AR1220" t="s">
        <v>4684</v>
      </c>
      <c r="AS1220" t="s">
        <v>4766</v>
      </c>
      <c r="AT1220" t="s">
        <v>66</v>
      </c>
    </row>
    <row r="1221" spans="1:46" x14ac:dyDescent="0.15">
      <c r="A1221" t="s">
        <v>4855</v>
      </c>
      <c r="B1221" t="s">
        <v>4513</v>
      </c>
      <c r="C1221" t="s">
        <v>4514</v>
      </c>
      <c r="D1221">
        <v>83</v>
      </c>
      <c r="E1221" t="s">
        <v>4515</v>
      </c>
      <c r="F1221" t="s">
        <v>4516</v>
      </c>
      <c r="G1221" t="s">
        <v>51</v>
      </c>
      <c r="H1221" t="s">
        <v>4517</v>
      </c>
      <c r="I1221" t="s">
        <v>1553</v>
      </c>
      <c r="J1221" t="s">
        <v>4518</v>
      </c>
      <c r="K1221" t="s">
        <v>1555</v>
      </c>
      <c r="L1221" t="s">
        <v>19</v>
      </c>
      <c r="M1221" t="s">
        <v>17</v>
      </c>
      <c r="N1221">
        <v>5102</v>
      </c>
      <c r="O1221">
        <v>290</v>
      </c>
      <c r="P1221">
        <v>0</v>
      </c>
      <c r="Q1221" t="s">
        <v>4856</v>
      </c>
      <c r="R1221" t="s">
        <v>2484</v>
      </c>
      <c r="S1221" t="s">
        <v>4857</v>
      </c>
      <c r="T1221" t="s">
        <v>4858</v>
      </c>
      <c r="U1221" t="s">
        <v>60</v>
      </c>
      <c r="V1221" t="s">
        <v>61</v>
      </c>
      <c r="W1221">
        <v>3</v>
      </c>
      <c r="X1221">
        <v>0.13387499999999999</v>
      </c>
      <c r="Y1221" t="s">
        <v>337</v>
      </c>
      <c r="Z1221" t="s">
        <v>609</v>
      </c>
      <c r="AA1221">
        <v>4</v>
      </c>
      <c r="AB1221" t="s">
        <v>4522</v>
      </c>
      <c r="AC1221" t="s">
        <v>4523</v>
      </c>
      <c r="AD1221" t="s">
        <v>4524</v>
      </c>
      <c r="AE1221" t="s">
        <v>4525</v>
      </c>
      <c r="AF1221" t="s">
        <v>4526</v>
      </c>
      <c r="AG1221" t="s">
        <v>3902</v>
      </c>
      <c r="AH1221" t="s">
        <v>3903</v>
      </c>
      <c r="AI1221" t="s">
        <v>3902</v>
      </c>
      <c r="AJ1221" t="s">
        <v>4006</v>
      </c>
      <c r="AK1221">
        <v>1</v>
      </c>
      <c r="AL1221" t="s">
        <v>4601</v>
      </c>
      <c r="AM1221" t="s">
        <v>4602</v>
      </c>
      <c r="AN1221" t="s">
        <v>4682</v>
      </c>
      <c r="AO1221" t="s">
        <v>66</v>
      </c>
      <c r="AP1221">
        <v>1</v>
      </c>
      <c r="AQ1221" t="s">
        <v>4765</v>
      </c>
      <c r="AR1221" t="s">
        <v>4684</v>
      </c>
      <c r="AS1221" t="s">
        <v>4766</v>
      </c>
      <c r="AT1221" t="s">
        <v>66</v>
      </c>
    </row>
    <row r="1222" spans="1:46" x14ac:dyDescent="0.15">
      <c r="A1222" t="s">
        <v>4859</v>
      </c>
      <c r="B1222" t="s">
        <v>4513</v>
      </c>
      <c r="C1222" t="s">
        <v>4514</v>
      </c>
      <c r="D1222">
        <v>84</v>
      </c>
      <c r="E1222" t="s">
        <v>4515</v>
      </c>
      <c r="F1222" t="s">
        <v>4516</v>
      </c>
      <c r="G1222" t="s">
        <v>51</v>
      </c>
      <c r="H1222" t="s">
        <v>4517</v>
      </c>
      <c r="I1222" t="s">
        <v>1553</v>
      </c>
      <c r="J1222" t="s">
        <v>4518</v>
      </c>
      <c r="K1222" t="s">
        <v>1555</v>
      </c>
      <c r="L1222" t="s">
        <v>19</v>
      </c>
      <c r="M1222" t="s">
        <v>17</v>
      </c>
      <c r="N1222">
        <v>5158</v>
      </c>
      <c r="O1222">
        <v>293</v>
      </c>
      <c r="P1222">
        <v>0</v>
      </c>
      <c r="Q1222" t="s">
        <v>4860</v>
      </c>
      <c r="R1222" t="s">
        <v>2489</v>
      </c>
      <c r="S1222" t="s">
        <v>4861</v>
      </c>
      <c r="T1222" t="s">
        <v>4862</v>
      </c>
      <c r="U1222" t="s">
        <v>60</v>
      </c>
      <c r="V1222" t="s">
        <v>61</v>
      </c>
      <c r="W1222">
        <v>3</v>
      </c>
      <c r="X1222">
        <v>0.13387499999999999</v>
      </c>
      <c r="Y1222" t="s">
        <v>615</v>
      </c>
      <c r="Z1222" t="s">
        <v>616</v>
      </c>
      <c r="AA1222">
        <v>4</v>
      </c>
      <c r="AB1222" t="s">
        <v>4522</v>
      </c>
      <c r="AC1222" t="s">
        <v>4523</v>
      </c>
      <c r="AD1222" t="s">
        <v>4524</v>
      </c>
      <c r="AE1222" t="s">
        <v>4525</v>
      </c>
      <c r="AF1222" t="s">
        <v>4526</v>
      </c>
      <c r="AG1222" t="s">
        <v>3902</v>
      </c>
      <c r="AH1222" t="s">
        <v>3903</v>
      </c>
      <c r="AI1222" t="s">
        <v>3902</v>
      </c>
      <c r="AJ1222" t="s">
        <v>4006</v>
      </c>
      <c r="AK1222">
        <v>1</v>
      </c>
      <c r="AL1222" t="s">
        <v>4601</v>
      </c>
      <c r="AM1222" t="s">
        <v>4602</v>
      </c>
      <c r="AN1222" t="s">
        <v>4682</v>
      </c>
      <c r="AO1222" t="s">
        <v>66</v>
      </c>
      <c r="AP1222">
        <v>1</v>
      </c>
      <c r="AQ1222" t="s">
        <v>4765</v>
      </c>
      <c r="AR1222" t="s">
        <v>4684</v>
      </c>
      <c r="AS1222" t="s">
        <v>4766</v>
      </c>
      <c r="AT1222" t="s">
        <v>66</v>
      </c>
    </row>
    <row r="1223" spans="1:46" x14ac:dyDescent="0.15">
      <c r="A1223" t="s">
        <v>4863</v>
      </c>
      <c r="B1223" t="s">
        <v>4513</v>
      </c>
      <c r="C1223" t="s">
        <v>4514</v>
      </c>
      <c r="D1223">
        <v>85</v>
      </c>
      <c r="E1223" t="s">
        <v>4515</v>
      </c>
      <c r="F1223" t="s">
        <v>4516</v>
      </c>
      <c r="G1223" t="s">
        <v>51</v>
      </c>
      <c r="H1223" t="s">
        <v>4517</v>
      </c>
      <c r="I1223" t="s">
        <v>1553</v>
      </c>
      <c r="J1223" t="s">
        <v>4518</v>
      </c>
      <c r="K1223" t="s">
        <v>1555</v>
      </c>
      <c r="L1223" t="s">
        <v>19</v>
      </c>
      <c r="M1223" t="s">
        <v>17</v>
      </c>
      <c r="N1223">
        <v>5214</v>
      </c>
      <c r="O1223">
        <v>296</v>
      </c>
      <c r="P1223">
        <v>0</v>
      </c>
      <c r="Q1223" t="s">
        <v>4864</v>
      </c>
      <c r="R1223" t="s">
        <v>2494</v>
      </c>
      <c r="S1223" t="s">
        <v>4865</v>
      </c>
      <c r="T1223" t="s">
        <v>4866</v>
      </c>
      <c r="U1223" t="s">
        <v>60</v>
      </c>
      <c r="V1223" t="s">
        <v>61</v>
      </c>
      <c r="W1223">
        <v>3</v>
      </c>
      <c r="X1223">
        <v>0.13387499999999999</v>
      </c>
      <c r="Y1223" t="s">
        <v>343</v>
      </c>
      <c r="Z1223" t="s">
        <v>622</v>
      </c>
      <c r="AA1223">
        <v>4</v>
      </c>
      <c r="AB1223" t="s">
        <v>4522</v>
      </c>
      <c r="AC1223" t="s">
        <v>4523</v>
      </c>
      <c r="AD1223" t="s">
        <v>4524</v>
      </c>
      <c r="AE1223" t="s">
        <v>4525</v>
      </c>
      <c r="AF1223" t="s">
        <v>4526</v>
      </c>
      <c r="AG1223" t="s">
        <v>3902</v>
      </c>
      <c r="AH1223" t="s">
        <v>3903</v>
      </c>
      <c r="AI1223" t="s">
        <v>3902</v>
      </c>
      <c r="AJ1223" t="s">
        <v>4006</v>
      </c>
      <c r="AK1223">
        <v>1</v>
      </c>
      <c r="AL1223" t="s">
        <v>4601</v>
      </c>
      <c r="AM1223" t="s">
        <v>4602</v>
      </c>
      <c r="AN1223" t="s">
        <v>4682</v>
      </c>
      <c r="AO1223" t="s">
        <v>66</v>
      </c>
      <c r="AP1223">
        <v>1</v>
      </c>
      <c r="AQ1223" t="s">
        <v>4765</v>
      </c>
      <c r="AR1223" t="s">
        <v>4684</v>
      </c>
      <c r="AS1223" t="s">
        <v>4766</v>
      </c>
      <c r="AT1223" t="s">
        <v>66</v>
      </c>
    </row>
    <row r="1224" spans="1:46" x14ac:dyDescent="0.15">
      <c r="A1224" t="s">
        <v>4867</v>
      </c>
      <c r="B1224" t="s">
        <v>4513</v>
      </c>
      <c r="C1224" t="s">
        <v>4514</v>
      </c>
      <c r="D1224">
        <v>86</v>
      </c>
      <c r="E1224" t="s">
        <v>4515</v>
      </c>
      <c r="F1224" t="s">
        <v>4516</v>
      </c>
      <c r="G1224" t="s">
        <v>51</v>
      </c>
      <c r="H1224" t="s">
        <v>4517</v>
      </c>
      <c r="I1224" t="s">
        <v>1553</v>
      </c>
      <c r="J1224" t="s">
        <v>4518</v>
      </c>
      <c r="K1224" t="s">
        <v>1555</v>
      </c>
      <c r="L1224" t="s">
        <v>19</v>
      </c>
      <c r="M1224" t="s">
        <v>17</v>
      </c>
      <c r="N1224">
        <v>5270</v>
      </c>
      <c r="O1224">
        <v>299</v>
      </c>
      <c r="P1224">
        <v>0</v>
      </c>
      <c r="Q1224" t="s">
        <v>4868</v>
      </c>
      <c r="R1224" t="s">
        <v>2499</v>
      </c>
      <c r="S1224" t="s">
        <v>4869</v>
      </c>
      <c r="T1224" t="s">
        <v>3531</v>
      </c>
      <c r="U1224" t="s">
        <v>60</v>
      </c>
      <c r="V1224" t="s">
        <v>61</v>
      </c>
      <c r="W1224">
        <v>3</v>
      </c>
      <c r="X1224">
        <v>0.13387499999999999</v>
      </c>
      <c r="Y1224" t="s">
        <v>628</v>
      </c>
      <c r="Z1224" t="s">
        <v>629</v>
      </c>
      <c r="AA1224">
        <v>4</v>
      </c>
      <c r="AB1224" t="s">
        <v>4522</v>
      </c>
      <c r="AC1224" t="s">
        <v>4523</v>
      </c>
      <c r="AD1224" t="s">
        <v>4524</v>
      </c>
      <c r="AE1224" t="s">
        <v>4525</v>
      </c>
      <c r="AF1224" t="s">
        <v>4526</v>
      </c>
      <c r="AG1224" t="s">
        <v>3902</v>
      </c>
      <c r="AH1224" t="s">
        <v>3903</v>
      </c>
      <c r="AI1224" t="s">
        <v>3902</v>
      </c>
      <c r="AJ1224" t="s">
        <v>4006</v>
      </c>
      <c r="AK1224">
        <v>1</v>
      </c>
      <c r="AL1224" t="s">
        <v>4601</v>
      </c>
      <c r="AM1224" t="s">
        <v>4602</v>
      </c>
      <c r="AN1224" t="s">
        <v>4682</v>
      </c>
      <c r="AO1224" t="s">
        <v>66</v>
      </c>
      <c r="AP1224">
        <v>1</v>
      </c>
      <c r="AQ1224" t="s">
        <v>4765</v>
      </c>
      <c r="AR1224" t="s">
        <v>4684</v>
      </c>
      <c r="AS1224" t="s">
        <v>4766</v>
      </c>
      <c r="AT1224" t="s">
        <v>66</v>
      </c>
    </row>
    <row r="1225" spans="1:46" x14ac:dyDescent="0.15">
      <c r="A1225" t="s">
        <v>4870</v>
      </c>
      <c r="B1225" t="s">
        <v>4513</v>
      </c>
      <c r="C1225" t="s">
        <v>4514</v>
      </c>
      <c r="D1225">
        <v>87</v>
      </c>
      <c r="E1225" t="s">
        <v>4515</v>
      </c>
      <c r="F1225" t="s">
        <v>4516</v>
      </c>
      <c r="G1225" t="s">
        <v>51</v>
      </c>
      <c r="H1225" t="s">
        <v>4517</v>
      </c>
      <c r="I1225" t="s">
        <v>1553</v>
      </c>
      <c r="J1225" t="s">
        <v>4518</v>
      </c>
      <c r="K1225" t="s">
        <v>1555</v>
      </c>
      <c r="L1225" t="s">
        <v>19</v>
      </c>
      <c r="M1225" t="s">
        <v>17</v>
      </c>
      <c r="N1225">
        <v>5327</v>
      </c>
      <c r="O1225">
        <v>302</v>
      </c>
      <c r="P1225">
        <v>0</v>
      </c>
      <c r="Q1225" t="s">
        <v>4871</v>
      </c>
      <c r="R1225" t="s">
        <v>2504</v>
      </c>
      <c r="S1225" t="s">
        <v>4872</v>
      </c>
      <c r="T1225" t="s">
        <v>4873</v>
      </c>
      <c r="U1225" t="s">
        <v>60</v>
      </c>
      <c r="V1225" t="s">
        <v>61</v>
      </c>
      <c r="W1225">
        <v>3</v>
      </c>
      <c r="X1225">
        <v>0.13387499999999999</v>
      </c>
      <c r="Y1225" t="s">
        <v>350</v>
      </c>
      <c r="Z1225" t="s">
        <v>635</v>
      </c>
      <c r="AA1225">
        <v>4</v>
      </c>
      <c r="AB1225" t="s">
        <v>4522</v>
      </c>
      <c r="AC1225" t="s">
        <v>4523</v>
      </c>
      <c r="AD1225" t="s">
        <v>4524</v>
      </c>
      <c r="AE1225" t="s">
        <v>4525</v>
      </c>
      <c r="AF1225" t="s">
        <v>4526</v>
      </c>
      <c r="AG1225" t="s">
        <v>3902</v>
      </c>
      <c r="AH1225" t="s">
        <v>3903</v>
      </c>
      <c r="AI1225" t="s">
        <v>3902</v>
      </c>
      <c r="AJ1225" t="s">
        <v>4006</v>
      </c>
      <c r="AK1225">
        <v>1</v>
      </c>
      <c r="AL1225" t="s">
        <v>4601</v>
      </c>
      <c r="AM1225" t="s">
        <v>4602</v>
      </c>
      <c r="AN1225" t="s">
        <v>4682</v>
      </c>
      <c r="AO1225" t="s">
        <v>66</v>
      </c>
      <c r="AP1225">
        <v>1</v>
      </c>
      <c r="AQ1225" t="s">
        <v>4765</v>
      </c>
      <c r="AR1225" t="s">
        <v>4684</v>
      </c>
      <c r="AS1225" t="s">
        <v>4766</v>
      </c>
      <c r="AT1225" t="s">
        <v>66</v>
      </c>
    </row>
    <row r="1226" spans="1:46" x14ac:dyDescent="0.15">
      <c r="A1226" t="s">
        <v>4874</v>
      </c>
      <c r="B1226" t="s">
        <v>4513</v>
      </c>
      <c r="C1226" t="s">
        <v>4514</v>
      </c>
      <c r="D1226">
        <v>88</v>
      </c>
      <c r="E1226" t="s">
        <v>4515</v>
      </c>
      <c r="F1226" t="s">
        <v>4516</v>
      </c>
      <c r="G1226" t="s">
        <v>51</v>
      </c>
      <c r="H1226" t="s">
        <v>4517</v>
      </c>
      <c r="I1226" t="s">
        <v>1553</v>
      </c>
      <c r="J1226" t="s">
        <v>4518</v>
      </c>
      <c r="K1226" t="s">
        <v>1555</v>
      </c>
      <c r="L1226" t="s">
        <v>19</v>
      </c>
      <c r="M1226" t="s">
        <v>17</v>
      </c>
      <c r="N1226">
        <v>5383</v>
      </c>
      <c r="O1226">
        <v>305</v>
      </c>
      <c r="P1226">
        <v>0</v>
      </c>
      <c r="Q1226" t="s">
        <v>4875</v>
      </c>
      <c r="R1226" t="s">
        <v>2509</v>
      </c>
      <c r="S1226" t="s">
        <v>4876</v>
      </c>
      <c r="T1226" t="s">
        <v>4877</v>
      </c>
      <c r="U1226" t="s">
        <v>60</v>
      </c>
      <c r="V1226" t="s">
        <v>61</v>
      </c>
      <c r="W1226">
        <v>3</v>
      </c>
      <c r="X1226">
        <v>0.13387499999999999</v>
      </c>
      <c r="Y1226" t="s">
        <v>641</v>
      </c>
      <c r="Z1226" t="s">
        <v>642</v>
      </c>
      <c r="AA1226">
        <v>4</v>
      </c>
      <c r="AB1226" t="s">
        <v>4522</v>
      </c>
      <c r="AC1226" t="s">
        <v>4523</v>
      </c>
      <c r="AD1226" t="s">
        <v>4524</v>
      </c>
      <c r="AE1226" t="s">
        <v>4525</v>
      </c>
      <c r="AF1226" t="s">
        <v>4526</v>
      </c>
      <c r="AG1226" t="s">
        <v>3902</v>
      </c>
      <c r="AH1226" t="s">
        <v>3903</v>
      </c>
      <c r="AI1226" t="s">
        <v>3902</v>
      </c>
      <c r="AJ1226" t="s">
        <v>4006</v>
      </c>
      <c r="AK1226">
        <v>1</v>
      </c>
      <c r="AL1226" t="s">
        <v>4601</v>
      </c>
      <c r="AM1226" t="s">
        <v>4602</v>
      </c>
      <c r="AN1226" t="s">
        <v>4682</v>
      </c>
      <c r="AO1226" t="s">
        <v>66</v>
      </c>
      <c r="AP1226">
        <v>1</v>
      </c>
      <c r="AQ1226" t="s">
        <v>4765</v>
      </c>
      <c r="AR1226" t="s">
        <v>4684</v>
      </c>
      <c r="AS1226" t="s">
        <v>4766</v>
      </c>
      <c r="AT1226" t="s">
        <v>66</v>
      </c>
    </row>
    <row r="1227" spans="1:46" x14ac:dyDescent="0.15">
      <c r="A1227" t="s">
        <v>4878</v>
      </c>
      <c r="B1227" t="s">
        <v>4513</v>
      </c>
      <c r="C1227" t="s">
        <v>4514</v>
      </c>
      <c r="D1227">
        <v>89</v>
      </c>
      <c r="E1227" t="s">
        <v>4515</v>
      </c>
      <c r="F1227" t="s">
        <v>4516</v>
      </c>
      <c r="G1227" t="s">
        <v>51</v>
      </c>
      <c r="H1227" t="s">
        <v>4517</v>
      </c>
      <c r="I1227" t="s">
        <v>1553</v>
      </c>
      <c r="J1227" t="s">
        <v>4518</v>
      </c>
      <c r="K1227" t="s">
        <v>1555</v>
      </c>
      <c r="L1227" t="s">
        <v>19</v>
      </c>
      <c r="M1227" t="s">
        <v>17</v>
      </c>
      <c r="N1227">
        <v>5439</v>
      </c>
      <c r="O1227">
        <v>309</v>
      </c>
      <c r="P1227">
        <v>0</v>
      </c>
      <c r="Q1227" t="s">
        <v>4879</v>
      </c>
      <c r="R1227" t="s">
        <v>2514</v>
      </c>
      <c r="S1227" t="s">
        <v>4880</v>
      </c>
      <c r="T1227" t="s">
        <v>4881</v>
      </c>
      <c r="U1227" t="s">
        <v>60</v>
      </c>
      <c r="V1227" t="s">
        <v>61</v>
      </c>
      <c r="W1227">
        <v>3</v>
      </c>
      <c r="X1227">
        <v>0.13387499999999999</v>
      </c>
      <c r="Y1227" t="s">
        <v>356</v>
      </c>
      <c r="Z1227" t="s">
        <v>648</v>
      </c>
      <c r="AA1227">
        <v>4</v>
      </c>
      <c r="AB1227" t="s">
        <v>4522</v>
      </c>
      <c r="AC1227" t="s">
        <v>4523</v>
      </c>
      <c r="AD1227" t="s">
        <v>4524</v>
      </c>
      <c r="AE1227" t="s">
        <v>4525</v>
      </c>
      <c r="AF1227" t="s">
        <v>4526</v>
      </c>
      <c r="AG1227" t="s">
        <v>3902</v>
      </c>
      <c r="AH1227" t="s">
        <v>3903</v>
      </c>
      <c r="AI1227" t="s">
        <v>3902</v>
      </c>
      <c r="AJ1227" t="s">
        <v>4006</v>
      </c>
      <c r="AK1227">
        <v>1</v>
      </c>
      <c r="AL1227" t="s">
        <v>4601</v>
      </c>
      <c r="AM1227" t="s">
        <v>4602</v>
      </c>
      <c r="AN1227" t="s">
        <v>4682</v>
      </c>
      <c r="AO1227" t="s">
        <v>66</v>
      </c>
      <c r="AP1227">
        <v>1</v>
      </c>
      <c r="AQ1227" t="s">
        <v>4765</v>
      </c>
      <c r="AR1227" t="s">
        <v>4684</v>
      </c>
      <c r="AS1227" t="s">
        <v>4766</v>
      </c>
      <c r="AT1227" t="s">
        <v>66</v>
      </c>
    </row>
    <row r="1228" spans="1:46" x14ac:dyDescent="0.15">
      <c r="A1228" t="s">
        <v>4882</v>
      </c>
      <c r="B1228" t="s">
        <v>4513</v>
      </c>
      <c r="C1228" t="s">
        <v>4514</v>
      </c>
      <c r="D1228">
        <v>90</v>
      </c>
      <c r="E1228" t="s">
        <v>4515</v>
      </c>
      <c r="F1228" t="s">
        <v>4516</v>
      </c>
      <c r="G1228" t="s">
        <v>51</v>
      </c>
      <c r="H1228" t="s">
        <v>4517</v>
      </c>
      <c r="I1228" t="s">
        <v>1553</v>
      </c>
      <c r="J1228" t="s">
        <v>4518</v>
      </c>
      <c r="K1228" t="s">
        <v>1555</v>
      </c>
      <c r="L1228" t="s">
        <v>19</v>
      </c>
      <c r="M1228" t="s">
        <v>17</v>
      </c>
      <c r="N1228">
        <v>5495</v>
      </c>
      <c r="O1228">
        <v>312</v>
      </c>
      <c r="P1228">
        <v>0</v>
      </c>
      <c r="Q1228" t="s">
        <v>4883</v>
      </c>
      <c r="R1228" t="s">
        <v>2519</v>
      </c>
      <c r="S1228" t="s">
        <v>4884</v>
      </c>
      <c r="T1228" t="s">
        <v>4885</v>
      </c>
      <c r="U1228" t="s">
        <v>60</v>
      </c>
      <c r="V1228" t="s">
        <v>61</v>
      </c>
      <c r="W1228">
        <v>3</v>
      </c>
      <c r="X1228">
        <v>0.13387499999999999</v>
      </c>
      <c r="Y1228" t="s">
        <v>654</v>
      </c>
      <c r="Z1228" t="s">
        <v>655</v>
      </c>
      <c r="AA1228">
        <v>4</v>
      </c>
      <c r="AB1228" t="s">
        <v>4522</v>
      </c>
      <c r="AC1228" t="s">
        <v>4523</v>
      </c>
      <c r="AD1228" t="s">
        <v>4524</v>
      </c>
      <c r="AE1228" t="s">
        <v>4525</v>
      </c>
      <c r="AF1228" t="s">
        <v>4526</v>
      </c>
      <c r="AG1228" t="s">
        <v>3902</v>
      </c>
      <c r="AH1228" t="s">
        <v>3903</v>
      </c>
      <c r="AI1228" t="s">
        <v>3902</v>
      </c>
      <c r="AJ1228" t="s">
        <v>4006</v>
      </c>
      <c r="AK1228">
        <v>1</v>
      </c>
      <c r="AL1228" t="s">
        <v>4601</v>
      </c>
      <c r="AM1228" t="s">
        <v>4602</v>
      </c>
      <c r="AN1228" t="s">
        <v>4682</v>
      </c>
      <c r="AO1228" t="s">
        <v>66</v>
      </c>
      <c r="AP1228">
        <v>1</v>
      </c>
      <c r="AQ1228" t="s">
        <v>4765</v>
      </c>
      <c r="AR1228" t="s">
        <v>4684</v>
      </c>
      <c r="AS1228" t="s">
        <v>4766</v>
      </c>
      <c r="AT1228" t="s">
        <v>66</v>
      </c>
    </row>
    <row r="1229" spans="1:46" x14ac:dyDescent="0.15">
      <c r="A1229" t="s">
        <v>4886</v>
      </c>
      <c r="B1229" t="s">
        <v>4513</v>
      </c>
      <c r="C1229" t="s">
        <v>4514</v>
      </c>
      <c r="D1229">
        <v>91</v>
      </c>
      <c r="E1229" t="s">
        <v>4515</v>
      </c>
      <c r="F1229" t="s">
        <v>4516</v>
      </c>
      <c r="G1229" t="s">
        <v>51</v>
      </c>
      <c r="H1229" t="s">
        <v>4517</v>
      </c>
      <c r="I1229" t="s">
        <v>1553</v>
      </c>
      <c r="J1229" t="s">
        <v>4518</v>
      </c>
      <c r="K1229" t="s">
        <v>1555</v>
      </c>
      <c r="L1229" t="s">
        <v>19</v>
      </c>
      <c r="M1229" t="s">
        <v>17</v>
      </c>
      <c r="N1229">
        <v>5551</v>
      </c>
      <c r="O1229">
        <v>315</v>
      </c>
      <c r="P1229">
        <v>0</v>
      </c>
      <c r="Q1229" t="s">
        <v>4887</v>
      </c>
      <c r="R1229" t="s">
        <v>2524</v>
      </c>
      <c r="S1229" t="s">
        <v>4888</v>
      </c>
      <c r="T1229" t="s">
        <v>4889</v>
      </c>
      <c r="U1229" t="s">
        <v>60</v>
      </c>
      <c r="V1229" t="s">
        <v>61</v>
      </c>
      <c r="W1229">
        <v>3</v>
      </c>
      <c r="X1229">
        <v>0.13387499999999999</v>
      </c>
      <c r="Y1229" t="s">
        <v>363</v>
      </c>
      <c r="Z1229" t="s">
        <v>661</v>
      </c>
      <c r="AA1229">
        <v>4</v>
      </c>
      <c r="AB1229" t="s">
        <v>4522</v>
      </c>
      <c r="AC1229" t="s">
        <v>4523</v>
      </c>
      <c r="AD1229" t="s">
        <v>4524</v>
      </c>
      <c r="AE1229" t="s">
        <v>4525</v>
      </c>
      <c r="AF1229" t="s">
        <v>4526</v>
      </c>
      <c r="AG1229" t="s">
        <v>3902</v>
      </c>
      <c r="AH1229" t="s">
        <v>3903</v>
      </c>
      <c r="AI1229" t="s">
        <v>3902</v>
      </c>
      <c r="AJ1229" t="s">
        <v>4006</v>
      </c>
      <c r="AK1229">
        <v>1</v>
      </c>
      <c r="AL1229" t="s">
        <v>4601</v>
      </c>
      <c r="AM1229" t="s">
        <v>4602</v>
      </c>
      <c r="AN1229" t="s">
        <v>4682</v>
      </c>
      <c r="AO1229" t="s">
        <v>66</v>
      </c>
      <c r="AP1229">
        <v>1</v>
      </c>
      <c r="AQ1229" t="s">
        <v>4765</v>
      </c>
      <c r="AR1229" t="s">
        <v>4684</v>
      </c>
      <c r="AS1229" t="s">
        <v>4766</v>
      </c>
      <c r="AT1229" t="s">
        <v>66</v>
      </c>
    </row>
    <row r="1230" spans="1:46" x14ac:dyDescent="0.15">
      <c r="A1230" t="s">
        <v>4890</v>
      </c>
      <c r="B1230" t="s">
        <v>4513</v>
      </c>
      <c r="C1230" t="s">
        <v>4514</v>
      </c>
      <c r="D1230">
        <v>92</v>
      </c>
      <c r="E1230" t="s">
        <v>4515</v>
      </c>
      <c r="F1230" t="s">
        <v>4516</v>
      </c>
      <c r="G1230" t="s">
        <v>51</v>
      </c>
      <c r="H1230" t="s">
        <v>4517</v>
      </c>
      <c r="I1230" t="s">
        <v>1553</v>
      </c>
      <c r="J1230" t="s">
        <v>4518</v>
      </c>
      <c r="K1230" t="s">
        <v>1555</v>
      </c>
      <c r="L1230" t="s">
        <v>19</v>
      </c>
      <c r="M1230" t="s">
        <v>17</v>
      </c>
      <c r="N1230">
        <v>5607</v>
      </c>
      <c r="O1230">
        <v>318</v>
      </c>
      <c r="P1230">
        <v>0</v>
      </c>
      <c r="Q1230" t="s">
        <v>4891</v>
      </c>
      <c r="R1230" t="s">
        <v>2529</v>
      </c>
      <c r="S1230" t="s">
        <v>4892</v>
      </c>
      <c r="T1230" t="s">
        <v>4893</v>
      </c>
      <c r="U1230" t="s">
        <v>60</v>
      </c>
      <c r="V1230" t="s">
        <v>61</v>
      </c>
      <c r="W1230">
        <v>3</v>
      </c>
      <c r="X1230">
        <v>0.13387499999999999</v>
      </c>
      <c r="Y1230" t="s">
        <v>667</v>
      </c>
      <c r="Z1230" t="s">
        <v>668</v>
      </c>
      <c r="AA1230">
        <v>4</v>
      </c>
      <c r="AB1230" t="s">
        <v>4522</v>
      </c>
      <c r="AC1230" t="s">
        <v>4523</v>
      </c>
      <c r="AD1230" t="s">
        <v>4524</v>
      </c>
      <c r="AE1230" t="s">
        <v>4525</v>
      </c>
      <c r="AF1230" t="s">
        <v>4526</v>
      </c>
      <c r="AG1230" t="s">
        <v>3902</v>
      </c>
      <c r="AH1230" t="s">
        <v>3903</v>
      </c>
      <c r="AI1230" t="s">
        <v>3902</v>
      </c>
      <c r="AJ1230" t="s">
        <v>4006</v>
      </c>
      <c r="AK1230">
        <v>1</v>
      </c>
      <c r="AL1230" t="s">
        <v>4601</v>
      </c>
      <c r="AM1230" t="s">
        <v>4602</v>
      </c>
      <c r="AN1230" t="s">
        <v>4682</v>
      </c>
      <c r="AO1230" t="s">
        <v>66</v>
      </c>
      <c r="AP1230">
        <v>1</v>
      </c>
      <c r="AQ1230" t="s">
        <v>4765</v>
      </c>
      <c r="AR1230" t="s">
        <v>4684</v>
      </c>
      <c r="AS1230" t="s">
        <v>4766</v>
      </c>
      <c r="AT1230" t="s">
        <v>66</v>
      </c>
    </row>
    <row r="1231" spans="1:46" x14ac:dyDescent="0.15">
      <c r="A1231" t="s">
        <v>4894</v>
      </c>
      <c r="B1231" t="s">
        <v>4513</v>
      </c>
      <c r="C1231" t="s">
        <v>4514</v>
      </c>
      <c r="D1231">
        <v>93</v>
      </c>
      <c r="E1231" t="s">
        <v>4515</v>
      </c>
      <c r="F1231" t="s">
        <v>4516</v>
      </c>
      <c r="G1231" t="s">
        <v>51</v>
      </c>
      <c r="H1231" t="s">
        <v>4517</v>
      </c>
      <c r="I1231" t="s">
        <v>1553</v>
      </c>
      <c r="J1231" t="s">
        <v>4518</v>
      </c>
      <c r="K1231" t="s">
        <v>1555</v>
      </c>
      <c r="L1231" t="s">
        <v>19</v>
      </c>
      <c r="M1231" t="s">
        <v>17</v>
      </c>
      <c r="N1231">
        <v>5663</v>
      </c>
      <c r="O1231">
        <v>321</v>
      </c>
      <c r="P1231">
        <v>0</v>
      </c>
      <c r="Q1231" t="s">
        <v>4895</v>
      </c>
      <c r="R1231" t="s">
        <v>2534</v>
      </c>
      <c r="S1231" t="s">
        <v>4896</v>
      </c>
      <c r="T1231" t="s">
        <v>4897</v>
      </c>
      <c r="U1231" t="s">
        <v>60</v>
      </c>
      <c r="V1231" t="s">
        <v>61</v>
      </c>
      <c r="W1231">
        <v>3</v>
      </c>
      <c r="X1231">
        <v>0.13387499999999999</v>
      </c>
      <c r="Y1231" t="s">
        <v>369</v>
      </c>
      <c r="Z1231" t="s">
        <v>674</v>
      </c>
      <c r="AA1231">
        <v>4</v>
      </c>
      <c r="AB1231" t="s">
        <v>4522</v>
      </c>
      <c r="AC1231" t="s">
        <v>4523</v>
      </c>
      <c r="AD1231" t="s">
        <v>4524</v>
      </c>
      <c r="AE1231" t="s">
        <v>4525</v>
      </c>
      <c r="AF1231" t="s">
        <v>4526</v>
      </c>
      <c r="AG1231" t="s">
        <v>3902</v>
      </c>
      <c r="AH1231" t="s">
        <v>3903</v>
      </c>
      <c r="AI1231" t="s">
        <v>3902</v>
      </c>
      <c r="AJ1231" t="s">
        <v>4006</v>
      </c>
      <c r="AK1231">
        <v>1</v>
      </c>
      <c r="AL1231" t="s">
        <v>4601</v>
      </c>
      <c r="AM1231" t="s">
        <v>4602</v>
      </c>
      <c r="AN1231" t="s">
        <v>4682</v>
      </c>
      <c r="AO1231" t="s">
        <v>66</v>
      </c>
      <c r="AP1231">
        <v>1</v>
      </c>
      <c r="AQ1231" t="s">
        <v>4765</v>
      </c>
      <c r="AR1231" t="s">
        <v>4684</v>
      </c>
      <c r="AS1231" t="s">
        <v>4766</v>
      </c>
      <c r="AT1231" t="s">
        <v>66</v>
      </c>
    </row>
    <row r="1232" spans="1:46" x14ac:dyDescent="0.15">
      <c r="A1232" t="s">
        <v>4898</v>
      </c>
      <c r="B1232" t="s">
        <v>4513</v>
      </c>
      <c r="C1232" t="s">
        <v>4514</v>
      </c>
      <c r="D1232">
        <v>94</v>
      </c>
      <c r="E1232" t="s">
        <v>4515</v>
      </c>
      <c r="F1232" t="s">
        <v>4516</v>
      </c>
      <c r="G1232" t="s">
        <v>51</v>
      </c>
      <c r="H1232" t="s">
        <v>4517</v>
      </c>
      <c r="I1232" t="s">
        <v>1553</v>
      </c>
      <c r="J1232" t="s">
        <v>4518</v>
      </c>
      <c r="K1232" t="s">
        <v>1555</v>
      </c>
      <c r="L1232" t="s">
        <v>19</v>
      </c>
      <c r="M1232" t="s">
        <v>17</v>
      </c>
      <c r="N1232">
        <v>5719</v>
      </c>
      <c r="O1232">
        <v>324</v>
      </c>
      <c r="P1232">
        <v>0</v>
      </c>
      <c r="Q1232" t="s">
        <v>4899</v>
      </c>
      <c r="R1232" t="s">
        <v>2539</v>
      </c>
      <c r="S1232" t="s">
        <v>4900</v>
      </c>
      <c r="T1232" t="s">
        <v>4901</v>
      </c>
      <c r="U1232" t="s">
        <v>60</v>
      </c>
      <c r="V1232" t="s">
        <v>61</v>
      </c>
      <c r="W1232">
        <v>3</v>
      </c>
      <c r="X1232">
        <v>0.13387499999999999</v>
      </c>
      <c r="Y1232" t="s">
        <v>680</v>
      </c>
      <c r="Z1232" t="s">
        <v>681</v>
      </c>
      <c r="AA1232">
        <v>4</v>
      </c>
      <c r="AB1232" t="s">
        <v>4522</v>
      </c>
      <c r="AC1232" t="s">
        <v>4523</v>
      </c>
      <c r="AD1232" t="s">
        <v>4524</v>
      </c>
      <c r="AE1232" t="s">
        <v>4525</v>
      </c>
      <c r="AF1232" t="s">
        <v>4526</v>
      </c>
      <c r="AG1232" t="s">
        <v>3902</v>
      </c>
      <c r="AH1232" t="s">
        <v>3903</v>
      </c>
      <c r="AI1232" t="s">
        <v>3902</v>
      </c>
      <c r="AJ1232" t="s">
        <v>4006</v>
      </c>
      <c r="AK1232">
        <v>1</v>
      </c>
      <c r="AL1232" t="s">
        <v>4601</v>
      </c>
      <c r="AM1232" t="s">
        <v>4602</v>
      </c>
      <c r="AN1232" t="s">
        <v>4682</v>
      </c>
      <c r="AO1232" t="s">
        <v>66</v>
      </c>
      <c r="AP1232">
        <v>1</v>
      </c>
      <c r="AQ1232" t="s">
        <v>4765</v>
      </c>
      <c r="AR1232" t="s">
        <v>4684</v>
      </c>
      <c r="AS1232" t="s">
        <v>4766</v>
      </c>
      <c r="AT1232" t="s">
        <v>66</v>
      </c>
    </row>
    <row r="1233" spans="1:46" x14ac:dyDescent="0.15">
      <c r="A1233" t="s">
        <v>4902</v>
      </c>
      <c r="B1233" t="s">
        <v>4513</v>
      </c>
      <c r="C1233" t="s">
        <v>4514</v>
      </c>
      <c r="D1233">
        <v>95</v>
      </c>
      <c r="E1233" t="s">
        <v>4515</v>
      </c>
      <c r="F1233" t="s">
        <v>4516</v>
      </c>
      <c r="G1233" t="s">
        <v>51</v>
      </c>
      <c r="H1233" t="s">
        <v>4517</v>
      </c>
      <c r="I1233" t="s">
        <v>1553</v>
      </c>
      <c r="J1233" t="s">
        <v>4518</v>
      </c>
      <c r="K1233" t="s">
        <v>1555</v>
      </c>
      <c r="L1233" t="s">
        <v>19</v>
      </c>
      <c r="M1233" t="s">
        <v>17</v>
      </c>
      <c r="N1233">
        <v>5776</v>
      </c>
      <c r="O1233">
        <v>328</v>
      </c>
      <c r="P1233">
        <v>0</v>
      </c>
      <c r="Q1233" t="s">
        <v>4903</v>
      </c>
      <c r="R1233" t="s">
        <v>2544</v>
      </c>
      <c r="S1233" t="s">
        <v>4904</v>
      </c>
      <c r="T1233" t="s">
        <v>4905</v>
      </c>
      <c r="U1233" t="s">
        <v>60</v>
      </c>
      <c r="V1233" t="s">
        <v>61</v>
      </c>
      <c r="W1233">
        <v>3</v>
      </c>
      <c r="X1233">
        <v>0.13387499999999999</v>
      </c>
      <c r="Y1233" t="s">
        <v>376</v>
      </c>
      <c r="Z1233" t="s">
        <v>687</v>
      </c>
      <c r="AA1233">
        <v>4</v>
      </c>
      <c r="AB1233" t="s">
        <v>4522</v>
      </c>
      <c r="AC1233" t="s">
        <v>4523</v>
      </c>
      <c r="AD1233" t="s">
        <v>4524</v>
      </c>
      <c r="AE1233" t="s">
        <v>4525</v>
      </c>
      <c r="AF1233" t="s">
        <v>4526</v>
      </c>
      <c r="AG1233" t="s">
        <v>3902</v>
      </c>
      <c r="AH1233" t="s">
        <v>3903</v>
      </c>
      <c r="AI1233" t="s">
        <v>3902</v>
      </c>
      <c r="AJ1233" t="s">
        <v>4006</v>
      </c>
      <c r="AK1233">
        <v>1</v>
      </c>
      <c r="AL1233" t="s">
        <v>4601</v>
      </c>
      <c r="AM1233" t="s">
        <v>4602</v>
      </c>
      <c r="AN1233" t="s">
        <v>4682</v>
      </c>
      <c r="AO1233" t="s">
        <v>66</v>
      </c>
      <c r="AP1233">
        <v>1</v>
      </c>
      <c r="AQ1233" t="s">
        <v>4765</v>
      </c>
      <c r="AR1233" t="s">
        <v>4684</v>
      </c>
      <c r="AS1233" t="s">
        <v>4766</v>
      </c>
      <c r="AT1233" t="s">
        <v>66</v>
      </c>
    </row>
    <row r="1234" spans="1:46" x14ac:dyDescent="0.15">
      <c r="A1234" t="s">
        <v>4906</v>
      </c>
      <c r="B1234" t="s">
        <v>4513</v>
      </c>
      <c r="C1234" t="s">
        <v>4514</v>
      </c>
      <c r="D1234">
        <v>96</v>
      </c>
      <c r="E1234" t="s">
        <v>4515</v>
      </c>
      <c r="F1234" t="s">
        <v>4516</v>
      </c>
      <c r="G1234" t="s">
        <v>51</v>
      </c>
      <c r="H1234" t="s">
        <v>4517</v>
      </c>
      <c r="I1234" t="s">
        <v>1553</v>
      </c>
      <c r="J1234" t="s">
        <v>4518</v>
      </c>
      <c r="K1234" t="s">
        <v>1555</v>
      </c>
      <c r="L1234" t="s">
        <v>19</v>
      </c>
      <c r="M1234" t="s">
        <v>17</v>
      </c>
      <c r="N1234">
        <v>5832</v>
      </c>
      <c r="O1234">
        <v>331</v>
      </c>
      <c r="P1234">
        <v>0</v>
      </c>
      <c r="Q1234" t="s">
        <v>4907</v>
      </c>
      <c r="R1234" t="s">
        <v>2549</v>
      </c>
      <c r="S1234" t="s">
        <v>4908</v>
      </c>
      <c r="T1234" t="s">
        <v>4909</v>
      </c>
      <c r="U1234" t="s">
        <v>60</v>
      </c>
      <c r="V1234" t="s">
        <v>61</v>
      </c>
      <c r="W1234">
        <v>3</v>
      </c>
      <c r="X1234">
        <v>0.13387499999999999</v>
      </c>
      <c r="Y1234" t="s">
        <v>693</v>
      </c>
      <c r="Z1234" t="s">
        <v>694</v>
      </c>
      <c r="AA1234">
        <v>4</v>
      </c>
      <c r="AB1234" t="s">
        <v>4522</v>
      </c>
      <c r="AC1234" t="s">
        <v>4523</v>
      </c>
      <c r="AD1234" t="s">
        <v>4524</v>
      </c>
      <c r="AE1234" t="s">
        <v>4525</v>
      </c>
      <c r="AF1234" t="s">
        <v>4526</v>
      </c>
      <c r="AG1234" t="s">
        <v>3902</v>
      </c>
      <c r="AH1234" t="s">
        <v>3903</v>
      </c>
      <c r="AI1234" t="s">
        <v>3902</v>
      </c>
      <c r="AJ1234" t="s">
        <v>4006</v>
      </c>
      <c r="AK1234">
        <v>1</v>
      </c>
      <c r="AL1234" t="s">
        <v>4601</v>
      </c>
      <c r="AM1234" t="s">
        <v>4602</v>
      </c>
      <c r="AN1234" t="s">
        <v>4682</v>
      </c>
      <c r="AO1234" t="s">
        <v>66</v>
      </c>
      <c r="AP1234">
        <v>1</v>
      </c>
      <c r="AQ1234" t="s">
        <v>4765</v>
      </c>
      <c r="AR1234" t="s">
        <v>4684</v>
      </c>
      <c r="AS1234" t="s">
        <v>4766</v>
      </c>
      <c r="AT1234" t="s">
        <v>66</v>
      </c>
    </row>
    <row r="1235" spans="1:46" x14ac:dyDescent="0.15">
      <c r="A1235" t="s">
        <v>4910</v>
      </c>
      <c r="B1235" t="s">
        <v>4513</v>
      </c>
      <c r="C1235" t="s">
        <v>4514</v>
      </c>
      <c r="D1235">
        <v>97</v>
      </c>
      <c r="E1235" t="s">
        <v>4515</v>
      </c>
      <c r="F1235" t="s">
        <v>4516</v>
      </c>
      <c r="G1235" t="s">
        <v>51</v>
      </c>
      <c r="H1235" t="s">
        <v>4517</v>
      </c>
      <c r="I1235" t="s">
        <v>1553</v>
      </c>
      <c r="J1235" t="s">
        <v>4518</v>
      </c>
      <c r="K1235" t="s">
        <v>1555</v>
      </c>
      <c r="L1235" t="s">
        <v>19</v>
      </c>
      <c r="M1235" t="s">
        <v>17</v>
      </c>
      <c r="N1235">
        <v>5888</v>
      </c>
      <c r="O1235">
        <v>334</v>
      </c>
      <c r="P1235">
        <v>0</v>
      </c>
      <c r="Q1235" t="s">
        <v>4911</v>
      </c>
      <c r="R1235" t="s">
        <v>2554</v>
      </c>
      <c r="S1235" t="s">
        <v>4912</v>
      </c>
      <c r="T1235" t="s">
        <v>4913</v>
      </c>
      <c r="U1235" t="s">
        <v>60</v>
      </c>
      <c r="V1235" t="s">
        <v>61</v>
      </c>
      <c r="W1235">
        <v>3</v>
      </c>
      <c r="X1235">
        <v>0.13387499999999999</v>
      </c>
      <c r="Y1235" t="s">
        <v>382</v>
      </c>
      <c r="Z1235" t="s">
        <v>700</v>
      </c>
      <c r="AA1235">
        <v>4</v>
      </c>
      <c r="AB1235" t="s">
        <v>4522</v>
      </c>
      <c r="AC1235" t="s">
        <v>4523</v>
      </c>
      <c r="AD1235" t="s">
        <v>4524</v>
      </c>
      <c r="AE1235" t="s">
        <v>4525</v>
      </c>
      <c r="AF1235" t="s">
        <v>4526</v>
      </c>
      <c r="AG1235" t="s">
        <v>3902</v>
      </c>
      <c r="AH1235" t="s">
        <v>3903</v>
      </c>
      <c r="AI1235" t="s">
        <v>3902</v>
      </c>
      <c r="AJ1235" t="s">
        <v>4006</v>
      </c>
      <c r="AK1235">
        <v>1</v>
      </c>
      <c r="AL1235" t="s">
        <v>4601</v>
      </c>
      <c r="AM1235" t="s">
        <v>4602</v>
      </c>
      <c r="AN1235" t="s">
        <v>4682</v>
      </c>
      <c r="AO1235" t="s">
        <v>66</v>
      </c>
      <c r="AP1235">
        <v>1</v>
      </c>
      <c r="AQ1235" t="s">
        <v>4765</v>
      </c>
      <c r="AR1235" t="s">
        <v>4684</v>
      </c>
      <c r="AS1235" t="s">
        <v>4766</v>
      </c>
      <c r="AT1235" t="s">
        <v>66</v>
      </c>
    </row>
    <row r="1236" spans="1:46" x14ac:dyDescent="0.15">
      <c r="A1236" t="s">
        <v>4914</v>
      </c>
      <c r="B1236" t="s">
        <v>4513</v>
      </c>
      <c r="C1236" t="s">
        <v>4514</v>
      </c>
      <c r="D1236">
        <v>98</v>
      </c>
      <c r="E1236" t="s">
        <v>4515</v>
      </c>
      <c r="F1236" t="s">
        <v>4516</v>
      </c>
      <c r="G1236" t="s">
        <v>51</v>
      </c>
      <c r="H1236" t="s">
        <v>4517</v>
      </c>
      <c r="I1236" t="s">
        <v>1553</v>
      </c>
      <c r="J1236" t="s">
        <v>4518</v>
      </c>
      <c r="K1236" t="s">
        <v>1555</v>
      </c>
      <c r="L1236" t="s">
        <v>19</v>
      </c>
      <c r="M1236" t="s">
        <v>17</v>
      </c>
      <c r="N1236">
        <v>5944</v>
      </c>
      <c r="O1236">
        <v>337</v>
      </c>
      <c r="P1236">
        <v>0</v>
      </c>
      <c r="Q1236" t="s">
        <v>4915</v>
      </c>
      <c r="R1236" t="s">
        <v>2559</v>
      </c>
      <c r="S1236" t="s">
        <v>4916</v>
      </c>
      <c r="T1236" t="s">
        <v>4917</v>
      </c>
      <c r="U1236" t="s">
        <v>60</v>
      </c>
      <c r="V1236" t="s">
        <v>61</v>
      </c>
      <c r="W1236">
        <v>3</v>
      </c>
      <c r="X1236">
        <v>0.13387499999999999</v>
      </c>
      <c r="Y1236" t="s">
        <v>706</v>
      </c>
      <c r="Z1236" t="s">
        <v>707</v>
      </c>
      <c r="AA1236">
        <v>4</v>
      </c>
      <c r="AB1236" t="s">
        <v>4522</v>
      </c>
      <c r="AC1236" t="s">
        <v>4523</v>
      </c>
      <c r="AD1236" t="s">
        <v>4524</v>
      </c>
      <c r="AE1236" t="s">
        <v>4525</v>
      </c>
      <c r="AF1236" t="s">
        <v>4526</v>
      </c>
      <c r="AG1236" t="s">
        <v>3902</v>
      </c>
      <c r="AH1236" t="s">
        <v>3903</v>
      </c>
      <c r="AI1236" t="s">
        <v>3902</v>
      </c>
      <c r="AJ1236" t="s">
        <v>4006</v>
      </c>
      <c r="AK1236">
        <v>1</v>
      </c>
      <c r="AL1236" t="s">
        <v>4601</v>
      </c>
      <c r="AM1236" t="s">
        <v>4602</v>
      </c>
      <c r="AN1236" t="s">
        <v>4682</v>
      </c>
      <c r="AO1236" t="s">
        <v>66</v>
      </c>
      <c r="AP1236">
        <v>1</v>
      </c>
      <c r="AQ1236" t="s">
        <v>4765</v>
      </c>
      <c r="AR1236" t="s">
        <v>4684</v>
      </c>
      <c r="AS1236" t="s">
        <v>4766</v>
      </c>
      <c r="AT1236" t="s">
        <v>66</v>
      </c>
    </row>
    <row r="1237" spans="1:46" x14ac:dyDescent="0.15">
      <c r="A1237" t="s">
        <v>4918</v>
      </c>
      <c r="B1237" t="s">
        <v>4513</v>
      </c>
      <c r="C1237" t="s">
        <v>4514</v>
      </c>
      <c r="D1237">
        <v>99</v>
      </c>
      <c r="E1237" t="s">
        <v>4515</v>
      </c>
      <c r="F1237" t="s">
        <v>4516</v>
      </c>
      <c r="G1237" t="s">
        <v>51</v>
      </c>
      <c r="H1237" t="s">
        <v>4517</v>
      </c>
      <c r="I1237" t="s">
        <v>1553</v>
      </c>
      <c r="J1237" t="s">
        <v>4518</v>
      </c>
      <c r="K1237" t="s">
        <v>1555</v>
      </c>
      <c r="L1237" t="s">
        <v>19</v>
      </c>
      <c r="M1237" t="s">
        <v>17</v>
      </c>
      <c r="N1237">
        <v>6000</v>
      </c>
      <c r="O1237">
        <v>340</v>
      </c>
      <c r="P1237">
        <v>0</v>
      </c>
      <c r="Q1237" t="s">
        <v>712</v>
      </c>
      <c r="R1237" t="s">
        <v>2564</v>
      </c>
      <c r="S1237" t="s">
        <v>4919</v>
      </c>
      <c r="T1237" t="s">
        <v>4920</v>
      </c>
      <c r="U1237" t="s">
        <v>60</v>
      </c>
      <c r="V1237" t="s">
        <v>61</v>
      </c>
      <c r="W1237">
        <v>3</v>
      </c>
      <c r="X1237">
        <v>0.13387499999999999</v>
      </c>
      <c r="Y1237" t="s">
        <v>389</v>
      </c>
      <c r="Z1237" t="s">
        <v>713</v>
      </c>
      <c r="AA1237">
        <v>4</v>
      </c>
      <c r="AB1237" t="s">
        <v>4522</v>
      </c>
      <c r="AC1237" t="s">
        <v>4523</v>
      </c>
      <c r="AD1237" t="s">
        <v>4524</v>
      </c>
      <c r="AE1237" t="s">
        <v>4525</v>
      </c>
      <c r="AF1237" t="s">
        <v>4526</v>
      </c>
      <c r="AG1237" t="s">
        <v>3902</v>
      </c>
      <c r="AH1237" t="s">
        <v>3903</v>
      </c>
      <c r="AI1237" t="s">
        <v>3902</v>
      </c>
      <c r="AJ1237" t="s">
        <v>4006</v>
      </c>
      <c r="AK1237">
        <v>1</v>
      </c>
      <c r="AL1237" t="s">
        <v>4601</v>
      </c>
      <c r="AM1237" t="s">
        <v>4602</v>
      </c>
      <c r="AN1237" t="s">
        <v>4682</v>
      </c>
      <c r="AO1237" t="s">
        <v>66</v>
      </c>
      <c r="AP1237">
        <v>1</v>
      </c>
      <c r="AQ1237" t="s">
        <v>4765</v>
      </c>
      <c r="AR1237" t="s">
        <v>4684</v>
      </c>
      <c r="AS1237" t="s">
        <v>4766</v>
      </c>
      <c r="AT1237" t="s">
        <v>66</v>
      </c>
    </row>
    <row r="1238" spans="1:46" x14ac:dyDescent="0.15">
      <c r="A1238" t="s">
        <v>4921</v>
      </c>
      <c r="B1238" t="s">
        <v>4922</v>
      </c>
      <c r="C1238" t="s">
        <v>4923</v>
      </c>
      <c r="D1238">
        <v>1</v>
      </c>
      <c r="E1238" t="s">
        <v>4924</v>
      </c>
      <c r="F1238" t="s">
        <v>4516</v>
      </c>
      <c r="G1238" t="s">
        <v>51</v>
      </c>
      <c r="H1238" t="s">
        <v>4925</v>
      </c>
      <c r="I1238" t="s">
        <v>53</v>
      </c>
      <c r="J1238" t="s">
        <v>2572</v>
      </c>
      <c r="K1238" t="s">
        <v>3594</v>
      </c>
      <c r="L1238" t="s">
        <v>18</v>
      </c>
      <c r="M1238" t="s">
        <v>17</v>
      </c>
      <c r="N1238">
        <v>500</v>
      </c>
      <c r="O1238">
        <v>30</v>
      </c>
      <c r="P1238">
        <v>0</v>
      </c>
      <c r="Q1238" t="s">
        <v>4926</v>
      </c>
      <c r="R1238" t="s">
        <v>56</v>
      </c>
      <c r="S1238" t="s">
        <v>4927</v>
      </c>
      <c r="T1238" t="s">
        <v>4928</v>
      </c>
      <c r="U1238" t="s">
        <v>60</v>
      </c>
      <c r="V1238" t="s">
        <v>61</v>
      </c>
      <c r="W1238">
        <v>10</v>
      </c>
      <c r="X1238">
        <v>0.1150625</v>
      </c>
      <c r="Y1238" t="s">
        <v>62</v>
      </c>
      <c r="Z1238" t="s">
        <v>62</v>
      </c>
      <c r="AA1238">
        <v>0</v>
      </c>
      <c r="AB1238" t="s">
        <v>4929</v>
      </c>
      <c r="AC1238" t="s">
        <v>4930</v>
      </c>
      <c r="AD1238" t="s">
        <v>4931</v>
      </c>
      <c r="AE1238" t="s">
        <v>4932</v>
      </c>
      <c r="AF1238" t="s">
        <v>4933</v>
      </c>
      <c r="AG1238" t="s">
        <v>66</v>
      </c>
      <c r="AH1238" t="s">
        <v>66</v>
      </c>
      <c r="AI1238" t="s">
        <v>66</v>
      </c>
      <c r="AJ1238" t="s">
        <v>66</v>
      </c>
      <c r="AK1238">
        <v>1</v>
      </c>
      <c r="AL1238" t="s">
        <v>66</v>
      </c>
      <c r="AM1238" t="s">
        <v>66</v>
      </c>
      <c r="AN1238" t="s">
        <v>66</v>
      </c>
      <c r="AO1238" t="s">
        <v>66</v>
      </c>
      <c r="AP1238">
        <v>1</v>
      </c>
      <c r="AQ1238" t="s">
        <v>66</v>
      </c>
      <c r="AR1238" t="s">
        <v>66</v>
      </c>
      <c r="AS1238" t="s">
        <v>66</v>
      </c>
      <c r="AT1238" t="s">
        <v>66</v>
      </c>
    </row>
    <row r="1239" spans="1:46" x14ac:dyDescent="0.15">
      <c r="A1239" t="s">
        <v>4934</v>
      </c>
      <c r="B1239" t="s">
        <v>4922</v>
      </c>
      <c r="C1239" t="s">
        <v>4923</v>
      </c>
      <c r="D1239">
        <v>2</v>
      </c>
      <c r="E1239" t="s">
        <v>4924</v>
      </c>
      <c r="F1239" t="s">
        <v>4516</v>
      </c>
      <c r="G1239" t="s">
        <v>51</v>
      </c>
      <c r="H1239" t="s">
        <v>4925</v>
      </c>
      <c r="I1239" t="s">
        <v>53</v>
      </c>
      <c r="J1239" t="s">
        <v>2572</v>
      </c>
      <c r="K1239" t="s">
        <v>3594</v>
      </c>
      <c r="L1239" t="s">
        <v>18</v>
      </c>
      <c r="M1239" t="s">
        <v>17</v>
      </c>
      <c r="N1239">
        <v>556</v>
      </c>
      <c r="O1239">
        <v>33</v>
      </c>
      <c r="P1239">
        <v>0</v>
      </c>
      <c r="Q1239" t="s">
        <v>4935</v>
      </c>
      <c r="R1239" t="s">
        <v>4936</v>
      </c>
      <c r="S1239" t="s">
        <v>4937</v>
      </c>
      <c r="T1239" t="s">
        <v>4938</v>
      </c>
      <c r="U1239" t="s">
        <v>60</v>
      </c>
      <c r="V1239" t="s">
        <v>61</v>
      </c>
      <c r="W1239">
        <v>10</v>
      </c>
      <c r="X1239">
        <v>0.1150625</v>
      </c>
      <c r="Y1239" t="s">
        <v>72</v>
      </c>
      <c r="Z1239" t="s">
        <v>73</v>
      </c>
      <c r="AA1239">
        <v>0</v>
      </c>
      <c r="AB1239" t="s">
        <v>4929</v>
      </c>
      <c r="AC1239" t="s">
        <v>4930</v>
      </c>
      <c r="AD1239" t="s">
        <v>4931</v>
      </c>
      <c r="AE1239" t="s">
        <v>4932</v>
      </c>
      <c r="AF1239" t="s">
        <v>4933</v>
      </c>
      <c r="AG1239" t="s">
        <v>66</v>
      </c>
      <c r="AH1239" t="s">
        <v>66</v>
      </c>
      <c r="AI1239" t="s">
        <v>66</v>
      </c>
      <c r="AJ1239" t="s">
        <v>66</v>
      </c>
      <c r="AK1239">
        <v>1</v>
      </c>
      <c r="AL1239" t="s">
        <v>66</v>
      </c>
      <c r="AM1239" t="s">
        <v>66</v>
      </c>
      <c r="AN1239" t="s">
        <v>66</v>
      </c>
      <c r="AO1239" t="s">
        <v>66</v>
      </c>
      <c r="AP1239">
        <v>1</v>
      </c>
      <c r="AQ1239" t="s">
        <v>66</v>
      </c>
      <c r="AR1239" t="s">
        <v>66</v>
      </c>
      <c r="AS1239" t="s">
        <v>66</v>
      </c>
      <c r="AT1239" t="s">
        <v>66</v>
      </c>
    </row>
    <row r="1240" spans="1:46" x14ac:dyDescent="0.15">
      <c r="A1240" t="s">
        <v>4939</v>
      </c>
      <c r="B1240" t="s">
        <v>4922</v>
      </c>
      <c r="C1240" t="s">
        <v>4923</v>
      </c>
      <c r="D1240">
        <v>3</v>
      </c>
      <c r="E1240" t="s">
        <v>4924</v>
      </c>
      <c r="F1240" t="s">
        <v>4516</v>
      </c>
      <c r="G1240" t="s">
        <v>51</v>
      </c>
      <c r="H1240" t="s">
        <v>4925</v>
      </c>
      <c r="I1240" t="s">
        <v>53</v>
      </c>
      <c r="J1240" t="s">
        <v>2572</v>
      </c>
      <c r="K1240" t="s">
        <v>3594</v>
      </c>
      <c r="L1240" t="s">
        <v>18</v>
      </c>
      <c r="M1240" t="s">
        <v>17</v>
      </c>
      <c r="N1240">
        <v>612</v>
      </c>
      <c r="O1240">
        <v>37</v>
      </c>
      <c r="P1240">
        <v>0</v>
      </c>
      <c r="Q1240" t="s">
        <v>4940</v>
      </c>
      <c r="R1240" t="s">
        <v>4941</v>
      </c>
      <c r="S1240" t="s">
        <v>4942</v>
      </c>
      <c r="T1240" t="s">
        <v>4943</v>
      </c>
      <c r="U1240" t="s">
        <v>60</v>
      </c>
      <c r="V1240" t="s">
        <v>61</v>
      </c>
      <c r="W1240">
        <v>10</v>
      </c>
      <c r="X1240">
        <v>0.1150625</v>
      </c>
      <c r="Y1240" t="s">
        <v>73</v>
      </c>
      <c r="Z1240" t="s">
        <v>79</v>
      </c>
      <c r="AA1240">
        <v>0</v>
      </c>
      <c r="AB1240" t="s">
        <v>4929</v>
      </c>
      <c r="AC1240" t="s">
        <v>4930</v>
      </c>
      <c r="AD1240" t="s">
        <v>4931</v>
      </c>
      <c r="AE1240" t="s">
        <v>4932</v>
      </c>
      <c r="AF1240" t="s">
        <v>4933</v>
      </c>
      <c r="AG1240" t="s">
        <v>66</v>
      </c>
      <c r="AH1240" t="s">
        <v>66</v>
      </c>
      <c r="AI1240" t="s">
        <v>66</v>
      </c>
      <c r="AJ1240" t="s">
        <v>66</v>
      </c>
      <c r="AK1240">
        <v>1</v>
      </c>
      <c r="AL1240" t="s">
        <v>66</v>
      </c>
      <c r="AM1240" t="s">
        <v>66</v>
      </c>
      <c r="AN1240" t="s">
        <v>66</v>
      </c>
      <c r="AO1240" t="s">
        <v>66</v>
      </c>
      <c r="AP1240">
        <v>1</v>
      </c>
      <c r="AQ1240" t="s">
        <v>66</v>
      </c>
      <c r="AR1240" t="s">
        <v>66</v>
      </c>
      <c r="AS1240" t="s">
        <v>66</v>
      </c>
      <c r="AT1240" t="s">
        <v>66</v>
      </c>
    </row>
    <row r="1241" spans="1:46" x14ac:dyDescent="0.15">
      <c r="A1241" t="s">
        <v>4944</v>
      </c>
      <c r="B1241" t="s">
        <v>4922</v>
      </c>
      <c r="C1241" t="s">
        <v>4923</v>
      </c>
      <c r="D1241">
        <v>4</v>
      </c>
      <c r="E1241" t="s">
        <v>4924</v>
      </c>
      <c r="F1241" t="s">
        <v>4516</v>
      </c>
      <c r="G1241" t="s">
        <v>51</v>
      </c>
      <c r="H1241" t="s">
        <v>4925</v>
      </c>
      <c r="I1241" t="s">
        <v>53</v>
      </c>
      <c r="J1241" t="s">
        <v>2572</v>
      </c>
      <c r="K1241" t="s">
        <v>3594</v>
      </c>
      <c r="L1241" t="s">
        <v>18</v>
      </c>
      <c r="M1241" t="s">
        <v>17</v>
      </c>
      <c r="N1241">
        <v>668</v>
      </c>
      <c r="O1241">
        <v>40</v>
      </c>
      <c r="P1241">
        <v>0</v>
      </c>
      <c r="Q1241" t="s">
        <v>4945</v>
      </c>
      <c r="R1241" t="s">
        <v>4946</v>
      </c>
      <c r="S1241" t="s">
        <v>4947</v>
      </c>
      <c r="T1241" t="s">
        <v>4948</v>
      </c>
      <c r="U1241" t="s">
        <v>60</v>
      </c>
      <c r="V1241" t="s">
        <v>61</v>
      </c>
      <c r="W1241">
        <v>10</v>
      </c>
      <c r="X1241">
        <v>0.1150625</v>
      </c>
      <c r="Y1241" t="s">
        <v>85</v>
      </c>
      <c r="Z1241" t="s">
        <v>86</v>
      </c>
      <c r="AA1241">
        <v>0</v>
      </c>
      <c r="AB1241" t="s">
        <v>4929</v>
      </c>
      <c r="AC1241" t="s">
        <v>4930</v>
      </c>
      <c r="AD1241" t="s">
        <v>4931</v>
      </c>
      <c r="AE1241" t="s">
        <v>4932</v>
      </c>
      <c r="AF1241" t="s">
        <v>4933</v>
      </c>
      <c r="AG1241" t="s">
        <v>66</v>
      </c>
      <c r="AH1241" t="s">
        <v>66</v>
      </c>
      <c r="AI1241" t="s">
        <v>66</v>
      </c>
      <c r="AJ1241" t="s">
        <v>66</v>
      </c>
      <c r="AK1241">
        <v>1</v>
      </c>
      <c r="AL1241" t="s">
        <v>66</v>
      </c>
      <c r="AM1241" t="s">
        <v>66</v>
      </c>
      <c r="AN1241" t="s">
        <v>66</v>
      </c>
      <c r="AO1241" t="s">
        <v>66</v>
      </c>
      <c r="AP1241">
        <v>1</v>
      </c>
      <c r="AQ1241" t="s">
        <v>66</v>
      </c>
      <c r="AR1241" t="s">
        <v>66</v>
      </c>
      <c r="AS1241" t="s">
        <v>66</v>
      </c>
      <c r="AT1241" t="s">
        <v>66</v>
      </c>
    </row>
    <row r="1242" spans="1:46" x14ac:dyDescent="0.15">
      <c r="A1242" t="s">
        <v>4949</v>
      </c>
      <c r="B1242" t="s">
        <v>4922</v>
      </c>
      <c r="C1242" t="s">
        <v>4923</v>
      </c>
      <c r="D1242">
        <v>5</v>
      </c>
      <c r="E1242" t="s">
        <v>4924</v>
      </c>
      <c r="F1242" t="s">
        <v>4516</v>
      </c>
      <c r="G1242" t="s">
        <v>51</v>
      </c>
      <c r="H1242" t="s">
        <v>4925</v>
      </c>
      <c r="I1242" t="s">
        <v>53</v>
      </c>
      <c r="J1242" t="s">
        <v>2572</v>
      </c>
      <c r="K1242" t="s">
        <v>3594</v>
      </c>
      <c r="L1242" t="s">
        <v>18</v>
      </c>
      <c r="M1242" t="s">
        <v>17</v>
      </c>
      <c r="N1242">
        <v>724</v>
      </c>
      <c r="O1242">
        <v>43</v>
      </c>
      <c r="P1242">
        <v>0</v>
      </c>
      <c r="Q1242" t="s">
        <v>4950</v>
      </c>
      <c r="R1242" t="s">
        <v>4951</v>
      </c>
      <c r="S1242" t="s">
        <v>4952</v>
      </c>
      <c r="T1242" t="s">
        <v>4953</v>
      </c>
      <c r="U1242" t="s">
        <v>60</v>
      </c>
      <c r="V1242" t="s">
        <v>61</v>
      </c>
      <c r="W1242">
        <v>10</v>
      </c>
      <c r="X1242">
        <v>0.1150625</v>
      </c>
      <c r="Y1242" t="s">
        <v>79</v>
      </c>
      <c r="Z1242" t="s">
        <v>92</v>
      </c>
      <c r="AA1242">
        <v>0</v>
      </c>
      <c r="AB1242" t="s">
        <v>4929</v>
      </c>
      <c r="AC1242" t="s">
        <v>4930</v>
      </c>
      <c r="AD1242" t="s">
        <v>4931</v>
      </c>
      <c r="AE1242" t="s">
        <v>4932</v>
      </c>
      <c r="AF1242" t="s">
        <v>4933</v>
      </c>
      <c r="AG1242" t="s">
        <v>66</v>
      </c>
      <c r="AH1242" t="s">
        <v>66</v>
      </c>
      <c r="AI1242" t="s">
        <v>66</v>
      </c>
      <c r="AJ1242" t="s">
        <v>66</v>
      </c>
      <c r="AK1242">
        <v>1</v>
      </c>
      <c r="AL1242" t="s">
        <v>66</v>
      </c>
      <c r="AM1242" t="s">
        <v>66</v>
      </c>
      <c r="AN1242" t="s">
        <v>66</v>
      </c>
      <c r="AO1242" t="s">
        <v>66</v>
      </c>
      <c r="AP1242">
        <v>1</v>
      </c>
      <c r="AQ1242" t="s">
        <v>66</v>
      </c>
      <c r="AR1242" t="s">
        <v>66</v>
      </c>
      <c r="AS1242" t="s">
        <v>66</v>
      </c>
      <c r="AT1242" t="s">
        <v>66</v>
      </c>
    </row>
    <row r="1243" spans="1:46" x14ac:dyDescent="0.15">
      <c r="A1243" t="s">
        <v>4954</v>
      </c>
      <c r="B1243" t="s">
        <v>4922</v>
      </c>
      <c r="C1243" t="s">
        <v>4923</v>
      </c>
      <c r="D1243">
        <v>6</v>
      </c>
      <c r="E1243" t="s">
        <v>4924</v>
      </c>
      <c r="F1243" t="s">
        <v>4516</v>
      </c>
      <c r="G1243" t="s">
        <v>51</v>
      </c>
      <c r="H1243" t="s">
        <v>4925</v>
      </c>
      <c r="I1243" t="s">
        <v>53</v>
      </c>
      <c r="J1243" t="s">
        <v>2572</v>
      </c>
      <c r="K1243" t="s">
        <v>3594</v>
      </c>
      <c r="L1243" t="s">
        <v>18</v>
      </c>
      <c r="M1243" t="s">
        <v>17</v>
      </c>
      <c r="N1243">
        <v>781</v>
      </c>
      <c r="O1243">
        <v>46</v>
      </c>
      <c r="P1243">
        <v>0</v>
      </c>
      <c r="Q1243" t="s">
        <v>4955</v>
      </c>
      <c r="R1243" t="s">
        <v>4956</v>
      </c>
      <c r="S1243" t="s">
        <v>4957</v>
      </c>
      <c r="T1243" t="s">
        <v>4958</v>
      </c>
      <c r="U1243" t="s">
        <v>60</v>
      </c>
      <c r="V1243" t="s">
        <v>61</v>
      </c>
      <c r="W1243">
        <v>10</v>
      </c>
      <c r="X1243">
        <v>0.1150625</v>
      </c>
      <c r="Y1243" t="s">
        <v>98</v>
      </c>
      <c r="Z1243" t="s">
        <v>99</v>
      </c>
      <c r="AA1243">
        <v>0</v>
      </c>
      <c r="AB1243" t="s">
        <v>4929</v>
      </c>
      <c r="AC1243" t="s">
        <v>4930</v>
      </c>
      <c r="AD1243" t="s">
        <v>4931</v>
      </c>
      <c r="AE1243" t="s">
        <v>4932</v>
      </c>
      <c r="AF1243" t="s">
        <v>4933</v>
      </c>
      <c r="AG1243" t="s">
        <v>66</v>
      </c>
      <c r="AH1243" t="s">
        <v>66</v>
      </c>
      <c r="AI1243" t="s">
        <v>66</v>
      </c>
      <c r="AJ1243" t="s">
        <v>66</v>
      </c>
      <c r="AK1243">
        <v>1</v>
      </c>
      <c r="AL1243" t="s">
        <v>66</v>
      </c>
      <c r="AM1243" t="s">
        <v>66</v>
      </c>
      <c r="AN1243" t="s">
        <v>66</v>
      </c>
      <c r="AO1243" t="s">
        <v>66</v>
      </c>
      <c r="AP1243">
        <v>1</v>
      </c>
      <c r="AQ1243" t="s">
        <v>66</v>
      </c>
      <c r="AR1243" t="s">
        <v>66</v>
      </c>
      <c r="AS1243" t="s">
        <v>66</v>
      </c>
      <c r="AT1243" t="s">
        <v>66</v>
      </c>
    </row>
    <row r="1244" spans="1:46" x14ac:dyDescent="0.15">
      <c r="A1244" t="s">
        <v>4959</v>
      </c>
      <c r="B1244" t="s">
        <v>4922</v>
      </c>
      <c r="C1244" t="s">
        <v>4923</v>
      </c>
      <c r="D1244">
        <v>7</v>
      </c>
      <c r="E1244" t="s">
        <v>4924</v>
      </c>
      <c r="F1244" t="s">
        <v>4516</v>
      </c>
      <c r="G1244" t="s">
        <v>51</v>
      </c>
      <c r="H1244" t="s">
        <v>4925</v>
      </c>
      <c r="I1244" t="s">
        <v>53</v>
      </c>
      <c r="J1244" t="s">
        <v>2572</v>
      </c>
      <c r="K1244" t="s">
        <v>3594</v>
      </c>
      <c r="L1244" t="s">
        <v>18</v>
      </c>
      <c r="M1244" t="s">
        <v>17</v>
      </c>
      <c r="N1244">
        <v>837</v>
      </c>
      <c r="O1244">
        <v>50</v>
      </c>
      <c r="P1244">
        <v>0</v>
      </c>
      <c r="Q1244" t="s">
        <v>4960</v>
      </c>
      <c r="R1244" t="s">
        <v>4961</v>
      </c>
      <c r="S1244" t="s">
        <v>4962</v>
      </c>
      <c r="T1244" t="s">
        <v>4963</v>
      </c>
      <c r="U1244" t="s">
        <v>60</v>
      </c>
      <c r="V1244" t="s">
        <v>61</v>
      </c>
      <c r="W1244">
        <v>10</v>
      </c>
      <c r="X1244">
        <v>0.1150625</v>
      </c>
      <c r="Y1244" t="s">
        <v>86</v>
      </c>
      <c r="Z1244" t="s">
        <v>105</v>
      </c>
      <c r="AA1244">
        <v>0</v>
      </c>
      <c r="AB1244" t="s">
        <v>4929</v>
      </c>
      <c r="AC1244" t="s">
        <v>4930</v>
      </c>
      <c r="AD1244" t="s">
        <v>4931</v>
      </c>
      <c r="AE1244" t="s">
        <v>4932</v>
      </c>
      <c r="AF1244" t="s">
        <v>4933</v>
      </c>
      <c r="AG1244" t="s">
        <v>66</v>
      </c>
      <c r="AH1244" t="s">
        <v>66</v>
      </c>
      <c r="AI1244" t="s">
        <v>66</v>
      </c>
      <c r="AJ1244" t="s">
        <v>66</v>
      </c>
      <c r="AK1244">
        <v>1</v>
      </c>
      <c r="AL1244" t="s">
        <v>66</v>
      </c>
      <c r="AM1244" t="s">
        <v>66</v>
      </c>
      <c r="AN1244" t="s">
        <v>66</v>
      </c>
      <c r="AO1244" t="s">
        <v>66</v>
      </c>
      <c r="AP1244">
        <v>1</v>
      </c>
      <c r="AQ1244" t="s">
        <v>66</v>
      </c>
      <c r="AR1244" t="s">
        <v>66</v>
      </c>
      <c r="AS1244" t="s">
        <v>66</v>
      </c>
      <c r="AT1244" t="s">
        <v>66</v>
      </c>
    </row>
    <row r="1245" spans="1:46" x14ac:dyDescent="0.15">
      <c r="A1245" t="s">
        <v>4964</v>
      </c>
      <c r="B1245" t="s">
        <v>4922</v>
      </c>
      <c r="C1245" t="s">
        <v>4923</v>
      </c>
      <c r="D1245">
        <v>8</v>
      </c>
      <c r="E1245" t="s">
        <v>4924</v>
      </c>
      <c r="F1245" t="s">
        <v>4516</v>
      </c>
      <c r="G1245" t="s">
        <v>51</v>
      </c>
      <c r="H1245" t="s">
        <v>4925</v>
      </c>
      <c r="I1245" t="s">
        <v>53</v>
      </c>
      <c r="J1245" t="s">
        <v>2572</v>
      </c>
      <c r="K1245" t="s">
        <v>3594</v>
      </c>
      <c r="L1245" t="s">
        <v>18</v>
      </c>
      <c r="M1245" t="s">
        <v>17</v>
      </c>
      <c r="N1245">
        <v>893</v>
      </c>
      <c r="O1245">
        <v>53</v>
      </c>
      <c r="P1245">
        <v>0</v>
      </c>
      <c r="Q1245" t="s">
        <v>4965</v>
      </c>
      <c r="R1245" t="s">
        <v>4966</v>
      </c>
      <c r="S1245" t="s">
        <v>4967</v>
      </c>
      <c r="T1245" t="s">
        <v>4968</v>
      </c>
      <c r="U1245" t="s">
        <v>60</v>
      </c>
      <c r="V1245" t="s">
        <v>61</v>
      </c>
      <c r="W1245">
        <v>10</v>
      </c>
      <c r="X1245">
        <v>0.1150625</v>
      </c>
      <c r="Y1245" t="s">
        <v>111</v>
      </c>
      <c r="Z1245" t="s">
        <v>112</v>
      </c>
      <c r="AA1245">
        <v>0</v>
      </c>
      <c r="AB1245" t="s">
        <v>4929</v>
      </c>
      <c r="AC1245" t="s">
        <v>4930</v>
      </c>
      <c r="AD1245" t="s">
        <v>4931</v>
      </c>
      <c r="AE1245" t="s">
        <v>4932</v>
      </c>
      <c r="AF1245" t="s">
        <v>4933</v>
      </c>
      <c r="AG1245" t="s">
        <v>66</v>
      </c>
      <c r="AH1245" t="s">
        <v>66</v>
      </c>
      <c r="AI1245" t="s">
        <v>66</v>
      </c>
      <c r="AJ1245" t="s">
        <v>66</v>
      </c>
      <c r="AK1245">
        <v>1</v>
      </c>
      <c r="AL1245" t="s">
        <v>66</v>
      </c>
      <c r="AM1245" t="s">
        <v>66</v>
      </c>
      <c r="AN1245" t="s">
        <v>66</v>
      </c>
      <c r="AO1245" t="s">
        <v>66</v>
      </c>
      <c r="AP1245">
        <v>1</v>
      </c>
      <c r="AQ1245" t="s">
        <v>66</v>
      </c>
      <c r="AR1245" t="s">
        <v>66</v>
      </c>
      <c r="AS1245" t="s">
        <v>66</v>
      </c>
      <c r="AT1245" t="s">
        <v>66</v>
      </c>
    </row>
    <row r="1246" spans="1:46" x14ac:dyDescent="0.15">
      <c r="A1246" t="s">
        <v>4969</v>
      </c>
      <c r="B1246" t="s">
        <v>4922</v>
      </c>
      <c r="C1246" t="s">
        <v>4923</v>
      </c>
      <c r="D1246">
        <v>9</v>
      </c>
      <c r="E1246" t="s">
        <v>4924</v>
      </c>
      <c r="F1246" t="s">
        <v>4516</v>
      </c>
      <c r="G1246" t="s">
        <v>51</v>
      </c>
      <c r="H1246" t="s">
        <v>4925</v>
      </c>
      <c r="I1246" t="s">
        <v>53</v>
      </c>
      <c r="J1246" t="s">
        <v>2572</v>
      </c>
      <c r="K1246" t="s">
        <v>3594</v>
      </c>
      <c r="L1246" t="s">
        <v>18</v>
      </c>
      <c r="M1246" t="s">
        <v>17</v>
      </c>
      <c r="N1246">
        <v>949</v>
      </c>
      <c r="O1246">
        <v>56</v>
      </c>
      <c r="P1246">
        <v>0</v>
      </c>
      <c r="Q1246" t="s">
        <v>4970</v>
      </c>
      <c r="R1246" t="s">
        <v>4971</v>
      </c>
      <c r="S1246" t="s">
        <v>4972</v>
      </c>
      <c r="T1246" t="s">
        <v>4973</v>
      </c>
      <c r="U1246" t="s">
        <v>60</v>
      </c>
      <c r="V1246" t="s">
        <v>61</v>
      </c>
      <c r="W1246">
        <v>10</v>
      </c>
      <c r="X1246">
        <v>0.1150625</v>
      </c>
      <c r="Y1246" t="s">
        <v>92</v>
      </c>
      <c r="Z1246" t="s">
        <v>118</v>
      </c>
      <c r="AA1246">
        <v>0</v>
      </c>
      <c r="AB1246" t="s">
        <v>4929</v>
      </c>
      <c r="AC1246" t="s">
        <v>4930</v>
      </c>
      <c r="AD1246" t="s">
        <v>4931</v>
      </c>
      <c r="AE1246" t="s">
        <v>4932</v>
      </c>
      <c r="AF1246" t="s">
        <v>4933</v>
      </c>
      <c r="AG1246" t="s">
        <v>66</v>
      </c>
      <c r="AH1246" t="s">
        <v>66</v>
      </c>
      <c r="AI1246" t="s">
        <v>66</v>
      </c>
      <c r="AJ1246" t="s">
        <v>66</v>
      </c>
      <c r="AK1246">
        <v>1</v>
      </c>
      <c r="AL1246" t="s">
        <v>66</v>
      </c>
      <c r="AM1246" t="s">
        <v>66</v>
      </c>
      <c r="AN1246" t="s">
        <v>66</v>
      </c>
      <c r="AO1246" t="s">
        <v>66</v>
      </c>
      <c r="AP1246">
        <v>1</v>
      </c>
      <c r="AQ1246" t="s">
        <v>66</v>
      </c>
      <c r="AR1246" t="s">
        <v>66</v>
      </c>
      <c r="AS1246" t="s">
        <v>66</v>
      </c>
      <c r="AT1246" t="s">
        <v>66</v>
      </c>
    </row>
    <row r="1247" spans="1:46" x14ac:dyDescent="0.15">
      <c r="A1247" t="s">
        <v>4974</v>
      </c>
      <c r="B1247" t="s">
        <v>4922</v>
      </c>
      <c r="C1247" t="s">
        <v>4923</v>
      </c>
      <c r="D1247">
        <v>10</v>
      </c>
      <c r="E1247" t="s">
        <v>4924</v>
      </c>
      <c r="F1247" t="s">
        <v>4516</v>
      </c>
      <c r="G1247" t="s">
        <v>51</v>
      </c>
      <c r="H1247" t="s">
        <v>4925</v>
      </c>
      <c r="I1247" t="s">
        <v>53</v>
      </c>
      <c r="J1247" t="s">
        <v>2572</v>
      </c>
      <c r="K1247" t="s">
        <v>3594</v>
      </c>
      <c r="L1247" t="s">
        <v>18</v>
      </c>
      <c r="M1247" t="s">
        <v>17</v>
      </c>
      <c r="N1247">
        <v>1005</v>
      </c>
      <c r="O1247">
        <v>59</v>
      </c>
      <c r="P1247">
        <v>0</v>
      </c>
      <c r="Q1247" t="s">
        <v>4975</v>
      </c>
      <c r="R1247" t="s">
        <v>4976</v>
      </c>
      <c r="S1247" t="s">
        <v>4977</v>
      </c>
      <c r="T1247" t="s">
        <v>4978</v>
      </c>
      <c r="U1247" t="s">
        <v>60</v>
      </c>
      <c r="V1247" t="s">
        <v>61</v>
      </c>
      <c r="W1247">
        <v>10</v>
      </c>
      <c r="X1247">
        <v>0.1150625</v>
      </c>
      <c r="Y1247" t="s">
        <v>124</v>
      </c>
      <c r="Z1247" t="s">
        <v>125</v>
      </c>
      <c r="AA1247">
        <v>0</v>
      </c>
      <c r="AB1247" t="s">
        <v>4929</v>
      </c>
      <c r="AC1247" t="s">
        <v>4930</v>
      </c>
      <c r="AD1247" t="s">
        <v>4931</v>
      </c>
      <c r="AE1247" t="s">
        <v>4932</v>
      </c>
      <c r="AF1247" t="s">
        <v>4933</v>
      </c>
      <c r="AG1247" t="s">
        <v>66</v>
      </c>
      <c r="AH1247" t="s">
        <v>66</v>
      </c>
      <c r="AI1247" t="s">
        <v>66</v>
      </c>
      <c r="AJ1247" t="s">
        <v>66</v>
      </c>
      <c r="AK1247">
        <v>1</v>
      </c>
      <c r="AL1247" t="s">
        <v>66</v>
      </c>
      <c r="AM1247" t="s">
        <v>66</v>
      </c>
      <c r="AN1247" t="s">
        <v>66</v>
      </c>
      <c r="AO1247" t="s">
        <v>66</v>
      </c>
      <c r="AP1247">
        <v>1</v>
      </c>
      <c r="AQ1247" t="s">
        <v>66</v>
      </c>
      <c r="AR1247" t="s">
        <v>66</v>
      </c>
      <c r="AS1247" t="s">
        <v>66</v>
      </c>
      <c r="AT1247" t="s">
        <v>66</v>
      </c>
    </row>
    <row r="1248" spans="1:46" x14ac:dyDescent="0.15">
      <c r="A1248" t="s">
        <v>4979</v>
      </c>
      <c r="B1248" t="s">
        <v>4922</v>
      </c>
      <c r="C1248" t="s">
        <v>4923</v>
      </c>
      <c r="D1248">
        <v>11</v>
      </c>
      <c r="E1248" t="s">
        <v>4924</v>
      </c>
      <c r="F1248" t="s">
        <v>4516</v>
      </c>
      <c r="G1248" t="s">
        <v>51</v>
      </c>
      <c r="H1248" t="s">
        <v>4925</v>
      </c>
      <c r="I1248" t="s">
        <v>53</v>
      </c>
      <c r="J1248" t="s">
        <v>2572</v>
      </c>
      <c r="K1248" t="s">
        <v>3594</v>
      </c>
      <c r="L1248" t="s">
        <v>18</v>
      </c>
      <c r="M1248" t="s">
        <v>17</v>
      </c>
      <c r="N1248">
        <v>1061</v>
      </c>
      <c r="O1248">
        <v>63</v>
      </c>
      <c r="P1248">
        <v>0</v>
      </c>
      <c r="Q1248" t="s">
        <v>4980</v>
      </c>
      <c r="R1248" t="s">
        <v>4981</v>
      </c>
      <c r="S1248" t="s">
        <v>4982</v>
      </c>
      <c r="T1248" t="s">
        <v>4983</v>
      </c>
      <c r="U1248" t="s">
        <v>60</v>
      </c>
      <c r="V1248" t="s">
        <v>61</v>
      </c>
      <c r="W1248">
        <v>10</v>
      </c>
      <c r="X1248">
        <v>0.1150625</v>
      </c>
      <c r="Y1248" t="s">
        <v>99</v>
      </c>
      <c r="Z1248" t="s">
        <v>131</v>
      </c>
      <c r="AA1248">
        <v>0</v>
      </c>
      <c r="AB1248" t="s">
        <v>4929</v>
      </c>
      <c r="AC1248" t="s">
        <v>4930</v>
      </c>
      <c r="AD1248" t="s">
        <v>4931</v>
      </c>
      <c r="AE1248" t="s">
        <v>4932</v>
      </c>
      <c r="AF1248" t="s">
        <v>4933</v>
      </c>
      <c r="AG1248" t="s">
        <v>66</v>
      </c>
      <c r="AH1248" t="s">
        <v>66</v>
      </c>
      <c r="AI1248" t="s">
        <v>66</v>
      </c>
      <c r="AJ1248" t="s">
        <v>66</v>
      </c>
      <c r="AK1248">
        <v>1</v>
      </c>
      <c r="AL1248" t="s">
        <v>66</v>
      </c>
      <c r="AM1248" t="s">
        <v>66</v>
      </c>
      <c r="AN1248" t="s">
        <v>66</v>
      </c>
      <c r="AO1248" t="s">
        <v>66</v>
      </c>
      <c r="AP1248">
        <v>1</v>
      </c>
      <c r="AQ1248" t="s">
        <v>66</v>
      </c>
      <c r="AR1248" t="s">
        <v>66</v>
      </c>
      <c r="AS1248" t="s">
        <v>66</v>
      </c>
      <c r="AT1248" t="s">
        <v>66</v>
      </c>
    </row>
    <row r="1249" spans="1:46" x14ac:dyDescent="0.15">
      <c r="A1249" t="s">
        <v>4984</v>
      </c>
      <c r="B1249" t="s">
        <v>4922</v>
      </c>
      <c r="C1249" t="s">
        <v>4923</v>
      </c>
      <c r="D1249">
        <v>12</v>
      </c>
      <c r="E1249" t="s">
        <v>4924</v>
      </c>
      <c r="F1249" t="s">
        <v>4516</v>
      </c>
      <c r="G1249" t="s">
        <v>51</v>
      </c>
      <c r="H1249" t="s">
        <v>4925</v>
      </c>
      <c r="I1249" t="s">
        <v>53</v>
      </c>
      <c r="J1249" t="s">
        <v>2572</v>
      </c>
      <c r="K1249" t="s">
        <v>3594</v>
      </c>
      <c r="L1249" t="s">
        <v>18</v>
      </c>
      <c r="M1249" t="s">
        <v>17</v>
      </c>
      <c r="N1249">
        <v>1117</v>
      </c>
      <c r="O1249">
        <v>66</v>
      </c>
      <c r="P1249">
        <v>0</v>
      </c>
      <c r="Q1249" t="s">
        <v>4985</v>
      </c>
      <c r="R1249" t="s">
        <v>4986</v>
      </c>
      <c r="S1249" t="s">
        <v>4987</v>
      </c>
      <c r="T1249" t="s">
        <v>4988</v>
      </c>
      <c r="U1249" t="s">
        <v>60</v>
      </c>
      <c r="V1249" t="s">
        <v>61</v>
      </c>
      <c r="W1249">
        <v>10</v>
      </c>
      <c r="X1249">
        <v>0.1150625</v>
      </c>
      <c r="Y1249" t="s">
        <v>137</v>
      </c>
      <c r="Z1249" t="s">
        <v>138</v>
      </c>
      <c r="AA1249">
        <v>0</v>
      </c>
      <c r="AB1249" t="s">
        <v>4929</v>
      </c>
      <c r="AC1249" t="s">
        <v>4930</v>
      </c>
      <c r="AD1249" t="s">
        <v>4931</v>
      </c>
      <c r="AE1249" t="s">
        <v>4932</v>
      </c>
      <c r="AF1249" t="s">
        <v>4933</v>
      </c>
      <c r="AG1249" t="s">
        <v>66</v>
      </c>
      <c r="AH1249" t="s">
        <v>66</v>
      </c>
      <c r="AI1249" t="s">
        <v>66</v>
      </c>
      <c r="AJ1249" t="s">
        <v>66</v>
      </c>
      <c r="AK1249">
        <v>1</v>
      </c>
      <c r="AL1249" t="s">
        <v>66</v>
      </c>
      <c r="AM1249" t="s">
        <v>66</v>
      </c>
      <c r="AN1249" t="s">
        <v>66</v>
      </c>
      <c r="AO1249" t="s">
        <v>66</v>
      </c>
      <c r="AP1249">
        <v>1</v>
      </c>
      <c r="AQ1249" t="s">
        <v>66</v>
      </c>
      <c r="AR1249" t="s">
        <v>66</v>
      </c>
      <c r="AS1249" t="s">
        <v>66</v>
      </c>
      <c r="AT1249" t="s">
        <v>66</v>
      </c>
    </row>
    <row r="1250" spans="1:46" x14ac:dyDescent="0.15">
      <c r="A1250" t="s">
        <v>4989</v>
      </c>
      <c r="B1250" t="s">
        <v>4922</v>
      </c>
      <c r="C1250" t="s">
        <v>4923</v>
      </c>
      <c r="D1250">
        <v>13</v>
      </c>
      <c r="E1250" t="s">
        <v>4924</v>
      </c>
      <c r="F1250" t="s">
        <v>4516</v>
      </c>
      <c r="G1250" t="s">
        <v>51</v>
      </c>
      <c r="H1250" t="s">
        <v>4925</v>
      </c>
      <c r="I1250" t="s">
        <v>53</v>
      </c>
      <c r="J1250" t="s">
        <v>2572</v>
      </c>
      <c r="K1250" t="s">
        <v>3594</v>
      </c>
      <c r="L1250" t="s">
        <v>18</v>
      </c>
      <c r="M1250" t="s">
        <v>17</v>
      </c>
      <c r="N1250">
        <v>1173</v>
      </c>
      <c r="O1250">
        <v>69</v>
      </c>
      <c r="P1250">
        <v>0</v>
      </c>
      <c r="Q1250" t="s">
        <v>4990</v>
      </c>
      <c r="R1250" t="s">
        <v>4991</v>
      </c>
      <c r="S1250" t="s">
        <v>4992</v>
      </c>
      <c r="T1250" t="s">
        <v>4993</v>
      </c>
      <c r="U1250" t="s">
        <v>60</v>
      </c>
      <c r="V1250" t="s">
        <v>61</v>
      </c>
      <c r="W1250">
        <v>10</v>
      </c>
      <c r="X1250">
        <v>0.1150625</v>
      </c>
      <c r="Y1250" t="s">
        <v>105</v>
      </c>
      <c r="Z1250" t="s">
        <v>144</v>
      </c>
      <c r="AA1250">
        <v>0</v>
      </c>
      <c r="AB1250" t="s">
        <v>4929</v>
      </c>
      <c r="AC1250" t="s">
        <v>4930</v>
      </c>
      <c r="AD1250" t="s">
        <v>4931</v>
      </c>
      <c r="AE1250" t="s">
        <v>4932</v>
      </c>
      <c r="AF1250" t="s">
        <v>4933</v>
      </c>
      <c r="AG1250" t="s">
        <v>66</v>
      </c>
      <c r="AH1250" t="s">
        <v>66</v>
      </c>
      <c r="AI1250" t="s">
        <v>66</v>
      </c>
      <c r="AJ1250" t="s">
        <v>66</v>
      </c>
      <c r="AK1250">
        <v>1</v>
      </c>
      <c r="AL1250" t="s">
        <v>66</v>
      </c>
      <c r="AM1250" t="s">
        <v>66</v>
      </c>
      <c r="AN1250" t="s">
        <v>66</v>
      </c>
      <c r="AO1250" t="s">
        <v>66</v>
      </c>
      <c r="AP1250">
        <v>1</v>
      </c>
      <c r="AQ1250" t="s">
        <v>66</v>
      </c>
      <c r="AR1250" t="s">
        <v>66</v>
      </c>
      <c r="AS1250" t="s">
        <v>66</v>
      </c>
      <c r="AT1250" t="s">
        <v>66</v>
      </c>
    </row>
    <row r="1251" spans="1:46" x14ac:dyDescent="0.15">
      <c r="A1251" t="s">
        <v>4994</v>
      </c>
      <c r="B1251" t="s">
        <v>4922</v>
      </c>
      <c r="C1251" t="s">
        <v>4923</v>
      </c>
      <c r="D1251">
        <v>14</v>
      </c>
      <c r="E1251" t="s">
        <v>4924</v>
      </c>
      <c r="F1251" t="s">
        <v>4516</v>
      </c>
      <c r="G1251" t="s">
        <v>51</v>
      </c>
      <c r="H1251" t="s">
        <v>4925</v>
      </c>
      <c r="I1251" t="s">
        <v>53</v>
      </c>
      <c r="J1251" t="s">
        <v>2572</v>
      </c>
      <c r="K1251" t="s">
        <v>3594</v>
      </c>
      <c r="L1251" t="s">
        <v>18</v>
      </c>
      <c r="M1251" t="s">
        <v>17</v>
      </c>
      <c r="N1251">
        <v>1230</v>
      </c>
      <c r="O1251">
        <v>72</v>
      </c>
      <c r="P1251">
        <v>0</v>
      </c>
      <c r="Q1251" t="s">
        <v>4995</v>
      </c>
      <c r="R1251" t="s">
        <v>4996</v>
      </c>
      <c r="S1251" t="s">
        <v>4997</v>
      </c>
      <c r="T1251" t="s">
        <v>4998</v>
      </c>
      <c r="U1251" t="s">
        <v>60</v>
      </c>
      <c r="V1251" t="s">
        <v>61</v>
      </c>
      <c r="W1251">
        <v>10</v>
      </c>
      <c r="X1251">
        <v>0.1150625</v>
      </c>
      <c r="Y1251" t="s">
        <v>150</v>
      </c>
      <c r="Z1251" t="s">
        <v>151</v>
      </c>
      <c r="AA1251">
        <v>0</v>
      </c>
      <c r="AB1251" t="s">
        <v>4929</v>
      </c>
      <c r="AC1251" t="s">
        <v>4930</v>
      </c>
      <c r="AD1251" t="s">
        <v>4931</v>
      </c>
      <c r="AE1251" t="s">
        <v>4932</v>
      </c>
      <c r="AF1251" t="s">
        <v>4933</v>
      </c>
      <c r="AG1251" t="s">
        <v>66</v>
      </c>
      <c r="AH1251" t="s">
        <v>66</v>
      </c>
      <c r="AI1251" t="s">
        <v>66</v>
      </c>
      <c r="AJ1251" t="s">
        <v>66</v>
      </c>
      <c r="AK1251">
        <v>1</v>
      </c>
      <c r="AL1251" t="s">
        <v>66</v>
      </c>
      <c r="AM1251" t="s">
        <v>66</v>
      </c>
      <c r="AN1251" t="s">
        <v>66</v>
      </c>
      <c r="AO1251" t="s">
        <v>66</v>
      </c>
      <c r="AP1251">
        <v>1</v>
      </c>
      <c r="AQ1251" t="s">
        <v>66</v>
      </c>
      <c r="AR1251" t="s">
        <v>66</v>
      </c>
      <c r="AS1251" t="s">
        <v>66</v>
      </c>
      <c r="AT1251" t="s">
        <v>66</v>
      </c>
    </row>
    <row r="1252" spans="1:46" x14ac:dyDescent="0.15">
      <c r="A1252" t="s">
        <v>4999</v>
      </c>
      <c r="B1252" t="s">
        <v>4922</v>
      </c>
      <c r="C1252" t="s">
        <v>4923</v>
      </c>
      <c r="D1252">
        <v>15</v>
      </c>
      <c r="E1252" t="s">
        <v>4924</v>
      </c>
      <c r="F1252" t="s">
        <v>4516</v>
      </c>
      <c r="G1252" t="s">
        <v>51</v>
      </c>
      <c r="H1252" t="s">
        <v>4925</v>
      </c>
      <c r="I1252" t="s">
        <v>53</v>
      </c>
      <c r="J1252" t="s">
        <v>2572</v>
      </c>
      <c r="K1252" t="s">
        <v>3594</v>
      </c>
      <c r="L1252" t="s">
        <v>18</v>
      </c>
      <c r="M1252" t="s">
        <v>17</v>
      </c>
      <c r="N1252">
        <v>1286</v>
      </c>
      <c r="O1252">
        <v>76</v>
      </c>
      <c r="P1252">
        <v>0</v>
      </c>
      <c r="Q1252" t="s">
        <v>5000</v>
      </c>
      <c r="R1252" t="s">
        <v>5001</v>
      </c>
      <c r="S1252" t="s">
        <v>5002</v>
      </c>
      <c r="T1252" t="s">
        <v>5003</v>
      </c>
      <c r="U1252" t="s">
        <v>60</v>
      </c>
      <c r="V1252" t="s">
        <v>61</v>
      </c>
      <c r="W1252">
        <v>10</v>
      </c>
      <c r="X1252">
        <v>0.1150625</v>
      </c>
      <c r="Y1252" t="s">
        <v>112</v>
      </c>
      <c r="Z1252" t="s">
        <v>157</v>
      </c>
      <c r="AA1252">
        <v>0</v>
      </c>
      <c r="AB1252" t="s">
        <v>4929</v>
      </c>
      <c r="AC1252" t="s">
        <v>4930</v>
      </c>
      <c r="AD1252" t="s">
        <v>4931</v>
      </c>
      <c r="AE1252" t="s">
        <v>4932</v>
      </c>
      <c r="AF1252" t="s">
        <v>4933</v>
      </c>
      <c r="AG1252" t="s">
        <v>66</v>
      </c>
      <c r="AH1252" t="s">
        <v>66</v>
      </c>
      <c r="AI1252" t="s">
        <v>66</v>
      </c>
      <c r="AJ1252" t="s">
        <v>66</v>
      </c>
      <c r="AK1252">
        <v>1</v>
      </c>
      <c r="AL1252" t="s">
        <v>66</v>
      </c>
      <c r="AM1252" t="s">
        <v>66</v>
      </c>
      <c r="AN1252" t="s">
        <v>66</v>
      </c>
      <c r="AO1252" t="s">
        <v>66</v>
      </c>
      <c r="AP1252">
        <v>1</v>
      </c>
      <c r="AQ1252" t="s">
        <v>66</v>
      </c>
      <c r="AR1252" t="s">
        <v>66</v>
      </c>
      <c r="AS1252" t="s">
        <v>66</v>
      </c>
      <c r="AT1252" t="s">
        <v>66</v>
      </c>
    </row>
    <row r="1253" spans="1:46" x14ac:dyDescent="0.15">
      <c r="A1253" t="s">
        <v>5004</v>
      </c>
      <c r="B1253" t="s">
        <v>4922</v>
      </c>
      <c r="C1253" t="s">
        <v>4923</v>
      </c>
      <c r="D1253">
        <v>16</v>
      </c>
      <c r="E1253" t="s">
        <v>4924</v>
      </c>
      <c r="F1253" t="s">
        <v>4516</v>
      </c>
      <c r="G1253" t="s">
        <v>51</v>
      </c>
      <c r="H1253" t="s">
        <v>4925</v>
      </c>
      <c r="I1253" t="s">
        <v>53</v>
      </c>
      <c r="J1253" t="s">
        <v>2572</v>
      </c>
      <c r="K1253" t="s">
        <v>3594</v>
      </c>
      <c r="L1253" t="s">
        <v>18</v>
      </c>
      <c r="M1253" t="s">
        <v>17</v>
      </c>
      <c r="N1253">
        <v>1342</v>
      </c>
      <c r="O1253">
        <v>79</v>
      </c>
      <c r="P1253">
        <v>0</v>
      </c>
      <c r="Q1253" t="s">
        <v>5005</v>
      </c>
      <c r="R1253" t="s">
        <v>5006</v>
      </c>
      <c r="S1253" t="s">
        <v>5007</v>
      </c>
      <c r="T1253" t="s">
        <v>5008</v>
      </c>
      <c r="U1253" t="s">
        <v>60</v>
      </c>
      <c r="V1253" t="s">
        <v>61</v>
      </c>
      <c r="W1253">
        <v>10</v>
      </c>
      <c r="X1253">
        <v>0.1150625</v>
      </c>
      <c r="Y1253" t="s">
        <v>163</v>
      </c>
      <c r="Z1253" t="s">
        <v>164</v>
      </c>
      <c r="AA1253">
        <v>0</v>
      </c>
      <c r="AB1253" t="s">
        <v>4929</v>
      </c>
      <c r="AC1253" t="s">
        <v>4930</v>
      </c>
      <c r="AD1253" t="s">
        <v>4931</v>
      </c>
      <c r="AE1253" t="s">
        <v>4932</v>
      </c>
      <c r="AF1253" t="s">
        <v>4933</v>
      </c>
      <c r="AG1253" t="s">
        <v>66</v>
      </c>
      <c r="AH1253" t="s">
        <v>66</v>
      </c>
      <c r="AI1253" t="s">
        <v>66</v>
      </c>
      <c r="AJ1253" t="s">
        <v>66</v>
      </c>
      <c r="AK1253">
        <v>1</v>
      </c>
      <c r="AL1253" t="s">
        <v>66</v>
      </c>
      <c r="AM1253" t="s">
        <v>66</v>
      </c>
      <c r="AN1253" t="s">
        <v>66</v>
      </c>
      <c r="AO1253" t="s">
        <v>66</v>
      </c>
      <c r="AP1253">
        <v>1</v>
      </c>
      <c r="AQ1253" t="s">
        <v>66</v>
      </c>
      <c r="AR1253" t="s">
        <v>66</v>
      </c>
      <c r="AS1253" t="s">
        <v>66</v>
      </c>
      <c r="AT1253" t="s">
        <v>66</v>
      </c>
    </row>
    <row r="1254" spans="1:46" x14ac:dyDescent="0.15">
      <c r="A1254" t="s">
        <v>5009</v>
      </c>
      <c r="B1254" t="s">
        <v>4922</v>
      </c>
      <c r="C1254" t="s">
        <v>4923</v>
      </c>
      <c r="D1254">
        <v>17</v>
      </c>
      <c r="E1254" t="s">
        <v>4924</v>
      </c>
      <c r="F1254" t="s">
        <v>4516</v>
      </c>
      <c r="G1254" t="s">
        <v>51</v>
      </c>
      <c r="H1254" t="s">
        <v>4925</v>
      </c>
      <c r="I1254" t="s">
        <v>53</v>
      </c>
      <c r="J1254" t="s">
        <v>2572</v>
      </c>
      <c r="K1254" t="s">
        <v>3594</v>
      </c>
      <c r="L1254" t="s">
        <v>18</v>
      </c>
      <c r="M1254" t="s">
        <v>17</v>
      </c>
      <c r="N1254">
        <v>1398</v>
      </c>
      <c r="O1254">
        <v>82</v>
      </c>
      <c r="P1254">
        <v>0</v>
      </c>
      <c r="Q1254" t="s">
        <v>5010</v>
      </c>
      <c r="R1254" t="s">
        <v>5011</v>
      </c>
      <c r="S1254" t="s">
        <v>5012</v>
      </c>
      <c r="T1254" t="s">
        <v>5013</v>
      </c>
      <c r="U1254" t="s">
        <v>60</v>
      </c>
      <c r="V1254" t="s">
        <v>61</v>
      </c>
      <c r="W1254">
        <v>10</v>
      </c>
      <c r="X1254">
        <v>0.1150625</v>
      </c>
      <c r="Y1254" t="s">
        <v>118</v>
      </c>
      <c r="Z1254" t="s">
        <v>170</v>
      </c>
      <c r="AA1254">
        <v>0</v>
      </c>
      <c r="AB1254" t="s">
        <v>4929</v>
      </c>
      <c r="AC1254" t="s">
        <v>4930</v>
      </c>
      <c r="AD1254" t="s">
        <v>4931</v>
      </c>
      <c r="AE1254" t="s">
        <v>4932</v>
      </c>
      <c r="AF1254" t="s">
        <v>4933</v>
      </c>
      <c r="AG1254" t="s">
        <v>66</v>
      </c>
      <c r="AH1254" t="s">
        <v>66</v>
      </c>
      <c r="AI1254" t="s">
        <v>66</v>
      </c>
      <c r="AJ1254" t="s">
        <v>66</v>
      </c>
      <c r="AK1254">
        <v>1</v>
      </c>
      <c r="AL1254" t="s">
        <v>66</v>
      </c>
      <c r="AM1254" t="s">
        <v>66</v>
      </c>
      <c r="AN1254" t="s">
        <v>66</v>
      </c>
      <c r="AO1254" t="s">
        <v>66</v>
      </c>
      <c r="AP1254">
        <v>1</v>
      </c>
      <c r="AQ1254" t="s">
        <v>66</v>
      </c>
      <c r="AR1254" t="s">
        <v>66</v>
      </c>
      <c r="AS1254" t="s">
        <v>66</v>
      </c>
      <c r="AT1254" t="s">
        <v>66</v>
      </c>
    </row>
    <row r="1255" spans="1:46" x14ac:dyDescent="0.15">
      <c r="A1255" t="s">
        <v>5014</v>
      </c>
      <c r="B1255" t="s">
        <v>4922</v>
      </c>
      <c r="C1255" t="s">
        <v>4923</v>
      </c>
      <c r="D1255">
        <v>18</v>
      </c>
      <c r="E1255" t="s">
        <v>4924</v>
      </c>
      <c r="F1255" t="s">
        <v>4516</v>
      </c>
      <c r="G1255" t="s">
        <v>51</v>
      </c>
      <c r="H1255" t="s">
        <v>4925</v>
      </c>
      <c r="I1255" t="s">
        <v>53</v>
      </c>
      <c r="J1255" t="s">
        <v>2572</v>
      </c>
      <c r="K1255" t="s">
        <v>3594</v>
      </c>
      <c r="L1255" t="s">
        <v>18</v>
      </c>
      <c r="M1255" t="s">
        <v>17</v>
      </c>
      <c r="N1255">
        <v>1454</v>
      </c>
      <c r="O1255">
        <v>85</v>
      </c>
      <c r="P1255">
        <v>0</v>
      </c>
      <c r="Q1255" t="s">
        <v>5015</v>
      </c>
      <c r="R1255" t="s">
        <v>5016</v>
      </c>
      <c r="S1255" t="s">
        <v>5017</v>
      </c>
      <c r="T1255" t="s">
        <v>5018</v>
      </c>
      <c r="U1255" t="s">
        <v>60</v>
      </c>
      <c r="V1255" t="s">
        <v>61</v>
      </c>
      <c r="W1255">
        <v>10</v>
      </c>
      <c r="X1255">
        <v>0.1150625</v>
      </c>
      <c r="Y1255" t="s">
        <v>176</v>
      </c>
      <c r="Z1255" t="s">
        <v>177</v>
      </c>
      <c r="AA1255">
        <v>0</v>
      </c>
      <c r="AB1255" t="s">
        <v>4929</v>
      </c>
      <c r="AC1255" t="s">
        <v>4930</v>
      </c>
      <c r="AD1255" t="s">
        <v>4931</v>
      </c>
      <c r="AE1255" t="s">
        <v>4932</v>
      </c>
      <c r="AF1255" t="s">
        <v>4933</v>
      </c>
      <c r="AG1255" t="s">
        <v>66</v>
      </c>
      <c r="AH1255" t="s">
        <v>66</v>
      </c>
      <c r="AI1255" t="s">
        <v>66</v>
      </c>
      <c r="AJ1255" t="s">
        <v>66</v>
      </c>
      <c r="AK1255">
        <v>1</v>
      </c>
      <c r="AL1255" t="s">
        <v>66</v>
      </c>
      <c r="AM1255" t="s">
        <v>66</v>
      </c>
      <c r="AN1255" t="s">
        <v>66</v>
      </c>
      <c r="AO1255" t="s">
        <v>66</v>
      </c>
      <c r="AP1255">
        <v>1</v>
      </c>
      <c r="AQ1255" t="s">
        <v>66</v>
      </c>
      <c r="AR1255" t="s">
        <v>66</v>
      </c>
      <c r="AS1255" t="s">
        <v>66</v>
      </c>
      <c r="AT1255" t="s">
        <v>66</v>
      </c>
    </row>
    <row r="1256" spans="1:46" x14ac:dyDescent="0.15">
      <c r="A1256" t="s">
        <v>5019</v>
      </c>
      <c r="B1256" t="s">
        <v>4922</v>
      </c>
      <c r="C1256" t="s">
        <v>4923</v>
      </c>
      <c r="D1256">
        <v>19</v>
      </c>
      <c r="E1256" t="s">
        <v>4924</v>
      </c>
      <c r="F1256" t="s">
        <v>4516</v>
      </c>
      <c r="G1256" t="s">
        <v>51</v>
      </c>
      <c r="H1256" t="s">
        <v>4925</v>
      </c>
      <c r="I1256" t="s">
        <v>53</v>
      </c>
      <c r="J1256" t="s">
        <v>2572</v>
      </c>
      <c r="K1256" t="s">
        <v>3594</v>
      </c>
      <c r="L1256" t="s">
        <v>18</v>
      </c>
      <c r="M1256" t="s">
        <v>17</v>
      </c>
      <c r="N1256">
        <v>1510</v>
      </c>
      <c r="O1256">
        <v>89</v>
      </c>
      <c r="P1256">
        <v>0</v>
      </c>
      <c r="Q1256" t="s">
        <v>5020</v>
      </c>
      <c r="R1256" t="s">
        <v>5021</v>
      </c>
      <c r="S1256" t="s">
        <v>5022</v>
      </c>
      <c r="T1256" t="s">
        <v>5023</v>
      </c>
      <c r="U1256" t="s">
        <v>60</v>
      </c>
      <c r="V1256" t="s">
        <v>61</v>
      </c>
      <c r="W1256">
        <v>10</v>
      </c>
      <c r="X1256">
        <v>0.1150625</v>
      </c>
      <c r="Y1256" t="s">
        <v>125</v>
      </c>
      <c r="Z1256" t="s">
        <v>183</v>
      </c>
      <c r="AA1256">
        <v>0</v>
      </c>
      <c r="AB1256" t="s">
        <v>4929</v>
      </c>
      <c r="AC1256" t="s">
        <v>4930</v>
      </c>
      <c r="AD1256" t="s">
        <v>4931</v>
      </c>
      <c r="AE1256" t="s">
        <v>4932</v>
      </c>
      <c r="AF1256" t="s">
        <v>4933</v>
      </c>
      <c r="AG1256" t="s">
        <v>66</v>
      </c>
      <c r="AH1256" t="s">
        <v>66</v>
      </c>
      <c r="AI1256" t="s">
        <v>66</v>
      </c>
      <c r="AJ1256" t="s">
        <v>66</v>
      </c>
      <c r="AK1256">
        <v>1</v>
      </c>
      <c r="AL1256" t="s">
        <v>66</v>
      </c>
      <c r="AM1256" t="s">
        <v>66</v>
      </c>
      <c r="AN1256" t="s">
        <v>66</v>
      </c>
      <c r="AO1256" t="s">
        <v>66</v>
      </c>
      <c r="AP1256">
        <v>1</v>
      </c>
      <c r="AQ1256" t="s">
        <v>66</v>
      </c>
      <c r="AR1256" t="s">
        <v>66</v>
      </c>
      <c r="AS1256" t="s">
        <v>66</v>
      </c>
      <c r="AT1256" t="s">
        <v>66</v>
      </c>
    </row>
    <row r="1257" spans="1:46" x14ac:dyDescent="0.15">
      <c r="A1257" t="s">
        <v>5024</v>
      </c>
      <c r="B1257" t="s">
        <v>4922</v>
      </c>
      <c r="C1257" t="s">
        <v>4923</v>
      </c>
      <c r="D1257">
        <v>20</v>
      </c>
      <c r="E1257" t="s">
        <v>4924</v>
      </c>
      <c r="F1257" t="s">
        <v>4516</v>
      </c>
      <c r="G1257" t="s">
        <v>51</v>
      </c>
      <c r="H1257" t="s">
        <v>4925</v>
      </c>
      <c r="I1257" t="s">
        <v>53</v>
      </c>
      <c r="J1257" t="s">
        <v>2572</v>
      </c>
      <c r="K1257" t="s">
        <v>3594</v>
      </c>
      <c r="L1257" t="s">
        <v>18</v>
      </c>
      <c r="M1257" t="s">
        <v>17</v>
      </c>
      <c r="N1257">
        <v>1566</v>
      </c>
      <c r="O1257">
        <v>92</v>
      </c>
      <c r="P1257">
        <v>0</v>
      </c>
      <c r="Q1257" t="s">
        <v>5025</v>
      </c>
      <c r="R1257" t="s">
        <v>5026</v>
      </c>
      <c r="S1257" t="s">
        <v>5027</v>
      </c>
      <c r="T1257" t="s">
        <v>5028</v>
      </c>
      <c r="U1257" t="s">
        <v>60</v>
      </c>
      <c r="V1257" t="s">
        <v>61</v>
      </c>
      <c r="W1257">
        <v>10</v>
      </c>
      <c r="X1257">
        <v>0.1150625</v>
      </c>
      <c r="Y1257" t="s">
        <v>189</v>
      </c>
      <c r="Z1257" t="s">
        <v>190</v>
      </c>
      <c r="AA1257">
        <v>0</v>
      </c>
      <c r="AB1257" t="s">
        <v>4929</v>
      </c>
      <c r="AC1257" t="s">
        <v>4930</v>
      </c>
      <c r="AD1257" t="s">
        <v>4931</v>
      </c>
      <c r="AE1257" t="s">
        <v>4932</v>
      </c>
      <c r="AF1257" t="s">
        <v>4933</v>
      </c>
      <c r="AG1257" t="s">
        <v>66</v>
      </c>
      <c r="AH1257" t="s">
        <v>66</v>
      </c>
      <c r="AI1257" t="s">
        <v>66</v>
      </c>
      <c r="AJ1257" t="s">
        <v>66</v>
      </c>
      <c r="AK1257">
        <v>1</v>
      </c>
      <c r="AL1257" t="s">
        <v>66</v>
      </c>
      <c r="AM1257" t="s">
        <v>66</v>
      </c>
      <c r="AN1257" t="s">
        <v>66</v>
      </c>
      <c r="AO1257" t="s">
        <v>66</v>
      </c>
      <c r="AP1257">
        <v>1</v>
      </c>
      <c r="AQ1257" t="s">
        <v>66</v>
      </c>
      <c r="AR1257" t="s">
        <v>66</v>
      </c>
      <c r="AS1257" t="s">
        <v>66</v>
      </c>
      <c r="AT1257" t="s">
        <v>66</v>
      </c>
    </row>
    <row r="1258" spans="1:46" x14ac:dyDescent="0.15">
      <c r="A1258" t="s">
        <v>5024</v>
      </c>
      <c r="B1258" t="s">
        <v>4922</v>
      </c>
      <c r="C1258" t="s">
        <v>4923</v>
      </c>
      <c r="D1258">
        <v>20</v>
      </c>
      <c r="E1258" t="s">
        <v>4924</v>
      </c>
      <c r="F1258" t="s">
        <v>4516</v>
      </c>
      <c r="G1258" t="s">
        <v>51</v>
      </c>
      <c r="H1258" t="s">
        <v>4925</v>
      </c>
      <c r="I1258" t="s">
        <v>53</v>
      </c>
      <c r="J1258" t="s">
        <v>2572</v>
      </c>
      <c r="K1258" t="s">
        <v>3594</v>
      </c>
      <c r="L1258" t="s">
        <v>18</v>
      </c>
      <c r="M1258" t="s">
        <v>17</v>
      </c>
      <c r="N1258">
        <v>1566</v>
      </c>
      <c r="O1258">
        <v>92</v>
      </c>
      <c r="P1258">
        <v>0</v>
      </c>
      <c r="Q1258" t="s">
        <v>5025</v>
      </c>
      <c r="R1258" t="s">
        <v>5026</v>
      </c>
      <c r="S1258" t="s">
        <v>5027</v>
      </c>
      <c r="T1258" t="s">
        <v>5028</v>
      </c>
      <c r="U1258" t="s">
        <v>60</v>
      </c>
      <c r="V1258" t="s">
        <v>61</v>
      </c>
      <c r="W1258">
        <v>10</v>
      </c>
      <c r="X1258">
        <v>0.1150625</v>
      </c>
      <c r="Y1258" t="s">
        <v>189</v>
      </c>
      <c r="Z1258" t="s">
        <v>190</v>
      </c>
      <c r="AA1258">
        <v>1</v>
      </c>
      <c r="AB1258" t="s">
        <v>4929</v>
      </c>
      <c r="AC1258" t="s">
        <v>4930</v>
      </c>
      <c r="AD1258" t="s">
        <v>4931</v>
      </c>
      <c r="AE1258" t="s">
        <v>4932</v>
      </c>
      <c r="AF1258" t="s">
        <v>4933</v>
      </c>
      <c r="AG1258" t="s">
        <v>1963</v>
      </c>
      <c r="AH1258" t="s">
        <v>66</v>
      </c>
      <c r="AI1258" t="s">
        <v>66</v>
      </c>
      <c r="AJ1258" t="s">
        <v>66</v>
      </c>
      <c r="AK1258">
        <v>1</v>
      </c>
      <c r="AL1258" t="s">
        <v>66</v>
      </c>
      <c r="AM1258" t="s">
        <v>66</v>
      </c>
      <c r="AN1258" t="s">
        <v>66</v>
      </c>
      <c r="AO1258" t="s">
        <v>66</v>
      </c>
      <c r="AP1258">
        <v>1</v>
      </c>
      <c r="AQ1258" t="s">
        <v>66</v>
      </c>
      <c r="AR1258" t="s">
        <v>66</v>
      </c>
      <c r="AS1258" t="s">
        <v>66</v>
      </c>
      <c r="AT1258" t="s">
        <v>66</v>
      </c>
    </row>
    <row r="1259" spans="1:46" x14ac:dyDescent="0.15">
      <c r="A1259" t="s">
        <v>5029</v>
      </c>
      <c r="B1259" t="s">
        <v>4922</v>
      </c>
      <c r="C1259" t="s">
        <v>4923</v>
      </c>
      <c r="D1259">
        <v>21</v>
      </c>
      <c r="E1259" t="s">
        <v>4924</v>
      </c>
      <c r="F1259" t="s">
        <v>4516</v>
      </c>
      <c r="G1259" t="s">
        <v>51</v>
      </c>
      <c r="H1259" t="s">
        <v>4925</v>
      </c>
      <c r="I1259" t="s">
        <v>53</v>
      </c>
      <c r="J1259" t="s">
        <v>2572</v>
      </c>
      <c r="K1259" t="s">
        <v>3594</v>
      </c>
      <c r="L1259" t="s">
        <v>18</v>
      </c>
      <c r="M1259" t="s">
        <v>17</v>
      </c>
      <c r="N1259">
        <v>1622</v>
      </c>
      <c r="O1259">
        <v>95</v>
      </c>
      <c r="P1259">
        <v>0</v>
      </c>
      <c r="Q1259" t="s">
        <v>5030</v>
      </c>
      <c r="R1259" t="s">
        <v>5031</v>
      </c>
      <c r="S1259" t="s">
        <v>5032</v>
      </c>
      <c r="T1259" t="s">
        <v>5033</v>
      </c>
      <c r="U1259" t="s">
        <v>60</v>
      </c>
      <c r="V1259" t="s">
        <v>61</v>
      </c>
      <c r="W1259">
        <v>10</v>
      </c>
      <c r="X1259">
        <v>0.1150625</v>
      </c>
      <c r="Y1259" t="s">
        <v>131</v>
      </c>
      <c r="Z1259" t="s">
        <v>197</v>
      </c>
      <c r="AA1259">
        <v>1</v>
      </c>
      <c r="AB1259" t="s">
        <v>4929</v>
      </c>
      <c r="AC1259" t="s">
        <v>4930</v>
      </c>
      <c r="AD1259" t="s">
        <v>4931</v>
      </c>
      <c r="AE1259" t="s">
        <v>4932</v>
      </c>
      <c r="AF1259" t="s">
        <v>4933</v>
      </c>
      <c r="AG1259" t="s">
        <v>1963</v>
      </c>
      <c r="AH1259" t="s">
        <v>66</v>
      </c>
      <c r="AI1259" t="s">
        <v>66</v>
      </c>
      <c r="AJ1259" t="s">
        <v>66</v>
      </c>
      <c r="AK1259">
        <v>1</v>
      </c>
      <c r="AL1259" t="s">
        <v>66</v>
      </c>
      <c r="AM1259" t="s">
        <v>66</v>
      </c>
      <c r="AN1259" t="s">
        <v>66</v>
      </c>
      <c r="AO1259" t="s">
        <v>66</v>
      </c>
      <c r="AP1259">
        <v>1</v>
      </c>
      <c r="AQ1259" t="s">
        <v>66</v>
      </c>
      <c r="AR1259" t="s">
        <v>66</v>
      </c>
      <c r="AS1259" t="s">
        <v>66</v>
      </c>
      <c r="AT1259" t="s">
        <v>66</v>
      </c>
    </row>
    <row r="1260" spans="1:46" x14ac:dyDescent="0.15">
      <c r="A1260" t="s">
        <v>5034</v>
      </c>
      <c r="B1260" t="s">
        <v>4922</v>
      </c>
      <c r="C1260" t="s">
        <v>4923</v>
      </c>
      <c r="D1260">
        <v>22</v>
      </c>
      <c r="E1260" t="s">
        <v>4924</v>
      </c>
      <c r="F1260" t="s">
        <v>4516</v>
      </c>
      <c r="G1260" t="s">
        <v>51</v>
      </c>
      <c r="H1260" t="s">
        <v>4925</v>
      </c>
      <c r="I1260" t="s">
        <v>53</v>
      </c>
      <c r="J1260" t="s">
        <v>2572</v>
      </c>
      <c r="K1260" t="s">
        <v>3594</v>
      </c>
      <c r="L1260" t="s">
        <v>18</v>
      </c>
      <c r="M1260" t="s">
        <v>17</v>
      </c>
      <c r="N1260">
        <v>1679</v>
      </c>
      <c r="O1260">
        <v>99</v>
      </c>
      <c r="P1260">
        <v>0</v>
      </c>
      <c r="Q1260" t="s">
        <v>5035</v>
      </c>
      <c r="R1260" t="s">
        <v>5036</v>
      </c>
      <c r="S1260" t="s">
        <v>5037</v>
      </c>
      <c r="T1260" t="s">
        <v>5038</v>
      </c>
      <c r="U1260" t="s">
        <v>60</v>
      </c>
      <c r="V1260" t="s">
        <v>61</v>
      </c>
      <c r="W1260">
        <v>10</v>
      </c>
      <c r="X1260">
        <v>0.1150625</v>
      </c>
      <c r="Y1260" t="s">
        <v>203</v>
      </c>
      <c r="Z1260" t="s">
        <v>204</v>
      </c>
      <c r="AA1260">
        <v>1</v>
      </c>
      <c r="AB1260" t="s">
        <v>4929</v>
      </c>
      <c r="AC1260" t="s">
        <v>4930</v>
      </c>
      <c r="AD1260" t="s">
        <v>4931</v>
      </c>
      <c r="AE1260" t="s">
        <v>4932</v>
      </c>
      <c r="AF1260" t="s">
        <v>4933</v>
      </c>
      <c r="AG1260" t="s">
        <v>1963</v>
      </c>
      <c r="AH1260" t="s">
        <v>66</v>
      </c>
      <c r="AI1260" t="s">
        <v>66</v>
      </c>
      <c r="AJ1260" t="s">
        <v>66</v>
      </c>
      <c r="AK1260">
        <v>1</v>
      </c>
      <c r="AL1260" t="s">
        <v>66</v>
      </c>
      <c r="AM1260" t="s">
        <v>66</v>
      </c>
      <c r="AN1260" t="s">
        <v>66</v>
      </c>
      <c r="AO1260" t="s">
        <v>66</v>
      </c>
      <c r="AP1260">
        <v>1</v>
      </c>
      <c r="AQ1260" t="s">
        <v>66</v>
      </c>
      <c r="AR1260" t="s">
        <v>66</v>
      </c>
      <c r="AS1260" t="s">
        <v>66</v>
      </c>
      <c r="AT1260" t="s">
        <v>66</v>
      </c>
    </row>
    <row r="1261" spans="1:46" x14ac:dyDescent="0.15">
      <c r="A1261" t="s">
        <v>5039</v>
      </c>
      <c r="B1261" t="s">
        <v>4922</v>
      </c>
      <c r="C1261" t="s">
        <v>4923</v>
      </c>
      <c r="D1261">
        <v>23</v>
      </c>
      <c r="E1261" t="s">
        <v>4924</v>
      </c>
      <c r="F1261" t="s">
        <v>4516</v>
      </c>
      <c r="G1261" t="s">
        <v>51</v>
      </c>
      <c r="H1261" t="s">
        <v>4925</v>
      </c>
      <c r="I1261" t="s">
        <v>53</v>
      </c>
      <c r="J1261" t="s">
        <v>2572</v>
      </c>
      <c r="K1261" t="s">
        <v>3594</v>
      </c>
      <c r="L1261" t="s">
        <v>18</v>
      </c>
      <c r="M1261" t="s">
        <v>17</v>
      </c>
      <c r="N1261">
        <v>1735</v>
      </c>
      <c r="O1261">
        <v>102</v>
      </c>
      <c r="P1261">
        <v>0</v>
      </c>
      <c r="Q1261" t="s">
        <v>5040</v>
      </c>
      <c r="R1261" t="s">
        <v>5041</v>
      </c>
      <c r="S1261" t="s">
        <v>5042</v>
      </c>
      <c r="T1261" t="s">
        <v>5043</v>
      </c>
      <c r="U1261" t="s">
        <v>60</v>
      </c>
      <c r="V1261" t="s">
        <v>61</v>
      </c>
      <c r="W1261">
        <v>10</v>
      </c>
      <c r="X1261">
        <v>0.1150625</v>
      </c>
      <c r="Y1261" t="s">
        <v>138</v>
      </c>
      <c r="Z1261" t="s">
        <v>210</v>
      </c>
      <c r="AA1261">
        <v>1</v>
      </c>
      <c r="AB1261" t="s">
        <v>4929</v>
      </c>
      <c r="AC1261" t="s">
        <v>4930</v>
      </c>
      <c r="AD1261" t="s">
        <v>4931</v>
      </c>
      <c r="AE1261" t="s">
        <v>4932</v>
      </c>
      <c r="AF1261" t="s">
        <v>4933</v>
      </c>
      <c r="AG1261" t="s">
        <v>1963</v>
      </c>
      <c r="AH1261" t="s">
        <v>66</v>
      </c>
      <c r="AI1261" t="s">
        <v>66</v>
      </c>
      <c r="AJ1261" t="s">
        <v>66</v>
      </c>
      <c r="AK1261">
        <v>1</v>
      </c>
      <c r="AL1261" t="s">
        <v>66</v>
      </c>
      <c r="AM1261" t="s">
        <v>66</v>
      </c>
      <c r="AN1261" t="s">
        <v>66</v>
      </c>
      <c r="AO1261" t="s">
        <v>66</v>
      </c>
      <c r="AP1261">
        <v>1</v>
      </c>
      <c r="AQ1261" t="s">
        <v>66</v>
      </c>
      <c r="AR1261" t="s">
        <v>66</v>
      </c>
      <c r="AS1261" t="s">
        <v>66</v>
      </c>
      <c r="AT1261" t="s">
        <v>66</v>
      </c>
    </row>
    <row r="1262" spans="1:46" x14ac:dyDescent="0.15">
      <c r="A1262" t="s">
        <v>5044</v>
      </c>
      <c r="B1262" t="s">
        <v>4922</v>
      </c>
      <c r="C1262" t="s">
        <v>4923</v>
      </c>
      <c r="D1262">
        <v>24</v>
      </c>
      <c r="E1262" t="s">
        <v>4924</v>
      </c>
      <c r="F1262" t="s">
        <v>4516</v>
      </c>
      <c r="G1262" t="s">
        <v>51</v>
      </c>
      <c r="H1262" t="s">
        <v>4925</v>
      </c>
      <c r="I1262" t="s">
        <v>53</v>
      </c>
      <c r="J1262" t="s">
        <v>2572</v>
      </c>
      <c r="K1262" t="s">
        <v>3594</v>
      </c>
      <c r="L1262" t="s">
        <v>18</v>
      </c>
      <c r="M1262" t="s">
        <v>17</v>
      </c>
      <c r="N1262">
        <v>1791</v>
      </c>
      <c r="O1262">
        <v>105</v>
      </c>
      <c r="P1262">
        <v>0</v>
      </c>
      <c r="Q1262" t="s">
        <v>5045</v>
      </c>
      <c r="R1262" t="s">
        <v>5046</v>
      </c>
      <c r="S1262" t="s">
        <v>5047</v>
      </c>
      <c r="T1262" t="s">
        <v>5048</v>
      </c>
      <c r="U1262" t="s">
        <v>60</v>
      </c>
      <c r="V1262" t="s">
        <v>61</v>
      </c>
      <c r="W1262">
        <v>10</v>
      </c>
      <c r="X1262">
        <v>0.1150625</v>
      </c>
      <c r="Y1262" t="s">
        <v>216</v>
      </c>
      <c r="Z1262" t="s">
        <v>217</v>
      </c>
      <c r="AA1262">
        <v>1</v>
      </c>
      <c r="AB1262" t="s">
        <v>4929</v>
      </c>
      <c r="AC1262" t="s">
        <v>4930</v>
      </c>
      <c r="AD1262" t="s">
        <v>4931</v>
      </c>
      <c r="AE1262" t="s">
        <v>4932</v>
      </c>
      <c r="AF1262" t="s">
        <v>4933</v>
      </c>
      <c r="AG1262" t="s">
        <v>1963</v>
      </c>
      <c r="AH1262" t="s">
        <v>66</v>
      </c>
      <c r="AI1262" t="s">
        <v>66</v>
      </c>
      <c r="AJ1262" t="s">
        <v>66</v>
      </c>
      <c r="AK1262">
        <v>1</v>
      </c>
      <c r="AL1262" t="s">
        <v>66</v>
      </c>
      <c r="AM1262" t="s">
        <v>66</v>
      </c>
      <c r="AN1262" t="s">
        <v>66</v>
      </c>
      <c r="AO1262" t="s">
        <v>66</v>
      </c>
      <c r="AP1262">
        <v>1</v>
      </c>
      <c r="AQ1262" t="s">
        <v>66</v>
      </c>
      <c r="AR1262" t="s">
        <v>66</v>
      </c>
      <c r="AS1262" t="s">
        <v>66</v>
      </c>
      <c r="AT1262" t="s">
        <v>66</v>
      </c>
    </row>
    <row r="1263" spans="1:46" x14ac:dyDescent="0.15">
      <c r="A1263" t="s">
        <v>5049</v>
      </c>
      <c r="B1263" t="s">
        <v>4922</v>
      </c>
      <c r="C1263" t="s">
        <v>4923</v>
      </c>
      <c r="D1263">
        <v>25</v>
      </c>
      <c r="E1263" t="s">
        <v>4924</v>
      </c>
      <c r="F1263" t="s">
        <v>4516</v>
      </c>
      <c r="G1263" t="s">
        <v>51</v>
      </c>
      <c r="H1263" t="s">
        <v>4925</v>
      </c>
      <c r="I1263" t="s">
        <v>53</v>
      </c>
      <c r="J1263" t="s">
        <v>2572</v>
      </c>
      <c r="K1263" t="s">
        <v>3594</v>
      </c>
      <c r="L1263" t="s">
        <v>18</v>
      </c>
      <c r="M1263" t="s">
        <v>17</v>
      </c>
      <c r="N1263">
        <v>1847</v>
      </c>
      <c r="O1263">
        <v>108</v>
      </c>
      <c r="P1263">
        <v>0</v>
      </c>
      <c r="Q1263" t="s">
        <v>5050</v>
      </c>
      <c r="R1263" t="s">
        <v>5051</v>
      </c>
      <c r="S1263" t="s">
        <v>5052</v>
      </c>
      <c r="T1263" t="s">
        <v>5053</v>
      </c>
      <c r="U1263" t="s">
        <v>60</v>
      </c>
      <c r="V1263" t="s">
        <v>61</v>
      </c>
      <c r="W1263">
        <v>10</v>
      </c>
      <c r="X1263">
        <v>0.1150625</v>
      </c>
      <c r="Y1263" t="s">
        <v>144</v>
      </c>
      <c r="Z1263" t="s">
        <v>223</v>
      </c>
      <c r="AA1263">
        <v>1</v>
      </c>
      <c r="AB1263" t="s">
        <v>4929</v>
      </c>
      <c r="AC1263" t="s">
        <v>4930</v>
      </c>
      <c r="AD1263" t="s">
        <v>4931</v>
      </c>
      <c r="AE1263" t="s">
        <v>4932</v>
      </c>
      <c r="AF1263" t="s">
        <v>4933</v>
      </c>
      <c r="AG1263" t="s">
        <v>1963</v>
      </c>
      <c r="AH1263" t="s">
        <v>66</v>
      </c>
      <c r="AI1263" t="s">
        <v>66</v>
      </c>
      <c r="AJ1263" t="s">
        <v>66</v>
      </c>
      <c r="AK1263">
        <v>1</v>
      </c>
      <c r="AL1263" t="s">
        <v>66</v>
      </c>
      <c r="AM1263" t="s">
        <v>66</v>
      </c>
      <c r="AN1263" t="s">
        <v>66</v>
      </c>
      <c r="AO1263" t="s">
        <v>66</v>
      </c>
      <c r="AP1263">
        <v>1</v>
      </c>
      <c r="AQ1263" t="s">
        <v>66</v>
      </c>
      <c r="AR1263" t="s">
        <v>66</v>
      </c>
      <c r="AS1263" t="s">
        <v>66</v>
      </c>
      <c r="AT1263" t="s">
        <v>66</v>
      </c>
    </row>
    <row r="1264" spans="1:46" x14ac:dyDescent="0.15">
      <c r="A1264" t="s">
        <v>5054</v>
      </c>
      <c r="B1264" t="s">
        <v>4922</v>
      </c>
      <c r="C1264" t="s">
        <v>4923</v>
      </c>
      <c r="D1264">
        <v>26</v>
      </c>
      <c r="E1264" t="s">
        <v>4924</v>
      </c>
      <c r="F1264" t="s">
        <v>4516</v>
      </c>
      <c r="G1264" t="s">
        <v>51</v>
      </c>
      <c r="H1264" t="s">
        <v>4925</v>
      </c>
      <c r="I1264" t="s">
        <v>53</v>
      </c>
      <c r="J1264" t="s">
        <v>2572</v>
      </c>
      <c r="K1264" t="s">
        <v>3594</v>
      </c>
      <c r="L1264" t="s">
        <v>18</v>
      </c>
      <c r="M1264" t="s">
        <v>17</v>
      </c>
      <c r="N1264">
        <v>1903</v>
      </c>
      <c r="O1264">
        <v>112</v>
      </c>
      <c r="P1264">
        <v>0</v>
      </c>
      <c r="Q1264" t="s">
        <v>5055</v>
      </c>
      <c r="R1264" t="s">
        <v>5056</v>
      </c>
      <c r="S1264" t="s">
        <v>5057</v>
      </c>
      <c r="T1264" t="s">
        <v>5058</v>
      </c>
      <c r="U1264" t="s">
        <v>60</v>
      </c>
      <c r="V1264" t="s">
        <v>61</v>
      </c>
      <c r="W1264">
        <v>10</v>
      </c>
      <c r="X1264">
        <v>0.1150625</v>
      </c>
      <c r="Y1264" t="s">
        <v>229</v>
      </c>
      <c r="Z1264" t="s">
        <v>230</v>
      </c>
      <c r="AA1264">
        <v>1</v>
      </c>
      <c r="AB1264" t="s">
        <v>4929</v>
      </c>
      <c r="AC1264" t="s">
        <v>4930</v>
      </c>
      <c r="AD1264" t="s">
        <v>4931</v>
      </c>
      <c r="AE1264" t="s">
        <v>4932</v>
      </c>
      <c r="AF1264" t="s">
        <v>4933</v>
      </c>
      <c r="AG1264" t="s">
        <v>1963</v>
      </c>
      <c r="AH1264" t="s">
        <v>66</v>
      </c>
      <c r="AI1264" t="s">
        <v>66</v>
      </c>
      <c r="AJ1264" t="s">
        <v>66</v>
      </c>
      <c r="AK1264">
        <v>1</v>
      </c>
      <c r="AL1264" t="s">
        <v>66</v>
      </c>
      <c r="AM1264" t="s">
        <v>66</v>
      </c>
      <c r="AN1264" t="s">
        <v>66</v>
      </c>
      <c r="AO1264" t="s">
        <v>66</v>
      </c>
      <c r="AP1264">
        <v>1</v>
      </c>
      <c r="AQ1264" t="s">
        <v>66</v>
      </c>
      <c r="AR1264" t="s">
        <v>66</v>
      </c>
      <c r="AS1264" t="s">
        <v>66</v>
      </c>
      <c r="AT1264" t="s">
        <v>66</v>
      </c>
    </row>
    <row r="1265" spans="1:46" x14ac:dyDescent="0.15">
      <c r="A1265" t="s">
        <v>5059</v>
      </c>
      <c r="B1265" t="s">
        <v>4922</v>
      </c>
      <c r="C1265" t="s">
        <v>4923</v>
      </c>
      <c r="D1265">
        <v>27</v>
      </c>
      <c r="E1265" t="s">
        <v>4924</v>
      </c>
      <c r="F1265" t="s">
        <v>4516</v>
      </c>
      <c r="G1265" t="s">
        <v>51</v>
      </c>
      <c r="H1265" t="s">
        <v>4925</v>
      </c>
      <c r="I1265" t="s">
        <v>53</v>
      </c>
      <c r="J1265" t="s">
        <v>2572</v>
      </c>
      <c r="K1265" t="s">
        <v>3594</v>
      </c>
      <c r="L1265" t="s">
        <v>18</v>
      </c>
      <c r="M1265" t="s">
        <v>17</v>
      </c>
      <c r="N1265">
        <v>1959</v>
      </c>
      <c r="O1265">
        <v>115</v>
      </c>
      <c r="P1265">
        <v>0</v>
      </c>
      <c r="Q1265" t="s">
        <v>5060</v>
      </c>
      <c r="R1265" t="s">
        <v>5061</v>
      </c>
      <c r="S1265" t="s">
        <v>5062</v>
      </c>
      <c r="T1265" t="s">
        <v>5063</v>
      </c>
      <c r="U1265" t="s">
        <v>60</v>
      </c>
      <c r="V1265" t="s">
        <v>61</v>
      </c>
      <c r="W1265">
        <v>10</v>
      </c>
      <c r="X1265">
        <v>0.1150625</v>
      </c>
      <c r="Y1265" t="s">
        <v>151</v>
      </c>
      <c r="Z1265" t="s">
        <v>236</v>
      </c>
      <c r="AA1265">
        <v>1</v>
      </c>
      <c r="AB1265" t="s">
        <v>4929</v>
      </c>
      <c r="AC1265" t="s">
        <v>4930</v>
      </c>
      <c r="AD1265" t="s">
        <v>4931</v>
      </c>
      <c r="AE1265" t="s">
        <v>4932</v>
      </c>
      <c r="AF1265" t="s">
        <v>4933</v>
      </c>
      <c r="AG1265" t="s">
        <v>1963</v>
      </c>
      <c r="AH1265" t="s">
        <v>66</v>
      </c>
      <c r="AI1265" t="s">
        <v>66</v>
      </c>
      <c r="AJ1265" t="s">
        <v>66</v>
      </c>
      <c r="AK1265">
        <v>1</v>
      </c>
      <c r="AL1265" t="s">
        <v>66</v>
      </c>
      <c r="AM1265" t="s">
        <v>66</v>
      </c>
      <c r="AN1265" t="s">
        <v>66</v>
      </c>
      <c r="AO1265" t="s">
        <v>66</v>
      </c>
      <c r="AP1265">
        <v>1</v>
      </c>
      <c r="AQ1265" t="s">
        <v>66</v>
      </c>
      <c r="AR1265" t="s">
        <v>66</v>
      </c>
      <c r="AS1265" t="s">
        <v>66</v>
      </c>
      <c r="AT1265" t="s">
        <v>66</v>
      </c>
    </row>
    <row r="1266" spans="1:46" x14ac:dyDescent="0.15">
      <c r="A1266" t="s">
        <v>5064</v>
      </c>
      <c r="B1266" t="s">
        <v>4922</v>
      </c>
      <c r="C1266" t="s">
        <v>4923</v>
      </c>
      <c r="D1266">
        <v>28</v>
      </c>
      <c r="E1266" t="s">
        <v>4924</v>
      </c>
      <c r="F1266" t="s">
        <v>4516</v>
      </c>
      <c r="G1266" t="s">
        <v>51</v>
      </c>
      <c r="H1266" t="s">
        <v>4925</v>
      </c>
      <c r="I1266" t="s">
        <v>53</v>
      </c>
      <c r="J1266" t="s">
        <v>2572</v>
      </c>
      <c r="K1266" t="s">
        <v>3594</v>
      </c>
      <c r="L1266" t="s">
        <v>18</v>
      </c>
      <c r="M1266" t="s">
        <v>17</v>
      </c>
      <c r="N1266">
        <v>2015</v>
      </c>
      <c r="O1266">
        <v>118</v>
      </c>
      <c r="P1266">
        <v>0</v>
      </c>
      <c r="Q1266" t="s">
        <v>5065</v>
      </c>
      <c r="R1266" t="s">
        <v>5066</v>
      </c>
      <c r="S1266" t="s">
        <v>5067</v>
      </c>
      <c r="T1266" t="s">
        <v>5068</v>
      </c>
      <c r="U1266" t="s">
        <v>60</v>
      </c>
      <c r="V1266" t="s">
        <v>61</v>
      </c>
      <c r="W1266">
        <v>10</v>
      </c>
      <c r="X1266">
        <v>0.1150625</v>
      </c>
      <c r="Y1266" t="s">
        <v>242</v>
      </c>
      <c r="Z1266" t="s">
        <v>243</v>
      </c>
      <c r="AA1266">
        <v>1</v>
      </c>
      <c r="AB1266" t="s">
        <v>4929</v>
      </c>
      <c r="AC1266" t="s">
        <v>4930</v>
      </c>
      <c r="AD1266" t="s">
        <v>4931</v>
      </c>
      <c r="AE1266" t="s">
        <v>4932</v>
      </c>
      <c r="AF1266" t="s">
        <v>4933</v>
      </c>
      <c r="AG1266" t="s">
        <v>1963</v>
      </c>
      <c r="AH1266" t="s">
        <v>66</v>
      </c>
      <c r="AI1266" t="s">
        <v>66</v>
      </c>
      <c r="AJ1266" t="s">
        <v>66</v>
      </c>
      <c r="AK1266">
        <v>1</v>
      </c>
      <c r="AL1266" t="s">
        <v>66</v>
      </c>
      <c r="AM1266" t="s">
        <v>66</v>
      </c>
      <c r="AN1266" t="s">
        <v>66</v>
      </c>
      <c r="AO1266" t="s">
        <v>66</v>
      </c>
      <c r="AP1266">
        <v>1</v>
      </c>
      <c r="AQ1266" t="s">
        <v>66</v>
      </c>
      <c r="AR1266" t="s">
        <v>66</v>
      </c>
      <c r="AS1266" t="s">
        <v>66</v>
      </c>
      <c r="AT1266" t="s">
        <v>66</v>
      </c>
    </row>
    <row r="1267" spans="1:46" x14ac:dyDescent="0.15">
      <c r="A1267" t="s">
        <v>5069</v>
      </c>
      <c r="B1267" t="s">
        <v>4922</v>
      </c>
      <c r="C1267" t="s">
        <v>4923</v>
      </c>
      <c r="D1267">
        <v>29</v>
      </c>
      <c r="E1267" t="s">
        <v>4924</v>
      </c>
      <c r="F1267" t="s">
        <v>4516</v>
      </c>
      <c r="G1267" t="s">
        <v>51</v>
      </c>
      <c r="H1267" t="s">
        <v>4925</v>
      </c>
      <c r="I1267" t="s">
        <v>53</v>
      </c>
      <c r="J1267" t="s">
        <v>2572</v>
      </c>
      <c r="K1267" t="s">
        <v>3594</v>
      </c>
      <c r="L1267" t="s">
        <v>18</v>
      </c>
      <c r="M1267" t="s">
        <v>17</v>
      </c>
      <c r="N1267">
        <v>2071</v>
      </c>
      <c r="O1267">
        <v>121</v>
      </c>
      <c r="P1267">
        <v>0</v>
      </c>
      <c r="Q1267" t="s">
        <v>5070</v>
      </c>
      <c r="R1267" t="s">
        <v>5071</v>
      </c>
      <c r="S1267" t="s">
        <v>5072</v>
      </c>
      <c r="T1267" t="s">
        <v>5073</v>
      </c>
      <c r="U1267" t="s">
        <v>60</v>
      </c>
      <c r="V1267" t="s">
        <v>61</v>
      </c>
      <c r="W1267">
        <v>10</v>
      </c>
      <c r="X1267">
        <v>0.1150625</v>
      </c>
      <c r="Y1267" t="s">
        <v>157</v>
      </c>
      <c r="Z1267" t="s">
        <v>249</v>
      </c>
      <c r="AA1267">
        <v>1</v>
      </c>
      <c r="AB1267" t="s">
        <v>4929</v>
      </c>
      <c r="AC1267" t="s">
        <v>4930</v>
      </c>
      <c r="AD1267" t="s">
        <v>4931</v>
      </c>
      <c r="AE1267" t="s">
        <v>4932</v>
      </c>
      <c r="AF1267" t="s">
        <v>4933</v>
      </c>
      <c r="AG1267" t="s">
        <v>1963</v>
      </c>
      <c r="AH1267" t="s">
        <v>66</v>
      </c>
      <c r="AI1267" t="s">
        <v>66</v>
      </c>
      <c r="AJ1267" t="s">
        <v>66</v>
      </c>
      <c r="AK1267">
        <v>1</v>
      </c>
      <c r="AL1267" t="s">
        <v>66</v>
      </c>
      <c r="AM1267" t="s">
        <v>66</v>
      </c>
      <c r="AN1267" t="s">
        <v>66</v>
      </c>
      <c r="AO1267" t="s">
        <v>66</v>
      </c>
      <c r="AP1267">
        <v>1</v>
      </c>
      <c r="AQ1267" t="s">
        <v>66</v>
      </c>
      <c r="AR1267" t="s">
        <v>66</v>
      </c>
      <c r="AS1267" t="s">
        <v>66</v>
      </c>
      <c r="AT1267" t="s">
        <v>66</v>
      </c>
    </row>
    <row r="1268" spans="1:46" x14ac:dyDescent="0.15">
      <c r="A1268" t="s">
        <v>5074</v>
      </c>
      <c r="B1268" t="s">
        <v>4922</v>
      </c>
      <c r="C1268" t="s">
        <v>4923</v>
      </c>
      <c r="D1268">
        <v>30</v>
      </c>
      <c r="E1268" t="s">
        <v>4924</v>
      </c>
      <c r="F1268" t="s">
        <v>4516</v>
      </c>
      <c r="G1268" t="s">
        <v>51</v>
      </c>
      <c r="H1268" t="s">
        <v>4925</v>
      </c>
      <c r="I1268" t="s">
        <v>53</v>
      </c>
      <c r="J1268" t="s">
        <v>2572</v>
      </c>
      <c r="K1268" t="s">
        <v>3594</v>
      </c>
      <c r="L1268" t="s">
        <v>18</v>
      </c>
      <c r="M1268" t="s">
        <v>17</v>
      </c>
      <c r="N1268">
        <v>2128</v>
      </c>
      <c r="O1268">
        <v>125</v>
      </c>
      <c r="P1268">
        <v>0</v>
      </c>
      <c r="Q1268" t="s">
        <v>5075</v>
      </c>
      <c r="R1268" t="s">
        <v>5076</v>
      </c>
      <c r="S1268" t="s">
        <v>5077</v>
      </c>
      <c r="T1268" t="s">
        <v>5078</v>
      </c>
      <c r="U1268" t="s">
        <v>60</v>
      </c>
      <c r="V1268" t="s">
        <v>61</v>
      </c>
      <c r="W1268">
        <v>10</v>
      </c>
      <c r="X1268">
        <v>0.1150625</v>
      </c>
      <c r="Y1268" t="s">
        <v>255</v>
      </c>
      <c r="Z1268" t="s">
        <v>256</v>
      </c>
      <c r="AA1268">
        <v>1</v>
      </c>
      <c r="AB1268" t="s">
        <v>4929</v>
      </c>
      <c r="AC1268" t="s">
        <v>4930</v>
      </c>
      <c r="AD1268" t="s">
        <v>4931</v>
      </c>
      <c r="AE1268" t="s">
        <v>4932</v>
      </c>
      <c r="AF1268" t="s">
        <v>4933</v>
      </c>
      <c r="AG1268" t="s">
        <v>1963</v>
      </c>
      <c r="AH1268" t="s">
        <v>66</v>
      </c>
      <c r="AI1268" t="s">
        <v>66</v>
      </c>
      <c r="AJ1268" t="s">
        <v>66</v>
      </c>
      <c r="AK1268">
        <v>1</v>
      </c>
      <c r="AL1268" t="s">
        <v>66</v>
      </c>
      <c r="AM1268" t="s">
        <v>66</v>
      </c>
      <c r="AN1268" t="s">
        <v>66</v>
      </c>
      <c r="AO1268" t="s">
        <v>66</v>
      </c>
      <c r="AP1268">
        <v>1</v>
      </c>
      <c r="AQ1268" t="s">
        <v>66</v>
      </c>
      <c r="AR1268" t="s">
        <v>66</v>
      </c>
      <c r="AS1268" t="s">
        <v>66</v>
      </c>
      <c r="AT1268" t="s">
        <v>66</v>
      </c>
    </row>
    <row r="1269" spans="1:46" x14ac:dyDescent="0.15">
      <c r="A1269" t="s">
        <v>5079</v>
      </c>
      <c r="B1269" t="s">
        <v>4922</v>
      </c>
      <c r="C1269" t="s">
        <v>4923</v>
      </c>
      <c r="D1269">
        <v>31</v>
      </c>
      <c r="E1269" t="s">
        <v>4924</v>
      </c>
      <c r="F1269" t="s">
        <v>4516</v>
      </c>
      <c r="G1269" t="s">
        <v>51</v>
      </c>
      <c r="H1269" t="s">
        <v>4925</v>
      </c>
      <c r="I1269" t="s">
        <v>53</v>
      </c>
      <c r="J1269" t="s">
        <v>2572</v>
      </c>
      <c r="K1269" t="s">
        <v>3594</v>
      </c>
      <c r="L1269" t="s">
        <v>18</v>
      </c>
      <c r="M1269" t="s">
        <v>17</v>
      </c>
      <c r="N1269">
        <v>2184</v>
      </c>
      <c r="O1269">
        <v>128</v>
      </c>
      <c r="P1269">
        <v>0</v>
      </c>
      <c r="Q1269" t="s">
        <v>5080</v>
      </c>
      <c r="R1269" t="s">
        <v>5081</v>
      </c>
      <c r="S1269" t="s">
        <v>5082</v>
      </c>
      <c r="T1269" t="s">
        <v>5083</v>
      </c>
      <c r="U1269" t="s">
        <v>60</v>
      </c>
      <c r="V1269" t="s">
        <v>61</v>
      </c>
      <c r="W1269">
        <v>10</v>
      </c>
      <c r="X1269">
        <v>0.1150625</v>
      </c>
      <c r="Y1269" t="s">
        <v>164</v>
      </c>
      <c r="Z1269" t="s">
        <v>262</v>
      </c>
      <c r="AA1269">
        <v>1</v>
      </c>
      <c r="AB1269" t="s">
        <v>4929</v>
      </c>
      <c r="AC1269" t="s">
        <v>4930</v>
      </c>
      <c r="AD1269" t="s">
        <v>4931</v>
      </c>
      <c r="AE1269" t="s">
        <v>4932</v>
      </c>
      <c r="AF1269" t="s">
        <v>4933</v>
      </c>
      <c r="AG1269" t="s">
        <v>1963</v>
      </c>
      <c r="AH1269" t="s">
        <v>66</v>
      </c>
      <c r="AI1269" t="s">
        <v>66</v>
      </c>
      <c r="AJ1269" t="s">
        <v>66</v>
      </c>
      <c r="AK1269">
        <v>1</v>
      </c>
      <c r="AL1269" t="s">
        <v>66</v>
      </c>
      <c r="AM1269" t="s">
        <v>66</v>
      </c>
      <c r="AN1269" t="s">
        <v>66</v>
      </c>
      <c r="AO1269" t="s">
        <v>66</v>
      </c>
      <c r="AP1269">
        <v>1</v>
      </c>
      <c r="AQ1269" t="s">
        <v>66</v>
      </c>
      <c r="AR1269" t="s">
        <v>66</v>
      </c>
      <c r="AS1269" t="s">
        <v>66</v>
      </c>
      <c r="AT1269" t="s">
        <v>66</v>
      </c>
    </row>
    <row r="1270" spans="1:46" x14ac:dyDescent="0.15">
      <c r="A1270" t="s">
        <v>5084</v>
      </c>
      <c r="B1270" t="s">
        <v>4922</v>
      </c>
      <c r="C1270" t="s">
        <v>4923</v>
      </c>
      <c r="D1270">
        <v>32</v>
      </c>
      <c r="E1270" t="s">
        <v>4924</v>
      </c>
      <c r="F1270" t="s">
        <v>4516</v>
      </c>
      <c r="G1270" t="s">
        <v>51</v>
      </c>
      <c r="H1270" t="s">
        <v>4925</v>
      </c>
      <c r="I1270" t="s">
        <v>53</v>
      </c>
      <c r="J1270" t="s">
        <v>2572</v>
      </c>
      <c r="K1270" t="s">
        <v>3594</v>
      </c>
      <c r="L1270" t="s">
        <v>18</v>
      </c>
      <c r="M1270" t="s">
        <v>17</v>
      </c>
      <c r="N1270">
        <v>2240</v>
      </c>
      <c r="O1270">
        <v>131</v>
      </c>
      <c r="P1270">
        <v>0</v>
      </c>
      <c r="Q1270" t="s">
        <v>5085</v>
      </c>
      <c r="R1270" t="s">
        <v>5086</v>
      </c>
      <c r="S1270" t="s">
        <v>5087</v>
      </c>
      <c r="T1270" t="s">
        <v>5088</v>
      </c>
      <c r="U1270" t="s">
        <v>60</v>
      </c>
      <c r="V1270" t="s">
        <v>61</v>
      </c>
      <c r="W1270">
        <v>10</v>
      </c>
      <c r="X1270">
        <v>0.1150625</v>
      </c>
      <c r="Y1270" t="s">
        <v>268</v>
      </c>
      <c r="Z1270" t="s">
        <v>269</v>
      </c>
      <c r="AA1270">
        <v>1</v>
      </c>
      <c r="AB1270" t="s">
        <v>4929</v>
      </c>
      <c r="AC1270" t="s">
        <v>4930</v>
      </c>
      <c r="AD1270" t="s">
        <v>4931</v>
      </c>
      <c r="AE1270" t="s">
        <v>4932</v>
      </c>
      <c r="AF1270" t="s">
        <v>4933</v>
      </c>
      <c r="AG1270" t="s">
        <v>1963</v>
      </c>
      <c r="AH1270" t="s">
        <v>66</v>
      </c>
      <c r="AI1270" t="s">
        <v>66</v>
      </c>
      <c r="AJ1270" t="s">
        <v>66</v>
      </c>
      <c r="AK1270">
        <v>1</v>
      </c>
      <c r="AL1270" t="s">
        <v>66</v>
      </c>
      <c r="AM1270" t="s">
        <v>66</v>
      </c>
      <c r="AN1270" t="s">
        <v>66</v>
      </c>
      <c r="AO1270" t="s">
        <v>66</v>
      </c>
      <c r="AP1270">
        <v>1</v>
      </c>
      <c r="AQ1270" t="s">
        <v>66</v>
      </c>
      <c r="AR1270" t="s">
        <v>66</v>
      </c>
      <c r="AS1270" t="s">
        <v>66</v>
      </c>
      <c r="AT1270" t="s">
        <v>66</v>
      </c>
    </row>
    <row r="1271" spans="1:46" x14ac:dyDescent="0.15">
      <c r="A1271" t="s">
        <v>5089</v>
      </c>
      <c r="B1271" t="s">
        <v>4922</v>
      </c>
      <c r="C1271" t="s">
        <v>4923</v>
      </c>
      <c r="D1271">
        <v>33</v>
      </c>
      <c r="E1271" t="s">
        <v>4924</v>
      </c>
      <c r="F1271" t="s">
        <v>4516</v>
      </c>
      <c r="G1271" t="s">
        <v>51</v>
      </c>
      <c r="H1271" t="s">
        <v>4925</v>
      </c>
      <c r="I1271" t="s">
        <v>53</v>
      </c>
      <c r="J1271" t="s">
        <v>2572</v>
      </c>
      <c r="K1271" t="s">
        <v>3594</v>
      </c>
      <c r="L1271" t="s">
        <v>18</v>
      </c>
      <c r="M1271" t="s">
        <v>17</v>
      </c>
      <c r="N1271">
        <v>2296</v>
      </c>
      <c r="O1271">
        <v>134</v>
      </c>
      <c r="P1271">
        <v>0</v>
      </c>
      <c r="Q1271" t="s">
        <v>5090</v>
      </c>
      <c r="R1271" t="s">
        <v>5091</v>
      </c>
      <c r="S1271" t="s">
        <v>5092</v>
      </c>
      <c r="T1271" t="s">
        <v>5093</v>
      </c>
      <c r="U1271" t="s">
        <v>60</v>
      </c>
      <c r="V1271" t="s">
        <v>61</v>
      </c>
      <c r="W1271">
        <v>10</v>
      </c>
      <c r="X1271">
        <v>0.1150625</v>
      </c>
      <c r="Y1271" t="s">
        <v>170</v>
      </c>
      <c r="Z1271" t="s">
        <v>275</v>
      </c>
      <c r="AA1271">
        <v>1</v>
      </c>
      <c r="AB1271" t="s">
        <v>4929</v>
      </c>
      <c r="AC1271" t="s">
        <v>4930</v>
      </c>
      <c r="AD1271" t="s">
        <v>4931</v>
      </c>
      <c r="AE1271" t="s">
        <v>4932</v>
      </c>
      <c r="AF1271" t="s">
        <v>4933</v>
      </c>
      <c r="AG1271" t="s">
        <v>1963</v>
      </c>
      <c r="AH1271" t="s">
        <v>66</v>
      </c>
      <c r="AI1271" t="s">
        <v>66</v>
      </c>
      <c r="AJ1271" t="s">
        <v>66</v>
      </c>
      <c r="AK1271">
        <v>1</v>
      </c>
      <c r="AL1271" t="s">
        <v>66</v>
      </c>
      <c r="AM1271" t="s">
        <v>66</v>
      </c>
      <c r="AN1271" t="s">
        <v>66</v>
      </c>
      <c r="AO1271" t="s">
        <v>66</v>
      </c>
      <c r="AP1271">
        <v>1</v>
      </c>
      <c r="AQ1271" t="s">
        <v>66</v>
      </c>
      <c r="AR1271" t="s">
        <v>66</v>
      </c>
      <c r="AS1271" t="s">
        <v>66</v>
      </c>
      <c r="AT1271" t="s">
        <v>66</v>
      </c>
    </row>
    <row r="1272" spans="1:46" x14ac:dyDescent="0.15">
      <c r="A1272" t="s">
        <v>5094</v>
      </c>
      <c r="B1272" t="s">
        <v>4922</v>
      </c>
      <c r="C1272" t="s">
        <v>4923</v>
      </c>
      <c r="D1272">
        <v>34</v>
      </c>
      <c r="E1272" t="s">
        <v>4924</v>
      </c>
      <c r="F1272" t="s">
        <v>4516</v>
      </c>
      <c r="G1272" t="s">
        <v>51</v>
      </c>
      <c r="H1272" t="s">
        <v>4925</v>
      </c>
      <c r="I1272" t="s">
        <v>53</v>
      </c>
      <c r="J1272" t="s">
        <v>2572</v>
      </c>
      <c r="K1272" t="s">
        <v>3594</v>
      </c>
      <c r="L1272" t="s">
        <v>18</v>
      </c>
      <c r="M1272" t="s">
        <v>17</v>
      </c>
      <c r="N1272">
        <v>2352</v>
      </c>
      <c r="O1272">
        <v>138</v>
      </c>
      <c r="P1272">
        <v>0</v>
      </c>
      <c r="Q1272" t="s">
        <v>5095</v>
      </c>
      <c r="R1272" t="s">
        <v>5096</v>
      </c>
      <c r="S1272" t="s">
        <v>5097</v>
      </c>
      <c r="T1272" t="s">
        <v>5098</v>
      </c>
      <c r="U1272" t="s">
        <v>60</v>
      </c>
      <c r="V1272" t="s">
        <v>61</v>
      </c>
      <c r="W1272">
        <v>10</v>
      </c>
      <c r="X1272">
        <v>0.1150625</v>
      </c>
      <c r="Y1272" t="s">
        <v>281</v>
      </c>
      <c r="Z1272" t="s">
        <v>282</v>
      </c>
      <c r="AA1272">
        <v>1</v>
      </c>
      <c r="AB1272" t="s">
        <v>4929</v>
      </c>
      <c r="AC1272" t="s">
        <v>4930</v>
      </c>
      <c r="AD1272" t="s">
        <v>4931</v>
      </c>
      <c r="AE1272" t="s">
        <v>4932</v>
      </c>
      <c r="AF1272" t="s">
        <v>4933</v>
      </c>
      <c r="AG1272" t="s">
        <v>1963</v>
      </c>
      <c r="AH1272" t="s">
        <v>66</v>
      </c>
      <c r="AI1272" t="s">
        <v>66</v>
      </c>
      <c r="AJ1272" t="s">
        <v>66</v>
      </c>
      <c r="AK1272">
        <v>1</v>
      </c>
      <c r="AL1272" t="s">
        <v>66</v>
      </c>
      <c r="AM1272" t="s">
        <v>66</v>
      </c>
      <c r="AN1272" t="s">
        <v>66</v>
      </c>
      <c r="AO1272" t="s">
        <v>66</v>
      </c>
      <c r="AP1272">
        <v>1</v>
      </c>
      <c r="AQ1272" t="s">
        <v>66</v>
      </c>
      <c r="AR1272" t="s">
        <v>66</v>
      </c>
      <c r="AS1272" t="s">
        <v>66</v>
      </c>
      <c r="AT1272" t="s">
        <v>66</v>
      </c>
    </row>
    <row r="1273" spans="1:46" x14ac:dyDescent="0.15">
      <c r="A1273" t="s">
        <v>5099</v>
      </c>
      <c r="B1273" t="s">
        <v>4922</v>
      </c>
      <c r="C1273" t="s">
        <v>4923</v>
      </c>
      <c r="D1273">
        <v>35</v>
      </c>
      <c r="E1273" t="s">
        <v>4924</v>
      </c>
      <c r="F1273" t="s">
        <v>4516</v>
      </c>
      <c r="G1273" t="s">
        <v>51</v>
      </c>
      <c r="H1273" t="s">
        <v>4925</v>
      </c>
      <c r="I1273" t="s">
        <v>53</v>
      </c>
      <c r="J1273" t="s">
        <v>2572</v>
      </c>
      <c r="K1273" t="s">
        <v>3594</v>
      </c>
      <c r="L1273" t="s">
        <v>18</v>
      </c>
      <c r="M1273" t="s">
        <v>17</v>
      </c>
      <c r="N1273">
        <v>2408</v>
      </c>
      <c r="O1273">
        <v>141</v>
      </c>
      <c r="P1273">
        <v>0</v>
      </c>
      <c r="Q1273" t="s">
        <v>5100</v>
      </c>
      <c r="R1273" t="s">
        <v>5101</v>
      </c>
      <c r="S1273" t="s">
        <v>5102</v>
      </c>
      <c r="T1273" t="s">
        <v>5103</v>
      </c>
      <c r="U1273" t="s">
        <v>60</v>
      </c>
      <c r="V1273" t="s">
        <v>61</v>
      </c>
      <c r="W1273">
        <v>10</v>
      </c>
      <c r="X1273">
        <v>0.1150625</v>
      </c>
      <c r="Y1273" t="s">
        <v>177</v>
      </c>
      <c r="Z1273" t="s">
        <v>288</v>
      </c>
      <c r="AA1273">
        <v>1</v>
      </c>
      <c r="AB1273" t="s">
        <v>4929</v>
      </c>
      <c r="AC1273" t="s">
        <v>4930</v>
      </c>
      <c r="AD1273" t="s">
        <v>4931</v>
      </c>
      <c r="AE1273" t="s">
        <v>4932</v>
      </c>
      <c r="AF1273" t="s">
        <v>4933</v>
      </c>
      <c r="AG1273" t="s">
        <v>1963</v>
      </c>
      <c r="AH1273" t="s">
        <v>66</v>
      </c>
      <c r="AI1273" t="s">
        <v>66</v>
      </c>
      <c r="AJ1273" t="s">
        <v>66</v>
      </c>
      <c r="AK1273">
        <v>1</v>
      </c>
      <c r="AL1273" t="s">
        <v>66</v>
      </c>
      <c r="AM1273" t="s">
        <v>66</v>
      </c>
      <c r="AN1273" t="s">
        <v>66</v>
      </c>
      <c r="AO1273" t="s">
        <v>66</v>
      </c>
      <c r="AP1273">
        <v>1</v>
      </c>
      <c r="AQ1273" t="s">
        <v>66</v>
      </c>
      <c r="AR1273" t="s">
        <v>66</v>
      </c>
      <c r="AS1273" t="s">
        <v>66</v>
      </c>
      <c r="AT1273" t="s">
        <v>66</v>
      </c>
    </row>
    <row r="1274" spans="1:46" x14ac:dyDescent="0.15">
      <c r="A1274" t="s">
        <v>5104</v>
      </c>
      <c r="B1274" t="s">
        <v>4922</v>
      </c>
      <c r="C1274" t="s">
        <v>4923</v>
      </c>
      <c r="D1274">
        <v>36</v>
      </c>
      <c r="E1274" t="s">
        <v>4924</v>
      </c>
      <c r="F1274" t="s">
        <v>4516</v>
      </c>
      <c r="G1274" t="s">
        <v>51</v>
      </c>
      <c r="H1274" t="s">
        <v>4925</v>
      </c>
      <c r="I1274" t="s">
        <v>53</v>
      </c>
      <c r="J1274" t="s">
        <v>2572</v>
      </c>
      <c r="K1274" t="s">
        <v>3594</v>
      </c>
      <c r="L1274" t="s">
        <v>18</v>
      </c>
      <c r="M1274" t="s">
        <v>17</v>
      </c>
      <c r="N1274">
        <v>2464</v>
      </c>
      <c r="O1274">
        <v>144</v>
      </c>
      <c r="P1274">
        <v>0</v>
      </c>
      <c r="Q1274" t="s">
        <v>5105</v>
      </c>
      <c r="R1274" t="s">
        <v>5106</v>
      </c>
      <c r="S1274" t="s">
        <v>5107</v>
      </c>
      <c r="T1274" t="s">
        <v>5108</v>
      </c>
      <c r="U1274" t="s">
        <v>60</v>
      </c>
      <c r="V1274" t="s">
        <v>61</v>
      </c>
      <c r="W1274">
        <v>10</v>
      </c>
      <c r="X1274">
        <v>0.1150625</v>
      </c>
      <c r="Y1274" t="s">
        <v>294</v>
      </c>
      <c r="Z1274" t="s">
        <v>295</v>
      </c>
      <c r="AA1274">
        <v>1</v>
      </c>
      <c r="AB1274" t="s">
        <v>4929</v>
      </c>
      <c r="AC1274" t="s">
        <v>4930</v>
      </c>
      <c r="AD1274" t="s">
        <v>4931</v>
      </c>
      <c r="AE1274" t="s">
        <v>4932</v>
      </c>
      <c r="AF1274" t="s">
        <v>4933</v>
      </c>
      <c r="AG1274" t="s">
        <v>1963</v>
      </c>
      <c r="AH1274" t="s">
        <v>66</v>
      </c>
      <c r="AI1274" t="s">
        <v>66</v>
      </c>
      <c r="AJ1274" t="s">
        <v>66</v>
      </c>
      <c r="AK1274">
        <v>1</v>
      </c>
      <c r="AL1274" t="s">
        <v>66</v>
      </c>
      <c r="AM1274" t="s">
        <v>66</v>
      </c>
      <c r="AN1274" t="s">
        <v>66</v>
      </c>
      <c r="AO1274" t="s">
        <v>66</v>
      </c>
      <c r="AP1274">
        <v>1</v>
      </c>
      <c r="AQ1274" t="s">
        <v>66</v>
      </c>
      <c r="AR1274" t="s">
        <v>66</v>
      </c>
      <c r="AS1274" t="s">
        <v>66</v>
      </c>
      <c r="AT1274" t="s">
        <v>66</v>
      </c>
    </row>
    <row r="1275" spans="1:46" x14ac:dyDescent="0.15">
      <c r="A1275" t="s">
        <v>5109</v>
      </c>
      <c r="B1275" t="s">
        <v>4922</v>
      </c>
      <c r="C1275" t="s">
        <v>4923</v>
      </c>
      <c r="D1275">
        <v>37</v>
      </c>
      <c r="E1275" t="s">
        <v>4924</v>
      </c>
      <c r="F1275" t="s">
        <v>4516</v>
      </c>
      <c r="G1275" t="s">
        <v>51</v>
      </c>
      <c r="H1275" t="s">
        <v>4925</v>
      </c>
      <c r="I1275" t="s">
        <v>53</v>
      </c>
      <c r="J1275" t="s">
        <v>2572</v>
      </c>
      <c r="K1275" t="s">
        <v>3594</v>
      </c>
      <c r="L1275" t="s">
        <v>18</v>
      </c>
      <c r="M1275" t="s">
        <v>17</v>
      </c>
      <c r="N1275">
        <v>2520</v>
      </c>
      <c r="O1275">
        <v>148</v>
      </c>
      <c r="P1275">
        <v>0</v>
      </c>
      <c r="Q1275" t="s">
        <v>5110</v>
      </c>
      <c r="R1275" t="s">
        <v>5111</v>
      </c>
      <c r="S1275" t="s">
        <v>5112</v>
      </c>
      <c r="T1275" t="s">
        <v>5113</v>
      </c>
      <c r="U1275" t="s">
        <v>60</v>
      </c>
      <c r="V1275" t="s">
        <v>61</v>
      </c>
      <c r="W1275">
        <v>10</v>
      </c>
      <c r="X1275">
        <v>0.1150625</v>
      </c>
      <c r="Y1275" t="s">
        <v>183</v>
      </c>
      <c r="Z1275" t="s">
        <v>301</v>
      </c>
      <c r="AA1275">
        <v>1</v>
      </c>
      <c r="AB1275" t="s">
        <v>4929</v>
      </c>
      <c r="AC1275" t="s">
        <v>4930</v>
      </c>
      <c r="AD1275" t="s">
        <v>4931</v>
      </c>
      <c r="AE1275" t="s">
        <v>4932</v>
      </c>
      <c r="AF1275" t="s">
        <v>4933</v>
      </c>
      <c r="AG1275" t="s">
        <v>1963</v>
      </c>
      <c r="AH1275" t="s">
        <v>66</v>
      </c>
      <c r="AI1275" t="s">
        <v>66</v>
      </c>
      <c r="AJ1275" t="s">
        <v>66</v>
      </c>
      <c r="AK1275">
        <v>1</v>
      </c>
      <c r="AL1275" t="s">
        <v>66</v>
      </c>
      <c r="AM1275" t="s">
        <v>66</v>
      </c>
      <c r="AN1275" t="s">
        <v>66</v>
      </c>
      <c r="AO1275" t="s">
        <v>66</v>
      </c>
      <c r="AP1275">
        <v>1</v>
      </c>
      <c r="AQ1275" t="s">
        <v>66</v>
      </c>
      <c r="AR1275" t="s">
        <v>66</v>
      </c>
      <c r="AS1275" t="s">
        <v>66</v>
      </c>
      <c r="AT1275" t="s">
        <v>66</v>
      </c>
    </row>
    <row r="1276" spans="1:46" x14ac:dyDescent="0.15">
      <c r="A1276" t="s">
        <v>5114</v>
      </c>
      <c r="B1276" t="s">
        <v>4922</v>
      </c>
      <c r="C1276" t="s">
        <v>4923</v>
      </c>
      <c r="D1276">
        <v>38</v>
      </c>
      <c r="E1276" t="s">
        <v>4924</v>
      </c>
      <c r="F1276" t="s">
        <v>4516</v>
      </c>
      <c r="G1276" t="s">
        <v>51</v>
      </c>
      <c r="H1276" t="s">
        <v>4925</v>
      </c>
      <c r="I1276" t="s">
        <v>53</v>
      </c>
      <c r="J1276" t="s">
        <v>2572</v>
      </c>
      <c r="K1276" t="s">
        <v>3594</v>
      </c>
      <c r="L1276" t="s">
        <v>18</v>
      </c>
      <c r="M1276" t="s">
        <v>17</v>
      </c>
      <c r="N1276">
        <v>2577</v>
      </c>
      <c r="O1276">
        <v>151</v>
      </c>
      <c r="P1276">
        <v>0</v>
      </c>
      <c r="Q1276" t="s">
        <v>5115</v>
      </c>
      <c r="R1276" t="s">
        <v>5116</v>
      </c>
      <c r="S1276" t="s">
        <v>5117</v>
      </c>
      <c r="T1276" t="s">
        <v>5118</v>
      </c>
      <c r="U1276" t="s">
        <v>60</v>
      </c>
      <c r="V1276" t="s">
        <v>61</v>
      </c>
      <c r="W1276">
        <v>10</v>
      </c>
      <c r="X1276">
        <v>0.1150625</v>
      </c>
      <c r="Y1276" t="s">
        <v>307</v>
      </c>
      <c r="Z1276" t="s">
        <v>308</v>
      </c>
      <c r="AA1276">
        <v>1</v>
      </c>
      <c r="AB1276" t="s">
        <v>4929</v>
      </c>
      <c r="AC1276" t="s">
        <v>4930</v>
      </c>
      <c r="AD1276" t="s">
        <v>4931</v>
      </c>
      <c r="AE1276" t="s">
        <v>4932</v>
      </c>
      <c r="AF1276" t="s">
        <v>4933</v>
      </c>
      <c r="AG1276" t="s">
        <v>1963</v>
      </c>
      <c r="AH1276" t="s">
        <v>66</v>
      </c>
      <c r="AI1276" t="s">
        <v>66</v>
      </c>
      <c r="AJ1276" t="s">
        <v>66</v>
      </c>
      <c r="AK1276">
        <v>1</v>
      </c>
      <c r="AL1276" t="s">
        <v>66</v>
      </c>
      <c r="AM1276" t="s">
        <v>66</v>
      </c>
      <c r="AN1276" t="s">
        <v>66</v>
      </c>
      <c r="AO1276" t="s">
        <v>66</v>
      </c>
      <c r="AP1276">
        <v>1</v>
      </c>
      <c r="AQ1276" t="s">
        <v>66</v>
      </c>
      <c r="AR1276" t="s">
        <v>66</v>
      </c>
      <c r="AS1276" t="s">
        <v>66</v>
      </c>
      <c r="AT1276" t="s">
        <v>66</v>
      </c>
    </row>
    <row r="1277" spans="1:46" x14ac:dyDescent="0.15">
      <c r="A1277" t="s">
        <v>5119</v>
      </c>
      <c r="B1277" t="s">
        <v>4922</v>
      </c>
      <c r="C1277" t="s">
        <v>4923</v>
      </c>
      <c r="D1277">
        <v>39</v>
      </c>
      <c r="E1277" t="s">
        <v>4924</v>
      </c>
      <c r="F1277" t="s">
        <v>4516</v>
      </c>
      <c r="G1277" t="s">
        <v>51</v>
      </c>
      <c r="H1277" t="s">
        <v>4925</v>
      </c>
      <c r="I1277" t="s">
        <v>53</v>
      </c>
      <c r="J1277" t="s">
        <v>2572</v>
      </c>
      <c r="K1277" t="s">
        <v>3594</v>
      </c>
      <c r="L1277" t="s">
        <v>18</v>
      </c>
      <c r="M1277" t="s">
        <v>17</v>
      </c>
      <c r="N1277">
        <v>2633</v>
      </c>
      <c r="O1277">
        <v>154</v>
      </c>
      <c r="P1277">
        <v>0</v>
      </c>
      <c r="Q1277" t="s">
        <v>5120</v>
      </c>
      <c r="R1277" t="s">
        <v>5121</v>
      </c>
      <c r="S1277" t="s">
        <v>5122</v>
      </c>
      <c r="T1277" t="s">
        <v>5123</v>
      </c>
      <c r="U1277" t="s">
        <v>60</v>
      </c>
      <c r="V1277" t="s">
        <v>61</v>
      </c>
      <c r="W1277">
        <v>10</v>
      </c>
      <c r="X1277">
        <v>0.1150625</v>
      </c>
      <c r="Y1277" t="s">
        <v>190</v>
      </c>
      <c r="Z1277" t="s">
        <v>314</v>
      </c>
      <c r="AA1277">
        <v>1</v>
      </c>
      <c r="AB1277" t="s">
        <v>4929</v>
      </c>
      <c r="AC1277" t="s">
        <v>4930</v>
      </c>
      <c r="AD1277" t="s">
        <v>4931</v>
      </c>
      <c r="AE1277" t="s">
        <v>4932</v>
      </c>
      <c r="AF1277" t="s">
        <v>4933</v>
      </c>
      <c r="AG1277" t="s">
        <v>1963</v>
      </c>
      <c r="AH1277" t="s">
        <v>66</v>
      </c>
      <c r="AI1277" t="s">
        <v>66</v>
      </c>
      <c r="AJ1277" t="s">
        <v>66</v>
      </c>
      <c r="AK1277">
        <v>1</v>
      </c>
      <c r="AL1277" t="s">
        <v>66</v>
      </c>
      <c r="AM1277" t="s">
        <v>66</v>
      </c>
      <c r="AN1277" t="s">
        <v>66</v>
      </c>
      <c r="AO1277" t="s">
        <v>66</v>
      </c>
      <c r="AP1277">
        <v>1</v>
      </c>
      <c r="AQ1277" t="s">
        <v>66</v>
      </c>
      <c r="AR1277" t="s">
        <v>66</v>
      </c>
      <c r="AS1277" t="s">
        <v>66</v>
      </c>
      <c r="AT1277" t="s">
        <v>66</v>
      </c>
    </row>
    <row r="1278" spans="1:46" x14ac:dyDescent="0.15">
      <c r="A1278" t="s">
        <v>5124</v>
      </c>
      <c r="B1278" t="s">
        <v>4922</v>
      </c>
      <c r="C1278" t="s">
        <v>4923</v>
      </c>
      <c r="D1278">
        <v>40</v>
      </c>
      <c r="E1278" t="s">
        <v>4924</v>
      </c>
      <c r="F1278" t="s">
        <v>4516</v>
      </c>
      <c r="G1278" t="s">
        <v>51</v>
      </c>
      <c r="H1278" t="s">
        <v>4925</v>
      </c>
      <c r="I1278" t="s">
        <v>53</v>
      </c>
      <c r="J1278" t="s">
        <v>2572</v>
      </c>
      <c r="K1278" t="s">
        <v>3594</v>
      </c>
      <c r="L1278" t="s">
        <v>18</v>
      </c>
      <c r="M1278" t="s">
        <v>17</v>
      </c>
      <c r="N1278">
        <v>2689</v>
      </c>
      <c r="O1278">
        <v>157</v>
      </c>
      <c r="P1278">
        <v>0</v>
      </c>
      <c r="Q1278" t="s">
        <v>5125</v>
      </c>
      <c r="R1278" t="s">
        <v>5126</v>
      </c>
      <c r="S1278" t="s">
        <v>5127</v>
      </c>
      <c r="T1278" t="s">
        <v>5128</v>
      </c>
      <c r="U1278" t="s">
        <v>60</v>
      </c>
      <c r="V1278" t="s">
        <v>61</v>
      </c>
      <c r="W1278">
        <v>10</v>
      </c>
      <c r="X1278">
        <v>0.1150625</v>
      </c>
      <c r="Y1278" t="s">
        <v>320</v>
      </c>
      <c r="Z1278" t="s">
        <v>321</v>
      </c>
      <c r="AA1278">
        <v>1</v>
      </c>
      <c r="AB1278" t="s">
        <v>4929</v>
      </c>
      <c r="AC1278" t="s">
        <v>4930</v>
      </c>
      <c r="AD1278" t="s">
        <v>4931</v>
      </c>
      <c r="AE1278" t="s">
        <v>4932</v>
      </c>
      <c r="AF1278" t="s">
        <v>4933</v>
      </c>
      <c r="AG1278" t="s">
        <v>1963</v>
      </c>
      <c r="AH1278" t="s">
        <v>66</v>
      </c>
      <c r="AI1278" t="s">
        <v>66</v>
      </c>
      <c r="AJ1278" t="s">
        <v>66</v>
      </c>
      <c r="AK1278">
        <v>1</v>
      </c>
      <c r="AL1278" t="s">
        <v>66</v>
      </c>
      <c r="AM1278" t="s">
        <v>66</v>
      </c>
      <c r="AN1278" t="s">
        <v>66</v>
      </c>
      <c r="AO1278" t="s">
        <v>66</v>
      </c>
      <c r="AP1278">
        <v>1</v>
      </c>
      <c r="AQ1278" t="s">
        <v>66</v>
      </c>
      <c r="AR1278" t="s">
        <v>66</v>
      </c>
      <c r="AS1278" t="s">
        <v>66</v>
      </c>
      <c r="AT1278" t="s">
        <v>66</v>
      </c>
    </row>
    <row r="1279" spans="1:46" x14ac:dyDescent="0.15">
      <c r="A1279" t="s">
        <v>5124</v>
      </c>
      <c r="B1279" t="s">
        <v>4922</v>
      </c>
      <c r="C1279" t="s">
        <v>4923</v>
      </c>
      <c r="D1279">
        <v>40</v>
      </c>
      <c r="E1279" t="s">
        <v>4924</v>
      </c>
      <c r="F1279" t="s">
        <v>4516</v>
      </c>
      <c r="G1279" t="s">
        <v>51</v>
      </c>
      <c r="H1279" t="s">
        <v>4925</v>
      </c>
      <c r="I1279" t="s">
        <v>53</v>
      </c>
      <c r="J1279" t="s">
        <v>2572</v>
      </c>
      <c r="K1279" t="s">
        <v>3594</v>
      </c>
      <c r="L1279" t="s">
        <v>18</v>
      </c>
      <c r="M1279" t="s">
        <v>17</v>
      </c>
      <c r="N1279">
        <v>2689</v>
      </c>
      <c r="O1279">
        <v>157</v>
      </c>
      <c r="P1279">
        <v>0</v>
      </c>
      <c r="Q1279" t="s">
        <v>5125</v>
      </c>
      <c r="R1279" t="s">
        <v>5126</v>
      </c>
      <c r="S1279" t="s">
        <v>5127</v>
      </c>
      <c r="T1279" t="s">
        <v>5128</v>
      </c>
      <c r="U1279" t="s">
        <v>60</v>
      </c>
      <c r="V1279" t="s">
        <v>61</v>
      </c>
      <c r="W1279">
        <v>10</v>
      </c>
      <c r="X1279">
        <v>0.1150625</v>
      </c>
      <c r="Y1279" t="s">
        <v>320</v>
      </c>
      <c r="Z1279" t="s">
        <v>321</v>
      </c>
      <c r="AA1279">
        <v>2</v>
      </c>
      <c r="AB1279" t="s">
        <v>4929</v>
      </c>
      <c r="AC1279" t="s">
        <v>4930</v>
      </c>
      <c r="AD1279" t="s">
        <v>4931</v>
      </c>
      <c r="AE1279" t="s">
        <v>4932</v>
      </c>
      <c r="AF1279" t="s">
        <v>4933</v>
      </c>
      <c r="AG1279" t="s">
        <v>1963</v>
      </c>
      <c r="AH1279" t="s">
        <v>1857</v>
      </c>
      <c r="AI1279" t="s">
        <v>66</v>
      </c>
      <c r="AJ1279" t="s">
        <v>66</v>
      </c>
      <c r="AK1279">
        <v>1</v>
      </c>
      <c r="AL1279" t="s">
        <v>5129</v>
      </c>
      <c r="AM1279" t="s">
        <v>5130</v>
      </c>
      <c r="AN1279" t="s">
        <v>5131</v>
      </c>
      <c r="AO1279" t="s">
        <v>66</v>
      </c>
      <c r="AP1279">
        <v>1</v>
      </c>
      <c r="AQ1279" t="s">
        <v>5132</v>
      </c>
      <c r="AR1279" t="s">
        <v>5133</v>
      </c>
      <c r="AS1279" t="s">
        <v>66</v>
      </c>
      <c r="AT1279" t="s">
        <v>66</v>
      </c>
    </row>
    <row r="1280" spans="1:46" x14ac:dyDescent="0.15">
      <c r="A1280" t="s">
        <v>5134</v>
      </c>
      <c r="B1280" t="s">
        <v>4922</v>
      </c>
      <c r="C1280" t="s">
        <v>4923</v>
      </c>
      <c r="D1280">
        <v>41</v>
      </c>
      <c r="E1280" t="s">
        <v>4924</v>
      </c>
      <c r="F1280" t="s">
        <v>4516</v>
      </c>
      <c r="G1280" t="s">
        <v>51</v>
      </c>
      <c r="H1280" t="s">
        <v>4925</v>
      </c>
      <c r="I1280" t="s">
        <v>53</v>
      </c>
      <c r="J1280" t="s">
        <v>2572</v>
      </c>
      <c r="K1280" t="s">
        <v>3594</v>
      </c>
      <c r="L1280" t="s">
        <v>18</v>
      </c>
      <c r="M1280" t="s">
        <v>17</v>
      </c>
      <c r="N1280">
        <v>2745</v>
      </c>
      <c r="O1280">
        <v>161</v>
      </c>
      <c r="P1280">
        <v>0</v>
      </c>
      <c r="Q1280" t="s">
        <v>5135</v>
      </c>
      <c r="R1280" t="s">
        <v>5136</v>
      </c>
      <c r="S1280" t="s">
        <v>5137</v>
      </c>
      <c r="T1280" t="s">
        <v>5138</v>
      </c>
      <c r="U1280" t="s">
        <v>60</v>
      </c>
      <c r="V1280" t="s">
        <v>61</v>
      </c>
      <c r="W1280">
        <v>10</v>
      </c>
      <c r="X1280">
        <v>0.1150625</v>
      </c>
      <c r="Y1280" t="s">
        <v>197</v>
      </c>
      <c r="Z1280" t="s">
        <v>330</v>
      </c>
      <c r="AA1280">
        <v>2</v>
      </c>
      <c r="AB1280" t="s">
        <v>4929</v>
      </c>
      <c r="AC1280" t="s">
        <v>4930</v>
      </c>
      <c r="AD1280" t="s">
        <v>4931</v>
      </c>
      <c r="AE1280" t="s">
        <v>4932</v>
      </c>
      <c r="AF1280" t="s">
        <v>4933</v>
      </c>
      <c r="AG1280" t="s">
        <v>1963</v>
      </c>
      <c r="AH1280" t="s">
        <v>1857</v>
      </c>
      <c r="AI1280" t="s">
        <v>66</v>
      </c>
      <c r="AJ1280" t="s">
        <v>66</v>
      </c>
      <c r="AK1280">
        <v>1</v>
      </c>
      <c r="AL1280" t="s">
        <v>5129</v>
      </c>
      <c r="AM1280" t="s">
        <v>5130</v>
      </c>
      <c r="AN1280" t="s">
        <v>5131</v>
      </c>
      <c r="AO1280" t="s">
        <v>66</v>
      </c>
      <c r="AP1280">
        <v>1</v>
      </c>
      <c r="AQ1280" t="s">
        <v>5132</v>
      </c>
      <c r="AR1280" t="s">
        <v>5133</v>
      </c>
      <c r="AS1280" t="s">
        <v>66</v>
      </c>
      <c r="AT1280" t="s">
        <v>66</v>
      </c>
    </row>
    <row r="1281" spans="1:46" x14ac:dyDescent="0.15">
      <c r="A1281" t="s">
        <v>5139</v>
      </c>
      <c r="B1281" t="s">
        <v>4922</v>
      </c>
      <c r="C1281" t="s">
        <v>4923</v>
      </c>
      <c r="D1281">
        <v>42</v>
      </c>
      <c r="E1281" t="s">
        <v>4924</v>
      </c>
      <c r="F1281" t="s">
        <v>4516</v>
      </c>
      <c r="G1281" t="s">
        <v>51</v>
      </c>
      <c r="H1281" t="s">
        <v>4925</v>
      </c>
      <c r="I1281" t="s">
        <v>53</v>
      </c>
      <c r="J1281" t="s">
        <v>2572</v>
      </c>
      <c r="K1281" t="s">
        <v>3594</v>
      </c>
      <c r="L1281" t="s">
        <v>18</v>
      </c>
      <c r="M1281" t="s">
        <v>17</v>
      </c>
      <c r="N1281">
        <v>2801</v>
      </c>
      <c r="O1281">
        <v>164</v>
      </c>
      <c r="P1281">
        <v>0</v>
      </c>
      <c r="Q1281" t="s">
        <v>5140</v>
      </c>
      <c r="R1281" t="s">
        <v>5141</v>
      </c>
      <c r="S1281" t="s">
        <v>5142</v>
      </c>
      <c r="T1281" t="s">
        <v>5143</v>
      </c>
      <c r="U1281" t="s">
        <v>60</v>
      </c>
      <c r="V1281" t="s">
        <v>61</v>
      </c>
      <c r="W1281">
        <v>10</v>
      </c>
      <c r="X1281">
        <v>0.1150625</v>
      </c>
      <c r="Y1281" t="s">
        <v>336</v>
      </c>
      <c r="Z1281" t="s">
        <v>337</v>
      </c>
      <c r="AA1281">
        <v>2</v>
      </c>
      <c r="AB1281" t="s">
        <v>4929</v>
      </c>
      <c r="AC1281" t="s">
        <v>4930</v>
      </c>
      <c r="AD1281" t="s">
        <v>4931</v>
      </c>
      <c r="AE1281" t="s">
        <v>4932</v>
      </c>
      <c r="AF1281" t="s">
        <v>4933</v>
      </c>
      <c r="AG1281" t="s">
        <v>1963</v>
      </c>
      <c r="AH1281" t="s">
        <v>1857</v>
      </c>
      <c r="AI1281" t="s">
        <v>66</v>
      </c>
      <c r="AJ1281" t="s">
        <v>66</v>
      </c>
      <c r="AK1281">
        <v>1</v>
      </c>
      <c r="AL1281" t="s">
        <v>5129</v>
      </c>
      <c r="AM1281" t="s">
        <v>5130</v>
      </c>
      <c r="AN1281" t="s">
        <v>5131</v>
      </c>
      <c r="AO1281" t="s">
        <v>66</v>
      </c>
      <c r="AP1281">
        <v>1</v>
      </c>
      <c r="AQ1281" t="s">
        <v>5132</v>
      </c>
      <c r="AR1281" t="s">
        <v>5133</v>
      </c>
      <c r="AS1281" t="s">
        <v>66</v>
      </c>
      <c r="AT1281" t="s">
        <v>66</v>
      </c>
    </row>
    <row r="1282" spans="1:46" x14ac:dyDescent="0.15">
      <c r="A1282" t="s">
        <v>5144</v>
      </c>
      <c r="B1282" t="s">
        <v>4922</v>
      </c>
      <c r="C1282" t="s">
        <v>4923</v>
      </c>
      <c r="D1282">
        <v>43</v>
      </c>
      <c r="E1282" t="s">
        <v>4924</v>
      </c>
      <c r="F1282" t="s">
        <v>4516</v>
      </c>
      <c r="G1282" t="s">
        <v>51</v>
      </c>
      <c r="H1282" t="s">
        <v>4925</v>
      </c>
      <c r="I1282" t="s">
        <v>53</v>
      </c>
      <c r="J1282" t="s">
        <v>2572</v>
      </c>
      <c r="K1282" t="s">
        <v>3594</v>
      </c>
      <c r="L1282" t="s">
        <v>18</v>
      </c>
      <c r="M1282" t="s">
        <v>17</v>
      </c>
      <c r="N1282">
        <v>2857</v>
      </c>
      <c r="O1282">
        <v>167</v>
      </c>
      <c r="P1282">
        <v>0</v>
      </c>
      <c r="Q1282" t="s">
        <v>5145</v>
      </c>
      <c r="R1282" t="s">
        <v>5146</v>
      </c>
      <c r="S1282" t="s">
        <v>5147</v>
      </c>
      <c r="T1282" t="s">
        <v>5148</v>
      </c>
      <c r="U1282" t="s">
        <v>60</v>
      </c>
      <c r="V1282" t="s">
        <v>61</v>
      </c>
      <c r="W1282">
        <v>10</v>
      </c>
      <c r="X1282">
        <v>0.1150625</v>
      </c>
      <c r="Y1282" t="s">
        <v>204</v>
      </c>
      <c r="Z1282" t="s">
        <v>343</v>
      </c>
      <c r="AA1282">
        <v>2</v>
      </c>
      <c r="AB1282" t="s">
        <v>4929</v>
      </c>
      <c r="AC1282" t="s">
        <v>4930</v>
      </c>
      <c r="AD1282" t="s">
        <v>4931</v>
      </c>
      <c r="AE1282" t="s">
        <v>4932</v>
      </c>
      <c r="AF1282" t="s">
        <v>4933</v>
      </c>
      <c r="AG1282" t="s">
        <v>1963</v>
      </c>
      <c r="AH1282" t="s">
        <v>1857</v>
      </c>
      <c r="AI1282" t="s">
        <v>66</v>
      </c>
      <c r="AJ1282" t="s">
        <v>66</v>
      </c>
      <c r="AK1282">
        <v>1</v>
      </c>
      <c r="AL1282" t="s">
        <v>5129</v>
      </c>
      <c r="AM1282" t="s">
        <v>5130</v>
      </c>
      <c r="AN1282" t="s">
        <v>5131</v>
      </c>
      <c r="AO1282" t="s">
        <v>66</v>
      </c>
      <c r="AP1282">
        <v>1</v>
      </c>
      <c r="AQ1282" t="s">
        <v>5132</v>
      </c>
      <c r="AR1282" t="s">
        <v>5133</v>
      </c>
      <c r="AS1282" t="s">
        <v>66</v>
      </c>
      <c r="AT1282" t="s">
        <v>66</v>
      </c>
    </row>
    <row r="1283" spans="1:46" x14ac:dyDescent="0.15">
      <c r="A1283" t="s">
        <v>5149</v>
      </c>
      <c r="B1283" t="s">
        <v>4922</v>
      </c>
      <c r="C1283" t="s">
        <v>4923</v>
      </c>
      <c r="D1283">
        <v>44</v>
      </c>
      <c r="E1283" t="s">
        <v>4924</v>
      </c>
      <c r="F1283" t="s">
        <v>4516</v>
      </c>
      <c r="G1283" t="s">
        <v>51</v>
      </c>
      <c r="H1283" t="s">
        <v>4925</v>
      </c>
      <c r="I1283" t="s">
        <v>53</v>
      </c>
      <c r="J1283" t="s">
        <v>2572</v>
      </c>
      <c r="K1283" t="s">
        <v>3594</v>
      </c>
      <c r="L1283" t="s">
        <v>18</v>
      </c>
      <c r="M1283" t="s">
        <v>17</v>
      </c>
      <c r="N1283">
        <v>2913</v>
      </c>
      <c r="O1283">
        <v>170</v>
      </c>
      <c r="P1283">
        <v>0</v>
      </c>
      <c r="Q1283" t="s">
        <v>5150</v>
      </c>
      <c r="R1283" t="s">
        <v>5151</v>
      </c>
      <c r="S1283" t="s">
        <v>5152</v>
      </c>
      <c r="T1283" t="s">
        <v>5153</v>
      </c>
      <c r="U1283" t="s">
        <v>60</v>
      </c>
      <c r="V1283" t="s">
        <v>61</v>
      </c>
      <c r="W1283">
        <v>10</v>
      </c>
      <c r="X1283">
        <v>0.1150625</v>
      </c>
      <c r="Y1283" t="s">
        <v>349</v>
      </c>
      <c r="Z1283" t="s">
        <v>350</v>
      </c>
      <c r="AA1283">
        <v>2</v>
      </c>
      <c r="AB1283" t="s">
        <v>4929</v>
      </c>
      <c r="AC1283" t="s">
        <v>4930</v>
      </c>
      <c r="AD1283" t="s">
        <v>4931</v>
      </c>
      <c r="AE1283" t="s">
        <v>4932</v>
      </c>
      <c r="AF1283" t="s">
        <v>4933</v>
      </c>
      <c r="AG1283" t="s">
        <v>1963</v>
      </c>
      <c r="AH1283" t="s">
        <v>1857</v>
      </c>
      <c r="AI1283" t="s">
        <v>66</v>
      </c>
      <c r="AJ1283" t="s">
        <v>66</v>
      </c>
      <c r="AK1283">
        <v>1</v>
      </c>
      <c r="AL1283" t="s">
        <v>5129</v>
      </c>
      <c r="AM1283" t="s">
        <v>5130</v>
      </c>
      <c r="AN1283" t="s">
        <v>5131</v>
      </c>
      <c r="AO1283" t="s">
        <v>66</v>
      </c>
      <c r="AP1283">
        <v>1</v>
      </c>
      <c r="AQ1283" t="s">
        <v>5132</v>
      </c>
      <c r="AR1283" t="s">
        <v>5133</v>
      </c>
      <c r="AS1283" t="s">
        <v>66</v>
      </c>
      <c r="AT1283" t="s">
        <v>66</v>
      </c>
    </row>
    <row r="1284" spans="1:46" x14ac:dyDescent="0.15">
      <c r="A1284" t="s">
        <v>5154</v>
      </c>
      <c r="B1284" t="s">
        <v>4922</v>
      </c>
      <c r="C1284" t="s">
        <v>4923</v>
      </c>
      <c r="D1284">
        <v>45</v>
      </c>
      <c r="E1284" t="s">
        <v>4924</v>
      </c>
      <c r="F1284" t="s">
        <v>4516</v>
      </c>
      <c r="G1284" t="s">
        <v>51</v>
      </c>
      <c r="H1284" t="s">
        <v>4925</v>
      </c>
      <c r="I1284" t="s">
        <v>53</v>
      </c>
      <c r="J1284" t="s">
        <v>2572</v>
      </c>
      <c r="K1284" t="s">
        <v>3594</v>
      </c>
      <c r="L1284" t="s">
        <v>18</v>
      </c>
      <c r="M1284" t="s">
        <v>17</v>
      </c>
      <c r="N1284">
        <v>2969</v>
      </c>
      <c r="O1284">
        <v>174</v>
      </c>
      <c r="P1284">
        <v>0</v>
      </c>
      <c r="Q1284" t="s">
        <v>5155</v>
      </c>
      <c r="R1284" t="s">
        <v>5156</v>
      </c>
      <c r="S1284" t="s">
        <v>5157</v>
      </c>
      <c r="T1284" t="s">
        <v>5158</v>
      </c>
      <c r="U1284" t="s">
        <v>60</v>
      </c>
      <c r="V1284" t="s">
        <v>61</v>
      </c>
      <c r="W1284">
        <v>10</v>
      </c>
      <c r="X1284">
        <v>0.1150625</v>
      </c>
      <c r="Y1284" t="s">
        <v>210</v>
      </c>
      <c r="Z1284" t="s">
        <v>356</v>
      </c>
      <c r="AA1284">
        <v>2</v>
      </c>
      <c r="AB1284" t="s">
        <v>4929</v>
      </c>
      <c r="AC1284" t="s">
        <v>4930</v>
      </c>
      <c r="AD1284" t="s">
        <v>4931</v>
      </c>
      <c r="AE1284" t="s">
        <v>4932</v>
      </c>
      <c r="AF1284" t="s">
        <v>4933</v>
      </c>
      <c r="AG1284" t="s">
        <v>1963</v>
      </c>
      <c r="AH1284" t="s">
        <v>1857</v>
      </c>
      <c r="AI1284" t="s">
        <v>66</v>
      </c>
      <c r="AJ1284" t="s">
        <v>66</v>
      </c>
      <c r="AK1284">
        <v>1</v>
      </c>
      <c r="AL1284" t="s">
        <v>5129</v>
      </c>
      <c r="AM1284" t="s">
        <v>5130</v>
      </c>
      <c r="AN1284" t="s">
        <v>5131</v>
      </c>
      <c r="AO1284" t="s">
        <v>66</v>
      </c>
      <c r="AP1284">
        <v>1</v>
      </c>
      <c r="AQ1284" t="s">
        <v>5132</v>
      </c>
      <c r="AR1284" t="s">
        <v>5133</v>
      </c>
      <c r="AS1284" t="s">
        <v>66</v>
      </c>
      <c r="AT1284" t="s">
        <v>66</v>
      </c>
    </row>
    <row r="1285" spans="1:46" x14ac:dyDescent="0.15">
      <c r="A1285" t="s">
        <v>5159</v>
      </c>
      <c r="B1285" t="s">
        <v>4922</v>
      </c>
      <c r="C1285" t="s">
        <v>4923</v>
      </c>
      <c r="D1285">
        <v>46</v>
      </c>
      <c r="E1285" t="s">
        <v>4924</v>
      </c>
      <c r="F1285" t="s">
        <v>4516</v>
      </c>
      <c r="G1285" t="s">
        <v>51</v>
      </c>
      <c r="H1285" t="s">
        <v>4925</v>
      </c>
      <c r="I1285" t="s">
        <v>53</v>
      </c>
      <c r="J1285" t="s">
        <v>2572</v>
      </c>
      <c r="K1285" t="s">
        <v>3594</v>
      </c>
      <c r="L1285" t="s">
        <v>18</v>
      </c>
      <c r="M1285" t="s">
        <v>17</v>
      </c>
      <c r="N1285">
        <v>3026</v>
      </c>
      <c r="O1285">
        <v>177</v>
      </c>
      <c r="P1285">
        <v>0</v>
      </c>
      <c r="Q1285" t="s">
        <v>5160</v>
      </c>
      <c r="R1285" t="s">
        <v>5161</v>
      </c>
      <c r="S1285" t="s">
        <v>5162</v>
      </c>
      <c r="T1285" t="s">
        <v>5163</v>
      </c>
      <c r="U1285" t="s">
        <v>60</v>
      </c>
      <c r="V1285" t="s">
        <v>61</v>
      </c>
      <c r="W1285">
        <v>10</v>
      </c>
      <c r="X1285">
        <v>0.1150625</v>
      </c>
      <c r="Y1285" t="s">
        <v>362</v>
      </c>
      <c r="Z1285" t="s">
        <v>363</v>
      </c>
      <c r="AA1285">
        <v>2</v>
      </c>
      <c r="AB1285" t="s">
        <v>4929</v>
      </c>
      <c r="AC1285" t="s">
        <v>4930</v>
      </c>
      <c r="AD1285" t="s">
        <v>4931</v>
      </c>
      <c r="AE1285" t="s">
        <v>4932</v>
      </c>
      <c r="AF1285" t="s">
        <v>4933</v>
      </c>
      <c r="AG1285" t="s">
        <v>1963</v>
      </c>
      <c r="AH1285" t="s">
        <v>1857</v>
      </c>
      <c r="AI1285" t="s">
        <v>66</v>
      </c>
      <c r="AJ1285" t="s">
        <v>66</v>
      </c>
      <c r="AK1285">
        <v>1</v>
      </c>
      <c r="AL1285" t="s">
        <v>5129</v>
      </c>
      <c r="AM1285" t="s">
        <v>5130</v>
      </c>
      <c r="AN1285" t="s">
        <v>5131</v>
      </c>
      <c r="AO1285" t="s">
        <v>66</v>
      </c>
      <c r="AP1285">
        <v>1</v>
      </c>
      <c r="AQ1285" t="s">
        <v>5132</v>
      </c>
      <c r="AR1285" t="s">
        <v>5133</v>
      </c>
      <c r="AS1285" t="s">
        <v>66</v>
      </c>
      <c r="AT1285" t="s">
        <v>66</v>
      </c>
    </row>
    <row r="1286" spans="1:46" x14ac:dyDescent="0.15">
      <c r="A1286" t="s">
        <v>5164</v>
      </c>
      <c r="B1286" t="s">
        <v>4922</v>
      </c>
      <c r="C1286" t="s">
        <v>4923</v>
      </c>
      <c r="D1286">
        <v>47</v>
      </c>
      <c r="E1286" t="s">
        <v>4924</v>
      </c>
      <c r="F1286" t="s">
        <v>4516</v>
      </c>
      <c r="G1286" t="s">
        <v>51</v>
      </c>
      <c r="H1286" t="s">
        <v>4925</v>
      </c>
      <c r="I1286" t="s">
        <v>53</v>
      </c>
      <c r="J1286" t="s">
        <v>2572</v>
      </c>
      <c r="K1286" t="s">
        <v>3594</v>
      </c>
      <c r="L1286" t="s">
        <v>18</v>
      </c>
      <c r="M1286" t="s">
        <v>17</v>
      </c>
      <c r="N1286">
        <v>3082</v>
      </c>
      <c r="O1286">
        <v>180</v>
      </c>
      <c r="P1286">
        <v>0</v>
      </c>
      <c r="Q1286" t="s">
        <v>5165</v>
      </c>
      <c r="R1286" t="s">
        <v>5166</v>
      </c>
      <c r="S1286" t="s">
        <v>5167</v>
      </c>
      <c r="T1286" t="s">
        <v>5168</v>
      </c>
      <c r="U1286" t="s">
        <v>60</v>
      </c>
      <c r="V1286" t="s">
        <v>61</v>
      </c>
      <c r="W1286">
        <v>10</v>
      </c>
      <c r="X1286">
        <v>0.1150625</v>
      </c>
      <c r="Y1286" t="s">
        <v>217</v>
      </c>
      <c r="Z1286" t="s">
        <v>369</v>
      </c>
      <c r="AA1286">
        <v>2</v>
      </c>
      <c r="AB1286" t="s">
        <v>4929</v>
      </c>
      <c r="AC1286" t="s">
        <v>4930</v>
      </c>
      <c r="AD1286" t="s">
        <v>4931</v>
      </c>
      <c r="AE1286" t="s">
        <v>4932</v>
      </c>
      <c r="AF1286" t="s">
        <v>4933</v>
      </c>
      <c r="AG1286" t="s">
        <v>1963</v>
      </c>
      <c r="AH1286" t="s">
        <v>1857</v>
      </c>
      <c r="AI1286" t="s">
        <v>66</v>
      </c>
      <c r="AJ1286" t="s">
        <v>66</v>
      </c>
      <c r="AK1286">
        <v>1</v>
      </c>
      <c r="AL1286" t="s">
        <v>5129</v>
      </c>
      <c r="AM1286" t="s">
        <v>5130</v>
      </c>
      <c r="AN1286" t="s">
        <v>5131</v>
      </c>
      <c r="AO1286" t="s">
        <v>66</v>
      </c>
      <c r="AP1286">
        <v>1</v>
      </c>
      <c r="AQ1286" t="s">
        <v>5132</v>
      </c>
      <c r="AR1286" t="s">
        <v>5133</v>
      </c>
      <c r="AS1286" t="s">
        <v>66</v>
      </c>
      <c r="AT1286" t="s">
        <v>66</v>
      </c>
    </row>
    <row r="1287" spans="1:46" x14ac:dyDescent="0.15">
      <c r="A1287" t="s">
        <v>5169</v>
      </c>
      <c r="B1287" t="s">
        <v>4922</v>
      </c>
      <c r="C1287" t="s">
        <v>4923</v>
      </c>
      <c r="D1287">
        <v>48</v>
      </c>
      <c r="E1287" t="s">
        <v>4924</v>
      </c>
      <c r="F1287" t="s">
        <v>4516</v>
      </c>
      <c r="G1287" t="s">
        <v>51</v>
      </c>
      <c r="H1287" t="s">
        <v>4925</v>
      </c>
      <c r="I1287" t="s">
        <v>53</v>
      </c>
      <c r="J1287" t="s">
        <v>2572</v>
      </c>
      <c r="K1287" t="s">
        <v>3594</v>
      </c>
      <c r="L1287" t="s">
        <v>18</v>
      </c>
      <c r="M1287" t="s">
        <v>17</v>
      </c>
      <c r="N1287">
        <v>3138</v>
      </c>
      <c r="O1287">
        <v>183</v>
      </c>
      <c r="P1287">
        <v>0</v>
      </c>
      <c r="Q1287" t="s">
        <v>5170</v>
      </c>
      <c r="R1287" t="s">
        <v>5171</v>
      </c>
      <c r="S1287" t="s">
        <v>5172</v>
      </c>
      <c r="T1287" t="s">
        <v>5173</v>
      </c>
      <c r="U1287" t="s">
        <v>60</v>
      </c>
      <c r="V1287" t="s">
        <v>61</v>
      </c>
      <c r="W1287">
        <v>10</v>
      </c>
      <c r="X1287">
        <v>0.1150625</v>
      </c>
      <c r="Y1287" t="s">
        <v>375</v>
      </c>
      <c r="Z1287" t="s">
        <v>376</v>
      </c>
      <c r="AA1287">
        <v>2</v>
      </c>
      <c r="AB1287" t="s">
        <v>4929</v>
      </c>
      <c r="AC1287" t="s">
        <v>4930</v>
      </c>
      <c r="AD1287" t="s">
        <v>4931</v>
      </c>
      <c r="AE1287" t="s">
        <v>4932</v>
      </c>
      <c r="AF1287" t="s">
        <v>4933</v>
      </c>
      <c r="AG1287" t="s">
        <v>1963</v>
      </c>
      <c r="AH1287" t="s">
        <v>1857</v>
      </c>
      <c r="AI1287" t="s">
        <v>66</v>
      </c>
      <c r="AJ1287" t="s">
        <v>66</v>
      </c>
      <c r="AK1287">
        <v>1</v>
      </c>
      <c r="AL1287" t="s">
        <v>5129</v>
      </c>
      <c r="AM1287" t="s">
        <v>5130</v>
      </c>
      <c r="AN1287" t="s">
        <v>5131</v>
      </c>
      <c r="AO1287" t="s">
        <v>66</v>
      </c>
      <c r="AP1287">
        <v>1</v>
      </c>
      <c r="AQ1287" t="s">
        <v>5132</v>
      </c>
      <c r="AR1287" t="s">
        <v>5133</v>
      </c>
      <c r="AS1287" t="s">
        <v>66</v>
      </c>
      <c r="AT1287" t="s">
        <v>66</v>
      </c>
    </row>
    <row r="1288" spans="1:46" x14ac:dyDescent="0.15">
      <c r="A1288" t="s">
        <v>5174</v>
      </c>
      <c r="B1288" t="s">
        <v>4922</v>
      </c>
      <c r="C1288" t="s">
        <v>4923</v>
      </c>
      <c r="D1288">
        <v>49</v>
      </c>
      <c r="E1288" t="s">
        <v>4924</v>
      </c>
      <c r="F1288" t="s">
        <v>4516</v>
      </c>
      <c r="G1288" t="s">
        <v>51</v>
      </c>
      <c r="H1288" t="s">
        <v>4925</v>
      </c>
      <c r="I1288" t="s">
        <v>53</v>
      </c>
      <c r="J1288" t="s">
        <v>2572</v>
      </c>
      <c r="K1288" t="s">
        <v>3594</v>
      </c>
      <c r="L1288" t="s">
        <v>18</v>
      </c>
      <c r="M1288" t="s">
        <v>17</v>
      </c>
      <c r="N1288">
        <v>3194</v>
      </c>
      <c r="O1288">
        <v>187</v>
      </c>
      <c r="P1288">
        <v>0</v>
      </c>
      <c r="Q1288" t="s">
        <v>5175</v>
      </c>
      <c r="R1288" t="s">
        <v>5176</v>
      </c>
      <c r="S1288" t="s">
        <v>5177</v>
      </c>
      <c r="T1288" t="s">
        <v>5178</v>
      </c>
      <c r="U1288" t="s">
        <v>60</v>
      </c>
      <c r="V1288" t="s">
        <v>61</v>
      </c>
      <c r="W1288">
        <v>10</v>
      </c>
      <c r="X1288">
        <v>0.1150625</v>
      </c>
      <c r="Y1288" t="s">
        <v>223</v>
      </c>
      <c r="Z1288" t="s">
        <v>382</v>
      </c>
      <c r="AA1288">
        <v>2</v>
      </c>
      <c r="AB1288" t="s">
        <v>4929</v>
      </c>
      <c r="AC1288" t="s">
        <v>4930</v>
      </c>
      <c r="AD1288" t="s">
        <v>4931</v>
      </c>
      <c r="AE1288" t="s">
        <v>4932</v>
      </c>
      <c r="AF1288" t="s">
        <v>4933</v>
      </c>
      <c r="AG1288" t="s">
        <v>1963</v>
      </c>
      <c r="AH1288" t="s">
        <v>1857</v>
      </c>
      <c r="AI1288" t="s">
        <v>66</v>
      </c>
      <c r="AJ1288" t="s">
        <v>66</v>
      </c>
      <c r="AK1288">
        <v>1</v>
      </c>
      <c r="AL1288" t="s">
        <v>5129</v>
      </c>
      <c r="AM1288" t="s">
        <v>5130</v>
      </c>
      <c r="AN1288" t="s">
        <v>5131</v>
      </c>
      <c r="AO1288" t="s">
        <v>66</v>
      </c>
      <c r="AP1288">
        <v>1</v>
      </c>
      <c r="AQ1288" t="s">
        <v>5132</v>
      </c>
      <c r="AR1288" t="s">
        <v>5133</v>
      </c>
      <c r="AS1288" t="s">
        <v>66</v>
      </c>
      <c r="AT1288" t="s">
        <v>66</v>
      </c>
    </row>
    <row r="1289" spans="1:46" x14ac:dyDescent="0.15">
      <c r="A1289" t="s">
        <v>5179</v>
      </c>
      <c r="B1289" t="s">
        <v>4922</v>
      </c>
      <c r="C1289" t="s">
        <v>4923</v>
      </c>
      <c r="D1289">
        <v>50</v>
      </c>
      <c r="E1289" t="s">
        <v>4924</v>
      </c>
      <c r="F1289" t="s">
        <v>4516</v>
      </c>
      <c r="G1289" t="s">
        <v>51</v>
      </c>
      <c r="H1289" t="s">
        <v>4925</v>
      </c>
      <c r="I1289" t="s">
        <v>53</v>
      </c>
      <c r="J1289" t="s">
        <v>2572</v>
      </c>
      <c r="K1289" t="s">
        <v>3594</v>
      </c>
      <c r="L1289" t="s">
        <v>18</v>
      </c>
      <c r="M1289" t="s">
        <v>17</v>
      </c>
      <c r="N1289">
        <v>3250</v>
      </c>
      <c r="O1289">
        <v>190</v>
      </c>
      <c r="P1289">
        <v>0</v>
      </c>
      <c r="Q1289" t="s">
        <v>5180</v>
      </c>
      <c r="R1289" t="s">
        <v>5181</v>
      </c>
      <c r="S1289" t="s">
        <v>5182</v>
      </c>
      <c r="T1289" t="s">
        <v>5183</v>
      </c>
      <c r="U1289" t="s">
        <v>60</v>
      </c>
      <c r="V1289" t="s">
        <v>61</v>
      </c>
      <c r="W1289">
        <v>10</v>
      </c>
      <c r="X1289">
        <v>0.1150625</v>
      </c>
      <c r="Y1289" t="s">
        <v>388</v>
      </c>
      <c r="Z1289" t="s">
        <v>389</v>
      </c>
      <c r="AA1289">
        <v>2</v>
      </c>
      <c r="AB1289" t="s">
        <v>4929</v>
      </c>
      <c r="AC1289" t="s">
        <v>4930</v>
      </c>
      <c r="AD1289" t="s">
        <v>4931</v>
      </c>
      <c r="AE1289" t="s">
        <v>4932</v>
      </c>
      <c r="AF1289" t="s">
        <v>4933</v>
      </c>
      <c r="AG1289" t="s">
        <v>1963</v>
      </c>
      <c r="AH1289" t="s">
        <v>1857</v>
      </c>
      <c r="AI1289" t="s">
        <v>66</v>
      </c>
      <c r="AJ1289" t="s">
        <v>66</v>
      </c>
      <c r="AK1289">
        <v>1</v>
      </c>
      <c r="AL1289" t="s">
        <v>5129</v>
      </c>
      <c r="AM1289" t="s">
        <v>5130</v>
      </c>
      <c r="AN1289" t="s">
        <v>5131</v>
      </c>
      <c r="AO1289" t="s">
        <v>66</v>
      </c>
      <c r="AP1289">
        <v>1</v>
      </c>
      <c r="AQ1289" t="s">
        <v>5132</v>
      </c>
      <c r="AR1289" t="s">
        <v>5133</v>
      </c>
      <c r="AS1289" t="s">
        <v>66</v>
      </c>
      <c r="AT1289" t="s">
        <v>66</v>
      </c>
    </row>
    <row r="1290" spans="1:46" x14ac:dyDescent="0.15">
      <c r="A1290" t="s">
        <v>5184</v>
      </c>
      <c r="B1290" t="s">
        <v>4922</v>
      </c>
      <c r="C1290" t="s">
        <v>4923</v>
      </c>
      <c r="D1290">
        <v>51</v>
      </c>
      <c r="E1290" t="s">
        <v>4924</v>
      </c>
      <c r="F1290" t="s">
        <v>4516</v>
      </c>
      <c r="G1290" t="s">
        <v>51</v>
      </c>
      <c r="H1290" t="s">
        <v>4925</v>
      </c>
      <c r="I1290" t="s">
        <v>53</v>
      </c>
      <c r="J1290" t="s">
        <v>2572</v>
      </c>
      <c r="K1290" t="s">
        <v>3594</v>
      </c>
      <c r="L1290" t="s">
        <v>18</v>
      </c>
      <c r="M1290" t="s">
        <v>17</v>
      </c>
      <c r="N1290">
        <v>3306</v>
      </c>
      <c r="O1290">
        <v>193</v>
      </c>
      <c r="P1290">
        <v>0</v>
      </c>
      <c r="Q1290" t="s">
        <v>5185</v>
      </c>
      <c r="R1290" t="s">
        <v>5186</v>
      </c>
      <c r="S1290" t="s">
        <v>5187</v>
      </c>
      <c r="T1290" t="s">
        <v>5188</v>
      </c>
      <c r="U1290" t="s">
        <v>60</v>
      </c>
      <c r="V1290" t="s">
        <v>61</v>
      </c>
      <c r="W1290">
        <v>10</v>
      </c>
      <c r="X1290">
        <v>0.1150625</v>
      </c>
      <c r="Y1290" t="s">
        <v>230</v>
      </c>
      <c r="Z1290" t="s">
        <v>395</v>
      </c>
      <c r="AA1290">
        <v>2</v>
      </c>
      <c r="AB1290" t="s">
        <v>4929</v>
      </c>
      <c r="AC1290" t="s">
        <v>4930</v>
      </c>
      <c r="AD1290" t="s">
        <v>4931</v>
      </c>
      <c r="AE1290" t="s">
        <v>4932</v>
      </c>
      <c r="AF1290" t="s">
        <v>4933</v>
      </c>
      <c r="AG1290" t="s">
        <v>1963</v>
      </c>
      <c r="AH1290" t="s">
        <v>1857</v>
      </c>
      <c r="AI1290" t="s">
        <v>66</v>
      </c>
      <c r="AJ1290" t="s">
        <v>66</v>
      </c>
      <c r="AK1290">
        <v>1</v>
      </c>
      <c r="AL1290" t="s">
        <v>5129</v>
      </c>
      <c r="AM1290" t="s">
        <v>5130</v>
      </c>
      <c r="AN1290" t="s">
        <v>5131</v>
      </c>
      <c r="AO1290" t="s">
        <v>66</v>
      </c>
      <c r="AP1290">
        <v>1</v>
      </c>
      <c r="AQ1290" t="s">
        <v>5132</v>
      </c>
      <c r="AR1290" t="s">
        <v>5133</v>
      </c>
      <c r="AS1290" t="s">
        <v>66</v>
      </c>
      <c r="AT1290" t="s">
        <v>66</v>
      </c>
    </row>
    <row r="1291" spans="1:46" x14ac:dyDescent="0.15">
      <c r="A1291" t="s">
        <v>5189</v>
      </c>
      <c r="B1291" t="s">
        <v>4922</v>
      </c>
      <c r="C1291" t="s">
        <v>4923</v>
      </c>
      <c r="D1291">
        <v>52</v>
      </c>
      <c r="E1291" t="s">
        <v>4924</v>
      </c>
      <c r="F1291" t="s">
        <v>4516</v>
      </c>
      <c r="G1291" t="s">
        <v>51</v>
      </c>
      <c r="H1291" t="s">
        <v>4925</v>
      </c>
      <c r="I1291" t="s">
        <v>53</v>
      </c>
      <c r="J1291" t="s">
        <v>2572</v>
      </c>
      <c r="K1291" t="s">
        <v>3594</v>
      </c>
      <c r="L1291" t="s">
        <v>18</v>
      </c>
      <c r="M1291" t="s">
        <v>17</v>
      </c>
      <c r="N1291">
        <v>3362</v>
      </c>
      <c r="O1291">
        <v>196</v>
      </c>
      <c r="P1291">
        <v>0</v>
      </c>
      <c r="Q1291" t="s">
        <v>5190</v>
      </c>
      <c r="R1291" t="s">
        <v>5191</v>
      </c>
      <c r="S1291" t="s">
        <v>5192</v>
      </c>
      <c r="T1291" t="s">
        <v>5193</v>
      </c>
      <c r="U1291" t="s">
        <v>60</v>
      </c>
      <c r="V1291" t="s">
        <v>61</v>
      </c>
      <c r="W1291">
        <v>10</v>
      </c>
      <c r="X1291">
        <v>0.1150625</v>
      </c>
      <c r="Y1291" t="s">
        <v>401</v>
      </c>
      <c r="Z1291" t="s">
        <v>402</v>
      </c>
      <c r="AA1291">
        <v>2</v>
      </c>
      <c r="AB1291" t="s">
        <v>4929</v>
      </c>
      <c r="AC1291" t="s">
        <v>4930</v>
      </c>
      <c r="AD1291" t="s">
        <v>4931</v>
      </c>
      <c r="AE1291" t="s">
        <v>4932</v>
      </c>
      <c r="AF1291" t="s">
        <v>4933</v>
      </c>
      <c r="AG1291" t="s">
        <v>1963</v>
      </c>
      <c r="AH1291" t="s">
        <v>1857</v>
      </c>
      <c r="AI1291" t="s">
        <v>66</v>
      </c>
      <c r="AJ1291" t="s">
        <v>66</v>
      </c>
      <c r="AK1291">
        <v>1</v>
      </c>
      <c r="AL1291" t="s">
        <v>5129</v>
      </c>
      <c r="AM1291" t="s">
        <v>5130</v>
      </c>
      <c r="AN1291" t="s">
        <v>5131</v>
      </c>
      <c r="AO1291" t="s">
        <v>66</v>
      </c>
      <c r="AP1291">
        <v>1</v>
      </c>
      <c r="AQ1291" t="s">
        <v>5132</v>
      </c>
      <c r="AR1291" t="s">
        <v>5133</v>
      </c>
      <c r="AS1291" t="s">
        <v>66</v>
      </c>
      <c r="AT1291" t="s">
        <v>66</v>
      </c>
    </row>
    <row r="1292" spans="1:46" x14ac:dyDescent="0.15">
      <c r="A1292" t="s">
        <v>5194</v>
      </c>
      <c r="B1292" t="s">
        <v>4922</v>
      </c>
      <c r="C1292" t="s">
        <v>4923</v>
      </c>
      <c r="D1292">
        <v>53</v>
      </c>
      <c r="E1292" t="s">
        <v>4924</v>
      </c>
      <c r="F1292" t="s">
        <v>4516</v>
      </c>
      <c r="G1292" t="s">
        <v>51</v>
      </c>
      <c r="H1292" t="s">
        <v>4925</v>
      </c>
      <c r="I1292" t="s">
        <v>53</v>
      </c>
      <c r="J1292" t="s">
        <v>2572</v>
      </c>
      <c r="K1292" t="s">
        <v>3594</v>
      </c>
      <c r="L1292" t="s">
        <v>18</v>
      </c>
      <c r="M1292" t="s">
        <v>17</v>
      </c>
      <c r="N1292">
        <v>3418</v>
      </c>
      <c r="O1292">
        <v>200</v>
      </c>
      <c r="P1292">
        <v>0</v>
      </c>
      <c r="Q1292" t="s">
        <v>5195</v>
      </c>
      <c r="R1292" t="s">
        <v>5196</v>
      </c>
      <c r="S1292" t="s">
        <v>5197</v>
      </c>
      <c r="T1292" t="s">
        <v>5198</v>
      </c>
      <c r="U1292" t="s">
        <v>60</v>
      </c>
      <c r="V1292" t="s">
        <v>61</v>
      </c>
      <c r="W1292">
        <v>10</v>
      </c>
      <c r="X1292">
        <v>0.1150625</v>
      </c>
      <c r="Y1292" t="s">
        <v>236</v>
      </c>
      <c r="Z1292" t="s">
        <v>408</v>
      </c>
      <c r="AA1292">
        <v>2</v>
      </c>
      <c r="AB1292" t="s">
        <v>4929</v>
      </c>
      <c r="AC1292" t="s">
        <v>4930</v>
      </c>
      <c r="AD1292" t="s">
        <v>4931</v>
      </c>
      <c r="AE1292" t="s">
        <v>4932</v>
      </c>
      <c r="AF1292" t="s">
        <v>4933</v>
      </c>
      <c r="AG1292" t="s">
        <v>1963</v>
      </c>
      <c r="AH1292" t="s">
        <v>1857</v>
      </c>
      <c r="AI1292" t="s">
        <v>66</v>
      </c>
      <c r="AJ1292" t="s">
        <v>66</v>
      </c>
      <c r="AK1292">
        <v>1</v>
      </c>
      <c r="AL1292" t="s">
        <v>5129</v>
      </c>
      <c r="AM1292" t="s">
        <v>5130</v>
      </c>
      <c r="AN1292" t="s">
        <v>5131</v>
      </c>
      <c r="AO1292" t="s">
        <v>66</v>
      </c>
      <c r="AP1292">
        <v>1</v>
      </c>
      <c r="AQ1292" t="s">
        <v>5132</v>
      </c>
      <c r="AR1292" t="s">
        <v>5133</v>
      </c>
      <c r="AS1292" t="s">
        <v>66</v>
      </c>
      <c r="AT1292" t="s">
        <v>66</v>
      </c>
    </row>
    <row r="1293" spans="1:46" x14ac:dyDescent="0.15">
      <c r="A1293" t="s">
        <v>5199</v>
      </c>
      <c r="B1293" t="s">
        <v>4922</v>
      </c>
      <c r="C1293" t="s">
        <v>4923</v>
      </c>
      <c r="D1293">
        <v>54</v>
      </c>
      <c r="E1293" t="s">
        <v>4924</v>
      </c>
      <c r="F1293" t="s">
        <v>4516</v>
      </c>
      <c r="G1293" t="s">
        <v>51</v>
      </c>
      <c r="H1293" t="s">
        <v>4925</v>
      </c>
      <c r="I1293" t="s">
        <v>53</v>
      </c>
      <c r="J1293" t="s">
        <v>2572</v>
      </c>
      <c r="K1293" t="s">
        <v>3594</v>
      </c>
      <c r="L1293" t="s">
        <v>18</v>
      </c>
      <c r="M1293" t="s">
        <v>17</v>
      </c>
      <c r="N1293">
        <v>3474</v>
      </c>
      <c r="O1293">
        <v>203</v>
      </c>
      <c r="P1293">
        <v>0</v>
      </c>
      <c r="Q1293" t="s">
        <v>5200</v>
      </c>
      <c r="R1293" t="s">
        <v>5201</v>
      </c>
      <c r="S1293" t="s">
        <v>5202</v>
      </c>
      <c r="T1293" t="s">
        <v>5203</v>
      </c>
      <c r="U1293" t="s">
        <v>60</v>
      </c>
      <c r="V1293" t="s">
        <v>61</v>
      </c>
      <c r="W1293">
        <v>10</v>
      </c>
      <c r="X1293">
        <v>0.1150625</v>
      </c>
      <c r="Y1293" t="s">
        <v>414</v>
      </c>
      <c r="Z1293" t="s">
        <v>415</v>
      </c>
      <c r="AA1293">
        <v>2</v>
      </c>
      <c r="AB1293" t="s">
        <v>4929</v>
      </c>
      <c r="AC1293" t="s">
        <v>4930</v>
      </c>
      <c r="AD1293" t="s">
        <v>4931</v>
      </c>
      <c r="AE1293" t="s">
        <v>4932</v>
      </c>
      <c r="AF1293" t="s">
        <v>4933</v>
      </c>
      <c r="AG1293" t="s">
        <v>1963</v>
      </c>
      <c r="AH1293" t="s">
        <v>1857</v>
      </c>
      <c r="AI1293" t="s">
        <v>66</v>
      </c>
      <c r="AJ1293" t="s">
        <v>66</v>
      </c>
      <c r="AK1293">
        <v>1</v>
      </c>
      <c r="AL1293" t="s">
        <v>5129</v>
      </c>
      <c r="AM1293" t="s">
        <v>5130</v>
      </c>
      <c r="AN1293" t="s">
        <v>5131</v>
      </c>
      <c r="AO1293" t="s">
        <v>66</v>
      </c>
      <c r="AP1293">
        <v>1</v>
      </c>
      <c r="AQ1293" t="s">
        <v>5132</v>
      </c>
      <c r="AR1293" t="s">
        <v>5133</v>
      </c>
      <c r="AS1293" t="s">
        <v>66</v>
      </c>
      <c r="AT1293" t="s">
        <v>66</v>
      </c>
    </row>
    <row r="1294" spans="1:46" x14ac:dyDescent="0.15">
      <c r="A1294" t="s">
        <v>5204</v>
      </c>
      <c r="B1294" t="s">
        <v>4922</v>
      </c>
      <c r="C1294" t="s">
        <v>4923</v>
      </c>
      <c r="D1294">
        <v>55</v>
      </c>
      <c r="E1294" t="s">
        <v>4924</v>
      </c>
      <c r="F1294" t="s">
        <v>4516</v>
      </c>
      <c r="G1294" t="s">
        <v>51</v>
      </c>
      <c r="H1294" t="s">
        <v>4925</v>
      </c>
      <c r="I1294" t="s">
        <v>53</v>
      </c>
      <c r="J1294" t="s">
        <v>2572</v>
      </c>
      <c r="K1294" t="s">
        <v>3594</v>
      </c>
      <c r="L1294" t="s">
        <v>18</v>
      </c>
      <c r="M1294" t="s">
        <v>17</v>
      </c>
      <c r="N1294">
        <v>3531</v>
      </c>
      <c r="O1294">
        <v>206</v>
      </c>
      <c r="P1294">
        <v>0</v>
      </c>
      <c r="Q1294" t="s">
        <v>5205</v>
      </c>
      <c r="R1294" t="s">
        <v>5206</v>
      </c>
      <c r="S1294" t="s">
        <v>5207</v>
      </c>
      <c r="T1294" t="s">
        <v>5208</v>
      </c>
      <c r="U1294" t="s">
        <v>60</v>
      </c>
      <c r="V1294" t="s">
        <v>61</v>
      </c>
      <c r="W1294">
        <v>10</v>
      </c>
      <c r="X1294">
        <v>0.1150625</v>
      </c>
      <c r="Y1294" t="s">
        <v>243</v>
      </c>
      <c r="Z1294" t="s">
        <v>421</v>
      </c>
      <c r="AA1294">
        <v>2</v>
      </c>
      <c r="AB1294" t="s">
        <v>4929</v>
      </c>
      <c r="AC1294" t="s">
        <v>4930</v>
      </c>
      <c r="AD1294" t="s">
        <v>4931</v>
      </c>
      <c r="AE1294" t="s">
        <v>4932</v>
      </c>
      <c r="AF1294" t="s">
        <v>4933</v>
      </c>
      <c r="AG1294" t="s">
        <v>1963</v>
      </c>
      <c r="AH1294" t="s">
        <v>1857</v>
      </c>
      <c r="AI1294" t="s">
        <v>66</v>
      </c>
      <c r="AJ1294" t="s">
        <v>66</v>
      </c>
      <c r="AK1294">
        <v>1</v>
      </c>
      <c r="AL1294" t="s">
        <v>5129</v>
      </c>
      <c r="AM1294" t="s">
        <v>5130</v>
      </c>
      <c r="AN1294" t="s">
        <v>5131</v>
      </c>
      <c r="AO1294" t="s">
        <v>66</v>
      </c>
      <c r="AP1294">
        <v>1</v>
      </c>
      <c r="AQ1294" t="s">
        <v>5132</v>
      </c>
      <c r="AR1294" t="s">
        <v>5133</v>
      </c>
      <c r="AS1294" t="s">
        <v>66</v>
      </c>
      <c r="AT1294" t="s">
        <v>66</v>
      </c>
    </row>
    <row r="1295" spans="1:46" x14ac:dyDescent="0.15">
      <c r="A1295" t="s">
        <v>5209</v>
      </c>
      <c r="B1295" t="s">
        <v>4922</v>
      </c>
      <c r="C1295" t="s">
        <v>4923</v>
      </c>
      <c r="D1295">
        <v>56</v>
      </c>
      <c r="E1295" t="s">
        <v>4924</v>
      </c>
      <c r="F1295" t="s">
        <v>4516</v>
      </c>
      <c r="G1295" t="s">
        <v>51</v>
      </c>
      <c r="H1295" t="s">
        <v>4925</v>
      </c>
      <c r="I1295" t="s">
        <v>53</v>
      </c>
      <c r="J1295" t="s">
        <v>2572</v>
      </c>
      <c r="K1295" t="s">
        <v>3594</v>
      </c>
      <c r="L1295" t="s">
        <v>18</v>
      </c>
      <c r="M1295" t="s">
        <v>17</v>
      </c>
      <c r="N1295">
        <v>3587</v>
      </c>
      <c r="O1295">
        <v>210</v>
      </c>
      <c r="P1295">
        <v>0</v>
      </c>
      <c r="Q1295" t="s">
        <v>5210</v>
      </c>
      <c r="R1295" t="s">
        <v>5211</v>
      </c>
      <c r="S1295" t="s">
        <v>5212</v>
      </c>
      <c r="T1295" t="s">
        <v>5213</v>
      </c>
      <c r="U1295" t="s">
        <v>60</v>
      </c>
      <c r="V1295" t="s">
        <v>61</v>
      </c>
      <c r="W1295">
        <v>10</v>
      </c>
      <c r="X1295">
        <v>0.1150625</v>
      </c>
      <c r="Y1295" t="s">
        <v>427</v>
      </c>
      <c r="Z1295" t="s">
        <v>428</v>
      </c>
      <c r="AA1295">
        <v>2</v>
      </c>
      <c r="AB1295" t="s">
        <v>4929</v>
      </c>
      <c r="AC1295" t="s">
        <v>4930</v>
      </c>
      <c r="AD1295" t="s">
        <v>4931</v>
      </c>
      <c r="AE1295" t="s">
        <v>4932</v>
      </c>
      <c r="AF1295" t="s">
        <v>4933</v>
      </c>
      <c r="AG1295" t="s">
        <v>1963</v>
      </c>
      <c r="AH1295" t="s">
        <v>1857</v>
      </c>
      <c r="AI1295" t="s">
        <v>66</v>
      </c>
      <c r="AJ1295" t="s">
        <v>66</v>
      </c>
      <c r="AK1295">
        <v>1</v>
      </c>
      <c r="AL1295" t="s">
        <v>5129</v>
      </c>
      <c r="AM1295" t="s">
        <v>5130</v>
      </c>
      <c r="AN1295" t="s">
        <v>5131</v>
      </c>
      <c r="AO1295" t="s">
        <v>66</v>
      </c>
      <c r="AP1295">
        <v>1</v>
      </c>
      <c r="AQ1295" t="s">
        <v>5132</v>
      </c>
      <c r="AR1295" t="s">
        <v>5133</v>
      </c>
      <c r="AS1295" t="s">
        <v>66</v>
      </c>
      <c r="AT1295" t="s">
        <v>66</v>
      </c>
    </row>
    <row r="1296" spans="1:46" x14ac:dyDescent="0.15">
      <c r="A1296" t="s">
        <v>5214</v>
      </c>
      <c r="B1296" t="s">
        <v>4922</v>
      </c>
      <c r="C1296" t="s">
        <v>4923</v>
      </c>
      <c r="D1296">
        <v>57</v>
      </c>
      <c r="E1296" t="s">
        <v>4924</v>
      </c>
      <c r="F1296" t="s">
        <v>4516</v>
      </c>
      <c r="G1296" t="s">
        <v>51</v>
      </c>
      <c r="H1296" t="s">
        <v>4925</v>
      </c>
      <c r="I1296" t="s">
        <v>53</v>
      </c>
      <c r="J1296" t="s">
        <v>2572</v>
      </c>
      <c r="K1296" t="s">
        <v>3594</v>
      </c>
      <c r="L1296" t="s">
        <v>18</v>
      </c>
      <c r="M1296" t="s">
        <v>17</v>
      </c>
      <c r="N1296">
        <v>3643</v>
      </c>
      <c r="O1296">
        <v>213</v>
      </c>
      <c r="P1296">
        <v>0</v>
      </c>
      <c r="Q1296" t="s">
        <v>5215</v>
      </c>
      <c r="R1296" t="s">
        <v>5216</v>
      </c>
      <c r="S1296" t="s">
        <v>5217</v>
      </c>
      <c r="T1296" t="s">
        <v>5218</v>
      </c>
      <c r="U1296" t="s">
        <v>60</v>
      </c>
      <c r="V1296" t="s">
        <v>61</v>
      </c>
      <c r="W1296">
        <v>10</v>
      </c>
      <c r="X1296">
        <v>0.1150625</v>
      </c>
      <c r="Y1296" t="s">
        <v>249</v>
      </c>
      <c r="Z1296" t="s">
        <v>434</v>
      </c>
      <c r="AA1296">
        <v>2</v>
      </c>
      <c r="AB1296" t="s">
        <v>4929</v>
      </c>
      <c r="AC1296" t="s">
        <v>4930</v>
      </c>
      <c r="AD1296" t="s">
        <v>4931</v>
      </c>
      <c r="AE1296" t="s">
        <v>4932</v>
      </c>
      <c r="AF1296" t="s">
        <v>4933</v>
      </c>
      <c r="AG1296" t="s">
        <v>1963</v>
      </c>
      <c r="AH1296" t="s">
        <v>1857</v>
      </c>
      <c r="AI1296" t="s">
        <v>66</v>
      </c>
      <c r="AJ1296" t="s">
        <v>66</v>
      </c>
      <c r="AK1296">
        <v>1</v>
      </c>
      <c r="AL1296" t="s">
        <v>5129</v>
      </c>
      <c r="AM1296" t="s">
        <v>5130</v>
      </c>
      <c r="AN1296" t="s">
        <v>5131</v>
      </c>
      <c r="AO1296" t="s">
        <v>66</v>
      </c>
      <c r="AP1296">
        <v>1</v>
      </c>
      <c r="AQ1296" t="s">
        <v>5132</v>
      </c>
      <c r="AR1296" t="s">
        <v>5133</v>
      </c>
      <c r="AS1296" t="s">
        <v>66</v>
      </c>
      <c r="AT1296" t="s">
        <v>66</v>
      </c>
    </row>
    <row r="1297" spans="1:46" x14ac:dyDescent="0.15">
      <c r="A1297" t="s">
        <v>5219</v>
      </c>
      <c r="B1297" t="s">
        <v>4922</v>
      </c>
      <c r="C1297" t="s">
        <v>4923</v>
      </c>
      <c r="D1297">
        <v>58</v>
      </c>
      <c r="E1297" t="s">
        <v>4924</v>
      </c>
      <c r="F1297" t="s">
        <v>4516</v>
      </c>
      <c r="G1297" t="s">
        <v>51</v>
      </c>
      <c r="H1297" t="s">
        <v>4925</v>
      </c>
      <c r="I1297" t="s">
        <v>53</v>
      </c>
      <c r="J1297" t="s">
        <v>2572</v>
      </c>
      <c r="K1297" t="s">
        <v>3594</v>
      </c>
      <c r="L1297" t="s">
        <v>18</v>
      </c>
      <c r="M1297" t="s">
        <v>17</v>
      </c>
      <c r="N1297">
        <v>3699</v>
      </c>
      <c r="O1297">
        <v>216</v>
      </c>
      <c r="P1297">
        <v>0</v>
      </c>
      <c r="Q1297" t="s">
        <v>5220</v>
      </c>
      <c r="R1297" t="s">
        <v>5221</v>
      </c>
      <c r="S1297" t="s">
        <v>5222</v>
      </c>
      <c r="T1297" t="s">
        <v>5223</v>
      </c>
      <c r="U1297" t="s">
        <v>60</v>
      </c>
      <c r="V1297" t="s">
        <v>61</v>
      </c>
      <c r="W1297">
        <v>10</v>
      </c>
      <c r="X1297">
        <v>0.1150625</v>
      </c>
      <c r="Y1297" t="s">
        <v>440</v>
      </c>
      <c r="Z1297" t="s">
        <v>441</v>
      </c>
      <c r="AA1297">
        <v>2</v>
      </c>
      <c r="AB1297" t="s">
        <v>4929</v>
      </c>
      <c r="AC1297" t="s">
        <v>4930</v>
      </c>
      <c r="AD1297" t="s">
        <v>4931</v>
      </c>
      <c r="AE1297" t="s">
        <v>4932</v>
      </c>
      <c r="AF1297" t="s">
        <v>4933</v>
      </c>
      <c r="AG1297" t="s">
        <v>1963</v>
      </c>
      <c r="AH1297" t="s">
        <v>1857</v>
      </c>
      <c r="AI1297" t="s">
        <v>66</v>
      </c>
      <c r="AJ1297" t="s">
        <v>66</v>
      </c>
      <c r="AK1297">
        <v>1</v>
      </c>
      <c r="AL1297" t="s">
        <v>5129</v>
      </c>
      <c r="AM1297" t="s">
        <v>5130</v>
      </c>
      <c r="AN1297" t="s">
        <v>5131</v>
      </c>
      <c r="AO1297" t="s">
        <v>66</v>
      </c>
      <c r="AP1297">
        <v>1</v>
      </c>
      <c r="AQ1297" t="s">
        <v>5132</v>
      </c>
      <c r="AR1297" t="s">
        <v>5133</v>
      </c>
      <c r="AS1297" t="s">
        <v>66</v>
      </c>
      <c r="AT1297" t="s">
        <v>66</v>
      </c>
    </row>
    <row r="1298" spans="1:46" x14ac:dyDescent="0.15">
      <c r="A1298" t="s">
        <v>5224</v>
      </c>
      <c r="B1298" t="s">
        <v>4922</v>
      </c>
      <c r="C1298" t="s">
        <v>4923</v>
      </c>
      <c r="D1298">
        <v>59</v>
      </c>
      <c r="E1298" t="s">
        <v>4924</v>
      </c>
      <c r="F1298" t="s">
        <v>4516</v>
      </c>
      <c r="G1298" t="s">
        <v>51</v>
      </c>
      <c r="H1298" t="s">
        <v>4925</v>
      </c>
      <c r="I1298" t="s">
        <v>53</v>
      </c>
      <c r="J1298" t="s">
        <v>2572</v>
      </c>
      <c r="K1298" t="s">
        <v>3594</v>
      </c>
      <c r="L1298" t="s">
        <v>18</v>
      </c>
      <c r="M1298" t="s">
        <v>17</v>
      </c>
      <c r="N1298">
        <v>3755</v>
      </c>
      <c r="O1298">
        <v>219</v>
      </c>
      <c r="P1298">
        <v>0</v>
      </c>
      <c r="Q1298" t="s">
        <v>5225</v>
      </c>
      <c r="R1298" t="s">
        <v>5226</v>
      </c>
      <c r="S1298" t="s">
        <v>5227</v>
      </c>
      <c r="T1298" t="s">
        <v>5228</v>
      </c>
      <c r="U1298" t="s">
        <v>60</v>
      </c>
      <c r="V1298" t="s">
        <v>61</v>
      </c>
      <c r="W1298">
        <v>10</v>
      </c>
      <c r="X1298">
        <v>0.1150625</v>
      </c>
      <c r="Y1298" t="s">
        <v>256</v>
      </c>
      <c r="Z1298" t="s">
        <v>447</v>
      </c>
      <c r="AA1298">
        <v>2</v>
      </c>
      <c r="AB1298" t="s">
        <v>4929</v>
      </c>
      <c r="AC1298" t="s">
        <v>4930</v>
      </c>
      <c r="AD1298" t="s">
        <v>4931</v>
      </c>
      <c r="AE1298" t="s">
        <v>4932</v>
      </c>
      <c r="AF1298" t="s">
        <v>4933</v>
      </c>
      <c r="AG1298" t="s">
        <v>1963</v>
      </c>
      <c r="AH1298" t="s">
        <v>1857</v>
      </c>
      <c r="AI1298" t="s">
        <v>66</v>
      </c>
      <c r="AJ1298" t="s">
        <v>66</v>
      </c>
      <c r="AK1298">
        <v>1</v>
      </c>
      <c r="AL1298" t="s">
        <v>5129</v>
      </c>
      <c r="AM1298" t="s">
        <v>5130</v>
      </c>
      <c r="AN1298" t="s">
        <v>5131</v>
      </c>
      <c r="AO1298" t="s">
        <v>66</v>
      </c>
      <c r="AP1298">
        <v>1</v>
      </c>
      <c r="AQ1298" t="s">
        <v>5132</v>
      </c>
      <c r="AR1298" t="s">
        <v>5133</v>
      </c>
      <c r="AS1298" t="s">
        <v>66</v>
      </c>
      <c r="AT1298" t="s">
        <v>66</v>
      </c>
    </row>
    <row r="1299" spans="1:46" x14ac:dyDescent="0.15">
      <c r="A1299" t="s">
        <v>5229</v>
      </c>
      <c r="B1299" t="s">
        <v>4922</v>
      </c>
      <c r="C1299" t="s">
        <v>4923</v>
      </c>
      <c r="D1299">
        <v>60</v>
      </c>
      <c r="E1299" t="s">
        <v>4924</v>
      </c>
      <c r="F1299" t="s">
        <v>4516</v>
      </c>
      <c r="G1299" t="s">
        <v>51</v>
      </c>
      <c r="H1299" t="s">
        <v>4925</v>
      </c>
      <c r="I1299" t="s">
        <v>53</v>
      </c>
      <c r="J1299" t="s">
        <v>2572</v>
      </c>
      <c r="K1299" t="s">
        <v>3594</v>
      </c>
      <c r="L1299" t="s">
        <v>18</v>
      </c>
      <c r="M1299" t="s">
        <v>17</v>
      </c>
      <c r="N1299">
        <v>3811</v>
      </c>
      <c r="O1299">
        <v>223</v>
      </c>
      <c r="P1299">
        <v>0</v>
      </c>
      <c r="Q1299" t="s">
        <v>5230</v>
      </c>
      <c r="R1299" t="s">
        <v>5231</v>
      </c>
      <c r="S1299" t="s">
        <v>5232</v>
      </c>
      <c r="T1299" t="s">
        <v>5233</v>
      </c>
      <c r="U1299" t="s">
        <v>60</v>
      </c>
      <c r="V1299" t="s">
        <v>61</v>
      </c>
      <c r="W1299">
        <v>10</v>
      </c>
      <c r="X1299">
        <v>0.1150625</v>
      </c>
      <c r="Y1299" t="s">
        <v>453</v>
      </c>
      <c r="Z1299" t="s">
        <v>454</v>
      </c>
      <c r="AA1299">
        <v>2</v>
      </c>
      <c r="AB1299" t="s">
        <v>4929</v>
      </c>
      <c r="AC1299" t="s">
        <v>4930</v>
      </c>
      <c r="AD1299" t="s">
        <v>4931</v>
      </c>
      <c r="AE1299" t="s">
        <v>4932</v>
      </c>
      <c r="AF1299" t="s">
        <v>4933</v>
      </c>
      <c r="AG1299" t="s">
        <v>1963</v>
      </c>
      <c r="AH1299" t="s">
        <v>1857</v>
      </c>
      <c r="AI1299" t="s">
        <v>66</v>
      </c>
      <c r="AJ1299" t="s">
        <v>66</v>
      </c>
      <c r="AK1299">
        <v>1</v>
      </c>
      <c r="AL1299" t="s">
        <v>5129</v>
      </c>
      <c r="AM1299" t="s">
        <v>5130</v>
      </c>
      <c r="AN1299" t="s">
        <v>5131</v>
      </c>
      <c r="AO1299" t="s">
        <v>66</v>
      </c>
      <c r="AP1299">
        <v>1</v>
      </c>
      <c r="AQ1299" t="s">
        <v>5132</v>
      </c>
      <c r="AR1299" t="s">
        <v>5133</v>
      </c>
      <c r="AS1299" t="s">
        <v>66</v>
      </c>
      <c r="AT1299" t="s">
        <v>66</v>
      </c>
    </row>
    <row r="1300" spans="1:46" x14ac:dyDescent="0.15">
      <c r="A1300" t="s">
        <v>5229</v>
      </c>
      <c r="B1300" t="s">
        <v>4922</v>
      </c>
      <c r="C1300" t="s">
        <v>4923</v>
      </c>
      <c r="D1300">
        <v>60</v>
      </c>
      <c r="E1300" t="s">
        <v>4924</v>
      </c>
      <c r="F1300" t="s">
        <v>4516</v>
      </c>
      <c r="G1300" t="s">
        <v>51</v>
      </c>
      <c r="H1300" t="s">
        <v>4925</v>
      </c>
      <c r="I1300" t="s">
        <v>53</v>
      </c>
      <c r="J1300" t="s">
        <v>2572</v>
      </c>
      <c r="K1300" t="s">
        <v>3594</v>
      </c>
      <c r="L1300" t="s">
        <v>18</v>
      </c>
      <c r="M1300" t="s">
        <v>17</v>
      </c>
      <c r="N1300">
        <v>3811</v>
      </c>
      <c r="O1300">
        <v>223</v>
      </c>
      <c r="P1300">
        <v>0</v>
      </c>
      <c r="Q1300" t="s">
        <v>5230</v>
      </c>
      <c r="R1300" t="s">
        <v>5231</v>
      </c>
      <c r="S1300" t="s">
        <v>5232</v>
      </c>
      <c r="T1300" t="s">
        <v>5233</v>
      </c>
      <c r="U1300" t="s">
        <v>60</v>
      </c>
      <c r="V1300" t="s">
        <v>61</v>
      </c>
      <c r="W1300">
        <v>10</v>
      </c>
      <c r="X1300">
        <v>0.1150625</v>
      </c>
      <c r="Y1300" t="s">
        <v>453</v>
      </c>
      <c r="Z1300" t="s">
        <v>454</v>
      </c>
      <c r="AA1300">
        <v>3</v>
      </c>
      <c r="AB1300" t="s">
        <v>4929</v>
      </c>
      <c r="AC1300" t="s">
        <v>4930</v>
      </c>
      <c r="AD1300" t="s">
        <v>4931</v>
      </c>
      <c r="AE1300" t="s">
        <v>4932</v>
      </c>
      <c r="AF1300" t="s">
        <v>4933</v>
      </c>
      <c r="AG1300" t="s">
        <v>1963</v>
      </c>
      <c r="AH1300" t="s">
        <v>1857</v>
      </c>
      <c r="AI1300" t="s">
        <v>1857</v>
      </c>
      <c r="AJ1300" t="s">
        <v>66</v>
      </c>
      <c r="AK1300">
        <v>1</v>
      </c>
      <c r="AL1300" t="s">
        <v>5129</v>
      </c>
      <c r="AM1300" t="s">
        <v>5130</v>
      </c>
      <c r="AN1300" t="s">
        <v>5131</v>
      </c>
      <c r="AO1300" t="s">
        <v>66</v>
      </c>
      <c r="AP1300">
        <v>1</v>
      </c>
      <c r="AQ1300" t="s">
        <v>5132</v>
      </c>
      <c r="AR1300" t="s">
        <v>5133</v>
      </c>
      <c r="AS1300" t="s">
        <v>5234</v>
      </c>
      <c r="AT1300" t="s">
        <v>66</v>
      </c>
    </row>
    <row r="1301" spans="1:46" x14ac:dyDescent="0.15">
      <c r="A1301" t="s">
        <v>5235</v>
      </c>
      <c r="B1301" t="s">
        <v>4922</v>
      </c>
      <c r="C1301" t="s">
        <v>4923</v>
      </c>
      <c r="D1301">
        <v>61</v>
      </c>
      <c r="E1301" t="s">
        <v>4924</v>
      </c>
      <c r="F1301" t="s">
        <v>4516</v>
      </c>
      <c r="G1301" t="s">
        <v>51</v>
      </c>
      <c r="H1301" t="s">
        <v>4925</v>
      </c>
      <c r="I1301" t="s">
        <v>53</v>
      </c>
      <c r="J1301" t="s">
        <v>2572</v>
      </c>
      <c r="K1301" t="s">
        <v>3594</v>
      </c>
      <c r="L1301" t="s">
        <v>18</v>
      </c>
      <c r="M1301" t="s">
        <v>17</v>
      </c>
      <c r="N1301">
        <v>3867</v>
      </c>
      <c r="O1301">
        <v>226</v>
      </c>
      <c r="P1301">
        <v>0</v>
      </c>
      <c r="Q1301" t="s">
        <v>5236</v>
      </c>
      <c r="R1301" t="s">
        <v>5237</v>
      </c>
      <c r="S1301" t="s">
        <v>5238</v>
      </c>
      <c r="T1301" t="s">
        <v>5239</v>
      </c>
      <c r="U1301" t="s">
        <v>60</v>
      </c>
      <c r="V1301" t="s">
        <v>61</v>
      </c>
      <c r="W1301">
        <v>10</v>
      </c>
      <c r="X1301">
        <v>0.1150625</v>
      </c>
      <c r="Y1301" t="s">
        <v>262</v>
      </c>
      <c r="Z1301" t="s">
        <v>465</v>
      </c>
      <c r="AA1301">
        <v>3</v>
      </c>
      <c r="AB1301" t="s">
        <v>4929</v>
      </c>
      <c r="AC1301" t="s">
        <v>4930</v>
      </c>
      <c r="AD1301" t="s">
        <v>4931</v>
      </c>
      <c r="AE1301" t="s">
        <v>4932</v>
      </c>
      <c r="AF1301" t="s">
        <v>4933</v>
      </c>
      <c r="AG1301" t="s">
        <v>1963</v>
      </c>
      <c r="AH1301" t="s">
        <v>1857</v>
      </c>
      <c r="AI1301" t="s">
        <v>1857</v>
      </c>
      <c r="AJ1301" t="s">
        <v>66</v>
      </c>
      <c r="AK1301">
        <v>1</v>
      </c>
      <c r="AL1301" t="s">
        <v>5129</v>
      </c>
      <c r="AM1301" t="s">
        <v>5130</v>
      </c>
      <c r="AN1301" t="s">
        <v>5131</v>
      </c>
      <c r="AO1301" t="s">
        <v>66</v>
      </c>
      <c r="AP1301">
        <v>1</v>
      </c>
      <c r="AQ1301" t="s">
        <v>5132</v>
      </c>
      <c r="AR1301" t="s">
        <v>5133</v>
      </c>
      <c r="AS1301" t="s">
        <v>5234</v>
      </c>
      <c r="AT1301" t="s">
        <v>66</v>
      </c>
    </row>
    <row r="1302" spans="1:46" x14ac:dyDescent="0.15">
      <c r="A1302" t="s">
        <v>5240</v>
      </c>
      <c r="B1302" t="s">
        <v>4922</v>
      </c>
      <c r="C1302" t="s">
        <v>4923</v>
      </c>
      <c r="D1302">
        <v>62</v>
      </c>
      <c r="E1302" t="s">
        <v>4924</v>
      </c>
      <c r="F1302" t="s">
        <v>4516</v>
      </c>
      <c r="G1302" t="s">
        <v>51</v>
      </c>
      <c r="H1302" t="s">
        <v>4925</v>
      </c>
      <c r="I1302" t="s">
        <v>53</v>
      </c>
      <c r="J1302" t="s">
        <v>2572</v>
      </c>
      <c r="K1302" t="s">
        <v>3594</v>
      </c>
      <c r="L1302" t="s">
        <v>18</v>
      </c>
      <c r="M1302" t="s">
        <v>17</v>
      </c>
      <c r="N1302">
        <v>3923</v>
      </c>
      <c r="O1302">
        <v>229</v>
      </c>
      <c r="P1302">
        <v>0</v>
      </c>
      <c r="Q1302" t="s">
        <v>5241</v>
      </c>
      <c r="R1302" t="s">
        <v>5242</v>
      </c>
      <c r="S1302" t="s">
        <v>5243</v>
      </c>
      <c r="T1302" t="s">
        <v>5244</v>
      </c>
      <c r="U1302" t="s">
        <v>60</v>
      </c>
      <c r="V1302" t="s">
        <v>61</v>
      </c>
      <c r="W1302">
        <v>10</v>
      </c>
      <c r="X1302">
        <v>0.1150625</v>
      </c>
      <c r="Y1302" t="s">
        <v>471</v>
      </c>
      <c r="Z1302" t="s">
        <v>472</v>
      </c>
      <c r="AA1302">
        <v>3</v>
      </c>
      <c r="AB1302" t="s">
        <v>4929</v>
      </c>
      <c r="AC1302" t="s">
        <v>4930</v>
      </c>
      <c r="AD1302" t="s">
        <v>4931</v>
      </c>
      <c r="AE1302" t="s">
        <v>4932</v>
      </c>
      <c r="AF1302" t="s">
        <v>4933</v>
      </c>
      <c r="AG1302" t="s">
        <v>1963</v>
      </c>
      <c r="AH1302" t="s">
        <v>1857</v>
      </c>
      <c r="AI1302" t="s">
        <v>1857</v>
      </c>
      <c r="AJ1302" t="s">
        <v>66</v>
      </c>
      <c r="AK1302">
        <v>1</v>
      </c>
      <c r="AL1302" t="s">
        <v>5129</v>
      </c>
      <c r="AM1302" t="s">
        <v>5130</v>
      </c>
      <c r="AN1302" t="s">
        <v>5131</v>
      </c>
      <c r="AO1302" t="s">
        <v>66</v>
      </c>
      <c r="AP1302">
        <v>1</v>
      </c>
      <c r="AQ1302" t="s">
        <v>5132</v>
      </c>
      <c r="AR1302" t="s">
        <v>5133</v>
      </c>
      <c r="AS1302" t="s">
        <v>5234</v>
      </c>
      <c r="AT1302" t="s">
        <v>66</v>
      </c>
    </row>
    <row r="1303" spans="1:46" x14ac:dyDescent="0.15">
      <c r="A1303" t="s">
        <v>5245</v>
      </c>
      <c r="B1303" t="s">
        <v>4922</v>
      </c>
      <c r="C1303" t="s">
        <v>4923</v>
      </c>
      <c r="D1303">
        <v>63</v>
      </c>
      <c r="E1303" t="s">
        <v>4924</v>
      </c>
      <c r="F1303" t="s">
        <v>4516</v>
      </c>
      <c r="G1303" t="s">
        <v>51</v>
      </c>
      <c r="H1303" t="s">
        <v>4925</v>
      </c>
      <c r="I1303" t="s">
        <v>53</v>
      </c>
      <c r="J1303" t="s">
        <v>2572</v>
      </c>
      <c r="K1303" t="s">
        <v>3594</v>
      </c>
      <c r="L1303" t="s">
        <v>18</v>
      </c>
      <c r="M1303" t="s">
        <v>17</v>
      </c>
      <c r="N1303">
        <v>3980</v>
      </c>
      <c r="O1303">
        <v>232</v>
      </c>
      <c r="P1303">
        <v>0</v>
      </c>
      <c r="Q1303" t="s">
        <v>5246</v>
      </c>
      <c r="R1303" t="s">
        <v>5247</v>
      </c>
      <c r="S1303" t="s">
        <v>5248</v>
      </c>
      <c r="T1303" t="s">
        <v>5249</v>
      </c>
      <c r="U1303" t="s">
        <v>60</v>
      </c>
      <c r="V1303" t="s">
        <v>61</v>
      </c>
      <c r="W1303">
        <v>10</v>
      </c>
      <c r="X1303">
        <v>0.1150625</v>
      </c>
      <c r="Y1303" t="s">
        <v>269</v>
      </c>
      <c r="Z1303" t="s">
        <v>478</v>
      </c>
      <c r="AA1303">
        <v>3</v>
      </c>
      <c r="AB1303" t="s">
        <v>4929</v>
      </c>
      <c r="AC1303" t="s">
        <v>4930</v>
      </c>
      <c r="AD1303" t="s">
        <v>4931</v>
      </c>
      <c r="AE1303" t="s">
        <v>4932</v>
      </c>
      <c r="AF1303" t="s">
        <v>4933</v>
      </c>
      <c r="AG1303" t="s">
        <v>1963</v>
      </c>
      <c r="AH1303" t="s">
        <v>1857</v>
      </c>
      <c r="AI1303" t="s">
        <v>1857</v>
      </c>
      <c r="AJ1303" t="s">
        <v>66</v>
      </c>
      <c r="AK1303">
        <v>1</v>
      </c>
      <c r="AL1303" t="s">
        <v>5129</v>
      </c>
      <c r="AM1303" t="s">
        <v>5130</v>
      </c>
      <c r="AN1303" t="s">
        <v>5131</v>
      </c>
      <c r="AO1303" t="s">
        <v>66</v>
      </c>
      <c r="AP1303">
        <v>1</v>
      </c>
      <c r="AQ1303" t="s">
        <v>5132</v>
      </c>
      <c r="AR1303" t="s">
        <v>5133</v>
      </c>
      <c r="AS1303" t="s">
        <v>5234</v>
      </c>
      <c r="AT1303" t="s">
        <v>66</v>
      </c>
    </row>
    <row r="1304" spans="1:46" x14ac:dyDescent="0.15">
      <c r="A1304" t="s">
        <v>5250</v>
      </c>
      <c r="B1304" t="s">
        <v>4922</v>
      </c>
      <c r="C1304" t="s">
        <v>4923</v>
      </c>
      <c r="D1304">
        <v>64</v>
      </c>
      <c r="E1304" t="s">
        <v>4924</v>
      </c>
      <c r="F1304" t="s">
        <v>4516</v>
      </c>
      <c r="G1304" t="s">
        <v>51</v>
      </c>
      <c r="H1304" t="s">
        <v>4925</v>
      </c>
      <c r="I1304" t="s">
        <v>53</v>
      </c>
      <c r="J1304" t="s">
        <v>2572</v>
      </c>
      <c r="K1304" t="s">
        <v>3594</v>
      </c>
      <c r="L1304" t="s">
        <v>18</v>
      </c>
      <c r="M1304" t="s">
        <v>17</v>
      </c>
      <c r="N1304">
        <v>4036</v>
      </c>
      <c r="O1304">
        <v>236</v>
      </c>
      <c r="P1304">
        <v>0</v>
      </c>
      <c r="Q1304" t="s">
        <v>5251</v>
      </c>
      <c r="R1304" t="s">
        <v>5252</v>
      </c>
      <c r="S1304" t="s">
        <v>5253</v>
      </c>
      <c r="T1304" t="s">
        <v>5254</v>
      </c>
      <c r="U1304" t="s">
        <v>60</v>
      </c>
      <c r="V1304" t="s">
        <v>61</v>
      </c>
      <c r="W1304">
        <v>10</v>
      </c>
      <c r="X1304">
        <v>0.1150625</v>
      </c>
      <c r="Y1304" t="s">
        <v>484</v>
      </c>
      <c r="Z1304" t="s">
        <v>485</v>
      </c>
      <c r="AA1304">
        <v>3</v>
      </c>
      <c r="AB1304" t="s">
        <v>4929</v>
      </c>
      <c r="AC1304" t="s">
        <v>4930</v>
      </c>
      <c r="AD1304" t="s">
        <v>4931</v>
      </c>
      <c r="AE1304" t="s">
        <v>4932</v>
      </c>
      <c r="AF1304" t="s">
        <v>4933</v>
      </c>
      <c r="AG1304" t="s">
        <v>1963</v>
      </c>
      <c r="AH1304" t="s">
        <v>1857</v>
      </c>
      <c r="AI1304" t="s">
        <v>1857</v>
      </c>
      <c r="AJ1304" t="s">
        <v>66</v>
      </c>
      <c r="AK1304">
        <v>1</v>
      </c>
      <c r="AL1304" t="s">
        <v>5129</v>
      </c>
      <c r="AM1304" t="s">
        <v>5130</v>
      </c>
      <c r="AN1304" t="s">
        <v>5131</v>
      </c>
      <c r="AO1304" t="s">
        <v>66</v>
      </c>
      <c r="AP1304">
        <v>1</v>
      </c>
      <c r="AQ1304" t="s">
        <v>5132</v>
      </c>
      <c r="AR1304" t="s">
        <v>5133</v>
      </c>
      <c r="AS1304" t="s">
        <v>5234</v>
      </c>
      <c r="AT1304" t="s">
        <v>66</v>
      </c>
    </row>
    <row r="1305" spans="1:46" x14ac:dyDescent="0.15">
      <c r="A1305" t="s">
        <v>5255</v>
      </c>
      <c r="B1305" t="s">
        <v>4922</v>
      </c>
      <c r="C1305" t="s">
        <v>4923</v>
      </c>
      <c r="D1305">
        <v>65</v>
      </c>
      <c r="E1305" t="s">
        <v>4924</v>
      </c>
      <c r="F1305" t="s">
        <v>4516</v>
      </c>
      <c r="G1305" t="s">
        <v>51</v>
      </c>
      <c r="H1305" t="s">
        <v>4925</v>
      </c>
      <c r="I1305" t="s">
        <v>53</v>
      </c>
      <c r="J1305" t="s">
        <v>2572</v>
      </c>
      <c r="K1305" t="s">
        <v>3594</v>
      </c>
      <c r="L1305" t="s">
        <v>18</v>
      </c>
      <c r="M1305" t="s">
        <v>17</v>
      </c>
      <c r="N1305">
        <v>4092</v>
      </c>
      <c r="O1305">
        <v>239</v>
      </c>
      <c r="P1305">
        <v>0</v>
      </c>
      <c r="Q1305" t="s">
        <v>5256</v>
      </c>
      <c r="R1305" t="s">
        <v>5257</v>
      </c>
      <c r="S1305" t="s">
        <v>5258</v>
      </c>
      <c r="T1305" t="s">
        <v>5259</v>
      </c>
      <c r="U1305" t="s">
        <v>60</v>
      </c>
      <c r="V1305" t="s">
        <v>61</v>
      </c>
      <c r="W1305">
        <v>10</v>
      </c>
      <c r="X1305">
        <v>0.1150625</v>
      </c>
      <c r="Y1305" t="s">
        <v>275</v>
      </c>
      <c r="Z1305" t="s">
        <v>491</v>
      </c>
      <c r="AA1305">
        <v>3</v>
      </c>
      <c r="AB1305" t="s">
        <v>4929</v>
      </c>
      <c r="AC1305" t="s">
        <v>4930</v>
      </c>
      <c r="AD1305" t="s">
        <v>4931</v>
      </c>
      <c r="AE1305" t="s">
        <v>4932</v>
      </c>
      <c r="AF1305" t="s">
        <v>4933</v>
      </c>
      <c r="AG1305" t="s">
        <v>1963</v>
      </c>
      <c r="AH1305" t="s">
        <v>1857</v>
      </c>
      <c r="AI1305" t="s">
        <v>1857</v>
      </c>
      <c r="AJ1305" t="s">
        <v>66</v>
      </c>
      <c r="AK1305">
        <v>1</v>
      </c>
      <c r="AL1305" t="s">
        <v>5129</v>
      </c>
      <c r="AM1305" t="s">
        <v>5130</v>
      </c>
      <c r="AN1305" t="s">
        <v>5131</v>
      </c>
      <c r="AO1305" t="s">
        <v>66</v>
      </c>
      <c r="AP1305">
        <v>1</v>
      </c>
      <c r="AQ1305" t="s">
        <v>5132</v>
      </c>
      <c r="AR1305" t="s">
        <v>5133</v>
      </c>
      <c r="AS1305" t="s">
        <v>5234</v>
      </c>
      <c r="AT1305" t="s">
        <v>66</v>
      </c>
    </row>
    <row r="1306" spans="1:46" x14ac:dyDescent="0.15">
      <c r="A1306" t="s">
        <v>5260</v>
      </c>
      <c r="B1306" t="s">
        <v>4922</v>
      </c>
      <c r="C1306" t="s">
        <v>4923</v>
      </c>
      <c r="D1306">
        <v>66</v>
      </c>
      <c r="E1306" t="s">
        <v>4924</v>
      </c>
      <c r="F1306" t="s">
        <v>4516</v>
      </c>
      <c r="G1306" t="s">
        <v>51</v>
      </c>
      <c r="H1306" t="s">
        <v>4925</v>
      </c>
      <c r="I1306" t="s">
        <v>53</v>
      </c>
      <c r="J1306" t="s">
        <v>2572</v>
      </c>
      <c r="K1306" t="s">
        <v>3594</v>
      </c>
      <c r="L1306" t="s">
        <v>18</v>
      </c>
      <c r="M1306" t="s">
        <v>17</v>
      </c>
      <c r="N1306">
        <v>4148</v>
      </c>
      <c r="O1306">
        <v>242</v>
      </c>
      <c r="P1306">
        <v>0</v>
      </c>
      <c r="Q1306" t="s">
        <v>5261</v>
      </c>
      <c r="R1306" t="s">
        <v>5262</v>
      </c>
      <c r="S1306" t="s">
        <v>5263</v>
      </c>
      <c r="T1306" t="s">
        <v>5264</v>
      </c>
      <c r="U1306" t="s">
        <v>60</v>
      </c>
      <c r="V1306" t="s">
        <v>61</v>
      </c>
      <c r="W1306">
        <v>10</v>
      </c>
      <c r="X1306">
        <v>0.1150625</v>
      </c>
      <c r="Y1306" t="s">
        <v>497</v>
      </c>
      <c r="Z1306" t="s">
        <v>498</v>
      </c>
      <c r="AA1306">
        <v>3</v>
      </c>
      <c r="AB1306" t="s">
        <v>4929</v>
      </c>
      <c r="AC1306" t="s">
        <v>4930</v>
      </c>
      <c r="AD1306" t="s">
        <v>4931</v>
      </c>
      <c r="AE1306" t="s">
        <v>4932</v>
      </c>
      <c r="AF1306" t="s">
        <v>4933</v>
      </c>
      <c r="AG1306" t="s">
        <v>1963</v>
      </c>
      <c r="AH1306" t="s">
        <v>1857</v>
      </c>
      <c r="AI1306" t="s">
        <v>1857</v>
      </c>
      <c r="AJ1306" t="s">
        <v>66</v>
      </c>
      <c r="AK1306">
        <v>1</v>
      </c>
      <c r="AL1306" t="s">
        <v>5129</v>
      </c>
      <c r="AM1306" t="s">
        <v>5130</v>
      </c>
      <c r="AN1306" t="s">
        <v>5131</v>
      </c>
      <c r="AO1306" t="s">
        <v>66</v>
      </c>
      <c r="AP1306">
        <v>1</v>
      </c>
      <c r="AQ1306" t="s">
        <v>5132</v>
      </c>
      <c r="AR1306" t="s">
        <v>5133</v>
      </c>
      <c r="AS1306" t="s">
        <v>5234</v>
      </c>
      <c r="AT1306" t="s">
        <v>66</v>
      </c>
    </row>
    <row r="1307" spans="1:46" x14ac:dyDescent="0.15">
      <c r="A1307" t="s">
        <v>5265</v>
      </c>
      <c r="B1307" t="s">
        <v>4922</v>
      </c>
      <c r="C1307" t="s">
        <v>4923</v>
      </c>
      <c r="D1307">
        <v>67</v>
      </c>
      <c r="E1307" t="s">
        <v>4924</v>
      </c>
      <c r="F1307" t="s">
        <v>4516</v>
      </c>
      <c r="G1307" t="s">
        <v>51</v>
      </c>
      <c r="H1307" t="s">
        <v>4925</v>
      </c>
      <c r="I1307" t="s">
        <v>53</v>
      </c>
      <c r="J1307" t="s">
        <v>2572</v>
      </c>
      <c r="K1307" t="s">
        <v>3594</v>
      </c>
      <c r="L1307" t="s">
        <v>18</v>
      </c>
      <c r="M1307" t="s">
        <v>17</v>
      </c>
      <c r="N1307">
        <v>4204</v>
      </c>
      <c r="O1307">
        <v>245</v>
      </c>
      <c r="P1307">
        <v>0</v>
      </c>
      <c r="Q1307" t="s">
        <v>5266</v>
      </c>
      <c r="R1307" t="s">
        <v>5267</v>
      </c>
      <c r="S1307" t="s">
        <v>5268</v>
      </c>
      <c r="T1307" t="s">
        <v>5269</v>
      </c>
      <c r="U1307" t="s">
        <v>60</v>
      </c>
      <c r="V1307" t="s">
        <v>61</v>
      </c>
      <c r="W1307">
        <v>10</v>
      </c>
      <c r="X1307">
        <v>0.1150625</v>
      </c>
      <c r="Y1307" t="s">
        <v>282</v>
      </c>
      <c r="Z1307" t="s">
        <v>504</v>
      </c>
      <c r="AA1307">
        <v>3</v>
      </c>
      <c r="AB1307" t="s">
        <v>4929</v>
      </c>
      <c r="AC1307" t="s">
        <v>4930</v>
      </c>
      <c r="AD1307" t="s">
        <v>4931</v>
      </c>
      <c r="AE1307" t="s">
        <v>4932</v>
      </c>
      <c r="AF1307" t="s">
        <v>4933</v>
      </c>
      <c r="AG1307" t="s">
        <v>1963</v>
      </c>
      <c r="AH1307" t="s">
        <v>1857</v>
      </c>
      <c r="AI1307" t="s">
        <v>1857</v>
      </c>
      <c r="AJ1307" t="s">
        <v>66</v>
      </c>
      <c r="AK1307">
        <v>1</v>
      </c>
      <c r="AL1307" t="s">
        <v>5129</v>
      </c>
      <c r="AM1307" t="s">
        <v>5130</v>
      </c>
      <c r="AN1307" t="s">
        <v>5131</v>
      </c>
      <c r="AO1307" t="s">
        <v>66</v>
      </c>
      <c r="AP1307">
        <v>1</v>
      </c>
      <c r="AQ1307" t="s">
        <v>5132</v>
      </c>
      <c r="AR1307" t="s">
        <v>5133</v>
      </c>
      <c r="AS1307" t="s">
        <v>5234</v>
      </c>
      <c r="AT1307" t="s">
        <v>66</v>
      </c>
    </row>
    <row r="1308" spans="1:46" x14ac:dyDescent="0.15">
      <c r="A1308" t="s">
        <v>5270</v>
      </c>
      <c r="B1308" t="s">
        <v>4922</v>
      </c>
      <c r="C1308" t="s">
        <v>4923</v>
      </c>
      <c r="D1308">
        <v>68</v>
      </c>
      <c r="E1308" t="s">
        <v>4924</v>
      </c>
      <c r="F1308" t="s">
        <v>4516</v>
      </c>
      <c r="G1308" t="s">
        <v>51</v>
      </c>
      <c r="H1308" t="s">
        <v>4925</v>
      </c>
      <c r="I1308" t="s">
        <v>53</v>
      </c>
      <c r="J1308" t="s">
        <v>2572</v>
      </c>
      <c r="K1308" t="s">
        <v>3594</v>
      </c>
      <c r="L1308" t="s">
        <v>18</v>
      </c>
      <c r="M1308" t="s">
        <v>17</v>
      </c>
      <c r="N1308">
        <v>4260</v>
      </c>
      <c r="O1308">
        <v>249</v>
      </c>
      <c r="P1308">
        <v>0</v>
      </c>
      <c r="Q1308" t="s">
        <v>5271</v>
      </c>
      <c r="R1308" t="s">
        <v>5272</v>
      </c>
      <c r="S1308" t="s">
        <v>5273</v>
      </c>
      <c r="T1308" t="s">
        <v>5274</v>
      </c>
      <c r="U1308" t="s">
        <v>60</v>
      </c>
      <c r="V1308" t="s">
        <v>61</v>
      </c>
      <c r="W1308">
        <v>10</v>
      </c>
      <c r="X1308">
        <v>0.1150625</v>
      </c>
      <c r="Y1308" t="s">
        <v>510</v>
      </c>
      <c r="Z1308" t="s">
        <v>511</v>
      </c>
      <c r="AA1308">
        <v>3</v>
      </c>
      <c r="AB1308" t="s">
        <v>4929</v>
      </c>
      <c r="AC1308" t="s">
        <v>4930</v>
      </c>
      <c r="AD1308" t="s">
        <v>4931</v>
      </c>
      <c r="AE1308" t="s">
        <v>4932</v>
      </c>
      <c r="AF1308" t="s">
        <v>4933</v>
      </c>
      <c r="AG1308" t="s">
        <v>1963</v>
      </c>
      <c r="AH1308" t="s">
        <v>1857</v>
      </c>
      <c r="AI1308" t="s">
        <v>1857</v>
      </c>
      <c r="AJ1308" t="s">
        <v>66</v>
      </c>
      <c r="AK1308">
        <v>1</v>
      </c>
      <c r="AL1308" t="s">
        <v>5129</v>
      </c>
      <c r="AM1308" t="s">
        <v>5130</v>
      </c>
      <c r="AN1308" t="s">
        <v>5131</v>
      </c>
      <c r="AO1308" t="s">
        <v>66</v>
      </c>
      <c r="AP1308">
        <v>1</v>
      </c>
      <c r="AQ1308" t="s">
        <v>5132</v>
      </c>
      <c r="AR1308" t="s">
        <v>5133</v>
      </c>
      <c r="AS1308" t="s">
        <v>5234</v>
      </c>
      <c r="AT1308" t="s">
        <v>66</v>
      </c>
    </row>
    <row r="1309" spans="1:46" x14ac:dyDescent="0.15">
      <c r="A1309" t="s">
        <v>5275</v>
      </c>
      <c r="B1309" t="s">
        <v>4922</v>
      </c>
      <c r="C1309" t="s">
        <v>4923</v>
      </c>
      <c r="D1309">
        <v>69</v>
      </c>
      <c r="E1309" t="s">
        <v>4924</v>
      </c>
      <c r="F1309" t="s">
        <v>4516</v>
      </c>
      <c r="G1309" t="s">
        <v>51</v>
      </c>
      <c r="H1309" t="s">
        <v>4925</v>
      </c>
      <c r="I1309" t="s">
        <v>53</v>
      </c>
      <c r="J1309" t="s">
        <v>2572</v>
      </c>
      <c r="K1309" t="s">
        <v>3594</v>
      </c>
      <c r="L1309" t="s">
        <v>18</v>
      </c>
      <c r="M1309" t="s">
        <v>17</v>
      </c>
      <c r="N1309">
        <v>4316</v>
      </c>
      <c r="O1309">
        <v>252</v>
      </c>
      <c r="P1309">
        <v>0</v>
      </c>
      <c r="Q1309" t="s">
        <v>5276</v>
      </c>
      <c r="R1309" t="s">
        <v>5277</v>
      </c>
      <c r="S1309" t="s">
        <v>5278</v>
      </c>
      <c r="T1309" t="s">
        <v>5279</v>
      </c>
      <c r="U1309" t="s">
        <v>60</v>
      </c>
      <c r="V1309" t="s">
        <v>61</v>
      </c>
      <c r="W1309">
        <v>10</v>
      </c>
      <c r="X1309">
        <v>0.1150625</v>
      </c>
      <c r="Y1309" t="s">
        <v>288</v>
      </c>
      <c r="Z1309" t="s">
        <v>517</v>
      </c>
      <c r="AA1309">
        <v>3</v>
      </c>
      <c r="AB1309" t="s">
        <v>4929</v>
      </c>
      <c r="AC1309" t="s">
        <v>4930</v>
      </c>
      <c r="AD1309" t="s">
        <v>4931</v>
      </c>
      <c r="AE1309" t="s">
        <v>4932</v>
      </c>
      <c r="AF1309" t="s">
        <v>4933</v>
      </c>
      <c r="AG1309" t="s">
        <v>1963</v>
      </c>
      <c r="AH1309" t="s">
        <v>1857</v>
      </c>
      <c r="AI1309" t="s">
        <v>1857</v>
      </c>
      <c r="AJ1309" t="s">
        <v>66</v>
      </c>
      <c r="AK1309">
        <v>1</v>
      </c>
      <c r="AL1309" t="s">
        <v>5129</v>
      </c>
      <c r="AM1309" t="s">
        <v>5130</v>
      </c>
      <c r="AN1309" t="s">
        <v>5131</v>
      </c>
      <c r="AO1309" t="s">
        <v>66</v>
      </c>
      <c r="AP1309">
        <v>1</v>
      </c>
      <c r="AQ1309" t="s">
        <v>5132</v>
      </c>
      <c r="AR1309" t="s">
        <v>5133</v>
      </c>
      <c r="AS1309" t="s">
        <v>5234</v>
      </c>
      <c r="AT1309" t="s">
        <v>66</v>
      </c>
    </row>
    <row r="1310" spans="1:46" x14ac:dyDescent="0.15">
      <c r="A1310" t="s">
        <v>5280</v>
      </c>
      <c r="B1310" t="s">
        <v>4922</v>
      </c>
      <c r="C1310" t="s">
        <v>4923</v>
      </c>
      <c r="D1310">
        <v>70</v>
      </c>
      <c r="E1310" t="s">
        <v>4924</v>
      </c>
      <c r="F1310" t="s">
        <v>4516</v>
      </c>
      <c r="G1310" t="s">
        <v>51</v>
      </c>
      <c r="H1310" t="s">
        <v>4925</v>
      </c>
      <c r="I1310" t="s">
        <v>53</v>
      </c>
      <c r="J1310" t="s">
        <v>2572</v>
      </c>
      <c r="K1310" t="s">
        <v>3594</v>
      </c>
      <c r="L1310" t="s">
        <v>18</v>
      </c>
      <c r="M1310" t="s">
        <v>17</v>
      </c>
      <c r="N1310">
        <v>4372</v>
      </c>
      <c r="O1310">
        <v>255</v>
      </c>
      <c r="P1310">
        <v>0</v>
      </c>
      <c r="Q1310" t="s">
        <v>5281</v>
      </c>
      <c r="R1310" t="s">
        <v>5282</v>
      </c>
      <c r="S1310" t="s">
        <v>5283</v>
      </c>
      <c r="T1310" t="s">
        <v>5284</v>
      </c>
      <c r="U1310" t="s">
        <v>60</v>
      </c>
      <c r="V1310" t="s">
        <v>61</v>
      </c>
      <c r="W1310">
        <v>10</v>
      </c>
      <c r="X1310">
        <v>0.1150625</v>
      </c>
      <c r="Y1310" t="s">
        <v>523</v>
      </c>
      <c r="Z1310" t="s">
        <v>524</v>
      </c>
      <c r="AA1310">
        <v>3</v>
      </c>
      <c r="AB1310" t="s">
        <v>4929</v>
      </c>
      <c r="AC1310" t="s">
        <v>4930</v>
      </c>
      <c r="AD1310" t="s">
        <v>4931</v>
      </c>
      <c r="AE1310" t="s">
        <v>4932</v>
      </c>
      <c r="AF1310" t="s">
        <v>4933</v>
      </c>
      <c r="AG1310" t="s">
        <v>1963</v>
      </c>
      <c r="AH1310" t="s">
        <v>1857</v>
      </c>
      <c r="AI1310" t="s">
        <v>1857</v>
      </c>
      <c r="AJ1310" t="s">
        <v>66</v>
      </c>
      <c r="AK1310">
        <v>1</v>
      </c>
      <c r="AL1310" t="s">
        <v>5129</v>
      </c>
      <c r="AM1310" t="s">
        <v>5130</v>
      </c>
      <c r="AN1310" t="s">
        <v>5131</v>
      </c>
      <c r="AO1310" t="s">
        <v>66</v>
      </c>
      <c r="AP1310">
        <v>1</v>
      </c>
      <c r="AQ1310" t="s">
        <v>5132</v>
      </c>
      <c r="AR1310" t="s">
        <v>5133</v>
      </c>
      <c r="AS1310" t="s">
        <v>5234</v>
      </c>
      <c r="AT1310" t="s">
        <v>66</v>
      </c>
    </row>
    <row r="1311" spans="1:46" x14ac:dyDescent="0.15">
      <c r="A1311" t="s">
        <v>5285</v>
      </c>
      <c r="B1311" t="s">
        <v>4922</v>
      </c>
      <c r="C1311" t="s">
        <v>4923</v>
      </c>
      <c r="D1311">
        <v>71</v>
      </c>
      <c r="E1311" t="s">
        <v>4924</v>
      </c>
      <c r="F1311" t="s">
        <v>4516</v>
      </c>
      <c r="G1311" t="s">
        <v>51</v>
      </c>
      <c r="H1311" t="s">
        <v>4925</v>
      </c>
      <c r="I1311" t="s">
        <v>53</v>
      </c>
      <c r="J1311" t="s">
        <v>2572</v>
      </c>
      <c r="K1311" t="s">
        <v>3594</v>
      </c>
      <c r="L1311" t="s">
        <v>18</v>
      </c>
      <c r="M1311" t="s">
        <v>17</v>
      </c>
      <c r="N1311">
        <v>4429</v>
      </c>
      <c r="O1311">
        <v>259</v>
      </c>
      <c r="P1311">
        <v>0</v>
      </c>
      <c r="Q1311" t="s">
        <v>5286</v>
      </c>
      <c r="R1311" t="s">
        <v>5287</v>
      </c>
      <c r="S1311" t="s">
        <v>5288</v>
      </c>
      <c r="T1311" t="s">
        <v>5289</v>
      </c>
      <c r="U1311" t="s">
        <v>60</v>
      </c>
      <c r="V1311" t="s">
        <v>61</v>
      </c>
      <c r="W1311">
        <v>10</v>
      </c>
      <c r="X1311">
        <v>0.1150625</v>
      </c>
      <c r="Y1311" t="s">
        <v>295</v>
      </c>
      <c r="Z1311" t="s">
        <v>530</v>
      </c>
      <c r="AA1311">
        <v>3</v>
      </c>
      <c r="AB1311" t="s">
        <v>4929</v>
      </c>
      <c r="AC1311" t="s">
        <v>4930</v>
      </c>
      <c r="AD1311" t="s">
        <v>4931</v>
      </c>
      <c r="AE1311" t="s">
        <v>4932</v>
      </c>
      <c r="AF1311" t="s">
        <v>4933</v>
      </c>
      <c r="AG1311" t="s">
        <v>1963</v>
      </c>
      <c r="AH1311" t="s">
        <v>1857</v>
      </c>
      <c r="AI1311" t="s">
        <v>1857</v>
      </c>
      <c r="AJ1311" t="s">
        <v>66</v>
      </c>
      <c r="AK1311">
        <v>1</v>
      </c>
      <c r="AL1311" t="s">
        <v>5129</v>
      </c>
      <c r="AM1311" t="s">
        <v>5130</v>
      </c>
      <c r="AN1311" t="s">
        <v>5131</v>
      </c>
      <c r="AO1311" t="s">
        <v>66</v>
      </c>
      <c r="AP1311">
        <v>1</v>
      </c>
      <c r="AQ1311" t="s">
        <v>5132</v>
      </c>
      <c r="AR1311" t="s">
        <v>5133</v>
      </c>
      <c r="AS1311" t="s">
        <v>5234</v>
      </c>
      <c r="AT1311" t="s">
        <v>66</v>
      </c>
    </row>
    <row r="1312" spans="1:46" x14ac:dyDescent="0.15">
      <c r="A1312" t="s">
        <v>5290</v>
      </c>
      <c r="B1312" t="s">
        <v>4922</v>
      </c>
      <c r="C1312" t="s">
        <v>4923</v>
      </c>
      <c r="D1312">
        <v>72</v>
      </c>
      <c r="E1312" t="s">
        <v>4924</v>
      </c>
      <c r="F1312" t="s">
        <v>4516</v>
      </c>
      <c r="G1312" t="s">
        <v>51</v>
      </c>
      <c r="H1312" t="s">
        <v>4925</v>
      </c>
      <c r="I1312" t="s">
        <v>53</v>
      </c>
      <c r="J1312" t="s">
        <v>2572</v>
      </c>
      <c r="K1312" t="s">
        <v>3594</v>
      </c>
      <c r="L1312" t="s">
        <v>18</v>
      </c>
      <c r="M1312" t="s">
        <v>17</v>
      </c>
      <c r="N1312">
        <v>4485</v>
      </c>
      <c r="O1312">
        <v>262</v>
      </c>
      <c r="P1312">
        <v>0</v>
      </c>
      <c r="Q1312" t="s">
        <v>5291</v>
      </c>
      <c r="R1312" t="s">
        <v>5292</v>
      </c>
      <c r="S1312" t="s">
        <v>5293</v>
      </c>
      <c r="T1312" t="s">
        <v>5294</v>
      </c>
      <c r="U1312" t="s">
        <v>60</v>
      </c>
      <c r="V1312" t="s">
        <v>61</v>
      </c>
      <c r="W1312">
        <v>10</v>
      </c>
      <c r="X1312">
        <v>0.1150625</v>
      </c>
      <c r="Y1312" t="s">
        <v>536</v>
      </c>
      <c r="Z1312" t="s">
        <v>537</v>
      </c>
      <c r="AA1312">
        <v>3</v>
      </c>
      <c r="AB1312" t="s">
        <v>4929</v>
      </c>
      <c r="AC1312" t="s">
        <v>4930</v>
      </c>
      <c r="AD1312" t="s">
        <v>4931</v>
      </c>
      <c r="AE1312" t="s">
        <v>4932</v>
      </c>
      <c r="AF1312" t="s">
        <v>4933</v>
      </c>
      <c r="AG1312" t="s">
        <v>1963</v>
      </c>
      <c r="AH1312" t="s">
        <v>1857</v>
      </c>
      <c r="AI1312" t="s">
        <v>1857</v>
      </c>
      <c r="AJ1312" t="s">
        <v>66</v>
      </c>
      <c r="AK1312">
        <v>1</v>
      </c>
      <c r="AL1312" t="s">
        <v>5129</v>
      </c>
      <c r="AM1312" t="s">
        <v>5130</v>
      </c>
      <c r="AN1312" t="s">
        <v>5131</v>
      </c>
      <c r="AO1312" t="s">
        <v>66</v>
      </c>
      <c r="AP1312">
        <v>1</v>
      </c>
      <c r="AQ1312" t="s">
        <v>5132</v>
      </c>
      <c r="AR1312" t="s">
        <v>5133</v>
      </c>
      <c r="AS1312" t="s">
        <v>5234</v>
      </c>
      <c r="AT1312" t="s">
        <v>66</v>
      </c>
    </row>
    <row r="1313" spans="1:46" x14ac:dyDescent="0.15">
      <c r="A1313" t="s">
        <v>5295</v>
      </c>
      <c r="B1313" t="s">
        <v>4922</v>
      </c>
      <c r="C1313" t="s">
        <v>4923</v>
      </c>
      <c r="D1313">
        <v>73</v>
      </c>
      <c r="E1313" t="s">
        <v>4924</v>
      </c>
      <c r="F1313" t="s">
        <v>4516</v>
      </c>
      <c r="G1313" t="s">
        <v>51</v>
      </c>
      <c r="H1313" t="s">
        <v>4925</v>
      </c>
      <c r="I1313" t="s">
        <v>53</v>
      </c>
      <c r="J1313" t="s">
        <v>2572</v>
      </c>
      <c r="K1313" t="s">
        <v>3594</v>
      </c>
      <c r="L1313" t="s">
        <v>18</v>
      </c>
      <c r="M1313" t="s">
        <v>17</v>
      </c>
      <c r="N1313">
        <v>4541</v>
      </c>
      <c r="O1313">
        <v>265</v>
      </c>
      <c r="P1313">
        <v>0</v>
      </c>
      <c r="Q1313" t="s">
        <v>5296</v>
      </c>
      <c r="R1313" t="s">
        <v>5297</v>
      </c>
      <c r="S1313" t="s">
        <v>5298</v>
      </c>
      <c r="T1313" t="s">
        <v>5299</v>
      </c>
      <c r="U1313" t="s">
        <v>60</v>
      </c>
      <c r="V1313" t="s">
        <v>61</v>
      </c>
      <c r="W1313">
        <v>10</v>
      </c>
      <c r="X1313">
        <v>0.1150625</v>
      </c>
      <c r="Y1313" t="s">
        <v>301</v>
      </c>
      <c r="Z1313" t="s">
        <v>543</v>
      </c>
      <c r="AA1313">
        <v>3</v>
      </c>
      <c r="AB1313" t="s">
        <v>4929</v>
      </c>
      <c r="AC1313" t="s">
        <v>4930</v>
      </c>
      <c r="AD1313" t="s">
        <v>4931</v>
      </c>
      <c r="AE1313" t="s">
        <v>4932</v>
      </c>
      <c r="AF1313" t="s">
        <v>4933</v>
      </c>
      <c r="AG1313" t="s">
        <v>1963</v>
      </c>
      <c r="AH1313" t="s">
        <v>1857</v>
      </c>
      <c r="AI1313" t="s">
        <v>1857</v>
      </c>
      <c r="AJ1313" t="s">
        <v>66</v>
      </c>
      <c r="AK1313">
        <v>1</v>
      </c>
      <c r="AL1313" t="s">
        <v>5129</v>
      </c>
      <c r="AM1313" t="s">
        <v>5130</v>
      </c>
      <c r="AN1313" t="s">
        <v>5131</v>
      </c>
      <c r="AO1313" t="s">
        <v>66</v>
      </c>
      <c r="AP1313">
        <v>1</v>
      </c>
      <c r="AQ1313" t="s">
        <v>5132</v>
      </c>
      <c r="AR1313" t="s">
        <v>5133</v>
      </c>
      <c r="AS1313" t="s">
        <v>5234</v>
      </c>
      <c r="AT1313" t="s">
        <v>66</v>
      </c>
    </row>
    <row r="1314" spans="1:46" x14ac:dyDescent="0.15">
      <c r="A1314" t="s">
        <v>5300</v>
      </c>
      <c r="B1314" t="s">
        <v>4922</v>
      </c>
      <c r="C1314" t="s">
        <v>4923</v>
      </c>
      <c r="D1314">
        <v>74</v>
      </c>
      <c r="E1314" t="s">
        <v>4924</v>
      </c>
      <c r="F1314" t="s">
        <v>4516</v>
      </c>
      <c r="G1314" t="s">
        <v>51</v>
      </c>
      <c r="H1314" t="s">
        <v>4925</v>
      </c>
      <c r="I1314" t="s">
        <v>53</v>
      </c>
      <c r="J1314" t="s">
        <v>2572</v>
      </c>
      <c r="K1314" t="s">
        <v>3594</v>
      </c>
      <c r="L1314" t="s">
        <v>18</v>
      </c>
      <c r="M1314" t="s">
        <v>17</v>
      </c>
      <c r="N1314">
        <v>4597</v>
      </c>
      <c r="O1314">
        <v>268</v>
      </c>
      <c r="P1314">
        <v>0</v>
      </c>
      <c r="Q1314" t="s">
        <v>5301</v>
      </c>
      <c r="R1314" t="s">
        <v>5302</v>
      </c>
      <c r="S1314" t="s">
        <v>5303</v>
      </c>
      <c r="T1314" t="s">
        <v>5304</v>
      </c>
      <c r="U1314" t="s">
        <v>60</v>
      </c>
      <c r="V1314" t="s">
        <v>61</v>
      </c>
      <c r="W1314">
        <v>10</v>
      </c>
      <c r="X1314">
        <v>0.1150625</v>
      </c>
      <c r="Y1314" t="s">
        <v>549</v>
      </c>
      <c r="Z1314" t="s">
        <v>550</v>
      </c>
      <c r="AA1314">
        <v>3</v>
      </c>
      <c r="AB1314" t="s">
        <v>4929</v>
      </c>
      <c r="AC1314" t="s">
        <v>4930</v>
      </c>
      <c r="AD1314" t="s">
        <v>4931</v>
      </c>
      <c r="AE1314" t="s">
        <v>4932</v>
      </c>
      <c r="AF1314" t="s">
        <v>4933</v>
      </c>
      <c r="AG1314" t="s">
        <v>1963</v>
      </c>
      <c r="AH1314" t="s">
        <v>1857</v>
      </c>
      <c r="AI1314" t="s">
        <v>1857</v>
      </c>
      <c r="AJ1314" t="s">
        <v>66</v>
      </c>
      <c r="AK1314">
        <v>1</v>
      </c>
      <c r="AL1314" t="s">
        <v>5129</v>
      </c>
      <c r="AM1314" t="s">
        <v>5130</v>
      </c>
      <c r="AN1314" t="s">
        <v>5131</v>
      </c>
      <c r="AO1314" t="s">
        <v>66</v>
      </c>
      <c r="AP1314">
        <v>1</v>
      </c>
      <c r="AQ1314" t="s">
        <v>5132</v>
      </c>
      <c r="AR1314" t="s">
        <v>5133</v>
      </c>
      <c r="AS1314" t="s">
        <v>5234</v>
      </c>
      <c r="AT1314" t="s">
        <v>66</v>
      </c>
    </row>
    <row r="1315" spans="1:46" x14ac:dyDescent="0.15">
      <c r="A1315" t="s">
        <v>5305</v>
      </c>
      <c r="B1315" t="s">
        <v>4922</v>
      </c>
      <c r="C1315" t="s">
        <v>4923</v>
      </c>
      <c r="D1315">
        <v>75</v>
      </c>
      <c r="E1315" t="s">
        <v>4924</v>
      </c>
      <c r="F1315" t="s">
        <v>4516</v>
      </c>
      <c r="G1315" t="s">
        <v>51</v>
      </c>
      <c r="H1315" t="s">
        <v>4925</v>
      </c>
      <c r="I1315" t="s">
        <v>53</v>
      </c>
      <c r="J1315" t="s">
        <v>2572</v>
      </c>
      <c r="K1315" t="s">
        <v>3594</v>
      </c>
      <c r="L1315" t="s">
        <v>18</v>
      </c>
      <c r="M1315" t="s">
        <v>17</v>
      </c>
      <c r="N1315">
        <v>4653</v>
      </c>
      <c r="O1315">
        <v>272</v>
      </c>
      <c r="P1315">
        <v>0</v>
      </c>
      <c r="Q1315" t="s">
        <v>5306</v>
      </c>
      <c r="R1315" t="s">
        <v>5307</v>
      </c>
      <c r="S1315" t="s">
        <v>5308</v>
      </c>
      <c r="T1315" t="s">
        <v>5309</v>
      </c>
      <c r="U1315" t="s">
        <v>60</v>
      </c>
      <c r="V1315" t="s">
        <v>61</v>
      </c>
      <c r="W1315">
        <v>10</v>
      </c>
      <c r="X1315">
        <v>0.1150625</v>
      </c>
      <c r="Y1315" t="s">
        <v>308</v>
      </c>
      <c r="Z1315" t="s">
        <v>556</v>
      </c>
      <c r="AA1315">
        <v>3</v>
      </c>
      <c r="AB1315" t="s">
        <v>4929</v>
      </c>
      <c r="AC1315" t="s">
        <v>4930</v>
      </c>
      <c r="AD1315" t="s">
        <v>4931</v>
      </c>
      <c r="AE1315" t="s">
        <v>4932</v>
      </c>
      <c r="AF1315" t="s">
        <v>4933</v>
      </c>
      <c r="AG1315" t="s">
        <v>1963</v>
      </c>
      <c r="AH1315" t="s">
        <v>1857</v>
      </c>
      <c r="AI1315" t="s">
        <v>1857</v>
      </c>
      <c r="AJ1315" t="s">
        <v>66</v>
      </c>
      <c r="AK1315">
        <v>1</v>
      </c>
      <c r="AL1315" t="s">
        <v>5129</v>
      </c>
      <c r="AM1315" t="s">
        <v>5130</v>
      </c>
      <c r="AN1315" t="s">
        <v>5131</v>
      </c>
      <c r="AO1315" t="s">
        <v>66</v>
      </c>
      <c r="AP1315">
        <v>1</v>
      </c>
      <c r="AQ1315" t="s">
        <v>5132</v>
      </c>
      <c r="AR1315" t="s">
        <v>5133</v>
      </c>
      <c r="AS1315" t="s">
        <v>5234</v>
      </c>
      <c r="AT1315" t="s">
        <v>66</v>
      </c>
    </row>
    <row r="1316" spans="1:46" x14ac:dyDescent="0.15">
      <c r="A1316" t="s">
        <v>5310</v>
      </c>
      <c r="B1316" t="s">
        <v>4922</v>
      </c>
      <c r="C1316" t="s">
        <v>4923</v>
      </c>
      <c r="D1316">
        <v>76</v>
      </c>
      <c r="E1316" t="s">
        <v>4924</v>
      </c>
      <c r="F1316" t="s">
        <v>4516</v>
      </c>
      <c r="G1316" t="s">
        <v>51</v>
      </c>
      <c r="H1316" t="s">
        <v>4925</v>
      </c>
      <c r="I1316" t="s">
        <v>53</v>
      </c>
      <c r="J1316" t="s">
        <v>2572</v>
      </c>
      <c r="K1316" t="s">
        <v>3594</v>
      </c>
      <c r="L1316" t="s">
        <v>18</v>
      </c>
      <c r="M1316" t="s">
        <v>17</v>
      </c>
      <c r="N1316">
        <v>4709</v>
      </c>
      <c r="O1316">
        <v>275</v>
      </c>
      <c r="P1316">
        <v>0</v>
      </c>
      <c r="Q1316" t="s">
        <v>5311</v>
      </c>
      <c r="R1316" t="s">
        <v>5312</v>
      </c>
      <c r="S1316" t="s">
        <v>5313</v>
      </c>
      <c r="T1316" t="s">
        <v>5314</v>
      </c>
      <c r="U1316" t="s">
        <v>60</v>
      </c>
      <c r="V1316" t="s">
        <v>61</v>
      </c>
      <c r="W1316">
        <v>10</v>
      </c>
      <c r="X1316">
        <v>0.1150625</v>
      </c>
      <c r="Y1316" t="s">
        <v>562</v>
      </c>
      <c r="Z1316" t="s">
        <v>563</v>
      </c>
      <c r="AA1316">
        <v>3</v>
      </c>
      <c r="AB1316" t="s">
        <v>4929</v>
      </c>
      <c r="AC1316" t="s">
        <v>4930</v>
      </c>
      <c r="AD1316" t="s">
        <v>4931</v>
      </c>
      <c r="AE1316" t="s">
        <v>4932</v>
      </c>
      <c r="AF1316" t="s">
        <v>4933</v>
      </c>
      <c r="AG1316" t="s">
        <v>1963</v>
      </c>
      <c r="AH1316" t="s">
        <v>1857</v>
      </c>
      <c r="AI1316" t="s">
        <v>1857</v>
      </c>
      <c r="AJ1316" t="s">
        <v>66</v>
      </c>
      <c r="AK1316">
        <v>1</v>
      </c>
      <c r="AL1316" t="s">
        <v>5129</v>
      </c>
      <c r="AM1316" t="s">
        <v>5130</v>
      </c>
      <c r="AN1316" t="s">
        <v>5131</v>
      </c>
      <c r="AO1316" t="s">
        <v>66</v>
      </c>
      <c r="AP1316">
        <v>1</v>
      </c>
      <c r="AQ1316" t="s">
        <v>5132</v>
      </c>
      <c r="AR1316" t="s">
        <v>5133</v>
      </c>
      <c r="AS1316" t="s">
        <v>5234</v>
      </c>
      <c r="AT1316" t="s">
        <v>66</v>
      </c>
    </row>
    <row r="1317" spans="1:46" x14ac:dyDescent="0.15">
      <c r="A1317" t="s">
        <v>5315</v>
      </c>
      <c r="B1317" t="s">
        <v>4922</v>
      </c>
      <c r="C1317" t="s">
        <v>4923</v>
      </c>
      <c r="D1317">
        <v>77</v>
      </c>
      <c r="E1317" t="s">
        <v>4924</v>
      </c>
      <c r="F1317" t="s">
        <v>4516</v>
      </c>
      <c r="G1317" t="s">
        <v>51</v>
      </c>
      <c r="H1317" t="s">
        <v>4925</v>
      </c>
      <c r="I1317" t="s">
        <v>53</v>
      </c>
      <c r="J1317" t="s">
        <v>2572</v>
      </c>
      <c r="K1317" t="s">
        <v>3594</v>
      </c>
      <c r="L1317" t="s">
        <v>18</v>
      </c>
      <c r="M1317" t="s">
        <v>17</v>
      </c>
      <c r="N1317">
        <v>4765</v>
      </c>
      <c r="O1317">
        <v>278</v>
      </c>
      <c r="P1317">
        <v>0</v>
      </c>
      <c r="Q1317" t="s">
        <v>5316</v>
      </c>
      <c r="R1317" t="s">
        <v>5317</v>
      </c>
      <c r="S1317" t="s">
        <v>5318</v>
      </c>
      <c r="T1317" t="s">
        <v>5319</v>
      </c>
      <c r="U1317" t="s">
        <v>60</v>
      </c>
      <c r="V1317" t="s">
        <v>61</v>
      </c>
      <c r="W1317">
        <v>10</v>
      </c>
      <c r="X1317">
        <v>0.1150625</v>
      </c>
      <c r="Y1317" t="s">
        <v>314</v>
      </c>
      <c r="Z1317" t="s">
        <v>569</v>
      </c>
      <c r="AA1317">
        <v>3</v>
      </c>
      <c r="AB1317" t="s">
        <v>4929</v>
      </c>
      <c r="AC1317" t="s">
        <v>4930</v>
      </c>
      <c r="AD1317" t="s">
        <v>4931</v>
      </c>
      <c r="AE1317" t="s">
        <v>4932</v>
      </c>
      <c r="AF1317" t="s">
        <v>4933</v>
      </c>
      <c r="AG1317" t="s">
        <v>1963</v>
      </c>
      <c r="AH1317" t="s">
        <v>1857</v>
      </c>
      <c r="AI1317" t="s">
        <v>1857</v>
      </c>
      <c r="AJ1317" t="s">
        <v>66</v>
      </c>
      <c r="AK1317">
        <v>1</v>
      </c>
      <c r="AL1317" t="s">
        <v>5129</v>
      </c>
      <c r="AM1317" t="s">
        <v>5130</v>
      </c>
      <c r="AN1317" t="s">
        <v>5131</v>
      </c>
      <c r="AO1317" t="s">
        <v>66</v>
      </c>
      <c r="AP1317">
        <v>1</v>
      </c>
      <c r="AQ1317" t="s">
        <v>5132</v>
      </c>
      <c r="AR1317" t="s">
        <v>5133</v>
      </c>
      <c r="AS1317" t="s">
        <v>5234</v>
      </c>
      <c r="AT1317" t="s">
        <v>66</v>
      </c>
    </row>
    <row r="1318" spans="1:46" x14ac:dyDescent="0.15">
      <c r="A1318" t="s">
        <v>5320</v>
      </c>
      <c r="B1318" t="s">
        <v>4922</v>
      </c>
      <c r="C1318" t="s">
        <v>4923</v>
      </c>
      <c r="D1318">
        <v>78</v>
      </c>
      <c r="E1318" t="s">
        <v>4924</v>
      </c>
      <c r="F1318" t="s">
        <v>4516</v>
      </c>
      <c r="G1318" t="s">
        <v>51</v>
      </c>
      <c r="H1318" t="s">
        <v>4925</v>
      </c>
      <c r="I1318" t="s">
        <v>53</v>
      </c>
      <c r="J1318" t="s">
        <v>2572</v>
      </c>
      <c r="K1318" t="s">
        <v>3594</v>
      </c>
      <c r="L1318" t="s">
        <v>18</v>
      </c>
      <c r="M1318" t="s">
        <v>17</v>
      </c>
      <c r="N1318">
        <v>4821</v>
      </c>
      <c r="O1318">
        <v>281</v>
      </c>
      <c r="P1318">
        <v>0</v>
      </c>
      <c r="Q1318" t="s">
        <v>5321</v>
      </c>
      <c r="R1318" t="s">
        <v>5322</v>
      </c>
      <c r="S1318" t="s">
        <v>5323</v>
      </c>
      <c r="T1318" t="s">
        <v>5324</v>
      </c>
      <c r="U1318" t="s">
        <v>60</v>
      </c>
      <c r="V1318" t="s">
        <v>61</v>
      </c>
      <c r="W1318">
        <v>10</v>
      </c>
      <c r="X1318">
        <v>0.1150625</v>
      </c>
      <c r="Y1318" t="s">
        <v>575</v>
      </c>
      <c r="Z1318" t="s">
        <v>576</v>
      </c>
      <c r="AA1318">
        <v>3</v>
      </c>
      <c r="AB1318" t="s">
        <v>4929</v>
      </c>
      <c r="AC1318" t="s">
        <v>4930</v>
      </c>
      <c r="AD1318" t="s">
        <v>4931</v>
      </c>
      <c r="AE1318" t="s">
        <v>4932</v>
      </c>
      <c r="AF1318" t="s">
        <v>4933</v>
      </c>
      <c r="AG1318" t="s">
        <v>1963</v>
      </c>
      <c r="AH1318" t="s">
        <v>1857</v>
      </c>
      <c r="AI1318" t="s">
        <v>1857</v>
      </c>
      <c r="AJ1318" t="s">
        <v>66</v>
      </c>
      <c r="AK1318">
        <v>1</v>
      </c>
      <c r="AL1318" t="s">
        <v>5129</v>
      </c>
      <c r="AM1318" t="s">
        <v>5130</v>
      </c>
      <c r="AN1318" t="s">
        <v>5131</v>
      </c>
      <c r="AO1318" t="s">
        <v>66</v>
      </c>
      <c r="AP1318">
        <v>1</v>
      </c>
      <c r="AQ1318" t="s">
        <v>5132</v>
      </c>
      <c r="AR1318" t="s">
        <v>5133</v>
      </c>
      <c r="AS1318" t="s">
        <v>5234</v>
      </c>
      <c r="AT1318" t="s">
        <v>66</v>
      </c>
    </row>
    <row r="1319" spans="1:46" x14ac:dyDescent="0.15">
      <c r="A1319" t="s">
        <v>5325</v>
      </c>
      <c r="B1319" t="s">
        <v>4922</v>
      </c>
      <c r="C1319" t="s">
        <v>4923</v>
      </c>
      <c r="D1319">
        <v>79</v>
      </c>
      <c r="E1319" t="s">
        <v>4924</v>
      </c>
      <c r="F1319" t="s">
        <v>4516</v>
      </c>
      <c r="G1319" t="s">
        <v>51</v>
      </c>
      <c r="H1319" t="s">
        <v>4925</v>
      </c>
      <c r="I1319" t="s">
        <v>53</v>
      </c>
      <c r="J1319" t="s">
        <v>2572</v>
      </c>
      <c r="K1319" t="s">
        <v>3594</v>
      </c>
      <c r="L1319" t="s">
        <v>18</v>
      </c>
      <c r="M1319" t="s">
        <v>17</v>
      </c>
      <c r="N1319">
        <v>4878</v>
      </c>
      <c r="O1319">
        <v>285</v>
      </c>
      <c r="P1319">
        <v>0</v>
      </c>
      <c r="Q1319" t="s">
        <v>5326</v>
      </c>
      <c r="R1319" t="s">
        <v>5327</v>
      </c>
      <c r="S1319" t="s">
        <v>5328</v>
      </c>
      <c r="T1319" t="s">
        <v>5329</v>
      </c>
      <c r="U1319" t="s">
        <v>60</v>
      </c>
      <c r="V1319" t="s">
        <v>61</v>
      </c>
      <c r="W1319">
        <v>10</v>
      </c>
      <c r="X1319">
        <v>0.1150625</v>
      </c>
      <c r="Y1319" t="s">
        <v>321</v>
      </c>
      <c r="Z1319" t="s">
        <v>582</v>
      </c>
      <c r="AA1319">
        <v>3</v>
      </c>
      <c r="AB1319" t="s">
        <v>4929</v>
      </c>
      <c r="AC1319" t="s">
        <v>4930</v>
      </c>
      <c r="AD1319" t="s">
        <v>4931</v>
      </c>
      <c r="AE1319" t="s">
        <v>4932</v>
      </c>
      <c r="AF1319" t="s">
        <v>4933</v>
      </c>
      <c r="AG1319" t="s">
        <v>1963</v>
      </c>
      <c r="AH1319" t="s">
        <v>1857</v>
      </c>
      <c r="AI1319" t="s">
        <v>1857</v>
      </c>
      <c r="AJ1319" t="s">
        <v>66</v>
      </c>
      <c r="AK1319">
        <v>1</v>
      </c>
      <c r="AL1319" t="s">
        <v>5129</v>
      </c>
      <c r="AM1319" t="s">
        <v>5130</v>
      </c>
      <c r="AN1319" t="s">
        <v>5131</v>
      </c>
      <c r="AO1319" t="s">
        <v>66</v>
      </c>
      <c r="AP1319">
        <v>1</v>
      </c>
      <c r="AQ1319" t="s">
        <v>5132</v>
      </c>
      <c r="AR1319" t="s">
        <v>5133</v>
      </c>
      <c r="AS1319" t="s">
        <v>5234</v>
      </c>
      <c r="AT1319" t="s">
        <v>66</v>
      </c>
    </row>
    <row r="1320" spans="1:46" x14ac:dyDescent="0.15">
      <c r="A1320" t="s">
        <v>5330</v>
      </c>
      <c r="B1320" t="s">
        <v>4922</v>
      </c>
      <c r="C1320" t="s">
        <v>4923</v>
      </c>
      <c r="D1320">
        <v>80</v>
      </c>
      <c r="E1320" t="s">
        <v>4924</v>
      </c>
      <c r="F1320" t="s">
        <v>4516</v>
      </c>
      <c r="G1320" t="s">
        <v>51</v>
      </c>
      <c r="H1320" t="s">
        <v>4925</v>
      </c>
      <c r="I1320" t="s">
        <v>53</v>
      </c>
      <c r="J1320" t="s">
        <v>2572</v>
      </c>
      <c r="K1320" t="s">
        <v>3594</v>
      </c>
      <c r="L1320" t="s">
        <v>18</v>
      </c>
      <c r="M1320" t="s">
        <v>17</v>
      </c>
      <c r="N1320">
        <v>4934</v>
      </c>
      <c r="O1320">
        <v>288</v>
      </c>
      <c r="P1320">
        <v>0</v>
      </c>
      <c r="Q1320" t="s">
        <v>5331</v>
      </c>
      <c r="R1320" t="s">
        <v>5332</v>
      </c>
      <c r="S1320" t="s">
        <v>5333</v>
      </c>
      <c r="T1320" t="s">
        <v>5334</v>
      </c>
      <c r="U1320" t="s">
        <v>60</v>
      </c>
      <c r="V1320" t="s">
        <v>61</v>
      </c>
      <c r="W1320">
        <v>10</v>
      </c>
      <c r="X1320">
        <v>0.1150625</v>
      </c>
      <c r="Y1320" t="s">
        <v>588</v>
      </c>
      <c r="Z1320" t="s">
        <v>589</v>
      </c>
      <c r="AA1320">
        <v>3</v>
      </c>
      <c r="AB1320" t="s">
        <v>4929</v>
      </c>
      <c r="AC1320" t="s">
        <v>4930</v>
      </c>
      <c r="AD1320" t="s">
        <v>4931</v>
      </c>
      <c r="AE1320" t="s">
        <v>4932</v>
      </c>
      <c r="AF1320" t="s">
        <v>4933</v>
      </c>
      <c r="AG1320" t="s">
        <v>1963</v>
      </c>
      <c r="AH1320" t="s">
        <v>1857</v>
      </c>
      <c r="AI1320" t="s">
        <v>1857</v>
      </c>
      <c r="AJ1320" t="s">
        <v>66</v>
      </c>
      <c r="AK1320">
        <v>1</v>
      </c>
      <c r="AL1320" t="s">
        <v>5129</v>
      </c>
      <c r="AM1320" t="s">
        <v>5130</v>
      </c>
      <c r="AN1320" t="s">
        <v>5131</v>
      </c>
      <c r="AO1320" t="s">
        <v>66</v>
      </c>
      <c r="AP1320">
        <v>1</v>
      </c>
      <c r="AQ1320" t="s">
        <v>5132</v>
      </c>
      <c r="AR1320" t="s">
        <v>5133</v>
      </c>
      <c r="AS1320" t="s">
        <v>5234</v>
      </c>
      <c r="AT1320" t="s">
        <v>66</v>
      </c>
    </row>
    <row r="1321" spans="1:46" x14ac:dyDescent="0.15">
      <c r="A1321" t="s">
        <v>5330</v>
      </c>
      <c r="B1321" t="s">
        <v>4922</v>
      </c>
      <c r="C1321" t="s">
        <v>4923</v>
      </c>
      <c r="D1321">
        <v>80</v>
      </c>
      <c r="E1321" t="s">
        <v>4924</v>
      </c>
      <c r="F1321" t="s">
        <v>4516</v>
      </c>
      <c r="G1321" t="s">
        <v>51</v>
      </c>
      <c r="H1321" t="s">
        <v>4925</v>
      </c>
      <c r="I1321" t="s">
        <v>53</v>
      </c>
      <c r="J1321" t="s">
        <v>2572</v>
      </c>
      <c r="K1321" t="s">
        <v>3594</v>
      </c>
      <c r="L1321" t="s">
        <v>18</v>
      </c>
      <c r="M1321" t="s">
        <v>17</v>
      </c>
      <c r="N1321">
        <v>4934</v>
      </c>
      <c r="O1321">
        <v>288</v>
      </c>
      <c r="P1321">
        <v>0</v>
      </c>
      <c r="Q1321" t="s">
        <v>5331</v>
      </c>
      <c r="R1321" t="s">
        <v>5332</v>
      </c>
      <c r="S1321" t="s">
        <v>5333</v>
      </c>
      <c r="T1321" t="s">
        <v>5334</v>
      </c>
      <c r="U1321" t="s">
        <v>60</v>
      </c>
      <c r="V1321" t="s">
        <v>61</v>
      </c>
      <c r="W1321">
        <v>10</v>
      </c>
      <c r="X1321">
        <v>0.1150625</v>
      </c>
      <c r="Y1321" t="s">
        <v>588</v>
      </c>
      <c r="Z1321" t="s">
        <v>589</v>
      </c>
      <c r="AA1321">
        <v>4</v>
      </c>
      <c r="AB1321" t="s">
        <v>4929</v>
      </c>
      <c r="AC1321" t="s">
        <v>4930</v>
      </c>
      <c r="AD1321" t="s">
        <v>4931</v>
      </c>
      <c r="AE1321" t="s">
        <v>4932</v>
      </c>
      <c r="AF1321" t="s">
        <v>4933</v>
      </c>
      <c r="AG1321" t="s">
        <v>1963</v>
      </c>
      <c r="AH1321" t="s">
        <v>1857</v>
      </c>
      <c r="AI1321" t="s">
        <v>1857</v>
      </c>
      <c r="AJ1321" t="s">
        <v>1962</v>
      </c>
      <c r="AK1321">
        <v>1</v>
      </c>
      <c r="AL1321" t="s">
        <v>5129</v>
      </c>
      <c r="AM1321" t="s">
        <v>5130</v>
      </c>
      <c r="AN1321" t="s">
        <v>5131</v>
      </c>
      <c r="AO1321" t="s">
        <v>66</v>
      </c>
      <c r="AP1321">
        <v>1</v>
      </c>
      <c r="AQ1321" t="s">
        <v>5132</v>
      </c>
      <c r="AR1321" t="s">
        <v>5133</v>
      </c>
      <c r="AS1321" t="s">
        <v>5234</v>
      </c>
      <c r="AT1321" t="s">
        <v>66</v>
      </c>
    </row>
    <row r="1322" spans="1:46" x14ac:dyDescent="0.15">
      <c r="A1322" t="s">
        <v>5335</v>
      </c>
      <c r="B1322" t="s">
        <v>4922</v>
      </c>
      <c r="C1322" t="s">
        <v>4923</v>
      </c>
      <c r="D1322">
        <v>81</v>
      </c>
      <c r="E1322" t="s">
        <v>4924</v>
      </c>
      <c r="F1322" t="s">
        <v>4516</v>
      </c>
      <c r="G1322" t="s">
        <v>51</v>
      </c>
      <c r="H1322" t="s">
        <v>4925</v>
      </c>
      <c r="I1322" t="s">
        <v>53</v>
      </c>
      <c r="J1322" t="s">
        <v>2572</v>
      </c>
      <c r="K1322" t="s">
        <v>3594</v>
      </c>
      <c r="L1322" t="s">
        <v>18</v>
      </c>
      <c r="M1322" t="s">
        <v>17</v>
      </c>
      <c r="N1322">
        <v>4990</v>
      </c>
      <c r="O1322">
        <v>291</v>
      </c>
      <c r="P1322">
        <v>0</v>
      </c>
      <c r="Q1322" t="s">
        <v>5336</v>
      </c>
      <c r="R1322" t="s">
        <v>5337</v>
      </c>
      <c r="S1322" t="s">
        <v>5338</v>
      </c>
      <c r="T1322" t="s">
        <v>5339</v>
      </c>
      <c r="U1322" t="s">
        <v>60</v>
      </c>
      <c r="V1322" t="s">
        <v>61</v>
      </c>
      <c r="W1322">
        <v>10</v>
      </c>
      <c r="X1322">
        <v>0.1150625</v>
      </c>
      <c r="Y1322" t="s">
        <v>330</v>
      </c>
      <c r="Z1322" t="s">
        <v>596</v>
      </c>
      <c r="AA1322">
        <v>4</v>
      </c>
      <c r="AB1322" t="s">
        <v>4929</v>
      </c>
      <c r="AC1322" t="s">
        <v>4930</v>
      </c>
      <c r="AD1322" t="s">
        <v>4931</v>
      </c>
      <c r="AE1322" t="s">
        <v>4932</v>
      </c>
      <c r="AF1322" t="s">
        <v>4933</v>
      </c>
      <c r="AG1322" t="s">
        <v>1963</v>
      </c>
      <c r="AH1322" t="s">
        <v>1857</v>
      </c>
      <c r="AI1322" t="s">
        <v>1857</v>
      </c>
      <c r="AJ1322" t="s">
        <v>1962</v>
      </c>
      <c r="AK1322">
        <v>1</v>
      </c>
      <c r="AL1322" t="s">
        <v>5129</v>
      </c>
      <c r="AM1322" t="s">
        <v>5130</v>
      </c>
      <c r="AN1322" t="s">
        <v>5131</v>
      </c>
      <c r="AO1322" t="s">
        <v>66</v>
      </c>
      <c r="AP1322">
        <v>1</v>
      </c>
      <c r="AQ1322" t="s">
        <v>5132</v>
      </c>
      <c r="AR1322" t="s">
        <v>5133</v>
      </c>
      <c r="AS1322" t="s">
        <v>5234</v>
      </c>
      <c r="AT1322" t="s">
        <v>66</v>
      </c>
    </row>
    <row r="1323" spans="1:46" x14ac:dyDescent="0.15">
      <c r="A1323" t="s">
        <v>5340</v>
      </c>
      <c r="B1323" t="s">
        <v>4922</v>
      </c>
      <c r="C1323" t="s">
        <v>4923</v>
      </c>
      <c r="D1323">
        <v>82</v>
      </c>
      <c r="E1323" t="s">
        <v>4924</v>
      </c>
      <c r="F1323" t="s">
        <v>4516</v>
      </c>
      <c r="G1323" t="s">
        <v>51</v>
      </c>
      <c r="H1323" t="s">
        <v>4925</v>
      </c>
      <c r="I1323" t="s">
        <v>53</v>
      </c>
      <c r="J1323" t="s">
        <v>2572</v>
      </c>
      <c r="K1323" t="s">
        <v>3594</v>
      </c>
      <c r="L1323" t="s">
        <v>18</v>
      </c>
      <c r="M1323" t="s">
        <v>17</v>
      </c>
      <c r="N1323">
        <v>5046</v>
      </c>
      <c r="O1323">
        <v>294</v>
      </c>
      <c r="P1323">
        <v>0</v>
      </c>
      <c r="Q1323" t="s">
        <v>2942</v>
      </c>
      <c r="R1323" t="s">
        <v>5341</v>
      </c>
      <c r="S1323" t="s">
        <v>5342</v>
      </c>
      <c r="T1323" t="s">
        <v>5343</v>
      </c>
      <c r="U1323" t="s">
        <v>60</v>
      </c>
      <c r="V1323" t="s">
        <v>61</v>
      </c>
      <c r="W1323">
        <v>10</v>
      </c>
      <c r="X1323">
        <v>0.1150625</v>
      </c>
      <c r="Y1323" t="s">
        <v>602</v>
      </c>
      <c r="Z1323" t="s">
        <v>603</v>
      </c>
      <c r="AA1323">
        <v>4</v>
      </c>
      <c r="AB1323" t="s">
        <v>4929</v>
      </c>
      <c r="AC1323" t="s">
        <v>4930</v>
      </c>
      <c r="AD1323" t="s">
        <v>4931</v>
      </c>
      <c r="AE1323" t="s">
        <v>4932</v>
      </c>
      <c r="AF1323" t="s">
        <v>4933</v>
      </c>
      <c r="AG1323" t="s">
        <v>1963</v>
      </c>
      <c r="AH1323" t="s">
        <v>1857</v>
      </c>
      <c r="AI1323" t="s">
        <v>1857</v>
      </c>
      <c r="AJ1323" t="s">
        <v>1962</v>
      </c>
      <c r="AK1323">
        <v>1</v>
      </c>
      <c r="AL1323" t="s">
        <v>5129</v>
      </c>
      <c r="AM1323" t="s">
        <v>5130</v>
      </c>
      <c r="AN1323" t="s">
        <v>5131</v>
      </c>
      <c r="AO1323" t="s">
        <v>66</v>
      </c>
      <c r="AP1323">
        <v>1</v>
      </c>
      <c r="AQ1323" t="s">
        <v>5132</v>
      </c>
      <c r="AR1323" t="s">
        <v>5133</v>
      </c>
      <c r="AS1323" t="s">
        <v>5234</v>
      </c>
      <c r="AT1323" t="s">
        <v>66</v>
      </c>
    </row>
    <row r="1324" spans="1:46" x14ac:dyDescent="0.15">
      <c r="A1324" t="s">
        <v>5344</v>
      </c>
      <c r="B1324" t="s">
        <v>4922</v>
      </c>
      <c r="C1324" t="s">
        <v>4923</v>
      </c>
      <c r="D1324">
        <v>83</v>
      </c>
      <c r="E1324" t="s">
        <v>4924</v>
      </c>
      <c r="F1324" t="s">
        <v>4516</v>
      </c>
      <c r="G1324" t="s">
        <v>51</v>
      </c>
      <c r="H1324" t="s">
        <v>4925</v>
      </c>
      <c r="I1324" t="s">
        <v>53</v>
      </c>
      <c r="J1324" t="s">
        <v>2572</v>
      </c>
      <c r="K1324" t="s">
        <v>3594</v>
      </c>
      <c r="L1324" t="s">
        <v>18</v>
      </c>
      <c r="M1324" t="s">
        <v>17</v>
      </c>
      <c r="N1324">
        <v>5102</v>
      </c>
      <c r="O1324">
        <v>298</v>
      </c>
      <c r="P1324">
        <v>0</v>
      </c>
      <c r="Q1324" t="s">
        <v>5345</v>
      </c>
      <c r="R1324" t="s">
        <v>5346</v>
      </c>
      <c r="S1324" t="s">
        <v>5347</v>
      </c>
      <c r="T1324" t="s">
        <v>5348</v>
      </c>
      <c r="U1324" t="s">
        <v>60</v>
      </c>
      <c r="V1324" t="s">
        <v>61</v>
      </c>
      <c r="W1324">
        <v>10</v>
      </c>
      <c r="X1324">
        <v>0.1150625</v>
      </c>
      <c r="Y1324" t="s">
        <v>337</v>
      </c>
      <c r="Z1324" t="s">
        <v>609</v>
      </c>
      <c r="AA1324">
        <v>4</v>
      </c>
      <c r="AB1324" t="s">
        <v>4929</v>
      </c>
      <c r="AC1324" t="s">
        <v>4930</v>
      </c>
      <c r="AD1324" t="s">
        <v>4931</v>
      </c>
      <c r="AE1324" t="s">
        <v>4932</v>
      </c>
      <c r="AF1324" t="s">
        <v>4933</v>
      </c>
      <c r="AG1324" t="s">
        <v>1963</v>
      </c>
      <c r="AH1324" t="s">
        <v>1857</v>
      </c>
      <c r="AI1324" t="s">
        <v>1857</v>
      </c>
      <c r="AJ1324" t="s">
        <v>1962</v>
      </c>
      <c r="AK1324">
        <v>1</v>
      </c>
      <c r="AL1324" t="s">
        <v>5129</v>
      </c>
      <c r="AM1324" t="s">
        <v>5130</v>
      </c>
      <c r="AN1324" t="s">
        <v>5131</v>
      </c>
      <c r="AO1324" t="s">
        <v>66</v>
      </c>
      <c r="AP1324">
        <v>1</v>
      </c>
      <c r="AQ1324" t="s">
        <v>5132</v>
      </c>
      <c r="AR1324" t="s">
        <v>5133</v>
      </c>
      <c r="AS1324" t="s">
        <v>5234</v>
      </c>
      <c r="AT1324" t="s">
        <v>66</v>
      </c>
    </row>
    <row r="1325" spans="1:46" x14ac:dyDescent="0.15">
      <c r="A1325" t="s">
        <v>5349</v>
      </c>
      <c r="B1325" t="s">
        <v>4922</v>
      </c>
      <c r="C1325" t="s">
        <v>4923</v>
      </c>
      <c r="D1325">
        <v>84</v>
      </c>
      <c r="E1325" t="s">
        <v>4924</v>
      </c>
      <c r="F1325" t="s">
        <v>4516</v>
      </c>
      <c r="G1325" t="s">
        <v>51</v>
      </c>
      <c r="H1325" t="s">
        <v>4925</v>
      </c>
      <c r="I1325" t="s">
        <v>53</v>
      </c>
      <c r="J1325" t="s">
        <v>2572</v>
      </c>
      <c r="K1325" t="s">
        <v>3594</v>
      </c>
      <c r="L1325" t="s">
        <v>18</v>
      </c>
      <c r="M1325" t="s">
        <v>17</v>
      </c>
      <c r="N1325">
        <v>5158</v>
      </c>
      <c r="O1325">
        <v>301</v>
      </c>
      <c r="P1325">
        <v>0</v>
      </c>
      <c r="Q1325" t="s">
        <v>5350</v>
      </c>
      <c r="R1325" t="s">
        <v>5351</v>
      </c>
      <c r="S1325" t="s">
        <v>5352</v>
      </c>
      <c r="T1325" t="s">
        <v>5353</v>
      </c>
      <c r="U1325" t="s">
        <v>60</v>
      </c>
      <c r="V1325" t="s">
        <v>61</v>
      </c>
      <c r="W1325">
        <v>10</v>
      </c>
      <c r="X1325">
        <v>0.1150625</v>
      </c>
      <c r="Y1325" t="s">
        <v>615</v>
      </c>
      <c r="Z1325" t="s">
        <v>616</v>
      </c>
      <c r="AA1325">
        <v>4</v>
      </c>
      <c r="AB1325" t="s">
        <v>4929</v>
      </c>
      <c r="AC1325" t="s">
        <v>4930</v>
      </c>
      <c r="AD1325" t="s">
        <v>4931</v>
      </c>
      <c r="AE1325" t="s">
        <v>4932</v>
      </c>
      <c r="AF1325" t="s">
        <v>4933</v>
      </c>
      <c r="AG1325" t="s">
        <v>1963</v>
      </c>
      <c r="AH1325" t="s">
        <v>1857</v>
      </c>
      <c r="AI1325" t="s">
        <v>1857</v>
      </c>
      <c r="AJ1325" t="s">
        <v>1962</v>
      </c>
      <c r="AK1325">
        <v>1</v>
      </c>
      <c r="AL1325" t="s">
        <v>5129</v>
      </c>
      <c r="AM1325" t="s">
        <v>5130</v>
      </c>
      <c r="AN1325" t="s">
        <v>5131</v>
      </c>
      <c r="AO1325" t="s">
        <v>66</v>
      </c>
      <c r="AP1325">
        <v>1</v>
      </c>
      <c r="AQ1325" t="s">
        <v>5132</v>
      </c>
      <c r="AR1325" t="s">
        <v>5133</v>
      </c>
      <c r="AS1325" t="s">
        <v>5234</v>
      </c>
      <c r="AT1325" t="s">
        <v>66</v>
      </c>
    </row>
    <row r="1326" spans="1:46" x14ac:dyDescent="0.15">
      <c r="A1326" t="s">
        <v>5354</v>
      </c>
      <c r="B1326" t="s">
        <v>4922</v>
      </c>
      <c r="C1326" t="s">
        <v>4923</v>
      </c>
      <c r="D1326">
        <v>85</v>
      </c>
      <c r="E1326" t="s">
        <v>4924</v>
      </c>
      <c r="F1326" t="s">
        <v>4516</v>
      </c>
      <c r="G1326" t="s">
        <v>51</v>
      </c>
      <c r="H1326" t="s">
        <v>4925</v>
      </c>
      <c r="I1326" t="s">
        <v>53</v>
      </c>
      <c r="J1326" t="s">
        <v>2572</v>
      </c>
      <c r="K1326" t="s">
        <v>3594</v>
      </c>
      <c r="L1326" t="s">
        <v>18</v>
      </c>
      <c r="M1326" t="s">
        <v>17</v>
      </c>
      <c r="N1326">
        <v>5214</v>
      </c>
      <c r="O1326">
        <v>304</v>
      </c>
      <c r="P1326">
        <v>0</v>
      </c>
      <c r="Q1326" t="s">
        <v>5355</v>
      </c>
      <c r="R1326" t="s">
        <v>5356</v>
      </c>
      <c r="S1326" t="s">
        <v>5357</v>
      </c>
      <c r="T1326" t="s">
        <v>5358</v>
      </c>
      <c r="U1326" t="s">
        <v>60</v>
      </c>
      <c r="V1326" t="s">
        <v>61</v>
      </c>
      <c r="W1326">
        <v>10</v>
      </c>
      <c r="X1326">
        <v>0.1150625</v>
      </c>
      <c r="Y1326" t="s">
        <v>343</v>
      </c>
      <c r="Z1326" t="s">
        <v>622</v>
      </c>
      <c r="AA1326">
        <v>4</v>
      </c>
      <c r="AB1326" t="s">
        <v>4929</v>
      </c>
      <c r="AC1326" t="s">
        <v>4930</v>
      </c>
      <c r="AD1326" t="s">
        <v>4931</v>
      </c>
      <c r="AE1326" t="s">
        <v>4932</v>
      </c>
      <c r="AF1326" t="s">
        <v>4933</v>
      </c>
      <c r="AG1326" t="s">
        <v>1963</v>
      </c>
      <c r="AH1326" t="s">
        <v>1857</v>
      </c>
      <c r="AI1326" t="s">
        <v>1857</v>
      </c>
      <c r="AJ1326" t="s">
        <v>1962</v>
      </c>
      <c r="AK1326">
        <v>1</v>
      </c>
      <c r="AL1326" t="s">
        <v>5129</v>
      </c>
      <c r="AM1326" t="s">
        <v>5130</v>
      </c>
      <c r="AN1326" t="s">
        <v>5131</v>
      </c>
      <c r="AO1326" t="s">
        <v>66</v>
      </c>
      <c r="AP1326">
        <v>1</v>
      </c>
      <c r="AQ1326" t="s">
        <v>5132</v>
      </c>
      <c r="AR1326" t="s">
        <v>5133</v>
      </c>
      <c r="AS1326" t="s">
        <v>5234</v>
      </c>
      <c r="AT1326" t="s">
        <v>66</v>
      </c>
    </row>
    <row r="1327" spans="1:46" x14ac:dyDescent="0.15">
      <c r="A1327" t="s">
        <v>5359</v>
      </c>
      <c r="B1327" t="s">
        <v>4922</v>
      </c>
      <c r="C1327" t="s">
        <v>4923</v>
      </c>
      <c r="D1327">
        <v>86</v>
      </c>
      <c r="E1327" t="s">
        <v>4924</v>
      </c>
      <c r="F1327" t="s">
        <v>4516</v>
      </c>
      <c r="G1327" t="s">
        <v>51</v>
      </c>
      <c r="H1327" t="s">
        <v>4925</v>
      </c>
      <c r="I1327" t="s">
        <v>53</v>
      </c>
      <c r="J1327" t="s">
        <v>2572</v>
      </c>
      <c r="K1327" t="s">
        <v>3594</v>
      </c>
      <c r="L1327" t="s">
        <v>18</v>
      </c>
      <c r="M1327" t="s">
        <v>17</v>
      </c>
      <c r="N1327">
        <v>5270</v>
      </c>
      <c r="O1327">
        <v>307</v>
      </c>
      <c r="P1327">
        <v>0</v>
      </c>
      <c r="Q1327" t="s">
        <v>5360</v>
      </c>
      <c r="R1327" t="s">
        <v>5361</v>
      </c>
      <c r="S1327" t="s">
        <v>5362</v>
      </c>
      <c r="T1327" t="s">
        <v>5363</v>
      </c>
      <c r="U1327" t="s">
        <v>60</v>
      </c>
      <c r="V1327" t="s">
        <v>61</v>
      </c>
      <c r="W1327">
        <v>10</v>
      </c>
      <c r="X1327">
        <v>0.1150625</v>
      </c>
      <c r="Y1327" t="s">
        <v>628</v>
      </c>
      <c r="Z1327" t="s">
        <v>629</v>
      </c>
      <c r="AA1327">
        <v>4</v>
      </c>
      <c r="AB1327" t="s">
        <v>4929</v>
      </c>
      <c r="AC1327" t="s">
        <v>4930</v>
      </c>
      <c r="AD1327" t="s">
        <v>4931</v>
      </c>
      <c r="AE1327" t="s">
        <v>4932</v>
      </c>
      <c r="AF1327" t="s">
        <v>4933</v>
      </c>
      <c r="AG1327" t="s">
        <v>1963</v>
      </c>
      <c r="AH1327" t="s">
        <v>1857</v>
      </c>
      <c r="AI1327" t="s">
        <v>1857</v>
      </c>
      <c r="AJ1327" t="s">
        <v>1962</v>
      </c>
      <c r="AK1327">
        <v>1</v>
      </c>
      <c r="AL1327" t="s">
        <v>5129</v>
      </c>
      <c r="AM1327" t="s">
        <v>5130</v>
      </c>
      <c r="AN1327" t="s">
        <v>5131</v>
      </c>
      <c r="AO1327" t="s">
        <v>66</v>
      </c>
      <c r="AP1327">
        <v>1</v>
      </c>
      <c r="AQ1327" t="s">
        <v>5132</v>
      </c>
      <c r="AR1327" t="s">
        <v>5133</v>
      </c>
      <c r="AS1327" t="s">
        <v>5234</v>
      </c>
      <c r="AT1327" t="s">
        <v>66</v>
      </c>
    </row>
    <row r="1328" spans="1:46" x14ac:dyDescent="0.15">
      <c r="A1328" t="s">
        <v>5364</v>
      </c>
      <c r="B1328" t="s">
        <v>4922</v>
      </c>
      <c r="C1328" t="s">
        <v>4923</v>
      </c>
      <c r="D1328">
        <v>87</v>
      </c>
      <c r="E1328" t="s">
        <v>4924</v>
      </c>
      <c r="F1328" t="s">
        <v>4516</v>
      </c>
      <c r="G1328" t="s">
        <v>51</v>
      </c>
      <c r="H1328" t="s">
        <v>4925</v>
      </c>
      <c r="I1328" t="s">
        <v>53</v>
      </c>
      <c r="J1328" t="s">
        <v>2572</v>
      </c>
      <c r="K1328" t="s">
        <v>3594</v>
      </c>
      <c r="L1328" t="s">
        <v>18</v>
      </c>
      <c r="M1328" t="s">
        <v>17</v>
      </c>
      <c r="N1328">
        <v>5327</v>
      </c>
      <c r="O1328">
        <v>311</v>
      </c>
      <c r="P1328">
        <v>0</v>
      </c>
      <c r="Q1328" t="s">
        <v>5365</v>
      </c>
      <c r="R1328" t="s">
        <v>5366</v>
      </c>
      <c r="S1328" t="s">
        <v>5367</v>
      </c>
      <c r="T1328" t="s">
        <v>5368</v>
      </c>
      <c r="U1328" t="s">
        <v>60</v>
      </c>
      <c r="V1328" t="s">
        <v>61</v>
      </c>
      <c r="W1328">
        <v>10</v>
      </c>
      <c r="X1328">
        <v>0.1150625</v>
      </c>
      <c r="Y1328" t="s">
        <v>350</v>
      </c>
      <c r="Z1328" t="s">
        <v>635</v>
      </c>
      <c r="AA1328">
        <v>4</v>
      </c>
      <c r="AB1328" t="s">
        <v>4929</v>
      </c>
      <c r="AC1328" t="s">
        <v>4930</v>
      </c>
      <c r="AD1328" t="s">
        <v>4931</v>
      </c>
      <c r="AE1328" t="s">
        <v>4932</v>
      </c>
      <c r="AF1328" t="s">
        <v>4933</v>
      </c>
      <c r="AG1328" t="s">
        <v>1963</v>
      </c>
      <c r="AH1328" t="s">
        <v>1857</v>
      </c>
      <c r="AI1328" t="s">
        <v>1857</v>
      </c>
      <c r="AJ1328" t="s">
        <v>1962</v>
      </c>
      <c r="AK1328">
        <v>1</v>
      </c>
      <c r="AL1328" t="s">
        <v>5129</v>
      </c>
      <c r="AM1328" t="s">
        <v>5130</v>
      </c>
      <c r="AN1328" t="s">
        <v>5131</v>
      </c>
      <c r="AO1328" t="s">
        <v>66</v>
      </c>
      <c r="AP1328">
        <v>1</v>
      </c>
      <c r="AQ1328" t="s">
        <v>5132</v>
      </c>
      <c r="AR1328" t="s">
        <v>5133</v>
      </c>
      <c r="AS1328" t="s">
        <v>5234</v>
      </c>
      <c r="AT1328" t="s">
        <v>66</v>
      </c>
    </row>
    <row r="1329" spans="1:46" x14ac:dyDescent="0.15">
      <c r="A1329" t="s">
        <v>5369</v>
      </c>
      <c r="B1329" t="s">
        <v>4922</v>
      </c>
      <c r="C1329" t="s">
        <v>4923</v>
      </c>
      <c r="D1329">
        <v>88</v>
      </c>
      <c r="E1329" t="s">
        <v>4924</v>
      </c>
      <c r="F1329" t="s">
        <v>4516</v>
      </c>
      <c r="G1329" t="s">
        <v>51</v>
      </c>
      <c r="H1329" t="s">
        <v>4925</v>
      </c>
      <c r="I1329" t="s">
        <v>53</v>
      </c>
      <c r="J1329" t="s">
        <v>2572</v>
      </c>
      <c r="K1329" t="s">
        <v>3594</v>
      </c>
      <c r="L1329" t="s">
        <v>18</v>
      </c>
      <c r="M1329" t="s">
        <v>17</v>
      </c>
      <c r="N1329">
        <v>5383</v>
      </c>
      <c r="O1329">
        <v>314</v>
      </c>
      <c r="P1329">
        <v>0</v>
      </c>
      <c r="Q1329" t="s">
        <v>5370</v>
      </c>
      <c r="R1329" t="s">
        <v>5371</v>
      </c>
      <c r="S1329" t="s">
        <v>5372</v>
      </c>
      <c r="T1329" t="s">
        <v>5373</v>
      </c>
      <c r="U1329" t="s">
        <v>60</v>
      </c>
      <c r="V1329" t="s">
        <v>61</v>
      </c>
      <c r="W1329">
        <v>10</v>
      </c>
      <c r="X1329">
        <v>0.1150625</v>
      </c>
      <c r="Y1329" t="s">
        <v>641</v>
      </c>
      <c r="Z1329" t="s">
        <v>642</v>
      </c>
      <c r="AA1329">
        <v>4</v>
      </c>
      <c r="AB1329" t="s">
        <v>4929</v>
      </c>
      <c r="AC1329" t="s">
        <v>4930</v>
      </c>
      <c r="AD1329" t="s">
        <v>4931</v>
      </c>
      <c r="AE1329" t="s">
        <v>4932</v>
      </c>
      <c r="AF1329" t="s">
        <v>4933</v>
      </c>
      <c r="AG1329" t="s">
        <v>1963</v>
      </c>
      <c r="AH1329" t="s">
        <v>1857</v>
      </c>
      <c r="AI1329" t="s">
        <v>1857</v>
      </c>
      <c r="AJ1329" t="s">
        <v>1962</v>
      </c>
      <c r="AK1329">
        <v>1</v>
      </c>
      <c r="AL1329" t="s">
        <v>5129</v>
      </c>
      <c r="AM1329" t="s">
        <v>5130</v>
      </c>
      <c r="AN1329" t="s">
        <v>5131</v>
      </c>
      <c r="AO1329" t="s">
        <v>66</v>
      </c>
      <c r="AP1329">
        <v>1</v>
      </c>
      <c r="AQ1329" t="s">
        <v>5132</v>
      </c>
      <c r="AR1329" t="s">
        <v>5133</v>
      </c>
      <c r="AS1329" t="s">
        <v>5234</v>
      </c>
      <c r="AT1329" t="s">
        <v>66</v>
      </c>
    </row>
    <row r="1330" spans="1:46" x14ac:dyDescent="0.15">
      <c r="A1330" t="s">
        <v>5374</v>
      </c>
      <c r="B1330" t="s">
        <v>4922</v>
      </c>
      <c r="C1330" t="s">
        <v>4923</v>
      </c>
      <c r="D1330">
        <v>89</v>
      </c>
      <c r="E1330" t="s">
        <v>4924</v>
      </c>
      <c r="F1330" t="s">
        <v>4516</v>
      </c>
      <c r="G1330" t="s">
        <v>51</v>
      </c>
      <c r="H1330" t="s">
        <v>4925</v>
      </c>
      <c r="I1330" t="s">
        <v>53</v>
      </c>
      <c r="J1330" t="s">
        <v>2572</v>
      </c>
      <c r="K1330" t="s">
        <v>3594</v>
      </c>
      <c r="L1330" t="s">
        <v>18</v>
      </c>
      <c r="M1330" t="s">
        <v>17</v>
      </c>
      <c r="N1330">
        <v>5439</v>
      </c>
      <c r="O1330">
        <v>317</v>
      </c>
      <c r="P1330">
        <v>0</v>
      </c>
      <c r="Q1330" t="s">
        <v>5375</v>
      </c>
      <c r="R1330" t="s">
        <v>5376</v>
      </c>
      <c r="S1330" t="s">
        <v>5377</v>
      </c>
      <c r="T1330" t="s">
        <v>5378</v>
      </c>
      <c r="U1330" t="s">
        <v>60</v>
      </c>
      <c r="V1330" t="s">
        <v>61</v>
      </c>
      <c r="W1330">
        <v>10</v>
      </c>
      <c r="X1330">
        <v>0.1150625</v>
      </c>
      <c r="Y1330" t="s">
        <v>356</v>
      </c>
      <c r="Z1330" t="s">
        <v>648</v>
      </c>
      <c r="AA1330">
        <v>4</v>
      </c>
      <c r="AB1330" t="s">
        <v>4929</v>
      </c>
      <c r="AC1330" t="s">
        <v>4930</v>
      </c>
      <c r="AD1330" t="s">
        <v>4931</v>
      </c>
      <c r="AE1330" t="s">
        <v>4932</v>
      </c>
      <c r="AF1330" t="s">
        <v>4933</v>
      </c>
      <c r="AG1330" t="s">
        <v>1963</v>
      </c>
      <c r="AH1330" t="s">
        <v>1857</v>
      </c>
      <c r="AI1330" t="s">
        <v>1857</v>
      </c>
      <c r="AJ1330" t="s">
        <v>1962</v>
      </c>
      <c r="AK1330">
        <v>1</v>
      </c>
      <c r="AL1330" t="s">
        <v>5129</v>
      </c>
      <c r="AM1330" t="s">
        <v>5130</v>
      </c>
      <c r="AN1330" t="s">
        <v>5131</v>
      </c>
      <c r="AO1330" t="s">
        <v>66</v>
      </c>
      <c r="AP1330">
        <v>1</v>
      </c>
      <c r="AQ1330" t="s">
        <v>5132</v>
      </c>
      <c r="AR1330" t="s">
        <v>5133</v>
      </c>
      <c r="AS1330" t="s">
        <v>5234</v>
      </c>
      <c r="AT1330" t="s">
        <v>66</v>
      </c>
    </row>
    <row r="1331" spans="1:46" x14ac:dyDescent="0.15">
      <c r="A1331" t="s">
        <v>5379</v>
      </c>
      <c r="B1331" t="s">
        <v>4922</v>
      </c>
      <c r="C1331" t="s">
        <v>4923</v>
      </c>
      <c r="D1331">
        <v>90</v>
      </c>
      <c r="E1331" t="s">
        <v>4924</v>
      </c>
      <c r="F1331" t="s">
        <v>4516</v>
      </c>
      <c r="G1331" t="s">
        <v>51</v>
      </c>
      <c r="H1331" t="s">
        <v>4925</v>
      </c>
      <c r="I1331" t="s">
        <v>53</v>
      </c>
      <c r="J1331" t="s">
        <v>2572</v>
      </c>
      <c r="K1331" t="s">
        <v>3594</v>
      </c>
      <c r="L1331" t="s">
        <v>18</v>
      </c>
      <c r="M1331" t="s">
        <v>17</v>
      </c>
      <c r="N1331">
        <v>5495</v>
      </c>
      <c r="O1331">
        <v>321</v>
      </c>
      <c r="P1331">
        <v>0</v>
      </c>
      <c r="Q1331" t="s">
        <v>5380</v>
      </c>
      <c r="R1331" t="s">
        <v>5381</v>
      </c>
      <c r="S1331" t="s">
        <v>5382</v>
      </c>
      <c r="T1331" t="s">
        <v>5383</v>
      </c>
      <c r="U1331" t="s">
        <v>60</v>
      </c>
      <c r="V1331" t="s">
        <v>61</v>
      </c>
      <c r="W1331">
        <v>10</v>
      </c>
      <c r="X1331">
        <v>0.1150625</v>
      </c>
      <c r="Y1331" t="s">
        <v>654</v>
      </c>
      <c r="Z1331" t="s">
        <v>655</v>
      </c>
      <c r="AA1331">
        <v>4</v>
      </c>
      <c r="AB1331" t="s">
        <v>4929</v>
      </c>
      <c r="AC1331" t="s">
        <v>4930</v>
      </c>
      <c r="AD1331" t="s">
        <v>4931</v>
      </c>
      <c r="AE1331" t="s">
        <v>4932</v>
      </c>
      <c r="AF1331" t="s">
        <v>4933</v>
      </c>
      <c r="AG1331" t="s">
        <v>1963</v>
      </c>
      <c r="AH1331" t="s">
        <v>1857</v>
      </c>
      <c r="AI1331" t="s">
        <v>1857</v>
      </c>
      <c r="AJ1331" t="s">
        <v>1962</v>
      </c>
      <c r="AK1331">
        <v>1</v>
      </c>
      <c r="AL1331" t="s">
        <v>5129</v>
      </c>
      <c r="AM1331" t="s">
        <v>5130</v>
      </c>
      <c r="AN1331" t="s">
        <v>5131</v>
      </c>
      <c r="AO1331" t="s">
        <v>66</v>
      </c>
      <c r="AP1331">
        <v>1</v>
      </c>
      <c r="AQ1331" t="s">
        <v>5132</v>
      </c>
      <c r="AR1331" t="s">
        <v>5133</v>
      </c>
      <c r="AS1331" t="s">
        <v>5234</v>
      </c>
      <c r="AT1331" t="s">
        <v>66</v>
      </c>
    </row>
    <row r="1332" spans="1:46" x14ac:dyDescent="0.15">
      <c r="A1332" t="s">
        <v>5384</v>
      </c>
      <c r="B1332" t="s">
        <v>4922</v>
      </c>
      <c r="C1332" t="s">
        <v>4923</v>
      </c>
      <c r="D1332">
        <v>91</v>
      </c>
      <c r="E1332" t="s">
        <v>4924</v>
      </c>
      <c r="F1332" t="s">
        <v>4516</v>
      </c>
      <c r="G1332" t="s">
        <v>51</v>
      </c>
      <c r="H1332" t="s">
        <v>4925</v>
      </c>
      <c r="I1332" t="s">
        <v>53</v>
      </c>
      <c r="J1332" t="s">
        <v>2572</v>
      </c>
      <c r="K1332" t="s">
        <v>3594</v>
      </c>
      <c r="L1332" t="s">
        <v>18</v>
      </c>
      <c r="M1332" t="s">
        <v>17</v>
      </c>
      <c r="N1332">
        <v>5551</v>
      </c>
      <c r="O1332">
        <v>324</v>
      </c>
      <c r="P1332">
        <v>0</v>
      </c>
      <c r="Q1332" t="s">
        <v>5385</v>
      </c>
      <c r="R1332" t="s">
        <v>5386</v>
      </c>
      <c r="S1332" t="s">
        <v>5387</v>
      </c>
      <c r="T1332" t="s">
        <v>5388</v>
      </c>
      <c r="U1332" t="s">
        <v>60</v>
      </c>
      <c r="V1332" t="s">
        <v>61</v>
      </c>
      <c r="W1332">
        <v>10</v>
      </c>
      <c r="X1332">
        <v>0.1150625</v>
      </c>
      <c r="Y1332" t="s">
        <v>363</v>
      </c>
      <c r="Z1332" t="s">
        <v>661</v>
      </c>
      <c r="AA1332">
        <v>4</v>
      </c>
      <c r="AB1332" t="s">
        <v>4929</v>
      </c>
      <c r="AC1332" t="s">
        <v>4930</v>
      </c>
      <c r="AD1332" t="s">
        <v>4931</v>
      </c>
      <c r="AE1332" t="s">
        <v>4932</v>
      </c>
      <c r="AF1332" t="s">
        <v>4933</v>
      </c>
      <c r="AG1332" t="s">
        <v>1963</v>
      </c>
      <c r="AH1332" t="s">
        <v>1857</v>
      </c>
      <c r="AI1332" t="s">
        <v>1857</v>
      </c>
      <c r="AJ1332" t="s">
        <v>1962</v>
      </c>
      <c r="AK1332">
        <v>1</v>
      </c>
      <c r="AL1332" t="s">
        <v>5129</v>
      </c>
      <c r="AM1332" t="s">
        <v>5130</v>
      </c>
      <c r="AN1332" t="s">
        <v>5131</v>
      </c>
      <c r="AO1332" t="s">
        <v>66</v>
      </c>
      <c r="AP1332">
        <v>1</v>
      </c>
      <c r="AQ1332" t="s">
        <v>5132</v>
      </c>
      <c r="AR1332" t="s">
        <v>5133</v>
      </c>
      <c r="AS1332" t="s">
        <v>5234</v>
      </c>
      <c r="AT1332" t="s">
        <v>66</v>
      </c>
    </row>
    <row r="1333" spans="1:46" x14ac:dyDescent="0.15">
      <c r="A1333" t="s">
        <v>5389</v>
      </c>
      <c r="B1333" t="s">
        <v>4922</v>
      </c>
      <c r="C1333" t="s">
        <v>4923</v>
      </c>
      <c r="D1333">
        <v>92</v>
      </c>
      <c r="E1333" t="s">
        <v>4924</v>
      </c>
      <c r="F1333" t="s">
        <v>4516</v>
      </c>
      <c r="G1333" t="s">
        <v>51</v>
      </c>
      <c r="H1333" t="s">
        <v>4925</v>
      </c>
      <c r="I1333" t="s">
        <v>53</v>
      </c>
      <c r="J1333" t="s">
        <v>2572</v>
      </c>
      <c r="K1333" t="s">
        <v>3594</v>
      </c>
      <c r="L1333" t="s">
        <v>18</v>
      </c>
      <c r="M1333" t="s">
        <v>17</v>
      </c>
      <c r="N1333">
        <v>5607</v>
      </c>
      <c r="O1333">
        <v>327</v>
      </c>
      <c r="P1333">
        <v>0</v>
      </c>
      <c r="Q1333" t="s">
        <v>5390</v>
      </c>
      <c r="R1333" t="s">
        <v>5391</v>
      </c>
      <c r="S1333" t="s">
        <v>5392</v>
      </c>
      <c r="T1333" t="s">
        <v>5393</v>
      </c>
      <c r="U1333" t="s">
        <v>60</v>
      </c>
      <c r="V1333" t="s">
        <v>61</v>
      </c>
      <c r="W1333">
        <v>10</v>
      </c>
      <c r="X1333">
        <v>0.1150625</v>
      </c>
      <c r="Y1333" t="s">
        <v>667</v>
      </c>
      <c r="Z1333" t="s">
        <v>668</v>
      </c>
      <c r="AA1333">
        <v>4</v>
      </c>
      <c r="AB1333" t="s">
        <v>4929</v>
      </c>
      <c r="AC1333" t="s">
        <v>4930</v>
      </c>
      <c r="AD1333" t="s">
        <v>4931</v>
      </c>
      <c r="AE1333" t="s">
        <v>4932</v>
      </c>
      <c r="AF1333" t="s">
        <v>4933</v>
      </c>
      <c r="AG1333" t="s">
        <v>1963</v>
      </c>
      <c r="AH1333" t="s">
        <v>1857</v>
      </c>
      <c r="AI1333" t="s">
        <v>1857</v>
      </c>
      <c r="AJ1333" t="s">
        <v>1962</v>
      </c>
      <c r="AK1333">
        <v>1</v>
      </c>
      <c r="AL1333" t="s">
        <v>5129</v>
      </c>
      <c r="AM1333" t="s">
        <v>5130</v>
      </c>
      <c r="AN1333" t="s">
        <v>5131</v>
      </c>
      <c r="AO1333" t="s">
        <v>66</v>
      </c>
      <c r="AP1333">
        <v>1</v>
      </c>
      <c r="AQ1333" t="s">
        <v>5132</v>
      </c>
      <c r="AR1333" t="s">
        <v>5133</v>
      </c>
      <c r="AS1333" t="s">
        <v>5234</v>
      </c>
      <c r="AT1333" t="s">
        <v>66</v>
      </c>
    </row>
    <row r="1334" spans="1:46" x14ac:dyDescent="0.15">
      <c r="A1334" t="s">
        <v>5394</v>
      </c>
      <c r="B1334" t="s">
        <v>4922</v>
      </c>
      <c r="C1334" t="s">
        <v>4923</v>
      </c>
      <c r="D1334">
        <v>93</v>
      </c>
      <c r="E1334" t="s">
        <v>4924</v>
      </c>
      <c r="F1334" t="s">
        <v>4516</v>
      </c>
      <c r="G1334" t="s">
        <v>51</v>
      </c>
      <c r="H1334" t="s">
        <v>4925</v>
      </c>
      <c r="I1334" t="s">
        <v>53</v>
      </c>
      <c r="J1334" t="s">
        <v>2572</v>
      </c>
      <c r="K1334" t="s">
        <v>3594</v>
      </c>
      <c r="L1334" t="s">
        <v>18</v>
      </c>
      <c r="M1334" t="s">
        <v>17</v>
      </c>
      <c r="N1334">
        <v>5663</v>
      </c>
      <c r="O1334">
        <v>330</v>
      </c>
      <c r="P1334">
        <v>0</v>
      </c>
      <c r="Q1334" t="s">
        <v>5395</v>
      </c>
      <c r="R1334" t="s">
        <v>5396</v>
      </c>
      <c r="S1334" t="s">
        <v>5397</v>
      </c>
      <c r="T1334" t="s">
        <v>5398</v>
      </c>
      <c r="U1334" t="s">
        <v>60</v>
      </c>
      <c r="V1334" t="s">
        <v>61</v>
      </c>
      <c r="W1334">
        <v>10</v>
      </c>
      <c r="X1334">
        <v>0.1150625</v>
      </c>
      <c r="Y1334" t="s">
        <v>369</v>
      </c>
      <c r="Z1334" t="s">
        <v>674</v>
      </c>
      <c r="AA1334">
        <v>4</v>
      </c>
      <c r="AB1334" t="s">
        <v>4929</v>
      </c>
      <c r="AC1334" t="s">
        <v>4930</v>
      </c>
      <c r="AD1334" t="s">
        <v>4931</v>
      </c>
      <c r="AE1334" t="s">
        <v>4932</v>
      </c>
      <c r="AF1334" t="s">
        <v>4933</v>
      </c>
      <c r="AG1334" t="s">
        <v>1963</v>
      </c>
      <c r="AH1334" t="s">
        <v>1857</v>
      </c>
      <c r="AI1334" t="s">
        <v>1857</v>
      </c>
      <c r="AJ1334" t="s">
        <v>1962</v>
      </c>
      <c r="AK1334">
        <v>1</v>
      </c>
      <c r="AL1334" t="s">
        <v>5129</v>
      </c>
      <c r="AM1334" t="s">
        <v>5130</v>
      </c>
      <c r="AN1334" t="s">
        <v>5131</v>
      </c>
      <c r="AO1334" t="s">
        <v>66</v>
      </c>
      <c r="AP1334">
        <v>1</v>
      </c>
      <c r="AQ1334" t="s">
        <v>5132</v>
      </c>
      <c r="AR1334" t="s">
        <v>5133</v>
      </c>
      <c r="AS1334" t="s">
        <v>5234</v>
      </c>
      <c r="AT1334" t="s">
        <v>66</v>
      </c>
    </row>
    <row r="1335" spans="1:46" x14ac:dyDescent="0.15">
      <c r="A1335" t="s">
        <v>5399</v>
      </c>
      <c r="B1335" t="s">
        <v>4922</v>
      </c>
      <c r="C1335" t="s">
        <v>4923</v>
      </c>
      <c r="D1335">
        <v>94</v>
      </c>
      <c r="E1335" t="s">
        <v>4924</v>
      </c>
      <c r="F1335" t="s">
        <v>4516</v>
      </c>
      <c r="G1335" t="s">
        <v>51</v>
      </c>
      <c r="H1335" t="s">
        <v>4925</v>
      </c>
      <c r="I1335" t="s">
        <v>53</v>
      </c>
      <c r="J1335" t="s">
        <v>2572</v>
      </c>
      <c r="K1335" t="s">
        <v>3594</v>
      </c>
      <c r="L1335" t="s">
        <v>18</v>
      </c>
      <c r="M1335" t="s">
        <v>17</v>
      </c>
      <c r="N1335">
        <v>5719</v>
      </c>
      <c r="O1335">
        <v>334</v>
      </c>
      <c r="P1335">
        <v>0</v>
      </c>
      <c r="Q1335" t="s">
        <v>5400</v>
      </c>
      <c r="R1335" t="s">
        <v>5401</v>
      </c>
      <c r="S1335" t="s">
        <v>5402</v>
      </c>
      <c r="T1335" t="s">
        <v>5403</v>
      </c>
      <c r="U1335" t="s">
        <v>60</v>
      </c>
      <c r="V1335" t="s">
        <v>61</v>
      </c>
      <c r="W1335">
        <v>10</v>
      </c>
      <c r="X1335">
        <v>0.1150625</v>
      </c>
      <c r="Y1335" t="s">
        <v>680</v>
      </c>
      <c r="Z1335" t="s">
        <v>681</v>
      </c>
      <c r="AA1335">
        <v>4</v>
      </c>
      <c r="AB1335" t="s">
        <v>4929</v>
      </c>
      <c r="AC1335" t="s">
        <v>4930</v>
      </c>
      <c r="AD1335" t="s">
        <v>4931</v>
      </c>
      <c r="AE1335" t="s">
        <v>4932</v>
      </c>
      <c r="AF1335" t="s">
        <v>4933</v>
      </c>
      <c r="AG1335" t="s">
        <v>1963</v>
      </c>
      <c r="AH1335" t="s">
        <v>1857</v>
      </c>
      <c r="AI1335" t="s">
        <v>1857</v>
      </c>
      <c r="AJ1335" t="s">
        <v>1962</v>
      </c>
      <c r="AK1335">
        <v>1</v>
      </c>
      <c r="AL1335" t="s">
        <v>5129</v>
      </c>
      <c r="AM1335" t="s">
        <v>5130</v>
      </c>
      <c r="AN1335" t="s">
        <v>5131</v>
      </c>
      <c r="AO1335" t="s">
        <v>66</v>
      </c>
      <c r="AP1335">
        <v>1</v>
      </c>
      <c r="AQ1335" t="s">
        <v>5132</v>
      </c>
      <c r="AR1335" t="s">
        <v>5133</v>
      </c>
      <c r="AS1335" t="s">
        <v>5234</v>
      </c>
      <c r="AT1335" t="s">
        <v>66</v>
      </c>
    </row>
    <row r="1336" spans="1:46" x14ac:dyDescent="0.15">
      <c r="A1336" t="s">
        <v>5404</v>
      </c>
      <c r="B1336" t="s">
        <v>4922</v>
      </c>
      <c r="C1336" t="s">
        <v>4923</v>
      </c>
      <c r="D1336">
        <v>95</v>
      </c>
      <c r="E1336" t="s">
        <v>4924</v>
      </c>
      <c r="F1336" t="s">
        <v>4516</v>
      </c>
      <c r="G1336" t="s">
        <v>51</v>
      </c>
      <c r="H1336" t="s">
        <v>4925</v>
      </c>
      <c r="I1336" t="s">
        <v>53</v>
      </c>
      <c r="J1336" t="s">
        <v>2572</v>
      </c>
      <c r="K1336" t="s">
        <v>3594</v>
      </c>
      <c r="L1336" t="s">
        <v>18</v>
      </c>
      <c r="M1336" t="s">
        <v>17</v>
      </c>
      <c r="N1336">
        <v>5776</v>
      </c>
      <c r="O1336">
        <v>337</v>
      </c>
      <c r="P1336">
        <v>0</v>
      </c>
      <c r="Q1336" t="s">
        <v>5405</v>
      </c>
      <c r="R1336" t="s">
        <v>5406</v>
      </c>
      <c r="S1336" t="s">
        <v>5407</v>
      </c>
      <c r="T1336" t="s">
        <v>5408</v>
      </c>
      <c r="U1336" t="s">
        <v>60</v>
      </c>
      <c r="V1336" t="s">
        <v>61</v>
      </c>
      <c r="W1336">
        <v>10</v>
      </c>
      <c r="X1336">
        <v>0.1150625</v>
      </c>
      <c r="Y1336" t="s">
        <v>376</v>
      </c>
      <c r="Z1336" t="s">
        <v>687</v>
      </c>
      <c r="AA1336">
        <v>4</v>
      </c>
      <c r="AB1336" t="s">
        <v>4929</v>
      </c>
      <c r="AC1336" t="s">
        <v>4930</v>
      </c>
      <c r="AD1336" t="s">
        <v>4931</v>
      </c>
      <c r="AE1336" t="s">
        <v>4932</v>
      </c>
      <c r="AF1336" t="s">
        <v>4933</v>
      </c>
      <c r="AG1336" t="s">
        <v>1963</v>
      </c>
      <c r="AH1336" t="s">
        <v>1857</v>
      </c>
      <c r="AI1336" t="s">
        <v>1857</v>
      </c>
      <c r="AJ1336" t="s">
        <v>1962</v>
      </c>
      <c r="AK1336">
        <v>1</v>
      </c>
      <c r="AL1336" t="s">
        <v>5129</v>
      </c>
      <c r="AM1336" t="s">
        <v>5130</v>
      </c>
      <c r="AN1336" t="s">
        <v>5131</v>
      </c>
      <c r="AO1336" t="s">
        <v>66</v>
      </c>
      <c r="AP1336">
        <v>1</v>
      </c>
      <c r="AQ1336" t="s">
        <v>5132</v>
      </c>
      <c r="AR1336" t="s">
        <v>5133</v>
      </c>
      <c r="AS1336" t="s">
        <v>5234</v>
      </c>
      <c r="AT1336" t="s">
        <v>66</v>
      </c>
    </row>
    <row r="1337" spans="1:46" x14ac:dyDescent="0.15">
      <c r="A1337" t="s">
        <v>5409</v>
      </c>
      <c r="B1337" t="s">
        <v>4922</v>
      </c>
      <c r="C1337" t="s">
        <v>4923</v>
      </c>
      <c r="D1337">
        <v>96</v>
      </c>
      <c r="E1337" t="s">
        <v>4924</v>
      </c>
      <c r="F1337" t="s">
        <v>4516</v>
      </c>
      <c r="G1337" t="s">
        <v>51</v>
      </c>
      <c r="H1337" t="s">
        <v>4925</v>
      </c>
      <c r="I1337" t="s">
        <v>53</v>
      </c>
      <c r="J1337" t="s">
        <v>2572</v>
      </c>
      <c r="K1337" t="s">
        <v>3594</v>
      </c>
      <c r="L1337" t="s">
        <v>18</v>
      </c>
      <c r="M1337" t="s">
        <v>17</v>
      </c>
      <c r="N1337">
        <v>5832</v>
      </c>
      <c r="O1337">
        <v>340</v>
      </c>
      <c r="P1337">
        <v>0</v>
      </c>
      <c r="Q1337" t="s">
        <v>5410</v>
      </c>
      <c r="R1337" t="s">
        <v>5411</v>
      </c>
      <c r="S1337" t="s">
        <v>5412</v>
      </c>
      <c r="T1337" t="s">
        <v>5413</v>
      </c>
      <c r="U1337" t="s">
        <v>60</v>
      </c>
      <c r="V1337" t="s">
        <v>61</v>
      </c>
      <c r="W1337">
        <v>10</v>
      </c>
      <c r="X1337">
        <v>0.1150625</v>
      </c>
      <c r="Y1337" t="s">
        <v>693</v>
      </c>
      <c r="Z1337" t="s">
        <v>694</v>
      </c>
      <c r="AA1337">
        <v>4</v>
      </c>
      <c r="AB1337" t="s">
        <v>4929</v>
      </c>
      <c r="AC1337" t="s">
        <v>4930</v>
      </c>
      <c r="AD1337" t="s">
        <v>4931</v>
      </c>
      <c r="AE1337" t="s">
        <v>4932</v>
      </c>
      <c r="AF1337" t="s">
        <v>4933</v>
      </c>
      <c r="AG1337" t="s">
        <v>1963</v>
      </c>
      <c r="AH1337" t="s">
        <v>1857</v>
      </c>
      <c r="AI1337" t="s">
        <v>1857</v>
      </c>
      <c r="AJ1337" t="s">
        <v>1962</v>
      </c>
      <c r="AK1337">
        <v>1</v>
      </c>
      <c r="AL1337" t="s">
        <v>5129</v>
      </c>
      <c r="AM1337" t="s">
        <v>5130</v>
      </c>
      <c r="AN1337" t="s">
        <v>5131</v>
      </c>
      <c r="AO1337" t="s">
        <v>66</v>
      </c>
      <c r="AP1337">
        <v>1</v>
      </c>
      <c r="AQ1337" t="s">
        <v>5132</v>
      </c>
      <c r="AR1337" t="s">
        <v>5133</v>
      </c>
      <c r="AS1337" t="s">
        <v>5234</v>
      </c>
      <c r="AT1337" t="s">
        <v>66</v>
      </c>
    </row>
    <row r="1338" spans="1:46" x14ac:dyDescent="0.15">
      <c r="A1338" t="s">
        <v>5414</v>
      </c>
      <c r="B1338" t="s">
        <v>4922</v>
      </c>
      <c r="C1338" t="s">
        <v>4923</v>
      </c>
      <c r="D1338">
        <v>97</v>
      </c>
      <c r="E1338" t="s">
        <v>4924</v>
      </c>
      <c r="F1338" t="s">
        <v>4516</v>
      </c>
      <c r="G1338" t="s">
        <v>51</v>
      </c>
      <c r="H1338" t="s">
        <v>4925</v>
      </c>
      <c r="I1338" t="s">
        <v>53</v>
      </c>
      <c r="J1338" t="s">
        <v>2572</v>
      </c>
      <c r="K1338" t="s">
        <v>3594</v>
      </c>
      <c r="L1338" t="s">
        <v>18</v>
      </c>
      <c r="M1338" t="s">
        <v>17</v>
      </c>
      <c r="N1338">
        <v>5888</v>
      </c>
      <c r="O1338">
        <v>343</v>
      </c>
      <c r="P1338">
        <v>0</v>
      </c>
      <c r="Q1338" t="s">
        <v>5415</v>
      </c>
      <c r="R1338" t="s">
        <v>5416</v>
      </c>
      <c r="S1338" t="s">
        <v>5417</v>
      </c>
      <c r="T1338" t="s">
        <v>5418</v>
      </c>
      <c r="U1338" t="s">
        <v>60</v>
      </c>
      <c r="V1338" t="s">
        <v>61</v>
      </c>
      <c r="W1338">
        <v>10</v>
      </c>
      <c r="X1338">
        <v>0.1150625</v>
      </c>
      <c r="Y1338" t="s">
        <v>382</v>
      </c>
      <c r="Z1338" t="s">
        <v>700</v>
      </c>
      <c r="AA1338">
        <v>4</v>
      </c>
      <c r="AB1338" t="s">
        <v>4929</v>
      </c>
      <c r="AC1338" t="s">
        <v>4930</v>
      </c>
      <c r="AD1338" t="s">
        <v>4931</v>
      </c>
      <c r="AE1338" t="s">
        <v>4932</v>
      </c>
      <c r="AF1338" t="s">
        <v>4933</v>
      </c>
      <c r="AG1338" t="s">
        <v>1963</v>
      </c>
      <c r="AH1338" t="s">
        <v>1857</v>
      </c>
      <c r="AI1338" t="s">
        <v>1857</v>
      </c>
      <c r="AJ1338" t="s">
        <v>1962</v>
      </c>
      <c r="AK1338">
        <v>1</v>
      </c>
      <c r="AL1338" t="s">
        <v>5129</v>
      </c>
      <c r="AM1338" t="s">
        <v>5130</v>
      </c>
      <c r="AN1338" t="s">
        <v>5131</v>
      </c>
      <c r="AO1338" t="s">
        <v>66</v>
      </c>
      <c r="AP1338">
        <v>1</v>
      </c>
      <c r="AQ1338" t="s">
        <v>5132</v>
      </c>
      <c r="AR1338" t="s">
        <v>5133</v>
      </c>
      <c r="AS1338" t="s">
        <v>5234</v>
      </c>
      <c r="AT1338" t="s">
        <v>66</v>
      </c>
    </row>
    <row r="1339" spans="1:46" x14ac:dyDescent="0.15">
      <c r="A1339" t="s">
        <v>5419</v>
      </c>
      <c r="B1339" t="s">
        <v>4922</v>
      </c>
      <c r="C1339" t="s">
        <v>4923</v>
      </c>
      <c r="D1339">
        <v>98</v>
      </c>
      <c r="E1339" t="s">
        <v>4924</v>
      </c>
      <c r="F1339" t="s">
        <v>4516</v>
      </c>
      <c r="G1339" t="s">
        <v>51</v>
      </c>
      <c r="H1339" t="s">
        <v>4925</v>
      </c>
      <c r="I1339" t="s">
        <v>53</v>
      </c>
      <c r="J1339" t="s">
        <v>2572</v>
      </c>
      <c r="K1339" t="s">
        <v>3594</v>
      </c>
      <c r="L1339" t="s">
        <v>18</v>
      </c>
      <c r="M1339" t="s">
        <v>17</v>
      </c>
      <c r="N1339">
        <v>5944</v>
      </c>
      <c r="O1339">
        <v>347</v>
      </c>
      <c r="P1339">
        <v>0</v>
      </c>
      <c r="Q1339" t="s">
        <v>5420</v>
      </c>
      <c r="R1339" t="s">
        <v>5421</v>
      </c>
      <c r="S1339" t="s">
        <v>5422</v>
      </c>
      <c r="T1339" t="s">
        <v>5423</v>
      </c>
      <c r="U1339" t="s">
        <v>60</v>
      </c>
      <c r="V1339" t="s">
        <v>61</v>
      </c>
      <c r="W1339">
        <v>10</v>
      </c>
      <c r="X1339">
        <v>0.1150625</v>
      </c>
      <c r="Y1339" t="s">
        <v>706</v>
      </c>
      <c r="Z1339" t="s">
        <v>707</v>
      </c>
      <c r="AA1339">
        <v>4</v>
      </c>
      <c r="AB1339" t="s">
        <v>4929</v>
      </c>
      <c r="AC1339" t="s">
        <v>4930</v>
      </c>
      <c r="AD1339" t="s">
        <v>4931</v>
      </c>
      <c r="AE1339" t="s">
        <v>4932</v>
      </c>
      <c r="AF1339" t="s">
        <v>4933</v>
      </c>
      <c r="AG1339" t="s">
        <v>1963</v>
      </c>
      <c r="AH1339" t="s">
        <v>1857</v>
      </c>
      <c r="AI1339" t="s">
        <v>1857</v>
      </c>
      <c r="AJ1339" t="s">
        <v>1962</v>
      </c>
      <c r="AK1339">
        <v>1</v>
      </c>
      <c r="AL1339" t="s">
        <v>5129</v>
      </c>
      <c r="AM1339" t="s">
        <v>5130</v>
      </c>
      <c r="AN1339" t="s">
        <v>5131</v>
      </c>
      <c r="AO1339" t="s">
        <v>66</v>
      </c>
      <c r="AP1339">
        <v>1</v>
      </c>
      <c r="AQ1339" t="s">
        <v>5132</v>
      </c>
      <c r="AR1339" t="s">
        <v>5133</v>
      </c>
      <c r="AS1339" t="s">
        <v>5234</v>
      </c>
      <c r="AT1339" t="s">
        <v>66</v>
      </c>
    </row>
    <row r="1340" spans="1:46" x14ac:dyDescent="0.15">
      <c r="A1340" t="s">
        <v>5424</v>
      </c>
      <c r="B1340" t="s">
        <v>4922</v>
      </c>
      <c r="C1340" t="s">
        <v>4923</v>
      </c>
      <c r="D1340">
        <v>99</v>
      </c>
      <c r="E1340" t="s">
        <v>4924</v>
      </c>
      <c r="F1340" t="s">
        <v>4516</v>
      </c>
      <c r="G1340" t="s">
        <v>51</v>
      </c>
      <c r="H1340" t="s">
        <v>4925</v>
      </c>
      <c r="I1340" t="s">
        <v>53</v>
      </c>
      <c r="J1340" t="s">
        <v>2572</v>
      </c>
      <c r="K1340" t="s">
        <v>3594</v>
      </c>
      <c r="L1340" t="s">
        <v>18</v>
      </c>
      <c r="M1340" t="s">
        <v>17</v>
      </c>
      <c r="N1340">
        <v>6000</v>
      </c>
      <c r="O1340">
        <v>350</v>
      </c>
      <c r="P1340">
        <v>0</v>
      </c>
      <c r="Q1340" t="s">
        <v>5425</v>
      </c>
      <c r="R1340" t="s">
        <v>5426</v>
      </c>
      <c r="S1340" t="s">
        <v>1128</v>
      </c>
      <c r="T1340" t="s">
        <v>5427</v>
      </c>
      <c r="U1340" t="s">
        <v>60</v>
      </c>
      <c r="V1340" t="s">
        <v>61</v>
      </c>
      <c r="W1340">
        <v>10</v>
      </c>
      <c r="X1340">
        <v>0.1150625</v>
      </c>
      <c r="Y1340" t="s">
        <v>389</v>
      </c>
      <c r="Z1340" t="s">
        <v>713</v>
      </c>
      <c r="AA1340">
        <v>4</v>
      </c>
      <c r="AB1340" t="s">
        <v>4929</v>
      </c>
      <c r="AC1340" t="s">
        <v>4930</v>
      </c>
      <c r="AD1340" t="s">
        <v>4931</v>
      </c>
      <c r="AE1340" t="s">
        <v>4932</v>
      </c>
      <c r="AF1340" t="s">
        <v>4933</v>
      </c>
      <c r="AG1340" t="s">
        <v>1963</v>
      </c>
      <c r="AH1340" t="s">
        <v>1857</v>
      </c>
      <c r="AI1340" t="s">
        <v>1857</v>
      </c>
      <c r="AJ1340" t="s">
        <v>1962</v>
      </c>
      <c r="AK1340">
        <v>1</v>
      </c>
      <c r="AL1340" t="s">
        <v>5129</v>
      </c>
      <c r="AM1340" t="s">
        <v>5130</v>
      </c>
      <c r="AN1340" t="s">
        <v>5131</v>
      </c>
      <c r="AO1340" t="s">
        <v>66</v>
      </c>
      <c r="AP1340">
        <v>1</v>
      </c>
      <c r="AQ1340" t="s">
        <v>5132</v>
      </c>
      <c r="AR1340" t="s">
        <v>5133</v>
      </c>
      <c r="AS1340" t="s">
        <v>5234</v>
      </c>
      <c r="AT1340" t="s">
        <v>66</v>
      </c>
    </row>
    <row r="1341" spans="1:46" x14ac:dyDescent="0.15">
      <c r="A1341" t="s">
        <v>5428</v>
      </c>
      <c r="B1341" t="s">
        <v>5429</v>
      </c>
      <c r="C1341" t="s">
        <v>5430</v>
      </c>
      <c r="D1341">
        <v>1</v>
      </c>
      <c r="E1341" t="s">
        <v>5431</v>
      </c>
      <c r="F1341" t="s">
        <v>3592</v>
      </c>
      <c r="G1341" t="s">
        <v>51</v>
      </c>
      <c r="H1341" t="s">
        <v>5432</v>
      </c>
      <c r="I1341" t="s">
        <v>720</v>
      </c>
      <c r="J1341" t="s">
        <v>1554</v>
      </c>
      <c r="K1341" t="s">
        <v>1555</v>
      </c>
      <c r="L1341" t="s">
        <v>18</v>
      </c>
      <c r="M1341" t="s">
        <v>16</v>
      </c>
      <c r="N1341">
        <v>500</v>
      </c>
      <c r="O1341">
        <v>30</v>
      </c>
      <c r="P1341">
        <v>0</v>
      </c>
      <c r="Q1341" t="s">
        <v>3596</v>
      </c>
      <c r="R1341" t="s">
        <v>1557</v>
      </c>
      <c r="S1341" t="s">
        <v>5433</v>
      </c>
      <c r="T1341" t="s">
        <v>58</v>
      </c>
      <c r="U1341" t="s">
        <v>60</v>
      </c>
      <c r="V1341" t="s">
        <v>61</v>
      </c>
      <c r="W1341">
        <v>10</v>
      </c>
      <c r="X1341">
        <v>0.13125000000000001</v>
      </c>
      <c r="Y1341" t="s">
        <v>62</v>
      </c>
      <c r="Z1341" t="s">
        <v>62</v>
      </c>
      <c r="AA1341">
        <v>0</v>
      </c>
      <c r="AB1341" t="s">
        <v>5434</v>
      </c>
      <c r="AC1341" t="s">
        <v>5435</v>
      </c>
      <c r="AD1341" t="s">
        <v>5436</v>
      </c>
      <c r="AE1341" t="s">
        <v>5437</v>
      </c>
      <c r="AF1341" t="s">
        <v>5438</v>
      </c>
      <c r="AG1341" t="s">
        <v>66</v>
      </c>
      <c r="AH1341" t="s">
        <v>66</v>
      </c>
      <c r="AI1341" t="s">
        <v>66</v>
      </c>
      <c r="AJ1341" t="s">
        <v>66</v>
      </c>
      <c r="AK1341">
        <v>1</v>
      </c>
      <c r="AL1341" t="s">
        <v>66</v>
      </c>
      <c r="AM1341" t="s">
        <v>66</v>
      </c>
      <c r="AN1341" t="s">
        <v>66</v>
      </c>
      <c r="AO1341" t="s">
        <v>66</v>
      </c>
      <c r="AP1341">
        <v>1</v>
      </c>
      <c r="AQ1341" t="s">
        <v>66</v>
      </c>
      <c r="AR1341" t="s">
        <v>66</v>
      </c>
      <c r="AS1341" t="s">
        <v>66</v>
      </c>
      <c r="AT1341" t="s">
        <v>66</v>
      </c>
    </row>
    <row r="1342" spans="1:46" x14ac:dyDescent="0.15">
      <c r="A1342" t="s">
        <v>5439</v>
      </c>
      <c r="B1342" t="s">
        <v>5429</v>
      </c>
      <c r="C1342" t="s">
        <v>5430</v>
      </c>
      <c r="D1342">
        <v>2</v>
      </c>
      <c r="E1342" t="s">
        <v>5431</v>
      </c>
      <c r="F1342" t="s">
        <v>3592</v>
      </c>
      <c r="G1342" t="s">
        <v>51</v>
      </c>
      <c r="H1342" t="s">
        <v>5432</v>
      </c>
      <c r="I1342" t="s">
        <v>720</v>
      </c>
      <c r="J1342" t="s">
        <v>1554</v>
      </c>
      <c r="K1342" t="s">
        <v>1555</v>
      </c>
      <c r="L1342" t="s">
        <v>18</v>
      </c>
      <c r="M1342" t="s">
        <v>16</v>
      </c>
      <c r="N1342">
        <v>556</v>
      </c>
      <c r="O1342">
        <v>33</v>
      </c>
      <c r="P1342">
        <v>0</v>
      </c>
      <c r="Q1342" t="s">
        <v>5440</v>
      </c>
      <c r="R1342" t="s">
        <v>5441</v>
      </c>
      <c r="S1342" t="s">
        <v>5442</v>
      </c>
      <c r="T1342" t="s">
        <v>5443</v>
      </c>
      <c r="U1342" t="s">
        <v>60</v>
      </c>
      <c r="V1342" t="s">
        <v>61</v>
      </c>
      <c r="W1342">
        <v>10</v>
      </c>
      <c r="X1342">
        <v>0.13125000000000001</v>
      </c>
      <c r="Y1342" t="s">
        <v>72</v>
      </c>
      <c r="Z1342" t="s">
        <v>73</v>
      </c>
      <c r="AA1342">
        <v>0</v>
      </c>
      <c r="AB1342" t="s">
        <v>5434</v>
      </c>
      <c r="AC1342" t="s">
        <v>5435</v>
      </c>
      <c r="AD1342" t="s">
        <v>5436</v>
      </c>
      <c r="AE1342" t="s">
        <v>5437</v>
      </c>
      <c r="AF1342" t="s">
        <v>5438</v>
      </c>
      <c r="AG1342" t="s">
        <v>66</v>
      </c>
      <c r="AH1342" t="s">
        <v>66</v>
      </c>
      <c r="AI1342" t="s">
        <v>66</v>
      </c>
      <c r="AJ1342" t="s">
        <v>66</v>
      </c>
      <c r="AK1342">
        <v>1</v>
      </c>
      <c r="AL1342" t="s">
        <v>66</v>
      </c>
      <c r="AM1342" t="s">
        <v>66</v>
      </c>
      <c r="AN1342" t="s">
        <v>66</v>
      </c>
      <c r="AO1342" t="s">
        <v>66</v>
      </c>
      <c r="AP1342">
        <v>1</v>
      </c>
      <c r="AQ1342" t="s">
        <v>66</v>
      </c>
      <c r="AR1342" t="s">
        <v>66</v>
      </c>
      <c r="AS1342" t="s">
        <v>66</v>
      </c>
      <c r="AT1342" t="s">
        <v>66</v>
      </c>
    </row>
    <row r="1343" spans="1:46" x14ac:dyDescent="0.15">
      <c r="A1343" t="s">
        <v>5444</v>
      </c>
      <c r="B1343" t="s">
        <v>5429</v>
      </c>
      <c r="C1343" t="s">
        <v>5430</v>
      </c>
      <c r="D1343">
        <v>3</v>
      </c>
      <c r="E1343" t="s">
        <v>5431</v>
      </c>
      <c r="F1343" t="s">
        <v>3592</v>
      </c>
      <c r="G1343" t="s">
        <v>51</v>
      </c>
      <c r="H1343" t="s">
        <v>5432</v>
      </c>
      <c r="I1343" t="s">
        <v>720</v>
      </c>
      <c r="J1343" t="s">
        <v>1554</v>
      </c>
      <c r="K1343" t="s">
        <v>1555</v>
      </c>
      <c r="L1343" t="s">
        <v>18</v>
      </c>
      <c r="M1343" t="s">
        <v>16</v>
      </c>
      <c r="N1343">
        <v>612</v>
      </c>
      <c r="O1343">
        <v>36</v>
      </c>
      <c r="P1343">
        <v>0</v>
      </c>
      <c r="Q1343" t="s">
        <v>5445</v>
      </c>
      <c r="R1343" t="s">
        <v>5446</v>
      </c>
      <c r="S1343" t="s">
        <v>5447</v>
      </c>
      <c r="T1343" t="s">
        <v>5448</v>
      </c>
      <c r="U1343" t="s">
        <v>60</v>
      </c>
      <c r="V1343" t="s">
        <v>61</v>
      </c>
      <c r="W1343">
        <v>10</v>
      </c>
      <c r="X1343">
        <v>0.13125000000000001</v>
      </c>
      <c r="Y1343" t="s">
        <v>73</v>
      </c>
      <c r="Z1343" t="s">
        <v>79</v>
      </c>
      <c r="AA1343">
        <v>0</v>
      </c>
      <c r="AB1343" t="s">
        <v>5434</v>
      </c>
      <c r="AC1343" t="s">
        <v>5435</v>
      </c>
      <c r="AD1343" t="s">
        <v>5436</v>
      </c>
      <c r="AE1343" t="s">
        <v>5437</v>
      </c>
      <c r="AF1343" t="s">
        <v>5438</v>
      </c>
      <c r="AG1343" t="s">
        <v>66</v>
      </c>
      <c r="AH1343" t="s">
        <v>66</v>
      </c>
      <c r="AI1343" t="s">
        <v>66</v>
      </c>
      <c r="AJ1343" t="s">
        <v>66</v>
      </c>
      <c r="AK1343">
        <v>1</v>
      </c>
      <c r="AL1343" t="s">
        <v>66</v>
      </c>
      <c r="AM1343" t="s">
        <v>66</v>
      </c>
      <c r="AN1343" t="s">
        <v>66</v>
      </c>
      <c r="AO1343" t="s">
        <v>66</v>
      </c>
      <c r="AP1343">
        <v>1</v>
      </c>
      <c r="AQ1343" t="s">
        <v>66</v>
      </c>
      <c r="AR1343" t="s">
        <v>66</v>
      </c>
      <c r="AS1343" t="s">
        <v>66</v>
      </c>
      <c r="AT1343" t="s">
        <v>66</v>
      </c>
    </row>
    <row r="1344" spans="1:46" x14ac:dyDescent="0.15">
      <c r="A1344" t="s">
        <v>5449</v>
      </c>
      <c r="B1344" t="s">
        <v>5429</v>
      </c>
      <c r="C1344" t="s">
        <v>5430</v>
      </c>
      <c r="D1344">
        <v>4</v>
      </c>
      <c r="E1344" t="s">
        <v>5431</v>
      </c>
      <c r="F1344" t="s">
        <v>3592</v>
      </c>
      <c r="G1344" t="s">
        <v>51</v>
      </c>
      <c r="H1344" t="s">
        <v>5432</v>
      </c>
      <c r="I1344" t="s">
        <v>720</v>
      </c>
      <c r="J1344" t="s">
        <v>1554</v>
      </c>
      <c r="K1344" t="s">
        <v>1555</v>
      </c>
      <c r="L1344" t="s">
        <v>18</v>
      </c>
      <c r="M1344" t="s">
        <v>16</v>
      </c>
      <c r="N1344">
        <v>668</v>
      </c>
      <c r="O1344">
        <v>39</v>
      </c>
      <c r="P1344">
        <v>0</v>
      </c>
      <c r="Q1344" t="s">
        <v>5450</v>
      </c>
      <c r="R1344" t="s">
        <v>5451</v>
      </c>
      <c r="S1344" t="s">
        <v>5452</v>
      </c>
      <c r="T1344" t="s">
        <v>5453</v>
      </c>
      <c r="U1344" t="s">
        <v>60</v>
      </c>
      <c r="V1344" t="s">
        <v>61</v>
      </c>
      <c r="W1344">
        <v>10</v>
      </c>
      <c r="X1344">
        <v>0.13125000000000001</v>
      </c>
      <c r="Y1344" t="s">
        <v>85</v>
      </c>
      <c r="Z1344" t="s">
        <v>86</v>
      </c>
      <c r="AA1344">
        <v>0</v>
      </c>
      <c r="AB1344" t="s">
        <v>5434</v>
      </c>
      <c r="AC1344" t="s">
        <v>5435</v>
      </c>
      <c r="AD1344" t="s">
        <v>5436</v>
      </c>
      <c r="AE1344" t="s">
        <v>5437</v>
      </c>
      <c r="AF1344" t="s">
        <v>5438</v>
      </c>
      <c r="AG1344" t="s">
        <v>66</v>
      </c>
      <c r="AH1344" t="s">
        <v>66</v>
      </c>
      <c r="AI1344" t="s">
        <v>66</v>
      </c>
      <c r="AJ1344" t="s">
        <v>66</v>
      </c>
      <c r="AK1344">
        <v>1</v>
      </c>
      <c r="AL1344" t="s">
        <v>66</v>
      </c>
      <c r="AM1344" t="s">
        <v>66</v>
      </c>
      <c r="AN1344" t="s">
        <v>66</v>
      </c>
      <c r="AO1344" t="s">
        <v>66</v>
      </c>
      <c r="AP1344">
        <v>1</v>
      </c>
      <c r="AQ1344" t="s">
        <v>66</v>
      </c>
      <c r="AR1344" t="s">
        <v>66</v>
      </c>
      <c r="AS1344" t="s">
        <v>66</v>
      </c>
      <c r="AT1344" t="s">
        <v>66</v>
      </c>
    </row>
    <row r="1345" spans="1:46" x14ac:dyDescent="0.15">
      <c r="A1345" t="s">
        <v>5454</v>
      </c>
      <c r="B1345" t="s">
        <v>5429</v>
      </c>
      <c r="C1345" t="s">
        <v>5430</v>
      </c>
      <c r="D1345">
        <v>5</v>
      </c>
      <c r="E1345" t="s">
        <v>5431</v>
      </c>
      <c r="F1345" t="s">
        <v>3592</v>
      </c>
      <c r="G1345" t="s">
        <v>51</v>
      </c>
      <c r="H1345" t="s">
        <v>5432</v>
      </c>
      <c r="I1345" t="s">
        <v>720</v>
      </c>
      <c r="J1345" t="s">
        <v>1554</v>
      </c>
      <c r="K1345" t="s">
        <v>1555</v>
      </c>
      <c r="L1345" t="s">
        <v>18</v>
      </c>
      <c r="M1345" t="s">
        <v>16</v>
      </c>
      <c r="N1345">
        <v>724</v>
      </c>
      <c r="O1345">
        <v>42</v>
      </c>
      <c r="P1345">
        <v>0</v>
      </c>
      <c r="Q1345" t="s">
        <v>5455</v>
      </c>
      <c r="R1345" t="s">
        <v>5456</v>
      </c>
      <c r="S1345" t="s">
        <v>5457</v>
      </c>
      <c r="T1345" t="s">
        <v>5458</v>
      </c>
      <c r="U1345" t="s">
        <v>60</v>
      </c>
      <c r="V1345" t="s">
        <v>61</v>
      </c>
      <c r="W1345">
        <v>10</v>
      </c>
      <c r="X1345">
        <v>0.13125000000000001</v>
      </c>
      <c r="Y1345" t="s">
        <v>79</v>
      </c>
      <c r="Z1345" t="s">
        <v>92</v>
      </c>
      <c r="AA1345">
        <v>0</v>
      </c>
      <c r="AB1345" t="s">
        <v>5434</v>
      </c>
      <c r="AC1345" t="s">
        <v>5435</v>
      </c>
      <c r="AD1345" t="s">
        <v>5436</v>
      </c>
      <c r="AE1345" t="s">
        <v>5437</v>
      </c>
      <c r="AF1345" t="s">
        <v>5438</v>
      </c>
      <c r="AG1345" t="s">
        <v>66</v>
      </c>
      <c r="AH1345" t="s">
        <v>66</v>
      </c>
      <c r="AI1345" t="s">
        <v>66</v>
      </c>
      <c r="AJ1345" t="s">
        <v>66</v>
      </c>
      <c r="AK1345">
        <v>1</v>
      </c>
      <c r="AL1345" t="s">
        <v>66</v>
      </c>
      <c r="AM1345" t="s">
        <v>66</v>
      </c>
      <c r="AN1345" t="s">
        <v>66</v>
      </c>
      <c r="AO1345" t="s">
        <v>66</v>
      </c>
      <c r="AP1345">
        <v>1</v>
      </c>
      <c r="AQ1345" t="s">
        <v>66</v>
      </c>
      <c r="AR1345" t="s">
        <v>66</v>
      </c>
      <c r="AS1345" t="s">
        <v>66</v>
      </c>
      <c r="AT1345" t="s">
        <v>66</v>
      </c>
    </row>
    <row r="1346" spans="1:46" x14ac:dyDescent="0.15">
      <c r="A1346" t="s">
        <v>5459</v>
      </c>
      <c r="B1346" t="s">
        <v>5429</v>
      </c>
      <c r="C1346" t="s">
        <v>5430</v>
      </c>
      <c r="D1346">
        <v>6</v>
      </c>
      <c r="E1346" t="s">
        <v>5431</v>
      </c>
      <c r="F1346" t="s">
        <v>3592</v>
      </c>
      <c r="G1346" t="s">
        <v>51</v>
      </c>
      <c r="H1346" t="s">
        <v>5432</v>
      </c>
      <c r="I1346" t="s">
        <v>720</v>
      </c>
      <c r="J1346" t="s">
        <v>1554</v>
      </c>
      <c r="K1346" t="s">
        <v>1555</v>
      </c>
      <c r="L1346" t="s">
        <v>18</v>
      </c>
      <c r="M1346" t="s">
        <v>16</v>
      </c>
      <c r="N1346">
        <v>781</v>
      </c>
      <c r="O1346">
        <v>45</v>
      </c>
      <c r="P1346">
        <v>0</v>
      </c>
      <c r="Q1346" t="s">
        <v>5460</v>
      </c>
      <c r="R1346" t="s">
        <v>5461</v>
      </c>
      <c r="S1346" t="s">
        <v>5462</v>
      </c>
      <c r="T1346" t="s">
        <v>5463</v>
      </c>
      <c r="U1346" t="s">
        <v>60</v>
      </c>
      <c r="V1346" t="s">
        <v>61</v>
      </c>
      <c r="W1346">
        <v>10</v>
      </c>
      <c r="X1346">
        <v>0.13125000000000001</v>
      </c>
      <c r="Y1346" t="s">
        <v>98</v>
      </c>
      <c r="Z1346" t="s">
        <v>99</v>
      </c>
      <c r="AA1346">
        <v>0</v>
      </c>
      <c r="AB1346" t="s">
        <v>5434</v>
      </c>
      <c r="AC1346" t="s">
        <v>5435</v>
      </c>
      <c r="AD1346" t="s">
        <v>5436</v>
      </c>
      <c r="AE1346" t="s">
        <v>5437</v>
      </c>
      <c r="AF1346" t="s">
        <v>5438</v>
      </c>
      <c r="AG1346" t="s">
        <v>66</v>
      </c>
      <c r="AH1346" t="s">
        <v>66</v>
      </c>
      <c r="AI1346" t="s">
        <v>66</v>
      </c>
      <c r="AJ1346" t="s">
        <v>66</v>
      </c>
      <c r="AK1346">
        <v>1</v>
      </c>
      <c r="AL1346" t="s">
        <v>66</v>
      </c>
      <c r="AM1346" t="s">
        <v>66</v>
      </c>
      <c r="AN1346" t="s">
        <v>66</v>
      </c>
      <c r="AO1346" t="s">
        <v>66</v>
      </c>
      <c r="AP1346">
        <v>1</v>
      </c>
      <c r="AQ1346" t="s">
        <v>66</v>
      </c>
      <c r="AR1346" t="s">
        <v>66</v>
      </c>
      <c r="AS1346" t="s">
        <v>66</v>
      </c>
      <c r="AT1346" t="s">
        <v>66</v>
      </c>
    </row>
    <row r="1347" spans="1:46" x14ac:dyDescent="0.15">
      <c r="A1347" t="s">
        <v>5464</v>
      </c>
      <c r="B1347" t="s">
        <v>5429</v>
      </c>
      <c r="C1347" t="s">
        <v>5430</v>
      </c>
      <c r="D1347">
        <v>7</v>
      </c>
      <c r="E1347" t="s">
        <v>5431</v>
      </c>
      <c r="F1347" t="s">
        <v>3592</v>
      </c>
      <c r="G1347" t="s">
        <v>51</v>
      </c>
      <c r="H1347" t="s">
        <v>5432</v>
      </c>
      <c r="I1347" t="s">
        <v>720</v>
      </c>
      <c r="J1347" t="s">
        <v>1554</v>
      </c>
      <c r="K1347" t="s">
        <v>1555</v>
      </c>
      <c r="L1347" t="s">
        <v>18</v>
      </c>
      <c r="M1347" t="s">
        <v>16</v>
      </c>
      <c r="N1347">
        <v>837</v>
      </c>
      <c r="O1347">
        <v>48</v>
      </c>
      <c r="P1347">
        <v>0</v>
      </c>
      <c r="Q1347" t="s">
        <v>5465</v>
      </c>
      <c r="R1347" t="s">
        <v>5466</v>
      </c>
      <c r="S1347" t="s">
        <v>5467</v>
      </c>
      <c r="T1347" t="s">
        <v>5468</v>
      </c>
      <c r="U1347" t="s">
        <v>60</v>
      </c>
      <c r="V1347" t="s">
        <v>61</v>
      </c>
      <c r="W1347">
        <v>10</v>
      </c>
      <c r="X1347">
        <v>0.13125000000000001</v>
      </c>
      <c r="Y1347" t="s">
        <v>86</v>
      </c>
      <c r="Z1347" t="s">
        <v>105</v>
      </c>
      <c r="AA1347">
        <v>0</v>
      </c>
      <c r="AB1347" t="s">
        <v>5434</v>
      </c>
      <c r="AC1347" t="s">
        <v>5435</v>
      </c>
      <c r="AD1347" t="s">
        <v>5436</v>
      </c>
      <c r="AE1347" t="s">
        <v>5437</v>
      </c>
      <c r="AF1347" t="s">
        <v>5438</v>
      </c>
      <c r="AG1347" t="s">
        <v>66</v>
      </c>
      <c r="AH1347" t="s">
        <v>66</v>
      </c>
      <c r="AI1347" t="s">
        <v>66</v>
      </c>
      <c r="AJ1347" t="s">
        <v>66</v>
      </c>
      <c r="AK1347">
        <v>1</v>
      </c>
      <c r="AL1347" t="s">
        <v>66</v>
      </c>
      <c r="AM1347" t="s">
        <v>66</v>
      </c>
      <c r="AN1347" t="s">
        <v>66</v>
      </c>
      <c r="AO1347" t="s">
        <v>66</v>
      </c>
      <c r="AP1347">
        <v>1</v>
      </c>
      <c r="AQ1347" t="s">
        <v>66</v>
      </c>
      <c r="AR1347" t="s">
        <v>66</v>
      </c>
      <c r="AS1347" t="s">
        <v>66</v>
      </c>
      <c r="AT1347" t="s">
        <v>66</v>
      </c>
    </row>
    <row r="1348" spans="1:46" x14ac:dyDescent="0.15">
      <c r="A1348" t="s">
        <v>5469</v>
      </c>
      <c r="B1348" t="s">
        <v>5429</v>
      </c>
      <c r="C1348" t="s">
        <v>5430</v>
      </c>
      <c r="D1348">
        <v>8</v>
      </c>
      <c r="E1348" t="s">
        <v>5431</v>
      </c>
      <c r="F1348" t="s">
        <v>3592</v>
      </c>
      <c r="G1348" t="s">
        <v>51</v>
      </c>
      <c r="H1348" t="s">
        <v>5432</v>
      </c>
      <c r="I1348" t="s">
        <v>720</v>
      </c>
      <c r="J1348" t="s">
        <v>1554</v>
      </c>
      <c r="K1348" t="s">
        <v>1555</v>
      </c>
      <c r="L1348" t="s">
        <v>18</v>
      </c>
      <c r="M1348" t="s">
        <v>16</v>
      </c>
      <c r="N1348">
        <v>893</v>
      </c>
      <c r="O1348">
        <v>51</v>
      </c>
      <c r="P1348">
        <v>0</v>
      </c>
      <c r="Q1348" t="s">
        <v>5470</v>
      </c>
      <c r="R1348" t="s">
        <v>5471</v>
      </c>
      <c r="S1348" t="s">
        <v>5472</v>
      </c>
      <c r="T1348" t="s">
        <v>5473</v>
      </c>
      <c r="U1348" t="s">
        <v>60</v>
      </c>
      <c r="V1348" t="s">
        <v>61</v>
      </c>
      <c r="W1348">
        <v>10</v>
      </c>
      <c r="X1348">
        <v>0.13125000000000001</v>
      </c>
      <c r="Y1348" t="s">
        <v>111</v>
      </c>
      <c r="Z1348" t="s">
        <v>112</v>
      </c>
      <c r="AA1348">
        <v>0</v>
      </c>
      <c r="AB1348" t="s">
        <v>5434</v>
      </c>
      <c r="AC1348" t="s">
        <v>5435</v>
      </c>
      <c r="AD1348" t="s">
        <v>5436</v>
      </c>
      <c r="AE1348" t="s">
        <v>5437</v>
      </c>
      <c r="AF1348" t="s">
        <v>5438</v>
      </c>
      <c r="AG1348" t="s">
        <v>66</v>
      </c>
      <c r="AH1348" t="s">
        <v>66</v>
      </c>
      <c r="AI1348" t="s">
        <v>66</v>
      </c>
      <c r="AJ1348" t="s">
        <v>66</v>
      </c>
      <c r="AK1348">
        <v>1</v>
      </c>
      <c r="AL1348" t="s">
        <v>66</v>
      </c>
      <c r="AM1348" t="s">
        <v>66</v>
      </c>
      <c r="AN1348" t="s">
        <v>66</v>
      </c>
      <c r="AO1348" t="s">
        <v>66</v>
      </c>
      <c r="AP1348">
        <v>1</v>
      </c>
      <c r="AQ1348" t="s">
        <v>66</v>
      </c>
      <c r="AR1348" t="s">
        <v>66</v>
      </c>
      <c r="AS1348" t="s">
        <v>66</v>
      </c>
      <c r="AT1348" t="s">
        <v>66</v>
      </c>
    </row>
    <row r="1349" spans="1:46" x14ac:dyDescent="0.15">
      <c r="A1349" t="s">
        <v>5474</v>
      </c>
      <c r="B1349" t="s">
        <v>5429</v>
      </c>
      <c r="C1349" t="s">
        <v>5430</v>
      </c>
      <c r="D1349">
        <v>9</v>
      </c>
      <c r="E1349" t="s">
        <v>5431</v>
      </c>
      <c r="F1349" t="s">
        <v>3592</v>
      </c>
      <c r="G1349" t="s">
        <v>51</v>
      </c>
      <c r="H1349" t="s">
        <v>5432</v>
      </c>
      <c r="I1349" t="s">
        <v>720</v>
      </c>
      <c r="J1349" t="s">
        <v>1554</v>
      </c>
      <c r="K1349" t="s">
        <v>1555</v>
      </c>
      <c r="L1349" t="s">
        <v>18</v>
      </c>
      <c r="M1349" t="s">
        <v>16</v>
      </c>
      <c r="N1349">
        <v>949</v>
      </c>
      <c r="O1349">
        <v>54</v>
      </c>
      <c r="P1349">
        <v>0</v>
      </c>
      <c r="Q1349" t="s">
        <v>5475</v>
      </c>
      <c r="R1349" t="s">
        <v>5476</v>
      </c>
      <c r="S1349" t="s">
        <v>5477</v>
      </c>
      <c r="T1349" t="s">
        <v>5478</v>
      </c>
      <c r="U1349" t="s">
        <v>60</v>
      </c>
      <c r="V1349" t="s">
        <v>61</v>
      </c>
      <c r="W1349">
        <v>10</v>
      </c>
      <c r="X1349">
        <v>0.13125000000000001</v>
      </c>
      <c r="Y1349" t="s">
        <v>92</v>
      </c>
      <c r="Z1349" t="s">
        <v>118</v>
      </c>
      <c r="AA1349">
        <v>0</v>
      </c>
      <c r="AB1349" t="s">
        <v>5434</v>
      </c>
      <c r="AC1349" t="s">
        <v>5435</v>
      </c>
      <c r="AD1349" t="s">
        <v>5436</v>
      </c>
      <c r="AE1349" t="s">
        <v>5437</v>
      </c>
      <c r="AF1349" t="s">
        <v>5438</v>
      </c>
      <c r="AG1349" t="s">
        <v>66</v>
      </c>
      <c r="AH1349" t="s">
        <v>66</v>
      </c>
      <c r="AI1349" t="s">
        <v>66</v>
      </c>
      <c r="AJ1349" t="s">
        <v>66</v>
      </c>
      <c r="AK1349">
        <v>1</v>
      </c>
      <c r="AL1349" t="s">
        <v>66</v>
      </c>
      <c r="AM1349" t="s">
        <v>66</v>
      </c>
      <c r="AN1349" t="s">
        <v>66</v>
      </c>
      <c r="AO1349" t="s">
        <v>66</v>
      </c>
      <c r="AP1349">
        <v>1</v>
      </c>
      <c r="AQ1349" t="s">
        <v>66</v>
      </c>
      <c r="AR1349" t="s">
        <v>66</v>
      </c>
      <c r="AS1349" t="s">
        <v>66</v>
      </c>
      <c r="AT1349" t="s">
        <v>66</v>
      </c>
    </row>
    <row r="1350" spans="1:46" x14ac:dyDescent="0.15">
      <c r="A1350" t="s">
        <v>5479</v>
      </c>
      <c r="B1350" t="s">
        <v>5429</v>
      </c>
      <c r="C1350" t="s">
        <v>5430</v>
      </c>
      <c r="D1350">
        <v>10</v>
      </c>
      <c r="E1350" t="s">
        <v>5431</v>
      </c>
      <c r="F1350" t="s">
        <v>3592</v>
      </c>
      <c r="G1350" t="s">
        <v>51</v>
      </c>
      <c r="H1350" t="s">
        <v>5432</v>
      </c>
      <c r="I1350" t="s">
        <v>720</v>
      </c>
      <c r="J1350" t="s">
        <v>1554</v>
      </c>
      <c r="K1350" t="s">
        <v>1555</v>
      </c>
      <c r="L1350" t="s">
        <v>18</v>
      </c>
      <c r="M1350" t="s">
        <v>16</v>
      </c>
      <c r="N1350">
        <v>1005</v>
      </c>
      <c r="O1350">
        <v>57</v>
      </c>
      <c r="P1350">
        <v>0</v>
      </c>
      <c r="Q1350" t="s">
        <v>5480</v>
      </c>
      <c r="R1350" t="s">
        <v>5481</v>
      </c>
      <c r="S1350" t="s">
        <v>5482</v>
      </c>
      <c r="T1350" t="s">
        <v>5483</v>
      </c>
      <c r="U1350" t="s">
        <v>60</v>
      </c>
      <c r="V1350" t="s">
        <v>61</v>
      </c>
      <c r="W1350">
        <v>10</v>
      </c>
      <c r="X1350">
        <v>0.13125000000000001</v>
      </c>
      <c r="Y1350" t="s">
        <v>124</v>
      </c>
      <c r="Z1350" t="s">
        <v>125</v>
      </c>
      <c r="AA1350">
        <v>0</v>
      </c>
      <c r="AB1350" t="s">
        <v>5434</v>
      </c>
      <c r="AC1350" t="s">
        <v>5435</v>
      </c>
      <c r="AD1350" t="s">
        <v>5436</v>
      </c>
      <c r="AE1350" t="s">
        <v>5437</v>
      </c>
      <c r="AF1350" t="s">
        <v>5438</v>
      </c>
      <c r="AG1350" t="s">
        <v>66</v>
      </c>
      <c r="AH1350" t="s">
        <v>66</v>
      </c>
      <c r="AI1350" t="s">
        <v>66</v>
      </c>
      <c r="AJ1350" t="s">
        <v>66</v>
      </c>
      <c r="AK1350">
        <v>1</v>
      </c>
      <c r="AL1350" t="s">
        <v>66</v>
      </c>
      <c r="AM1350" t="s">
        <v>66</v>
      </c>
      <c r="AN1350" t="s">
        <v>66</v>
      </c>
      <c r="AO1350" t="s">
        <v>66</v>
      </c>
      <c r="AP1350">
        <v>1</v>
      </c>
      <c r="AQ1350" t="s">
        <v>66</v>
      </c>
      <c r="AR1350" t="s">
        <v>66</v>
      </c>
      <c r="AS1350" t="s">
        <v>66</v>
      </c>
      <c r="AT1350" t="s">
        <v>66</v>
      </c>
    </row>
    <row r="1351" spans="1:46" x14ac:dyDescent="0.15">
      <c r="A1351" t="s">
        <v>5484</v>
      </c>
      <c r="B1351" t="s">
        <v>5429</v>
      </c>
      <c r="C1351" t="s">
        <v>5430</v>
      </c>
      <c r="D1351">
        <v>11</v>
      </c>
      <c r="E1351" t="s">
        <v>5431</v>
      </c>
      <c r="F1351" t="s">
        <v>3592</v>
      </c>
      <c r="G1351" t="s">
        <v>51</v>
      </c>
      <c r="H1351" t="s">
        <v>5432</v>
      </c>
      <c r="I1351" t="s">
        <v>720</v>
      </c>
      <c r="J1351" t="s">
        <v>1554</v>
      </c>
      <c r="K1351" t="s">
        <v>1555</v>
      </c>
      <c r="L1351" t="s">
        <v>18</v>
      </c>
      <c r="M1351" t="s">
        <v>16</v>
      </c>
      <c r="N1351">
        <v>1061</v>
      </c>
      <c r="O1351">
        <v>60</v>
      </c>
      <c r="P1351">
        <v>0</v>
      </c>
      <c r="Q1351" t="s">
        <v>5485</v>
      </c>
      <c r="R1351" t="s">
        <v>5486</v>
      </c>
      <c r="S1351" t="s">
        <v>5487</v>
      </c>
      <c r="T1351" t="s">
        <v>5488</v>
      </c>
      <c r="U1351" t="s">
        <v>60</v>
      </c>
      <c r="V1351" t="s">
        <v>61</v>
      </c>
      <c r="W1351">
        <v>10</v>
      </c>
      <c r="X1351">
        <v>0.13125000000000001</v>
      </c>
      <c r="Y1351" t="s">
        <v>99</v>
      </c>
      <c r="Z1351" t="s">
        <v>131</v>
      </c>
      <c r="AA1351">
        <v>0</v>
      </c>
      <c r="AB1351" t="s">
        <v>5434</v>
      </c>
      <c r="AC1351" t="s">
        <v>5435</v>
      </c>
      <c r="AD1351" t="s">
        <v>5436</v>
      </c>
      <c r="AE1351" t="s">
        <v>5437</v>
      </c>
      <c r="AF1351" t="s">
        <v>5438</v>
      </c>
      <c r="AG1351" t="s">
        <v>66</v>
      </c>
      <c r="AH1351" t="s">
        <v>66</v>
      </c>
      <c r="AI1351" t="s">
        <v>66</v>
      </c>
      <c r="AJ1351" t="s">
        <v>66</v>
      </c>
      <c r="AK1351">
        <v>1</v>
      </c>
      <c r="AL1351" t="s">
        <v>66</v>
      </c>
      <c r="AM1351" t="s">
        <v>66</v>
      </c>
      <c r="AN1351" t="s">
        <v>66</v>
      </c>
      <c r="AO1351" t="s">
        <v>66</v>
      </c>
      <c r="AP1351">
        <v>1</v>
      </c>
      <c r="AQ1351" t="s">
        <v>66</v>
      </c>
      <c r="AR1351" t="s">
        <v>66</v>
      </c>
      <c r="AS1351" t="s">
        <v>66</v>
      </c>
      <c r="AT1351" t="s">
        <v>66</v>
      </c>
    </row>
    <row r="1352" spans="1:46" x14ac:dyDescent="0.15">
      <c r="A1352" t="s">
        <v>5489</v>
      </c>
      <c r="B1352" t="s">
        <v>5429</v>
      </c>
      <c r="C1352" t="s">
        <v>5430</v>
      </c>
      <c r="D1352">
        <v>12</v>
      </c>
      <c r="E1352" t="s">
        <v>5431</v>
      </c>
      <c r="F1352" t="s">
        <v>3592</v>
      </c>
      <c r="G1352" t="s">
        <v>51</v>
      </c>
      <c r="H1352" t="s">
        <v>5432</v>
      </c>
      <c r="I1352" t="s">
        <v>720</v>
      </c>
      <c r="J1352" t="s">
        <v>1554</v>
      </c>
      <c r="K1352" t="s">
        <v>1555</v>
      </c>
      <c r="L1352" t="s">
        <v>18</v>
      </c>
      <c r="M1352" t="s">
        <v>16</v>
      </c>
      <c r="N1352">
        <v>1117</v>
      </c>
      <c r="O1352">
        <v>63</v>
      </c>
      <c r="P1352">
        <v>0</v>
      </c>
      <c r="Q1352" t="s">
        <v>5490</v>
      </c>
      <c r="R1352" t="s">
        <v>5491</v>
      </c>
      <c r="S1352" t="s">
        <v>5492</v>
      </c>
      <c r="T1352" t="s">
        <v>5493</v>
      </c>
      <c r="U1352" t="s">
        <v>60</v>
      </c>
      <c r="V1352" t="s">
        <v>61</v>
      </c>
      <c r="W1352">
        <v>10</v>
      </c>
      <c r="X1352">
        <v>0.13125000000000001</v>
      </c>
      <c r="Y1352" t="s">
        <v>137</v>
      </c>
      <c r="Z1352" t="s">
        <v>138</v>
      </c>
      <c r="AA1352">
        <v>0</v>
      </c>
      <c r="AB1352" t="s">
        <v>5434</v>
      </c>
      <c r="AC1352" t="s">
        <v>5435</v>
      </c>
      <c r="AD1352" t="s">
        <v>5436</v>
      </c>
      <c r="AE1352" t="s">
        <v>5437</v>
      </c>
      <c r="AF1352" t="s">
        <v>5438</v>
      </c>
      <c r="AG1352" t="s">
        <v>66</v>
      </c>
      <c r="AH1352" t="s">
        <v>66</v>
      </c>
      <c r="AI1352" t="s">
        <v>66</v>
      </c>
      <c r="AJ1352" t="s">
        <v>66</v>
      </c>
      <c r="AK1352">
        <v>1</v>
      </c>
      <c r="AL1352" t="s">
        <v>66</v>
      </c>
      <c r="AM1352" t="s">
        <v>66</v>
      </c>
      <c r="AN1352" t="s">
        <v>66</v>
      </c>
      <c r="AO1352" t="s">
        <v>66</v>
      </c>
      <c r="AP1352">
        <v>1</v>
      </c>
      <c r="AQ1352" t="s">
        <v>66</v>
      </c>
      <c r="AR1352" t="s">
        <v>66</v>
      </c>
      <c r="AS1352" t="s">
        <v>66</v>
      </c>
      <c r="AT1352" t="s">
        <v>66</v>
      </c>
    </row>
    <row r="1353" spans="1:46" x14ac:dyDescent="0.15">
      <c r="A1353" t="s">
        <v>5494</v>
      </c>
      <c r="B1353" t="s">
        <v>5429</v>
      </c>
      <c r="C1353" t="s">
        <v>5430</v>
      </c>
      <c r="D1353">
        <v>13</v>
      </c>
      <c r="E1353" t="s">
        <v>5431</v>
      </c>
      <c r="F1353" t="s">
        <v>3592</v>
      </c>
      <c r="G1353" t="s">
        <v>51</v>
      </c>
      <c r="H1353" t="s">
        <v>5432</v>
      </c>
      <c r="I1353" t="s">
        <v>720</v>
      </c>
      <c r="J1353" t="s">
        <v>1554</v>
      </c>
      <c r="K1353" t="s">
        <v>1555</v>
      </c>
      <c r="L1353" t="s">
        <v>18</v>
      </c>
      <c r="M1353" t="s">
        <v>16</v>
      </c>
      <c r="N1353">
        <v>1173</v>
      </c>
      <c r="O1353">
        <v>66</v>
      </c>
      <c r="P1353">
        <v>0</v>
      </c>
      <c r="Q1353" t="s">
        <v>5495</v>
      </c>
      <c r="R1353" t="s">
        <v>5496</v>
      </c>
      <c r="S1353" t="s">
        <v>5497</v>
      </c>
      <c r="T1353" t="s">
        <v>5498</v>
      </c>
      <c r="U1353" t="s">
        <v>60</v>
      </c>
      <c r="V1353" t="s">
        <v>61</v>
      </c>
      <c r="W1353">
        <v>10</v>
      </c>
      <c r="X1353">
        <v>0.13125000000000001</v>
      </c>
      <c r="Y1353" t="s">
        <v>105</v>
      </c>
      <c r="Z1353" t="s">
        <v>144</v>
      </c>
      <c r="AA1353">
        <v>0</v>
      </c>
      <c r="AB1353" t="s">
        <v>5434</v>
      </c>
      <c r="AC1353" t="s">
        <v>5435</v>
      </c>
      <c r="AD1353" t="s">
        <v>5436</v>
      </c>
      <c r="AE1353" t="s">
        <v>5437</v>
      </c>
      <c r="AF1353" t="s">
        <v>5438</v>
      </c>
      <c r="AG1353" t="s">
        <v>66</v>
      </c>
      <c r="AH1353" t="s">
        <v>66</v>
      </c>
      <c r="AI1353" t="s">
        <v>66</v>
      </c>
      <c r="AJ1353" t="s">
        <v>66</v>
      </c>
      <c r="AK1353">
        <v>1</v>
      </c>
      <c r="AL1353" t="s">
        <v>66</v>
      </c>
      <c r="AM1353" t="s">
        <v>66</v>
      </c>
      <c r="AN1353" t="s">
        <v>66</v>
      </c>
      <c r="AO1353" t="s">
        <v>66</v>
      </c>
      <c r="AP1353">
        <v>1</v>
      </c>
      <c r="AQ1353" t="s">
        <v>66</v>
      </c>
      <c r="AR1353" t="s">
        <v>66</v>
      </c>
      <c r="AS1353" t="s">
        <v>66</v>
      </c>
      <c r="AT1353" t="s">
        <v>66</v>
      </c>
    </row>
    <row r="1354" spans="1:46" x14ac:dyDescent="0.15">
      <c r="A1354" t="s">
        <v>5499</v>
      </c>
      <c r="B1354" t="s">
        <v>5429</v>
      </c>
      <c r="C1354" t="s">
        <v>5430</v>
      </c>
      <c r="D1354">
        <v>14</v>
      </c>
      <c r="E1354" t="s">
        <v>5431</v>
      </c>
      <c r="F1354" t="s">
        <v>3592</v>
      </c>
      <c r="G1354" t="s">
        <v>51</v>
      </c>
      <c r="H1354" t="s">
        <v>5432</v>
      </c>
      <c r="I1354" t="s">
        <v>720</v>
      </c>
      <c r="J1354" t="s">
        <v>1554</v>
      </c>
      <c r="K1354" t="s">
        <v>1555</v>
      </c>
      <c r="L1354" t="s">
        <v>18</v>
      </c>
      <c r="M1354" t="s">
        <v>16</v>
      </c>
      <c r="N1354">
        <v>1230</v>
      </c>
      <c r="O1354">
        <v>69</v>
      </c>
      <c r="P1354">
        <v>0</v>
      </c>
      <c r="Q1354" t="s">
        <v>5500</v>
      </c>
      <c r="R1354" t="s">
        <v>5501</v>
      </c>
      <c r="S1354" t="s">
        <v>5502</v>
      </c>
      <c r="T1354" t="s">
        <v>5503</v>
      </c>
      <c r="U1354" t="s">
        <v>60</v>
      </c>
      <c r="V1354" t="s">
        <v>61</v>
      </c>
      <c r="W1354">
        <v>10</v>
      </c>
      <c r="X1354">
        <v>0.13125000000000001</v>
      </c>
      <c r="Y1354" t="s">
        <v>150</v>
      </c>
      <c r="Z1354" t="s">
        <v>151</v>
      </c>
      <c r="AA1354">
        <v>0</v>
      </c>
      <c r="AB1354" t="s">
        <v>5434</v>
      </c>
      <c r="AC1354" t="s">
        <v>5435</v>
      </c>
      <c r="AD1354" t="s">
        <v>5436</v>
      </c>
      <c r="AE1354" t="s">
        <v>5437</v>
      </c>
      <c r="AF1354" t="s">
        <v>5438</v>
      </c>
      <c r="AG1354" t="s">
        <v>66</v>
      </c>
      <c r="AH1354" t="s">
        <v>66</v>
      </c>
      <c r="AI1354" t="s">
        <v>66</v>
      </c>
      <c r="AJ1354" t="s">
        <v>66</v>
      </c>
      <c r="AK1354">
        <v>1</v>
      </c>
      <c r="AL1354" t="s">
        <v>66</v>
      </c>
      <c r="AM1354" t="s">
        <v>66</v>
      </c>
      <c r="AN1354" t="s">
        <v>66</v>
      </c>
      <c r="AO1354" t="s">
        <v>66</v>
      </c>
      <c r="AP1354">
        <v>1</v>
      </c>
      <c r="AQ1354" t="s">
        <v>66</v>
      </c>
      <c r="AR1354" t="s">
        <v>66</v>
      </c>
      <c r="AS1354" t="s">
        <v>66</v>
      </c>
      <c r="AT1354" t="s">
        <v>66</v>
      </c>
    </row>
    <row r="1355" spans="1:46" x14ac:dyDescent="0.15">
      <c r="A1355" t="s">
        <v>5504</v>
      </c>
      <c r="B1355" t="s">
        <v>5429</v>
      </c>
      <c r="C1355" t="s">
        <v>5430</v>
      </c>
      <c r="D1355">
        <v>15</v>
      </c>
      <c r="E1355" t="s">
        <v>5431</v>
      </c>
      <c r="F1355" t="s">
        <v>3592</v>
      </c>
      <c r="G1355" t="s">
        <v>51</v>
      </c>
      <c r="H1355" t="s">
        <v>5432</v>
      </c>
      <c r="I1355" t="s">
        <v>720</v>
      </c>
      <c r="J1355" t="s">
        <v>1554</v>
      </c>
      <c r="K1355" t="s">
        <v>1555</v>
      </c>
      <c r="L1355" t="s">
        <v>18</v>
      </c>
      <c r="M1355" t="s">
        <v>16</v>
      </c>
      <c r="N1355">
        <v>1286</v>
      </c>
      <c r="O1355">
        <v>72</v>
      </c>
      <c r="P1355">
        <v>0</v>
      </c>
      <c r="Q1355" t="s">
        <v>5505</v>
      </c>
      <c r="R1355" t="s">
        <v>5506</v>
      </c>
      <c r="S1355" t="s">
        <v>5507</v>
      </c>
      <c r="T1355" t="s">
        <v>5508</v>
      </c>
      <c r="U1355" t="s">
        <v>60</v>
      </c>
      <c r="V1355" t="s">
        <v>61</v>
      </c>
      <c r="W1355">
        <v>10</v>
      </c>
      <c r="X1355">
        <v>0.13125000000000001</v>
      </c>
      <c r="Y1355" t="s">
        <v>112</v>
      </c>
      <c r="Z1355" t="s">
        <v>157</v>
      </c>
      <c r="AA1355">
        <v>0</v>
      </c>
      <c r="AB1355" t="s">
        <v>5434</v>
      </c>
      <c r="AC1355" t="s">
        <v>5435</v>
      </c>
      <c r="AD1355" t="s">
        <v>5436</v>
      </c>
      <c r="AE1355" t="s">
        <v>5437</v>
      </c>
      <c r="AF1355" t="s">
        <v>5438</v>
      </c>
      <c r="AG1355" t="s">
        <v>66</v>
      </c>
      <c r="AH1355" t="s">
        <v>66</v>
      </c>
      <c r="AI1355" t="s">
        <v>66</v>
      </c>
      <c r="AJ1355" t="s">
        <v>66</v>
      </c>
      <c r="AK1355">
        <v>1</v>
      </c>
      <c r="AL1355" t="s">
        <v>66</v>
      </c>
      <c r="AM1355" t="s">
        <v>66</v>
      </c>
      <c r="AN1355" t="s">
        <v>66</v>
      </c>
      <c r="AO1355" t="s">
        <v>66</v>
      </c>
      <c r="AP1355">
        <v>1</v>
      </c>
      <c r="AQ1355" t="s">
        <v>66</v>
      </c>
      <c r="AR1355" t="s">
        <v>66</v>
      </c>
      <c r="AS1355" t="s">
        <v>66</v>
      </c>
      <c r="AT1355" t="s">
        <v>66</v>
      </c>
    </row>
    <row r="1356" spans="1:46" x14ac:dyDescent="0.15">
      <c r="A1356" t="s">
        <v>5509</v>
      </c>
      <c r="B1356" t="s">
        <v>5429</v>
      </c>
      <c r="C1356" t="s">
        <v>5430</v>
      </c>
      <c r="D1356">
        <v>16</v>
      </c>
      <c r="E1356" t="s">
        <v>5431</v>
      </c>
      <c r="F1356" t="s">
        <v>3592</v>
      </c>
      <c r="G1356" t="s">
        <v>51</v>
      </c>
      <c r="H1356" t="s">
        <v>5432</v>
      </c>
      <c r="I1356" t="s">
        <v>720</v>
      </c>
      <c r="J1356" t="s">
        <v>1554</v>
      </c>
      <c r="K1356" t="s">
        <v>1555</v>
      </c>
      <c r="L1356" t="s">
        <v>18</v>
      </c>
      <c r="M1356" t="s">
        <v>16</v>
      </c>
      <c r="N1356">
        <v>1342</v>
      </c>
      <c r="O1356">
        <v>75</v>
      </c>
      <c r="P1356">
        <v>0</v>
      </c>
      <c r="Q1356" t="s">
        <v>5510</v>
      </c>
      <c r="R1356" t="s">
        <v>5511</v>
      </c>
      <c r="S1356" t="s">
        <v>5512</v>
      </c>
      <c r="T1356" t="s">
        <v>5513</v>
      </c>
      <c r="U1356" t="s">
        <v>60</v>
      </c>
      <c r="V1356" t="s">
        <v>61</v>
      </c>
      <c r="W1356">
        <v>10</v>
      </c>
      <c r="X1356">
        <v>0.13125000000000001</v>
      </c>
      <c r="Y1356" t="s">
        <v>163</v>
      </c>
      <c r="Z1356" t="s">
        <v>164</v>
      </c>
      <c r="AA1356">
        <v>0</v>
      </c>
      <c r="AB1356" t="s">
        <v>5434</v>
      </c>
      <c r="AC1356" t="s">
        <v>5435</v>
      </c>
      <c r="AD1356" t="s">
        <v>5436</v>
      </c>
      <c r="AE1356" t="s">
        <v>5437</v>
      </c>
      <c r="AF1356" t="s">
        <v>5438</v>
      </c>
      <c r="AG1356" t="s">
        <v>66</v>
      </c>
      <c r="AH1356" t="s">
        <v>66</v>
      </c>
      <c r="AI1356" t="s">
        <v>66</v>
      </c>
      <c r="AJ1356" t="s">
        <v>66</v>
      </c>
      <c r="AK1356">
        <v>1</v>
      </c>
      <c r="AL1356" t="s">
        <v>66</v>
      </c>
      <c r="AM1356" t="s">
        <v>66</v>
      </c>
      <c r="AN1356" t="s">
        <v>66</v>
      </c>
      <c r="AO1356" t="s">
        <v>66</v>
      </c>
      <c r="AP1356">
        <v>1</v>
      </c>
      <c r="AQ1356" t="s">
        <v>66</v>
      </c>
      <c r="AR1356" t="s">
        <v>66</v>
      </c>
      <c r="AS1356" t="s">
        <v>66</v>
      </c>
      <c r="AT1356" t="s">
        <v>66</v>
      </c>
    </row>
    <row r="1357" spans="1:46" x14ac:dyDescent="0.15">
      <c r="A1357" t="s">
        <v>5514</v>
      </c>
      <c r="B1357" t="s">
        <v>5429</v>
      </c>
      <c r="C1357" t="s">
        <v>5430</v>
      </c>
      <c r="D1357">
        <v>17</v>
      </c>
      <c r="E1357" t="s">
        <v>5431</v>
      </c>
      <c r="F1357" t="s">
        <v>3592</v>
      </c>
      <c r="G1357" t="s">
        <v>51</v>
      </c>
      <c r="H1357" t="s">
        <v>5432</v>
      </c>
      <c r="I1357" t="s">
        <v>720</v>
      </c>
      <c r="J1357" t="s">
        <v>1554</v>
      </c>
      <c r="K1357" t="s">
        <v>1555</v>
      </c>
      <c r="L1357" t="s">
        <v>18</v>
      </c>
      <c r="M1357" t="s">
        <v>16</v>
      </c>
      <c r="N1357">
        <v>1398</v>
      </c>
      <c r="O1357">
        <v>78</v>
      </c>
      <c r="P1357">
        <v>0</v>
      </c>
      <c r="Q1357" t="s">
        <v>5515</v>
      </c>
      <c r="R1357" t="s">
        <v>5516</v>
      </c>
      <c r="S1357" t="s">
        <v>5517</v>
      </c>
      <c r="T1357" t="s">
        <v>5518</v>
      </c>
      <c r="U1357" t="s">
        <v>60</v>
      </c>
      <c r="V1357" t="s">
        <v>61</v>
      </c>
      <c r="W1357">
        <v>10</v>
      </c>
      <c r="X1357">
        <v>0.13125000000000001</v>
      </c>
      <c r="Y1357" t="s">
        <v>118</v>
      </c>
      <c r="Z1357" t="s">
        <v>170</v>
      </c>
      <c r="AA1357">
        <v>0</v>
      </c>
      <c r="AB1357" t="s">
        <v>5434</v>
      </c>
      <c r="AC1357" t="s">
        <v>5435</v>
      </c>
      <c r="AD1357" t="s">
        <v>5436</v>
      </c>
      <c r="AE1357" t="s">
        <v>5437</v>
      </c>
      <c r="AF1357" t="s">
        <v>5438</v>
      </c>
      <c r="AG1357" t="s">
        <v>66</v>
      </c>
      <c r="AH1357" t="s">
        <v>66</v>
      </c>
      <c r="AI1357" t="s">
        <v>66</v>
      </c>
      <c r="AJ1357" t="s">
        <v>66</v>
      </c>
      <c r="AK1357">
        <v>1</v>
      </c>
      <c r="AL1357" t="s">
        <v>66</v>
      </c>
      <c r="AM1357" t="s">
        <v>66</v>
      </c>
      <c r="AN1357" t="s">
        <v>66</v>
      </c>
      <c r="AO1357" t="s">
        <v>66</v>
      </c>
      <c r="AP1357">
        <v>1</v>
      </c>
      <c r="AQ1357" t="s">
        <v>66</v>
      </c>
      <c r="AR1357" t="s">
        <v>66</v>
      </c>
      <c r="AS1357" t="s">
        <v>66</v>
      </c>
      <c r="AT1357" t="s">
        <v>66</v>
      </c>
    </row>
    <row r="1358" spans="1:46" x14ac:dyDescent="0.15">
      <c r="A1358" t="s">
        <v>5519</v>
      </c>
      <c r="B1358" t="s">
        <v>5429</v>
      </c>
      <c r="C1358" t="s">
        <v>5430</v>
      </c>
      <c r="D1358">
        <v>18</v>
      </c>
      <c r="E1358" t="s">
        <v>5431</v>
      </c>
      <c r="F1358" t="s">
        <v>3592</v>
      </c>
      <c r="G1358" t="s">
        <v>51</v>
      </c>
      <c r="H1358" t="s">
        <v>5432</v>
      </c>
      <c r="I1358" t="s">
        <v>720</v>
      </c>
      <c r="J1358" t="s">
        <v>1554</v>
      </c>
      <c r="K1358" t="s">
        <v>1555</v>
      </c>
      <c r="L1358" t="s">
        <v>18</v>
      </c>
      <c r="M1358" t="s">
        <v>16</v>
      </c>
      <c r="N1358">
        <v>1454</v>
      </c>
      <c r="O1358">
        <v>81</v>
      </c>
      <c r="P1358">
        <v>0</v>
      </c>
      <c r="Q1358" t="s">
        <v>5520</v>
      </c>
      <c r="R1358" t="s">
        <v>5521</v>
      </c>
      <c r="S1358" t="s">
        <v>5522</v>
      </c>
      <c r="T1358" t="s">
        <v>5523</v>
      </c>
      <c r="U1358" t="s">
        <v>60</v>
      </c>
      <c r="V1358" t="s">
        <v>61</v>
      </c>
      <c r="W1358">
        <v>10</v>
      </c>
      <c r="X1358">
        <v>0.13125000000000001</v>
      </c>
      <c r="Y1358" t="s">
        <v>176</v>
      </c>
      <c r="Z1358" t="s">
        <v>177</v>
      </c>
      <c r="AA1358">
        <v>0</v>
      </c>
      <c r="AB1358" t="s">
        <v>5434</v>
      </c>
      <c r="AC1358" t="s">
        <v>5435</v>
      </c>
      <c r="AD1358" t="s">
        <v>5436</v>
      </c>
      <c r="AE1358" t="s">
        <v>5437</v>
      </c>
      <c r="AF1358" t="s">
        <v>5438</v>
      </c>
      <c r="AG1358" t="s">
        <v>66</v>
      </c>
      <c r="AH1358" t="s">
        <v>66</v>
      </c>
      <c r="AI1358" t="s">
        <v>66</v>
      </c>
      <c r="AJ1358" t="s">
        <v>66</v>
      </c>
      <c r="AK1358">
        <v>1</v>
      </c>
      <c r="AL1358" t="s">
        <v>66</v>
      </c>
      <c r="AM1358" t="s">
        <v>66</v>
      </c>
      <c r="AN1358" t="s">
        <v>66</v>
      </c>
      <c r="AO1358" t="s">
        <v>66</v>
      </c>
      <c r="AP1358">
        <v>1</v>
      </c>
      <c r="AQ1358" t="s">
        <v>66</v>
      </c>
      <c r="AR1358" t="s">
        <v>66</v>
      </c>
      <c r="AS1358" t="s">
        <v>66</v>
      </c>
      <c r="AT1358" t="s">
        <v>66</v>
      </c>
    </row>
    <row r="1359" spans="1:46" x14ac:dyDescent="0.15">
      <c r="A1359" t="s">
        <v>5524</v>
      </c>
      <c r="B1359" t="s">
        <v>5429</v>
      </c>
      <c r="C1359" t="s">
        <v>5430</v>
      </c>
      <c r="D1359">
        <v>19</v>
      </c>
      <c r="E1359" t="s">
        <v>5431</v>
      </c>
      <c r="F1359" t="s">
        <v>3592</v>
      </c>
      <c r="G1359" t="s">
        <v>51</v>
      </c>
      <c r="H1359" t="s">
        <v>5432</v>
      </c>
      <c r="I1359" t="s">
        <v>720</v>
      </c>
      <c r="J1359" t="s">
        <v>1554</v>
      </c>
      <c r="K1359" t="s">
        <v>1555</v>
      </c>
      <c r="L1359" t="s">
        <v>18</v>
      </c>
      <c r="M1359" t="s">
        <v>16</v>
      </c>
      <c r="N1359">
        <v>1510</v>
      </c>
      <c r="O1359">
        <v>84</v>
      </c>
      <c r="P1359">
        <v>0</v>
      </c>
      <c r="Q1359" t="s">
        <v>5525</v>
      </c>
      <c r="R1359" t="s">
        <v>5526</v>
      </c>
      <c r="S1359" t="s">
        <v>5527</v>
      </c>
      <c r="T1359" t="s">
        <v>5528</v>
      </c>
      <c r="U1359" t="s">
        <v>60</v>
      </c>
      <c r="V1359" t="s">
        <v>61</v>
      </c>
      <c r="W1359">
        <v>10</v>
      </c>
      <c r="X1359">
        <v>0.13125000000000001</v>
      </c>
      <c r="Y1359" t="s">
        <v>125</v>
      </c>
      <c r="Z1359" t="s">
        <v>183</v>
      </c>
      <c r="AA1359">
        <v>0</v>
      </c>
      <c r="AB1359" t="s">
        <v>5434</v>
      </c>
      <c r="AC1359" t="s">
        <v>5435</v>
      </c>
      <c r="AD1359" t="s">
        <v>5436</v>
      </c>
      <c r="AE1359" t="s">
        <v>5437</v>
      </c>
      <c r="AF1359" t="s">
        <v>5438</v>
      </c>
      <c r="AG1359" t="s">
        <v>66</v>
      </c>
      <c r="AH1359" t="s">
        <v>66</v>
      </c>
      <c r="AI1359" t="s">
        <v>66</v>
      </c>
      <c r="AJ1359" t="s">
        <v>66</v>
      </c>
      <c r="AK1359">
        <v>1</v>
      </c>
      <c r="AL1359" t="s">
        <v>66</v>
      </c>
      <c r="AM1359" t="s">
        <v>66</v>
      </c>
      <c r="AN1359" t="s">
        <v>66</v>
      </c>
      <c r="AO1359" t="s">
        <v>66</v>
      </c>
      <c r="AP1359">
        <v>1</v>
      </c>
      <c r="AQ1359" t="s">
        <v>66</v>
      </c>
      <c r="AR1359" t="s">
        <v>66</v>
      </c>
      <c r="AS1359" t="s">
        <v>66</v>
      </c>
      <c r="AT1359" t="s">
        <v>66</v>
      </c>
    </row>
    <row r="1360" spans="1:46" x14ac:dyDescent="0.15">
      <c r="A1360" t="s">
        <v>5529</v>
      </c>
      <c r="B1360" t="s">
        <v>5429</v>
      </c>
      <c r="C1360" t="s">
        <v>5430</v>
      </c>
      <c r="D1360">
        <v>20</v>
      </c>
      <c r="E1360" t="s">
        <v>5431</v>
      </c>
      <c r="F1360" t="s">
        <v>3592</v>
      </c>
      <c r="G1360" t="s">
        <v>51</v>
      </c>
      <c r="H1360" t="s">
        <v>5432</v>
      </c>
      <c r="I1360" t="s">
        <v>720</v>
      </c>
      <c r="J1360" t="s">
        <v>1554</v>
      </c>
      <c r="K1360" t="s">
        <v>1555</v>
      </c>
      <c r="L1360" t="s">
        <v>18</v>
      </c>
      <c r="M1360" t="s">
        <v>16</v>
      </c>
      <c r="N1360">
        <v>1566</v>
      </c>
      <c r="O1360">
        <v>87</v>
      </c>
      <c r="P1360">
        <v>0</v>
      </c>
      <c r="Q1360" t="s">
        <v>5530</v>
      </c>
      <c r="R1360" t="s">
        <v>5531</v>
      </c>
      <c r="S1360" t="s">
        <v>5532</v>
      </c>
      <c r="T1360" t="s">
        <v>5533</v>
      </c>
      <c r="U1360" t="s">
        <v>60</v>
      </c>
      <c r="V1360" t="s">
        <v>61</v>
      </c>
      <c r="W1360">
        <v>10</v>
      </c>
      <c r="X1360">
        <v>0.13125000000000001</v>
      </c>
      <c r="Y1360" t="s">
        <v>189</v>
      </c>
      <c r="Z1360" t="s">
        <v>190</v>
      </c>
      <c r="AA1360">
        <v>0</v>
      </c>
      <c r="AB1360" t="s">
        <v>5434</v>
      </c>
      <c r="AC1360" t="s">
        <v>5435</v>
      </c>
      <c r="AD1360" t="s">
        <v>5436</v>
      </c>
      <c r="AE1360" t="s">
        <v>5437</v>
      </c>
      <c r="AF1360" t="s">
        <v>5438</v>
      </c>
      <c r="AG1360" t="s">
        <v>66</v>
      </c>
      <c r="AH1360" t="s">
        <v>66</v>
      </c>
      <c r="AI1360" t="s">
        <v>66</v>
      </c>
      <c r="AJ1360" t="s">
        <v>66</v>
      </c>
      <c r="AK1360">
        <v>1</v>
      </c>
      <c r="AL1360" t="s">
        <v>66</v>
      </c>
      <c r="AM1360" t="s">
        <v>66</v>
      </c>
      <c r="AN1360" t="s">
        <v>66</v>
      </c>
      <c r="AO1360" t="s">
        <v>66</v>
      </c>
      <c r="AP1360">
        <v>1</v>
      </c>
      <c r="AQ1360" t="s">
        <v>66</v>
      </c>
      <c r="AR1360" t="s">
        <v>66</v>
      </c>
      <c r="AS1360" t="s">
        <v>66</v>
      </c>
      <c r="AT1360" t="s">
        <v>66</v>
      </c>
    </row>
    <row r="1361" spans="1:46" x14ac:dyDescent="0.15">
      <c r="A1361" t="s">
        <v>5529</v>
      </c>
      <c r="B1361" t="s">
        <v>5429</v>
      </c>
      <c r="C1361" t="s">
        <v>5430</v>
      </c>
      <c r="D1361">
        <v>20</v>
      </c>
      <c r="E1361" t="s">
        <v>5431</v>
      </c>
      <c r="F1361" t="s">
        <v>3592</v>
      </c>
      <c r="G1361" t="s">
        <v>51</v>
      </c>
      <c r="H1361" t="s">
        <v>5432</v>
      </c>
      <c r="I1361" t="s">
        <v>720</v>
      </c>
      <c r="J1361" t="s">
        <v>1554</v>
      </c>
      <c r="K1361" t="s">
        <v>1555</v>
      </c>
      <c r="L1361" t="s">
        <v>18</v>
      </c>
      <c r="M1361" t="s">
        <v>16</v>
      </c>
      <c r="N1361">
        <v>1566</v>
      </c>
      <c r="O1361">
        <v>87</v>
      </c>
      <c r="P1361">
        <v>0</v>
      </c>
      <c r="Q1361" t="s">
        <v>5530</v>
      </c>
      <c r="R1361" t="s">
        <v>5531</v>
      </c>
      <c r="S1361" t="s">
        <v>5532</v>
      </c>
      <c r="T1361" t="s">
        <v>5533</v>
      </c>
      <c r="U1361" t="s">
        <v>60</v>
      </c>
      <c r="V1361" t="s">
        <v>61</v>
      </c>
      <c r="W1361">
        <v>10</v>
      </c>
      <c r="X1361">
        <v>0.13125000000000001</v>
      </c>
      <c r="Y1361" t="s">
        <v>189</v>
      </c>
      <c r="Z1361" t="s">
        <v>190</v>
      </c>
      <c r="AA1361">
        <v>1</v>
      </c>
      <c r="AB1361" t="s">
        <v>5434</v>
      </c>
      <c r="AC1361" t="s">
        <v>5435</v>
      </c>
      <c r="AD1361" t="s">
        <v>5436</v>
      </c>
      <c r="AE1361" t="s">
        <v>5437</v>
      </c>
      <c r="AF1361" t="s">
        <v>5438</v>
      </c>
      <c r="AG1361" t="s">
        <v>66</v>
      </c>
      <c r="AH1361" t="s">
        <v>66</v>
      </c>
      <c r="AI1361" t="s">
        <v>66</v>
      </c>
      <c r="AJ1361" t="s">
        <v>66</v>
      </c>
      <c r="AK1361">
        <v>1</v>
      </c>
      <c r="AL1361" t="s">
        <v>5534</v>
      </c>
      <c r="AM1361" t="s">
        <v>5535</v>
      </c>
      <c r="AN1361" t="s">
        <v>66</v>
      </c>
      <c r="AO1361" t="s">
        <v>66</v>
      </c>
      <c r="AP1361">
        <v>1</v>
      </c>
      <c r="AQ1361" t="s">
        <v>66</v>
      </c>
      <c r="AR1361" t="s">
        <v>66</v>
      </c>
      <c r="AS1361" t="s">
        <v>66</v>
      </c>
      <c r="AT1361" t="s">
        <v>66</v>
      </c>
    </row>
    <row r="1362" spans="1:46" x14ac:dyDescent="0.15">
      <c r="A1362" t="s">
        <v>5536</v>
      </c>
      <c r="B1362" t="s">
        <v>5429</v>
      </c>
      <c r="C1362" t="s">
        <v>5430</v>
      </c>
      <c r="D1362">
        <v>21</v>
      </c>
      <c r="E1362" t="s">
        <v>5431</v>
      </c>
      <c r="F1362" t="s">
        <v>3592</v>
      </c>
      <c r="G1362" t="s">
        <v>51</v>
      </c>
      <c r="H1362" t="s">
        <v>5432</v>
      </c>
      <c r="I1362" t="s">
        <v>720</v>
      </c>
      <c r="J1362" t="s">
        <v>1554</v>
      </c>
      <c r="K1362" t="s">
        <v>1555</v>
      </c>
      <c r="L1362" t="s">
        <v>18</v>
      </c>
      <c r="M1362" t="s">
        <v>16</v>
      </c>
      <c r="N1362">
        <v>1622</v>
      </c>
      <c r="O1362">
        <v>90</v>
      </c>
      <c r="P1362">
        <v>0</v>
      </c>
      <c r="Q1362" t="s">
        <v>5537</v>
      </c>
      <c r="R1362" t="s">
        <v>5538</v>
      </c>
      <c r="S1362" t="s">
        <v>5539</v>
      </c>
      <c r="T1362" t="s">
        <v>5540</v>
      </c>
      <c r="U1362" t="s">
        <v>60</v>
      </c>
      <c r="V1362" t="s">
        <v>61</v>
      </c>
      <c r="W1362">
        <v>10</v>
      </c>
      <c r="X1362">
        <v>0.13125000000000001</v>
      </c>
      <c r="Y1362" t="s">
        <v>131</v>
      </c>
      <c r="Z1362" t="s">
        <v>197</v>
      </c>
      <c r="AA1362">
        <v>1</v>
      </c>
      <c r="AB1362" t="s">
        <v>5434</v>
      </c>
      <c r="AC1362" t="s">
        <v>5435</v>
      </c>
      <c r="AD1362" t="s">
        <v>5436</v>
      </c>
      <c r="AE1362" t="s">
        <v>5437</v>
      </c>
      <c r="AF1362" t="s">
        <v>5438</v>
      </c>
      <c r="AG1362" t="s">
        <v>66</v>
      </c>
      <c r="AH1362" t="s">
        <v>66</v>
      </c>
      <c r="AI1362" t="s">
        <v>66</v>
      </c>
      <c r="AJ1362" t="s">
        <v>66</v>
      </c>
      <c r="AK1362">
        <v>1</v>
      </c>
      <c r="AL1362" t="s">
        <v>5534</v>
      </c>
      <c r="AM1362" t="s">
        <v>5535</v>
      </c>
      <c r="AN1362" t="s">
        <v>66</v>
      </c>
      <c r="AO1362" t="s">
        <v>66</v>
      </c>
      <c r="AP1362">
        <v>1</v>
      </c>
      <c r="AQ1362" t="s">
        <v>66</v>
      </c>
      <c r="AR1362" t="s">
        <v>66</v>
      </c>
      <c r="AS1362" t="s">
        <v>66</v>
      </c>
      <c r="AT1362" t="s">
        <v>66</v>
      </c>
    </row>
    <row r="1363" spans="1:46" x14ac:dyDescent="0.15">
      <c r="A1363" t="s">
        <v>5541</v>
      </c>
      <c r="B1363" t="s">
        <v>5429</v>
      </c>
      <c r="C1363" t="s">
        <v>5430</v>
      </c>
      <c r="D1363">
        <v>22</v>
      </c>
      <c r="E1363" t="s">
        <v>5431</v>
      </c>
      <c r="F1363" t="s">
        <v>3592</v>
      </c>
      <c r="G1363" t="s">
        <v>51</v>
      </c>
      <c r="H1363" t="s">
        <v>5432</v>
      </c>
      <c r="I1363" t="s">
        <v>720</v>
      </c>
      <c r="J1363" t="s">
        <v>1554</v>
      </c>
      <c r="K1363" t="s">
        <v>1555</v>
      </c>
      <c r="L1363" t="s">
        <v>18</v>
      </c>
      <c r="M1363" t="s">
        <v>16</v>
      </c>
      <c r="N1363">
        <v>1679</v>
      </c>
      <c r="O1363">
        <v>93</v>
      </c>
      <c r="P1363">
        <v>0</v>
      </c>
      <c r="Q1363" t="s">
        <v>5542</v>
      </c>
      <c r="R1363" t="s">
        <v>5543</v>
      </c>
      <c r="S1363" t="s">
        <v>5544</v>
      </c>
      <c r="T1363" t="s">
        <v>5545</v>
      </c>
      <c r="U1363" t="s">
        <v>60</v>
      </c>
      <c r="V1363" t="s">
        <v>61</v>
      </c>
      <c r="W1363">
        <v>10</v>
      </c>
      <c r="X1363">
        <v>0.13125000000000001</v>
      </c>
      <c r="Y1363" t="s">
        <v>203</v>
      </c>
      <c r="Z1363" t="s">
        <v>204</v>
      </c>
      <c r="AA1363">
        <v>1</v>
      </c>
      <c r="AB1363" t="s">
        <v>5434</v>
      </c>
      <c r="AC1363" t="s">
        <v>5435</v>
      </c>
      <c r="AD1363" t="s">
        <v>5436</v>
      </c>
      <c r="AE1363" t="s">
        <v>5437</v>
      </c>
      <c r="AF1363" t="s">
        <v>5438</v>
      </c>
      <c r="AG1363" t="s">
        <v>66</v>
      </c>
      <c r="AH1363" t="s">
        <v>66</v>
      </c>
      <c r="AI1363" t="s">
        <v>66</v>
      </c>
      <c r="AJ1363" t="s">
        <v>66</v>
      </c>
      <c r="AK1363">
        <v>1</v>
      </c>
      <c r="AL1363" t="s">
        <v>5534</v>
      </c>
      <c r="AM1363" t="s">
        <v>5535</v>
      </c>
      <c r="AN1363" t="s">
        <v>66</v>
      </c>
      <c r="AO1363" t="s">
        <v>66</v>
      </c>
      <c r="AP1363">
        <v>1</v>
      </c>
      <c r="AQ1363" t="s">
        <v>66</v>
      </c>
      <c r="AR1363" t="s">
        <v>66</v>
      </c>
      <c r="AS1363" t="s">
        <v>66</v>
      </c>
      <c r="AT1363" t="s">
        <v>66</v>
      </c>
    </row>
    <row r="1364" spans="1:46" x14ac:dyDescent="0.15">
      <c r="A1364" t="s">
        <v>5546</v>
      </c>
      <c r="B1364" t="s">
        <v>5429</v>
      </c>
      <c r="C1364" t="s">
        <v>5430</v>
      </c>
      <c r="D1364">
        <v>23</v>
      </c>
      <c r="E1364" t="s">
        <v>5431</v>
      </c>
      <c r="F1364" t="s">
        <v>3592</v>
      </c>
      <c r="G1364" t="s">
        <v>51</v>
      </c>
      <c r="H1364" t="s">
        <v>5432</v>
      </c>
      <c r="I1364" t="s">
        <v>720</v>
      </c>
      <c r="J1364" t="s">
        <v>1554</v>
      </c>
      <c r="K1364" t="s">
        <v>1555</v>
      </c>
      <c r="L1364" t="s">
        <v>18</v>
      </c>
      <c r="M1364" t="s">
        <v>16</v>
      </c>
      <c r="N1364">
        <v>1735</v>
      </c>
      <c r="O1364">
        <v>96</v>
      </c>
      <c r="P1364">
        <v>0</v>
      </c>
      <c r="Q1364" t="s">
        <v>5547</v>
      </c>
      <c r="R1364" t="s">
        <v>5548</v>
      </c>
      <c r="S1364" t="s">
        <v>5549</v>
      </c>
      <c r="T1364" t="s">
        <v>5550</v>
      </c>
      <c r="U1364" t="s">
        <v>60</v>
      </c>
      <c r="V1364" t="s">
        <v>61</v>
      </c>
      <c r="W1364">
        <v>10</v>
      </c>
      <c r="X1364">
        <v>0.13125000000000001</v>
      </c>
      <c r="Y1364" t="s">
        <v>138</v>
      </c>
      <c r="Z1364" t="s">
        <v>210</v>
      </c>
      <c r="AA1364">
        <v>1</v>
      </c>
      <c r="AB1364" t="s">
        <v>5434</v>
      </c>
      <c r="AC1364" t="s">
        <v>5435</v>
      </c>
      <c r="AD1364" t="s">
        <v>5436</v>
      </c>
      <c r="AE1364" t="s">
        <v>5437</v>
      </c>
      <c r="AF1364" t="s">
        <v>5438</v>
      </c>
      <c r="AG1364" t="s">
        <v>66</v>
      </c>
      <c r="AH1364" t="s">
        <v>66</v>
      </c>
      <c r="AI1364" t="s">
        <v>66</v>
      </c>
      <c r="AJ1364" t="s">
        <v>66</v>
      </c>
      <c r="AK1364">
        <v>1</v>
      </c>
      <c r="AL1364" t="s">
        <v>5534</v>
      </c>
      <c r="AM1364" t="s">
        <v>5535</v>
      </c>
      <c r="AN1364" t="s">
        <v>66</v>
      </c>
      <c r="AO1364" t="s">
        <v>66</v>
      </c>
      <c r="AP1364">
        <v>1</v>
      </c>
      <c r="AQ1364" t="s">
        <v>66</v>
      </c>
      <c r="AR1364" t="s">
        <v>66</v>
      </c>
      <c r="AS1364" t="s">
        <v>66</v>
      </c>
      <c r="AT1364" t="s">
        <v>66</v>
      </c>
    </row>
    <row r="1365" spans="1:46" x14ac:dyDescent="0.15">
      <c r="A1365" t="s">
        <v>5551</v>
      </c>
      <c r="B1365" t="s">
        <v>5429</v>
      </c>
      <c r="C1365" t="s">
        <v>5430</v>
      </c>
      <c r="D1365">
        <v>24</v>
      </c>
      <c r="E1365" t="s">
        <v>5431</v>
      </c>
      <c r="F1365" t="s">
        <v>3592</v>
      </c>
      <c r="G1365" t="s">
        <v>51</v>
      </c>
      <c r="H1365" t="s">
        <v>5432</v>
      </c>
      <c r="I1365" t="s">
        <v>720</v>
      </c>
      <c r="J1365" t="s">
        <v>1554</v>
      </c>
      <c r="K1365" t="s">
        <v>1555</v>
      </c>
      <c r="L1365" t="s">
        <v>18</v>
      </c>
      <c r="M1365" t="s">
        <v>16</v>
      </c>
      <c r="N1365">
        <v>1791</v>
      </c>
      <c r="O1365">
        <v>99</v>
      </c>
      <c r="P1365">
        <v>0</v>
      </c>
      <c r="Q1365" t="s">
        <v>5552</v>
      </c>
      <c r="R1365" t="s">
        <v>5553</v>
      </c>
      <c r="S1365" t="s">
        <v>5554</v>
      </c>
      <c r="T1365" t="s">
        <v>5555</v>
      </c>
      <c r="U1365" t="s">
        <v>60</v>
      </c>
      <c r="V1365" t="s">
        <v>61</v>
      </c>
      <c r="W1365">
        <v>10</v>
      </c>
      <c r="X1365">
        <v>0.13125000000000001</v>
      </c>
      <c r="Y1365" t="s">
        <v>216</v>
      </c>
      <c r="Z1365" t="s">
        <v>217</v>
      </c>
      <c r="AA1365">
        <v>1</v>
      </c>
      <c r="AB1365" t="s">
        <v>5434</v>
      </c>
      <c r="AC1365" t="s">
        <v>5435</v>
      </c>
      <c r="AD1365" t="s">
        <v>5436</v>
      </c>
      <c r="AE1365" t="s">
        <v>5437</v>
      </c>
      <c r="AF1365" t="s">
        <v>5438</v>
      </c>
      <c r="AG1365" t="s">
        <v>66</v>
      </c>
      <c r="AH1365" t="s">
        <v>66</v>
      </c>
      <c r="AI1365" t="s">
        <v>66</v>
      </c>
      <c r="AJ1365" t="s">
        <v>66</v>
      </c>
      <c r="AK1365">
        <v>1</v>
      </c>
      <c r="AL1365" t="s">
        <v>5534</v>
      </c>
      <c r="AM1365" t="s">
        <v>5535</v>
      </c>
      <c r="AN1365" t="s">
        <v>66</v>
      </c>
      <c r="AO1365" t="s">
        <v>66</v>
      </c>
      <c r="AP1365">
        <v>1</v>
      </c>
      <c r="AQ1365" t="s">
        <v>66</v>
      </c>
      <c r="AR1365" t="s">
        <v>66</v>
      </c>
      <c r="AS1365" t="s">
        <v>66</v>
      </c>
      <c r="AT1365" t="s">
        <v>66</v>
      </c>
    </row>
    <row r="1366" spans="1:46" x14ac:dyDescent="0.15">
      <c r="A1366" t="s">
        <v>5556</v>
      </c>
      <c r="B1366" t="s">
        <v>5429</v>
      </c>
      <c r="C1366" t="s">
        <v>5430</v>
      </c>
      <c r="D1366">
        <v>25</v>
      </c>
      <c r="E1366" t="s">
        <v>5431</v>
      </c>
      <c r="F1366" t="s">
        <v>3592</v>
      </c>
      <c r="G1366" t="s">
        <v>51</v>
      </c>
      <c r="H1366" t="s">
        <v>5432</v>
      </c>
      <c r="I1366" t="s">
        <v>720</v>
      </c>
      <c r="J1366" t="s">
        <v>1554</v>
      </c>
      <c r="K1366" t="s">
        <v>1555</v>
      </c>
      <c r="L1366" t="s">
        <v>18</v>
      </c>
      <c r="M1366" t="s">
        <v>16</v>
      </c>
      <c r="N1366">
        <v>1847</v>
      </c>
      <c r="O1366">
        <v>102</v>
      </c>
      <c r="P1366">
        <v>0</v>
      </c>
      <c r="Q1366" t="s">
        <v>5557</v>
      </c>
      <c r="R1366" t="s">
        <v>5558</v>
      </c>
      <c r="S1366" t="s">
        <v>5559</v>
      </c>
      <c r="T1366" t="s">
        <v>5560</v>
      </c>
      <c r="U1366" t="s">
        <v>60</v>
      </c>
      <c r="V1366" t="s">
        <v>61</v>
      </c>
      <c r="W1366">
        <v>10</v>
      </c>
      <c r="X1366">
        <v>0.13125000000000001</v>
      </c>
      <c r="Y1366" t="s">
        <v>144</v>
      </c>
      <c r="Z1366" t="s">
        <v>223</v>
      </c>
      <c r="AA1366">
        <v>1</v>
      </c>
      <c r="AB1366" t="s">
        <v>5434</v>
      </c>
      <c r="AC1366" t="s">
        <v>5435</v>
      </c>
      <c r="AD1366" t="s">
        <v>5436</v>
      </c>
      <c r="AE1366" t="s">
        <v>5437</v>
      </c>
      <c r="AF1366" t="s">
        <v>5438</v>
      </c>
      <c r="AG1366" t="s">
        <v>66</v>
      </c>
      <c r="AH1366" t="s">
        <v>66</v>
      </c>
      <c r="AI1366" t="s">
        <v>66</v>
      </c>
      <c r="AJ1366" t="s">
        <v>66</v>
      </c>
      <c r="AK1366">
        <v>1</v>
      </c>
      <c r="AL1366" t="s">
        <v>5534</v>
      </c>
      <c r="AM1366" t="s">
        <v>5535</v>
      </c>
      <c r="AN1366" t="s">
        <v>66</v>
      </c>
      <c r="AO1366" t="s">
        <v>66</v>
      </c>
      <c r="AP1366">
        <v>1</v>
      </c>
      <c r="AQ1366" t="s">
        <v>66</v>
      </c>
      <c r="AR1366" t="s">
        <v>66</v>
      </c>
      <c r="AS1366" t="s">
        <v>66</v>
      </c>
      <c r="AT1366" t="s">
        <v>66</v>
      </c>
    </row>
    <row r="1367" spans="1:46" x14ac:dyDescent="0.15">
      <c r="A1367" t="s">
        <v>5561</v>
      </c>
      <c r="B1367" t="s">
        <v>5429</v>
      </c>
      <c r="C1367" t="s">
        <v>5430</v>
      </c>
      <c r="D1367">
        <v>26</v>
      </c>
      <c r="E1367" t="s">
        <v>5431</v>
      </c>
      <c r="F1367" t="s">
        <v>3592</v>
      </c>
      <c r="G1367" t="s">
        <v>51</v>
      </c>
      <c r="H1367" t="s">
        <v>5432</v>
      </c>
      <c r="I1367" t="s">
        <v>720</v>
      </c>
      <c r="J1367" t="s">
        <v>1554</v>
      </c>
      <c r="K1367" t="s">
        <v>1555</v>
      </c>
      <c r="L1367" t="s">
        <v>18</v>
      </c>
      <c r="M1367" t="s">
        <v>16</v>
      </c>
      <c r="N1367">
        <v>1903</v>
      </c>
      <c r="O1367">
        <v>105</v>
      </c>
      <c r="P1367">
        <v>0</v>
      </c>
      <c r="Q1367" t="s">
        <v>5562</v>
      </c>
      <c r="R1367" t="s">
        <v>5563</v>
      </c>
      <c r="S1367" t="s">
        <v>5564</v>
      </c>
      <c r="T1367" t="s">
        <v>5565</v>
      </c>
      <c r="U1367" t="s">
        <v>60</v>
      </c>
      <c r="V1367" t="s">
        <v>61</v>
      </c>
      <c r="W1367">
        <v>10</v>
      </c>
      <c r="X1367">
        <v>0.13125000000000001</v>
      </c>
      <c r="Y1367" t="s">
        <v>229</v>
      </c>
      <c r="Z1367" t="s">
        <v>230</v>
      </c>
      <c r="AA1367">
        <v>1</v>
      </c>
      <c r="AB1367" t="s">
        <v>5434</v>
      </c>
      <c r="AC1367" t="s">
        <v>5435</v>
      </c>
      <c r="AD1367" t="s">
        <v>5436</v>
      </c>
      <c r="AE1367" t="s">
        <v>5437</v>
      </c>
      <c r="AF1367" t="s">
        <v>5438</v>
      </c>
      <c r="AG1367" t="s">
        <v>66</v>
      </c>
      <c r="AH1367" t="s">
        <v>66</v>
      </c>
      <c r="AI1367" t="s">
        <v>66</v>
      </c>
      <c r="AJ1367" t="s">
        <v>66</v>
      </c>
      <c r="AK1367">
        <v>1</v>
      </c>
      <c r="AL1367" t="s">
        <v>5534</v>
      </c>
      <c r="AM1367" t="s">
        <v>5535</v>
      </c>
      <c r="AN1367" t="s">
        <v>66</v>
      </c>
      <c r="AO1367" t="s">
        <v>66</v>
      </c>
      <c r="AP1367">
        <v>1</v>
      </c>
      <c r="AQ1367" t="s">
        <v>66</v>
      </c>
      <c r="AR1367" t="s">
        <v>66</v>
      </c>
      <c r="AS1367" t="s">
        <v>66</v>
      </c>
      <c r="AT1367" t="s">
        <v>66</v>
      </c>
    </row>
    <row r="1368" spans="1:46" x14ac:dyDescent="0.15">
      <c r="A1368" t="s">
        <v>5566</v>
      </c>
      <c r="B1368" t="s">
        <v>5429</v>
      </c>
      <c r="C1368" t="s">
        <v>5430</v>
      </c>
      <c r="D1368">
        <v>27</v>
      </c>
      <c r="E1368" t="s">
        <v>5431</v>
      </c>
      <c r="F1368" t="s">
        <v>3592</v>
      </c>
      <c r="G1368" t="s">
        <v>51</v>
      </c>
      <c r="H1368" t="s">
        <v>5432</v>
      </c>
      <c r="I1368" t="s">
        <v>720</v>
      </c>
      <c r="J1368" t="s">
        <v>1554</v>
      </c>
      <c r="K1368" t="s">
        <v>1555</v>
      </c>
      <c r="L1368" t="s">
        <v>18</v>
      </c>
      <c r="M1368" t="s">
        <v>16</v>
      </c>
      <c r="N1368">
        <v>1959</v>
      </c>
      <c r="O1368">
        <v>108</v>
      </c>
      <c r="P1368">
        <v>0</v>
      </c>
      <c r="Q1368" t="s">
        <v>5567</v>
      </c>
      <c r="R1368" t="s">
        <v>5568</v>
      </c>
      <c r="S1368" t="s">
        <v>5569</v>
      </c>
      <c r="T1368" t="s">
        <v>5570</v>
      </c>
      <c r="U1368" t="s">
        <v>60</v>
      </c>
      <c r="V1368" t="s">
        <v>61</v>
      </c>
      <c r="W1368">
        <v>10</v>
      </c>
      <c r="X1368">
        <v>0.13125000000000001</v>
      </c>
      <c r="Y1368" t="s">
        <v>151</v>
      </c>
      <c r="Z1368" t="s">
        <v>236</v>
      </c>
      <c r="AA1368">
        <v>1</v>
      </c>
      <c r="AB1368" t="s">
        <v>5434</v>
      </c>
      <c r="AC1368" t="s">
        <v>5435</v>
      </c>
      <c r="AD1368" t="s">
        <v>5436</v>
      </c>
      <c r="AE1368" t="s">
        <v>5437</v>
      </c>
      <c r="AF1368" t="s">
        <v>5438</v>
      </c>
      <c r="AG1368" t="s">
        <v>66</v>
      </c>
      <c r="AH1368" t="s">
        <v>66</v>
      </c>
      <c r="AI1368" t="s">
        <v>66</v>
      </c>
      <c r="AJ1368" t="s">
        <v>66</v>
      </c>
      <c r="AK1368">
        <v>1</v>
      </c>
      <c r="AL1368" t="s">
        <v>5534</v>
      </c>
      <c r="AM1368" t="s">
        <v>5535</v>
      </c>
      <c r="AN1368" t="s">
        <v>66</v>
      </c>
      <c r="AO1368" t="s">
        <v>66</v>
      </c>
      <c r="AP1368">
        <v>1</v>
      </c>
      <c r="AQ1368" t="s">
        <v>66</v>
      </c>
      <c r="AR1368" t="s">
        <v>66</v>
      </c>
      <c r="AS1368" t="s">
        <v>66</v>
      </c>
      <c r="AT1368" t="s">
        <v>66</v>
      </c>
    </row>
    <row r="1369" spans="1:46" x14ac:dyDescent="0.15">
      <c r="A1369" t="s">
        <v>5571</v>
      </c>
      <c r="B1369" t="s">
        <v>5429</v>
      </c>
      <c r="C1369" t="s">
        <v>5430</v>
      </c>
      <c r="D1369">
        <v>28</v>
      </c>
      <c r="E1369" t="s">
        <v>5431</v>
      </c>
      <c r="F1369" t="s">
        <v>3592</v>
      </c>
      <c r="G1369" t="s">
        <v>51</v>
      </c>
      <c r="H1369" t="s">
        <v>5432</v>
      </c>
      <c r="I1369" t="s">
        <v>720</v>
      </c>
      <c r="J1369" t="s">
        <v>1554</v>
      </c>
      <c r="K1369" t="s">
        <v>1555</v>
      </c>
      <c r="L1369" t="s">
        <v>18</v>
      </c>
      <c r="M1369" t="s">
        <v>16</v>
      </c>
      <c r="N1369">
        <v>2015</v>
      </c>
      <c r="O1369">
        <v>111</v>
      </c>
      <c r="P1369">
        <v>0</v>
      </c>
      <c r="Q1369" t="s">
        <v>5572</v>
      </c>
      <c r="R1369" t="s">
        <v>5573</v>
      </c>
      <c r="S1369" t="s">
        <v>5574</v>
      </c>
      <c r="T1369" t="s">
        <v>5575</v>
      </c>
      <c r="U1369" t="s">
        <v>60</v>
      </c>
      <c r="V1369" t="s">
        <v>61</v>
      </c>
      <c r="W1369">
        <v>10</v>
      </c>
      <c r="X1369">
        <v>0.13125000000000001</v>
      </c>
      <c r="Y1369" t="s">
        <v>242</v>
      </c>
      <c r="Z1369" t="s">
        <v>243</v>
      </c>
      <c r="AA1369">
        <v>1</v>
      </c>
      <c r="AB1369" t="s">
        <v>5434</v>
      </c>
      <c r="AC1369" t="s">
        <v>5435</v>
      </c>
      <c r="AD1369" t="s">
        <v>5436</v>
      </c>
      <c r="AE1369" t="s">
        <v>5437</v>
      </c>
      <c r="AF1369" t="s">
        <v>5438</v>
      </c>
      <c r="AG1369" t="s">
        <v>66</v>
      </c>
      <c r="AH1369" t="s">
        <v>66</v>
      </c>
      <c r="AI1369" t="s">
        <v>66</v>
      </c>
      <c r="AJ1369" t="s">
        <v>66</v>
      </c>
      <c r="AK1369">
        <v>1</v>
      </c>
      <c r="AL1369" t="s">
        <v>5534</v>
      </c>
      <c r="AM1369" t="s">
        <v>5535</v>
      </c>
      <c r="AN1369" t="s">
        <v>66</v>
      </c>
      <c r="AO1369" t="s">
        <v>66</v>
      </c>
      <c r="AP1369">
        <v>1</v>
      </c>
      <c r="AQ1369" t="s">
        <v>66</v>
      </c>
      <c r="AR1369" t="s">
        <v>66</v>
      </c>
      <c r="AS1369" t="s">
        <v>66</v>
      </c>
      <c r="AT1369" t="s">
        <v>66</v>
      </c>
    </row>
    <row r="1370" spans="1:46" x14ac:dyDescent="0.15">
      <c r="A1370" t="s">
        <v>5576</v>
      </c>
      <c r="B1370" t="s">
        <v>5429</v>
      </c>
      <c r="C1370" t="s">
        <v>5430</v>
      </c>
      <c r="D1370">
        <v>29</v>
      </c>
      <c r="E1370" t="s">
        <v>5431</v>
      </c>
      <c r="F1370" t="s">
        <v>3592</v>
      </c>
      <c r="G1370" t="s">
        <v>51</v>
      </c>
      <c r="H1370" t="s">
        <v>5432</v>
      </c>
      <c r="I1370" t="s">
        <v>720</v>
      </c>
      <c r="J1370" t="s">
        <v>1554</v>
      </c>
      <c r="K1370" t="s">
        <v>1555</v>
      </c>
      <c r="L1370" t="s">
        <v>18</v>
      </c>
      <c r="M1370" t="s">
        <v>16</v>
      </c>
      <c r="N1370">
        <v>2071</v>
      </c>
      <c r="O1370">
        <v>114</v>
      </c>
      <c r="P1370">
        <v>0</v>
      </c>
      <c r="Q1370" t="s">
        <v>5577</v>
      </c>
      <c r="R1370" t="s">
        <v>5578</v>
      </c>
      <c r="S1370" t="s">
        <v>5579</v>
      </c>
      <c r="T1370" t="s">
        <v>5580</v>
      </c>
      <c r="U1370" t="s">
        <v>60</v>
      </c>
      <c r="V1370" t="s">
        <v>61</v>
      </c>
      <c r="W1370">
        <v>10</v>
      </c>
      <c r="X1370">
        <v>0.13125000000000001</v>
      </c>
      <c r="Y1370" t="s">
        <v>157</v>
      </c>
      <c r="Z1370" t="s">
        <v>249</v>
      </c>
      <c r="AA1370">
        <v>1</v>
      </c>
      <c r="AB1370" t="s">
        <v>5434</v>
      </c>
      <c r="AC1370" t="s">
        <v>5435</v>
      </c>
      <c r="AD1370" t="s">
        <v>5436</v>
      </c>
      <c r="AE1370" t="s">
        <v>5437</v>
      </c>
      <c r="AF1370" t="s">
        <v>5438</v>
      </c>
      <c r="AG1370" t="s">
        <v>66</v>
      </c>
      <c r="AH1370" t="s">
        <v>66</v>
      </c>
      <c r="AI1370" t="s">
        <v>66</v>
      </c>
      <c r="AJ1370" t="s">
        <v>66</v>
      </c>
      <c r="AK1370">
        <v>1</v>
      </c>
      <c r="AL1370" t="s">
        <v>5534</v>
      </c>
      <c r="AM1370" t="s">
        <v>5535</v>
      </c>
      <c r="AN1370" t="s">
        <v>66</v>
      </c>
      <c r="AO1370" t="s">
        <v>66</v>
      </c>
      <c r="AP1370">
        <v>1</v>
      </c>
      <c r="AQ1370" t="s">
        <v>66</v>
      </c>
      <c r="AR1370" t="s">
        <v>66</v>
      </c>
      <c r="AS1370" t="s">
        <v>66</v>
      </c>
      <c r="AT1370" t="s">
        <v>66</v>
      </c>
    </row>
    <row r="1371" spans="1:46" x14ac:dyDescent="0.15">
      <c r="A1371" t="s">
        <v>5581</v>
      </c>
      <c r="B1371" t="s">
        <v>5429</v>
      </c>
      <c r="C1371" t="s">
        <v>5430</v>
      </c>
      <c r="D1371">
        <v>30</v>
      </c>
      <c r="E1371" t="s">
        <v>5431</v>
      </c>
      <c r="F1371" t="s">
        <v>3592</v>
      </c>
      <c r="G1371" t="s">
        <v>51</v>
      </c>
      <c r="H1371" t="s">
        <v>5432</v>
      </c>
      <c r="I1371" t="s">
        <v>720</v>
      </c>
      <c r="J1371" t="s">
        <v>1554</v>
      </c>
      <c r="K1371" t="s">
        <v>1555</v>
      </c>
      <c r="L1371" t="s">
        <v>18</v>
      </c>
      <c r="M1371" t="s">
        <v>16</v>
      </c>
      <c r="N1371">
        <v>2128</v>
      </c>
      <c r="O1371">
        <v>117</v>
      </c>
      <c r="P1371">
        <v>0</v>
      </c>
      <c r="Q1371" t="s">
        <v>5582</v>
      </c>
      <c r="R1371" t="s">
        <v>5583</v>
      </c>
      <c r="S1371" t="s">
        <v>5584</v>
      </c>
      <c r="T1371" t="s">
        <v>5585</v>
      </c>
      <c r="U1371" t="s">
        <v>60</v>
      </c>
      <c r="V1371" t="s">
        <v>61</v>
      </c>
      <c r="W1371">
        <v>10</v>
      </c>
      <c r="X1371">
        <v>0.13125000000000001</v>
      </c>
      <c r="Y1371" t="s">
        <v>255</v>
      </c>
      <c r="Z1371" t="s">
        <v>256</v>
      </c>
      <c r="AA1371">
        <v>1</v>
      </c>
      <c r="AB1371" t="s">
        <v>5434</v>
      </c>
      <c r="AC1371" t="s">
        <v>5435</v>
      </c>
      <c r="AD1371" t="s">
        <v>5436</v>
      </c>
      <c r="AE1371" t="s">
        <v>5437</v>
      </c>
      <c r="AF1371" t="s">
        <v>5438</v>
      </c>
      <c r="AG1371" t="s">
        <v>66</v>
      </c>
      <c r="AH1371" t="s">
        <v>66</v>
      </c>
      <c r="AI1371" t="s">
        <v>66</v>
      </c>
      <c r="AJ1371" t="s">
        <v>66</v>
      </c>
      <c r="AK1371">
        <v>1</v>
      </c>
      <c r="AL1371" t="s">
        <v>5534</v>
      </c>
      <c r="AM1371" t="s">
        <v>5535</v>
      </c>
      <c r="AN1371" t="s">
        <v>66</v>
      </c>
      <c r="AO1371" t="s">
        <v>66</v>
      </c>
      <c r="AP1371">
        <v>1</v>
      </c>
      <c r="AQ1371" t="s">
        <v>66</v>
      </c>
      <c r="AR1371" t="s">
        <v>66</v>
      </c>
      <c r="AS1371" t="s">
        <v>66</v>
      </c>
      <c r="AT1371" t="s">
        <v>66</v>
      </c>
    </row>
    <row r="1372" spans="1:46" x14ac:dyDescent="0.15">
      <c r="A1372" t="s">
        <v>5586</v>
      </c>
      <c r="B1372" t="s">
        <v>5429</v>
      </c>
      <c r="C1372" t="s">
        <v>5430</v>
      </c>
      <c r="D1372">
        <v>31</v>
      </c>
      <c r="E1372" t="s">
        <v>5431</v>
      </c>
      <c r="F1372" t="s">
        <v>3592</v>
      </c>
      <c r="G1372" t="s">
        <v>51</v>
      </c>
      <c r="H1372" t="s">
        <v>5432</v>
      </c>
      <c r="I1372" t="s">
        <v>720</v>
      </c>
      <c r="J1372" t="s">
        <v>1554</v>
      </c>
      <c r="K1372" t="s">
        <v>1555</v>
      </c>
      <c r="L1372" t="s">
        <v>18</v>
      </c>
      <c r="M1372" t="s">
        <v>16</v>
      </c>
      <c r="N1372">
        <v>2184</v>
      </c>
      <c r="O1372">
        <v>120</v>
      </c>
      <c r="P1372">
        <v>0</v>
      </c>
      <c r="Q1372" t="s">
        <v>5587</v>
      </c>
      <c r="R1372" t="s">
        <v>5588</v>
      </c>
      <c r="S1372" t="s">
        <v>5589</v>
      </c>
      <c r="T1372" t="s">
        <v>5590</v>
      </c>
      <c r="U1372" t="s">
        <v>60</v>
      </c>
      <c r="V1372" t="s">
        <v>61</v>
      </c>
      <c r="W1372">
        <v>10</v>
      </c>
      <c r="X1372">
        <v>0.13125000000000001</v>
      </c>
      <c r="Y1372" t="s">
        <v>164</v>
      </c>
      <c r="Z1372" t="s">
        <v>262</v>
      </c>
      <c r="AA1372">
        <v>1</v>
      </c>
      <c r="AB1372" t="s">
        <v>5434</v>
      </c>
      <c r="AC1372" t="s">
        <v>5435</v>
      </c>
      <c r="AD1372" t="s">
        <v>5436</v>
      </c>
      <c r="AE1372" t="s">
        <v>5437</v>
      </c>
      <c r="AF1372" t="s">
        <v>5438</v>
      </c>
      <c r="AG1372" t="s">
        <v>66</v>
      </c>
      <c r="AH1372" t="s">
        <v>66</v>
      </c>
      <c r="AI1372" t="s">
        <v>66</v>
      </c>
      <c r="AJ1372" t="s">
        <v>66</v>
      </c>
      <c r="AK1372">
        <v>1</v>
      </c>
      <c r="AL1372" t="s">
        <v>5534</v>
      </c>
      <c r="AM1372" t="s">
        <v>5535</v>
      </c>
      <c r="AN1372" t="s">
        <v>66</v>
      </c>
      <c r="AO1372" t="s">
        <v>66</v>
      </c>
      <c r="AP1372">
        <v>1</v>
      </c>
      <c r="AQ1372" t="s">
        <v>66</v>
      </c>
      <c r="AR1372" t="s">
        <v>66</v>
      </c>
      <c r="AS1372" t="s">
        <v>66</v>
      </c>
      <c r="AT1372" t="s">
        <v>66</v>
      </c>
    </row>
    <row r="1373" spans="1:46" x14ac:dyDescent="0.15">
      <c r="A1373" t="s">
        <v>5591</v>
      </c>
      <c r="B1373" t="s">
        <v>5429</v>
      </c>
      <c r="C1373" t="s">
        <v>5430</v>
      </c>
      <c r="D1373">
        <v>32</v>
      </c>
      <c r="E1373" t="s">
        <v>5431</v>
      </c>
      <c r="F1373" t="s">
        <v>3592</v>
      </c>
      <c r="G1373" t="s">
        <v>51</v>
      </c>
      <c r="H1373" t="s">
        <v>5432</v>
      </c>
      <c r="I1373" t="s">
        <v>720</v>
      </c>
      <c r="J1373" t="s">
        <v>1554</v>
      </c>
      <c r="K1373" t="s">
        <v>1555</v>
      </c>
      <c r="L1373" t="s">
        <v>18</v>
      </c>
      <c r="M1373" t="s">
        <v>16</v>
      </c>
      <c r="N1373">
        <v>2240</v>
      </c>
      <c r="O1373">
        <v>123</v>
      </c>
      <c r="P1373">
        <v>0</v>
      </c>
      <c r="Q1373" t="s">
        <v>5592</v>
      </c>
      <c r="R1373" t="s">
        <v>5593</v>
      </c>
      <c r="S1373" t="s">
        <v>5594</v>
      </c>
      <c r="T1373" t="s">
        <v>5595</v>
      </c>
      <c r="U1373" t="s">
        <v>60</v>
      </c>
      <c r="V1373" t="s">
        <v>61</v>
      </c>
      <c r="W1373">
        <v>10</v>
      </c>
      <c r="X1373">
        <v>0.13125000000000001</v>
      </c>
      <c r="Y1373" t="s">
        <v>268</v>
      </c>
      <c r="Z1373" t="s">
        <v>269</v>
      </c>
      <c r="AA1373">
        <v>1</v>
      </c>
      <c r="AB1373" t="s">
        <v>5434</v>
      </c>
      <c r="AC1373" t="s">
        <v>5435</v>
      </c>
      <c r="AD1373" t="s">
        <v>5436</v>
      </c>
      <c r="AE1373" t="s">
        <v>5437</v>
      </c>
      <c r="AF1373" t="s">
        <v>5438</v>
      </c>
      <c r="AG1373" t="s">
        <v>66</v>
      </c>
      <c r="AH1373" t="s">
        <v>66</v>
      </c>
      <c r="AI1373" t="s">
        <v>66</v>
      </c>
      <c r="AJ1373" t="s">
        <v>66</v>
      </c>
      <c r="AK1373">
        <v>1</v>
      </c>
      <c r="AL1373" t="s">
        <v>5534</v>
      </c>
      <c r="AM1373" t="s">
        <v>5535</v>
      </c>
      <c r="AN1373" t="s">
        <v>66</v>
      </c>
      <c r="AO1373" t="s">
        <v>66</v>
      </c>
      <c r="AP1373">
        <v>1</v>
      </c>
      <c r="AQ1373" t="s">
        <v>66</v>
      </c>
      <c r="AR1373" t="s">
        <v>66</v>
      </c>
      <c r="AS1373" t="s">
        <v>66</v>
      </c>
      <c r="AT1373" t="s">
        <v>66</v>
      </c>
    </row>
    <row r="1374" spans="1:46" x14ac:dyDescent="0.15">
      <c r="A1374" t="s">
        <v>5596</v>
      </c>
      <c r="B1374" t="s">
        <v>5429</v>
      </c>
      <c r="C1374" t="s">
        <v>5430</v>
      </c>
      <c r="D1374">
        <v>33</v>
      </c>
      <c r="E1374" t="s">
        <v>5431</v>
      </c>
      <c r="F1374" t="s">
        <v>3592</v>
      </c>
      <c r="G1374" t="s">
        <v>51</v>
      </c>
      <c r="H1374" t="s">
        <v>5432</v>
      </c>
      <c r="I1374" t="s">
        <v>720</v>
      </c>
      <c r="J1374" t="s">
        <v>1554</v>
      </c>
      <c r="K1374" t="s">
        <v>1555</v>
      </c>
      <c r="L1374" t="s">
        <v>18</v>
      </c>
      <c r="M1374" t="s">
        <v>16</v>
      </c>
      <c r="N1374">
        <v>2296</v>
      </c>
      <c r="O1374">
        <v>126</v>
      </c>
      <c r="P1374">
        <v>0</v>
      </c>
      <c r="Q1374" t="s">
        <v>5597</v>
      </c>
      <c r="R1374" t="s">
        <v>5598</v>
      </c>
      <c r="S1374" t="s">
        <v>5599</v>
      </c>
      <c r="T1374" t="s">
        <v>5600</v>
      </c>
      <c r="U1374" t="s">
        <v>60</v>
      </c>
      <c r="V1374" t="s">
        <v>61</v>
      </c>
      <c r="W1374">
        <v>10</v>
      </c>
      <c r="X1374">
        <v>0.13125000000000001</v>
      </c>
      <c r="Y1374" t="s">
        <v>170</v>
      </c>
      <c r="Z1374" t="s">
        <v>275</v>
      </c>
      <c r="AA1374">
        <v>1</v>
      </c>
      <c r="AB1374" t="s">
        <v>5434</v>
      </c>
      <c r="AC1374" t="s">
        <v>5435</v>
      </c>
      <c r="AD1374" t="s">
        <v>5436</v>
      </c>
      <c r="AE1374" t="s">
        <v>5437</v>
      </c>
      <c r="AF1374" t="s">
        <v>5438</v>
      </c>
      <c r="AG1374" t="s">
        <v>66</v>
      </c>
      <c r="AH1374" t="s">
        <v>66</v>
      </c>
      <c r="AI1374" t="s">
        <v>66</v>
      </c>
      <c r="AJ1374" t="s">
        <v>66</v>
      </c>
      <c r="AK1374">
        <v>1</v>
      </c>
      <c r="AL1374" t="s">
        <v>5534</v>
      </c>
      <c r="AM1374" t="s">
        <v>5535</v>
      </c>
      <c r="AN1374" t="s">
        <v>66</v>
      </c>
      <c r="AO1374" t="s">
        <v>66</v>
      </c>
      <c r="AP1374">
        <v>1</v>
      </c>
      <c r="AQ1374" t="s">
        <v>66</v>
      </c>
      <c r="AR1374" t="s">
        <v>66</v>
      </c>
      <c r="AS1374" t="s">
        <v>66</v>
      </c>
      <c r="AT1374" t="s">
        <v>66</v>
      </c>
    </row>
    <row r="1375" spans="1:46" x14ac:dyDescent="0.15">
      <c r="A1375" t="s">
        <v>5601</v>
      </c>
      <c r="B1375" t="s">
        <v>5429</v>
      </c>
      <c r="C1375" t="s">
        <v>5430</v>
      </c>
      <c r="D1375">
        <v>34</v>
      </c>
      <c r="E1375" t="s">
        <v>5431</v>
      </c>
      <c r="F1375" t="s">
        <v>3592</v>
      </c>
      <c r="G1375" t="s">
        <v>51</v>
      </c>
      <c r="H1375" t="s">
        <v>5432</v>
      </c>
      <c r="I1375" t="s">
        <v>720</v>
      </c>
      <c r="J1375" t="s">
        <v>1554</v>
      </c>
      <c r="K1375" t="s">
        <v>1555</v>
      </c>
      <c r="L1375" t="s">
        <v>18</v>
      </c>
      <c r="M1375" t="s">
        <v>16</v>
      </c>
      <c r="N1375">
        <v>2352</v>
      </c>
      <c r="O1375">
        <v>129</v>
      </c>
      <c r="P1375">
        <v>0</v>
      </c>
      <c r="Q1375" t="s">
        <v>5602</v>
      </c>
      <c r="R1375" t="s">
        <v>5603</v>
      </c>
      <c r="S1375" t="s">
        <v>5604</v>
      </c>
      <c r="T1375" t="s">
        <v>5605</v>
      </c>
      <c r="U1375" t="s">
        <v>60</v>
      </c>
      <c r="V1375" t="s">
        <v>61</v>
      </c>
      <c r="W1375">
        <v>10</v>
      </c>
      <c r="X1375">
        <v>0.13125000000000001</v>
      </c>
      <c r="Y1375" t="s">
        <v>281</v>
      </c>
      <c r="Z1375" t="s">
        <v>282</v>
      </c>
      <c r="AA1375">
        <v>1</v>
      </c>
      <c r="AB1375" t="s">
        <v>5434</v>
      </c>
      <c r="AC1375" t="s">
        <v>5435</v>
      </c>
      <c r="AD1375" t="s">
        <v>5436</v>
      </c>
      <c r="AE1375" t="s">
        <v>5437</v>
      </c>
      <c r="AF1375" t="s">
        <v>5438</v>
      </c>
      <c r="AG1375" t="s">
        <v>66</v>
      </c>
      <c r="AH1375" t="s">
        <v>66</v>
      </c>
      <c r="AI1375" t="s">
        <v>66</v>
      </c>
      <c r="AJ1375" t="s">
        <v>66</v>
      </c>
      <c r="AK1375">
        <v>1</v>
      </c>
      <c r="AL1375" t="s">
        <v>5534</v>
      </c>
      <c r="AM1375" t="s">
        <v>5535</v>
      </c>
      <c r="AN1375" t="s">
        <v>66</v>
      </c>
      <c r="AO1375" t="s">
        <v>66</v>
      </c>
      <c r="AP1375">
        <v>1</v>
      </c>
      <c r="AQ1375" t="s">
        <v>66</v>
      </c>
      <c r="AR1375" t="s">
        <v>66</v>
      </c>
      <c r="AS1375" t="s">
        <v>66</v>
      </c>
      <c r="AT1375" t="s">
        <v>66</v>
      </c>
    </row>
    <row r="1376" spans="1:46" x14ac:dyDescent="0.15">
      <c r="A1376" t="s">
        <v>5606</v>
      </c>
      <c r="B1376" t="s">
        <v>5429</v>
      </c>
      <c r="C1376" t="s">
        <v>5430</v>
      </c>
      <c r="D1376">
        <v>35</v>
      </c>
      <c r="E1376" t="s">
        <v>5431</v>
      </c>
      <c r="F1376" t="s">
        <v>3592</v>
      </c>
      <c r="G1376" t="s">
        <v>51</v>
      </c>
      <c r="H1376" t="s">
        <v>5432</v>
      </c>
      <c r="I1376" t="s">
        <v>720</v>
      </c>
      <c r="J1376" t="s">
        <v>1554</v>
      </c>
      <c r="K1376" t="s">
        <v>1555</v>
      </c>
      <c r="L1376" t="s">
        <v>18</v>
      </c>
      <c r="M1376" t="s">
        <v>16</v>
      </c>
      <c r="N1376">
        <v>2408</v>
      </c>
      <c r="O1376">
        <v>132</v>
      </c>
      <c r="P1376">
        <v>0</v>
      </c>
      <c r="Q1376" t="s">
        <v>5607</v>
      </c>
      <c r="R1376" t="s">
        <v>5608</v>
      </c>
      <c r="S1376" t="s">
        <v>5609</v>
      </c>
      <c r="T1376" t="s">
        <v>5610</v>
      </c>
      <c r="U1376" t="s">
        <v>60</v>
      </c>
      <c r="V1376" t="s">
        <v>61</v>
      </c>
      <c r="W1376">
        <v>10</v>
      </c>
      <c r="X1376">
        <v>0.13125000000000001</v>
      </c>
      <c r="Y1376" t="s">
        <v>177</v>
      </c>
      <c r="Z1376" t="s">
        <v>288</v>
      </c>
      <c r="AA1376">
        <v>1</v>
      </c>
      <c r="AB1376" t="s">
        <v>5434</v>
      </c>
      <c r="AC1376" t="s">
        <v>5435</v>
      </c>
      <c r="AD1376" t="s">
        <v>5436</v>
      </c>
      <c r="AE1376" t="s">
        <v>5437</v>
      </c>
      <c r="AF1376" t="s">
        <v>5438</v>
      </c>
      <c r="AG1376" t="s">
        <v>66</v>
      </c>
      <c r="AH1376" t="s">
        <v>66</v>
      </c>
      <c r="AI1376" t="s">
        <v>66</v>
      </c>
      <c r="AJ1376" t="s">
        <v>66</v>
      </c>
      <c r="AK1376">
        <v>1</v>
      </c>
      <c r="AL1376" t="s">
        <v>5534</v>
      </c>
      <c r="AM1376" t="s">
        <v>5535</v>
      </c>
      <c r="AN1376" t="s">
        <v>66</v>
      </c>
      <c r="AO1376" t="s">
        <v>66</v>
      </c>
      <c r="AP1376">
        <v>1</v>
      </c>
      <c r="AQ1376" t="s">
        <v>66</v>
      </c>
      <c r="AR1376" t="s">
        <v>66</v>
      </c>
      <c r="AS1376" t="s">
        <v>66</v>
      </c>
      <c r="AT1376" t="s">
        <v>66</v>
      </c>
    </row>
    <row r="1377" spans="1:46" x14ac:dyDescent="0.15">
      <c r="A1377" t="s">
        <v>5611</v>
      </c>
      <c r="B1377" t="s">
        <v>5429</v>
      </c>
      <c r="C1377" t="s">
        <v>5430</v>
      </c>
      <c r="D1377">
        <v>36</v>
      </c>
      <c r="E1377" t="s">
        <v>5431</v>
      </c>
      <c r="F1377" t="s">
        <v>3592</v>
      </c>
      <c r="G1377" t="s">
        <v>51</v>
      </c>
      <c r="H1377" t="s">
        <v>5432</v>
      </c>
      <c r="I1377" t="s">
        <v>720</v>
      </c>
      <c r="J1377" t="s">
        <v>1554</v>
      </c>
      <c r="K1377" t="s">
        <v>1555</v>
      </c>
      <c r="L1377" t="s">
        <v>18</v>
      </c>
      <c r="M1377" t="s">
        <v>16</v>
      </c>
      <c r="N1377">
        <v>2464</v>
      </c>
      <c r="O1377">
        <v>135</v>
      </c>
      <c r="P1377">
        <v>0</v>
      </c>
      <c r="Q1377" t="s">
        <v>5612</v>
      </c>
      <c r="R1377" t="s">
        <v>5613</v>
      </c>
      <c r="S1377" t="s">
        <v>5614</v>
      </c>
      <c r="T1377" t="s">
        <v>5615</v>
      </c>
      <c r="U1377" t="s">
        <v>60</v>
      </c>
      <c r="V1377" t="s">
        <v>61</v>
      </c>
      <c r="W1377">
        <v>10</v>
      </c>
      <c r="X1377">
        <v>0.13125000000000001</v>
      </c>
      <c r="Y1377" t="s">
        <v>294</v>
      </c>
      <c r="Z1377" t="s">
        <v>295</v>
      </c>
      <c r="AA1377">
        <v>1</v>
      </c>
      <c r="AB1377" t="s">
        <v>5434</v>
      </c>
      <c r="AC1377" t="s">
        <v>5435</v>
      </c>
      <c r="AD1377" t="s">
        <v>5436</v>
      </c>
      <c r="AE1377" t="s">
        <v>5437</v>
      </c>
      <c r="AF1377" t="s">
        <v>5438</v>
      </c>
      <c r="AG1377" t="s">
        <v>66</v>
      </c>
      <c r="AH1377" t="s">
        <v>66</v>
      </c>
      <c r="AI1377" t="s">
        <v>66</v>
      </c>
      <c r="AJ1377" t="s">
        <v>66</v>
      </c>
      <c r="AK1377">
        <v>1</v>
      </c>
      <c r="AL1377" t="s">
        <v>5534</v>
      </c>
      <c r="AM1377" t="s">
        <v>5535</v>
      </c>
      <c r="AN1377" t="s">
        <v>66</v>
      </c>
      <c r="AO1377" t="s">
        <v>66</v>
      </c>
      <c r="AP1377">
        <v>1</v>
      </c>
      <c r="AQ1377" t="s">
        <v>66</v>
      </c>
      <c r="AR1377" t="s">
        <v>66</v>
      </c>
      <c r="AS1377" t="s">
        <v>66</v>
      </c>
      <c r="AT1377" t="s">
        <v>66</v>
      </c>
    </row>
    <row r="1378" spans="1:46" x14ac:dyDescent="0.15">
      <c r="A1378" t="s">
        <v>5616</v>
      </c>
      <c r="B1378" t="s">
        <v>5429</v>
      </c>
      <c r="C1378" t="s">
        <v>5430</v>
      </c>
      <c r="D1378">
        <v>37</v>
      </c>
      <c r="E1378" t="s">
        <v>5431</v>
      </c>
      <c r="F1378" t="s">
        <v>3592</v>
      </c>
      <c r="G1378" t="s">
        <v>51</v>
      </c>
      <c r="H1378" t="s">
        <v>5432</v>
      </c>
      <c r="I1378" t="s">
        <v>720</v>
      </c>
      <c r="J1378" t="s">
        <v>1554</v>
      </c>
      <c r="K1378" t="s">
        <v>1555</v>
      </c>
      <c r="L1378" t="s">
        <v>18</v>
      </c>
      <c r="M1378" t="s">
        <v>16</v>
      </c>
      <c r="N1378">
        <v>2520</v>
      </c>
      <c r="O1378">
        <v>138</v>
      </c>
      <c r="P1378">
        <v>0</v>
      </c>
      <c r="Q1378" t="s">
        <v>5617</v>
      </c>
      <c r="R1378" t="s">
        <v>5618</v>
      </c>
      <c r="S1378" t="s">
        <v>5619</v>
      </c>
      <c r="T1378" t="s">
        <v>5620</v>
      </c>
      <c r="U1378" t="s">
        <v>60</v>
      </c>
      <c r="V1378" t="s">
        <v>61</v>
      </c>
      <c r="W1378">
        <v>10</v>
      </c>
      <c r="X1378">
        <v>0.13125000000000001</v>
      </c>
      <c r="Y1378" t="s">
        <v>183</v>
      </c>
      <c r="Z1378" t="s">
        <v>301</v>
      </c>
      <c r="AA1378">
        <v>1</v>
      </c>
      <c r="AB1378" t="s">
        <v>5434</v>
      </c>
      <c r="AC1378" t="s">
        <v>5435</v>
      </c>
      <c r="AD1378" t="s">
        <v>5436</v>
      </c>
      <c r="AE1378" t="s">
        <v>5437</v>
      </c>
      <c r="AF1378" t="s">
        <v>5438</v>
      </c>
      <c r="AG1378" t="s">
        <v>66</v>
      </c>
      <c r="AH1378" t="s">
        <v>66</v>
      </c>
      <c r="AI1378" t="s">
        <v>66</v>
      </c>
      <c r="AJ1378" t="s">
        <v>66</v>
      </c>
      <c r="AK1378">
        <v>1</v>
      </c>
      <c r="AL1378" t="s">
        <v>5534</v>
      </c>
      <c r="AM1378" t="s">
        <v>5535</v>
      </c>
      <c r="AN1378" t="s">
        <v>66</v>
      </c>
      <c r="AO1378" t="s">
        <v>66</v>
      </c>
      <c r="AP1378">
        <v>1</v>
      </c>
      <c r="AQ1378" t="s">
        <v>66</v>
      </c>
      <c r="AR1378" t="s">
        <v>66</v>
      </c>
      <c r="AS1378" t="s">
        <v>66</v>
      </c>
      <c r="AT1378" t="s">
        <v>66</v>
      </c>
    </row>
    <row r="1379" spans="1:46" x14ac:dyDescent="0.15">
      <c r="A1379" t="s">
        <v>5621</v>
      </c>
      <c r="B1379" t="s">
        <v>5429</v>
      </c>
      <c r="C1379" t="s">
        <v>5430</v>
      </c>
      <c r="D1379">
        <v>38</v>
      </c>
      <c r="E1379" t="s">
        <v>5431</v>
      </c>
      <c r="F1379" t="s">
        <v>3592</v>
      </c>
      <c r="G1379" t="s">
        <v>51</v>
      </c>
      <c r="H1379" t="s">
        <v>5432</v>
      </c>
      <c r="I1379" t="s">
        <v>720</v>
      </c>
      <c r="J1379" t="s">
        <v>1554</v>
      </c>
      <c r="K1379" t="s">
        <v>1555</v>
      </c>
      <c r="L1379" t="s">
        <v>18</v>
      </c>
      <c r="M1379" t="s">
        <v>16</v>
      </c>
      <c r="N1379">
        <v>2577</v>
      </c>
      <c r="O1379">
        <v>141</v>
      </c>
      <c r="P1379">
        <v>0</v>
      </c>
      <c r="Q1379" t="s">
        <v>5622</v>
      </c>
      <c r="R1379" t="s">
        <v>5623</v>
      </c>
      <c r="S1379" t="s">
        <v>5624</v>
      </c>
      <c r="T1379" t="s">
        <v>5625</v>
      </c>
      <c r="U1379" t="s">
        <v>60</v>
      </c>
      <c r="V1379" t="s">
        <v>61</v>
      </c>
      <c r="W1379">
        <v>10</v>
      </c>
      <c r="X1379">
        <v>0.13125000000000001</v>
      </c>
      <c r="Y1379" t="s">
        <v>307</v>
      </c>
      <c r="Z1379" t="s">
        <v>308</v>
      </c>
      <c r="AA1379">
        <v>1</v>
      </c>
      <c r="AB1379" t="s">
        <v>5434</v>
      </c>
      <c r="AC1379" t="s">
        <v>5435</v>
      </c>
      <c r="AD1379" t="s">
        <v>5436</v>
      </c>
      <c r="AE1379" t="s">
        <v>5437</v>
      </c>
      <c r="AF1379" t="s">
        <v>5438</v>
      </c>
      <c r="AG1379" t="s">
        <v>66</v>
      </c>
      <c r="AH1379" t="s">
        <v>66</v>
      </c>
      <c r="AI1379" t="s">
        <v>66</v>
      </c>
      <c r="AJ1379" t="s">
        <v>66</v>
      </c>
      <c r="AK1379">
        <v>1</v>
      </c>
      <c r="AL1379" t="s">
        <v>5534</v>
      </c>
      <c r="AM1379" t="s">
        <v>5535</v>
      </c>
      <c r="AN1379" t="s">
        <v>66</v>
      </c>
      <c r="AO1379" t="s">
        <v>66</v>
      </c>
      <c r="AP1379">
        <v>1</v>
      </c>
      <c r="AQ1379" t="s">
        <v>66</v>
      </c>
      <c r="AR1379" t="s">
        <v>66</v>
      </c>
      <c r="AS1379" t="s">
        <v>66</v>
      </c>
      <c r="AT1379" t="s">
        <v>66</v>
      </c>
    </row>
    <row r="1380" spans="1:46" x14ac:dyDescent="0.15">
      <c r="A1380" t="s">
        <v>5626</v>
      </c>
      <c r="B1380" t="s">
        <v>5429</v>
      </c>
      <c r="C1380" t="s">
        <v>5430</v>
      </c>
      <c r="D1380">
        <v>39</v>
      </c>
      <c r="E1380" t="s">
        <v>5431</v>
      </c>
      <c r="F1380" t="s">
        <v>3592</v>
      </c>
      <c r="G1380" t="s">
        <v>51</v>
      </c>
      <c r="H1380" t="s">
        <v>5432</v>
      </c>
      <c r="I1380" t="s">
        <v>720</v>
      </c>
      <c r="J1380" t="s">
        <v>1554</v>
      </c>
      <c r="K1380" t="s">
        <v>1555</v>
      </c>
      <c r="L1380" t="s">
        <v>18</v>
      </c>
      <c r="M1380" t="s">
        <v>16</v>
      </c>
      <c r="N1380">
        <v>2633</v>
      </c>
      <c r="O1380">
        <v>144</v>
      </c>
      <c r="P1380">
        <v>0</v>
      </c>
      <c r="Q1380" t="s">
        <v>5627</v>
      </c>
      <c r="R1380" t="s">
        <v>5628</v>
      </c>
      <c r="S1380" t="s">
        <v>5629</v>
      </c>
      <c r="T1380" t="s">
        <v>5630</v>
      </c>
      <c r="U1380" t="s">
        <v>60</v>
      </c>
      <c r="V1380" t="s">
        <v>61</v>
      </c>
      <c r="W1380">
        <v>10</v>
      </c>
      <c r="X1380">
        <v>0.13125000000000001</v>
      </c>
      <c r="Y1380" t="s">
        <v>190</v>
      </c>
      <c r="Z1380" t="s">
        <v>314</v>
      </c>
      <c r="AA1380">
        <v>1</v>
      </c>
      <c r="AB1380" t="s">
        <v>5434</v>
      </c>
      <c r="AC1380" t="s">
        <v>5435</v>
      </c>
      <c r="AD1380" t="s">
        <v>5436</v>
      </c>
      <c r="AE1380" t="s">
        <v>5437</v>
      </c>
      <c r="AF1380" t="s">
        <v>5438</v>
      </c>
      <c r="AG1380" t="s">
        <v>66</v>
      </c>
      <c r="AH1380" t="s">
        <v>66</v>
      </c>
      <c r="AI1380" t="s">
        <v>66</v>
      </c>
      <c r="AJ1380" t="s">
        <v>66</v>
      </c>
      <c r="AK1380">
        <v>1</v>
      </c>
      <c r="AL1380" t="s">
        <v>5534</v>
      </c>
      <c r="AM1380" t="s">
        <v>5535</v>
      </c>
      <c r="AN1380" t="s">
        <v>66</v>
      </c>
      <c r="AO1380" t="s">
        <v>66</v>
      </c>
      <c r="AP1380">
        <v>1</v>
      </c>
      <c r="AQ1380" t="s">
        <v>66</v>
      </c>
      <c r="AR1380" t="s">
        <v>66</v>
      </c>
      <c r="AS1380" t="s">
        <v>66</v>
      </c>
      <c r="AT1380" t="s">
        <v>66</v>
      </c>
    </row>
    <row r="1381" spans="1:46" x14ac:dyDescent="0.15">
      <c r="A1381" t="s">
        <v>5631</v>
      </c>
      <c r="B1381" t="s">
        <v>5429</v>
      </c>
      <c r="C1381" t="s">
        <v>5430</v>
      </c>
      <c r="D1381">
        <v>40</v>
      </c>
      <c r="E1381" t="s">
        <v>5431</v>
      </c>
      <c r="F1381" t="s">
        <v>3592</v>
      </c>
      <c r="G1381" t="s">
        <v>51</v>
      </c>
      <c r="H1381" t="s">
        <v>5432</v>
      </c>
      <c r="I1381" t="s">
        <v>720</v>
      </c>
      <c r="J1381" t="s">
        <v>1554</v>
      </c>
      <c r="K1381" t="s">
        <v>1555</v>
      </c>
      <c r="L1381" t="s">
        <v>18</v>
      </c>
      <c r="M1381" t="s">
        <v>16</v>
      </c>
      <c r="N1381">
        <v>2689</v>
      </c>
      <c r="O1381">
        <v>147</v>
      </c>
      <c r="P1381">
        <v>0</v>
      </c>
      <c r="Q1381" t="s">
        <v>5632</v>
      </c>
      <c r="R1381" t="s">
        <v>5633</v>
      </c>
      <c r="S1381" t="s">
        <v>5634</v>
      </c>
      <c r="T1381" t="s">
        <v>5635</v>
      </c>
      <c r="U1381" t="s">
        <v>60</v>
      </c>
      <c r="V1381" t="s">
        <v>61</v>
      </c>
      <c r="W1381">
        <v>10</v>
      </c>
      <c r="X1381">
        <v>0.13125000000000001</v>
      </c>
      <c r="Y1381" t="s">
        <v>320</v>
      </c>
      <c r="Z1381" t="s">
        <v>321</v>
      </c>
      <c r="AA1381">
        <v>1</v>
      </c>
      <c r="AB1381" t="s">
        <v>5434</v>
      </c>
      <c r="AC1381" t="s">
        <v>5435</v>
      </c>
      <c r="AD1381" t="s">
        <v>5436</v>
      </c>
      <c r="AE1381" t="s">
        <v>5437</v>
      </c>
      <c r="AF1381" t="s">
        <v>5438</v>
      </c>
      <c r="AG1381" t="s">
        <v>66</v>
      </c>
      <c r="AH1381" t="s">
        <v>66</v>
      </c>
      <c r="AI1381" t="s">
        <v>66</v>
      </c>
      <c r="AJ1381" t="s">
        <v>66</v>
      </c>
      <c r="AK1381">
        <v>1</v>
      </c>
      <c r="AL1381" t="s">
        <v>5534</v>
      </c>
      <c r="AM1381" t="s">
        <v>5535</v>
      </c>
      <c r="AN1381" t="s">
        <v>66</v>
      </c>
      <c r="AO1381" t="s">
        <v>66</v>
      </c>
      <c r="AP1381">
        <v>1</v>
      </c>
      <c r="AQ1381" t="s">
        <v>66</v>
      </c>
      <c r="AR1381" t="s">
        <v>66</v>
      </c>
      <c r="AS1381" t="s">
        <v>66</v>
      </c>
      <c r="AT1381" t="s">
        <v>66</v>
      </c>
    </row>
    <row r="1382" spans="1:46" x14ac:dyDescent="0.15">
      <c r="A1382" t="s">
        <v>5631</v>
      </c>
      <c r="B1382" t="s">
        <v>5429</v>
      </c>
      <c r="C1382" t="s">
        <v>5430</v>
      </c>
      <c r="D1382">
        <v>40</v>
      </c>
      <c r="E1382" t="s">
        <v>5431</v>
      </c>
      <c r="F1382" t="s">
        <v>3592</v>
      </c>
      <c r="G1382" t="s">
        <v>51</v>
      </c>
      <c r="H1382" t="s">
        <v>5432</v>
      </c>
      <c r="I1382" t="s">
        <v>720</v>
      </c>
      <c r="J1382" t="s">
        <v>1554</v>
      </c>
      <c r="K1382" t="s">
        <v>1555</v>
      </c>
      <c r="L1382" t="s">
        <v>18</v>
      </c>
      <c r="M1382" t="s">
        <v>16</v>
      </c>
      <c r="N1382">
        <v>2689</v>
      </c>
      <c r="O1382">
        <v>147</v>
      </c>
      <c r="P1382">
        <v>0</v>
      </c>
      <c r="Q1382" t="s">
        <v>5632</v>
      </c>
      <c r="R1382" t="s">
        <v>5633</v>
      </c>
      <c r="S1382" t="s">
        <v>5634</v>
      </c>
      <c r="T1382" t="s">
        <v>5635</v>
      </c>
      <c r="U1382" t="s">
        <v>60</v>
      </c>
      <c r="V1382" t="s">
        <v>61</v>
      </c>
      <c r="W1382">
        <v>10</v>
      </c>
      <c r="X1382">
        <v>0.13125000000000001</v>
      </c>
      <c r="Y1382" t="s">
        <v>320</v>
      </c>
      <c r="Z1382" t="s">
        <v>321</v>
      </c>
      <c r="AA1382">
        <v>2</v>
      </c>
      <c r="AB1382" t="s">
        <v>5434</v>
      </c>
      <c r="AC1382" t="s">
        <v>5435</v>
      </c>
      <c r="AD1382" t="s">
        <v>5436</v>
      </c>
      <c r="AE1382" t="s">
        <v>5437</v>
      </c>
      <c r="AF1382" t="s">
        <v>5438</v>
      </c>
      <c r="AG1382" t="s">
        <v>66</v>
      </c>
      <c r="AH1382" t="s">
        <v>66</v>
      </c>
      <c r="AI1382" t="s">
        <v>66</v>
      </c>
      <c r="AJ1382" t="s">
        <v>66</v>
      </c>
      <c r="AK1382">
        <v>1</v>
      </c>
      <c r="AL1382" t="s">
        <v>5636</v>
      </c>
      <c r="AM1382" t="s">
        <v>5535</v>
      </c>
      <c r="AN1382" t="s">
        <v>5637</v>
      </c>
      <c r="AO1382" t="s">
        <v>66</v>
      </c>
      <c r="AP1382">
        <v>1</v>
      </c>
      <c r="AQ1382" t="s">
        <v>5638</v>
      </c>
      <c r="AR1382" t="s">
        <v>5639</v>
      </c>
      <c r="AS1382" t="s">
        <v>66</v>
      </c>
      <c r="AT1382" t="s">
        <v>66</v>
      </c>
    </row>
    <row r="1383" spans="1:46" x14ac:dyDescent="0.15">
      <c r="A1383" t="s">
        <v>5640</v>
      </c>
      <c r="B1383" t="s">
        <v>5429</v>
      </c>
      <c r="C1383" t="s">
        <v>5430</v>
      </c>
      <c r="D1383">
        <v>41</v>
      </c>
      <c r="E1383" t="s">
        <v>5431</v>
      </c>
      <c r="F1383" t="s">
        <v>3592</v>
      </c>
      <c r="G1383" t="s">
        <v>51</v>
      </c>
      <c r="H1383" t="s">
        <v>5432</v>
      </c>
      <c r="I1383" t="s">
        <v>720</v>
      </c>
      <c r="J1383" t="s">
        <v>1554</v>
      </c>
      <c r="K1383" t="s">
        <v>1555</v>
      </c>
      <c r="L1383" t="s">
        <v>18</v>
      </c>
      <c r="M1383" t="s">
        <v>16</v>
      </c>
      <c r="N1383">
        <v>2745</v>
      </c>
      <c r="O1383">
        <v>150</v>
      </c>
      <c r="P1383">
        <v>0</v>
      </c>
      <c r="Q1383" t="s">
        <v>5641</v>
      </c>
      <c r="R1383" t="s">
        <v>5642</v>
      </c>
      <c r="S1383" t="s">
        <v>5643</v>
      </c>
      <c r="T1383" t="s">
        <v>5644</v>
      </c>
      <c r="U1383" t="s">
        <v>60</v>
      </c>
      <c r="V1383" t="s">
        <v>61</v>
      </c>
      <c r="W1383">
        <v>10</v>
      </c>
      <c r="X1383">
        <v>0.13125000000000001</v>
      </c>
      <c r="Y1383" t="s">
        <v>197</v>
      </c>
      <c r="Z1383" t="s">
        <v>330</v>
      </c>
      <c r="AA1383">
        <v>2</v>
      </c>
      <c r="AB1383" t="s">
        <v>5434</v>
      </c>
      <c r="AC1383" t="s">
        <v>5435</v>
      </c>
      <c r="AD1383" t="s">
        <v>5436</v>
      </c>
      <c r="AE1383" t="s">
        <v>5437</v>
      </c>
      <c r="AF1383" t="s">
        <v>5438</v>
      </c>
      <c r="AG1383" t="s">
        <v>66</v>
      </c>
      <c r="AH1383" t="s">
        <v>66</v>
      </c>
      <c r="AI1383" t="s">
        <v>66</v>
      </c>
      <c r="AJ1383" t="s">
        <v>66</v>
      </c>
      <c r="AK1383">
        <v>1</v>
      </c>
      <c r="AL1383" t="s">
        <v>5636</v>
      </c>
      <c r="AM1383" t="s">
        <v>5535</v>
      </c>
      <c r="AN1383" t="s">
        <v>5637</v>
      </c>
      <c r="AO1383" t="s">
        <v>66</v>
      </c>
      <c r="AP1383">
        <v>1</v>
      </c>
      <c r="AQ1383" t="s">
        <v>5638</v>
      </c>
      <c r="AR1383" t="s">
        <v>5639</v>
      </c>
      <c r="AS1383" t="s">
        <v>66</v>
      </c>
      <c r="AT1383" t="s">
        <v>66</v>
      </c>
    </row>
    <row r="1384" spans="1:46" x14ac:dyDescent="0.15">
      <c r="A1384" t="s">
        <v>5645</v>
      </c>
      <c r="B1384" t="s">
        <v>5429</v>
      </c>
      <c r="C1384" t="s">
        <v>5430</v>
      </c>
      <c r="D1384">
        <v>42</v>
      </c>
      <c r="E1384" t="s">
        <v>5431</v>
      </c>
      <c r="F1384" t="s">
        <v>3592</v>
      </c>
      <c r="G1384" t="s">
        <v>51</v>
      </c>
      <c r="H1384" t="s">
        <v>5432</v>
      </c>
      <c r="I1384" t="s">
        <v>720</v>
      </c>
      <c r="J1384" t="s">
        <v>1554</v>
      </c>
      <c r="K1384" t="s">
        <v>1555</v>
      </c>
      <c r="L1384" t="s">
        <v>18</v>
      </c>
      <c r="M1384" t="s">
        <v>16</v>
      </c>
      <c r="N1384">
        <v>2801</v>
      </c>
      <c r="O1384">
        <v>153</v>
      </c>
      <c r="P1384">
        <v>0</v>
      </c>
      <c r="Q1384" t="s">
        <v>5646</v>
      </c>
      <c r="R1384" t="s">
        <v>5647</v>
      </c>
      <c r="S1384" t="s">
        <v>5648</v>
      </c>
      <c r="T1384" t="s">
        <v>5649</v>
      </c>
      <c r="U1384" t="s">
        <v>60</v>
      </c>
      <c r="V1384" t="s">
        <v>61</v>
      </c>
      <c r="W1384">
        <v>10</v>
      </c>
      <c r="X1384">
        <v>0.13125000000000001</v>
      </c>
      <c r="Y1384" t="s">
        <v>336</v>
      </c>
      <c r="Z1384" t="s">
        <v>337</v>
      </c>
      <c r="AA1384">
        <v>2</v>
      </c>
      <c r="AB1384" t="s">
        <v>5434</v>
      </c>
      <c r="AC1384" t="s">
        <v>5435</v>
      </c>
      <c r="AD1384" t="s">
        <v>5436</v>
      </c>
      <c r="AE1384" t="s">
        <v>5437</v>
      </c>
      <c r="AF1384" t="s">
        <v>5438</v>
      </c>
      <c r="AG1384" t="s">
        <v>66</v>
      </c>
      <c r="AH1384" t="s">
        <v>66</v>
      </c>
      <c r="AI1384" t="s">
        <v>66</v>
      </c>
      <c r="AJ1384" t="s">
        <v>66</v>
      </c>
      <c r="AK1384">
        <v>1</v>
      </c>
      <c r="AL1384" t="s">
        <v>5636</v>
      </c>
      <c r="AM1384" t="s">
        <v>5535</v>
      </c>
      <c r="AN1384" t="s">
        <v>5637</v>
      </c>
      <c r="AO1384" t="s">
        <v>66</v>
      </c>
      <c r="AP1384">
        <v>1</v>
      </c>
      <c r="AQ1384" t="s">
        <v>5638</v>
      </c>
      <c r="AR1384" t="s">
        <v>5639</v>
      </c>
      <c r="AS1384" t="s">
        <v>66</v>
      </c>
      <c r="AT1384" t="s">
        <v>66</v>
      </c>
    </row>
    <row r="1385" spans="1:46" x14ac:dyDescent="0.15">
      <c r="A1385" t="s">
        <v>5650</v>
      </c>
      <c r="B1385" t="s">
        <v>5429</v>
      </c>
      <c r="C1385" t="s">
        <v>5430</v>
      </c>
      <c r="D1385">
        <v>43</v>
      </c>
      <c r="E1385" t="s">
        <v>5431</v>
      </c>
      <c r="F1385" t="s">
        <v>3592</v>
      </c>
      <c r="G1385" t="s">
        <v>51</v>
      </c>
      <c r="H1385" t="s">
        <v>5432</v>
      </c>
      <c r="I1385" t="s">
        <v>720</v>
      </c>
      <c r="J1385" t="s">
        <v>1554</v>
      </c>
      <c r="K1385" t="s">
        <v>1555</v>
      </c>
      <c r="L1385" t="s">
        <v>18</v>
      </c>
      <c r="M1385" t="s">
        <v>16</v>
      </c>
      <c r="N1385">
        <v>2857</v>
      </c>
      <c r="O1385">
        <v>156</v>
      </c>
      <c r="P1385">
        <v>0</v>
      </c>
      <c r="Q1385" t="s">
        <v>5651</v>
      </c>
      <c r="R1385" t="s">
        <v>5652</v>
      </c>
      <c r="S1385" t="s">
        <v>5653</v>
      </c>
      <c r="T1385" t="s">
        <v>5654</v>
      </c>
      <c r="U1385" t="s">
        <v>60</v>
      </c>
      <c r="V1385" t="s">
        <v>61</v>
      </c>
      <c r="W1385">
        <v>10</v>
      </c>
      <c r="X1385">
        <v>0.13125000000000001</v>
      </c>
      <c r="Y1385" t="s">
        <v>204</v>
      </c>
      <c r="Z1385" t="s">
        <v>343</v>
      </c>
      <c r="AA1385">
        <v>2</v>
      </c>
      <c r="AB1385" t="s">
        <v>5434</v>
      </c>
      <c r="AC1385" t="s">
        <v>5435</v>
      </c>
      <c r="AD1385" t="s">
        <v>5436</v>
      </c>
      <c r="AE1385" t="s">
        <v>5437</v>
      </c>
      <c r="AF1385" t="s">
        <v>5438</v>
      </c>
      <c r="AG1385" t="s">
        <v>66</v>
      </c>
      <c r="AH1385" t="s">
        <v>66</v>
      </c>
      <c r="AI1385" t="s">
        <v>66</v>
      </c>
      <c r="AJ1385" t="s">
        <v>66</v>
      </c>
      <c r="AK1385">
        <v>1</v>
      </c>
      <c r="AL1385" t="s">
        <v>5636</v>
      </c>
      <c r="AM1385" t="s">
        <v>5535</v>
      </c>
      <c r="AN1385" t="s">
        <v>5637</v>
      </c>
      <c r="AO1385" t="s">
        <v>66</v>
      </c>
      <c r="AP1385">
        <v>1</v>
      </c>
      <c r="AQ1385" t="s">
        <v>5638</v>
      </c>
      <c r="AR1385" t="s">
        <v>5639</v>
      </c>
      <c r="AS1385" t="s">
        <v>66</v>
      </c>
      <c r="AT1385" t="s">
        <v>66</v>
      </c>
    </row>
    <row r="1386" spans="1:46" x14ac:dyDescent="0.15">
      <c r="A1386" t="s">
        <v>5655</v>
      </c>
      <c r="B1386" t="s">
        <v>5429</v>
      </c>
      <c r="C1386" t="s">
        <v>5430</v>
      </c>
      <c r="D1386">
        <v>44</v>
      </c>
      <c r="E1386" t="s">
        <v>5431</v>
      </c>
      <c r="F1386" t="s">
        <v>3592</v>
      </c>
      <c r="G1386" t="s">
        <v>51</v>
      </c>
      <c r="H1386" t="s">
        <v>5432</v>
      </c>
      <c r="I1386" t="s">
        <v>720</v>
      </c>
      <c r="J1386" t="s">
        <v>1554</v>
      </c>
      <c r="K1386" t="s">
        <v>1555</v>
      </c>
      <c r="L1386" t="s">
        <v>18</v>
      </c>
      <c r="M1386" t="s">
        <v>16</v>
      </c>
      <c r="N1386">
        <v>2913</v>
      </c>
      <c r="O1386">
        <v>159</v>
      </c>
      <c r="P1386">
        <v>0</v>
      </c>
      <c r="Q1386" t="s">
        <v>5656</v>
      </c>
      <c r="R1386" t="s">
        <v>5657</v>
      </c>
      <c r="S1386" t="s">
        <v>5658</v>
      </c>
      <c r="T1386" t="s">
        <v>5659</v>
      </c>
      <c r="U1386" t="s">
        <v>60</v>
      </c>
      <c r="V1386" t="s">
        <v>61</v>
      </c>
      <c r="W1386">
        <v>10</v>
      </c>
      <c r="X1386">
        <v>0.13125000000000001</v>
      </c>
      <c r="Y1386" t="s">
        <v>349</v>
      </c>
      <c r="Z1386" t="s">
        <v>350</v>
      </c>
      <c r="AA1386">
        <v>2</v>
      </c>
      <c r="AB1386" t="s">
        <v>5434</v>
      </c>
      <c r="AC1386" t="s">
        <v>5435</v>
      </c>
      <c r="AD1386" t="s">
        <v>5436</v>
      </c>
      <c r="AE1386" t="s">
        <v>5437</v>
      </c>
      <c r="AF1386" t="s">
        <v>5438</v>
      </c>
      <c r="AG1386" t="s">
        <v>66</v>
      </c>
      <c r="AH1386" t="s">
        <v>66</v>
      </c>
      <c r="AI1386" t="s">
        <v>66</v>
      </c>
      <c r="AJ1386" t="s">
        <v>66</v>
      </c>
      <c r="AK1386">
        <v>1</v>
      </c>
      <c r="AL1386" t="s">
        <v>5636</v>
      </c>
      <c r="AM1386" t="s">
        <v>5535</v>
      </c>
      <c r="AN1386" t="s">
        <v>5637</v>
      </c>
      <c r="AO1386" t="s">
        <v>66</v>
      </c>
      <c r="AP1386">
        <v>1</v>
      </c>
      <c r="AQ1386" t="s">
        <v>5638</v>
      </c>
      <c r="AR1386" t="s">
        <v>5639</v>
      </c>
      <c r="AS1386" t="s">
        <v>66</v>
      </c>
      <c r="AT1386" t="s">
        <v>66</v>
      </c>
    </row>
    <row r="1387" spans="1:46" x14ac:dyDescent="0.15">
      <c r="A1387" t="s">
        <v>5660</v>
      </c>
      <c r="B1387" t="s">
        <v>5429</v>
      </c>
      <c r="C1387" t="s">
        <v>5430</v>
      </c>
      <c r="D1387">
        <v>45</v>
      </c>
      <c r="E1387" t="s">
        <v>5431</v>
      </c>
      <c r="F1387" t="s">
        <v>3592</v>
      </c>
      <c r="G1387" t="s">
        <v>51</v>
      </c>
      <c r="H1387" t="s">
        <v>5432</v>
      </c>
      <c r="I1387" t="s">
        <v>720</v>
      </c>
      <c r="J1387" t="s">
        <v>1554</v>
      </c>
      <c r="K1387" t="s">
        <v>1555</v>
      </c>
      <c r="L1387" t="s">
        <v>18</v>
      </c>
      <c r="M1387" t="s">
        <v>16</v>
      </c>
      <c r="N1387">
        <v>2969</v>
      </c>
      <c r="O1387">
        <v>162</v>
      </c>
      <c r="P1387">
        <v>0</v>
      </c>
      <c r="Q1387" t="s">
        <v>5661</v>
      </c>
      <c r="R1387" t="s">
        <v>5662</v>
      </c>
      <c r="S1387" t="s">
        <v>5663</v>
      </c>
      <c r="T1387" t="s">
        <v>5664</v>
      </c>
      <c r="U1387" t="s">
        <v>60</v>
      </c>
      <c r="V1387" t="s">
        <v>61</v>
      </c>
      <c r="W1387">
        <v>10</v>
      </c>
      <c r="X1387">
        <v>0.13125000000000001</v>
      </c>
      <c r="Y1387" t="s">
        <v>210</v>
      </c>
      <c r="Z1387" t="s">
        <v>356</v>
      </c>
      <c r="AA1387">
        <v>2</v>
      </c>
      <c r="AB1387" t="s">
        <v>5434</v>
      </c>
      <c r="AC1387" t="s">
        <v>5435</v>
      </c>
      <c r="AD1387" t="s">
        <v>5436</v>
      </c>
      <c r="AE1387" t="s">
        <v>5437</v>
      </c>
      <c r="AF1387" t="s">
        <v>5438</v>
      </c>
      <c r="AG1387" t="s">
        <v>66</v>
      </c>
      <c r="AH1387" t="s">
        <v>66</v>
      </c>
      <c r="AI1387" t="s">
        <v>66</v>
      </c>
      <c r="AJ1387" t="s">
        <v>66</v>
      </c>
      <c r="AK1387">
        <v>1</v>
      </c>
      <c r="AL1387" t="s">
        <v>5636</v>
      </c>
      <c r="AM1387" t="s">
        <v>5535</v>
      </c>
      <c r="AN1387" t="s">
        <v>5637</v>
      </c>
      <c r="AO1387" t="s">
        <v>66</v>
      </c>
      <c r="AP1387">
        <v>1</v>
      </c>
      <c r="AQ1387" t="s">
        <v>5638</v>
      </c>
      <c r="AR1387" t="s">
        <v>5639</v>
      </c>
      <c r="AS1387" t="s">
        <v>66</v>
      </c>
      <c r="AT1387" t="s">
        <v>66</v>
      </c>
    </row>
    <row r="1388" spans="1:46" x14ac:dyDescent="0.15">
      <c r="A1388" t="s">
        <v>5665</v>
      </c>
      <c r="B1388" t="s">
        <v>5429</v>
      </c>
      <c r="C1388" t="s">
        <v>5430</v>
      </c>
      <c r="D1388">
        <v>46</v>
      </c>
      <c r="E1388" t="s">
        <v>5431</v>
      </c>
      <c r="F1388" t="s">
        <v>3592</v>
      </c>
      <c r="G1388" t="s">
        <v>51</v>
      </c>
      <c r="H1388" t="s">
        <v>5432</v>
      </c>
      <c r="I1388" t="s">
        <v>720</v>
      </c>
      <c r="J1388" t="s">
        <v>1554</v>
      </c>
      <c r="K1388" t="s">
        <v>1555</v>
      </c>
      <c r="L1388" t="s">
        <v>18</v>
      </c>
      <c r="M1388" t="s">
        <v>16</v>
      </c>
      <c r="N1388">
        <v>3026</v>
      </c>
      <c r="O1388">
        <v>165</v>
      </c>
      <c r="P1388">
        <v>0</v>
      </c>
      <c r="Q1388" t="s">
        <v>5666</v>
      </c>
      <c r="R1388" t="s">
        <v>5667</v>
      </c>
      <c r="S1388" t="s">
        <v>5668</v>
      </c>
      <c r="T1388" t="s">
        <v>5669</v>
      </c>
      <c r="U1388" t="s">
        <v>60</v>
      </c>
      <c r="V1388" t="s">
        <v>61</v>
      </c>
      <c r="W1388">
        <v>10</v>
      </c>
      <c r="X1388">
        <v>0.13125000000000001</v>
      </c>
      <c r="Y1388" t="s">
        <v>362</v>
      </c>
      <c r="Z1388" t="s">
        <v>363</v>
      </c>
      <c r="AA1388">
        <v>2</v>
      </c>
      <c r="AB1388" t="s">
        <v>5434</v>
      </c>
      <c r="AC1388" t="s">
        <v>5435</v>
      </c>
      <c r="AD1388" t="s">
        <v>5436</v>
      </c>
      <c r="AE1388" t="s">
        <v>5437</v>
      </c>
      <c r="AF1388" t="s">
        <v>5438</v>
      </c>
      <c r="AG1388" t="s">
        <v>66</v>
      </c>
      <c r="AH1388" t="s">
        <v>66</v>
      </c>
      <c r="AI1388" t="s">
        <v>66</v>
      </c>
      <c r="AJ1388" t="s">
        <v>66</v>
      </c>
      <c r="AK1388">
        <v>1</v>
      </c>
      <c r="AL1388" t="s">
        <v>5636</v>
      </c>
      <c r="AM1388" t="s">
        <v>5535</v>
      </c>
      <c r="AN1388" t="s">
        <v>5637</v>
      </c>
      <c r="AO1388" t="s">
        <v>66</v>
      </c>
      <c r="AP1388">
        <v>1</v>
      </c>
      <c r="AQ1388" t="s">
        <v>5638</v>
      </c>
      <c r="AR1388" t="s">
        <v>5639</v>
      </c>
      <c r="AS1388" t="s">
        <v>66</v>
      </c>
      <c r="AT1388" t="s">
        <v>66</v>
      </c>
    </row>
    <row r="1389" spans="1:46" x14ac:dyDescent="0.15">
      <c r="A1389" t="s">
        <v>5670</v>
      </c>
      <c r="B1389" t="s">
        <v>5429</v>
      </c>
      <c r="C1389" t="s">
        <v>5430</v>
      </c>
      <c r="D1389">
        <v>47</v>
      </c>
      <c r="E1389" t="s">
        <v>5431</v>
      </c>
      <c r="F1389" t="s">
        <v>3592</v>
      </c>
      <c r="G1389" t="s">
        <v>51</v>
      </c>
      <c r="H1389" t="s">
        <v>5432</v>
      </c>
      <c r="I1389" t="s">
        <v>720</v>
      </c>
      <c r="J1389" t="s">
        <v>1554</v>
      </c>
      <c r="K1389" t="s">
        <v>1555</v>
      </c>
      <c r="L1389" t="s">
        <v>18</v>
      </c>
      <c r="M1389" t="s">
        <v>16</v>
      </c>
      <c r="N1389">
        <v>3082</v>
      </c>
      <c r="O1389">
        <v>168</v>
      </c>
      <c r="P1389">
        <v>0</v>
      </c>
      <c r="Q1389" t="s">
        <v>5671</v>
      </c>
      <c r="R1389" t="s">
        <v>5672</v>
      </c>
      <c r="S1389" t="s">
        <v>5673</v>
      </c>
      <c r="T1389" t="s">
        <v>5674</v>
      </c>
      <c r="U1389" t="s">
        <v>60</v>
      </c>
      <c r="V1389" t="s">
        <v>61</v>
      </c>
      <c r="W1389">
        <v>10</v>
      </c>
      <c r="X1389">
        <v>0.13125000000000001</v>
      </c>
      <c r="Y1389" t="s">
        <v>217</v>
      </c>
      <c r="Z1389" t="s">
        <v>369</v>
      </c>
      <c r="AA1389">
        <v>2</v>
      </c>
      <c r="AB1389" t="s">
        <v>5434</v>
      </c>
      <c r="AC1389" t="s">
        <v>5435</v>
      </c>
      <c r="AD1389" t="s">
        <v>5436</v>
      </c>
      <c r="AE1389" t="s">
        <v>5437</v>
      </c>
      <c r="AF1389" t="s">
        <v>5438</v>
      </c>
      <c r="AG1389" t="s">
        <v>66</v>
      </c>
      <c r="AH1389" t="s">
        <v>66</v>
      </c>
      <c r="AI1389" t="s">
        <v>66</v>
      </c>
      <c r="AJ1389" t="s">
        <v>66</v>
      </c>
      <c r="AK1389">
        <v>1</v>
      </c>
      <c r="AL1389" t="s">
        <v>5636</v>
      </c>
      <c r="AM1389" t="s">
        <v>5535</v>
      </c>
      <c r="AN1389" t="s">
        <v>5637</v>
      </c>
      <c r="AO1389" t="s">
        <v>66</v>
      </c>
      <c r="AP1389">
        <v>1</v>
      </c>
      <c r="AQ1389" t="s">
        <v>5638</v>
      </c>
      <c r="AR1389" t="s">
        <v>5639</v>
      </c>
      <c r="AS1389" t="s">
        <v>66</v>
      </c>
      <c r="AT1389" t="s">
        <v>66</v>
      </c>
    </row>
    <row r="1390" spans="1:46" x14ac:dyDescent="0.15">
      <c r="A1390" t="s">
        <v>5675</v>
      </c>
      <c r="B1390" t="s">
        <v>5429</v>
      </c>
      <c r="C1390" t="s">
        <v>5430</v>
      </c>
      <c r="D1390">
        <v>48</v>
      </c>
      <c r="E1390" t="s">
        <v>5431</v>
      </c>
      <c r="F1390" t="s">
        <v>3592</v>
      </c>
      <c r="G1390" t="s">
        <v>51</v>
      </c>
      <c r="H1390" t="s">
        <v>5432</v>
      </c>
      <c r="I1390" t="s">
        <v>720</v>
      </c>
      <c r="J1390" t="s">
        <v>1554</v>
      </c>
      <c r="K1390" t="s">
        <v>1555</v>
      </c>
      <c r="L1390" t="s">
        <v>18</v>
      </c>
      <c r="M1390" t="s">
        <v>16</v>
      </c>
      <c r="N1390">
        <v>3138</v>
      </c>
      <c r="O1390">
        <v>171</v>
      </c>
      <c r="P1390">
        <v>0</v>
      </c>
      <c r="Q1390" t="s">
        <v>5676</v>
      </c>
      <c r="R1390" t="s">
        <v>5677</v>
      </c>
      <c r="S1390" t="s">
        <v>5678</v>
      </c>
      <c r="T1390" t="s">
        <v>5679</v>
      </c>
      <c r="U1390" t="s">
        <v>60</v>
      </c>
      <c r="V1390" t="s">
        <v>61</v>
      </c>
      <c r="W1390">
        <v>10</v>
      </c>
      <c r="X1390">
        <v>0.13125000000000001</v>
      </c>
      <c r="Y1390" t="s">
        <v>375</v>
      </c>
      <c r="Z1390" t="s">
        <v>376</v>
      </c>
      <c r="AA1390">
        <v>2</v>
      </c>
      <c r="AB1390" t="s">
        <v>5434</v>
      </c>
      <c r="AC1390" t="s">
        <v>5435</v>
      </c>
      <c r="AD1390" t="s">
        <v>5436</v>
      </c>
      <c r="AE1390" t="s">
        <v>5437</v>
      </c>
      <c r="AF1390" t="s">
        <v>5438</v>
      </c>
      <c r="AG1390" t="s">
        <v>66</v>
      </c>
      <c r="AH1390" t="s">
        <v>66</v>
      </c>
      <c r="AI1390" t="s">
        <v>66</v>
      </c>
      <c r="AJ1390" t="s">
        <v>66</v>
      </c>
      <c r="AK1390">
        <v>1</v>
      </c>
      <c r="AL1390" t="s">
        <v>5636</v>
      </c>
      <c r="AM1390" t="s">
        <v>5535</v>
      </c>
      <c r="AN1390" t="s">
        <v>5637</v>
      </c>
      <c r="AO1390" t="s">
        <v>66</v>
      </c>
      <c r="AP1390">
        <v>1</v>
      </c>
      <c r="AQ1390" t="s">
        <v>5638</v>
      </c>
      <c r="AR1390" t="s">
        <v>5639</v>
      </c>
      <c r="AS1390" t="s">
        <v>66</v>
      </c>
      <c r="AT1390" t="s">
        <v>66</v>
      </c>
    </row>
    <row r="1391" spans="1:46" x14ac:dyDescent="0.15">
      <c r="A1391" t="s">
        <v>5680</v>
      </c>
      <c r="B1391" t="s">
        <v>5429</v>
      </c>
      <c r="C1391" t="s">
        <v>5430</v>
      </c>
      <c r="D1391">
        <v>49</v>
      </c>
      <c r="E1391" t="s">
        <v>5431</v>
      </c>
      <c r="F1391" t="s">
        <v>3592</v>
      </c>
      <c r="G1391" t="s">
        <v>51</v>
      </c>
      <c r="H1391" t="s">
        <v>5432</v>
      </c>
      <c r="I1391" t="s">
        <v>720</v>
      </c>
      <c r="J1391" t="s">
        <v>1554</v>
      </c>
      <c r="K1391" t="s">
        <v>1555</v>
      </c>
      <c r="L1391" t="s">
        <v>18</v>
      </c>
      <c r="M1391" t="s">
        <v>16</v>
      </c>
      <c r="N1391">
        <v>3194</v>
      </c>
      <c r="O1391">
        <v>174</v>
      </c>
      <c r="P1391">
        <v>0</v>
      </c>
      <c r="Q1391" t="s">
        <v>5681</v>
      </c>
      <c r="R1391" t="s">
        <v>5682</v>
      </c>
      <c r="S1391" t="s">
        <v>5683</v>
      </c>
      <c r="T1391" t="s">
        <v>5684</v>
      </c>
      <c r="U1391" t="s">
        <v>60</v>
      </c>
      <c r="V1391" t="s">
        <v>61</v>
      </c>
      <c r="W1391">
        <v>10</v>
      </c>
      <c r="X1391">
        <v>0.13125000000000001</v>
      </c>
      <c r="Y1391" t="s">
        <v>223</v>
      </c>
      <c r="Z1391" t="s">
        <v>382</v>
      </c>
      <c r="AA1391">
        <v>2</v>
      </c>
      <c r="AB1391" t="s">
        <v>5434</v>
      </c>
      <c r="AC1391" t="s">
        <v>5435</v>
      </c>
      <c r="AD1391" t="s">
        <v>5436</v>
      </c>
      <c r="AE1391" t="s">
        <v>5437</v>
      </c>
      <c r="AF1391" t="s">
        <v>5438</v>
      </c>
      <c r="AG1391" t="s">
        <v>66</v>
      </c>
      <c r="AH1391" t="s">
        <v>66</v>
      </c>
      <c r="AI1391" t="s">
        <v>66</v>
      </c>
      <c r="AJ1391" t="s">
        <v>66</v>
      </c>
      <c r="AK1391">
        <v>1</v>
      </c>
      <c r="AL1391" t="s">
        <v>5636</v>
      </c>
      <c r="AM1391" t="s">
        <v>5535</v>
      </c>
      <c r="AN1391" t="s">
        <v>5637</v>
      </c>
      <c r="AO1391" t="s">
        <v>66</v>
      </c>
      <c r="AP1391">
        <v>1</v>
      </c>
      <c r="AQ1391" t="s">
        <v>5638</v>
      </c>
      <c r="AR1391" t="s">
        <v>5639</v>
      </c>
      <c r="AS1391" t="s">
        <v>66</v>
      </c>
      <c r="AT1391" t="s">
        <v>66</v>
      </c>
    </row>
    <row r="1392" spans="1:46" x14ac:dyDescent="0.15">
      <c r="A1392" t="s">
        <v>5685</v>
      </c>
      <c r="B1392" t="s">
        <v>5429</v>
      </c>
      <c r="C1392" t="s">
        <v>5430</v>
      </c>
      <c r="D1392">
        <v>50</v>
      </c>
      <c r="E1392" t="s">
        <v>5431</v>
      </c>
      <c r="F1392" t="s">
        <v>3592</v>
      </c>
      <c r="G1392" t="s">
        <v>51</v>
      </c>
      <c r="H1392" t="s">
        <v>5432</v>
      </c>
      <c r="I1392" t="s">
        <v>720</v>
      </c>
      <c r="J1392" t="s">
        <v>1554</v>
      </c>
      <c r="K1392" t="s">
        <v>1555</v>
      </c>
      <c r="L1392" t="s">
        <v>18</v>
      </c>
      <c r="M1392" t="s">
        <v>16</v>
      </c>
      <c r="N1392">
        <v>3250</v>
      </c>
      <c r="O1392">
        <v>177</v>
      </c>
      <c r="P1392">
        <v>0</v>
      </c>
      <c r="Q1392" t="s">
        <v>5686</v>
      </c>
      <c r="R1392" t="s">
        <v>5687</v>
      </c>
      <c r="S1392" t="s">
        <v>5688</v>
      </c>
      <c r="T1392" t="s">
        <v>5689</v>
      </c>
      <c r="U1392" t="s">
        <v>60</v>
      </c>
      <c r="V1392" t="s">
        <v>61</v>
      </c>
      <c r="W1392">
        <v>10</v>
      </c>
      <c r="X1392">
        <v>0.13125000000000001</v>
      </c>
      <c r="Y1392" t="s">
        <v>388</v>
      </c>
      <c r="Z1392" t="s">
        <v>389</v>
      </c>
      <c r="AA1392">
        <v>2</v>
      </c>
      <c r="AB1392" t="s">
        <v>5434</v>
      </c>
      <c r="AC1392" t="s">
        <v>5435</v>
      </c>
      <c r="AD1392" t="s">
        <v>5436</v>
      </c>
      <c r="AE1392" t="s">
        <v>5437</v>
      </c>
      <c r="AF1392" t="s">
        <v>5438</v>
      </c>
      <c r="AG1392" t="s">
        <v>66</v>
      </c>
      <c r="AH1392" t="s">
        <v>66</v>
      </c>
      <c r="AI1392" t="s">
        <v>66</v>
      </c>
      <c r="AJ1392" t="s">
        <v>66</v>
      </c>
      <c r="AK1392">
        <v>1</v>
      </c>
      <c r="AL1392" t="s">
        <v>5636</v>
      </c>
      <c r="AM1392" t="s">
        <v>5535</v>
      </c>
      <c r="AN1392" t="s">
        <v>5637</v>
      </c>
      <c r="AO1392" t="s">
        <v>66</v>
      </c>
      <c r="AP1392">
        <v>1</v>
      </c>
      <c r="AQ1392" t="s">
        <v>5638</v>
      </c>
      <c r="AR1392" t="s">
        <v>5639</v>
      </c>
      <c r="AS1392" t="s">
        <v>66</v>
      </c>
      <c r="AT1392" t="s">
        <v>66</v>
      </c>
    </row>
    <row r="1393" spans="1:46" x14ac:dyDescent="0.15">
      <c r="A1393" t="s">
        <v>5690</v>
      </c>
      <c r="B1393" t="s">
        <v>5429</v>
      </c>
      <c r="C1393" t="s">
        <v>5430</v>
      </c>
      <c r="D1393">
        <v>51</v>
      </c>
      <c r="E1393" t="s">
        <v>5431</v>
      </c>
      <c r="F1393" t="s">
        <v>3592</v>
      </c>
      <c r="G1393" t="s">
        <v>51</v>
      </c>
      <c r="H1393" t="s">
        <v>5432</v>
      </c>
      <c r="I1393" t="s">
        <v>720</v>
      </c>
      <c r="J1393" t="s">
        <v>1554</v>
      </c>
      <c r="K1393" t="s">
        <v>1555</v>
      </c>
      <c r="L1393" t="s">
        <v>18</v>
      </c>
      <c r="M1393" t="s">
        <v>16</v>
      </c>
      <c r="N1393">
        <v>3306</v>
      </c>
      <c r="O1393">
        <v>180</v>
      </c>
      <c r="P1393">
        <v>0</v>
      </c>
      <c r="Q1393" t="s">
        <v>5691</v>
      </c>
      <c r="R1393" t="s">
        <v>5692</v>
      </c>
      <c r="S1393" t="s">
        <v>5693</v>
      </c>
      <c r="T1393" t="s">
        <v>5694</v>
      </c>
      <c r="U1393" t="s">
        <v>60</v>
      </c>
      <c r="V1393" t="s">
        <v>61</v>
      </c>
      <c r="W1393">
        <v>10</v>
      </c>
      <c r="X1393">
        <v>0.13125000000000001</v>
      </c>
      <c r="Y1393" t="s">
        <v>230</v>
      </c>
      <c r="Z1393" t="s">
        <v>395</v>
      </c>
      <c r="AA1393">
        <v>2</v>
      </c>
      <c r="AB1393" t="s">
        <v>5434</v>
      </c>
      <c r="AC1393" t="s">
        <v>5435</v>
      </c>
      <c r="AD1393" t="s">
        <v>5436</v>
      </c>
      <c r="AE1393" t="s">
        <v>5437</v>
      </c>
      <c r="AF1393" t="s">
        <v>5438</v>
      </c>
      <c r="AG1393" t="s">
        <v>66</v>
      </c>
      <c r="AH1393" t="s">
        <v>66</v>
      </c>
      <c r="AI1393" t="s">
        <v>66</v>
      </c>
      <c r="AJ1393" t="s">
        <v>66</v>
      </c>
      <c r="AK1393">
        <v>1</v>
      </c>
      <c r="AL1393" t="s">
        <v>5636</v>
      </c>
      <c r="AM1393" t="s">
        <v>5535</v>
      </c>
      <c r="AN1393" t="s">
        <v>5637</v>
      </c>
      <c r="AO1393" t="s">
        <v>66</v>
      </c>
      <c r="AP1393">
        <v>1</v>
      </c>
      <c r="AQ1393" t="s">
        <v>5638</v>
      </c>
      <c r="AR1393" t="s">
        <v>5639</v>
      </c>
      <c r="AS1393" t="s">
        <v>66</v>
      </c>
      <c r="AT1393" t="s">
        <v>66</v>
      </c>
    </row>
    <row r="1394" spans="1:46" x14ac:dyDescent="0.15">
      <c r="A1394" t="s">
        <v>5695</v>
      </c>
      <c r="B1394" t="s">
        <v>5429</v>
      </c>
      <c r="C1394" t="s">
        <v>5430</v>
      </c>
      <c r="D1394">
        <v>52</v>
      </c>
      <c r="E1394" t="s">
        <v>5431</v>
      </c>
      <c r="F1394" t="s">
        <v>3592</v>
      </c>
      <c r="G1394" t="s">
        <v>51</v>
      </c>
      <c r="H1394" t="s">
        <v>5432</v>
      </c>
      <c r="I1394" t="s">
        <v>720</v>
      </c>
      <c r="J1394" t="s">
        <v>1554</v>
      </c>
      <c r="K1394" t="s">
        <v>1555</v>
      </c>
      <c r="L1394" t="s">
        <v>18</v>
      </c>
      <c r="M1394" t="s">
        <v>16</v>
      </c>
      <c r="N1394">
        <v>3362</v>
      </c>
      <c r="O1394">
        <v>183</v>
      </c>
      <c r="P1394">
        <v>0</v>
      </c>
      <c r="Q1394" t="s">
        <v>5696</v>
      </c>
      <c r="R1394" t="s">
        <v>5697</v>
      </c>
      <c r="S1394" t="s">
        <v>5698</v>
      </c>
      <c r="T1394" t="s">
        <v>5699</v>
      </c>
      <c r="U1394" t="s">
        <v>60</v>
      </c>
      <c r="V1394" t="s">
        <v>61</v>
      </c>
      <c r="W1394">
        <v>10</v>
      </c>
      <c r="X1394">
        <v>0.13125000000000001</v>
      </c>
      <c r="Y1394" t="s">
        <v>401</v>
      </c>
      <c r="Z1394" t="s">
        <v>402</v>
      </c>
      <c r="AA1394">
        <v>2</v>
      </c>
      <c r="AB1394" t="s">
        <v>5434</v>
      </c>
      <c r="AC1394" t="s">
        <v>5435</v>
      </c>
      <c r="AD1394" t="s">
        <v>5436</v>
      </c>
      <c r="AE1394" t="s">
        <v>5437</v>
      </c>
      <c r="AF1394" t="s">
        <v>5438</v>
      </c>
      <c r="AG1394" t="s">
        <v>66</v>
      </c>
      <c r="AH1394" t="s">
        <v>66</v>
      </c>
      <c r="AI1394" t="s">
        <v>66</v>
      </c>
      <c r="AJ1394" t="s">
        <v>66</v>
      </c>
      <c r="AK1394">
        <v>1</v>
      </c>
      <c r="AL1394" t="s">
        <v>5636</v>
      </c>
      <c r="AM1394" t="s">
        <v>5535</v>
      </c>
      <c r="AN1394" t="s">
        <v>5637</v>
      </c>
      <c r="AO1394" t="s">
        <v>66</v>
      </c>
      <c r="AP1394">
        <v>1</v>
      </c>
      <c r="AQ1394" t="s">
        <v>5638</v>
      </c>
      <c r="AR1394" t="s">
        <v>5639</v>
      </c>
      <c r="AS1394" t="s">
        <v>66</v>
      </c>
      <c r="AT1394" t="s">
        <v>66</v>
      </c>
    </row>
    <row r="1395" spans="1:46" x14ac:dyDescent="0.15">
      <c r="A1395" t="s">
        <v>5700</v>
      </c>
      <c r="B1395" t="s">
        <v>5429</v>
      </c>
      <c r="C1395" t="s">
        <v>5430</v>
      </c>
      <c r="D1395">
        <v>53</v>
      </c>
      <c r="E1395" t="s">
        <v>5431</v>
      </c>
      <c r="F1395" t="s">
        <v>3592</v>
      </c>
      <c r="G1395" t="s">
        <v>51</v>
      </c>
      <c r="H1395" t="s">
        <v>5432</v>
      </c>
      <c r="I1395" t="s">
        <v>720</v>
      </c>
      <c r="J1395" t="s">
        <v>1554</v>
      </c>
      <c r="K1395" t="s">
        <v>1555</v>
      </c>
      <c r="L1395" t="s">
        <v>18</v>
      </c>
      <c r="M1395" t="s">
        <v>16</v>
      </c>
      <c r="N1395">
        <v>3418</v>
      </c>
      <c r="O1395">
        <v>186</v>
      </c>
      <c r="P1395">
        <v>0</v>
      </c>
      <c r="Q1395" t="s">
        <v>5701</v>
      </c>
      <c r="R1395" t="s">
        <v>5702</v>
      </c>
      <c r="S1395" t="s">
        <v>5703</v>
      </c>
      <c r="T1395" t="s">
        <v>5704</v>
      </c>
      <c r="U1395" t="s">
        <v>60</v>
      </c>
      <c r="V1395" t="s">
        <v>61</v>
      </c>
      <c r="W1395">
        <v>10</v>
      </c>
      <c r="X1395">
        <v>0.13125000000000001</v>
      </c>
      <c r="Y1395" t="s">
        <v>236</v>
      </c>
      <c r="Z1395" t="s">
        <v>408</v>
      </c>
      <c r="AA1395">
        <v>2</v>
      </c>
      <c r="AB1395" t="s">
        <v>5434</v>
      </c>
      <c r="AC1395" t="s">
        <v>5435</v>
      </c>
      <c r="AD1395" t="s">
        <v>5436</v>
      </c>
      <c r="AE1395" t="s">
        <v>5437</v>
      </c>
      <c r="AF1395" t="s">
        <v>5438</v>
      </c>
      <c r="AG1395" t="s">
        <v>66</v>
      </c>
      <c r="AH1395" t="s">
        <v>66</v>
      </c>
      <c r="AI1395" t="s">
        <v>66</v>
      </c>
      <c r="AJ1395" t="s">
        <v>66</v>
      </c>
      <c r="AK1395">
        <v>1</v>
      </c>
      <c r="AL1395" t="s">
        <v>5636</v>
      </c>
      <c r="AM1395" t="s">
        <v>5535</v>
      </c>
      <c r="AN1395" t="s">
        <v>5637</v>
      </c>
      <c r="AO1395" t="s">
        <v>66</v>
      </c>
      <c r="AP1395">
        <v>1</v>
      </c>
      <c r="AQ1395" t="s">
        <v>5638</v>
      </c>
      <c r="AR1395" t="s">
        <v>5639</v>
      </c>
      <c r="AS1395" t="s">
        <v>66</v>
      </c>
      <c r="AT1395" t="s">
        <v>66</v>
      </c>
    </row>
    <row r="1396" spans="1:46" x14ac:dyDescent="0.15">
      <c r="A1396" t="s">
        <v>5705</v>
      </c>
      <c r="B1396" t="s">
        <v>5429</v>
      </c>
      <c r="C1396" t="s">
        <v>5430</v>
      </c>
      <c r="D1396">
        <v>54</v>
      </c>
      <c r="E1396" t="s">
        <v>5431</v>
      </c>
      <c r="F1396" t="s">
        <v>3592</v>
      </c>
      <c r="G1396" t="s">
        <v>51</v>
      </c>
      <c r="H1396" t="s">
        <v>5432</v>
      </c>
      <c r="I1396" t="s">
        <v>720</v>
      </c>
      <c r="J1396" t="s">
        <v>1554</v>
      </c>
      <c r="K1396" t="s">
        <v>1555</v>
      </c>
      <c r="L1396" t="s">
        <v>18</v>
      </c>
      <c r="M1396" t="s">
        <v>16</v>
      </c>
      <c r="N1396">
        <v>3474</v>
      </c>
      <c r="O1396">
        <v>189</v>
      </c>
      <c r="P1396">
        <v>0</v>
      </c>
      <c r="Q1396" t="s">
        <v>5706</v>
      </c>
      <c r="R1396" t="s">
        <v>5707</v>
      </c>
      <c r="S1396" t="s">
        <v>5708</v>
      </c>
      <c r="T1396" t="s">
        <v>5709</v>
      </c>
      <c r="U1396" t="s">
        <v>60</v>
      </c>
      <c r="V1396" t="s">
        <v>61</v>
      </c>
      <c r="W1396">
        <v>10</v>
      </c>
      <c r="X1396">
        <v>0.13125000000000001</v>
      </c>
      <c r="Y1396" t="s">
        <v>414</v>
      </c>
      <c r="Z1396" t="s">
        <v>415</v>
      </c>
      <c r="AA1396">
        <v>2</v>
      </c>
      <c r="AB1396" t="s">
        <v>5434</v>
      </c>
      <c r="AC1396" t="s">
        <v>5435</v>
      </c>
      <c r="AD1396" t="s">
        <v>5436</v>
      </c>
      <c r="AE1396" t="s">
        <v>5437</v>
      </c>
      <c r="AF1396" t="s">
        <v>5438</v>
      </c>
      <c r="AG1396" t="s">
        <v>66</v>
      </c>
      <c r="AH1396" t="s">
        <v>66</v>
      </c>
      <c r="AI1396" t="s">
        <v>66</v>
      </c>
      <c r="AJ1396" t="s">
        <v>66</v>
      </c>
      <c r="AK1396">
        <v>1</v>
      </c>
      <c r="AL1396" t="s">
        <v>5636</v>
      </c>
      <c r="AM1396" t="s">
        <v>5535</v>
      </c>
      <c r="AN1396" t="s">
        <v>5637</v>
      </c>
      <c r="AO1396" t="s">
        <v>66</v>
      </c>
      <c r="AP1396">
        <v>1</v>
      </c>
      <c r="AQ1396" t="s">
        <v>5638</v>
      </c>
      <c r="AR1396" t="s">
        <v>5639</v>
      </c>
      <c r="AS1396" t="s">
        <v>66</v>
      </c>
      <c r="AT1396" t="s">
        <v>66</v>
      </c>
    </row>
    <row r="1397" spans="1:46" x14ac:dyDescent="0.15">
      <c r="A1397" t="s">
        <v>5710</v>
      </c>
      <c r="B1397" t="s">
        <v>5429</v>
      </c>
      <c r="C1397" t="s">
        <v>5430</v>
      </c>
      <c r="D1397">
        <v>55</v>
      </c>
      <c r="E1397" t="s">
        <v>5431</v>
      </c>
      <c r="F1397" t="s">
        <v>3592</v>
      </c>
      <c r="G1397" t="s">
        <v>51</v>
      </c>
      <c r="H1397" t="s">
        <v>5432</v>
      </c>
      <c r="I1397" t="s">
        <v>720</v>
      </c>
      <c r="J1397" t="s">
        <v>1554</v>
      </c>
      <c r="K1397" t="s">
        <v>1555</v>
      </c>
      <c r="L1397" t="s">
        <v>18</v>
      </c>
      <c r="M1397" t="s">
        <v>16</v>
      </c>
      <c r="N1397">
        <v>3531</v>
      </c>
      <c r="O1397">
        <v>192</v>
      </c>
      <c r="P1397">
        <v>0</v>
      </c>
      <c r="Q1397" t="s">
        <v>5711</v>
      </c>
      <c r="R1397" t="s">
        <v>5712</v>
      </c>
      <c r="S1397" t="s">
        <v>5713</v>
      </c>
      <c r="T1397" t="s">
        <v>5714</v>
      </c>
      <c r="U1397" t="s">
        <v>60</v>
      </c>
      <c r="V1397" t="s">
        <v>61</v>
      </c>
      <c r="W1397">
        <v>10</v>
      </c>
      <c r="X1397">
        <v>0.13125000000000001</v>
      </c>
      <c r="Y1397" t="s">
        <v>243</v>
      </c>
      <c r="Z1397" t="s">
        <v>421</v>
      </c>
      <c r="AA1397">
        <v>2</v>
      </c>
      <c r="AB1397" t="s">
        <v>5434</v>
      </c>
      <c r="AC1397" t="s">
        <v>5435</v>
      </c>
      <c r="AD1397" t="s">
        <v>5436</v>
      </c>
      <c r="AE1397" t="s">
        <v>5437</v>
      </c>
      <c r="AF1397" t="s">
        <v>5438</v>
      </c>
      <c r="AG1397" t="s">
        <v>66</v>
      </c>
      <c r="AH1397" t="s">
        <v>66</v>
      </c>
      <c r="AI1397" t="s">
        <v>66</v>
      </c>
      <c r="AJ1397" t="s">
        <v>66</v>
      </c>
      <c r="AK1397">
        <v>1</v>
      </c>
      <c r="AL1397" t="s">
        <v>5636</v>
      </c>
      <c r="AM1397" t="s">
        <v>5535</v>
      </c>
      <c r="AN1397" t="s">
        <v>5637</v>
      </c>
      <c r="AO1397" t="s">
        <v>66</v>
      </c>
      <c r="AP1397">
        <v>1</v>
      </c>
      <c r="AQ1397" t="s">
        <v>5638</v>
      </c>
      <c r="AR1397" t="s">
        <v>5639</v>
      </c>
      <c r="AS1397" t="s">
        <v>66</v>
      </c>
      <c r="AT1397" t="s">
        <v>66</v>
      </c>
    </row>
    <row r="1398" spans="1:46" x14ac:dyDescent="0.15">
      <c r="A1398" t="s">
        <v>5715</v>
      </c>
      <c r="B1398" t="s">
        <v>5429</v>
      </c>
      <c r="C1398" t="s">
        <v>5430</v>
      </c>
      <c r="D1398">
        <v>56</v>
      </c>
      <c r="E1398" t="s">
        <v>5431</v>
      </c>
      <c r="F1398" t="s">
        <v>3592</v>
      </c>
      <c r="G1398" t="s">
        <v>51</v>
      </c>
      <c r="H1398" t="s">
        <v>5432</v>
      </c>
      <c r="I1398" t="s">
        <v>720</v>
      </c>
      <c r="J1398" t="s">
        <v>1554</v>
      </c>
      <c r="K1398" t="s">
        <v>1555</v>
      </c>
      <c r="L1398" t="s">
        <v>18</v>
      </c>
      <c r="M1398" t="s">
        <v>16</v>
      </c>
      <c r="N1398">
        <v>3587</v>
      </c>
      <c r="O1398">
        <v>195</v>
      </c>
      <c r="P1398">
        <v>0</v>
      </c>
      <c r="Q1398" t="s">
        <v>5716</v>
      </c>
      <c r="R1398" t="s">
        <v>5717</v>
      </c>
      <c r="S1398" t="s">
        <v>5718</v>
      </c>
      <c r="T1398" t="s">
        <v>5719</v>
      </c>
      <c r="U1398" t="s">
        <v>60</v>
      </c>
      <c r="V1398" t="s">
        <v>61</v>
      </c>
      <c r="W1398">
        <v>10</v>
      </c>
      <c r="X1398">
        <v>0.13125000000000001</v>
      </c>
      <c r="Y1398" t="s">
        <v>427</v>
      </c>
      <c r="Z1398" t="s">
        <v>428</v>
      </c>
      <c r="AA1398">
        <v>2</v>
      </c>
      <c r="AB1398" t="s">
        <v>5434</v>
      </c>
      <c r="AC1398" t="s">
        <v>5435</v>
      </c>
      <c r="AD1398" t="s">
        <v>5436</v>
      </c>
      <c r="AE1398" t="s">
        <v>5437</v>
      </c>
      <c r="AF1398" t="s">
        <v>5438</v>
      </c>
      <c r="AG1398" t="s">
        <v>66</v>
      </c>
      <c r="AH1398" t="s">
        <v>66</v>
      </c>
      <c r="AI1398" t="s">
        <v>66</v>
      </c>
      <c r="AJ1398" t="s">
        <v>66</v>
      </c>
      <c r="AK1398">
        <v>1</v>
      </c>
      <c r="AL1398" t="s">
        <v>5636</v>
      </c>
      <c r="AM1398" t="s">
        <v>5535</v>
      </c>
      <c r="AN1398" t="s">
        <v>5637</v>
      </c>
      <c r="AO1398" t="s">
        <v>66</v>
      </c>
      <c r="AP1398">
        <v>1</v>
      </c>
      <c r="AQ1398" t="s">
        <v>5638</v>
      </c>
      <c r="AR1398" t="s">
        <v>5639</v>
      </c>
      <c r="AS1398" t="s">
        <v>66</v>
      </c>
      <c r="AT1398" t="s">
        <v>66</v>
      </c>
    </row>
    <row r="1399" spans="1:46" x14ac:dyDescent="0.15">
      <c r="A1399" t="s">
        <v>5720</v>
      </c>
      <c r="B1399" t="s">
        <v>5429</v>
      </c>
      <c r="C1399" t="s">
        <v>5430</v>
      </c>
      <c r="D1399">
        <v>57</v>
      </c>
      <c r="E1399" t="s">
        <v>5431</v>
      </c>
      <c r="F1399" t="s">
        <v>3592</v>
      </c>
      <c r="G1399" t="s">
        <v>51</v>
      </c>
      <c r="H1399" t="s">
        <v>5432</v>
      </c>
      <c r="I1399" t="s">
        <v>720</v>
      </c>
      <c r="J1399" t="s">
        <v>1554</v>
      </c>
      <c r="K1399" t="s">
        <v>1555</v>
      </c>
      <c r="L1399" t="s">
        <v>18</v>
      </c>
      <c r="M1399" t="s">
        <v>16</v>
      </c>
      <c r="N1399">
        <v>3643</v>
      </c>
      <c r="O1399">
        <v>198</v>
      </c>
      <c r="P1399">
        <v>0</v>
      </c>
      <c r="Q1399" t="s">
        <v>5721</v>
      </c>
      <c r="R1399" t="s">
        <v>5722</v>
      </c>
      <c r="S1399" t="s">
        <v>5723</v>
      </c>
      <c r="T1399" t="s">
        <v>5724</v>
      </c>
      <c r="U1399" t="s">
        <v>60</v>
      </c>
      <c r="V1399" t="s">
        <v>61</v>
      </c>
      <c r="W1399">
        <v>10</v>
      </c>
      <c r="X1399">
        <v>0.13125000000000001</v>
      </c>
      <c r="Y1399" t="s">
        <v>249</v>
      </c>
      <c r="Z1399" t="s">
        <v>434</v>
      </c>
      <c r="AA1399">
        <v>2</v>
      </c>
      <c r="AB1399" t="s">
        <v>5434</v>
      </c>
      <c r="AC1399" t="s">
        <v>5435</v>
      </c>
      <c r="AD1399" t="s">
        <v>5436</v>
      </c>
      <c r="AE1399" t="s">
        <v>5437</v>
      </c>
      <c r="AF1399" t="s">
        <v>5438</v>
      </c>
      <c r="AG1399" t="s">
        <v>66</v>
      </c>
      <c r="AH1399" t="s">
        <v>66</v>
      </c>
      <c r="AI1399" t="s">
        <v>66</v>
      </c>
      <c r="AJ1399" t="s">
        <v>66</v>
      </c>
      <c r="AK1399">
        <v>1</v>
      </c>
      <c r="AL1399" t="s">
        <v>5636</v>
      </c>
      <c r="AM1399" t="s">
        <v>5535</v>
      </c>
      <c r="AN1399" t="s">
        <v>5637</v>
      </c>
      <c r="AO1399" t="s">
        <v>66</v>
      </c>
      <c r="AP1399">
        <v>1</v>
      </c>
      <c r="AQ1399" t="s">
        <v>5638</v>
      </c>
      <c r="AR1399" t="s">
        <v>5639</v>
      </c>
      <c r="AS1399" t="s">
        <v>66</v>
      </c>
      <c r="AT1399" t="s">
        <v>66</v>
      </c>
    </row>
    <row r="1400" spans="1:46" x14ac:dyDescent="0.15">
      <c r="A1400" t="s">
        <v>5725</v>
      </c>
      <c r="B1400" t="s">
        <v>5429</v>
      </c>
      <c r="C1400" t="s">
        <v>5430</v>
      </c>
      <c r="D1400">
        <v>58</v>
      </c>
      <c r="E1400" t="s">
        <v>5431</v>
      </c>
      <c r="F1400" t="s">
        <v>3592</v>
      </c>
      <c r="G1400" t="s">
        <v>51</v>
      </c>
      <c r="H1400" t="s">
        <v>5432</v>
      </c>
      <c r="I1400" t="s">
        <v>720</v>
      </c>
      <c r="J1400" t="s">
        <v>1554</v>
      </c>
      <c r="K1400" t="s">
        <v>1555</v>
      </c>
      <c r="L1400" t="s">
        <v>18</v>
      </c>
      <c r="M1400" t="s">
        <v>16</v>
      </c>
      <c r="N1400">
        <v>3699</v>
      </c>
      <c r="O1400">
        <v>201</v>
      </c>
      <c r="P1400">
        <v>0</v>
      </c>
      <c r="Q1400" t="s">
        <v>5726</v>
      </c>
      <c r="R1400" t="s">
        <v>5727</v>
      </c>
      <c r="S1400" t="s">
        <v>5728</v>
      </c>
      <c r="T1400" t="s">
        <v>5729</v>
      </c>
      <c r="U1400" t="s">
        <v>60</v>
      </c>
      <c r="V1400" t="s">
        <v>61</v>
      </c>
      <c r="W1400">
        <v>10</v>
      </c>
      <c r="X1400">
        <v>0.13125000000000001</v>
      </c>
      <c r="Y1400" t="s">
        <v>440</v>
      </c>
      <c r="Z1400" t="s">
        <v>441</v>
      </c>
      <c r="AA1400">
        <v>2</v>
      </c>
      <c r="AB1400" t="s">
        <v>5434</v>
      </c>
      <c r="AC1400" t="s">
        <v>5435</v>
      </c>
      <c r="AD1400" t="s">
        <v>5436</v>
      </c>
      <c r="AE1400" t="s">
        <v>5437</v>
      </c>
      <c r="AF1400" t="s">
        <v>5438</v>
      </c>
      <c r="AG1400" t="s">
        <v>66</v>
      </c>
      <c r="AH1400" t="s">
        <v>66</v>
      </c>
      <c r="AI1400" t="s">
        <v>66</v>
      </c>
      <c r="AJ1400" t="s">
        <v>66</v>
      </c>
      <c r="AK1400">
        <v>1</v>
      </c>
      <c r="AL1400" t="s">
        <v>5636</v>
      </c>
      <c r="AM1400" t="s">
        <v>5535</v>
      </c>
      <c r="AN1400" t="s">
        <v>5637</v>
      </c>
      <c r="AO1400" t="s">
        <v>66</v>
      </c>
      <c r="AP1400">
        <v>1</v>
      </c>
      <c r="AQ1400" t="s">
        <v>5638</v>
      </c>
      <c r="AR1400" t="s">
        <v>5639</v>
      </c>
      <c r="AS1400" t="s">
        <v>66</v>
      </c>
      <c r="AT1400" t="s">
        <v>66</v>
      </c>
    </row>
    <row r="1401" spans="1:46" x14ac:dyDescent="0.15">
      <c r="A1401" t="s">
        <v>5730</v>
      </c>
      <c r="B1401" t="s">
        <v>5429</v>
      </c>
      <c r="C1401" t="s">
        <v>5430</v>
      </c>
      <c r="D1401">
        <v>59</v>
      </c>
      <c r="E1401" t="s">
        <v>5431</v>
      </c>
      <c r="F1401" t="s">
        <v>3592</v>
      </c>
      <c r="G1401" t="s">
        <v>51</v>
      </c>
      <c r="H1401" t="s">
        <v>5432</v>
      </c>
      <c r="I1401" t="s">
        <v>720</v>
      </c>
      <c r="J1401" t="s">
        <v>1554</v>
      </c>
      <c r="K1401" t="s">
        <v>1555</v>
      </c>
      <c r="L1401" t="s">
        <v>18</v>
      </c>
      <c r="M1401" t="s">
        <v>16</v>
      </c>
      <c r="N1401">
        <v>3755</v>
      </c>
      <c r="O1401">
        <v>204</v>
      </c>
      <c r="P1401">
        <v>0</v>
      </c>
      <c r="Q1401" t="s">
        <v>5731</v>
      </c>
      <c r="R1401" t="s">
        <v>5732</v>
      </c>
      <c r="S1401" t="s">
        <v>5733</v>
      </c>
      <c r="T1401" t="s">
        <v>5734</v>
      </c>
      <c r="U1401" t="s">
        <v>60</v>
      </c>
      <c r="V1401" t="s">
        <v>61</v>
      </c>
      <c r="W1401">
        <v>10</v>
      </c>
      <c r="X1401">
        <v>0.13125000000000001</v>
      </c>
      <c r="Y1401" t="s">
        <v>256</v>
      </c>
      <c r="Z1401" t="s">
        <v>447</v>
      </c>
      <c r="AA1401">
        <v>2</v>
      </c>
      <c r="AB1401" t="s">
        <v>5434</v>
      </c>
      <c r="AC1401" t="s">
        <v>5435</v>
      </c>
      <c r="AD1401" t="s">
        <v>5436</v>
      </c>
      <c r="AE1401" t="s">
        <v>5437</v>
      </c>
      <c r="AF1401" t="s">
        <v>5438</v>
      </c>
      <c r="AG1401" t="s">
        <v>66</v>
      </c>
      <c r="AH1401" t="s">
        <v>66</v>
      </c>
      <c r="AI1401" t="s">
        <v>66</v>
      </c>
      <c r="AJ1401" t="s">
        <v>66</v>
      </c>
      <c r="AK1401">
        <v>1</v>
      </c>
      <c r="AL1401" t="s">
        <v>5636</v>
      </c>
      <c r="AM1401" t="s">
        <v>5535</v>
      </c>
      <c r="AN1401" t="s">
        <v>5637</v>
      </c>
      <c r="AO1401" t="s">
        <v>66</v>
      </c>
      <c r="AP1401">
        <v>1</v>
      </c>
      <c r="AQ1401" t="s">
        <v>5638</v>
      </c>
      <c r="AR1401" t="s">
        <v>5639</v>
      </c>
      <c r="AS1401" t="s">
        <v>66</v>
      </c>
      <c r="AT1401" t="s">
        <v>66</v>
      </c>
    </row>
    <row r="1402" spans="1:46" x14ac:dyDescent="0.15">
      <c r="A1402" t="s">
        <v>5735</v>
      </c>
      <c r="B1402" t="s">
        <v>5429</v>
      </c>
      <c r="C1402" t="s">
        <v>5430</v>
      </c>
      <c r="D1402">
        <v>60</v>
      </c>
      <c r="E1402" t="s">
        <v>5431</v>
      </c>
      <c r="F1402" t="s">
        <v>3592</v>
      </c>
      <c r="G1402" t="s">
        <v>51</v>
      </c>
      <c r="H1402" t="s">
        <v>5432</v>
      </c>
      <c r="I1402" t="s">
        <v>720</v>
      </c>
      <c r="J1402" t="s">
        <v>1554</v>
      </c>
      <c r="K1402" t="s">
        <v>1555</v>
      </c>
      <c r="L1402" t="s">
        <v>18</v>
      </c>
      <c r="M1402" t="s">
        <v>16</v>
      </c>
      <c r="N1402">
        <v>3811</v>
      </c>
      <c r="O1402">
        <v>207</v>
      </c>
      <c r="P1402">
        <v>0</v>
      </c>
      <c r="Q1402" t="s">
        <v>5736</v>
      </c>
      <c r="R1402" t="s">
        <v>5737</v>
      </c>
      <c r="S1402" t="s">
        <v>5738</v>
      </c>
      <c r="T1402" t="s">
        <v>5739</v>
      </c>
      <c r="U1402" t="s">
        <v>60</v>
      </c>
      <c r="V1402" t="s">
        <v>61</v>
      </c>
      <c r="W1402">
        <v>10</v>
      </c>
      <c r="X1402">
        <v>0.13125000000000001</v>
      </c>
      <c r="Y1402" t="s">
        <v>453</v>
      </c>
      <c r="Z1402" t="s">
        <v>454</v>
      </c>
      <c r="AA1402">
        <v>2</v>
      </c>
      <c r="AB1402" t="s">
        <v>5434</v>
      </c>
      <c r="AC1402" t="s">
        <v>5435</v>
      </c>
      <c r="AD1402" t="s">
        <v>5436</v>
      </c>
      <c r="AE1402" t="s">
        <v>5437</v>
      </c>
      <c r="AF1402" t="s">
        <v>5438</v>
      </c>
      <c r="AG1402" t="s">
        <v>66</v>
      </c>
      <c r="AH1402" t="s">
        <v>66</v>
      </c>
      <c r="AI1402" t="s">
        <v>66</v>
      </c>
      <c r="AJ1402" t="s">
        <v>66</v>
      </c>
      <c r="AK1402">
        <v>1</v>
      </c>
      <c r="AL1402" t="s">
        <v>5636</v>
      </c>
      <c r="AM1402" t="s">
        <v>5535</v>
      </c>
      <c r="AN1402" t="s">
        <v>5637</v>
      </c>
      <c r="AO1402" t="s">
        <v>66</v>
      </c>
      <c r="AP1402">
        <v>1</v>
      </c>
      <c r="AQ1402" t="s">
        <v>5638</v>
      </c>
      <c r="AR1402" t="s">
        <v>5639</v>
      </c>
      <c r="AS1402" t="s">
        <v>66</v>
      </c>
      <c r="AT1402" t="s">
        <v>66</v>
      </c>
    </row>
    <row r="1403" spans="1:46" x14ac:dyDescent="0.15">
      <c r="A1403" t="s">
        <v>5735</v>
      </c>
      <c r="B1403" t="s">
        <v>5429</v>
      </c>
      <c r="C1403" t="s">
        <v>5430</v>
      </c>
      <c r="D1403">
        <v>60</v>
      </c>
      <c r="E1403" t="s">
        <v>5431</v>
      </c>
      <c r="F1403" t="s">
        <v>3592</v>
      </c>
      <c r="G1403" t="s">
        <v>51</v>
      </c>
      <c r="H1403" t="s">
        <v>5432</v>
      </c>
      <c r="I1403" t="s">
        <v>720</v>
      </c>
      <c r="J1403" t="s">
        <v>1554</v>
      </c>
      <c r="K1403" t="s">
        <v>1555</v>
      </c>
      <c r="L1403" t="s">
        <v>18</v>
      </c>
      <c r="M1403" t="s">
        <v>16</v>
      </c>
      <c r="N1403">
        <v>3811</v>
      </c>
      <c r="O1403">
        <v>207</v>
      </c>
      <c r="P1403">
        <v>0</v>
      </c>
      <c r="Q1403" t="s">
        <v>5736</v>
      </c>
      <c r="R1403" t="s">
        <v>5737</v>
      </c>
      <c r="S1403" t="s">
        <v>5738</v>
      </c>
      <c r="T1403" t="s">
        <v>5739</v>
      </c>
      <c r="U1403" t="s">
        <v>60</v>
      </c>
      <c r="V1403" t="s">
        <v>61</v>
      </c>
      <c r="W1403">
        <v>10</v>
      </c>
      <c r="X1403">
        <v>0.13125000000000001</v>
      </c>
      <c r="Y1403" t="s">
        <v>453</v>
      </c>
      <c r="Z1403" t="s">
        <v>454</v>
      </c>
      <c r="AA1403">
        <v>3</v>
      </c>
      <c r="AB1403" t="s">
        <v>5434</v>
      </c>
      <c r="AC1403" t="s">
        <v>5435</v>
      </c>
      <c r="AD1403" t="s">
        <v>5436</v>
      </c>
      <c r="AE1403" t="s">
        <v>5437</v>
      </c>
      <c r="AF1403" t="s">
        <v>5438</v>
      </c>
      <c r="AG1403" t="s">
        <v>66</v>
      </c>
      <c r="AH1403" t="s">
        <v>66</v>
      </c>
      <c r="AI1403" t="s">
        <v>66</v>
      </c>
      <c r="AJ1403" t="s">
        <v>66</v>
      </c>
      <c r="AK1403">
        <v>1</v>
      </c>
      <c r="AL1403" t="s">
        <v>5636</v>
      </c>
      <c r="AM1403" t="s">
        <v>5535</v>
      </c>
      <c r="AN1403" t="s">
        <v>5637</v>
      </c>
      <c r="AO1403" t="s">
        <v>66</v>
      </c>
      <c r="AP1403">
        <v>1</v>
      </c>
      <c r="AQ1403" t="s">
        <v>5638</v>
      </c>
      <c r="AR1403" t="s">
        <v>5639</v>
      </c>
      <c r="AS1403" t="s">
        <v>5740</v>
      </c>
      <c r="AT1403" t="s">
        <v>66</v>
      </c>
    </row>
    <row r="1404" spans="1:46" x14ac:dyDescent="0.15">
      <c r="A1404" t="s">
        <v>5741</v>
      </c>
      <c r="B1404" t="s">
        <v>5429</v>
      </c>
      <c r="C1404" t="s">
        <v>5430</v>
      </c>
      <c r="D1404">
        <v>61</v>
      </c>
      <c r="E1404" t="s">
        <v>5431</v>
      </c>
      <c r="F1404" t="s">
        <v>3592</v>
      </c>
      <c r="G1404" t="s">
        <v>51</v>
      </c>
      <c r="H1404" t="s">
        <v>5432</v>
      </c>
      <c r="I1404" t="s">
        <v>720</v>
      </c>
      <c r="J1404" t="s">
        <v>1554</v>
      </c>
      <c r="K1404" t="s">
        <v>1555</v>
      </c>
      <c r="L1404" t="s">
        <v>18</v>
      </c>
      <c r="M1404" t="s">
        <v>16</v>
      </c>
      <c r="N1404">
        <v>3867</v>
      </c>
      <c r="O1404">
        <v>210</v>
      </c>
      <c r="P1404">
        <v>0</v>
      </c>
      <c r="Q1404" t="s">
        <v>5742</v>
      </c>
      <c r="R1404" t="s">
        <v>5743</v>
      </c>
      <c r="S1404" t="s">
        <v>5744</v>
      </c>
      <c r="T1404" t="s">
        <v>5745</v>
      </c>
      <c r="U1404" t="s">
        <v>60</v>
      </c>
      <c r="V1404" t="s">
        <v>61</v>
      </c>
      <c r="W1404">
        <v>10</v>
      </c>
      <c r="X1404">
        <v>0.13125000000000001</v>
      </c>
      <c r="Y1404" t="s">
        <v>262</v>
      </c>
      <c r="Z1404" t="s">
        <v>465</v>
      </c>
      <c r="AA1404">
        <v>3</v>
      </c>
      <c r="AB1404" t="s">
        <v>5434</v>
      </c>
      <c r="AC1404" t="s">
        <v>5435</v>
      </c>
      <c r="AD1404" t="s">
        <v>5436</v>
      </c>
      <c r="AE1404" t="s">
        <v>5437</v>
      </c>
      <c r="AF1404" t="s">
        <v>5438</v>
      </c>
      <c r="AG1404" t="s">
        <v>66</v>
      </c>
      <c r="AH1404" t="s">
        <v>66</v>
      </c>
      <c r="AI1404" t="s">
        <v>66</v>
      </c>
      <c r="AJ1404" t="s">
        <v>66</v>
      </c>
      <c r="AK1404">
        <v>1</v>
      </c>
      <c r="AL1404" t="s">
        <v>5636</v>
      </c>
      <c r="AM1404" t="s">
        <v>5535</v>
      </c>
      <c r="AN1404" t="s">
        <v>5637</v>
      </c>
      <c r="AO1404" t="s">
        <v>66</v>
      </c>
      <c r="AP1404">
        <v>1</v>
      </c>
      <c r="AQ1404" t="s">
        <v>5638</v>
      </c>
      <c r="AR1404" t="s">
        <v>5639</v>
      </c>
      <c r="AS1404" t="s">
        <v>5740</v>
      </c>
      <c r="AT1404" t="s">
        <v>66</v>
      </c>
    </row>
    <row r="1405" spans="1:46" x14ac:dyDescent="0.15">
      <c r="A1405" t="s">
        <v>5746</v>
      </c>
      <c r="B1405" t="s">
        <v>5429</v>
      </c>
      <c r="C1405" t="s">
        <v>5430</v>
      </c>
      <c r="D1405">
        <v>62</v>
      </c>
      <c r="E1405" t="s">
        <v>5431</v>
      </c>
      <c r="F1405" t="s">
        <v>3592</v>
      </c>
      <c r="G1405" t="s">
        <v>51</v>
      </c>
      <c r="H1405" t="s">
        <v>5432</v>
      </c>
      <c r="I1405" t="s">
        <v>720</v>
      </c>
      <c r="J1405" t="s">
        <v>1554</v>
      </c>
      <c r="K1405" t="s">
        <v>1555</v>
      </c>
      <c r="L1405" t="s">
        <v>18</v>
      </c>
      <c r="M1405" t="s">
        <v>16</v>
      </c>
      <c r="N1405">
        <v>3923</v>
      </c>
      <c r="O1405">
        <v>213</v>
      </c>
      <c r="P1405">
        <v>0</v>
      </c>
      <c r="Q1405" t="s">
        <v>5747</v>
      </c>
      <c r="R1405" t="s">
        <v>5748</v>
      </c>
      <c r="S1405" t="s">
        <v>5749</v>
      </c>
      <c r="T1405" t="s">
        <v>5750</v>
      </c>
      <c r="U1405" t="s">
        <v>60</v>
      </c>
      <c r="V1405" t="s">
        <v>61</v>
      </c>
      <c r="W1405">
        <v>10</v>
      </c>
      <c r="X1405">
        <v>0.13125000000000001</v>
      </c>
      <c r="Y1405" t="s">
        <v>471</v>
      </c>
      <c r="Z1405" t="s">
        <v>472</v>
      </c>
      <c r="AA1405">
        <v>3</v>
      </c>
      <c r="AB1405" t="s">
        <v>5434</v>
      </c>
      <c r="AC1405" t="s">
        <v>5435</v>
      </c>
      <c r="AD1405" t="s">
        <v>5436</v>
      </c>
      <c r="AE1405" t="s">
        <v>5437</v>
      </c>
      <c r="AF1405" t="s">
        <v>5438</v>
      </c>
      <c r="AG1405" t="s">
        <v>66</v>
      </c>
      <c r="AH1405" t="s">
        <v>66</v>
      </c>
      <c r="AI1405" t="s">
        <v>66</v>
      </c>
      <c r="AJ1405" t="s">
        <v>66</v>
      </c>
      <c r="AK1405">
        <v>1</v>
      </c>
      <c r="AL1405" t="s">
        <v>5636</v>
      </c>
      <c r="AM1405" t="s">
        <v>5535</v>
      </c>
      <c r="AN1405" t="s">
        <v>5637</v>
      </c>
      <c r="AO1405" t="s">
        <v>66</v>
      </c>
      <c r="AP1405">
        <v>1</v>
      </c>
      <c r="AQ1405" t="s">
        <v>5638</v>
      </c>
      <c r="AR1405" t="s">
        <v>5639</v>
      </c>
      <c r="AS1405" t="s">
        <v>5740</v>
      </c>
      <c r="AT1405" t="s">
        <v>66</v>
      </c>
    </row>
    <row r="1406" spans="1:46" x14ac:dyDescent="0.15">
      <c r="A1406" t="s">
        <v>5751</v>
      </c>
      <c r="B1406" t="s">
        <v>5429</v>
      </c>
      <c r="C1406" t="s">
        <v>5430</v>
      </c>
      <c r="D1406">
        <v>63</v>
      </c>
      <c r="E1406" t="s">
        <v>5431</v>
      </c>
      <c r="F1406" t="s">
        <v>3592</v>
      </c>
      <c r="G1406" t="s">
        <v>51</v>
      </c>
      <c r="H1406" t="s">
        <v>5432</v>
      </c>
      <c r="I1406" t="s">
        <v>720</v>
      </c>
      <c r="J1406" t="s">
        <v>1554</v>
      </c>
      <c r="K1406" t="s">
        <v>1555</v>
      </c>
      <c r="L1406" t="s">
        <v>18</v>
      </c>
      <c r="M1406" t="s">
        <v>16</v>
      </c>
      <c r="N1406">
        <v>3980</v>
      </c>
      <c r="O1406">
        <v>216</v>
      </c>
      <c r="P1406">
        <v>0</v>
      </c>
      <c r="Q1406" t="s">
        <v>5752</v>
      </c>
      <c r="R1406" t="s">
        <v>5753</v>
      </c>
      <c r="S1406" t="s">
        <v>5754</v>
      </c>
      <c r="T1406" t="s">
        <v>5755</v>
      </c>
      <c r="U1406" t="s">
        <v>60</v>
      </c>
      <c r="V1406" t="s">
        <v>61</v>
      </c>
      <c r="W1406">
        <v>10</v>
      </c>
      <c r="X1406">
        <v>0.13125000000000001</v>
      </c>
      <c r="Y1406" t="s">
        <v>269</v>
      </c>
      <c r="Z1406" t="s">
        <v>478</v>
      </c>
      <c r="AA1406">
        <v>3</v>
      </c>
      <c r="AB1406" t="s">
        <v>5434</v>
      </c>
      <c r="AC1406" t="s">
        <v>5435</v>
      </c>
      <c r="AD1406" t="s">
        <v>5436</v>
      </c>
      <c r="AE1406" t="s">
        <v>5437</v>
      </c>
      <c r="AF1406" t="s">
        <v>5438</v>
      </c>
      <c r="AG1406" t="s">
        <v>66</v>
      </c>
      <c r="AH1406" t="s">
        <v>66</v>
      </c>
      <c r="AI1406" t="s">
        <v>66</v>
      </c>
      <c r="AJ1406" t="s">
        <v>66</v>
      </c>
      <c r="AK1406">
        <v>1</v>
      </c>
      <c r="AL1406" t="s">
        <v>5636</v>
      </c>
      <c r="AM1406" t="s">
        <v>5535</v>
      </c>
      <c r="AN1406" t="s">
        <v>5637</v>
      </c>
      <c r="AO1406" t="s">
        <v>66</v>
      </c>
      <c r="AP1406">
        <v>1</v>
      </c>
      <c r="AQ1406" t="s">
        <v>5638</v>
      </c>
      <c r="AR1406" t="s">
        <v>5639</v>
      </c>
      <c r="AS1406" t="s">
        <v>5740</v>
      </c>
      <c r="AT1406" t="s">
        <v>66</v>
      </c>
    </row>
    <row r="1407" spans="1:46" x14ac:dyDescent="0.15">
      <c r="A1407" t="s">
        <v>5756</v>
      </c>
      <c r="B1407" t="s">
        <v>5429</v>
      </c>
      <c r="C1407" t="s">
        <v>5430</v>
      </c>
      <c r="D1407">
        <v>64</v>
      </c>
      <c r="E1407" t="s">
        <v>5431</v>
      </c>
      <c r="F1407" t="s">
        <v>3592</v>
      </c>
      <c r="G1407" t="s">
        <v>51</v>
      </c>
      <c r="H1407" t="s">
        <v>5432</v>
      </c>
      <c r="I1407" t="s">
        <v>720</v>
      </c>
      <c r="J1407" t="s">
        <v>1554</v>
      </c>
      <c r="K1407" t="s">
        <v>1555</v>
      </c>
      <c r="L1407" t="s">
        <v>18</v>
      </c>
      <c r="M1407" t="s">
        <v>16</v>
      </c>
      <c r="N1407">
        <v>4036</v>
      </c>
      <c r="O1407">
        <v>219</v>
      </c>
      <c r="P1407">
        <v>0</v>
      </c>
      <c r="Q1407" t="s">
        <v>5757</v>
      </c>
      <c r="R1407" t="s">
        <v>5758</v>
      </c>
      <c r="S1407" t="s">
        <v>5759</v>
      </c>
      <c r="T1407" t="s">
        <v>5760</v>
      </c>
      <c r="U1407" t="s">
        <v>60</v>
      </c>
      <c r="V1407" t="s">
        <v>61</v>
      </c>
      <c r="W1407">
        <v>10</v>
      </c>
      <c r="X1407">
        <v>0.13125000000000001</v>
      </c>
      <c r="Y1407" t="s">
        <v>484</v>
      </c>
      <c r="Z1407" t="s">
        <v>485</v>
      </c>
      <c r="AA1407">
        <v>3</v>
      </c>
      <c r="AB1407" t="s">
        <v>5434</v>
      </c>
      <c r="AC1407" t="s">
        <v>5435</v>
      </c>
      <c r="AD1407" t="s">
        <v>5436</v>
      </c>
      <c r="AE1407" t="s">
        <v>5437</v>
      </c>
      <c r="AF1407" t="s">
        <v>5438</v>
      </c>
      <c r="AG1407" t="s">
        <v>66</v>
      </c>
      <c r="AH1407" t="s">
        <v>66</v>
      </c>
      <c r="AI1407" t="s">
        <v>66</v>
      </c>
      <c r="AJ1407" t="s">
        <v>66</v>
      </c>
      <c r="AK1407">
        <v>1</v>
      </c>
      <c r="AL1407" t="s">
        <v>5636</v>
      </c>
      <c r="AM1407" t="s">
        <v>5535</v>
      </c>
      <c r="AN1407" t="s">
        <v>5637</v>
      </c>
      <c r="AO1407" t="s">
        <v>66</v>
      </c>
      <c r="AP1407">
        <v>1</v>
      </c>
      <c r="AQ1407" t="s">
        <v>5638</v>
      </c>
      <c r="AR1407" t="s">
        <v>5639</v>
      </c>
      <c r="AS1407" t="s">
        <v>5740</v>
      </c>
      <c r="AT1407" t="s">
        <v>66</v>
      </c>
    </row>
    <row r="1408" spans="1:46" x14ac:dyDescent="0.15">
      <c r="A1408" t="s">
        <v>5761</v>
      </c>
      <c r="B1408" t="s">
        <v>5429</v>
      </c>
      <c r="C1408" t="s">
        <v>5430</v>
      </c>
      <c r="D1408">
        <v>65</v>
      </c>
      <c r="E1408" t="s">
        <v>5431</v>
      </c>
      <c r="F1408" t="s">
        <v>3592</v>
      </c>
      <c r="G1408" t="s">
        <v>51</v>
      </c>
      <c r="H1408" t="s">
        <v>5432</v>
      </c>
      <c r="I1408" t="s">
        <v>720</v>
      </c>
      <c r="J1408" t="s">
        <v>1554</v>
      </c>
      <c r="K1408" t="s">
        <v>1555</v>
      </c>
      <c r="L1408" t="s">
        <v>18</v>
      </c>
      <c r="M1408" t="s">
        <v>16</v>
      </c>
      <c r="N1408">
        <v>4092</v>
      </c>
      <c r="O1408">
        <v>222</v>
      </c>
      <c r="P1408">
        <v>0</v>
      </c>
      <c r="Q1408" t="s">
        <v>5762</v>
      </c>
      <c r="R1408" t="s">
        <v>5763</v>
      </c>
      <c r="S1408" t="s">
        <v>5764</v>
      </c>
      <c r="T1408" t="s">
        <v>5765</v>
      </c>
      <c r="U1408" t="s">
        <v>60</v>
      </c>
      <c r="V1408" t="s">
        <v>61</v>
      </c>
      <c r="W1408">
        <v>10</v>
      </c>
      <c r="X1408">
        <v>0.13125000000000001</v>
      </c>
      <c r="Y1408" t="s">
        <v>275</v>
      </c>
      <c r="Z1408" t="s">
        <v>491</v>
      </c>
      <c r="AA1408">
        <v>3</v>
      </c>
      <c r="AB1408" t="s">
        <v>5434</v>
      </c>
      <c r="AC1408" t="s">
        <v>5435</v>
      </c>
      <c r="AD1408" t="s">
        <v>5436</v>
      </c>
      <c r="AE1408" t="s">
        <v>5437</v>
      </c>
      <c r="AF1408" t="s">
        <v>5438</v>
      </c>
      <c r="AG1408" t="s">
        <v>66</v>
      </c>
      <c r="AH1408" t="s">
        <v>66</v>
      </c>
      <c r="AI1408" t="s">
        <v>66</v>
      </c>
      <c r="AJ1408" t="s">
        <v>66</v>
      </c>
      <c r="AK1408">
        <v>1</v>
      </c>
      <c r="AL1408" t="s">
        <v>5636</v>
      </c>
      <c r="AM1408" t="s">
        <v>5535</v>
      </c>
      <c r="AN1408" t="s">
        <v>5637</v>
      </c>
      <c r="AO1408" t="s">
        <v>66</v>
      </c>
      <c r="AP1408">
        <v>1</v>
      </c>
      <c r="AQ1408" t="s">
        <v>5638</v>
      </c>
      <c r="AR1408" t="s">
        <v>5639</v>
      </c>
      <c r="AS1408" t="s">
        <v>5740</v>
      </c>
      <c r="AT1408" t="s">
        <v>66</v>
      </c>
    </row>
    <row r="1409" spans="1:46" x14ac:dyDescent="0.15">
      <c r="A1409" t="s">
        <v>5766</v>
      </c>
      <c r="B1409" t="s">
        <v>5429</v>
      </c>
      <c r="C1409" t="s">
        <v>5430</v>
      </c>
      <c r="D1409">
        <v>66</v>
      </c>
      <c r="E1409" t="s">
        <v>5431</v>
      </c>
      <c r="F1409" t="s">
        <v>3592</v>
      </c>
      <c r="G1409" t="s">
        <v>51</v>
      </c>
      <c r="H1409" t="s">
        <v>5432</v>
      </c>
      <c r="I1409" t="s">
        <v>720</v>
      </c>
      <c r="J1409" t="s">
        <v>1554</v>
      </c>
      <c r="K1409" t="s">
        <v>1555</v>
      </c>
      <c r="L1409" t="s">
        <v>18</v>
      </c>
      <c r="M1409" t="s">
        <v>16</v>
      </c>
      <c r="N1409">
        <v>4148</v>
      </c>
      <c r="O1409">
        <v>225</v>
      </c>
      <c r="P1409">
        <v>0</v>
      </c>
      <c r="Q1409" t="s">
        <v>5767</v>
      </c>
      <c r="R1409" t="s">
        <v>5768</v>
      </c>
      <c r="S1409" t="s">
        <v>5769</v>
      </c>
      <c r="T1409" t="s">
        <v>5770</v>
      </c>
      <c r="U1409" t="s">
        <v>60</v>
      </c>
      <c r="V1409" t="s">
        <v>61</v>
      </c>
      <c r="W1409">
        <v>10</v>
      </c>
      <c r="X1409">
        <v>0.13125000000000001</v>
      </c>
      <c r="Y1409" t="s">
        <v>497</v>
      </c>
      <c r="Z1409" t="s">
        <v>498</v>
      </c>
      <c r="AA1409">
        <v>3</v>
      </c>
      <c r="AB1409" t="s">
        <v>5434</v>
      </c>
      <c r="AC1409" t="s">
        <v>5435</v>
      </c>
      <c r="AD1409" t="s">
        <v>5436</v>
      </c>
      <c r="AE1409" t="s">
        <v>5437</v>
      </c>
      <c r="AF1409" t="s">
        <v>5438</v>
      </c>
      <c r="AG1409" t="s">
        <v>66</v>
      </c>
      <c r="AH1409" t="s">
        <v>66</v>
      </c>
      <c r="AI1409" t="s">
        <v>66</v>
      </c>
      <c r="AJ1409" t="s">
        <v>66</v>
      </c>
      <c r="AK1409">
        <v>1</v>
      </c>
      <c r="AL1409" t="s">
        <v>5636</v>
      </c>
      <c r="AM1409" t="s">
        <v>5535</v>
      </c>
      <c r="AN1409" t="s">
        <v>5637</v>
      </c>
      <c r="AO1409" t="s">
        <v>66</v>
      </c>
      <c r="AP1409">
        <v>1</v>
      </c>
      <c r="AQ1409" t="s">
        <v>5638</v>
      </c>
      <c r="AR1409" t="s">
        <v>5639</v>
      </c>
      <c r="AS1409" t="s">
        <v>5740</v>
      </c>
      <c r="AT1409" t="s">
        <v>66</v>
      </c>
    </row>
    <row r="1410" spans="1:46" x14ac:dyDescent="0.15">
      <c r="A1410" t="s">
        <v>5771</v>
      </c>
      <c r="B1410" t="s">
        <v>5429</v>
      </c>
      <c r="C1410" t="s">
        <v>5430</v>
      </c>
      <c r="D1410">
        <v>67</v>
      </c>
      <c r="E1410" t="s">
        <v>5431</v>
      </c>
      <c r="F1410" t="s">
        <v>3592</v>
      </c>
      <c r="G1410" t="s">
        <v>51</v>
      </c>
      <c r="H1410" t="s">
        <v>5432</v>
      </c>
      <c r="I1410" t="s">
        <v>720</v>
      </c>
      <c r="J1410" t="s">
        <v>1554</v>
      </c>
      <c r="K1410" t="s">
        <v>1555</v>
      </c>
      <c r="L1410" t="s">
        <v>18</v>
      </c>
      <c r="M1410" t="s">
        <v>16</v>
      </c>
      <c r="N1410">
        <v>4204</v>
      </c>
      <c r="O1410">
        <v>228</v>
      </c>
      <c r="P1410">
        <v>0</v>
      </c>
      <c r="Q1410" t="s">
        <v>5772</v>
      </c>
      <c r="R1410" t="s">
        <v>5773</v>
      </c>
      <c r="S1410" t="s">
        <v>5774</v>
      </c>
      <c r="T1410" t="s">
        <v>5775</v>
      </c>
      <c r="U1410" t="s">
        <v>60</v>
      </c>
      <c r="V1410" t="s">
        <v>61</v>
      </c>
      <c r="W1410">
        <v>10</v>
      </c>
      <c r="X1410">
        <v>0.13125000000000001</v>
      </c>
      <c r="Y1410" t="s">
        <v>282</v>
      </c>
      <c r="Z1410" t="s">
        <v>504</v>
      </c>
      <c r="AA1410">
        <v>3</v>
      </c>
      <c r="AB1410" t="s">
        <v>5434</v>
      </c>
      <c r="AC1410" t="s">
        <v>5435</v>
      </c>
      <c r="AD1410" t="s">
        <v>5436</v>
      </c>
      <c r="AE1410" t="s">
        <v>5437</v>
      </c>
      <c r="AF1410" t="s">
        <v>5438</v>
      </c>
      <c r="AG1410" t="s">
        <v>66</v>
      </c>
      <c r="AH1410" t="s">
        <v>66</v>
      </c>
      <c r="AI1410" t="s">
        <v>66</v>
      </c>
      <c r="AJ1410" t="s">
        <v>66</v>
      </c>
      <c r="AK1410">
        <v>1</v>
      </c>
      <c r="AL1410" t="s">
        <v>5636</v>
      </c>
      <c r="AM1410" t="s">
        <v>5535</v>
      </c>
      <c r="AN1410" t="s">
        <v>5637</v>
      </c>
      <c r="AO1410" t="s">
        <v>66</v>
      </c>
      <c r="AP1410">
        <v>1</v>
      </c>
      <c r="AQ1410" t="s">
        <v>5638</v>
      </c>
      <c r="AR1410" t="s">
        <v>5639</v>
      </c>
      <c r="AS1410" t="s">
        <v>5740</v>
      </c>
      <c r="AT1410" t="s">
        <v>66</v>
      </c>
    </row>
    <row r="1411" spans="1:46" x14ac:dyDescent="0.15">
      <c r="A1411" t="s">
        <v>5776</v>
      </c>
      <c r="B1411" t="s">
        <v>5429</v>
      </c>
      <c r="C1411" t="s">
        <v>5430</v>
      </c>
      <c r="D1411">
        <v>68</v>
      </c>
      <c r="E1411" t="s">
        <v>5431</v>
      </c>
      <c r="F1411" t="s">
        <v>3592</v>
      </c>
      <c r="G1411" t="s">
        <v>51</v>
      </c>
      <c r="H1411" t="s">
        <v>5432</v>
      </c>
      <c r="I1411" t="s">
        <v>720</v>
      </c>
      <c r="J1411" t="s">
        <v>1554</v>
      </c>
      <c r="K1411" t="s">
        <v>1555</v>
      </c>
      <c r="L1411" t="s">
        <v>18</v>
      </c>
      <c r="M1411" t="s">
        <v>16</v>
      </c>
      <c r="N1411">
        <v>4260</v>
      </c>
      <c r="O1411">
        <v>231</v>
      </c>
      <c r="P1411">
        <v>0</v>
      </c>
      <c r="Q1411" t="s">
        <v>5777</v>
      </c>
      <c r="R1411" t="s">
        <v>5778</v>
      </c>
      <c r="S1411" t="s">
        <v>5779</v>
      </c>
      <c r="T1411" t="s">
        <v>5780</v>
      </c>
      <c r="U1411" t="s">
        <v>60</v>
      </c>
      <c r="V1411" t="s">
        <v>61</v>
      </c>
      <c r="W1411">
        <v>10</v>
      </c>
      <c r="X1411">
        <v>0.13125000000000001</v>
      </c>
      <c r="Y1411" t="s">
        <v>510</v>
      </c>
      <c r="Z1411" t="s">
        <v>511</v>
      </c>
      <c r="AA1411">
        <v>3</v>
      </c>
      <c r="AB1411" t="s">
        <v>5434</v>
      </c>
      <c r="AC1411" t="s">
        <v>5435</v>
      </c>
      <c r="AD1411" t="s">
        <v>5436</v>
      </c>
      <c r="AE1411" t="s">
        <v>5437</v>
      </c>
      <c r="AF1411" t="s">
        <v>5438</v>
      </c>
      <c r="AG1411" t="s">
        <v>66</v>
      </c>
      <c r="AH1411" t="s">
        <v>66</v>
      </c>
      <c r="AI1411" t="s">
        <v>66</v>
      </c>
      <c r="AJ1411" t="s">
        <v>66</v>
      </c>
      <c r="AK1411">
        <v>1</v>
      </c>
      <c r="AL1411" t="s">
        <v>5636</v>
      </c>
      <c r="AM1411" t="s">
        <v>5535</v>
      </c>
      <c r="AN1411" t="s">
        <v>5637</v>
      </c>
      <c r="AO1411" t="s">
        <v>66</v>
      </c>
      <c r="AP1411">
        <v>1</v>
      </c>
      <c r="AQ1411" t="s">
        <v>5638</v>
      </c>
      <c r="AR1411" t="s">
        <v>5639</v>
      </c>
      <c r="AS1411" t="s">
        <v>5740</v>
      </c>
      <c r="AT1411" t="s">
        <v>66</v>
      </c>
    </row>
    <row r="1412" spans="1:46" x14ac:dyDescent="0.15">
      <c r="A1412" t="s">
        <v>5781</v>
      </c>
      <c r="B1412" t="s">
        <v>5429</v>
      </c>
      <c r="C1412" t="s">
        <v>5430</v>
      </c>
      <c r="D1412">
        <v>69</v>
      </c>
      <c r="E1412" t="s">
        <v>5431</v>
      </c>
      <c r="F1412" t="s">
        <v>3592</v>
      </c>
      <c r="G1412" t="s">
        <v>51</v>
      </c>
      <c r="H1412" t="s">
        <v>5432</v>
      </c>
      <c r="I1412" t="s">
        <v>720</v>
      </c>
      <c r="J1412" t="s">
        <v>1554</v>
      </c>
      <c r="K1412" t="s">
        <v>1555</v>
      </c>
      <c r="L1412" t="s">
        <v>18</v>
      </c>
      <c r="M1412" t="s">
        <v>16</v>
      </c>
      <c r="N1412">
        <v>4316</v>
      </c>
      <c r="O1412">
        <v>234</v>
      </c>
      <c r="P1412">
        <v>0</v>
      </c>
      <c r="Q1412" t="s">
        <v>5782</v>
      </c>
      <c r="R1412" t="s">
        <v>5783</v>
      </c>
      <c r="S1412" t="s">
        <v>5784</v>
      </c>
      <c r="T1412" t="s">
        <v>5785</v>
      </c>
      <c r="U1412" t="s">
        <v>60</v>
      </c>
      <c r="V1412" t="s">
        <v>61</v>
      </c>
      <c r="W1412">
        <v>10</v>
      </c>
      <c r="X1412">
        <v>0.13125000000000001</v>
      </c>
      <c r="Y1412" t="s">
        <v>288</v>
      </c>
      <c r="Z1412" t="s">
        <v>517</v>
      </c>
      <c r="AA1412">
        <v>3</v>
      </c>
      <c r="AB1412" t="s">
        <v>5434</v>
      </c>
      <c r="AC1412" t="s">
        <v>5435</v>
      </c>
      <c r="AD1412" t="s">
        <v>5436</v>
      </c>
      <c r="AE1412" t="s">
        <v>5437</v>
      </c>
      <c r="AF1412" t="s">
        <v>5438</v>
      </c>
      <c r="AG1412" t="s">
        <v>66</v>
      </c>
      <c r="AH1412" t="s">
        <v>66</v>
      </c>
      <c r="AI1412" t="s">
        <v>66</v>
      </c>
      <c r="AJ1412" t="s">
        <v>66</v>
      </c>
      <c r="AK1412">
        <v>1</v>
      </c>
      <c r="AL1412" t="s">
        <v>5636</v>
      </c>
      <c r="AM1412" t="s">
        <v>5535</v>
      </c>
      <c r="AN1412" t="s">
        <v>5637</v>
      </c>
      <c r="AO1412" t="s">
        <v>66</v>
      </c>
      <c r="AP1412">
        <v>1</v>
      </c>
      <c r="AQ1412" t="s">
        <v>5638</v>
      </c>
      <c r="AR1412" t="s">
        <v>5639</v>
      </c>
      <c r="AS1412" t="s">
        <v>5740</v>
      </c>
      <c r="AT1412" t="s">
        <v>66</v>
      </c>
    </row>
    <row r="1413" spans="1:46" x14ac:dyDescent="0.15">
      <c r="A1413" t="s">
        <v>5786</v>
      </c>
      <c r="B1413" t="s">
        <v>5429</v>
      </c>
      <c r="C1413" t="s">
        <v>5430</v>
      </c>
      <c r="D1413">
        <v>70</v>
      </c>
      <c r="E1413" t="s">
        <v>5431</v>
      </c>
      <c r="F1413" t="s">
        <v>3592</v>
      </c>
      <c r="G1413" t="s">
        <v>51</v>
      </c>
      <c r="H1413" t="s">
        <v>5432</v>
      </c>
      <c r="I1413" t="s">
        <v>720</v>
      </c>
      <c r="J1413" t="s">
        <v>1554</v>
      </c>
      <c r="K1413" t="s">
        <v>1555</v>
      </c>
      <c r="L1413" t="s">
        <v>18</v>
      </c>
      <c r="M1413" t="s">
        <v>16</v>
      </c>
      <c r="N1413">
        <v>4372</v>
      </c>
      <c r="O1413">
        <v>237</v>
      </c>
      <c r="P1413">
        <v>0</v>
      </c>
      <c r="Q1413" t="s">
        <v>5787</v>
      </c>
      <c r="R1413" t="s">
        <v>5788</v>
      </c>
      <c r="S1413" t="s">
        <v>5789</v>
      </c>
      <c r="T1413" t="s">
        <v>5790</v>
      </c>
      <c r="U1413" t="s">
        <v>60</v>
      </c>
      <c r="V1413" t="s">
        <v>61</v>
      </c>
      <c r="W1413">
        <v>10</v>
      </c>
      <c r="X1413">
        <v>0.13125000000000001</v>
      </c>
      <c r="Y1413" t="s">
        <v>523</v>
      </c>
      <c r="Z1413" t="s">
        <v>524</v>
      </c>
      <c r="AA1413">
        <v>3</v>
      </c>
      <c r="AB1413" t="s">
        <v>5434</v>
      </c>
      <c r="AC1413" t="s">
        <v>5435</v>
      </c>
      <c r="AD1413" t="s">
        <v>5436</v>
      </c>
      <c r="AE1413" t="s">
        <v>5437</v>
      </c>
      <c r="AF1413" t="s">
        <v>5438</v>
      </c>
      <c r="AG1413" t="s">
        <v>66</v>
      </c>
      <c r="AH1413" t="s">
        <v>66</v>
      </c>
      <c r="AI1413" t="s">
        <v>66</v>
      </c>
      <c r="AJ1413" t="s">
        <v>66</v>
      </c>
      <c r="AK1413">
        <v>1</v>
      </c>
      <c r="AL1413" t="s">
        <v>5636</v>
      </c>
      <c r="AM1413" t="s">
        <v>5535</v>
      </c>
      <c r="AN1413" t="s">
        <v>5637</v>
      </c>
      <c r="AO1413" t="s">
        <v>66</v>
      </c>
      <c r="AP1413">
        <v>1</v>
      </c>
      <c r="AQ1413" t="s">
        <v>5638</v>
      </c>
      <c r="AR1413" t="s">
        <v>5639</v>
      </c>
      <c r="AS1413" t="s">
        <v>5740</v>
      </c>
      <c r="AT1413" t="s">
        <v>66</v>
      </c>
    </row>
    <row r="1414" spans="1:46" x14ac:dyDescent="0.15">
      <c r="A1414" t="s">
        <v>5791</v>
      </c>
      <c r="B1414" t="s">
        <v>5429</v>
      </c>
      <c r="C1414" t="s">
        <v>5430</v>
      </c>
      <c r="D1414">
        <v>71</v>
      </c>
      <c r="E1414" t="s">
        <v>5431</v>
      </c>
      <c r="F1414" t="s">
        <v>3592</v>
      </c>
      <c r="G1414" t="s">
        <v>51</v>
      </c>
      <c r="H1414" t="s">
        <v>5432</v>
      </c>
      <c r="I1414" t="s">
        <v>720</v>
      </c>
      <c r="J1414" t="s">
        <v>1554</v>
      </c>
      <c r="K1414" t="s">
        <v>1555</v>
      </c>
      <c r="L1414" t="s">
        <v>18</v>
      </c>
      <c r="M1414" t="s">
        <v>16</v>
      </c>
      <c r="N1414">
        <v>4429</v>
      </c>
      <c r="O1414">
        <v>240</v>
      </c>
      <c r="P1414">
        <v>0</v>
      </c>
      <c r="Q1414" t="s">
        <v>5792</v>
      </c>
      <c r="R1414" t="s">
        <v>5793</v>
      </c>
      <c r="S1414" t="s">
        <v>5794</v>
      </c>
      <c r="T1414" t="s">
        <v>5795</v>
      </c>
      <c r="U1414" t="s">
        <v>60</v>
      </c>
      <c r="V1414" t="s">
        <v>61</v>
      </c>
      <c r="W1414">
        <v>10</v>
      </c>
      <c r="X1414">
        <v>0.13125000000000001</v>
      </c>
      <c r="Y1414" t="s">
        <v>295</v>
      </c>
      <c r="Z1414" t="s">
        <v>530</v>
      </c>
      <c r="AA1414">
        <v>3</v>
      </c>
      <c r="AB1414" t="s">
        <v>5434</v>
      </c>
      <c r="AC1414" t="s">
        <v>5435</v>
      </c>
      <c r="AD1414" t="s">
        <v>5436</v>
      </c>
      <c r="AE1414" t="s">
        <v>5437</v>
      </c>
      <c r="AF1414" t="s">
        <v>5438</v>
      </c>
      <c r="AG1414" t="s">
        <v>66</v>
      </c>
      <c r="AH1414" t="s">
        <v>66</v>
      </c>
      <c r="AI1414" t="s">
        <v>66</v>
      </c>
      <c r="AJ1414" t="s">
        <v>66</v>
      </c>
      <c r="AK1414">
        <v>1</v>
      </c>
      <c r="AL1414" t="s">
        <v>5636</v>
      </c>
      <c r="AM1414" t="s">
        <v>5535</v>
      </c>
      <c r="AN1414" t="s">
        <v>5637</v>
      </c>
      <c r="AO1414" t="s">
        <v>66</v>
      </c>
      <c r="AP1414">
        <v>1</v>
      </c>
      <c r="AQ1414" t="s">
        <v>5638</v>
      </c>
      <c r="AR1414" t="s">
        <v>5639</v>
      </c>
      <c r="AS1414" t="s">
        <v>5740</v>
      </c>
      <c r="AT1414" t="s">
        <v>66</v>
      </c>
    </row>
    <row r="1415" spans="1:46" x14ac:dyDescent="0.15">
      <c r="A1415" t="s">
        <v>5796</v>
      </c>
      <c r="B1415" t="s">
        <v>5429</v>
      </c>
      <c r="C1415" t="s">
        <v>5430</v>
      </c>
      <c r="D1415">
        <v>72</v>
      </c>
      <c r="E1415" t="s">
        <v>5431</v>
      </c>
      <c r="F1415" t="s">
        <v>3592</v>
      </c>
      <c r="G1415" t="s">
        <v>51</v>
      </c>
      <c r="H1415" t="s">
        <v>5432</v>
      </c>
      <c r="I1415" t="s">
        <v>720</v>
      </c>
      <c r="J1415" t="s">
        <v>1554</v>
      </c>
      <c r="K1415" t="s">
        <v>1555</v>
      </c>
      <c r="L1415" t="s">
        <v>18</v>
      </c>
      <c r="M1415" t="s">
        <v>16</v>
      </c>
      <c r="N1415">
        <v>4485</v>
      </c>
      <c r="O1415">
        <v>243</v>
      </c>
      <c r="P1415">
        <v>0</v>
      </c>
      <c r="Q1415" t="s">
        <v>5797</v>
      </c>
      <c r="R1415" t="s">
        <v>5798</v>
      </c>
      <c r="S1415" t="s">
        <v>5799</v>
      </c>
      <c r="T1415" t="s">
        <v>5800</v>
      </c>
      <c r="U1415" t="s">
        <v>60</v>
      </c>
      <c r="V1415" t="s">
        <v>61</v>
      </c>
      <c r="W1415">
        <v>10</v>
      </c>
      <c r="X1415">
        <v>0.13125000000000001</v>
      </c>
      <c r="Y1415" t="s">
        <v>536</v>
      </c>
      <c r="Z1415" t="s">
        <v>537</v>
      </c>
      <c r="AA1415">
        <v>3</v>
      </c>
      <c r="AB1415" t="s">
        <v>5434</v>
      </c>
      <c r="AC1415" t="s">
        <v>5435</v>
      </c>
      <c r="AD1415" t="s">
        <v>5436</v>
      </c>
      <c r="AE1415" t="s">
        <v>5437</v>
      </c>
      <c r="AF1415" t="s">
        <v>5438</v>
      </c>
      <c r="AG1415" t="s">
        <v>66</v>
      </c>
      <c r="AH1415" t="s">
        <v>66</v>
      </c>
      <c r="AI1415" t="s">
        <v>66</v>
      </c>
      <c r="AJ1415" t="s">
        <v>66</v>
      </c>
      <c r="AK1415">
        <v>1</v>
      </c>
      <c r="AL1415" t="s">
        <v>5636</v>
      </c>
      <c r="AM1415" t="s">
        <v>5535</v>
      </c>
      <c r="AN1415" t="s">
        <v>5637</v>
      </c>
      <c r="AO1415" t="s">
        <v>66</v>
      </c>
      <c r="AP1415">
        <v>1</v>
      </c>
      <c r="AQ1415" t="s">
        <v>5638</v>
      </c>
      <c r="AR1415" t="s">
        <v>5639</v>
      </c>
      <c r="AS1415" t="s">
        <v>5740</v>
      </c>
      <c r="AT1415" t="s">
        <v>66</v>
      </c>
    </row>
    <row r="1416" spans="1:46" x14ac:dyDescent="0.15">
      <c r="A1416" t="s">
        <v>5801</v>
      </c>
      <c r="B1416" t="s">
        <v>5429</v>
      </c>
      <c r="C1416" t="s">
        <v>5430</v>
      </c>
      <c r="D1416">
        <v>73</v>
      </c>
      <c r="E1416" t="s">
        <v>5431</v>
      </c>
      <c r="F1416" t="s">
        <v>3592</v>
      </c>
      <c r="G1416" t="s">
        <v>51</v>
      </c>
      <c r="H1416" t="s">
        <v>5432</v>
      </c>
      <c r="I1416" t="s">
        <v>720</v>
      </c>
      <c r="J1416" t="s">
        <v>1554</v>
      </c>
      <c r="K1416" t="s">
        <v>1555</v>
      </c>
      <c r="L1416" t="s">
        <v>18</v>
      </c>
      <c r="M1416" t="s">
        <v>16</v>
      </c>
      <c r="N1416">
        <v>4541</v>
      </c>
      <c r="O1416">
        <v>246</v>
      </c>
      <c r="P1416">
        <v>0</v>
      </c>
      <c r="Q1416" t="s">
        <v>5802</v>
      </c>
      <c r="R1416" t="s">
        <v>5803</v>
      </c>
      <c r="S1416" t="s">
        <v>5804</v>
      </c>
      <c r="T1416" t="s">
        <v>5805</v>
      </c>
      <c r="U1416" t="s">
        <v>60</v>
      </c>
      <c r="V1416" t="s">
        <v>61</v>
      </c>
      <c r="W1416">
        <v>10</v>
      </c>
      <c r="X1416">
        <v>0.13125000000000001</v>
      </c>
      <c r="Y1416" t="s">
        <v>301</v>
      </c>
      <c r="Z1416" t="s">
        <v>543</v>
      </c>
      <c r="AA1416">
        <v>3</v>
      </c>
      <c r="AB1416" t="s">
        <v>5434</v>
      </c>
      <c r="AC1416" t="s">
        <v>5435</v>
      </c>
      <c r="AD1416" t="s">
        <v>5436</v>
      </c>
      <c r="AE1416" t="s">
        <v>5437</v>
      </c>
      <c r="AF1416" t="s">
        <v>5438</v>
      </c>
      <c r="AG1416" t="s">
        <v>66</v>
      </c>
      <c r="AH1416" t="s">
        <v>66</v>
      </c>
      <c r="AI1416" t="s">
        <v>66</v>
      </c>
      <c r="AJ1416" t="s">
        <v>66</v>
      </c>
      <c r="AK1416">
        <v>1</v>
      </c>
      <c r="AL1416" t="s">
        <v>5636</v>
      </c>
      <c r="AM1416" t="s">
        <v>5535</v>
      </c>
      <c r="AN1416" t="s">
        <v>5637</v>
      </c>
      <c r="AO1416" t="s">
        <v>66</v>
      </c>
      <c r="AP1416">
        <v>1</v>
      </c>
      <c r="AQ1416" t="s">
        <v>5638</v>
      </c>
      <c r="AR1416" t="s">
        <v>5639</v>
      </c>
      <c r="AS1416" t="s">
        <v>5740</v>
      </c>
      <c r="AT1416" t="s">
        <v>66</v>
      </c>
    </row>
    <row r="1417" spans="1:46" x14ac:dyDescent="0.15">
      <c r="A1417" t="s">
        <v>5806</v>
      </c>
      <c r="B1417" t="s">
        <v>5429</v>
      </c>
      <c r="C1417" t="s">
        <v>5430</v>
      </c>
      <c r="D1417">
        <v>74</v>
      </c>
      <c r="E1417" t="s">
        <v>5431</v>
      </c>
      <c r="F1417" t="s">
        <v>3592</v>
      </c>
      <c r="G1417" t="s">
        <v>51</v>
      </c>
      <c r="H1417" t="s">
        <v>5432</v>
      </c>
      <c r="I1417" t="s">
        <v>720</v>
      </c>
      <c r="J1417" t="s">
        <v>1554</v>
      </c>
      <c r="K1417" t="s">
        <v>1555</v>
      </c>
      <c r="L1417" t="s">
        <v>18</v>
      </c>
      <c r="M1417" t="s">
        <v>16</v>
      </c>
      <c r="N1417">
        <v>4597</v>
      </c>
      <c r="O1417">
        <v>249</v>
      </c>
      <c r="P1417">
        <v>0</v>
      </c>
      <c r="Q1417" t="s">
        <v>5807</v>
      </c>
      <c r="R1417" t="s">
        <v>5808</v>
      </c>
      <c r="S1417" t="s">
        <v>5809</v>
      </c>
      <c r="T1417" t="s">
        <v>5810</v>
      </c>
      <c r="U1417" t="s">
        <v>60</v>
      </c>
      <c r="V1417" t="s">
        <v>61</v>
      </c>
      <c r="W1417">
        <v>10</v>
      </c>
      <c r="X1417">
        <v>0.13125000000000001</v>
      </c>
      <c r="Y1417" t="s">
        <v>549</v>
      </c>
      <c r="Z1417" t="s">
        <v>550</v>
      </c>
      <c r="AA1417">
        <v>3</v>
      </c>
      <c r="AB1417" t="s">
        <v>5434</v>
      </c>
      <c r="AC1417" t="s">
        <v>5435</v>
      </c>
      <c r="AD1417" t="s">
        <v>5436</v>
      </c>
      <c r="AE1417" t="s">
        <v>5437</v>
      </c>
      <c r="AF1417" t="s">
        <v>5438</v>
      </c>
      <c r="AG1417" t="s">
        <v>66</v>
      </c>
      <c r="AH1417" t="s">
        <v>66</v>
      </c>
      <c r="AI1417" t="s">
        <v>66</v>
      </c>
      <c r="AJ1417" t="s">
        <v>66</v>
      </c>
      <c r="AK1417">
        <v>1</v>
      </c>
      <c r="AL1417" t="s">
        <v>5636</v>
      </c>
      <c r="AM1417" t="s">
        <v>5535</v>
      </c>
      <c r="AN1417" t="s">
        <v>5637</v>
      </c>
      <c r="AO1417" t="s">
        <v>66</v>
      </c>
      <c r="AP1417">
        <v>1</v>
      </c>
      <c r="AQ1417" t="s">
        <v>5638</v>
      </c>
      <c r="AR1417" t="s">
        <v>5639</v>
      </c>
      <c r="AS1417" t="s">
        <v>5740</v>
      </c>
      <c r="AT1417" t="s">
        <v>66</v>
      </c>
    </row>
    <row r="1418" spans="1:46" x14ac:dyDescent="0.15">
      <c r="A1418" t="s">
        <v>5811</v>
      </c>
      <c r="B1418" t="s">
        <v>5429</v>
      </c>
      <c r="C1418" t="s">
        <v>5430</v>
      </c>
      <c r="D1418">
        <v>75</v>
      </c>
      <c r="E1418" t="s">
        <v>5431</v>
      </c>
      <c r="F1418" t="s">
        <v>3592</v>
      </c>
      <c r="G1418" t="s">
        <v>51</v>
      </c>
      <c r="H1418" t="s">
        <v>5432</v>
      </c>
      <c r="I1418" t="s">
        <v>720</v>
      </c>
      <c r="J1418" t="s">
        <v>1554</v>
      </c>
      <c r="K1418" t="s">
        <v>1555</v>
      </c>
      <c r="L1418" t="s">
        <v>18</v>
      </c>
      <c r="M1418" t="s">
        <v>16</v>
      </c>
      <c r="N1418">
        <v>4653</v>
      </c>
      <c r="O1418">
        <v>252</v>
      </c>
      <c r="P1418">
        <v>0</v>
      </c>
      <c r="Q1418" t="s">
        <v>5812</v>
      </c>
      <c r="R1418" t="s">
        <v>5813</v>
      </c>
      <c r="S1418" t="s">
        <v>5814</v>
      </c>
      <c r="T1418" t="s">
        <v>5815</v>
      </c>
      <c r="U1418" t="s">
        <v>60</v>
      </c>
      <c r="V1418" t="s">
        <v>61</v>
      </c>
      <c r="W1418">
        <v>10</v>
      </c>
      <c r="X1418">
        <v>0.13125000000000001</v>
      </c>
      <c r="Y1418" t="s">
        <v>308</v>
      </c>
      <c r="Z1418" t="s">
        <v>556</v>
      </c>
      <c r="AA1418">
        <v>3</v>
      </c>
      <c r="AB1418" t="s">
        <v>5434</v>
      </c>
      <c r="AC1418" t="s">
        <v>5435</v>
      </c>
      <c r="AD1418" t="s">
        <v>5436</v>
      </c>
      <c r="AE1418" t="s">
        <v>5437</v>
      </c>
      <c r="AF1418" t="s">
        <v>5438</v>
      </c>
      <c r="AG1418" t="s">
        <v>66</v>
      </c>
      <c r="AH1418" t="s">
        <v>66</v>
      </c>
      <c r="AI1418" t="s">
        <v>66</v>
      </c>
      <c r="AJ1418" t="s">
        <v>66</v>
      </c>
      <c r="AK1418">
        <v>1</v>
      </c>
      <c r="AL1418" t="s">
        <v>5636</v>
      </c>
      <c r="AM1418" t="s">
        <v>5535</v>
      </c>
      <c r="AN1418" t="s">
        <v>5637</v>
      </c>
      <c r="AO1418" t="s">
        <v>66</v>
      </c>
      <c r="AP1418">
        <v>1</v>
      </c>
      <c r="AQ1418" t="s">
        <v>5638</v>
      </c>
      <c r="AR1418" t="s">
        <v>5639</v>
      </c>
      <c r="AS1418" t="s">
        <v>5740</v>
      </c>
      <c r="AT1418" t="s">
        <v>66</v>
      </c>
    </row>
    <row r="1419" spans="1:46" x14ac:dyDescent="0.15">
      <c r="A1419" t="s">
        <v>5816</v>
      </c>
      <c r="B1419" t="s">
        <v>5429</v>
      </c>
      <c r="C1419" t="s">
        <v>5430</v>
      </c>
      <c r="D1419">
        <v>76</v>
      </c>
      <c r="E1419" t="s">
        <v>5431</v>
      </c>
      <c r="F1419" t="s">
        <v>3592</v>
      </c>
      <c r="G1419" t="s">
        <v>51</v>
      </c>
      <c r="H1419" t="s">
        <v>5432</v>
      </c>
      <c r="I1419" t="s">
        <v>720</v>
      </c>
      <c r="J1419" t="s">
        <v>1554</v>
      </c>
      <c r="K1419" t="s">
        <v>1555</v>
      </c>
      <c r="L1419" t="s">
        <v>18</v>
      </c>
      <c r="M1419" t="s">
        <v>16</v>
      </c>
      <c r="N1419">
        <v>4709</v>
      </c>
      <c r="O1419">
        <v>255</v>
      </c>
      <c r="P1419">
        <v>0</v>
      </c>
      <c r="Q1419" t="s">
        <v>5817</v>
      </c>
      <c r="R1419" t="s">
        <v>5818</v>
      </c>
      <c r="S1419" t="s">
        <v>5819</v>
      </c>
      <c r="T1419" t="s">
        <v>5820</v>
      </c>
      <c r="U1419" t="s">
        <v>60</v>
      </c>
      <c r="V1419" t="s">
        <v>61</v>
      </c>
      <c r="W1419">
        <v>10</v>
      </c>
      <c r="X1419">
        <v>0.13125000000000001</v>
      </c>
      <c r="Y1419" t="s">
        <v>562</v>
      </c>
      <c r="Z1419" t="s">
        <v>563</v>
      </c>
      <c r="AA1419">
        <v>3</v>
      </c>
      <c r="AB1419" t="s">
        <v>5434</v>
      </c>
      <c r="AC1419" t="s">
        <v>5435</v>
      </c>
      <c r="AD1419" t="s">
        <v>5436</v>
      </c>
      <c r="AE1419" t="s">
        <v>5437</v>
      </c>
      <c r="AF1419" t="s">
        <v>5438</v>
      </c>
      <c r="AG1419" t="s">
        <v>66</v>
      </c>
      <c r="AH1419" t="s">
        <v>66</v>
      </c>
      <c r="AI1419" t="s">
        <v>66</v>
      </c>
      <c r="AJ1419" t="s">
        <v>66</v>
      </c>
      <c r="AK1419">
        <v>1</v>
      </c>
      <c r="AL1419" t="s">
        <v>5636</v>
      </c>
      <c r="AM1419" t="s">
        <v>5535</v>
      </c>
      <c r="AN1419" t="s">
        <v>5637</v>
      </c>
      <c r="AO1419" t="s">
        <v>66</v>
      </c>
      <c r="AP1419">
        <v>1</v>
      </c>
      <c r="AQ1419" t="s">
        <v>5638</v>
      </c>
      <c r="AR1419" t="s">
        <v>5639</v>
      </c>
      <c r="AS1419" t="s">
        <v>5740</v>
      </c>
      <c r="AT1419" t="s">
        <v>66</v>
      </c>
    </row>
    <row r="1420" spans="1:46" x14ac:dyDescent="0.15">
      <c r="A1420" t="s">
        <v>5821</v>
      </c>
      <c r="B1420" t="s">
        <v>5429</v>
      </c>
      <c r="C1420" t="s">
        <v>5430</v>
      </c>
      <c r="D1420">
        <v>77</v>
      </c>
      <c r="E1420" t="s">
        <v>5431</v>
      </c>
      <c r="F1420" t="s">
        <v>3592</v>
      </c>
      <c r="G1420" t="s">
        <v>51</v>
      </c>
      <c r="H1420" t="s">
        <v>5432</v>
      </c>
      <c r="I1420" t="s">
        <v>720</v>
      </c>
      <c r="J1420" t="s">
        <v>1554</v>
      </c>
      <c r="K1420" t="s">
        <v>1555</v>
      </c>
      <c r="L1420" t="s">
        <v>18</v>
      </c>
      <c r="M1420" t="s">
        <v>16</v>
      </c>
      <c r="N1420">
        <v>4765</v>
      </c>
      <c r="O1420">
        <v>258</v>
      </c>
      <c r="P1420">
        <v>0</v>
      </c>
      <c r="Q1420" t="s">
        <v>5822</v>
      </c>
      <c r="R1420" t="s">
        <v>5823</v>
      </c>
      <c r="S1420" t="s">
        <v>5824</v>
      </c>
      <c r="T1420" t="s">
        <v>5825</v>
      </c>
      <c r="U1420" t="s">
        <v>60</v>
      </c>
      <c r="V1420" t="s">
        <v>61</v>
      </c>
      <c r="W1420">
        <v>10</v>
      </c>
      <c r="X1420">
        <v>0.13125000000000001</v>
      </c>
      <c r="Y1420" t="s">
        <v>314</v>
      </c>
      <c r="Z1420" t="s">
        <v>569</v>
      </c>
      <c r="AA1420">
        <v>3</v>
      </c>
      <c r="AB1420" t="s">
        <v>5434</v>
      </c>
      <c r="AC1420" t="s">
        <v>5435</v>
      </c>
      <c r="AD1420" t="s">
        <v>5436</v>
      </c>
      <c r="AE1420" t="s">
        <v>5437</v>
      </c>
      <c r="AF1420" t="s">
        <v>5438</v>
      </c>
      <c r="AG1420" t="s">
        <v>66</v>
      </c>
      <c r="AH1420" t="s">
        <v>66</v>
      </c>
      <c r="AI1420" t="s">
        <v>66</v>
      </c>
      <c r="AJ1420" t="s">
        <v>66</v>
      </c>
      <c r="AK1420">
        <v>1</v>
      </c>
      <c r="AL1420" t="s">
        <v>5636</v>
      </c>
      <c r="AM1420" t="s">
        <v>5535</v>
      </c>
      <c r="AN1420" t="s">
        <v>5637</v>
      </c>
      <c r="AO1420" t="s">
        <v>66</v>
      </c>
      <c r="AP1420">
        <v>1</v>
      </c>
      <c r="AQ1420" t="s">
        <v>5638</v>
      </c>
      <c r="AR1420" t="s">
        <v>5639</v>
      </c>
      <c r="AS1420" t="s">
        <v>5740</v>
      </c>
      <c r="AT1420" t="s">
        <v>66</v>
      </c>
    </row>
    <row r="1421" spans="1:46" x14ac:dyDescent="0.15">
      <c r="A1421" t="s">
        <v>5826</v>
      </c>
      <c r="B1421" t="s">
        <v>5429</v>
      </c>
      <c r="C1421" t="s">
        <v>5430</v>
      </c>
      <c r="D1421">
        <v>78</v>
      </c>
      <c r="E1421" t="s">
        <v>5431</v>
      </c>
      <c r="F1421" t="s">
        <v>3592</v>
      </c>
      <c r="G1421" t="s">
        <v>51</v>
      </c>
      <c r="H1421" t="s">
        <v>5432</v>
      </c>
      <c r="I1421" t="s">
        <v>720</v>
      </c>
      <c r="J1421" t="s">
        <v>1554</v>
      </c>
      <c r="K1421" t="s">
        <v>1555</v>
      </c>
      <c r="L1421" t="s">
        <v>18</v>
      </c>
      <c r="M1421" t="s">
        <v>16</v>
      </c>
      <c r="N1421">
        <v>4821</v>
      </c>
      <c r="O1421">
        <v>261</v>
      </c>
      <c r="P1421">
        <v>0</v>
      </c>
      <c r="Q1421" t="s">
        <v>5827</v>
      </c>
      <c r="R1421" t="s">
        <v>5828</v>
      </c>
      <c r="S1421" t="s">
        <v>5829</v>
      </c>
      <c r="T1421" t="s">
        <v>5830</v>
      </c>
      <c r="U1421" t="s">
        <v>60</v>
      </c>
      <c r="V1421" t="s">
        <v>61</v>
      </c>
      <c r="W1421">
        <v>10</v>
      </c>
      <c r="X1421">
        <v>0.13125000000000001</v>
      </c>
      <c r="Y1421" t="s">
        <v>575</v>
      </c>
      <c r="Z1421" t="s">
        <v>576</v>
      </c>
      <c r="AA1421">
        <v>3</v>
      </c>
      <c r="AB1421" t="s">
        <v>5434</v>
      </c>
      <c r="AC1421" t="s">
        <v>5435</v>
      </c>
      <c r="AD1421" t="s">
        <v>5436</v>
      </c>
      <c r="AE1421" t="s">
        <v>5437</v>
      </c>
      <c r="AF1421" t="s">
        <v>5438</v>
      </c>
      <c r="AG1421" t="s">
        <v>66</v>
      </c>
      <c r="AH1421" t="s">
        <v>66</v>
      </c>
      <c r="AI1421" t="s">
        <v>66</v>
      </c>
      <c r="AJ1421" t="s">
        <v>66</v>
      </c>
      <c r="AK1421">
        <v>1</v>
      </c>
      <c r="AL1421" t="s">
        <v>5636</v>
      </c>
      <c r="AM1421" t="s">
        <v>5535</v>
      </c>
      <c r="AN1421" t="s">
        <v>5637</v>
      </c>
      <c r="AO1421" t="s">
        <v>66</v>
      </c>
      <c r="AP1421">
        <v>1</v>
      </c>
      <c r="AQ1421" t="s">
        <v>5638</v>
      </c>
      <c r="AR1421" t="s">
        <v>5639</v>
      </c>
      <c r="AS1421" t="s">
        <v>5740</v>
      </c>
      <c r="AT1421" t="s">
        <v>66</v>
      </c>
    </row>
    <row r="1422" spans="1:46" x14ac:dyDescent="0.15">
      <c r="A1422" t="s">
        <v>5831</v>
      </c>
      <c r="B1422" t="s">
        <v>5429</v>
      </c>
      <c r="C1422" t="s">
        <v>5430</v>
      </c>
      <c r="D1422">
        <v>79</v>
      </c>
      <c r="E1422" t="s">
        <v>5431</v>
      </c>
      <c r="F1422" t="s">
        <v>3592</v>
      </c>
      <c r="G1422" t="s">
        <v>51</v>
      </c>
      <c r="H1422" t="s">
        <v>5432</v>
      </c>
      <c r="I1422" t="s">
        <v>720</v>
      </c>
      <c r="J1422" t="s">
        <v>1554</v>
      </c>
      <c r="K1422" t="s">
        <v>1555</v>
      </c>
      <c r="L1422" t="s">
        <v>18</v>
      </c>
      <c r="M1422" t="s">
        <v>16</v>
      </c>
      <c r="N1422">
        <v>4878</v>
      </c>
      <c r="O1422">
        <v>264</v>
      </c>
      <c r="P1422">
        <v>0</v>
      </c>
      <c r="Q1422" t="s">
        <v>5832</v>
      </c>
      <c r="R1422" t="s">
        <v>5833</v>
      </c>
      <c r="S1422" t="s">
        <v>5834</v>
      </c>
      <c r="T1422" t="s">
        <v>5835</v>
      </c>
      <c r="U1422" t="s">
        <v>60</v>
      </c>
      <c r="V1422" t="s">
        <v>61</v>
      </c>
      <c r="W1422">
        <v>10</v>
      </c>
      <c r="X1422">
        <v>0.13125000000000001</v>
      </c>
      <c r="Y1422" t="s">
        <v>321</v>
      </c>
      <c r="Z1422" t="s">
        <v>582</v>
      </c>
      <c r="AA1422">
        <v>3</v>
      </c>
      <c r="AB1422" t="s">
        <v>5434</v>
      </c>
      <c r="AC1422" t="s">
        <v>5435</v>
      </c>
      <c r="AD1422" t="s">
        <v>5436</v>
      </c>
      <c r="AE1422" t="s">
        <v>5437</v>
      </c>
      <c r="AF1422" t="s">
        <v>5438</v>
      </c>
      <c r="AG1422" t="s">
        <v>66</v>
      </c>
      <c r="AH1422" t="s">
        <v>66</v>
      </c>
      <c r="AI1422" t="s">
        <v>66</v>
      </c>
      <c r="AJ1422" t="s">
        <v>66</v>
      </c>
      <c r="AK1422">
        <v>1</v>
      </c>
      <c r="AL1422" t="s">
        <v>5636</v>
      </c>
      <c r="AM1422" t="s">
        <v>5535</v>
      </c>
      <c r="AN1422" t="s">
        <v>5637</v>
      </c>
      <c r="AO1422" t="s">
        <v>66</v>
      </c>
      <c r="AP1422">
        <v>1</v>
      </c>
      <c r="AQ1422" t="s">
        <v>5638</v>
      </c>
      <c r="AR1422" t="s">
        <v>5639</v>
      </c>
      <c r="AS1422" t="s">
        <v>5740</v>
      </c>
      <c r="AT1422" t="s">
        <v>66</v>
      </c>
    </row>
    <row r="1423" spans="1:46" x14ac:dyDescent="0.15">
      <c r="A1423" t="s">
        <v>5836</v>
      </c>
      <c r="B1423" t="s">
        <v>5429</v>
      </c>
      <c r="C1423" t="s">
        <v>5430</v>
      </c>
      <c r="D1423">
        <v>80</v>
      </c>
      <c r="E1423" t="s">
        <v>5431</v>
      </c>
      <c r="F1423" t="s">
        <v>3592</v>
      </c>
      <c r="G1423" t="s">
        <v>51</v>
      </c>
      <c r="H1423" t="s">
        <v>5432</v>
      </c>
      <c r="I1423" t="s">
        <v>720</v>
      </c>
      <c r="J1423" t="s">
        <v>1554</v>
      </c>
      <c r="K1423" t="s">
        <v>1555</v>
      </c>
      <c r="L1423" t="s">
        <v>18</v>
      </c>
      <c r="M1423" t="s">
        <v>16</v>
      </c>
      <c r="N1423">
        <v>4934</v>
      </c>
      <c r="O1423">
        <v>267</v>
      </c>
      <c r="P1423">
        <v>0</v>
      </c>
      <c r="Q1423" t="s">
        <v>5837</v>
      </c>
      <c r="R1423" t="s">
        <v>5838</v>
      </c>
      <c r="S1423" t="s">
        <v>5839</v>
      </c>
      <c r="T1423" t="s">
        <v>5840</v>
      </c>
      <c r="U1423" t="s">
        <v>60</v>
      </c>
      <c r="V1423" t="s">
        <v>61</v>
      </c>
      <c r="W1423">
        <v>10</v>
      </c>
      <c r="X1423">
        <v>0.13125000000000001</v>
      </c>
      <c r="Y1423" t="s">
        <v>588</v>
      </c>
      <c r="Z1423" t="s">
        <v>589</v>
      </c>
      <c r="AA1423">
        <v>3</v>
      </c>
      <c r="AB1423" t="s">
        <v>5434</v>
      </c>
      <c r="AC1423" t="s">
        <v>5435</v>
      </c>
      <c r="AD1423" t="s">
        <v>5436</v>
      </c>
      <c r="AE1423" t="s">
        <v>5437</v>
      </c>
      <c r="AF1423" t="s">
        <v>5438</v>
      </c>
      <c r="AG1423" t="s">
        <v>66</v>
      </c>
      <c r="AH1423" t="s">
        <v>66</v>
      </c>
      <c r="AI1423" t="s">
        <v>66</v>
      </c>
      <c r="AJ1423" t="s">
        <v>66</v>
      </c>
      <c r="AK1423">
        <v>1</v>
      </c>
      <c r="AL1423" t="s">
        <v>5636</v>
      </c>
      <c r="AM1423" t="s">
        <v>5535</v>
      </c>
      <c r="AN1423" t="s">
        <v>5637</v>
      </c>
      <c r="AO1423" t="s">
        <v>66</v>
      </c>
      <c r="AP1423">
        <v>1</v>
      </c>
      <c r="AQ1423" t="s">
        <v>5638</v>
      </c>
      <c r="AR1423" t="s">
        <v>5639</v>
      </c>
      <c r="AS1423" t="s">
        <v>5740</v>
      </c>
      <c r="AT1423" t="s">
        <v>66</v>
      </c>
    </row>
    <row r="1424" spans="1:46" x14ac:dyDescent="0.15">
      <c r="A1424" t="s">
        <v>5836</v>
      </c>
      <c r="B1424" t="s">
        <v>5429</v>
      </c>
      <c r="C1424" t="s">
        <v>5430</v>
      </c>
      <c r="D1424">
        <v>80</v>
      </c>
      <c r="E1424" t="s">
        <v>5431</v>
      </c>
      <c r="F1424" t="s">
        <v>3592</v>
      </c>
      <c r="G1424" t="s">
        <v>51</v>
      </c>
      <c r="H1424" t="s">
        <v>5432</v>
      </c>
      <c r="I1424" t="s">
        <v>720</v>
      </c>
      <c r="J1424" t="s">
        <v>1554</v>
      </c>
      <c r="K1424" t="s">
        <v>1555</v>
      </c>
      <c r="L1424" t="s">
        <v>18</v>
      </c>
      <c r="M1424" t="s">
        <v>16</v>
      </c>
      <c r="N1424">
        <v>4934</v>
      </c>
      <c r="O1424">
        <v>267</v>
      </c>
      <c r="P1424">
        <v>0</v>
      </c>
      <c r="Q1424" t="s">
        <v>5837</v>
      </c>
      <c r="R1424" t="s">
        <v>5838</v>
      </c>
      <c r="S1424" t="s">
        <v>5839</v>
      </c>
      <c r="T1424" t="s">
        <v>5840</v>
      </c>
      <c r="U1424" t="s">
        <v>60</v>
      </c>
      <c r="V1424" t="s">
        <v>61</v>
      </c>
      <c r="W1424">
        <v>10</v>
      </c>
      <c r="X1424">
        <v>0.13125000000000001</v>
      </c>
      <c r="Y1424" t="s">
        <v>588</v>
      </c>
      <c r="Z1424" t="s">
        <v>589</v>
      </c>
      <c r="AA1424">
        <v>4</v>
      </c>
      <c r="AB1424" t="s">
        <v>5434</v>
      </c>
      <c r="AC1424" t="s">
        <v>5435</v>
      </c>
      <c r="AD1424" t="s">
        <v>5436</v>
      </c>
      <c r="AE1424" t="s">
        <v>5437</v>
      </c>
      <c r="AF1424" t="s">
        <v>5438</v>
      </c>
      <c r="AG1424" t="s">
        <v>1962</v>
      </c>
      <c r="AH1424" t="s">
        <v>1963</v>
      </c>
      <c r="AI1424" t="s">
        <v>1857</v>
      </c>
      <c r="AJ1424" t="s">
        <v>1857</v>
      </c>
      <c r="AK1424">
        <v>1</v>
      </c>
      <c r="AL1424" t="s">
        <v>5636</v>
      </c>
      <c r="AM1424" t="s">
        <v>5535</v>
      </c>
      <c r="AN1424" t="s">
        <v>5637</v>
      </c>
      <c r="AO1424" t="s">
        <v>66</v>
      </c>
      <c r="AP1424">
        <v>1</v>
      </c>
      <c r="AQ1424" t="s">
        <v>5638</v>
      </c>
      <c r="AR1424" t="s">
        <v>5639</v>
      </c>
      <c r="AS1424" t="s">
        <v>5740</v>
      </c>
      <c r="AT1424" t="s">
        <v>66</v>
      </c>
    </row>
    <row r="1425" spans="1:46" x14ac:dyDescent="0.15">
      <c r="A1425" t="s">
        <v>5841</v>
      </c>
      <c r="B1425" t="s">
        <v>5429</v>
      </c>
      <c r="C1425" t="s">
        <v>5430</v>
      </c>
      <c r="D1425">
        <v>81</v>
      </c>
      <c r="E1425" t="s">
        <v>5431</v>
      </c>
      <c r="F1425" t="s">
        <v>3592</v>
      </c>
      <c r="G1425" t="s">
        <v>51</v>
      </c>
      <c r="H1425" t="s">
        <v>5432</v>
      </c>
      <c r="I1425" t="s">
        <v>720</v>
      </c>
      <c r="J1425" t="s">
        <v>1554</v>
      </c>
      <c r="K1425" t="s">
        <v>1555</v>
      </c>
      <c r="L1425" t="s">
        <v>18</v>
      </c>
      <c r="M1425" t="s">
        <v>16</v>
      </c>
      <c r="N1425">
        <v>4990</v>
      </c>
      <c r="O1425">
        <v>270</v>
      </c>
      <c r="P1425">
        <v>0</v>
      </c>
      <c r="Q1425" t="s">
        <v>5842</v>
      </c>
      <c r="R1425" t="s">
        <v>5843</v>
      </c>
      <c r="S1425" t="s">
        <v>5844</v>
      </c>
      <c r="T1425" t="s">
        <v>5845</v>
      </c>
      <c r="U1425" t="s">
        <v>60</v>
      </c>
      <c r="V1425" t="s">
        <v>61</v>
      </c>
      <c r="W1425">
        <v>10</v>
      </c>
      <c r="X1425">
        <v>0.13125000000000001</v>
      </c>
      <c r="Y1425" t="s">
        <v>330</v>
      </c>
      <c r="Z1425" t="s">
        <v>596</v>
      </c>
      <c r="AA1425">
        <v>4</v>
      </c>
      <c r="AB1425" t="s">
        <v>5434</v>
      </c>
      <c r="AC1425" t="s">
        <v>5435</v>
      </c>
      <c r="AD1425" t="s">
        <v>5436</v>
      </c>
      <c r="AE1425" t="s">
        <v>5437</v>
      </c>
      <c r="AF1425" t="s">
        <v>5438</v>
      </c>
      <c r="AG1425" t="s">
        <v>1962</v>
      </c>
      <c r="AH1425" t="s">
        <v>1963</v>
      </c>
      <c r="AI1425" t="s">
        <v>1857</v>
      </c>
      <c r="AJ1425" t="s">
        <v>1857</v>
      </c>
      <c r="AK1425">
        <v>1</v>
      </c>
      <c r="AL1425" t="s">
        <v>5636</v>
      </c>
      <c r="AM1425" t="s">
        <v>5535</v>
      </c>
      <c r="AN1425" t="s">
        <v>5637</v>
      </c>
      <c r="AO1425" t="s">
        <v>66</v>
      </c>
      <c r="AP1425">
        <v>1</v>
      </c>
      <c r="AQ1425" t="s">
        <v>5638</v>
      </c>
      <c r="AR1425" t="s">
        <v>5639</v>
      </c>
      <c r="AS1425" t="s">
        <v>5740</v>
      </c>
      <c r="AT1425" t="s">
        <v>66</v>
      </c>
    </row>
    <row r="1426" spans="1:46" x14ac:dyDescent="0.15">
      <c r="A1426" t="s">
        <v>5846</v>
      </c>
      <c r="B1426" t="s">
        <v>5429</v>
      </c>
      <c r="C1426" t="s">
        <v>5430</v>
      </c>
      <c r="D1426">
        <v>82</v>
      </c>
      <c r="E1426" t="s">
        <v>5431</v>
      </c>
      <c r="F1426" t="s">
        <v>3592</v>
      </c>
      <c r="G1426" t="s">
        <v>51</v>
      </c>
      <c r="H1426" t="s">
        <v>5432</v>
      </c>
      <c r="I1426" t="s">
        <v>720</v>
      </c>
      <c r="J1426" t="s">
        <v>1554</v>
      </c>
      <c r="K1426" t="s">
        <v>1555</v>
      </c>
      <c r="L1426" t="s">
        <v>18</v>
      </c>
      <c r="M1426" t="s">
        <v>16</v>
      </c>
      <c r="N1426">
        <v>5046</v>
      </c>
      <c r="O1426">
        <v>273</v>
      </c>
      <c r="P1426">
        <v>0</v>
      </c>
      <c r="Q1426" t="s">
        <v>5847</v>
      </c>
      <c r="R1426" t="s">
        <v>5848</v>
      </c>
      <c r="S1426" t="s">
        <v>5849</v>
      </c>
      <c r="T1426" t="s">
        <v>5850</v>
      </c>
      <c r="U1426" t="s">
        <v>60</v>
      </c>
      <c r="V1426" t="s">
        <v>61</v>
      </c>
      <c r="W1426">
        <v>10</v>
      </c>
      <c r="X1426">
        <v>0.13125000000000001</v>
      </c>
      <c r="Y1426" t="s">
        <v>602</v>
      </c>
      <c r="Z1426" t="s">
        <v>603</v>
      </c>
      <c r="AA1426">
        <v>4</v>
      </c>
      <c r="AB1426" t="s">
        <v>5434</v>
      </c>
      <c r="AC1426" t="s">
        <v>5435</v>
      </c>
      <c r="AD1426" t="s">
        <v>5436</v>
      </c>
      <c r="AE1426" t="s">
        <v>5437</v>
      </c>
      <c r="AF1426" t="s">
        <v>5438</v>
      </c>
      <c r="AG1426" t="s">
        <v>1962</v>
      </c>
      <c r="AH1426" t="s">
        <v>1963</v>
      </c>
      <c r="AI1426" t="s">
        <v>1857</v>
      </c>
      <c r="AJ1426" t="s">
        <v>1857</v>
      </c>
      <c r="AK1426">
        <v>1</v>
      </c>
      <c r="AL1426" t="s">
        <v>5636</v>
      </c>
      <c r="AM1426" t="s">
        <v>5535</v>
      </c>
      <c r="AN1426" t="s">
        <v>5637</v>
      </c>
      <c r="AO1426" t="s">
        <v>66</v>
      </c>
      <c r="AP1426">
        <v>1</v>
      </c>
      <c r="AQ1426" t="s">
        <v>5638</v>
      </c>
      <c r="AR1426" t="s">
        <v>5639</v>
      </c>
      <c r="AS1426" t="s">
        <v>5740</v>
      </c>
      <c r="AT1426" t="s">
        <v>66</v>
      </c>
    </row>
    <row r="1427" spans="1:46" x14ac:dyDescent="0.15">
      <c r="A1427" t="s">
        <v>5851</v>
      </c>
      <c r="B1427" t="s">
        <v>5429</v>
      </c>
      <c r="C1427" t="s">
        <v>5430</v>
      </c>
      <c r="D1427">
        <v>83</v>
      </c>
      <c r="E1427" t="s">
        <v>5431</v>
      </c>
      <c r="F1427" t="s">
        <v>3592</v>
      </c>
      <c r="G1427" t="s">
        <v>51</v>
      </c>
      <c r="H1427" t="s">
        <v>5432</v>
      </c>
      <c r="I1427" t="s">
        <v>720</v>
      </c>
      <c r="J1427" t="s">
        <v>1554</v>
      </c>
      <c r="K1427" t="s">
        <v>1555</v>
      </c>
      <c r="L1427" t="s">
        <v>18</v>
      </c>
      <c r="M1427" t="s">
        <v>16</v>
      </c>
      <c r="N1427">
        <v>5102</v>
      </c>
      <c r="O1427">
        <v>276</v>
      </c>
      <c r="P1427">
        <v>0</v>
      </c>
      <c r="Q1427" t="s">
        <v>5852</v>
      </c>
      <c r="R1427" t="s">
        <v>5853</v>
      </c>
      <c r="S1427" t="s">
        <v>5854</v>
      </c>
      <c r="T1427" t="s">
        <v>5855</v>
      </c>
      <c r="U1427" t="s">
        <v>60</v>
      </c>
      <c r="V1427" t="s">
        <v>61</v>
      </c>
      <c r="W1427">
        <v>10</v>
      </c>
      <c r="X1427">
        <v>0.13125000000000001</v>
      </c>
      <c r="Y1427" t="s">
        <v>337</v>
      </c>
      <c r="Z1427" t="s">
        <v>609</v>
      </c>
      <c r="AA1427">
        <v>4</v>
      </c>
      <c r="AB1427" t="s">
        <v>5434</v>
      </c>
      <c r="AC1427" t="s">
        <v>5435</v>
      </c>
      <c r="AD1427" t="s">
        <v>5436</v>
      </c>
      <c r="AE1427" t="s">
        <v>5437</v>
      </c>
      <c r="AF1427" t="s">
        <v>5438</v>
      </c>
      <c r="AG1427" t="s">
        <v>1962</v>
      </c>
      <c r="AH1427" t="s">
        <v>1963</v>
      </c>
      <c r="AI1427" t="s">
        <v>1857</v>
      </c>
      <c r="AJ1427" t="s">
        <v>1857</v>
      </c>
      <c r="AK1427">
        <v>1</v>
      </c>
      <c r="AL1427" t="s">
        <v>5636</v>
      </c>
      <c r="AM1427" t="s">
        <v>5535</v>
      </c>
      <c r="AN1427" t="s">
        <v>5637</v>
      </c>
      <c r="AO1427" t="s">
        <v>66</v>
      </c>
      <c r="AP1427">
        <v>1</v>
      </c>
      <c r="AQ1427" t="s">
        <v>5638</v>
      </c>
      <c r="AR1427" t="s">
        <v>5639</v>
      </c>
      <c r="AS1427" t="s">
        <v>5740</v>
      </c>
      <c r="AT1427" t="s">
        <v>66</v>
      </c>
    </row>
    <row r="1428" spans="1:46" x14ac:dyDescent="0.15">
      <c r="A1428" t="s">
        <v>5856</v>
      </c>
      <c r="B1428" t="s">
        <v>5429</v>
      </c>
      <c r="C1428" t="s">
        <v>5430</v>
      </c>
      <c r="D1428">
        <v>84</v>
      </c>
      <c r="E1428" t="s">
        <v>5431</v>
      </c>
      <c r="F1428" t="s">
        <v>3592</v>
      </c>
      <c r="G1428" t="s">
        <v>51</v>
      </c>
      <c r="H1428" t="s">
        <v>5432</v>
      </c>
      <c r="I1428" t="s">
        <v>720</v>
      </c>
      <c r="J1428" t="s">
        <v>1554</v>
      </c>
      <c r="K1428" t="s">
        <v>1555</v>
      </c>
      <c r="L1428" t="s">
        <v>18</v>
      </c>
      <c r="M1428" t="s">
        <v>16</v>
      </c>
      <c r="N1428">
        <v>5158</v>
      </c>
      <c r="O1428">
        <v>279</v>
      </c>
      <c r="P1428">
        <v>0</v>
      </c>
      <c r="Q1428" t="s">
        <v>5857</v>
      </c>
      <c r="R1428" t="s">
        <v>5858</v>
      </c>
      <c r="S1428" t="s">
        <v>5859</v>
      </c>
      <c r="T1428" t="s">
        <v>5860</v>
      </c>
      <c r="U1428" t="s">
        <v>60</v>
      </c>
      <c r="V1428" t="s">
        <v>61</v>
      </c>
      <c r="W1428">
        <v>10</v>
      </c>
      <c r="X1428">
        <v>0.13125000000000001</v>
      </c>
      <c r="Y1428" t="s">
        <v>615</v>
      </c>
      <c r="Z1428" t="s">
        <v>616</v>
      </c>
      <c r="AA1428">
        <v>4</v>
      </c>
      <c r="AB1428" t="s">
        <v>5434</v>
      </c>
      <c r="AC1428" t="s">
        <v>5435</v>
      </c>
      <c r="AD1428" t="s">
        <v>5436</v>
      </c>
      <c r="AE1428" t="s">
        <v>5437</v>
      </c>
      <c r="AF1428" t="s">
        <v>5438</v>
      </c>
      <c r="AG1428" t="s">
        <v>1962</v>
      </c>
      <c r="AH1428" t="s">
        <v>1963</v>
      </c>
      <c r="AI1428" t="s">
        <v>1857</v>
      </c>
      <c r="AJ1428" t="s">
        <v>1857</v>
      </c>
      <c r="AK1428">
        <v>1</v>
      </c>
      <c r="AL1428" t="s">
        <v>5636</v>
      </c>
      <c r="AM1428" t="s">
        <v>5535</v>
      </c>
      <c r="AN1428" t="s">
        <v>5637</v>
      </c>
      <c r="AO1428" t="s">
        <v>66</v>
      </c>
      <c r="AP1428">
        <v>1</v>
      </c>
      <c r="AQ1428" t="s">
        <v>5638</v>
      </c>
      <c r="AR1428" t="s">
        <v>5639</v>
      </c>
      <c r="AS1428" t="s">
        <v>5740</v>
      </c>
      <c r="AT1428" t="s">
        <v>66</v>
      </c>
    </row>
    <row r="1429" spans="1:46" x14ac:dyDescent="0.15">
      <c r="A1429" t="s">
        <v>5861</v>
      </c>
      <c r="B1429" t="s">
        <v>5429</v>
      </c>
      <c r="C1429" t="s">
        <v>5430</v>
      </c>
      <c r="D1429">
        <v>85</v>
      </c>
      <c r="E1429" t="s">
        <v>5431</v>
      </c>
      <c r="F1429" t="s">
        <v>3592</v>
      </c>
      <c r="G1429" t="s">
        <v>51</v>
      </c>
      <c r="H1429" t="s">
        <v>5432</v>
      </c>
      <c r="I1429" t="s">
        <v>720</v>
      </c>
      <c r="J1429" t="s">
        <v>1554</v>
      </c>
      <c r="K1429" t="s">
        <v>1555</v>
      </c>
      <c r="L1429" t="s">
        <v>18</v>
      </c>
      <c r="M1429" t="s">
        <v>16</v>
      </c>
      <c r="N1429">
        <v>5214</v>
      </c>
      <c r="O1429">
        <v>282</v>
      </c>
      <c r="P1429">
        <v>0</v>
      </c>
      <c r="Q1429" t="s">
        <v>5862</v>
      </c>
      <c r="R1429" t="s">
        <v>5863</v>
      </c>
      <c r="S1429" t="s">
        <v>5864</v>
      </c>
      <c r="T1429" t="s">
        <v>5865</v>
      </c>
      <c r="U1429" t="s">
        <v>60</v>
      </c>
      <c r="V1429" t="s">
        <v>61</v>
      </c>
      <c r="W1429">
        <v>10</v>
      </c>
      <c r="X1429">
        <v>0.13125000000000001</v>
      </c>
      <c r="Y1429" t="s">
        <v>343</v>
      </c>
      <c r="Z1429" t="s">
        <v>622</v>
      </c>
      <c r="AA1429">
        <v>4</v>
      </c>
      <c r="AB1429" t="s">
        <v>5434</v>
      </c>
      <c r="AC1429" t="s">
        <v>5435</v>
      </c>
      <c r="AD1429" t="s">
        <v>5436</v>
      </c>
      <c r="AE1429" t="s">
        <v>5437</v>
      </c>
      <c r="AF1429" t="s">
        <v>5438</v>
      </c>
      <c r="AG1429" t="s">
        <v>1962</v>
      </c>
      <c r="AH1429" t="s">
        <v>1963</v>
      </c>
      <c r="AI1429" t="s">
        <v>1857</v>
      </c>
      <c r="AJ1429" t="s">
        <v>1857</v>
      </c>
      <c r="AK1429">
        <v>1</v>
      </c>
      <c r="AL1429" t="s">
        <v>5636</v>
      </c>
      <c r="AM1429" t="s">
        <v>5535</v>
      </c>
      <c r="AN1429" t="s">
        <v>5637</v>
      </c>
      <c r="AO1429" t="s">
        <v>66</v>
      </c>
      <c r="AP1429">
        <v>1</v>
      </c>
      <c r="AQ1429" t="s">
        <v>5638</v>
      </c>
      <c r="AR1429" t="s">
        <v>5639</v>
      </c>
      <c r="AS1429" t="s">
        <v>5740</v>
      </c>
      <c r="AT1429" t="s">
        <v>66</v>
      </c>
    </row>
    <row r="1430" spans="1:46" x14ac:dyDescent="0.15">
      <c r="A1430" t="s">
        <v>5866</v>
      </c>
      <c r="B1430" t="s">
        <v>5429</v>
      </c>
      <c r="C1430" t="s">
        <v>5430</v>
      </c>
      <c r="D1430">
        <v>86</v>
      </c>
      <c r="E1430" t="s">
        <v>5431</v>
      </c>
      <c r="F1430" t="s">
        <v>3592</v>
      </c>
      <c r="G1430" t="s">
        <v>51</v>
      </c>
      <c r="H1430" t="s">
        <v>5432</v>
      </c>
      <c r="I1430" t="s">
        <v>720</v>
      </c>
      <c r="J1430" t="s">
        <v>1554</v>
      </c>
      <c r="K1430" t="s">
        <v>1555</v>
      </c>
      <c r="L1430" t="s">
        <v>18</v>
      </c>
      <c r="M1430" t="s">
        <v>16</v>
      </c>
      <c r="N1430">
        <v>5270</v>
      </c>
      <c r="O1430">
        <v>285</v>
      </c>
      <c r="P1430">
        <v>0</v>
      </c>
      <c r="Q1430" t="s">
        <v>5867</v>
      </c>
      <c r="R1430" t="s">
        <v>5868</v>
      </c>
      <c r="S1430" t="s">
        <v>5869</v>
      </c>
      <c r="T1430" t="s">
        <v>5870</v>
      </c>
      <c r="U1430" t="s">
        <v>60</v>
      </c>
      <c r="V1430" t="s">
        <v>61</v>
      </c>
      <c r="W1430">
        <v>10</v>
      </c>
      <c r="X1430">
        <v>0.13125000000000001</v>
      </c>
      <c r="Y1430" t="s">
        <v>628</v>
      </c>
      <c r="Z1430" t="s">
        <v>629</v>
      </c>
      <c r="AA1430">
        <v>4</v>
      </c>
      <c r="AB1430" t="s">
        <v>5434</v>
      </c>
      <c r="AC1430" t="s">
        <v>5435</v>
      </c>
      <c r="AD1430" t="s">
        <v>5436</v>
      </c>
      <c r="AE1430" t="s">
        <v>5437</v>
      </c>
      <c r="AF1430" t="s">
        <v>5438</v>
      </c>
      <c r="AG1430" t="s">
        <v>1962</v>
      </c>
      <c r="AH1430" t="s">
        <v>1963</v>
      </c>
      <c r="AI1430" t="s">
        <v>1857</v>
      </c>
      <c r="AJ1430" t="s">
        <v>1857</v>
      </c>
      <c r="AK1430">
        <v>1</v>
      </c>
      <c r="AL1430" t="s">
        <v>5636</v>
      </c>
      <c r="AM1430" t="s">
        <v>5535</v>
      </c>
      <c r="AN1430" t="s">
        <v>5637</v>
      </c>
      <c r="AO1430" t="s">
        <v>66</v>
      </c>
      <c r="AP1430">
        <v>1</v>
      </c>
      <c r="AQ1430" t="s">
        <v>5638</v>
      </c>
      <c r="AR1430" t="s">
        <v>5639</v>
      </c>
      <c r="AS1430" t="s">
        <v>5740</v>
      </c>
      <c r="AT1430" t="s">
        <v>66</v>
      </c>
    </row>
    <row r="1431" spans="1:46" x14ac:dyDescent="0.15">
      <c r="A1431" t="s">
        <v>5871</v>
      </c>
      <c r="B1431" t="s">
        <v>5429</v>
      </c>
      <c r="C1431" t="s">
        <v>5430</v>
      </c>
      <c r="D1431">
        <v>87</v>
      </c>
      <c r="E1431" t="s">
        <v>5431</v>
      </c>
      <c r="F1431" t="s">
        <v>3592</v>
      </c>
      <c r="G1431" t="s">
        <v>51</v>
      </c>
      <c r="H1431" t="s">
        <v>5432</v>
      </c>
      <c r="I1431" t="s">
        <v>720</v>
      </c>
      <c r="J1431" t="s">
        <v>1554</v>
      </c>
      <c r="K1431" t="s">
        <v>1555</v>
      </c>
      <c r="L1431" t="s">
        <v>18</v>
      </c>
      <c r="M1431" t="s">
        <v>16</v>
      </c>
      <c r="N1431">
        <v>5327</v>
      </c>
      <c r="O1431">
        <v>288</v>
      </c>
      <c r="P1431">
        <v>0</v>
      </c>
      <c r="Q1431" t="s">
        <v>5872</v>
      </c>
      <c r="R1431" t="s">
        <v>5873</v>
      </c>
      <c r="S1431" t="s">
        <v>5874</v>
      </c>
      <c r="T1431" t="s">
        <v>5875</v>
      </c>
      <c r="U1431" t="s">
        <v>60</v>
      </c>
      <c r="V1431" t="s">
        <v>61</v>
      </c>
      <c r="W1431">
        <v>10</v>
      </c>
      <c r="X1431">
        <v>0.13125000000000001</v>
      </c>
      <c r="Y1431" t="s">
        <v>350</v>
      </c>
      <c r="Z1431" t="s">
        <v>635</v>
      </c>
      <c r="AA1431">
        <v>4</v>
      </c>
      <c r="AB1431" t="s">
        <v>5434</v>
      </c>
      <c r="AC1431" t="s">
        <v>5435</v>
      </c>
      <c r="AD1431" t="s">
        <v>5436</v>
      </c>
      <c r="AE1431" t="s">
        <v>5437</v>
      </c>
      <c r="AF1431" t="s">
        <v>5438</v>
      </c>
      <c r="AG1431" t="s">
        <v>1962</v>
      </c>
      <c r="AH1431" t="s">
        <v>1963</v>
      </c>
      <c r="AI1431" t="s">
        <v>1857</v>
      </c>
      <c r="AJ1431" t="s">
        <v>1857</v>
      </c>
      <c r="AK1431">
        <v>1</v>
      </c>
      <c r="AL1431" t="s">
        <v>5636</v>
      </c>
      <c r="AM1431" t="s">
        <v>5535</v>
      </c>
      <c r="AN1431" t="s">
        <v>5637</v>
      </c>
      <c r="AO1431" t="s">
        <v>66</v>
      </c>
      <c r="AP1431">
        <v>1</v>
      </c>
      <c r="AQ1431" t="s">
        <v>5638</v>
      </c>
      <c r="AR1431" t="s">
        <v>5639</v>
      </c>
      <c r="AS1431" t="s">
        <v>5740</v>
      </c>
      <c r="AT1431" t="s">
        <v>66</v>
      </c>
    </row>
    <row r="1432" spans="1:46" x14ac:dyDescent="0.15">
      <c r="A1432" t="s">
        <v>5876</v>
      </c>
      <c r="B1432" t="s">
        <v>5429</v>
      </c>
      <c r="C1432" t="s">
        <v>5430</v>
      </c>
      <c r="D1432">
        <v>88</v>
      </c>
      <c r="E1432" t="s">
        <v>5431</v>
      </c>
      <c r="F1432" t="s">
        <v>3592</v>
      </c>
      <c r="G1432" t="s">
        <v>51</v>
      </c>
      <c r="H1432" t="s">
        <v>5432</v>
      </c>
      <c r="I1432" t="s">
        <v>720</v>
      </c>
      <c r="J1432" t="s">
        <v>1554</v>
      </c>
      <c r="K1432" t="s">
        <v>1555</v>
      </c>
      <c r="L1432" t="s">
        <v>18</v>
      </c>
      <c r="M1432" t="s">
        <v>16</v>
      </c>
      <c r="N1432">
        <v>5383</v>
      </c>
      <c r="O1432">
        <v>291</v>
      </c>
      <c r="P1432">
        <v>0</v>
      </c>
      <c r="Q1432" t="s">
        <v>5877</v>
      </c>
      <c r="R1432" t="s">
        <v>5878</v>
      </c>
      <c r="S1432" t="s">
        <v>5879</v>
      </c>
      <c r="T1432" t="s">
        <v>5880</v>
      </c>
      <c r="U1432" t="s">
        <v>60</v>
      </c>
      <c r="V1432" t="s">
        <v>61</v>
      </c>
      <c r="W1432">
        <v>10</v>
      </c>
      <c r="X1432">
        <v>0.13125000000000001</v>
      </c>
      <c r="Y1432" t="s">
        <v>641</v>
      </c>
      <c r="Z1432" t="s">
        <v>642</v>
      </c>
      <c r="AA1432">
        <v>4</v>
      </c>
      <c r="AB1432" t="s">
        <v>5434</v>
      </c>
      <c r="AC1432" t="s">
        <v>5435</v>
      </c>
      <c r="AD1432" t="s">
        <v>5436</v>
      </c>
      <c r="AE1432" t="s">
        <v>5437</v>
      </c>
      <c r="AF1432" t="s">
        <v>5438</v>
      </c>
      <c r="AG1432" t="s">
        <v>1962</v>
      </c>
      <c r="AH1432" t="s">
        <v>1963</v>
      </c>
      <c r="AI1432" t="s">
        <v>1857</v>
      </c>
      <c r="AJ1432" t="s">
        <v>1857</v>
      </c>
      <c r="AK1432">
        <v>1</v>
      </c>
      <c r="AL1432" t="s">
        <v>5636</v>
      </c>
      <c r="AM1432" t="s">
        <v>5535</v>
      </c>
      <c r="AN1432" t="s">
        <v>5637</v>
      </c>
      <c r="AO1432" t="s">
        <v>66</v>
      </c>
      <c r="AP1432">
        <v>1</v>
      </c>
      <c r="AQ1432" t="s">
        <v>5638</v>
      </c>
      <c r="AR1432" t="s">
        <v>5639</v>
      </c>
      <c r="AS1432" t="s">
        <v>5740</v>
      </c>
      <c r="AT1432" t="s">
        <v>66</v>
      </c>
    </row>
    <row r="1433" spans="1:46" x14ac:dyDescent="0.15">
      <c r="A1433" t="s">
        <v>5881</v>
      </c>
      <c r="B1433" t="s">
        <v>5429</v>
      </c>
      <c r="C1433" t="s">
        <v>5430</v>
      </c>
      <c r="D1433">
        <v>89</v>
      </c>
      <c r="E1433" t="s">
        <v>5431</v>
      </c>
      <c r="F1433" t="s">
        <v>3592</v>
      </c>
      <c r="G1433" t="s">
        <v>51</v>
      </c>
      <c r="H1433" t="s">
        <v>5432</v>
      </c>
      <c r="I1433" t="s">
        <v>720</v>
      </c>
      <c r="J1433" t="s">
        <v>1554</v>
      </c>
      <c r="K1433" t="s">
        <v>1555</v>
      </c>
      <c r="L1433" t="s">
        <v>18</v>
      </c>
      <c r="M1433" t="s">
        <v>16</v>
      </c>
      <c r="N1433">
        <v>5439</v>
      </c>
      <c r="O1433">
        <v>294</v>
      </c>
      <c r="P1433">
        <v>0</v>
      </c>
      <c r="Q1433" t="s">
        <v>5882</v>
      </c>
      <c r="R1433" t="s">
        <v>5883</v>
      </c>
      <c r="S1433" t="s">
        <v>5884</v>
      </c>
      <c r="T1433" t="s">
        <v>5885</v>
      </c>
      <c r="U1433" t="s">
        <v>60</v>
      </c>
      <c r="V1433" t="s">
        <v>61</v>
      </c>
      <c r="W1433">
        <v>10</v>
      </c>
      <c r="X1433">
        <v>0.13125000000000001</v>
      </c>
      <c r="Y1433" t="s">
        <v>356</v>
      </c>
      <c r="Z1433" t="s">
        <v>648</v>
      </c>
      <c r="AA1433">
        <v>4</v>
      </c>
      <c r="AB1433" t="s">
        <v>5434</v>
      </c>
      <c r="AC1433" t="s">
        <v>5435</v>
      </c>
      <c r="AD1433" t="s">
        <v>5436</v>
      </c>
      <c r="AE1433" t="s">
        <v>5437</v>
      </c>
      <c r="AF1433" t="s">
        <v>5438</v>
      </c>
      <c r="AG1433" t="s">
        <v>1962</v>
      </c>
      <c r="AH1433" t="s">
        <v>1963</v>
      </c>
      <c r="AI1433" t="s">
        <v>1857</v>
      </c>
      <c r="AJ1433" t="s">
        <v>1857</v>
      </c>
      <c r="AK1433">
        <v>1</v>
      </c>
      <c r="AL1433" t="s">
        <v>5636</v>
      </c>
      <c r="AM1433" t="s">
        <v>5535</v>
      </c>
      <c r="AN1433" t="s">
        <v>5637</v>
      </c>
      <c r="AO1433" t="s">
        <v>66</v>
      </c>
      <c r="AP1433">
        <v>1</v>
      </c>
      <c r="AQ1433" t="s">
        <v>5638</v>
      </c>
      <c r="AR1433" t="s">
        <v>5639</v>
      </c>
      <c r="AS1433" t="s">
        <v>5740</v>
      </c>
      <c r="AT1433" t="s">
        <v>66</v>
      </c>
    </row>
    <row r="1434" spans="1:46" x14ac:dyDescent="0.15">
      <c r="A1434" t="s">
        <v>5886</v>
      </c>
      <c r="B1434" t="s">
        <v>5429</v>
      </c>
      <c r="C1434" t="s">
        <v>5430</v>
      </c>
      <c r="D1434">
        <v>90</v>
      </c>
      <c r="E1434" t="s">
        <v>5431</v>
      </c>
      <c r="F1434" t="s">
        <v>3592</v>
      </c>
      <c r="G1434" t="s">
        <v>51</v>
      </c>
      <c r="H1434" t="s">
        <v>5432</v>
      </c>
      <c r="I1434" t="s">
        <v>720</v>
      </c>
      <c r="J1434" t="s">
        <v>1554</v>
      </c>
      <c r="K1434" t="s">
        <v>1555</v>
      </c>
      <c r="L1434" t="s">
        <v>18</v>
      </c>
      <c r="M1434" t="s">
        <v>16</v>
      </c>
      <c r="N1434">
        <v>5495</v>
      </c>
      <c r="O1434">
        <v>297</v>
      </c>
      <c r="P1434">
        <v>0</v>
      </c>
      <c r="Q1434" t="s">
        <v>5887</v>
      </c>
      <c r="R1434" t="s">
        <v>5888</v>
      </c>
      <c r="S1434" t="s">
        <v>5889</v>
      </c>
      <c r="T1434" t="s">
        <v>5890</v>
      </c>
      <c r="U1434" t="s">
        <v>60</v>
      </c>
      <c r="V1434" t="s">
        <v>61</v>
      </c>
      <c r="W1434">
        <v>10</v>
      </c>
      <c r="X1434">
        <v>0.13125000000000001</v>
      </c>
      <c r="Y1434" t="s">
        <v>654</v>
      </c>
      <c r="Z1434" t="s">
        <v>655</v>
      </c>
      <c r="AA1434">
        <v>4</v>
      </c>
      <c r="AB1434" t="s">
        <v>5434</v>
      </c>
      <c r="AC1434" t="s">
        <v>5435</v>
      </c>
      <c r="AD1434" t="s">
        <v>5436</v>
      </c>
      <c r="AE1434" t="s">
        <v>5437</v>
      </c>
      <c r="AF1434" t="s">
        <v>5438</v>
      </c>
      <c r="AG1434" t="s">
        <v>1962</v>
      </c>
      <c r="AH1434" t="s">
        <v>1963</v>
      </c>
      <c r="AI1434" t="s">
        <v>1857</v>
      </c>
      <c r="AJ1434" t="s">
        <v>1857</v>
      </c>
      <c r="AK1434">
        <v>1</v>
      </c>
      <c r="AL1434" t="s">
        <v>5636</v>
      </c>
      <c r="AM1434" t="s">
        <v>5535</v>
      </c>
      <c r="AN1434" t="s">
        <v>5637</v>
      </c>
      <c r="AO1434" t="s">
        <v>66</v>
      </c>
      <c r="AP1434">
        <v>1</v>
      </c>
      <c r="AQ1434" t="s">
        <v>5638</v>
      </c>
      <c r="AR1434" t="s">
        <v>5639</v>
      </c>
      <c r="AS1434" t="s">
        <v>5740</v>
      </c>
      <c r="AT1434" t="s">
        <v>66</v>
      </c>
    </row>
    <row r="1435" spans="1:46" x14ac:dyDescent="0.15">
      <c r="A1435" t="s">
        <v>5891</v>
      </c>
      <c r="B1435" t="s">
        <v>5429</v>
      </c>
      <c r="C1435" t="s">
        <v>5430</v>
      </c>
      <c r="D1435">
        <v>91</v>
      </c>
      <c r="E1435" t="s">
        <v>5431</v>
      </c>
      <c r="F1435" t="s">
        <v>3592</v>
      </c>
      <c r="G1435" t="s">
        <v>51</v>
      </c>
      <c r="H1435" t="s">
        <v>5432</v>
      </c>
      <c r="I1435" t="s">
        <v>720</v>
      </c>
      <c r="J1435" t="s">
        <v>1554</v>
      </c>
      <c r="K1435" t="s">
        <v>1555</v>
      </c>
      <c r="L1435" t="s">
        <v>18</v>
      </c>
      <c r="M1435" t="s">
        <v>16</v>
      </c>
      <c r="N1435">
        <v>5551</v>
      </c>
      <c r="O1435">
        <v>300</v>
      </c>
      <c r="P1435">
        <v>0</v>
      </c>
      <c r="Q1435" t="s">
        <v>5892</v>
      </c>
      <c r="R1435" t="s">
        <v>5893</v>
      </c>
      <c r="S1435" t="s">
        <v>5894</v>
      </c>
      <c r="T1435" t="s">
        <v>5895</v>
      </c>
      <c r="U1435" t="s">
        <v>60</v>
      </c>
      <c r="V1435" t="s">
        <v>61</v>
      </c>
      <c r="W1435">
        <v>10</v>
      </c>
      <c r="X1435">
        <v>0.13125000000000001</v>
      </c>
      <c r="Y1435" t="s">
        <v>363</v>
      </c>
      <c r="Z1435" t="s">
        <v>661</v>
      </c>
      <c r="AA1435">
        <v>4</v>
      </c>
      <c r="AB1435" t="s">
        <v>5434</v>
      </c>
      <c r="AC1435" t="s">
        <v>5435</v>
      </c>
      <c r="AD1435" t="s">
        <v>5436</v>
      </c>
      <c r="AE1435" t="s">
        <v>5437</v>
      </c>
      <c r="AF1435" t="s">
        <v>5438</v>
      </c>
      <c r="AG1435" t="s">
        <v>1962</v>
      </c>
      <c r="AH1435" t="s">
        <v>1963</v>
      </c>
      <c r="AI1435" t="s">
        <v>1857</v>
      </c>
      <c r="AJ1435" t="s">
        <v>1857</v>
      </c>
      <c r="AK1435">
        <v>1</v>
      </c>
      <c r="AL1435" t="s">
        <v>5636</v>
      </c>
      <c r="AM1435" t="s">
        <v>5535</v>
      </c>
      <c r="AN1435" t="s">
        <v>5637</v>
      </c>
      <c r="AO1435" t="s">
        <v>66</v>
      </c>
      <c r="AP1435">
        <v>1</v>
      </c>
      <c r="AQ1435" t="s">
        <v>5638</v>
      </c>
      <c r="AR1435" t="s">
        <v>5639</v>
      </c>
      <c r="AS1435" t="s">
        <v>5740</v>
      </c>
      <c r="AT1435" t="s">
        <v>66</v>
      </c>
    </row>
    <row r="1436" spans="1:46" x14ac:dyDescent="0.15">
      <c r="A1436" t="s">
        <v>5896</v>
      </c>
      <c r="B1436" t="s">
        <v>5429</v>
      </c>
      <c r="C1436" t="s">
        <v>5430</v>
      </c>
      <c r="D1436">
        <v>92</v>
      </c>
      <c r="E1436" t="s">
        <v>5431</v>
      </c>
      <c r="F1436" t="s">
        <v>3592</v>
      </c>
      <c r="G1436" t="s">
        <v>51</v>
      </c>
      <c r="H1436" t="s">
        <v>5432</v>
      </c>
      <c r="I1436" t="s">
        <v>720</v>
      </c>
      <c r="J1436" t="s">
        <v>1554</v>
      </c>
      <c r="K1436" t="s">
        <v>1555</v>
      </c>
      <c r="L1436" t="s">
        <v>18</v>
      </c>
      <c r="M1436" t="s">
        <v>16</v>
      </c>
      <c r="N1436">
        <v>5607</v>
      </c>
      <c r="O1436">
        <v>303</v>
      </c>
      <c r="P1436">
        <v>0</v>
      </c>
      <c r="Q1436" t="s">
        <v>5897</v>
      </c>
      <c r="R1436" t="s">
        <v>5898</v>
      </c>
      <c r="S1436" t="s">
        <v>5899</v>
      </c>
      <c r="T1436" t="s">
        <v>5900</v>
      </c>
      <c r="U1436" t="s">
        <v>60</v>
      </c>
      <c r="V1436" t="s">
        <v>61</v>
      </c>
      <c r="W1436">
        <v>10</v>
      </c>
      <c r="X1436">
        <v>0.13125000000000001</v>
      </c>
      <c r="Y1436" t="s">
        <v>667</v>
      </c>
      <c r="Z1436" t="s">
        <v>668</v>
      </c>
      <c r="AA1436">
        <v>4</v>
      </c>
      <c r="AB1436" t="s">
        <v>5434</v>
      </c>
      <c r="AC1436" t="s">
        <v>5435</v>
      </c>
      <c r="AD1436" t="s">
        <v>5436</v>
      </c>
      <c r="AE1436" t="s">
        <v>5437</v>
      </c>
      <c r="AF1436" t="s">
        <v>5438</v>
      </c>
      <c r="AG1436" t="s">
        <v>1962</v>
      </c>
      <c r="AH1436" t="s">
        <v>1963</v>
      </c>
      <c r="AI1436" t="s">
        <v>1857</v>
      </c>
      <c r="AJ1436" t="s">
        <v>1857</v>
      </c>
      <c r="AK1436">
        <v>1</v>
      </c>
      <c r="AL1436" t="s">
        <v>5636</v>
      </c>
      <c r="AM1436" t="s">
        <v>5535</v>
      </c>
      <c r="AN1436" t="s">
        <v>5637</v>
      </c>
      <c r="AO1436" t="s">
        <v>66</v>
      </c>
      <c r="AP1436">
        <v>1</v>
      </c>
      <c r="AQ1436" t="s">
        <v>5638</v>
      </c>
      <c r="AR1436" t="s">
        <v>5639</v>
      </c>
      <c r="AS1436" t="s">
        <v>5740</v>
      </c>
      <c r="AT1436" t="s">
        <v>66</v>
      </c>
    </row>
    <row r="1437" spans="1:46" x14ac:dyDescent="0.15">
      <c r="A1437" t="s">
        <v>5901</v>
      </c>
      <c r="B1437" t="s">
        <v>5429</v>
      </c>
      <c r="C1437" t="s">
        <v>5430</v>
      </c>
      <c r="D1437">
        <v>93</v>
      </c>
      <c r="E1437" t="s">
        <v>5431</v>
      </c>
      <c r="F1437" t="s">
        <v>3592</v>
      </c>
      <c r="G1437" t="s">
        <v>51</v>
      </c>
      <c r="H1437" t="s">
        <v>5432</v>
      </c>
      <c r="I1437" t="s">
        <v>720</v>
      </c>
      <c r="J1437" t="s">
        <v>1554</v>
      </c>
      <c r="K1437" t="s">
        <v>1555</v>
      </c>
      <c r="L1437" t="s">
        <v>18</v>
      </c>
      <c r="M1437" t="s">
        <v>16</v>
      </c>
      <c r="N1437">
        <v>5663</v>
      </c>
      <c r="O1437">
        <v>306</v>
      </c>
      <c r="P1437">
        <v>0</v>
      </c>
      <c r="Q1437" t="s">
        <v>5902</v>
      </c>
      <c r="R1437" t="s">
        <v>5903</v>
      </c>
      <c r="S1437" t="s">
        <v>5904</v>
      </c>
      <c r="T1437" t="s">
        <v>5905</v>
      </c>
      <c r="U1437" t="s">
        <v>60</v>
      </c>
      <c r="V1437" t="s">
        <v>61</v>
      </c>
      <c r="W1437">
        <v>10</v>
      </c>
      <c r="X1437">
        <v>0.13125000000000001</v>
      </c>
      <c r="Y1437" t="s">
        <v>369</v>
      </c>
      <c r="Z1437" t="s">
        <v>674</v>
      </c>
      <c r="AA1437">
        <v>4</v>
      </c>
      <c r="AB1437" t="s">
        <v>5434</v>
      </c>
      <c r="AC1437" t="s">
        <v>5435</v>
      </c>
      <c r="AD1437" t="s">
        <v>5436</v>
      </c>
      <c r="AE1437" t="s">
        <v>5437</v>
      </c>
      <c r="AF1437" t="s">
        <v>5438</v>
      </c>
      <c r="AG1437" t="s">
        <v>1962</v>
      </c>
      <c r="AH1437" t="s">
        <v>1963</v>
      </c>
      <c r="AI1437" t="s">
        <v>1857</v>
      </c>
      <c r="AJ1437" t="s">
        <v>1857</v>
      </c>
      <c r="AK1437">
        <v>1</v>
      </c>
      <c r="AL1437" t="s">
        <v>5636</v>
      </c>
      <c r="AM1437" t="s">
        <v>5535</v>
      </c>
      <c r="AN1437" t="s">
        <v>5637</v>
      </c>
      <c r="AO1437" t="s">
        <v>66</v>
      </c>
      <c r="AP1437">
        <v>1</v>
      </c>
      <c r="AQ1437" t="s">
        <v>5638</v>
      </c>
      <c r="AR1437" t="s">
        <v>5639</v>
      </c>
      <c r="AS1437" t="s">
        <v>5740</v>
      </c>
      <c r="AT1437" t="s">
        <v>66</v>
      </c>
    </row>
    <row r="1438" spans="1:46" x14ac:dyDescent="0.15">
      <c r="A1438" t="s">
        <v>5906</v>
      </c>
      <c r="B1438" t="s">
        <v>5429</v>
      </c>
      <c r="C1438" t="s">
        <v>5430</v>
      </c>
      <c r="D1438">
        <v>94</v>
      </c>
      <c r="E1438" t="s">
        <v>5431</v>
      </c>
      <c r="F1438" t="s">
        <v>3592</v>
      </c>
      <c r="G1438" t="s">
        <v>51</v>
      </c>
      <c r="H1438" t="s">
        <v>5432</v>
      </c>
      <c r="I1438" t="s">
        <v>720</v>
      </c>
      <c r="J1438" t="s">
        <v>1554</v>
      </c>
      <c r="K1438" t="s">
        <v>1555</v>
      </c>
      <c r="L1438" t="s">
        <v>18</v>
      </c>
      <c r="M1438" t="s">
        <v>16</v>
      </c>
      <c r="N1438">
        <v>5719</v>
      </c>
      <c r="O1438">
        <v>309</v>
      </c>
      <c r="P1438">
        <v>0</v>
      </c>
      <c r="Q1438" t="s">
        <v>5907</v>
      </c>
      <c r="R1438" t="s">
        <v>5908</v>
      </c>
      <c r="S1438" t="s">
        <v>5909</v>
      </c>
      <c r="T1438" t="s">
        <v>5910</v>
      </c>
      <c r="U1438" t="s">
        <v>60</v>
      </c>
      <c r="V1438" t="s">
        <v>61</v>
      </c>
      <c r="W1438">
        <v>10</v>
      </c>
      <c r="X1438">
        <v>0.13125000000000001</v>
      </c>
      <c r="Y1438" t="s">
        <v>680</v>
      </c>
      <c r="Z1438" t="s">
        <v>681</v>
      </c>
      <c r="AA1438">
        <v>4</v>
      </c>
      <c r="AB1438" t="s">
        <v>5434</v>
      </c>
      <c r="AC1438" t="s">
        <v>5435</v>
      </c>
      <c r="AD1438" t="s">
        <v>5436</v>
      </c>
      <c r="AE1438" t="s">
        <v>5437</v>
      </c>
      <c r="AF1438" t="s">
        <v>5438</v>
      </c>
      <c r="AG1438" t="s">
        <v>1962</v>
      </c>
      <c r="AH1438" t="s">
        <v>1963</v>
      </c>
      <c r="AI1438" t="s">
        <v>1857</v>
      </c>
      <c r="AJ1438" t="s">
        <v>1857</v>
      </c>
      <c r="AK1438">
        <v>1</v>
      </c>
      <c r="AL1438" t="s">
        <v>5636</v>
      </c>
      <c r="AM1438" t="s">
        <v>5535</v>
      </c>
      <c r="AN1438" t="s">
        <v>5637</v>
      </c>
      <c r="AO1438" t="s">
        <v>66</v>
      </c>
      <c r="AP1438">
        <v>1</v>
      </c>
      <c r="AQ1438" t="s">
        <v>5638</v>
      </c>
      <c r="AR1438" t="s">
        <v>5639</v>
      </c>
      <c r="AS1438" t="s">
        <v>5740</v>
      </c>
      <c r="AT1438" t="s">
        <v>66</v>
      </c>
    </row>
    <row r="1439" spans="1:46" x14ac:dyDescent="0.15">
      <c r="A1439" t="s">
        <v>5911</v>
      </c>
      <c r="B1439" t="s">
        <v>5429</v>
      </c>
      <c r="C1439" t="s">
        <v>5430</v>
      </c>
      <c r="D1439">
        <v>95</v>
      </c>
      <c r="E1439" t="s">
        <v>5431</v>
      </c>
      <c r="F1439" t="s">
        <v>3592</v>
      </c>
      <c r="G1439" t="s">
        <v>51</v>
      </c>
      <c r="H1439" t="s">
        <v>5432</v>
      </c>
      <c r="I1439" t="s">
        <v>720</v>
      </c>
      <c r="J1439" t="s">
        <v>1554</v>
      </c>
      <c r="K1439" t="s">
        <v>1555</v>
      </c>
      <c r="L1439" t="s">
        <v>18</v>
      </c>
      <c r="M1439" t="s">
        <v>16</v>
      </c>
      <c r="N1439">
        <v>5776</v>
      </c>
      <c r="O1439">
        <v>312</v>
      </c>
      <c r="P1439">
        <v>0</v>
      </c>
      <c r="Q1439" t="s">
        <v>5912</v>
      </c>
      <c r="R1439" t="s">
        <v>5913</v>
      </c>
      <c r="S1439" t="s">
        <v>5914</v>
      </c>
      <c r="T1439" t="s">
        <v>5915</v>
      </c>
      <c r="U1439" t="s">
        <v>60</v>
      </c>
      <c r="V1439" t="s">
        <v>61</v>
      </c>
      <c r="W1439">
        <v>10</v>
      </c>
      <c r="X1439">
        <v>0.13125000000000001</v>
      </c>
      <c r="Y1439" t="s">
        <v>376</v>
      </c>
      <c r="Z1439" t="s">
        <v>687</v>
      </c>
      <c r="AA1439">
        <v>4</v>
      </c>
      <c r="AB1439" t="s">
        <v>5434</v>
      </c>
      <c r="AC1439" t="s">
        <v>5435</v>
      </c>
      <c r="AD1439" t="s">
        <v>5436</v>
      </c>
      <c r="AE1439" t="s">
        <v>5437</v>
      </c>
      <c r="AF1439" t="s">
        <v>5438</v>
      </c>
      <c r="AG1439" t="s">
        <v>1962</v>
      </c>
      <c r="AH1439" t="s">
        <v>1963</v>
      </c>
      <c r="AI1439" t="s">
        <v>1857</v>
      </c>
      <c r="AJ1439" t="s">
        <v>1857</v>
      </c>
      <c r="AK1439">
        <v>1</v>
      </c>
      <c r="AL1439" t="s">
        <v>5636</v>
      </c>
      <c r="AM1439" t="s">
        <v>5535</v>
      </c>
      <c r="AN1439" t="s">
        <v>5637</v>
      </c>
      <c r="AO1439" t="s">
        <v>66</v>
      </c>
      <c r="AP1439">
        <v>1</v>
      </c>
      <c r="AQ1439" t="s">
        <v>5638</v>
      </c>
      <c r="AR1439" t="s">
        <v>5639</v>
      </c>
      <c r="AS1439" t="s">
        <v>5740</v>
      </c>
      <c r="AT1439" t="s">
        <v>66</v>
      </c>
    </row>
    <row r="1440" spans="1:46" x14ac:dyDescent="0.15">
      <c r="A1440" t="s">
        <v>5916</v>
      </c>
      <c r="B1440" t="s">
        <v>5429</v>
      </c>
      <c r="C1440" t="s">
        <v>5430</v>
      </c>
      <c r="D1440">
        <v>96</v>
      </c>
      <c r="E1440" t="s">
        <v>5431</v>
      </c>
      <c r="F1440" t="s">
        <v>3592</v>
      </c>
      <c r="G1440" t="s">
        <v>51</v>
      </c>
      <c r="H1440" t="s">
        <v>5432</v>
      </c>
      <c r="I1440" t="s">
        <v>720</v>
      </c>
      <c r="J1440" t="s">
        <v>1554</v>
      </c>
      <c r="K1440" t="s">
        <v>1555</v>
      </c>
      <c r="L1440" t="s">
        <v>18</v>
      </c>
      <c r="M1440" t="s">
        <v>16</v>
      </c>
      <c r="N1440">
        <v>5832</v>
      </c>
      <c r="O1440">
        <v>315</v>
      </c>
      <c r="P1440">
        <v>0</v>
      </c>
      <c r="Q1440" t="s">
        <v>5917</v>
      </c>
      <c r="R1440" t="s">
        <v>5918</v>
      </c>
      <c r="S1440" t="s">
        <v>5919</v>
      </c>
      <c r="T1440" t="s">
        <v>5920</v>
      </c>
      <c r="U1440" t="s">
        <v>60</v>
      </c>
      <c r="V1440" t="s">
        <v>61</v>
      </c>
      <c r="W1440">
        <v>10</v>
      </c>
      <c r="X1440">
        <v>0.13125000000000001</v>
      </c>
      <c r="Y1440" t="s">
        <v>693</v>
      </c>
      <c r="Z1440" t="s">
        <v>694</v>
      </c>
      <c r="AA1440">
        <v>4</v>
      </c>
      <c r="AB1440" t="s">
        <v>5434</v>
      </c>
      <c r="AC1440" t="s">
        <v>5435</v>
      </c>
      <c r="AD1440" t="s">
        <v>5436</v>
      </c>
      <c r="AE1440" t="s">
        <v>5437</v>
      </c>
      <c r="AF1440" t="s">
        <v>5438</v>
      </c>
      <c r="AG1440" t="s">
        <v>1962</v>
      </c>
      <c r="AH1440" t="s">
        <v>1963</v>
      </c>
      <c r="AI1440" t="s">
        <v>1857</v>
      </c>
      <c r="AJ1440" t="s">
        <v>1857</v>
      </c>
      <c r="AK1440">
        <v>1</v>
      </c>
      <c r="AL1440" t="s">
        <v>5636</v>
      </c>
      <c r="AM1440" t="s">
        <v>5535</v>
      </c>
      <c r="AN1440" t="s">
        <v>5637</v>
      </c>
      <c r="AO1440" t="s">
        <v>66</v>
      </c>
      <c r="AP1440">
        <v>1</v>
      </c>
      <c r="AQ1440" t="s">
        <v>5638</v>
      </c>
      <c r="AR1440" t="s">
        <v>5639</v>
      </c>
      <c r="AS1440" t="s">
        <v>5740</v>
      </c>
      <c r="AT1440" t="s">
        <v>66</v>
      </c>
    </row>
    <row r="1441" spans="1:46" x14ac:dyDescent="0.15">
      <c r="A1441" t="s">
        <v>5921</v>
      </c>
      <c r="B1441" t="s">
        <v>5429</v>
      </c>
      <c r="C1441" t="s">
        <v>5430</v>
      </c>
      <c r="D1441">
        <v>97</v>
      </c>
      <c r="E1441" t="s">
        <v>5431</v>
      </c>
      <c r="F1441" t="s">
        <v>3592</v>
      </c>
      <c r="G1441" t="s">
        <v>51</v>
      </c>
      <c r="H1441" t="s">
        <v>5432</v>
      </c>
      <c r="I1441" t="s">
        <v>720</v>
      </c>
      <c r="J1441" t="s">
        <v>1554</v>
      </c>
      <c r="K1441" t="s">
        <v>1555</v>
      </c>
      <c r="L1441" t="s">
        <v>18</v>
      </c>
      <c r="M1441" t="s">
        <v>16</v>
      </c>
      <c r="N1441">
        <v>5888</v>
      </c>
      <c r="O1441">
        <v>318</v>
      </c>
      <c r="P1441">
        <v>0</v>
      </c>
      <c r="Q1441" t="s">
        <v>5922</v>
      </c>
      <c r="R1441" t="s">
        <v>5923</v>
      </c>
      <c r="S1441" t="s">
        <v>5924</v>
      </c>
      <c r="T1441" t="s">
        <v>5925</v>
      </c>
      <c r="U1441" t="s">
        <v>60</v>
      </c>
      <c r="V1441" t="s">
        <v>61</v>
      </c>
      <c r="W1441">
        <v>10</v>
      </c>
      <c r="X1441">
        <v>0.13125000000000001</v>
      </c>
      <c r="Y1441" t="s">
        <v>382</v>
      </c>
      <c r="Z1441" t="s">
        <v>700</v>
      </c>
      <c r="AA1441">
        <v>4</v>
      </c>
      <c r="AB1441" t="s">
        <v>5434</v>
      </c>
      <c r="AC1441" t="s">
        <v>5435</v>
      </c>
      <c r="AD1441" t="s">
        <v>5436</v>
      </c>
      <c r="AE1441" t="s">
        <v>5437</v>
      </c>
      <c r="AF1441" t="s">
        <v>5438</v>
      </c>
      <c r="AG1441" t="s">
        <v>1962</v>
      </c>
      <c r="AH1441" t="s">
        <v>1963</v>
      </c>
      <c r="AI1441" t="s">
        <v>1857</v>
      </c>
      <c r="AJ1441" t="s">
        <v>1857</v>
      </c>
      <c r="AK1441">
        <v>1</v>
      </c>
      <c r="AL1441" t="s">
        <v>5636</v>
      </c>
      <c r="AM1441" t="s">
        <v>5535</v>
      </c>
      <c r="AN1441" t="s">
        <v>5637</v>
      </c>
      <c r="AO1441" t="s">
        <v>66</v>
      </c>
      <c r="AP1441">
        <v>1</v>
      </c>
      <c r="AQ1441" t="s">
        <v>5638</v>
      </c>
      <c r="AR1441" t="s">
        <v>5639</v>
      </c>
      <c r="AS1441" t="s">
        <v>5740</v>
      </c>
      <c r="AT1441" t="s">
        <v>66</v>
      </c>
    </row>
    <row r="1442" spans="1:46" x14ac:dyDescent="0.15">
      <c r="A1442" t="s">
        <v>5926</v>
      </c>
      <c r="B1442" t="s">
        <v>5429</v>
      </c>
      <c r="C1442" t="s">
        <v>5430</v>
      </c>
      <c r="D1442">
        <v>98</v>
      </c>
      <c r="E1442" t="s">
        <v>5431</v>
      </c>
      <c r="F1442" t="s">
        <v>3592</v>
      </c>
      <c r="G1442" t="s">
        <v>51</v>
      </c>
      <c r="H1442" t="s">
        <v>5432</v>
      </c>
      <c r="I1442" t="s">
        <v>720</v>
      </c>
      <c r="J1442" t="s">
        <v>1554</v>
      </c>
      <c r="K1442" t="s">
        <v>1555</v>
      </c>
      <c r="L1442" t="s">
        <v>18</v>
      </c>
      <c r="M1442" t="s">
        <v>16</v>
      </c>
      <c r="N1442">
        <v>5944</v>
      </c>
      <c r="O1442">
        <v>321</v>
      </c>
      <c r="P1442">
        <v>0</v>
      </c>
      <c r="Q1442" t="s">
        <v>5927</v>
      </c>
      <c r="R1442" t="s">
        <v>5928</v>
      </c>
      <c r="S1442" t="s">
        <v>5929</v>
      </c>
      <c r="T1442" t="s">
        <v>5930</v>
      </c>
      <c r="U1442" t="s">
        <v>60</v>
      </c>
      <c r="V1442" t="s">
        <v>61</v>
      </c>
      <c r="W1442">
        <v>10</v>
      </c>
      <c r="X1442">
        <v>0.13125000000000001</v>
      </c>
      <c r="Y1442" t="s">
        <v>706</v>
      </c>
      <c r="Z1442" t="s">
        <v>707</v>
      </c>
      <c r="AA1442">
        <v>4</v>
      </c>
      <c r="AB1442" t="s">
        <v>5434</v>
      </c>
      <c r="AC1442" t="s">
        <v>5435</v>
      </c>
      <c r="AD1442" t="s">
        <v>5436</v>
      </c>
      <c r="AE1442" t="s">
        <v>5437</v>
      </c>
      <c r="AF1442" t="s">
        <v>5438</v>
      </c>
      <c r="AG1442" t="s">
        <v>1962</v>
      </c>
      <c r="AH1442" t="s">
        <v>1963</v>
      </c>
      <c r="AI1442" t="s">
        <v>1857</v>
      </c>
      <c r="AJ1442" t="s">
        <v>1857</v>
      </c>
      <c r="AK1442">
        <v>1</v>
      </c>
      <c r="AL1442" t="s">
        <v>5636</v>
      </c>
      <c r="AM1442" t="s">
        <v>5535</v>
      </c>
      <c r="AN1442" t="s">
        <v>5637</v>
      </c>
      <c r="AO1442" t="s">
        <v>66</v>
      </c>
      <c r="AP1442">
        <v>1</v>
      </c>
      <c r="AQ1442" t="s">
        <v>5638</v>
      </c>
      <c r="AR1442" t="s">
        <v>5639</v>
      </c>
      <c r="AS1442" t="s">
        <v>5740</v>
      </c>
      <c r="AT1442" t="s">
        <v>66</v>
      </c>
    </row>
    <row r="1443" spans="1:46" x14ac:dyDescent="0.15">
      <c r="A1443" t="s">
        <v>5931</v>
      </c>
      <c r="B1443" t="s">
        <v>5429</v>
      </c>
      <c r="C1443" t="s">
        <v>5430</v>
      </c>
      <c r="D1443">
        <v>99</v>
      </c>
      <c r="E1443" t="s">
        <v>5431</v>
      </c>
      <c r="F1443" t="s">
        <v>3592</v>
      </c>
      <c r="G1443" t="s">
        <v>51</v>
      </c>
      <c r="H1443" t="s">
        <v>5432</v>
      </c>
      <c r="I1443" t="s">
        <v>720</v>
      </c>
      <c r="J1443" t="s">
        <v>1554</v>
      </c>
      <c r="K1443" t="s">
        <v>1555</v>
      </c>
      <c r="L1443" t="s">
        <v>18</v>
      </c>
      <c r="M1443" t="s">
        <v>16</v>
      </c>
      <c r="N1443">
        <v>6000</v>
      </c>
      <c r="O1443">
        <v>324</v>
      </c>
      <c r="P1443">
        <v>0</v>
      </c>
      <c r="Q1443" t="s">
        <v>5932</v>
      </c>
      <c r="R1443" t="s">
        <v>1129</v>
      </c>
      <c r="S1443" t="s">
        <v>5933</v>
      </c>
      <c r="T1443" t="s">
        <v>5425</v>
      </c>
      <c r="U1443" t="s">
        <v>60</v>
      </c>
      <c r="V1443" t="s">
        <v>61</v>
      </c>
      <c r="W1443">
        <v>10</v>
      </c>
      <c r="X1443">
        <v>0.13125000000000001</v>
      </c>
      <c r="Y1443" t="s">
        <v>389</v>
      </c>
      <c r="Z1443" t="s">
        <v>713</v>
      </c>
      <c r="AA1443">
        <v>4</v>
      </c>
      <c r="AB1443" t="s">
        <v>5434</v>
      </c>
      <c r="AC1443" t="s">
        <v>5435</v>
      </c>
      <c r="AD1443" t="s">
        <v>5436</v>
      </c>
      <c r="AE1443" t="s">
        <v>5437</v>
      </c>
      <c r="AF1443" t="s">
        <v>5438</v>
      </c>
      <c r="AG1443" t="s">
        <v>1962</v>
      </c>
      <c r="AH1443" t="s">
        <v>1963</v>
      </c>
      <c r="AI1443" t="s">
        <v>1857</v>
      </c>
      <c r="AJ1443" t="s">
        <v>1857</v>
      </c>
      <c r="AK1443">
        <v>1</v>
      </c>
      <c r="AL1443" t="s">
        <v>5636</v>
      </c>
      <c r="AM1443" t="s">
        <v>5535</v>
      </c>
      <c r="AN1443" t="s">
        <v>5637</v>
      </c>
      <c r="AO1443" t="s">
        <v>66</v>
      </c>
      <c r="AP1443">
        <v>1</v>
      </c>
      <c r="AQ1443" t="s">
        <v>5638</v>
      </c>
      <c r="AR1443" t="s">
        <v>5639</v>
      </c>
      <c r="AS1443" t="s">
        <v>5740</v>
      </c>
      <c r="AT1443" t="s">
        <v>66</v>
      </c>
    </row>
    <row r="1444" spans="1:46" x14ac:dyDescent="0.15">
      <c r="A1444" t="s">
        <v>5934</v>
      </c>
      <c r="B1444" t="s">
        <v>5935</v>
      </c>
      <c r="C1444" t="s">
        <v>5936</v>
      </c>
      <c r="D1444">
        <v>1</v>
      </c>
      <c r="E1444" t="s">
        <v>5937</v>
      </c>
      <c r="F1444" t="s">
        <v>3592</v>
      </c>
      <c r="G1444" t="s">
        <v>51</v>
      </c>
      <c r="H1444" t="s">
        <v>5938</v>
      </c>
      <c r="I1444" t="s">
        <v>53</v>
      </c>
      <c r="J1444" t="s">
        <v>1554</v>
      </c>
      <c r="K1444" t="s">
        <v>5939</v>
      </c>
      <c r="L1444" t="s">
        <v>19</v>
      </c>
      <c r="M1444" t="s">
        <v>18</v>
      </c>
      <c r="N1444">
        <v>500</v>
      </c>
      <c r="O1444">
        <v>30</v>
      </c>
      <c r="P1444">
        <v>0</v>
      </c>
      <c r="Q1444" t="s">
        <v>5940</v>
      </c>
      <c r="R1444" t="s">
        <v>2575</v>
      </c>
      <c r="S1444" t="s">
        <v>5941</v>
      </c>
      <c r="T1444" t="s">
        <v>5942</v>
      </c>
      <c r="U1444" t="s">
        <v>60</v>
      </c>
      <c r="V1444" t="s">
        <v>61</v>
      </c>
      <c r="W1444">
        <v>10</v>
      </c>
      <c r="X1444">
        <v>0.12381250000000001</v>
      </c>
      <c r="Y1444" t="s">
        <v>62</v>
      </c>
      <c r="Z1444" t="s">
        <v>62</v>
      </c>
      <c r="AA1444">
        <v>0</v>
      </c>
      <c r="AB1444" t="s">
        <v>5943</v>
      </c>
      <c r="AC1444" t="s">
        <v>5944</v>
      </c>
      <c r="AD1444" t="s">
        <v>5945</v>
      </c>
      <c r="AE1444" t="s">
        <v>5946</v>
      </c>
      <c r="AF1444" t="s">
        <v>5947</v>
      </c>
      <c r="AG1444" t="s">
        <v>66</v>
      </c>
      <c r="AH1444" t="s">
        <v>66</v>
      </c>
      <c r="AI1444" t="s">
        <v>66</v>
      </c>
      <c r="AJ1444" t="s">
        <v>66</v>
      </c>
      <c r="AK1444">
        <v>1</v>
      </c>
      <c r="AL1444" t="s">
        <v>66</v>
      </c>
      <c r="AM1444" t="s">
        <v>66</v>
      </c>
      <c r="AN1444" t="s">
        <v>66</v>
      </c>
      <c r="AO1444" t="s">
        <v>66</v>
      </c>
      <c r="AP1444">
        <v>1</v>
      </c>
      <c r="AQ1444" t="s">
        <v>66</v>
      </c>
      <c r="AR1444" t="s">
        <v>66</v>
      </c>
      <c r="AS1444" t="s">
        <v>66</v>
      </c>
      <c r="AT1444" t="s">
        <v>66</v>
      </c>
    </row>
    <row r="1445" spans="1:46" x14ac:dyDescent="0.15">
      <c r="A1445" t="s">
        <v>5948</v>
      </c>
      <c r="B1445" t="s">
        <v>5935</v>
      </c>
      <c r="C1445" t="s">
        <v>5936</v>
      </c>
      <c r="D1445">
        <v>2</v>
      </c>
      <c r="E1445" t="s">
        <v>5937</v>
      </c>
      <c r="F1445" t="s">
        <v>3592</v>
      </c>
      <c r="G1445" t="s">
        <v>51</v>
      </c>
      <c r="H1445" t="s">
        <v>5938</v>
      </c>
      <c r="I1445" t="s">
        <v>53</v>
      </c>
      <c r="J1445" t="s">
        <v>1554</v>
      </c>
      <c r="K1445" t="s">
        <v>5939</v>
      </c>
      <c r="L1445" t="s">
        <v>19</v>
      </c>
      <c r="M1445" t="s">
        <v>18</v>
      </c>
      <c r="N1445">
        <v>556</v>
      </c>
      <c r="O1445">
        <v>33</v>
      </c>
      <c r="P1445">
        <v>0</v>
      </c>
      <c r="Q1445" t="s">
        <v>5949</v>
      </c>
      <c r="R1445" t="s">
        <v>2585</v>
      </c>
      <c r="S1445" t="s">
        <v>5950</v>
      </c>
      <c r="T1445" t="s">
        <v>5951</v>
      </c>
      <c r="U1445" t="s">
        <v>60</v>
      </c>
      <c r="V1445" t="s">
        <v>61</v>
      </c>
      <c r="W1445">
        <v>10</v>
      </c>
      <c r="X1445">
        <v>0.12381250000000001</v>
      </c>
      <c r="Y1445" t="s">
        <v>72</v>
      </c>
      <c r="Z1445" t="s">
        <v>73</v>
      </c>
      <c r="AA1445">
        <v>0</v>
      </c>
      <c r="AB1445" t="s">
        <v>5943</v>
      </c>
      <c r="AC1445" t="s">
        <v>5944</v>
      </c>
      <c r="AD1445" t="s">
        <v>5945</v>
      </c>
      <c r="AE1445" t="s">
        <v>5946</v>
      </c>
      <c r="AF1445" t="s">
        <v>5947</v>
      </c>
      <c r="AG1445" t="s">
        <v>66</v>
      </c>
      <c r="AH1445" t="s">
        <v>66</v>
      </c>
      <c r="AI1445" t="s">
        <v>66</v>
      </c>
      <c r="AJ1445" t="s">
        <v>66</v>
      </c>
      <c r="AK1445">
        <v>1</v>
      </c>
      <c r="AL1445" t="s">
        <v>66</v>
      </c>
      <c r="AM1445" t="s">
        <v>66</v>
      </c>
      <c r="AN1445" t="s">
        <v>66</v>
      </c>
      <c r="AO1445" t="s">
        <v>66</v>
      </c>
      <c r="AP1445">
        <v>1</v>
      </c>
      <c r="AQ1445" t="s">
        <v>66</v>
      </c>
      <c r="AR1445" t="s">
        <v>66</v>
      </c>
      <c r="AS1445" t="s">
        <v>66</v>
      </c>
      <c r="AT1445" t="s">
        <v>66</v>
      </c>
    </row>
    <row r="1446" spans="1:46" x14ac:dyDescent="0.15">
      <c r="A1446" t="s">
        <v>5952</v>
      </c>
      <c r="B1446" t="s">
        <v>5935</v>
      </c>
      <c r="C1446" t="s">
        <v>5936</v>
      </c>
      <c r="D1446">
        <v>3</v>
      </c>
      <c r="E1446" t="s">
        <v>5937</v>
      </c>
      <c r="F1446" t="s">
        <v>3592</v>
      </c>
      <c r="G1446" t="s">
        <v>51</v>
      </c>
      <c r="H1446" t="s">
        <v>5938</v>
      </c>
      <c r="I1446" t="s">
        <v>53</v>
      </c>
      <c r="J1446" t="s">
        <v>1554</v>
      </c>
      <c r="K1446" t="s">
        <v>5939</v>
      </c>
      <c r="L1446" t="s">
        <v>19</v>
      </c>
      <c r="M1446" t="s">
        <v>18</v>
      </c>
      <c r="N1446">
        <v>612</v>
      </c>
      <c r="O1446">
        <v>37</v>
      </c>
      <c r="P1446">
        <v>0</v>
      </c>
      <c r="Q1446" t="s">
        <v>5953</v>
      </c>
      <c r="R1446" t="s">
        <v>2590</v>
      </c>
      <c r="S1446" t="s">
        <v>5954</v>
      </c>
      <c r="T1446" t="s">
        <v>5955</v>
      </c>
      <c r="U1446" t="s">
        <v>60</v>
      </c>
      <c r="V1446" t="s">
        <v>61</v>
      </c>
      <c r="W1446">
        <v>10</v>
      </c>
      <c r="X1446">
        <v>0.12381250000000001</v>
      </c>
      <c r="Y1446" t="s">
        <v>73</v>
      </c>
      <c r="Z1446" t="s">
        <v>79</v>
      </c>
      <c r="AA1446">
        <v>0</v>
      </c>
      <c r="AB1446" t="s">
        <v>5943</v>
      </c>
      <c r="AC1446" t="s">
        <v>5944</v>
      </c>
      <c r="AD1446" t="s">
        <v>5945</v>
      </c>
      <c r="AE1446" t="s">
        <v>5946</v>
      </c>
      <c r="AF1446" t="s">
        <v>5947</v>
      </c>
      <c r="AG1446" t="s">
        <v>66</v>
      </c>
      <c r="AH1446" t="s">
        <v>66</v>
      </c>
      <c r="AI1446" t="s">
        <v>66</v>
      </c>
      <c r="AJ1446" t="s">
        <v>66</v>
      </c>
      <c r="AK1446">
        <v>1</v>
      </c>
      <c r="AL1446" t="s">
        <v>66</v>
      </c>
      <c r="AM1446" t="s">
        <v>66</v>
      </c>
      <c r="AN1446" t="s">
        <v>66</v>
      </c>
      <c r="AO1446" t="s">
        <v>66</v>
      </c>
      <c r="AP1446">
        <v>1</v>
      </c>
      <c r="AQ1446" t="s">
        <v>66</v>
      </c>
      <c r="AR1446" t="s">
        <v>66</v>
      </c>
      <c r="AS1446" t="s">
        <v>66</v>
      </c>
      <c r="AT1446" t="s">
        <v>66</v>
      </c>
    </row>
    <row r="1447" spans="1:46" x14ac:dyDescent="0.15">
      <c r="A1447" t="s">
        <v>5956</v>
      </c>
      <c r="B1447" t="s">
        <v>5935</v>
      </c>
      <c r="C1447" t="s">
        <v>5936</v>
      </c>
      <c r="D1447">
        <v>4</v>
      </c>
      <c r="E1447" t="s">
        <v>5937</v>
      </c>
      <c r="F1447" t="s">
        <v>3592</v>
      </c>
      <c r="G1447" t="s">
        <v>51</v>
      </c>
      <c r="H1447" t="s">
        <v>5938</v>
      </c>
      <c r="I1447" t="s">
        <v>53</v>
      </c>
      <c r="J1447" t="s">
        <v>1554</v>
      </c>
      <c r="K1447" t="s">
        <v>5939</v>
      </c>
      <c r="L1447" t="s">
        <v>19</v>
      </c>
      <c r="M1447" t="s">
        <v>18</v>
      </c>
      <c r="N1447">
        <v>668</v>
      </c>
      <c r="O1447">
        <v>40</v>
      </c>
      <c r="P1447">
        <v>0</v>
      </c>
      <c r="Q1447" t="s">
        <v>5957</v>
      </c>
      <c r="R1447" t="s">
        <v>2595</v>
      </c>
      <c r="S1447" t="s">
        <v>5958</v>
      </c>
      <c r="T1447" t="s">
        <v>5959</v>
      </c>
      <c r="U1447" t="s">
        <v>60</v>
      </c>
      <c r="V1447" t="s">
        <v>61</v>
      </c>
      <c r="W1447">
        <v>10</v>
      </c>
      <c r="X1447">
        <v>0.12381250000000001</v>
      </c>
      <c r="Y1447" t="s">
        <v>85</v>
      </c>
      <c r="Z1447" t="s">
        <v>86</v>
      </c>
      <c r="AA1447">
        <v>0</v>
      </c>
      <c r="AB1447" t="s">
        <v>5943</v>
      </c>
      <c r="AC1447" t="s">
        <v>5944</v>
      </c>
      <c r="AD1447" t="s">
        <v>5945</v>
      </c>
      <c r="AE1447" t="s">
        <v>5946</v>
      </c>
      <c r="AF1447" t="s">
        <v>5947</v>
      </c>
      <c r="AG1447" t="s">
        <v>66</v>
      </c>
      <c r="AH1447" t="s">
        <v>66</v>
      </c>
      <c r="AI1447" t="s">
        <v>66</v>
      </c>
      <c r="AJ1447" t="s">
        <v>66</v>
      </c>
      <c r="AK1447">
        <v>1</v>
      </c>
      <c r="AL1447" t="s">
        <v>66</v>
      </c>
      <c r="AM1447" t="s">
        <v>66</v>
      </c>
      <c r="AN1447" t="s">
        <v>66</v>
      </c>
      <c r="AO1447" t="s">
        <v>66</v>
      </c>
      <c r="AP1447">
        <v>1</v>
      </c>
      <c r="AQ1447" t="s">
        <v>66</v>
      </c>
      <c r="AR1447" t="s">
        <v>66</v>
      </c>
      <c r="AS1447" t="s">
        <v>66</v>
      </c>
      <c r="AT1447" t="s">
        <v>66</v>
      </c>
    </row>
    <row r="1448" spans="1:46" x14ac:dyDescent="0.15">
      <c r="A1448" t="s">
        <v>5960</v>
      </c>
      <c r="B1448" t="s">
        <v>5935</v>
      </c>
      <c r="C1448" t="s">
        <v>5936</v>
      </c>
      <c r="D1448">
        <v>5</v>
      </c>
      <c r="E1448" t="s">
        <v>5937</v>
      </c>
      <c r="F1448" t="s">
        <v>3592</v>
      </c>
      <c r="G1448" t="s">
        <v>51</v>
      </c>
      <c r="H1448" t="s">
        <v>5938</v>
      </c>
      <c r="I1448" t="s">
        <v>53</v>
      </c>
      <c r="J1448" t="s">
        <v>1554</v>
      </c>
      <c r="K1448" t="s">
        <v>5939</v>
      </c>
      <c r="L1448" t="s">
        <v>19</v>
      </c>
      <c r="M1448" t="s">
        <v>18</v>
      </c>
      <c r="N1448">
        <v>724</v>
      </c>
      <c r="O1448">
        <v>43</v>
      </c>
      <c r="P1448">
        <v>0</v>
      </c>
      <c r="Q1448" t="s">
        <v>5961</v>
      </c>
      <c r="R1448" t="s">
        <v>2600</v>
      </c>
      <c r="S1448" t="s">
        <v>5962</v>
      </c>
      <c r="T1448" t="s">
        <v>5963</v>
      </c>
      <c r="U1448" t="s">
        <v>60</v>
      </c>
      <c r="V1448" t="s">
        <v>61</v>
      </c>
      <c r="W1448">
        <v>10</v>
      </c>
      <c r="X1448">
        <v>0.12381250000000001</v>
      </c>
      <c r="Y1448" t="s">
        <v>79</v>
      </c>
      <c r="Z1448" t="s">
        <v>92</v>
      </c>
      <c r="AA1448">
        <v>0</v>
      </c>
      <c r="AB1448" t="s">
        <v>5943</v>
      </c>
      <c r="AC1448" t="s">
        <v>5944</v>
      </c>
      <c r="AD1448" t="s">
        <v>5945</v>
      </c>
      <c r="AE1448" t="s">
        <v>5946</v>
      </c>
      <c r="AF1448" t="s">
        <v>5947</v>
      </c>
      <c r="AG1448" t="s">
        <v>66</v>
      </c>
      <c r="AH1448" t="s">
        <v>66</v>
      </c>
      <c r="AI1448" t="s">
        <v>66</v>
      </c>
      <c r="AJ1448" t="s">
        <v>66</v>
      </c>
      <c r="AK1448">
        <v>1</v>
      </c>
      <c r="AL1448" t="s">
        <v>66</v>
      </c>
      <c r="AM1448" t="s">
        <v>66</v>
      </c>
      <c r="AN1448" t="s">
        <v>66</v>
      </c>
      <c r="AO1448" t="s">
        <v>66</v>
      </c>
      <c r="AP1448">
        <v>1</v>
      </c>
      <c r="AQ1448" t="s">
        <v>66</v>
      </c>
      <c r="AR1448" t="s">
        <v>66</v>
      </c>
      <c r="AS1448" t="s">
        <v>66</v>
      </c>
      <c r="AT1448" t="s">
        <v>66</v>
      </c>
    </row>
    <row r="1449" spans="1:46" x14ac:dyDescent="0.15">
      <c r="A1449" t="s">
        <v>5964</v>
      </c>
      <c r="B1449" t="s">
        <v>5935</v>
      </c>
      <c r="C1449" t="s">
        <v>5936</v>
      </c>
      <c r="D1449">
        <v>6</v>
      </c>
      <c r="E1449" t="s">
        <v>5937</v>
      </c>
      <c r="F1449" t="s">
        <v>3592</v>
      </c>
      <c r="G1449" t="s">
        <v>51</v>
      </c>
      <c r="H1449" t="s">
        <v>5938</v>
      </c>
      <c r="I1449" t="s">
        <v>53</v>
      </c>
      <c r="J1449" t="s">
        <v>1554</v>
      </c>
      <c r="K1449" t="s">
        <v>5939</v>
      </c>
      <c r="L1449" t="s">
        <v>19</v>
      </c>
      <c r="M1449" t="s">
        <v>18</v>
      </c>
      <c r="N1449">
        <v>781</v>
      </c>
      <c r="O1449">
        <v>47</v>
      </c>
      <c r="P1449">
        <v>0</v>
      </c>
      <c r="Q1449" t="s">
        <v>5965</v>
      </c>
      <c r="R1449" t="s">
        <v>2605</v>
      </c>
      <c r="S1449" t="s">
        <v>5966</v>
      </c>
      <c r="T1449" t="s">
        <v>5967</v>
      </c>
      <c r="U1449" t="s">
        <v>60</v>
      </c>
      <c r="V1449" t="s">
        <v>61</v>
      </c>
      <c r="W1449">
        <v>10</v>
      </c>
      <c r="X1449">
        <v>0.12381250000000001</v>
      </c>
      <c r="Y1449" t="s">
        <v>98</v>
      </c>
      <c r="Z1449" t="s">
        <v>99</v>
      </c>
      <c r="AA1449">
        <v>0</v>
      </c>
      <c r="AB1449" t="s">
        <v>5943</v>
      </c>
      <c r="AC1449" t="s">
        <v>5944</v>
      </c>
      <c r="AD1449" t="s">
        <v>5945</v>
      </c>
      <c r="AE1449" t="s">
        <v>5946</v>
      </c>
      <c r="AF1449" t="s">
        <v>5947</v>
      </c>
      <c r="AG1449" t="s">
        <v>66</v>
      </c>
      <c r="AH1449" t="s">
        <v>66</v>
      </c>
      <c r="AI1449" t="s">
        <v>66</v>
      </c>
      <c r="AJ1449" t="s">
        <v>66</v>
      </c>
      <c r="AK1449">
        <v>1</v>
      </c>
      <c r="AL1449" t="s">
        <v>66</v>
      </c>
      <c r="AM1449" t="s">
        <v>66</v>
      </c>
      <c r="AN1449" t="s">
        <v>66</v>
      </c>
      <c r="AO1449" t="s">
        <v>66</v>
      </c>
      <c r="AP1449">
        <v>1</v>
      </c>
      <c r="AQ1449" t="s">
        <v>66</v>
      </c>
      <c r="AR1449" t="s">
        <v>66</v>
      </c>
      <c r="AS1449" t="s">
        <v>66</v>
      </c>
      <c r="AT1449" t="s">
        <v>66</v>
      </c>
    </row>
    <row r="1450" spans="1:46" x14ac:dyDescent="0.15">
      <c r="A1450" t="s">
        <v>5968</v>
      </c>
      <c r="B1450" t="s">
        <v>5935</v>
      </c>
      <c r="C1450" t="s">
        <v>5936</v>
      </c>
      <c r="D1450">
        <v>7</v>
      </c>
      <c r="E1450" t="s">
        <v>5937</v>
      </c>
      <c r="F1450" t="s">
        <v>3592</v>
      </c>
      <c r="G1450" t="s">
        <v>51</v>
      </c>
      <c r="H1450" t="s">
        <v>5938</v>
      </c>
      <c r="I1450" t="s">
        <v>53</v>
      </c>
      <c r="J1450" t="s">
        <v>1554</v>
      </c>
      <c r="K1450" t="s">
        <v>5939</v>
      </c>
      <c r="L1450" t="s">
        <v>19</v>
      </c>
      <c r="M1450" t="s">
        <v>18</v>
      </c>
      <c r="N1450">
        <v>837</v>
      </c>
      <c r="O1450">
        <v>50</v>
      </c>
      <c r="P1450">
        <v>0</v>
      </c>
      <c r="Q1450" t="s">
        <v>5969</v>
      </c>
      <c r="R1450" t="s">
        <v>2610</v>
      </c>
      <c r="S1450" t="s">
        <v>5970</v>
      </c>
      <c r="T1450" t="s">
        <v>5971</v>
      </c>
      <c r="U1450" t="s">
        <v>60</v>
      </c>
      <c r="V1450" t="s">
        <v>61</v>
      </c>
      <c r="W1450">
        <v>10</v>
      </c>
      <c r="X1450">
        <v>0.12381250000000001</v>
      </c>
      <c r="Y1450" t="s">
        <v>86</v>
      </c>
      <c r="Z1450" t="s">
        <v>105</v>
      </c>
      <c r="AA1450">
        <v>0</v>
      </c>
      <c r="AB1450" t="s">
        <v>5943</v>
      </c>
      <c r="AC1450" t="s">
        <v>5944</v>
      </c>
      <c r="AD1450" t="s">
        <v>5945</v>
      </c>
      <c r="AE1450" t="s">
        <v>5946</v>
      </c>
      <c r="AF1450" t="s">
        <v>5947</v>
      </c>
      <c r="AG1450" t="s">
        <v>66</v>
      </c>
      <c r="AH1450" t="s">
        <v>66</v>
      </c>
      <c r="AI1450" t="s">
        <v>66</v>
      </c>
      <c r="AJ1450" t="s">
        <v>66</v>
      </c>
      <c r="AK1450">
        <v>1</v>
      </c>
      <c r="AL1450" t="s">
        <v>66</v>
      </c>
      <c r="AM1450" t="s">
        <v>66</v>
      </c>
      <c r="AN1450" t="s">
        <v>66</v>
      </c>
      <c r="AO1450" t="s">
        <v>66</v>
      </c>
      <c r="AP1450">
        <v>1</v>
      </c>
      <c r="AQ1450" t="s">
        <v>66</v>
      </c>
      <c r="AR1450" t="s">
        <v>66</v>
      </c>
      <c r="AS1450" t="s">
        <v>66</v>
      </c>
      <c r="AT1450" t="s">
        <v>66</v>
      </c>
    </row>
    <row r="1451" spans="1:46" x14ac:dyDescent="0.15">
      <c r="A1451" t="s">
        <v>5972</v>
      </c>
      <c r="B1451" t="s">
        <v>5935</v>
      </c>
      <c r="C1451" t="s">
        <v>5936</v>
      </c>
      <c r="D1451">
        <v>8</v>
      </c>
      <c r="E1451" t="s">
        <v>5937</v>
      </c>
      <c r="F1451" t="s">
        <v>3592</v>
      </c>
      <c r="G1451" t="s">
        <v>51</v>
      </c>
      <c r="H1451" t="s">
        <v>5938</v>
      </c>
      <c r="I1451" t="s">
        <v>53</v>
      </c>
      <c r="J1451" t="s">
        <v>1554</v>
      </c>
      <c r="K1451" t="s">
        <v>5939</v>
      </c>
      <c r="L1451" t="s">
        <v>19</v>
      </c>
      <c r="M1451" t="s">
        <v>18</v>
      </c>
      <c r="N1451">
        <v>893</v>
      </c>
      <c r="O1451">
        <v>54</v>
      </c>
      <c r="P1451">
        <v>0</v>
      </c>
      <c r="Q1451" t="s">
        <v>5973</v>
      </c>
      <c r="R1451" t="s">
        <v>2615</v>
      </c>
      <c r="S1451" t="s">
        <v>5974</v>
      </c>
      <c r="T1451" t="s">
        <v>5975</v>
      </c>
      <c r="U1451" t="s">
        <v>60</v>
      </c>
      <c r="V1451" t="s">
        <v>61</v>
      </c>
      <c r="W1451">
        <v>10</v>
      </c>
      <c r="X1451">
        <v>0.12381250000000001</v>
      </c>
      <c r="Y1451" t="s">
        <v>111</v>
      </c>
      <c r="Z1451" t="s">
        <v>112</v>
      </c>
      <c r="AA1451">
        <v>0</v>
      </c>
      <c r="AB1451" t="s">
        <v>5943</v>
      </c>
      <c r="AC1451" t="s">
        <v>5944</v>
      </c>
      <c r="AD1451" t="s">
        <v>5945</v>
      </c>
      <c r="AE1451" t="s">
        <v>5946</v>
      </c>
      <c r="AF1451" t="s">
        <v>5947</v>
      </c>
      <c r="AG1451" t="s">
        <v>66</v>
      </c>
      <c r="AH1451" t="s">
        <v>66</v>
      </c>
      <c r="AI1451" t="s">
        <v>66</v>
      </c>
      <c r="AJ1451" t="s">
        <v>66</v>
      </c>
      <c r="AK1451">
        <v>1</v>
      </c>
      <c r="AL1451" t="s">
        <v>66</v>
      </c>
      <c r="AM1451" t="s">
        <v>66</v>
      </c>
      <c r="AN1451" t="s">
        <v>66</v>
      </c>
      <c r="AO1451" t="s">
        <v>66</v>
      </c>
      <c r="AP1451">
        <v>1</v>
      </c>
      <c r="AQ1451" t="s">
        <v>66</v>
      </c>
      <c r="AR1451" t="s">
        <v>66</v>
      </c>
      <c r="AS1451" t="s">
        <v>66</v>
      </c>
      <c r="AT1451" t="s">
        <v>66</v>
      </c>
    </row>
    <row r="1452" spans="1:46" x14ac:dyDescent="0.15">
      <c r="A1452" t="s">
        <v>5976</v>
      </c>
      <c r="B1452" t="s">
        <v>5935</v>
      </c>
      <c r="C1452" t="s">
        <v>5936</v>
      </c>
      <c r="D1452">
        <v>9</v>
      </c>
      <c r="E1452" t="s">
        <v>5937</v>
      </c>
      <c r="F1452" t="s">
        <v>3592</v>
      </c>
      <c r="G1452" t="s">
        <v>51</v>
      </c>
      <c r="H1452" t="s">
        <v>5938</v>
      </c>
      <c r="I1452" t="s">
        <v>53</v>
      </c>
      <c r="J1452" t="s">
        <v>1554</v>
      </c>
      <c r="K1452" t="s">
        <v>5939</v>
      </c>
      <c r="L1452" t="s">
        <v>19</v>
      </c>
      <c r="M1452" t="s">
        <v>18</v>
      </c>
      <c r="N1452">
        <v>949</v>
      </c>
      <c r="O1452">
        <v>57</v>
      </c>
      <c r="P1452">
        <v>0</v>
      </c>
      <c r="Q1452" t="s">
        <v>5977</v>
      </c>
      <c r="R1452" t="s">
        <v>2620</v>
      </c>
      <c r="S1452" t="s">
        <v>5978</v>
      </c>
      <c r="T1452" t="s">
        <v>5979</v>
      </c>
      <c r="U1452" t="s">
        <v>60</v>
      </c>
      <c r="V1452" t="s">
        <v>61</v>
      </c>
      <c r="W1452">
        <v>10</v>
      </c>
      <c r="X1452">
        <v>0.12381250000000001</v>
      </c>
      <c r="Y1452" t="s">
        <v>92</v>
      </c>
      <c r="Z1452" t="s">
        <v>118</v>
      </c>
      <c r="AA1452">
        <v>0</v>
      </c>
      <c r="AB1452" t="s">
        <v>5943</v>
      </c>
      <c r="AC1452" t="s">
        <v>5944</v>
      </c>
      <c r="AD1452" t="s">
        <v>5945</v>
      </c>
      <c r="AE1452" t="s">
        <v>5946</v>
      </c>
      <c r="AF1452" t="s">
        <v>5947</v>
      </c>
      <c r="AG1452" t="s">
        <v>66</v>
      </c>
      <c r="AH1452" t="s">
        <v>66</v>
      </c>
      <c r="AI1452" t="s">
        <v>66</v>
      </c>
      <c r="AJ1452" t="s">
        <v>66</v>
      </c>
      <c r="AK1452">
        <v>1</v>
      </c>
      <c r="AL1452" t="s">
        <v>66</v>
      </c>
      <c r="AM1452" t="s">
        <v>66</v>
      </c>
      <c r="AN1452" t="s">
        <v>66</v>
      </c>
      <c r="AO1452" t="s">
        <v>66</v>
      </c>
      <c r="AP1452">
        <v>1</v>
      </c>
      <c r="AQ1452" t="s">
        <v>66</v>
      </c>
      <c r="AR1452" t="s">
        <v>66</v>
      </c>
      <c r="AS1452" t="s">
        <v>66</v>
      </c>
      <c r="AT1452" t="s">
        <v>66</v>
      </c>
    </row>
    <row r="1453" spans="1:46" x14ac:dyDescent="0.15">
      <c r="A1453" t="s">
        <v>5980</v>
      </c>
      <c r="B1453" t="s">
        <v>5935</v>
      </c>
      <c r="C1453" t="s">
        <v>5936</v>
      </c>
      <c r="D1453">
        <v>10</v>
      </c>
      <c r="E1453" t="s">
        <v>5937</v>
      </c>
      <c r="F1453" t="s">
        <v>3592</v>
      </c>
      <c r="G1453" t="s">
        <v>51</v>
      </c>
      <c r="H1453" t="s">
        <v>5938</v>
      </c>
      <c r="I1453" t="s">
        <v>53</v>
      </c>
      <c r="J1453" t="s">
        <v>1554</v>
      </c>
      <c r="K1453" t="s">
        <v>5939</v>
      </c>
      <c r="L1453" t="s">
        <v>19</v>
      </c>
      <c r="M1453" t="s">
        <v>18</v>
      </c>
      <c r="N1453">
        <v>1005</v>
      </c>
      <c r="O1453">
        <v>60</v>
      </c>
      <c r="P1453">
        <v>0</v>
      </c>
      <c r="Q1453" t="s">
        <v>5981</v>
      </c>
      <c r="R1453" t="s">
        <v>2625</v>
      </c>
      <c r="S1453" t="s">
        <v>5982</v>
      </c>
      <c r="T1453" t="s">
        <v>5983</v>
      </c>
      <c r="U1453" t="s">
        <v>60</v>
      </c>
      <c r="V1453" t="s">
        <v>61</v>
      </c>
      <c r="W1453">
        <v>10</v>
      </c>
      <c r="X1453">
        <v>0.12381250000000001</v>
      </c>
      <c r="Y1453" t="s">
        <v>124</v>
      </c>
      <c r="Z1453" t="s">
        <v>125</v>
      </c>
      <c r="AA1453">
        <v>0</v>
      </c>
      <c r="AB1453" t="s">
        <v>5943</v>
      </c>
      <c r="AC1453" t="s">
        <v>5944</v>
      </c>
      <c r="AD1453" t="s">
        <v>5945</v>
      </c>
      <c r="AE1453" t="s">
        <v>5946</v>
      </c>
      <c r="AF1453" t="s">
        <v>5947</v>
      </c>
      <c r="AG1453" t="s">
        <v>66</v>
      </c>
      <c r="AH1453" t="s">
        <v>66</v>
      </c>
      <c r="AI1453" t="s">
        <v>66</v>
      </c>
      <c r="AJ1453" t="s">
        <v>66</v>
      </c>
      <c r="AK1453">
        <v>1</v>
      </c>
      <c r="AL1453" t="s">
        <v>66</v>
      </c>
      <c r="AM1453" t="s">
        <v>66</v>
      </c>
      <c r="AN1453" t="s">
        <v>66</v>
      </c>
      <c r="AO1453" t="s">
        <v>66</v>
      </c>
      <c r="AP1453">
        <v>1</v>
      </c>
      <c r="AQ1453" t="s">
        <v>66</v>
      </c>
      <c r="AR1453" t="s">
        <v>66</v>
      </c>
      <c r="AS1453" t="s">
        <v>66</v>
      </c>
      <c r="AT1453" t="s">
        <v>66</v>
      </c>
    </row>
    <row r="1454" spans="1:46" x14ac:dyDescent="0.15">
      <c r="A1454" t="s">
        <v>5984</v>
      </c>
      <c r="B1454" t="s">
        <v>5935</v>
      </c>
      <c r="C1454" t="s">
        <v>5936</v>
      </c>
      <c r="D1454">
        <v>11</v>
      </c>
      <c r="E1454" t="s">
        <v>5937</v>
      </c>
      <c r="F1454" t="s">
        <v>3592</v>
      </c>
      <c r="G1454" t="s">
        <v>51</v>
      </c>
      <c r="H1454" t="s">
        <v>5938</v>
      </c>
      <c r="I1454" t="s">
        <v>53</v>
      </c>
      <c r="J1454" t="s">
        <v>1554</v>
      </c>
      <c r="K1454" t="s">
        <v>5939</v>
      </c>
      <c r="L1454" t="s">
        <v>19</v>
      </c>
      <c r="M1454" t="s">
        <v>18</v>
      </c>
      <c r="N1454">
        <v>1061</v>
      </c>
      <c r="O1454">
        <v>64</v>
      </c>
      <c r="P1454">
        <v>0</v>
      </c>
      <c r="Q1454" t="s">
        <v>5985</v>
      </c>
      <c r="R1454" t="s">
        <v>2630</v>
      </c>
      <c r="S1454" t="s">
        <v>5986</v>
      </c>
      <c r="T1454" t="s">
        <v>5987</v>
      </c>
      <c r="U1454" t="s">
        <v>60</v>
      </c>
      <c r="V1454" t="s">
        <v>61</v>
      </c>
      <c r="W1454">
        <v>10</v>
      </c>
      <c r="X1454">
        <v>0.12381250000000001</v>
      </c>
      <c r="Y1454" t="s">
        <v>99</v>
      </c>
      <c r="Z1454" t="s">
        <v>131</v>
      </c>
      <c r="AA1454">
        <v>0</v>
      </c>
      <c r="AB1454" t="s">
        <v>5943</v>
      </c>
      <c r="AC1454" t="s">
        <v>5944</v>
      </c>
      <c r="AD1454" t="s">
        <v>5945</v>
      </c>
      <c r="AE1454" t="s">
        <v>5946</v>
      </c>
      <c r="AF1454" t="s">
        <v>5947</v>
      </c>
      <c r="AG1454" t="s">
        <v>66</v>
      </c>
      <c r="AH1454" t="s">
        <v>66</v>
      </c>
      <c r="AI1454" t="s">
        <v>66</v>
      </c>
      <c r="AJ1454" t="s">
        <v>66</v>
      </c>
      <c r="AK1454">
        <v>1</v>
      </c>
      <c r="AL1454" t="s">
        <v>66</v>
      </c>
      <c r="AM1454" t="s">
        <v>66</v>
      </c>
      <c r="AN1454" t="s">
        <v>66</v>
      </c>
      <c r="AO1454" t="s">
        <v>66</v>
      </c>
      <c r="AP1454">
        <v>1</v>
      </c>
      <c r="AQ1454" t="s">
        <v>66</v>
      </c>
      <c r="AR1454" t="s">
        <v>66</v>
      </c>
      <c r="AS1454" t="s">
        <v>66</v>
      </c>
      <c r="AT1454" t="s">
        <v>66</v>
      </c>
    </row>
    <row r="1455" spans="1:46" x14ac:dyDescent="0.15">
      <c r="A1455" t="s">
        <v>5988</v>
      </c>
      <c r="B1455" t="s">
        <v>5935</v>
      </c>
      <c r="C1455" t="s">
        <v>5936</v>
      </c>
      <c r="D1455">
        <v>12</v>
      </c>
      <c r="E1455" t="s">
        <v>5937</v>
      </c>
      <c r="F1455" t="s">
        <v>3592</v>
      </c>
      <c r="G1455" t="s">
        <v>51</v>
      </c>
      <c r="H1455" t="s">
        <v>5938</v>
      </c>
      <c r="I1455" t="s">
        <v>53</v>
      </c>
      <c r="J1455" t="s">
        <v>1554</v>
      </c>
      <c r="K1455" t="s">
        <v>5939</v>
      </c>
      <c r="L1455" t="s">
        <v>19</v>
      </c>
      <c r="M1455" t="s">
        <v>18</v>
      </c>
      <c r="N1455">
        <v>1117</v>
      </c>
      <c r="O1455">
        <v>67</v>
      </c>
      <c r="P1455">
        <v>0</v>
      </c>
      <c r="Q1455" t="s">
        <v>5989</v>
      </c>
      <c r="R1455" t="s">
        <v>2635</v>
      </c>
      <c r="S1455" t="s">
        <v>5990</v>
      </c>
      <c r="T1455" t="s">
        <v>5991</v>
      </c>
      <c r="U1455" t="s">
        <v>60</v>
      </c>
      <c r="V1455" t="s">
        <v>61</v>
      </c>
      <c r="W1455">
        <v>10</v>
      </c>
      <c r="X1455">
        <v>0.12381250000000001</v>
      </c>
      <c r="Y1455" t="s">
        <v>137</v>
      </c>
      <c r="Z1455" t="s">
        <v>138</v>
      </c>
      <c r="AA1455">
        <v>0</v>
      </c>
      <c r="AB1455" t="s">
        <v>5943</v>
      </c>
      <c r="AC1455" t="s">
        <v>5944</v>
      </c>
      <c r="AD1455" t="s">
        <v>5945</v>
      </c>
      <c r="AE1455" t="s">
        <v>5946</v>
      </c>
      <c r="AF1455" t="s">
        <v>5947</v>
      </c>
      <c r="AG1455" t="s">
        <v>66</v>
      </c>
      <c r="AH1455" t="s">
        <v>66</v>
      </c>
      <c r="AI1455" t="s">
        <v>66</v>
      </c>
      <c r="AJ1455" t="s">
        <v>66</v>
      </c>
      <c r="AK1455">
        <v>1</v>
      </c>
      <c r="AL1455" t="s">
        <v>66</v>
      </c>
      <c r="AM1455" t="s">
        <v>66</v>
      </c>
      <c r="AN1455" t="s">
        <v>66</v>
      </c>
      <c r="AO1455" t="s">
        <v>66</v>
      </c>
      <c r="AP1455">
        <v>1</v>
      </c>
      <c r="AQ1455" t="s">
        <v>66</v>
      </c>
      <c r="AR1455" t="s">
        <v>66</v>
      </c>
      <c r="AS1455" t="s">
        <v>66</v>
      </c>
      <c r="AT1455" t="s">
        <v>66</v>
      </c>
    </row>
    <row r="1456" spans="1:46" x14ac:dyDescent="0.15">
      <c r="A1456" t="s">
        <v>5992</v>
      </c>
      <c r="B1456" t="s">
        <v>5935</v>
      </c>
      <c r="C1456" t="s">
        <v>5936</v>
      </c>
      <c r="D1456">
        <v>13</v>
      </c>
      <c r="E1456" t="s">
        <v>5937</v>
      </c>
      <c r="F1456" t="s">
        <v>3592</v>
      </c>
      <c r="G1456" t="s">
        <v>51</v>
      </c>
      <c r="H1456" t="s">
        <v>5938</v>
      </c>
      <c r="I1456" t="s">
        <v>53</v>
      </c>
      <c r="J1456" t="s">
        <v>1554</v>
      </c>
      <c r="K1456" t="s">
        <v>5939</v>
      </c>
      <c r="L1456" t="s">
        <v>19</v>
      </c>
      <c r="M1456" t="s">
        <v>18</v>
      </c>
      <c r="N1456">
        <v>1173</v>
      </c>
      <c r="O1456">
        <v>70</v>
      </c>
      <c r="P1456">
        <v>0</v>
      </c>
      <c r="Q1456" t="s">
        <v>5993</v>
      </c>
      <c r="R1456" t="s">
        <v>2640</v>
      </c>
      <c r="S1456" t="s">
        <v>5994</v>
      </c>
      <c r="T1456" t="s">
        <v>5995</v>
      </c>
      <c r="U1456" t="s">
        <v>60</v>
      </c>
      <c r="V1456" t="s">
        <v>61</v>
      </c>
      <c r="W1456">
        <v>10</v>
      </c>
      <c r="X1456">
        <v>0.12381250000000001</v>
      </c>
      <c r="Y1456" t="s">
        <v>105</v>
      </c>
      <c r="Z1456" t="s">
        <v>144</v>
      </c>
      <c r="AA1456">
        <v>0</v>
      </c>
      <c r="AB1456" t="s">
        <v>5943</v>
      </c>
      <c r="AC1456" t="s">
        <v>5944</v>
      </c>
      <c r="AD1456" t="s">
        <v>5945</v>
      </c>
      <c r="AE1456" t="s">
        <v>5946</v>
      </c>
      <c r="AF1456" t="s">
        <v>5947</v>
      </c>
      <c r="AG1456" t="s">
        <v>66</v>
      </c>
      <c r="AH1456" t="s">
        <v>66</v>
      </c>
      <c r="AI1456" t="s">
        <v>66</v>
      </c>
      <c r="AJ1456" t="s">
        <v>66</v>
      </c>
      <c r="AK1456">
        <v>1</v>
      </c>
      <c r="AL1456" t="s">
        <v>66</v>
      </c>
      <c r="AM1456" t="s">
        <v>66</v>
      </c>
      <c r="AN1456" t="s">
        <v>66</v>
      </c>
      <c r="AO1456" t="s">
        <v>66</v>
      </c>
      <c r="AP1456">
        <v>1</v>
      </c>
      <c r="AQ1456" t="s">
        <v>66</v>
      </c>
      <c r="AR1456" t="s">
        <v>66</v>
      </c>
      <c r="AS1456" t="s">
        <v>66</v>
      </c>
      <c r="AT1456" t="s">
        <v>66</v>
      </c>
    </row>
    <row r="1457" spans="1:46" x14ac:dyDescent="0.15">
      <c r="A1457" t="s">
        <v>5996</v>
      </c>
      <c r="B1457" t="s">
        <v>5935</v>
      </c>
      <c r="C1457" t="s">
        <v>5936</v>
      </c>
      <c r="D1457">
        <v>14</v>
      </c>
      <c r="E1457" t="s">
        <v>5937</v>
      </c>
      <c r="F1457" t="s">
        <v>3592</v>
      </c>
      <c r="G1457" t="s">
        <v>51</v>
      </c>
      <c r="H1457" t="s">
        <v>5938</v>
      </c>
      <c r="I1457" t="s">
        <v>53</v>
      </c>
      <c r="J1457" t="s">
        <v>1554</v>
      </c>
      <c r="K1457" t="s">
        <v>5939</v>
      </c>
      <c r="L1457" t="s">
        <v>19</v>
      </c>
      <c r="M1457" t="s">
        <v>18</v>
      </c>
      <c r="N1457">
        <v>1230</v>
      </c>
      <c r="O1457">
        <v>74</v>
      </c>
      <c r="P1457">
        <v>0</v>
      </c>
      <c r="Q1457" t="s">
        <v>5997</v>
      </c>
      <c r="R1457" t="s">
        <v>2645</v>
      </c>
      <c r="S1457" t="s">
        <v>5998</v>
      </c>
      <c r="T1457" t="s">
        <v>5999</v>
      </c>
      <c r="U1457" t="s">
        <v>60</v>
      </c>
      <c r="V1457" t="s">
        <v>61</v>
      </c>
      <c r="W1457">
        <v>10</v>
      </c>
      <c r="X1457">
        <v>0.12381250000000001</v>
      </c>
      <c r="Y1457" t="s">
        <v>150</v>
      </c>
      <c r="Z1457" t="s">
        <v>151</v>
      </c>
      <c r="AA1457">
        <v>0</v>
      </c>
      <c r="AB1457" t="s">
        <v>5943</v>
      </c>
      <c r="AC1457" t="s">
        <v>5944</v>
      </c>
      <c r="AD1457" t="s">
        <v>5945</v>
      </c>
      <c r="AE1457" t="s">
        <v>5946</v>
      </c>
      <c r="AF1457" t="s">
        <v>5947</v>
      </c>
      <c r="AG1457" t="s">
        <v>66</v>
      </c>
      <c r="AH1457" t="s">
        <v>66</v>
      </c>
      <c r="AI1457" t="s">
        <v>66</v>
      </c>
      <c r="AJ1457" t="s">
        <v>66</v>
      </c>
      <c r="AK1457">
        <v>1</v>
      </c>
      <c r="AL1457" t="s">
        <v>66</v>
      </c>
      <c r="AM1457" t="s">
        <v>66</v>
      </c>
      <c r="AN1457" t="s">
        <v>66</v>
      </c>
      <c r="AO1457" t="s">
        <v>66</v>
      </c>
      <c r="AP1457">
        <v>1</v>
      </c>
      <c r="AQ1457" t="s">
        <v>66</v>
      </c>
      <c r="AR1457" t="s">
        <v>66</v>
      </c>
      <c r="AS1457" t="s">
        <v>66</v>
      </c>
      <c r="AT1457" t="s">
        <v>66</v>
      </c>
    </row>
    <row r="1458" spans="1:46" x14ac:dyDescent="0.15">
      <c r="A1458" t="s">
        <v>6000</v>
      </c>
      <c r="B1458" t="s">
        <v>5935</v>
      </c>
      <c r="C1458" t="s">
        <v>5936</v>
      </c>
      <c r="D1458">
        <v>15</v>
      </c>
      <c r="E1458" t="s">
        <v>5937</v>
      </c>
      <c r="F1458" t="s">
        <v>3592</v>
      </c>
      <c r="G1458" t="s">
        <v>51</v>
      </c>
      <c r="H1458" t="s">
        <v>5938</v>
      </c>
      <c r="I1458" t="s">
        <v>53</v>
      </c>
      <c r="J1458" t="s">
        <v>1554</v>
      </c>
      <c r="K1458" t="s">
        <v>5939</v>
      </c>
      <c r="L1458" t="s">
        <v>19</v>
      </c>
      <c r="M1458" t="s">
        <v>18</v>
      </c>
      <c r="N1458">
        <v>1286</v>
      </c>
      <c r="O1458">
        <v>77</v>
      </c>
      <c r="P1458">
        <v>0</v>
      </c>
      <c r="Q1458" t="s">
        <v>6001</v>
      </c>
      <c r="R1458" t="s">
        <v>2650</v>
      </c>
      <c r="S1458" t="s">
        <v>6002</v>
      </c>
      <c r="T1458" t="s">
        <v>6003</v>
      </c>
      <c r="U1458" t="s">
        <v>60</v>
      </c>
      <c r="V1458" t="s">
        <v>61</v>
      </c>
      <c r="W1458">
        <v>10</v>
      </c>
      <c r="X1458">
        <v>0.12381250000000001</v>
      </c>
      <c r="Y1458" t="s">
        <v>112</v>
      </c>
      <c r="Z1458" t="s">
        <v>157</v>
      </c>
      <c r="AA1458">
        <v>0</v>
      </c>
      <c r="AB1458" t="s">
        <v>5943</v>
      </c>
      <c r="AC1458" t="s">
        <v>5944</v>
      </c>
      <c r="AD1458" t="s">
        <v>5945</v>
      </c>
      <c r="AE1458" t="s">
        <v>5946</v>
      </c>
      <c r="AF1458" t="s">
        <v>5947</v>
      </c>
      <c r="AG1458" t="s">
        <v>66</v>
      </c>
      <c r="AH1458" t="s">
        <v>66</v>
      </c>
      <c r="AI1458" t="s">
        <v>66</v>
      </c>
      <c r="AJ1458" t="s">
        <v>66</v>
      </c>
      <c r="AK1458">
        <v>1</v>
      </c>
      <c r="AL1458" t="s">
        <v>66</v>
      </c>
      <c r="AM1458" t="s">
        <v>66</v>
      </c>
      <c r="AN1458" t="s">
        <v>66</v>
      </c>
      <c r="AO1458" t="s">
        <v>66</v>
      </c>
      <c r="AP1458">
        <v>1</v>
      </c>
      <c r="AQ1458" t="s">
        <v>66</v>
      </c>
      <c r="AR1458" t="s">
        <v>66</v>
      </c>
      <c r="AS1458" t="s">
        <v>66</v>
      </c>
      <c r="AT1458" t="s">
        <v>66</v>
      </c>
    </row>
    <row r="1459" spans="1:46" x14ac:dyDescent="0.15">
      <c r="A1459" t="s">
        <v>6004</v>
      </c>
      <c r="B1459" t="s">
        <v>5935</v>
      </c>
      <c r="C1459" t="s">
        <v>5936</v>
      </c>
      <c r="D1459">
        <v>16</v>
      </c>
      <c r="E1459" t="s">
        <v>5937</v>
      </c>
      <c r="F1459" t="s">
        <v>3592</v>
      </c>
      <c r="G1459" t="s">
        <v>51</v>
      </c>
      <c r="H1459" t="s">
        <v>5938</v>
      </c>
      <c r="I1459" t="s">
        <v>53</v>
      </c>
      <c r="J1459" t="s">
        <v>1554</v>
      </c>
      <c r="K1459" t="s">
        <v>5939</v>
      </c>
      <c r="L1459" t="s">
        <v>19</v>
      </c>
      <c r="M1459" t="s">
        <v>18</v>
      </c>
      <c r="N1459">
        <v>1342</v>
      </c>
      <c r="O1459">
        <v>80</v>
      </c>
      <c r="P1459">
        <v>0</v>
      </c>
      <c r="Q1459" t="s">
        <v>6005</v>
      </c>
      <c r="R1459" t="s">
        <v>2655</v>
      </c>
      <c r="S1459" t="s">
        <v>6006</v>
      </c>
      <c r="T1459" t="s">
        <v>6007</v>
      </c>
      <c r="U1459" t="s">
        <v>60</v>
      </c>
      <c r="V1459" t="s">
        <v>61</v>
      </c>
      <c r="W1459">
        <v>10</v>
      </c>
      <c r="X1459">
        <v>0.12381250000000001</v>
      </c>
      <c r="Y1459" t="s">
        <v>163</v>
      </c>
      <c r="Z1459" t="s">
        <v>164</v>
      </c>
      <c r="AA1459">
        <v>0</v>
      </c>
      <c r="AB1459" t="s">
        <v>5943</v>
      </c>
      <c r="AC1459" t="s">
        <v>5944</v>
      </c>
      <c r="AD1459" t="s">
        <v>5945</v>
      </c>
      <c r="AE1459" t="s">
        <v>5946</v>
      </c>
      <c r="AF1459" t="s">
        <v>5947</v>
      </c>
      <c r="AG1459" t="s">
        <v>66</v>
      </c>
      <c r="AH1459" t="s">
        <v>66</v>
      </c>
      <c r="AI1459" t="s">
        <v>66</v>
      </c>
      <c r="AJ1459" t="s">
        <v>66</v>
      </c>
      <c r="AK1459">
        <v>1</v>
      </c>
      <c r="AL1459" t="s">
        <v>66</v>
      </c>
      <c r="AM1459" t="s">
        <v>66</v>
      </c>
      <c r="AN1459" t="s">
        <v>66</v>
      </c>
      <c r="AO1459" t="s">
        <v>66</v>
      </c>
      <c r="AP1459">
        <v>1</v>
      </c>
      <c r="AQ1459" t="s">
        <v>66</v>
      </c>
      <c r="AR1459" t="s">
        <v>66</v>
      </c>
      <c r="AS1459" t="s">
        <v>66</v>
      </c>
      <c r="AT1459" t="s">
        <v>66</v>
      </c>
    </row>
    <row r="1460" spans="1:46" x14ac:dyDescent="0.15">
      <c r="A1460" t="s">
        <v>6008</v>
      </c>
      <c r="B1460" t="s">
        <v>5935</v>
      </c>
      <c r="C1460" t="s">
        <v>5936</v>
      </c>
      <c r="D1460">
        <v>17</v>
      </c>
      <c r="E1460" t="s">
        <v>5937</v>
      </c>
      <c r="F1460" t="s">
        <v>3592</v>
      </c>
      <c r="G1460" t="s">
        <v>51</v>
      </c>
      <c r="H1460" t="s">
        <v>5938</v>
      </c>
      <c r="I1460" t="s">
        <v>53</v>
      </c>
      <c r="J1460" t="s">
        <v>1554</v>
      </c>
      <c r="K1460" t="s">
        <v>5939</v>
      </c>
      <c r="L1460" t="s">
        <v>19</v>
      </c>
      <c r="M1460" t="s">
        <v>18</v>
      </c>
      <c r="N1460">
        <v>1398</v>
      </c>
      <c r="O1460">
        <v>84</v>
      </c>
      <c r="P1460">
        <v>0</v>
      </c>
      <c r="Q1460" t="s">
        <v>6009</v>
      </c>
      <c r="R1460" t="s">
        <v>2660</v>
      </c>
      <c r="S1460" t="s">
        <v>6010</v>
      </c>
      <c r="T1460" t="s">
        <v>6011</v>
      </c>
      <c r="U1460" t="s">
        <v>60</v>
      </c>
      <c r="V1460" t="s">
        <v>61</v>
      </c>
      <c r="W1460">
        <v>10</v>
      </c>
      <c r="X1460">
        <v>0.12381250000000001</v>
      </c>
      <c r="Y1460" t="s">
        <v>118</v>
      </c>
      <c r="Z1460" t="s">
        <v>170</v>
      </c>
      <c r="AA1460">
        <v>0</v>
      </c>
      <c r="AB1460" t="s">
        <v>5943</v>
      </c>
      <c r="AC1460" t="s">
        <v>5944</v>
      </c>
      <c r="AD1460" t="s">
        <v>5945</v>
      </c>
      <c r="AE1460" t="s">
        <v>5946</v>
      </c>
      <c r="AF1460" t="s">
        <v>5947</v>
      </c>
      <c r="AG1460" t="s">
        <v>66</v>
      </c>
      <c r="AH1460" t="s">
        <v>66</v>
      </c>
      <c r="AI1460" t="s">
        <v>66</v>
      </c>
      <c r="AJ1460" t="s">
        <v>66</v>
      </c>
      <c r="AK1460">
        <v>1</v>
      </c>
      <c r="AL1460" t="s">
        <v>66</v>
      </c>
      <c r="AM1460" t="s">
        <v>66</v>
      </c>
      <c r="AN1460" t="s">
        <v>66</v>
      </c>
      <c r="AO1460" t="s">
        <v>66</v>
      </c>
      <c r="AP1460">
        <v>1</v>
      </c>
      <c r="AQ1460" t="s">
        <v>66</v>
      </c>
      <c r="AR1460" t="s">
        <v>66</v>
      </c>
      <c r="AS1460" t="s">
        <v>66</v>
      </c>
      <c r="AT1460" t="s">
        <v>66</v>
      </c>
    </row>
    <row r="1461" spans="1:46" x14ac:dyDescent="0.15">
      <c r="A1461" t="s">
        <v>6012</v>
      </c>
      <c r="B1461" t="s">
        <v>5935</v>
      </c>
      <c r="C1461" t="s">
        <v>5936</v>
      </c>
      <c r="D1461">
        <v>18</v>
      </c>
      <c r="E1461" t="s">
        <v>5937</v>
      </c>
      <c r="F1461" t="s">
        <v>3592</v>
      </c>
      <c r="G1461" t="s">
        <v>51</v>
      </c>
      <c r="H1461" t="s">
        <v>5938</v>
      </c>
      <c r="I1461" t="s">
        <v>53</v>
      </c>
      <c r="J1461" t="s">
        <v>1554</v>
      </c>
      <c r="K1461" t="s">
        <v>5939</v>
      </c>
      <c r="L1461" t="s">
        <v>19</v>
      </c>
      <c r="M1461" t="s">
        <v>18</v>
      </c>
      <c r="N1461">
        <v>1454</v>
      </c>
      <c r="O1461">
        <v>87</v>
      </c>
      <c r="P1461">
        <v>0</v>
      </c>
      <c r="Q1461" t="s">
        <v>6013</v>
      </c>
      <c r="R1461" t="s">
        <v>2665</v>
      </c>
      <c r="S1461" t="s">
        <v>6014</v>
      </c>
      <c r="T1461" t="s">
        <v>6015</v>
      </c>
      <c r="U1461" t="s">
        <v>60</v>
      </c>
      <c r="V1461" t="s">
        <v>61</v>
      </c>
      <c r="W1461">
        <v>10</v>
      </c>
      <c r="X1461">
        <v>0.12381250000000001</v>
      </c>
      <c r="Y1461" t="s">
        <v>176</v>
      </c>
      <c r="Z1461" t="s">
        <v>177</v>
      </c>
      <c r="AA1461">
        <v>0</v>
      </c>
      <c r="AB1461" t="s">
        <v>5943</v>
      </c>
      <c r="AC1461" t="s">
        <v>5944</v>
      </c>
      <c r="AD1461" t="s">
        <v>5945</v>
      </c>
      <c r="AE1461" t="s">
        <v>5946</v>
      </c>
      <c r="AF1461" t="s">
        <v>5947</v>
      </c>
      <c r="AG1461" t="s">
        <v>66</v>
      </c>
      <c r="AH1461" t="s">
        <v>66</v>
      </c>
      <c r="AI1461" t="s">
        <v>66</v>
      </c>
      <c r="AJ1461" t="s">
        <v>66</v>
      </c>
      <c r="AK1461">
        <v>1</v>
      </c>
      <c r="AL1461" t="s">
        <v>66</v>
      </c>
      <c r="AM1461" t="s">
        <v>66</v>
      </c>
      <c r="AN1461" t="s">
        <v>66</v>
      </c>
      <c r="AO1461" t="s">
        <v>66</v>
      </c>
      <c r="AP1461">
        <v>1</v>
      </c>
      <c r="AQ1461" t="s">
        <v>66</v>
      </c>
      <c r="AR1461" t="s">
        <v>66</v>
      </c>
      <c r="AS1461" t="s">
        <v>66</v>
      </c>
      <c r="AT1461" t="s">
        <v>66</v>
      </c>
    </row>
    <row r="1462" spans="1:46" x14ac:dyDescent="0.15">
      <c r="A1462" t="s">
        <v>6016</v>
      </c>
      <c r="B1462" t="s">
        <v>5935</v>
      </c>
      <c r="C1462" t="s">
        <v>5936</v>
      </c>
      <c r="D1462">
        <v>19</v>
      </c>
      <c r="E1462" t="s">
        <v>5937</v>
      </c>
      <c r="F1462" t="s">
        <v>3592</v>
      </c>
      <c r="G1462" t="s">
        <v>51</v>
      </c>
      <c r="H1462" t="s">
        <v>5938</v>
      </c>
      <c r="I1462" t="s">
        <v>53</v>
      </c>
      <c r="J1462" t="s">
        <v>1554</v>
      </c>
      <c r="K1462" t="s">
        <v>5939</v>
      </c>
      <c r="L1462" t="s">
        <v>19</v>
      </c>
      <c r="M1462" t="s">
        <v>18</v>
      </c>
      <c r="N1462">
        <v>1510</v>
      </c>
      <c r="O1462">
        <v>91</v>
      </c>
      <c r="P1462">
        <v>0</v>
      </c>
      <c r="Q1462" t="s">
        <v>6017</v>
      </c>
      <c r="R1462" t="s">
        <v>2670</v>
      </c>
      <c r="S1462" t="s">
        <v>6018</v>
      </c>
      <c r="T1462" t="s">
        <v>6019</v>
      </c>
      <c r="U1462" t="s">
        <v>60</v>
      </c>
      <c r="V1462" t="s">
        <v>61</v>
      </c>
      <c r="W1462">
        <v>10</v>
      </c>
      <c r="X1462">
        <v>0.12381250000000001</v>
      </c>
      <c r="Y1462" t="s">
        <v>125</v>
      </c>
      <c r="Z1462" t="s">
        <v>183</v>
      </c>
      <c r="AA1462">
        <v>0</v>
      </c>
      <c r="AB1462" t="s">
        <v>5943</v>
      </c>
      <c r="AC1462" t="s">
        <v>5944</v>
      </c>
      <c r="AD1462" t="s">
        <v>5945</v>
      </c>
      <c r="AE1462" t="s">
        <v>5946</v>
      </c>
      <c r="AF1462" t="s">
        <v>5947</v>
      </c>
      <c r="AG1462" t="s">
        <v>66</v>
      </c>
      <c r="AH1462" t="s">
        <v>66</v>
      </c>
      <c r="AI1462" t="s">
        <v>66</v>
      </c>
      <c r="AJ1462" t="s">
        <v>66</v>
      </c>
      <c r="AK1462">
        <v>1</v>
      </c>
      <c r="AL1462" t="s">
        <v>66</v>
      </c>
      <c r="AM1462" t="s">
        <v>66</v>
      </c>
      <c r="AN1462" t="s">
        <v>66</v>
      </c>
      <c r="AO1462" t="s">
        <v>66</v>
      </c>
      <c r="AP1462">
        <v>1</v>
      </c>
      <c r="AQ1462" t="s">
        <v>66</v>
      </c>
      <c r="AR1462" t="s">
        <v>66</v>
      </c>
      <c r="AS1462" t="s">
        <v>66</v>
      </c>
      <c r="AT1462" t="s">
        <v>66</v>
      </c>
    </row>
    <row r="1463" spans="1:46" x14ac:dyDescent="0.15">
      <c r="A1463" t="s">
        <v>6020</v>
      </c>
      <c r="B1463" t="s">
        <v>5935</v>
      </c>
      <c r="C1463" t="s">
        <v>5936</v>
      </c>
      <c r="D1463">
        <v>20</v>
      </c>
      <c r="E1463" t="s">
        <v>5937</v>
      </c>
      <c r="F1463" t="s">
        <v>3592</v>
      </c>
      <c r="G1463" t="s">
        <v>51</v>
      </c>
      <c r="H1463" t="s">
        <v>5938</v>
      </c>
      <c r="I1463" t="s">
        <v>53</v>
      </c>
      <c r="J1463" t="s">
        <v>1554</v>
      </c>
      <c r="K1463" t="s">
        <v>5939</v>
      </c>
      <c r="L1463" t="s">
        <v>19</v>
      </c>
      <c r="M1463" t="s">
        <v>18</v>
      </c>
      <c r="N1463">
        <v>1566</v>
      </c>
      <c r="O1463">
        <v>94</v>
      </c>
      <c r="P1463">
        <v>0</v>
      </c>
      <c r="Q1463" t="s">
        <v>6021</v>
      </c>
      <c r="R1463" t="s">
        <v>2675</v>
      </c>
      <c r="S1463" t="s">
        <v>6022</v>
      </c>
      <c r="T1463" t="s">
        <v>6023</v>
      </c>
      <c r="U1463" t="s">
        <v>60</v>
      </c>
      <c r="V1463" t="s">
        <v>61</v>
      </c>
      <c r="W1463">
        <v>10</v>
      </c>
      <c r="X1463">
        <v>0.12381250000000001</v>
      </c>
      <c r="Y1463" t="s">
        <v>189</v>
      </c>
      <c r="Z1463" t="s">
        <v>190</v>
      </c>
      <c r="AA1463">
        <v>0</v>
      </c>
      <c r="AB1463" t="s">
        <v>5943</v>
      </c>
      <c r="AC1463" t="s">
        <v>5944</v>
      </c>
      <c r="AD1463" t="s">
        <v>5945</v>
      </c>
      <c r="AE1463" t="s">
        <v>5946</v>
      </c>
      <c r="AF1463" t="s">
        <v>5947</v>
      </c>
      <c r="AG1463" t="s">
        <v>66</v>
      </c>
      <c r="AH1463" t="s">
        <v>66</v>
      </c>
      <c r="AI1463" t="s">
        <v>66</v>
      </c>
      <c r="AJ1463" t="s">
        <v>66</v>
      </c>
      <c r="AK1463">
        <v>1</v>
      </c>
      <c r="AL1463" t="s">
        <v>66</v>
      </c>
      <c r="AM1463" t="s">
        <v>66</v>
      </c>
      <c r="AN1463" t="s">
        <v>66</v>
      </c>
      <c r="AO1463" t="s">
        <v>66</v>
      </c>
      <c r="AP1463">
        <v>1</v>
      </c>
      <c r="AQ1463" t="s">
        <v>66</v>
      </c>
      <c r="AR1463" t="s">
        <v>66</v>
      </c>
      <c r="AS1463" t="s">
        <v>66</v>
      </c>
      <c r="AT1463" t="s">
        <v>66</v>
      </c>
    </row>
    <row r="1464" spans="1:46" x14ac:dyDescent="0.15">
      <c r="A1464" t="s">
        <v>6020</v>
      </c>
      <c r="B1464" t="s">
        <v>5935</v>
      </c>
      <c r="C1464" t="s">
        <v>5936</v>
      </c>
      <c r="D1464">
        <v>20</v>
      </c>
      <c r="E1464" t="s">
        <v>5937</v>
      </c>
      <c r="F1464" t="s">
        <v>3592</v>
      </c>
      <c r="G1464" t="s">
        <v>51</v>
      </c>
      <c r="H1464" t="s">
        <v>5938</v>
      </c>
      <c r="I1464" t="s">
        <v>53</v>
      </c>
      <c r="J1464" t="s">
        <v>1554</v>
      </c>
      <c r="K1464" t="s">
        <v>5939</v>
      </c>
      <c r="L1464" t="s">
        <v>19</v>
      </c>
      <c r="M1464" t="s">
        <v>18</v>
      </c>
      <c r="N1464">
        <v>1566</v>
      </c>
      <c r="O1464">
        <v>94</v>
      </c>
      <c r="P1464">
        <v>0</v>
      </c>
      <c r="Q1464" t="s">
        <v>6021</v>
      </c>
      <c r="R1464" t="s">
        <v>2675</v>
      </c>
      <c r="S1464" t="s">
        <v>6022</v>
      </c>
      <c r="T1464" t="s">
        <v>6023</v>
      </c>
      <c r="U1464" t="s">
        <v>60</v>
      </c>
      <c r="V1464" t="s">
        <v>61</v>
      </c>
      <c r="W1464">
        <v>10</v>
      </c>
      <c r="X1464">
        <v>0.12381250000000001</v>
      </c>
      <c r="Y1464" t="s">
        <v>189</v>
      </c>
      <c r="Z1464" t="s">
        <v>190</v>
      </c>
      <c r="AA1464">
        <v>1</v>
      </c>
      <c r="AB1464" t="s">
        <v>5943</v>
      </c>
      <c r="AC1464" t="s">
        <v>5944</v>
      </c>
      <c r="AD1464" t="s">
        <v>5945</v>
      </c>
      <c r="AE1464" t="s">
        <v>5946</v>
      </c>
      <c r="AF1464" t="s">
        <v>5947</v>
      </c>
      <c r="AG1464" t="s">
        <v>66</v>
      </c>
      <c r="AH1464" t="s">
        <v>66</v>
      </c>
      <c r="AI1464" t="s">
        <v>66</v>
      </c>
      <c r="AJ1464" t="s">
        <v>66</v>
      </c>
      <c r="AK1464">
        <v>1</v>
      </c>
      <c r="AL1464" t="s">
        <v>6024</v>
      </c>
      <c r="AM1464" t="s">
        <v>6025</v>
      </c>
      <c r="AN1464" t="s">
        <v>66</v>
      </c>
      <c r="AO1464" t="s">
        <v>66</v>
      </c>
      <c r="AP1464">
        <v>1</v>
      </c>
      <c r="AQ1464" t="s">
        <v>66</v>
      </c>
      <c r="AR1464" t="s">
        <v>66</v>
      </c>
      <c r="AS1464" t="s">
        <v>66</v>
      </c>
      <c r="AT1464" t="s">
        <v>66</v>
      </c>
    </row>
    <row r="1465" spans="1:46" x14ac:dyDescent="0.15">
      <c r="A1465" t="s">
        <v>6026</v>
      </c>
      <c r="B1465" t="s">
        <v>5935</v>
      </c>
      <c r="C1465" t="s">
        <v>5936</v>
      </c>
      <c r="D1465">
        <v>21</v>
      </c>
      <c r="E1465" t="s">
        <v>5937</v>
      </c>
      <c r="F1465" t="s">
        <v>3592</v>
      </c>
      <c r="G1465" t="s">
        <v>51</v>
      </c>
      <c r="H1465" t="s">
        <v>5938</v>
      </c>
      <c r="I1465" t="s">
        <v>53</v>
      </c>
      <c r="J1465" t="s">
        <v>1554</v>
      </c>
      <c r="K1465" t="s">
        <v>5939</v>
      </c>
      <c r="L1465" t="s">
        <v>19</v>
      </c>
      <c r="M1465" t="s">
        <v>18</v>
      </c>
      <c r="N1465">
        <v>1622</v>
      </c>
      <c r="O1465">
        <v>97</v>
      </c>
      <c r="P1465">
        <v>0</v>
      </c>
      <c r="Q1465" t="s">
        <v>6027</v>
      </c>
      <c r="R1465" t="s">
        <v>2682</v>
      </c>
      <c r="S1465" t="s">
        <v>6028</v>
      </c>
      <c r="T1465" t="s">
        <v>6029</v>
      </c>
      <c r="U1465" t="s">
        <v>60</v>
      </c>
      <c r="V1465" t="s">
        <v>61</v>
      </c>
      <c r="W1465">
        <v>10</v>
      </c>
      <c r="X1465">
        <v>0.12381250000000001</v>
      </c>
      <c r="Y1465" t="s">
        <v>131</v>
      </c>
      <c r="Z1465" t="s">
        <v>197</v>
      </c>
      <c r="AA1465">
        <v>1</v>
      </c>
      <c r="AB1465" t="s">
        <v>5943</v>
      </c>
      <c r="AC1465" t="s">
        <v>5944</v>
      </c>
      <c r="AD1465" t="s">
        <v>5945</v>
      </c>
      <c r="AE1465" t="s">
        <v>5946</v>
      </c>
      <c r="AF1465" t="s">
        <v>5947</v>
      </c>
      <c r="AG1465" t="s">
        <v>66</v>
      </c>
      <c r="AH1465" t="s">
        <v>66</v>
      </c>
      <c r="AI1465" t="s">
        <v>66</v>
      </c>
      <c r="AJ1465" t="s">
        <v>66</v>
      </c>
      <c r="AK1465">
        <v>1</v>
      </c>
      <c r="AL1465" t="s">
        <v>6024</v>
      </c>
      <c r="AM1465" t="s">
        <v>6025</v>
      </c>
      <c r="AN1465" t="s">
        <v>66</v>
      </c>
      <c r="AO1465" t="s">
        <v>66</v>
      </c>
      <c r="AP1465">
        <v>1</v>
      </c>
      <c r="AQ1465" t="s">
        <v>66</v>
      </c>
      <c r="AR1465" t="s">
        <v>66</v>
      </c>
      <c r="AS1465" t="s">
        <v>66</v>
      </c>
      <c r="AT1465" t="s">
        <v>66</v>
      </c>
    </row>
    <row r="1466" spans="1:46" x14ac:dyDescent="0.15">
      <c r="A1466" t="s">
        <v>6030</v>
      </c>
      <c r="B1466" t="s">
        <v>5935</v>
      </c>
      <c r="C1466" t="s">
        <v>5936</v>
      </c>
      <c r="D1466">
        <v>22</v>
      </c>
      <c r="E1466" t="s">
        <v>5937</v>
      </c>
      <c r="F1466" t="s">
        <v>3592</v>
      </c>
      <c r="G1466" t="s">
        <v>51</v>
      </c>
      <c r="H1466" t="s">
        <v>5938</v>
      </c>
      <c r="I1466" t="s">
        <v>53</v>
      </c>
      <c r="J1466" t="s">
        <v>1554</v>
      </c>
      <c r="K1466" t="s">
        <v>5939</v>
      </c>
      <c r="L1466" t="s">
        <v>19</v>
      </c>
      <c r="M1466" t="s">
        <v>18</v>
      </c>
      <c r="N1466">
        <v>1679</v>
      </c>
      <c r="O1466">
        <v>101</v>
      </c>
      <c r="P1466">
        <v>0</v>
      </c>
      <c r="Q1466" t="s">
        <v>6031</v>
      </c>
      <c r="R1466" t="s">
        <v>2687</v>
      </c>
      <c r="S1466" t="s">
        <v>6032</v>
      </c>
      <c r="T1466" t="s">
        <v>6033</v>
      </c>
      <c r="U1466" t="s">
        <v>60</v>
      </c>
      <c r="V1466" t="s">
        <v>61</v>
      </c>
      <c r="W1466">
        <v>10</v>
      </c>
      <c r="X1466">
        <v>0.12381250000000001</v>
      </c>
      <c r="Y1466" t="s">
        <v>203</v>
      </c>
      <c r="Z1466" t="s">
        <v>204</v>
      </c>
      <c r="AA1466">
        <v>1</v>
      </c>
      <c r="AB1466" t="s">
        <v>5943</v>
      </c>
      <c r="AC1466" t="s">
        <v>5944</v>
      </c>
      <c r="AD1466" t="s">
        <v>5945</v>
      </c>
      <c r="AE1466" t="s">
        <v>5946</v>
      </c>
      <c r="AF1466" t="s">
        <v>5947</v>
      </c>
      <c r="AG1466" t="s">
        <v>66</v>
      </c>
      <c r="AH1466" t="s">
        <v>66</v>
      </c>
      <c r="AI1466" t="s">
        <v>66</v>
      </c>
      <c r="AJ1466" t="s">
        <v>66</v>
      </c>
      <c r="AK1466">
        <v>1</v>
      </c>
      <c r="AL1466" t="s">
        <v>6024</v>
      </c>
      <c r="AM1466" t="s">
        <v>6025</v>
      </c>
      <c r="AN1466" t="s">
        <v>66</v>
      </c>
      <c r="AO1466" t="s">
        <v>66</v>
      </c>
      <c r="AP1466">
        <v>1</v>
      </c>
      <c r="AQ1466" t="s">
        <v>66</v>
      </c>
      <c r="AR1466" t="s">
        <v>66</v>
      </c>
      <c r="AS1466" t="s">
        <v>66</v>
      </c>
      <c r="AT1466" t="s">
        <v>66</v>
      </c>
    </row>
    <row r="1467" spans="1:46" x14ac:dyDescent="0.15">
      <c r="A1467" t="s">
        <v>6034</v>
      </c>
      <c r="B1467" t="s">
        <v>5935</v>
      </c>
      <c r="C1467" t="s">
        <v>5936</v>
      </c>
      <c r="D1467">
        <v>23</v>
      </c>
      <c r="E1467" t="s">
        <v>5937</v>
      </c>
      <c r="F1467" t="s">
        <v>3592</v>
      </c>
      <c r="G1467" t="s">
        <v>51</v>
      </c>
      <c r="H1467" t="s">
        <v>5938</v>
      </c>
      <c r="I1467" t="s">
        <v>53</v>
      </c>
      <c r="J1467" t="s">
        <v>1554</v>
      </c>
      <c r="K1467" t="s">
        <v>5939</v>
      </c>
      <c r="L1467" t="s">
        <v>19</v>
      </c>
      <c r="M1467" t="s">
        <v>18</v>
      </c>
      <c r="N1467">
        <v>1735</v>
      </c>
      <c r="O1467">
        <v>104</v>
      </c>
      <c r="P1467">
        <v>0</v>
      </c>
      <c r="Q1467" t="s">
        <v>6035</v>
      </c>
      <c r="R1467" t="s">
        <v>2692</v>
      </c>
      <c r="S1467" t="s">
        <v>6036</v>
      </c>
      <c r="T1467" t="s">
        <v>6037</v>
      </c>
      <c r="U1467" t="s">
        <v>60</v>
      </c>
      <c r="V1467" t="s">
        <v>61</v>
      </c>
      <c r="W1467">
        <v>10</v>
      </c>
      <c r="X1467">
        <v>0.12381250000000001</v>
      </c>
      <c r="Y1467" t="s">
        <v>138</v>
      </c>
      <c r="Z1467" t="s">
        <v>210</v>
      </c>
      <c r="AA1467">
        <v>1</v>
      </c>
      <c r="AB1467" t="s">
        <v>5943</v>
      </c>
      <c r="AC1467" t="s">
        <v>5944</v>
      </c>
      <c r="AD1467" t="s">
        <v>5945</v>
      </c>
      <c r="AE1467" t="s">
        <v>5946</v>
      </c>
      <c r="AF1467" t="s">
        <v>5947</v>
      </c>
      <c r="AG1467" t="s">
        <v>66</v>
      </c>
      <c r="AH1467" t="s">
        <v>66</v>
      </c>
      <c r="AI1467" t="s">
        <v>66</v>
      </c>
      <c r="AJ1467" t="s">
        <v>66</v>
      </c>
      <c r="AK1467">
        <v>1</v>
      </c>
      <c r="AL1467" t="s">
        <v>6024</v>
      </c>
      <c r="AM1467" t="s">
        <v>6025</v>
      </c>
      <c r="AN1467" t="s">
        <v>66</v>
      </c>
      <c r="AO1467" t="s">
        <v>66</v>
      </c>
      <c r="AP1467">
        <v>1</v>
      </c>
      <c r="AQ1467" t="s">
        <v>66</v>
      </c>
      <c r="AR1467" t="s">
        <v>66</v>
      </c>
      <c r="AS1467" t="s">
        <v>66</v>
      </c>
      <c r="AT1467" t="s">
        <v>66</v>
      </c>
    </row>
    <row r="1468" spans="1:46" x14ac:dyDescent="0.15">
      <c r="A1468" t="s">
        <v>6038</v>
      </c>
      <c r="B1468" t="s">
        <v>5935</v>
      </c>
      <c r="C1468" t="s">
        <v>5936</v>
      </c>
      <c r="D1468">
        <v>24</v>
      </c>
      <c r="E1468" t="s">
        <v>5937</v>
      </c>
      <c r="F1468" t="s">
        <v>3592</v>
      </c>
      <c r="G1468" t="s">
        <v>51</v>
      </c>
      <c r="H1468" t="s">
        <v>5938</v>
      </c>
      <c r="I1468" t="s">
        <v>53</v>
      </c>
      <c r="J1468" t="s">
        <v>1554</v>
      </c>
      <c r="K1468" t="s">
        <v>5939</v>
      </c>
      <c r="L1468" t="s">
        <v>19</v>
      </c>
      <c r="M1468" t="s">
        <v>18</v>
      </c>
      <c r="N1468">
        <v>1791</v>
      </c>
      <c r="O1468">
        <v>107</v>
      </c>
      <c r="P1468">
        <v>0</v>
      </c>
      <c r="Q1468" t="s">
        <v>6039</v>
      </c>
      <c r="R1468" t="s">
        <v>2697</v>
      </c>
      <c r="S1468" t="s">
        <v>6040</v>
      </c>
      <c r="T1468" t="s">
        <v>6041</v>
      </c>
      <c r="U1468" t="s">
        <v>60</v>
      </c>
      <c r="V1468" t="s">
        <v>61</v>
      </c>
      <c r="W1468">
        <v>10</v>
      </c>
      <c r="X1468">
        <v>0.12381250000000001</v>
      </c>
      <c r="Y1468" t="s">
        <v>216</v>
      </c>
      <c r="Z1468" t="s">
        <v>217</v>
      </c>
      <c r="AA1468">
        <v>1</v>
      </c>
      <c r="AB1468" t="s">
        <v>5943</v>
      </c>
      <c r="AC1468" t="s">
        <v>5944</v>
      </c>
      <c r="AD1468" t="s">
        <v>5945</v>
      </c>
      <c r="AE1468" t="s">
        <v>5946</v>
      </c>
      <c r="AF1468" t="s">
        <v>5947</v>
      </c>
      <c r="AG1468" t="s">
        <v>66</v>
      </c>
      <c r="AH1468" t="s">
        <v>66</v>
      </c>
      <c r="AI1468" t="s">
        <v>66</v>
      </c>
      <c r="AJ1468" t="s">
        <v>66</v>
      </c>
      <c r="AK1468">
        <v>1</v>
      </c>
      <c r="AL1468" t="s">
        <v>6024</v>
      </c>
      <c r="AM1468" t="s">
        <v>6025</v>
      </c>
      <c r="AN1468" t="s">
        <v>66</v>
      </c>
      <c r="AO1468" t="s">
        <v>66</v>
      </c>
      <c r="AP1468">
        <v>1</v>
      </c>
      <c r="AQ1468" t="s">
        <v>66</v>
      </c>
      <c r="AR1468" t="s">
        <v>66</v>
      </c>
      <c r="AS1468" t="s">
        <v>66</v>
      </c>
      <c r="AT1468" t="s">
        <v>66</v>
      </c>
    </row>
    <row r="1469" spans="1:46" x14ac:dyDescent="0.15">
      <c r="A1469" t="s">
        <v>6042</v>
      </c>
      <c r="B1469" t="s">
        <v>5935</v>
      </c>
      <c r="C1469" t="s">
        <v>5936</v>
      </c>
      <c r="D1469">
        <v>25</v>
      </c>
      <c r="E1469" t="s">
        <v>5937</v>
      </c>
      <c r="F1469" t="s">
        <v>3592</v>
      </c>
      <c r="G1469" t="s">
        <v>51</v>
      </c>
      <c r="H1469" t="s">
        <v>5938</v>
      </c>
      <c r="I1469" t="s">
        <v>53</v>
      </c>
      <c r="J1469" t="s">
        <v>1554</v>
      </c>
      <c r="K1469" t="s">
        <v>5939</v>
      </c>
      <c r="L1469" t="s">
        <v>19</v>
      </c>
      <c r="M1469" t="s">
        <v>18</v>
      </c>
      <c r="N1469">
        <v>1847</v>
      </c>
      <c r="O1469">
        <v>111</v>
      </c>
      <c r="P1469">
        <v>0</v>
      </c>
      <c r="Q1469" t="s">
        <v>6043</v>
      </c>
      <c r="R1469" t="s">
        <v>2702</v>
      </c>
      <c r="S1469" t="s">
        <v>6044</v>
      </c>
      <c r="T1469" t="s">
        <v>6045</v>
      </c>
      <c r="U1469" t="s">
        <v>60</v>
      </c>
      <c r="V1469" t="s">
        <v>61</v>
      </c>
      <c r="W1469">
        <v>10</v>
      </c>
      <c r="X1469">
        <v>0.12381250000000001</v>
      </c>
      <c r="Y1469" t="s">
        <v>144</v>
      </c>
      <c r="Z1469" t="s">
        <v>223</v>
      </c>
      <c r="AA1469">
        <v>1</v>
      </c>
      <c r="AB1469" t="s">
        <v>5943</v>
      </c>
      <c r="AC1469" t="s">
        <v>5944</v>
      </c>
      <c r="AD1469" t="s">
        <v>5945</v>
      </c>
      <c r="AE1469" t="s">
        <v>5946</v>
      </c>
      <c r="AF1469" t="s">
        <v>5947</v>
      </c>
      <c r="AG1469" t="s">
        <v>66</v>
      </c>
      <c r="AH1469" t="s">
        <v>66</v>
      </c>
      <c r="AI1469" t="s">
        <v>66</v>
      </c>
      <c r="AJ1469" t="s">
        <v>66</v>
      </c>
      <c r="AK1469">
        <v>1</v>
      </c>
      <c r="AL1469" t="s">
        <v>6024</v>
      </c>
      <c r="AM1469" t="s">
        <v>6025</v>
      </c>
      <c r="AN1469" t="s">
        <v>66</v>
      </c>
      <c r="AO1469" t="s">
        <v>66</v>
      </c>
      <c r="AP1469">
        <v>1</v>
      </c>
      <c r="AQ1469" t="s">
        <v>66</v>
      </c>
      <c r="AR1469" t="s">
        <v>66</v>
      </c>
      <c r="AS1469" t="s">
        <v>66</v>
      </c>
      <c r="AT1469" t="s">
        <v>66</v>
      </c>
    </row>
    <row r="1470" spans="1:46" x14ac:dyDescent="0.15">
      <c r="A1470" t="s">
        <v>6046</v>
      </c>
      <c r="B1470" t="s">
        <v>5935</v>
      </c>
      <c r="C1470" t="s">
        <v>5936</v>
      </c>
      <c r="D1470">
        <v>26</v>
      </c>
      <c r="E1470" t="s">
        <v>5937</v>
      </c>
      <c r="F1470" t="s">
        <v>3592</v>
      </c>
      <c r="G1470" t="s">
        <v>51</v>
      </c>
      <c r="H1470" t="s">
        <v>5938</v>
      </c>
      <c r="I1470" t="s">
        <v>53</v>
      </c>
      <c r="J1470" t="s">
        <v>1554</v>
      </c>
      <c r="K1470" t="s">
        <v>5939</v>
      </c>
      <c r="L1470" t="s">
        <v>19</v>
      </c>
      <c r="M1470" t="s">
        <v>18</v>
      </c>
      <c r="N1470">
        <v>1903</v>
      </c>
      <c r="O1470">
        <v>114</v>
      </c>
      <c r="P1470">
        <v>0</v>
      </c>
      <c r="Q1470" t="s">
        <v>6047</v>
      </c>
      <c r="R1470" t="s">
        <v>2707</v>
      </c>
      <c r="S1470" t="s">
        <v>6048</v>
      </c>
      <c r="T1470" t="s">
        <v>6049</v>
      </c>
      <c r="U1470" t="s">
        <v>60</v>
      </c>
      <c r="V1470" t="s">
        <v>61</v>
      </c>
      <c r="W1470">
        <v>10</v>
      </c>
      <c r="X1470">
        <v>0.12381250000000001</v>
      </c>
      <c r="Y1470" t="s">
        <v>229</v>
      </c>
      <c r="Z1470" t="s">
        <v>230</v>
      </c>
      <c r="AA1470">
        <v>1</v>
      </c>
      <c r="AB1470" t="s">
        <v>5943</v>
      </c>
      <c r="AC1470" t="s">
        <v>5944</v>
      </c>
      <c r="AD1470" t="s">
        <v>5945</v>
      </c>
      <c r="AE1470" t="s">
        <v>5946</v>
      </c>
      <c r="AF1470" t="s">
        <v>5947</v>
      </c>
      <c r="AG1470" t="s">
        <v>66</v>
      </c>
      <c r="AH1470" t="s">
        <v>66</v>
      </c>
      <c r="AI1470" t="s">
        <v>66</v>
      </c>
      <c r="AJ1470" t="s">
        <v>66</v>
      </c>
      <c r="AK1470">
        <v>1</v>
      </c>
      <c r="AL1470" t="s">
        <v>6024</v>
      </c>
      <c r="AM1470" t="s">
        <v>6025</v>
      </c>
      <c r="AN1470" t="s">
        <v>66</v>
      </c>
      <c r="AO1470" t="s">
        <v>66</v>
      </c>
      <c r="AP1470">
        <v>1</v>
      </c>
      <c r="AQ1470" t="s">
        <v>66</v>
      </c>
      <c r="AR1470" t="s">
        <v>66</v>
      </c>
      <c r="AS1470" t="s">
        <v>66</v>
      </c>
      <c r="AT1470" t="s">
        <v>66</v>
      </c>
    </row>
    <row r="1471" spans="1:46" x14ac:dyDescent="0.15">
      <c r="A1471" t="s">
        <v>6050</v>
      </c>
      <c r="B1471" t="s">
        <v>5935</v>
      </c>
      <c r="C1471" t="s">
        <v>5936</v>
      </c>
      <c r="D1471">
        <v>27</v>
      </c>
      <c r="E1471" t="s">
        <v>5937</v>
      </c>
      <c r="F1471" t="s">
        <v>3592</v>
      </c>
      <c r="G1471" t="s">
        <v>51</v>
      </c>
      <c r="H1471" t="s">
        <v>5938</v>
      </c>
      <c r="I1471" t="s">
        <v>53</v>
      </c>
      <c r="J1471" t="s">
        <v>1554</v>
      </c>
      <c r="K1471" t="s">
        <v>5939</v>
      </c>
      <c r="L1471" t="s">
        <v>19</v>
      </c>
      <c r="M1471" t="s">
        <v>18</v>
      </c>
      <c r="N1471">
        <v>1959</v>
      </c>
      <c r="O1471">
        <v>117</v>
      </c>
      <c r="P1471">
        <v>0</v>
      </c>
      <c r="Q1471" t="s">
        <v>6051</v>
      </c>
      <c r="R1471" t="s">
        <v>2712</v>
      </c>
      <c r="S1471" t="s">
        <v>6052</v>
      </c>
      <c r="T1471" t="s">
        <v>6053</v>
      </c>
      <c r="U1471" t="s">
        <v>60</v>
      </c>
      <c r="V1471" t="s">
        <v>61</v>
      </c>
      <c r="W1471">
        <v>10</v>
      </c>
      <c r="X1471">
        <v>0.12381250000000001</v>
      </c>
      <c r="Y1471" t="s">
        <v>151</v>
      </c>
      <c r="Z1471" t="s">
        <v>236</v>
      </c>
      <c r="AA1471">
        <v>1</v>
      </c>
      <c r="AB1471" t="s">
        <v>5943</v>
      </c>
      <c r="AC1471" t="s">
        <v>5944</v>
      </c>
      <c r="AD1471" t="s">
        <v>5945</v>
      </c>
      <c r="AE1471" t="s">
        <v>5946</v>
      </c>
      <c r="AF1471" t="s">
        <v>5947</v>
      </c>
      <c r="AG1471" t="s">
        <v>66</v>
      </c>
      <c r="AH1471" t="s">
        <v>66</v>
      </c>
      <c r="AI1471" t="s">
        <v>66</v>
      </c>
      <c r="AJ1471" t="s">
        <v>66</v>
      </c>
      <c r="AK1471">
        <v>1</v>
      </c>
      <c r="AL1471" t="s">
        <v>6024</v>
      </c>
      <c r="AM1471" t="s">
        <v>6025</v>
      </c>
      <c r="AN1471" t="s">
        <v>66</v>
      </c>
      <c r="AO1471" t="s">
        <v>66</v>
      </c>
      <c r="AP1471">
        <v>1</v>
      </c>
      <c r="AQ1471" t="s">
        <v>66</v>
      </c>
      <c r="AR1471" t="s">
        <v>66</v>
      </c>
      <c r="AS1471" t="s">
        <v>66</v>
      </c>
      <c r="AT1471" t="s">
        <v>66</v>
      </c>
    </row>
    <row r="1472" spans="1:46" x14ac:dyDescent="0.15">
      <c r="A1472" t="s">
        <v>6054</v>
      </c>
      <c r="B1472" t="s">
        <v>5935</v>
      </c>
      <c r="C1472" t="s">
        <v>5936</v>
      </c>
      <c r="D1472">
        <v>28</v>
      </c>
      <c r="E1472" t="s">
        <v>5937</v>
      </c>
      <c r="F1472" t="s">
        <v>3592</v>
      </c>
      <c r="G1472" t="s">
        <v>51</v>
      </c>
      <c r="H1472" t="s">
        <v>5938</v>
      </c>
      <c r="I1472" t="s">
        <v>53</v>
      </c>
      <c r="J1472" t="s">
        <v>1554</v>
      </c>
      <c r="K1472" t="s">
        <v>5939</v>
      </c>
      <c r="L1472" t="s">
        <v>19</v>
      </c>
      <c r="M1472" t="s">
        <v>18</v>
      </c>
      <c r="N1472">
        <v>2015</v>
      </c>
      <c r="O1472">
        <v>121</v>
      </c>
      <c r="P1472">
        <v>0</v>
      </c>
      <c r="Q1472" t="s">
        <v>6055</v>
      </c>
      <c r="R1472" t="s">
        <v>2717</v>
      </c>
      <c r="S1472" t="s">
        <v>6056</v>
      </c>
      <c r="T1472" t="s">
        <v>6057</v>
      </c>
      <c r="U1472" t="s">
        <v>60</v>
      </c>
      <c r="V1472" t="s">
        <v>61</v>
      </c>
      <c r="W1472">
        <v>10</v>
      </c>
      <c r="X1472">
        <v>0.12381250000000001</v>
      </c>
      <c r="Y1472" t="s">
        <v>242</v>
      </c>
      <c r="Z1472" t="s">
        <v>243</v>
      </c>
      <c r="AA1472">
        <v>1</v>
      </c>
      <c r="AB1472" t="s">
        <v>5943</v>
      </c>
      <c r="AC1472" t="s">
        <v>5944</v>
      </c>
      <c r="AD1472" t="s">
        <v>5945</v>
      </c>
      <c r="AE1472" t="s">
        <v>5946</v>
      </c>
      <c r="AF1472" t="s">
        <v>5947</v>
      </c>
      <c r="AG1472" t="s">
        <v>66</v>
      </c>
      <c r="AH1472" t="s">
        <v>66</v>
      </c>
      <c r="AI1472" t="s">
        <v>66</v>
      </c>
      <c r="AJ1472" t="s">
        <v>66</v>
      </c>
      <c r="AK1472">
        <v>1</v>
      </c>
      <c r="AL1472" t="s">
        <v>6024</v>
      </c>
      <c r="AM1472" t="s">
        <v>6025</v>
      </c>
      <c r="AN1472" t="s">
        <v>66</v>
      </c>
      <c r="AO1472" t="s">
        <v>66</v>
      </c>
      <c r="AP1472">
        <v>1</v>
      </c>
      <c r="AQ1472" t="s">
        <v>66</v>
      </c>
      <c r="AR1472" t="s">
        <v>66</v>
      </c>
      <c r="AS1472" t="s">
        <v>66</v>
      </c>
      <c r="AT1472" t="s">
        <v>66</v>
      </c>
    </row>
    <row r="1473" spans="1:46" x14ac:dyDescent="0.15">
      <c r="A1473" t="s">
        <v>6058</v>
      </c>
      <c r="B1473" t="s">
        <v>5935</v>
      </c>
      <c r="C1473" t="s">
        <v>5936</v>
      </c>
      <c r="D1473">
        <v>29</v>
      </c>
      <c r="E1473" t="s">
        <v>5937</v>
      </c>
      <c r="F1473" t="s">
        <v>3592</v>
      </c>
      <c r="G1473" t="s">
        <v>51</v>
      </c>
      <c r="H1473" t="s">
        <v>5938</v>
      </c>
      <c r="I1473" t="s">
        <v>53</v>
      </c>
      <c r="J1473" t="s">
        <v>1554</v>
      </c>
      <c r="K1473" t="s">
        <v>5939</v>
      </c>
      <c r="L1473" t="s">
        <v>19</v>
      </c>
      <c r="M1473" t="s">
        <v>18</v>
      </c>
      <c r="N1473">
        <v>2071</v>
      </c>
      <c r="O1473">
        <v>124</v>
      </c>
      <c r="P1473">
        <v>0</v>
      </c>
      <c r="Q1473" t="s">
        <v>6059</v>
      </c>
      <c r="R1473" t="s">
        <v>2722</v>
      </c>
      <c r="S1473" t="s">
        <v>6060</v>
      </c>
      <c r="T1473" t="s">
        <v>6061</v>
      </c>
      <c r="U1473" t="s">
        <v>60</v>
      </c>
      <c r="V1473" t="s">
        <v>61</v>
      </c>
      <c r="W1473">
        <v>10</v>
      </c>
      <c r="X1473">
        <v>0.12381250000000001</v>
      </c>
      <c r="Y1473" t="s">
        <v>157</v>
      </c>
      <c r="Z1473" t="s">
        <v>249</v>
      </c>
      <c r="AA1473">
        <v>1</v>
      </c>
      <c r="AB1473" t="s">
        <v>5943</v>
      </c>
      <c r="AC1473" t="s">
        <v>5944</v>
      </c>
      <c r="AD1473" t="s">
        <v>5945</v>
      </c>
      <c r="AE1473" t="s">
        <v>5946</v>
      </c>
      <c r="AF1473" t="s">
        <v>5947</v>
      </c>
      <c r="AG1473" t="s">
        <v>66</v>
      </c>
      <c r="AH1473" t="s">
        <v>66</v>
      </c>
      <c r="AI1473" t="s">
        <v>66</v>
      </c>
      <c r="AJ1473" t="s">
        <v>66</v>
      </c>
      <c r="AK1473">
        <v>1</v>
      </c>
      <c r="AL1473" t="s">
        <v>6024</v>
      </c>
      <c r="AM1473" t="s">
        <v>6025</v>
      </c>
      <c r="AN1473" t="s">
        <v>66</v>
      </c>
      <c r="AO1473" t="s">
        <v>66</v>
      </c>
      <c r="AP1473">
        <v>1</v>
      </c>
      <c r="AQ1473" t="s">
        <v>66</v>
      </c>
      <c r="AR1473" t="s">
        <v>66</v>
      </c>
      <c r="AS1473" t="s">
        <v>66</v>
      </c>
      <c r="AT1473" t="s">
        <v>66</v>
      </c>
    </row>
    <row r="1474" spans="1:46" x14ac:dyDescent="0.15">
      <c r="A1474" t="s">
        <v>6062</v>
      </c>
      <c r="B1474" t="s">
        <v>5935</v>
      </c>
      <c r="C1474" t="s">
        <v>5936</v>
      </c>
      <c r="D1474">
        <v>30</v>
      </c>
      <c r="E1474" t="s">
        <v>5937</v>
      </c>
      <c r="F1474" t="s">
        <v>3592</v>
      </c>
      <c r="G1474" t="s">
        <v>51</v>
      </c>
      <c r="H1474" t="s">
        <v>5938</v>
      </c>
      <c r="I1474" t="s">
        <v>53</v>
      </c>
      <c r="J1474" t="s">
        <v>1554</v>
      </c>
      <c r="K1474" t="s">
        <v>5939</v>
      </c>
      <c r="L1474" t="s">
        <v>19</v>
      </c>
      <c r="M1474" t="s">
        <v>18</v>
      </c>
      <c r="N1474">
        <v>2128</v>
      </c>
      <c r="O1474">
        <v>128</v>
      </c>
      <c r="P1474">
        <v>0</v>
      </c>
      <c r="Q1474" t="s">
        <v>6063</v>
      </c>
      <c r="R1474" t="s">
        <v>2727</v>
      </c>
      <c r="S1474" t="s">
        <v>6064</v>
      </c>
      <c r="T1474" t="s">
        <v>6065</v>
      </c>
      <c r="U1474" t="s">
        <v>60</v>
      </c>
      <c r="V1474" t="s">
        <v>61</v>
      </c>
      <c r="W1474">
        <v>10</v>
      </c>
      <c r="X1474">
        <v>0.12381250000000001</v>
      </c>
      <c r="Y1474" t="s">
        <v>255</v>
      </c>
      <c r="Z1474" t="s">
        <v>256</v>
      </c>
      <c r="AA1474">
        <v>1</v>
      </c>
      <c r="AB1474" t="s">
        <v>5943</v>
      </c>
      <c r="AC1474" t="s">
        <v>5944</v>
      </c>
      <c r="AD1474" t="s">
        <v>5945</v>
      </c>
      <c r="AE1474" t="s">
        <v>5946</v>
      </c>
      <c r="AF1474" t="s">
        <v>5947</v>
      </c>
      <c r="AG1474" t="s">
        <v>66</v>
      </c>
      <c r="AH1474" t="s">
        <v>66</v>
      </c>
      <c r="AI1474" t="s">
        <v>66</v>
      </c>
      <c r="AJ1474" t="s">
        <v>66</v>
      </c>
      <c r="AK1474">
        <v>1</v>
      </c>
      <c r="AL1474" t="s">
        <v>6024</v>
      </c>
      <c r="AM1474" t="s">
        <v>6025</v>
      </c>
      <c r="AN1474" t="s">
        <v>66</v>
      </c>
      <c r="AO1474" t="s">
        <v>66</v>
      </c>
      <c r="AP1474">
        <v>1</v>
      </c>
      <c r="AQ1474" t="s">
        <v>66</v>
      </c>
      <c r="AR1474" t="s">
        <v>66</v>
      </c>
      <c r="AS1474" t="s">
        <v>66</v>
      </c>
      <c r="AT1474" t="s">
        <v>66</v>
      </c>
    </row>
    <row r="1475" spans="1:46" x14ac:dyDescent="0.15">
      <c r="A1475" t="s">
        <v>6066</v>
      </c>
      <c r="B1475" t="s">
        <v>5935</v>
      </c>
      <c r="C1475" t="s">
        <v>5936</v>
      </c>
      <c r="D1475">
        <v>31</v>
      </c>
      <c r="E1475" t="s">
        <v>5937</v>
      </c>
      <c r="F1475" t="s">
        <v>3592</v>
      </c>
      <c r="G1475" t="s">
        <v>51</v>
      </c>
      <c r="H1475" t="s">
        <v>5938</v>
      </c>
      <c r="I1475" t="s">
        <v>53</v>
      </c>
      <c r="J1475" t="s">
        <v>1554</v>
      </c>
      <c r="K1475" t="s">
        <v>5939</v>
      </c>
      <c r="L1475" t="s">
        <v>19</v>
      </c>
      <c r="M1475" t="s">
        <v>18</v>
      </c>
      <c r="N1475">
        <v>2184</v>
      </c>
      <c r="O1475">
        <v>131</v>
      </c>
      <c r="P1475">
        <v>0</v>
      </c>
      <c r="Q1475" t="s">
        <v>6067</v>
      </c>
      <c r="R1475" t="s">
        <v>2732</v>
      </c>
      <c r="S1475" t="s">
        <v>6068</v>
      </c>
      <c r="T1475" t="s">
        <v>6069</v>
      </c>
      <c r="U1475" t="s">
        <v>60</v>
      </c>
      <c r="V1475" t="s">
        <v>61</v>
      </c>
      <c r="W1475">
        <v>10</v>
      </c>
      <c r="X1475">
        <v>0.12381250000000001</v>
      </c>
      <c r="Y1475" t="s">
        <v>164</v>
      </c>
      <c r="Z1475" t="s">
        <v>262</v>
      </c>
      <c r="AA1475">
        <v>1</v>
      </c>
      <c r="AB1475" t="s">
        <v>5943</v>
      </c>
      <c r="AC1475" t="s">
        <v>5944</v>
      </c>
      <c r="AD1475" t="s">
        <v>5945</v>
      </c>
      <c r="AE1475" t="s">
        <v>5946</v>
      </c>
      <c r="AF1475" t="s">
        <v>5947</v>
      </c>
      <c r="AG1475" t="s">
        <v>66</v>
      </c>
      <c r="AH1475" t="s">
        <v>66</v>
      </c>
      <c r="AI1475" t="s">
        <v>66</v>
      </c>
      <c r="AJ1475" t="s">
        <v>66</v>
      </c>
      <c r="AK1475">
        <v>1</v>
      </c>
      <c r="AL1475" t="s">
        <v>6024</v>
      </c>
      <c r="AM1475" t="s">
        <v>6025</v>
      </c>
      <c r="AN1475" t="s">
        <v>66</v>
      </c>
      <c r="AO1475" t="s">
        <v>66</v>
      </c>
      <c r="AP1475">
        <v>1</v>
      </c>
      <c r="AQ1475" t="s">
        <v>66</v>
      </c>
      <c r="AR1475" t="s">
        <v>66</v>
      </c>
      <c r="AS1475" t="s">
        <v>66</v>
      </c>
      <c r="AT1475" t="s">
        <v>66</v>
      </c>
    </row>
    <row r="1476" spans="1:46" x14ac:dyDescent="0.15">
      <c r="A1476" t="s">
        <v>6070</v>
      </c>
      <c r="B1476" t="s">
        <v>5935</v>
      </c>
      <c r="C1476" t="s">
        <v>5936</v>
      </c>
      <c r="D1476">
        <v>32</v>
      </c>
      <c r="E1476" t="s">
        <v>5937</v>
      </c>
      <c r="F1476" t="s">
        <v>3592</v>
      </c>
      <c r="G1476" t="s">
        <v>51</v>
      </c>
      <c r="H1476" t="s">
        <v>5938</v>
      </c>
      <c r="I1476" t="s">
        <v>53</v>
      </c>
      <c r="J1476" t="s">
        <v>1554</v>
      </c>
      <c r="K1476" t="s">
        <v>5939</v>
      </c>
      <c r="L1476" t="s">
        <v>19</v>
      </c>
      <c r="M1476" t="s">
        <v>18</v>
      </c>
      <c r="N1476">
        <v>2240</v>
      </c>
      <c r="O1476">
        <v>134</v>
      </c>
      <c r="P1476">
        <v>0</v>
      </c>
      <c r="Q1476" t="s">
        <v>6071</v>
      </c>
      <c r="R1476" t="s">
        <v>2737</v>
      </c>
      <c r="S1476" t="s">
        <v>6072</v>
      </c>
      <c r="T1476" t="s">
        <v>6073</v>
      </c>
      <c r="U1476" t="s">
        <v>60</v>
      </c>
      <c r="V1476" t="s">
        <v>61</v>
      </c>
      <c r="W1476">
        <v>10</v>
      </c>
      <c r="X1476">
        <v>0.12381250000000001</v>
      </c>
      <c r="Y1476" t="s">
        <v>268</v>
      </c>
      <c r="Z1476" t="s">
        <v>269</v>
      </c>
      <c r="AA1476">
        <v>1</v>
      </c>
      <c r="AB1476" t="s">
        <v>5943</v>
      </c>
      <c r="AC1476" t="s">
        <v>5944</v>
      </c>
      <c r="AD1476" t="s">
        <v>5945</v>
      </c>
      <c r="AE1476" t="s">
        <v>5946</v>
      </c>
      <c r="AF1476" t="s">
        <v>5947</v>
      </c>
      <c r="AG1476" t="s">
        <v>66</v>
      </c>
      <c r="AH1476" t="s">
        <v>66</v>
      </c>
      <c r="AI1476" t="s">
        <v>66</v>
      </c>
      <c r="AJ1476" t="s">
        <v>66</v>
      </c>
      <c r="AK1476">
        <v>1</v>
      </c>
      <c r="AL1476" t="s">
        <v>6024</v>
      </c>
      <c r="AM1476" t="s">
        <v>6025</v>
      </c>
      <c r="AN1476" t="s">
        <v>66</v>
      </c>
      <c r="AO1476" t="s">
        <v>66</v>
      </c>
      <c r="AP1476">
        <v>1</v>
      </c>
      <c r="AQ1476" t="s">
        <v>66</v>
      </c>
      <c r="AR1476" t="s">
        <v>66</v>
      </c>
      <c r="AS1476" t="s">
        <v>66</v>
      </c>
      <c r="AT1476" t="s">
        <v>66</v>
      </c>
    </row>
    <row r="1477" spans="1:46" x14ac:dyDescent="0.15">
      <c r="A1477" t="s">
        <v>6074</v>
      </c>
      <c r="B1477" t="s">
        <v>5935</v>
      </c>
      <c r="C1477" t="s">
        <v>5936</v>
      </c>
      <c r="D1477">
        <v>33</v>
      </c>
      <c r="E1477" t="s">
        <v>5937</v>
      </c>
      <c r="F1477" t="s">
        <v>3592</v>
      </c>
      <c r="G1477" t="s">
        <v>51</v>
      </c>
      <c r="H1477" t="s">
        <v>5938</v>
      </c>
      <c r="I1477" t="s">
        <v>53</v>
      </c>
      <c r="J1477" t="s">
        <v>1554</v>
      </c>
      <c r="K1477" t="s">
        <v>5939</v>
      </c>
      <c r="L1477" t="s">
        <v>19</v>
      </c>
      <c r="M1477" t="s">
        <v>18</v>
      </c>
      <c r="N1477">
        <v>2296</v>
      </c>
      <c r="O1477">
        <v>138</v>
      </c>
      <c r="P1477">
        <v>0</v>
      </c>
      <c r="Q1477" t="s">
        <v>6075</v>
      </c>
      <c r="R1477" t="s">
        <v>2742</v>
      </c>
      <c r="S1477" t="s">
        <v>6076</v>
      </c>
      <c r="T1477" t="s">
        <v>6077</v>
      </c>
      <c r="U1477" t="s">
        <v>60</v>
      </c>
      <c r="V1477" t="s">
        <v>61</v>
      </c>
      <c r="W1477">
        <v>10</v>
      </c>
      <c r="X1477">
        <v>0.12381250000000001</v>
      </c>
      <c r="Y1477" t="s">
        <v>170</v>
      </c>
      <c r="Z1477" t="s">
        <v>275</v>
      </c>
      <c r="AA1477">
        <v>1</v>
      </c>
      <c r="AB1477" t="s">
        <v>5943</v>
      </c>
      <c r="AC1477" t="s">
        <v>5944</v>
      </c>
      <c r="AD1477" t="s">
        <v>5945</v>
      </c>
      <c r="AE1477" t="s">
        <v>5946</v>
      </c>
      <c r="AF1477" t="s">
        <v>5947</v>
      </c>
      <c r="AG1477" t="s">
        <v>66</v>
      </c>
      <c r="AH1477" t="s">
        <v>66</v>
      </c>
      <c r="AI1477" t="s">
        <v>66</v>
      </c>
      <c r="AJ1477" t="s">
        <v>66</v>
      </c>
      <c r="AK1477">
        <v>1</v>
      </c>
      <c r="AL1477" t="s">
        <v>6024</v>
      </c>
      <c r="AM1477" t="s">
        <v>6025</v>
      </c>
      <c r="AN1477" t="s">
        <v>66</v>
      </c>
      <c r="AO1477" t="s">
        <v>66</v>
      </c>
      <c r="AP1477">
        <v>1</v>
      </c>
      <c r="AQ1477" t="s">
        <v>66</v>
      </c>
      <c r="AR1477" t="s">
        <v>66</v>
      </c>
      <c r="AS1477" t="s">
        <v>66</v>
      </c>
      <c r="AT1477" t="s">
        <v>66</v>
      </c>
    </row>
    <row r="1478" spans="1:46" x14ac:dyDescent="0.15">
      <c r="A1478" t="s">
        <v>6078</v>
      </c>
      <c r="B1478" t="s">
        <v>5935</v>
      </c>
      <c r="C1478" t="s">
        <v>5936</v>
      </c>
      <c r="D1478">
        <v>34</v>
      </c>
      <c r="E1478" t="s">
        <v>5937</v>
      </c>
      <c r="F1478" t="s">
        <v>3592</v>
      </c>
      <c r="G1478" t="s">
        <v>51</v>
      </c>
      <c r="H1478" t="s">
        <v>5938</v>
      </c>
      <c r="I1478" t="s">
        <v>53</v>
      </c>
      <c r="J1478" t="s">
        <v>1554</v>
      </c>
      <c r="K1478" t="s">
        <v>5939</v>
      </c>
      <c r="L1478" t="s">
        <v>19</v>
      </c>
      <c r="M1478" t="s">
        <v>18</v>
      </c>
      <c r="N1478">
        <v>2352</v>
      </c>
      <c r="O1478">
        <v>141</v>
      </c>
      <c r="P1478">
        <v>0</v>
      </c>
      <c r="Q1478" t="s">
        <v>6079</v>
      </c>
      <c r="R1478" t="s">
        <v>2747</v>
      </c>
      <c r="S1478" t="s">
        <v>6080</v>
      </c>
      <c r="T1478" t="s">
        <v>6081</v>
      </c>
      <c r="U1478" t="s">
        <v>60</v>
      </c>
      <c r="V1478" t="s">
        <v>61</v>
      </c>
      <c r="W1478">
        <v>10</v>
      </c>
      <c r="X1478">
        <v>0.12381250000000001</v>
      </c>
      <c r="Y1478" t="s">
        <v>281</v>
      </c>
      <c r="Z1478" t="s">
        <v>282</v>
      </c>
      <c r="AA1478">
        <v>1</v>
      </c>
      <c r="AB1478" t="s">
        <v>5943</v>
      </c>
      <c r="AC1478" t="s">
        <v>5944</v>
      </c>
      <c r="AD1478" t="s">
        <v>5945</v>
      </c>
      <c r="AE1478" t="s">
        <v>5946</v>
      </c>
      <c r="AF1478" t="s">
        <v>5947</v>
      </c>
      <c r="AG1478" t="s">
        <v>66</v>
      </c>
      <c r="AH1478" t="s">
        <v>66</v>
      </c>
      <c r="AI1478" t="s">
        <v>66</v>
      </c>
      <c r="AJ1478" t="s">
        <v>66</v>
      </c>
      <c r="AK1478">
        <v>1</v>
      </c>
      <c r="AL1478" t="s">
        <v>6024</v>
      </c>
      <c r="AM1478" t="s">
        <v>6025</v>
      </c>
      <c r="AN1478" t="s">
        <v>66</v>
      </c>
      <c r="AO1478" t="s">
        <v>66</v>
      </c>
      <c r="AP1478">
        <v>1</v>
      </c>
      <c r="AQ1478" t="s">
        <v>66</v>
      </c>
      <c r="AR1478" t="s">
        <v>66</v>
      </c>
      <c r="AS1478" t="s">
        <v>66</v>
      </c>
      <c r="AT1478" t="s">
        <v>66</v>
      </c>
    </row>
    <row r="1479" spans="1:46" x14ac:dyDescent="0.15">
      <c r="A1479" t="s">
        <v>6082</v>
      </c>
      <c r="B1479" t="s">
        <v>5935</v>
      </c>
      <c r="C1479" t="s">
        <v>5936</v>
      </c>
      <c r="D1479">
        <v>35</v>
      </c>
      <c r="E1479" t="s">
        <v>5937</v>
      </c>
      <c r="F1479" t="s">
        <v>3592</v>
      </c>
      <c r="G1479" t="s">
        <v>51</v>
      </c>
      <c r="H1479" t="s">
        <v>5938</v>
      </c>
      <c r="I1479" t="s">
        <v>53</v>
      </c>
      <c r="J1479" t="s">
        <v>1554</v>
      </c>
      <c r="K1479" t="s">
        <v>5939</v>
      </c>
      <c r="L1479" t="s">
        <v>19</v>
      </c>
      <c r="M1479" t="s">
        <v>18</v>
      </c>
      <c r="N1479">
        <v>2408</v>
      </c>
      <c r="O1479">
        <v>144</v>
      </c>
      <c r="P1479">
        <v>0</v>
      </c>
      <c r="Q1479" t="s">
        <v>6083</v>
      </c>
      <c r="R1479" t="s">
        <v>2752</v>
      </c>
      <c r="S1479" t="s">
        <v>6084</v>
      </c>
      <c r="T1479" t="s">
        <v>6085</v>
      </c>
      <c r="U1479" t="s">
        <v>60</v>
      </c>
      <c r="V1479" t="s">
        <v>61</v>
      </c>
      <c r="W1479">
        <v>10</v>
      </c>
      <c r="X1479">
        <v>0.12381250000000001</v>
      </c>
      <c r="Y1479" t="s">
        <v>177</v>
      </c>
      <c r="Z1479" t="s">
        <v>288</v>
      </c>
      <c r="AA1479">
        <v>1</v>
      </c>
      <c r="AB1479" t="s">
        <v>5943</v>
      </c>
      <c r="AC1479" t="s">
        <v>5944</v>
      </c>
      <c r="AD1479" t="s">
        <v>5945</v>
      </c>
      <c r="AE1479" t="s">
        <v>5946</v>
      </c>
      <c r="AF1479" t="s">
        <v>5947</v>
      </c>
      <c r="AG1479" t="s">
        <v>66</v>
      </c>
      <c r="AH1479" t="s">
        <v>66</v>
      </c>
      <c r="AI1479" t="s">
        <v>66</v>
      </c>
      <c r="AJ1479" t="s">
        <v>66</v>
      </c>
      <c r="AK1479">
        <v>1</v>
      </c>
      <c r="AL1479" t="s">
        <v>6024</v>
      </c>
      <c r="AM1479" t="s">
        <v>6025</v>
      </c>
      <c r="AN1479" t="s">
        <v>66</v>
      </c>
      <c r="AO1479" t="s">
        <v>66</v>
      </c>
      <c r="AP1479">
        <v>1</v>
      </c>
      <c r="AQ1479" t="s">
        <v>66</v>
      </c>
      <c r="AR1479" t="s">
        <v>66</v>
      </c>
      <c r="AS1479" t="s">
        <v>66</v>
      </c>
      <c r="AT1479" t="s">
        <v>66</v>
      </c>
    </row>
    <row r="1480" spans="1:46" x14ac:dyDescent="0.15">
      <c r="A1480" t="s">
        <v>6086</v>
      </c>
      <c r="B1480" t="s">
        <v>5935</v>
      </c>
      <c r="C1480" t="s">
        <v>5936</v>
      </c>
      <c r="D1480">
        <v>36</v>
      </c>
      <c r="E1480" t="s">
        <v>5937</v>
      </c>
      <c r="F1480" t="s">
        <v>3592</v>
      </c>
      <c r="G1480" t="s">
        <v>51</v>
      </c>
      <c r="H1480" t="s">
        <v>5938</v>
      </c>
      <c r="I1480" t="s">
        <v>53</v>
      </c>
      <c r="J1480" t="s">
        <v>1554</v>
      </c>
      <c r="K1480" t="s">
        <v>5939</v>
      </c>
      <c r="L1480" t="s">
        <v>19</v>
      </c>
      <c r="M1480" t="s">
        <v>18</v>
      </c>
      <c r="N1480">
        <v>2464</v>
      </c>
      <c r="O1480">
        <v>148</v>
      </c>
      <c r="P1480">
        <v>0</v>
      </c>
      <c r="Q1480" t="s">
        <v>6087</v>
      </c>
      <c r="R1480" t="s">
        <v>2757</v>
      </c>
      <c r="S1480" t="s">
        <v>6088</v>
      </c>
      <c r="T1480" t="s">
        <v>6089</v>
      </c>
      <c r="U1480" t="s">
        <v>60</v>
      </c>
      <c r="V1480" t="s">
        <v>61</v>
      </c>
      <c r="W1480">
        <v>10</v>
      </c>
      <c r="X1480">
        <v>0.12381250000000001</v>
      </c>
      <c r="Y1480" t="s">
        <v>294</v>
      </c>
      <c r="Z1480" t="s">
        <v>295</v>
      </c>
      <c r="AA1480">
        <v>1</v>
      </c>
      <c r="AB1480" t="s">
        <v>5943</v>
      </c>
      <c r="AC1480" t="s">
        <v>5944</v>
      </c>
      <c r="AD1480" t="s">
        <v>5945</v>
      </c>
      <c r="AE1480" t="s">
        <v>5946</v>
      </c>
      <c r="AF1480" t="s">
        <v>5947</v>
      </c>
      <c r="AG1480" t="s">
        <v>66</v>
      </c>
      <c r="AH1480" t="s">
        <v>66</v>
      </c>
      <c r="AI1480" t="s">
        <v>66</v>
      </c>
      <c r="AJ1480" t="s">
        <v>66</v>
      </c>
      <c r="AK1480">
        <v>1</v>
      </c>
      <c r="AL1480" t="s">
        <v>6024</v>
      </c>
      <c r="AM1480" t="s">
        <v>6025</v>
      </c>
      <c r="AN1480" t="s">
        <v>66</v>
      </c>
      <c r="AO1480" t="s">
        <v>66</v>
      </c>
      <c r="AP1480">
        <v>1</v>
      </c>
      <c r="AQ1480" t="s">
        <v>66</v>
      </c>
      <c r="AR1480" t="s">
        <v>66</v>
      </c>
      <c r="AS1480" t="s">
        <v>66</v>
      </c>
      <c r="AT1480" t="s">
        <v>66</v>
      </c>
    </row>
    <row r="1481" spans="1:46" x14ac:dyDescent="0.15">
      <c r="A1481" t="s">
        <v>6090</v>
      </c>
      <c r="B1481" t="s">
        <v>5935</v>
      </c>
      <c r="C1481" t="s">
        <v>5936</v>
      </c>
      <c r="D1481">
        <v>37</v>
      </c>
      <c r="E1481" t="s">
        <v>5937</v>
      </c>
      <c r="F1481" t="s">
        <v>3592</v>
      </c>
      <c r="G1481" t="s">
        <v>51</v>
      </c>
      <c r="H1481" t="s">
        <v>5938</v>
      </c>
      <c r="I1481" t="s">
        <v>53</v>
      </c>
      <c r="J1481" t="s">
        <v>1554</v>
      </c>
      <c r="K1481" t="s">
        <v>5939</v>
      </c>
      <c r="L1481" t="s">
        <v>19</v>
      </c>
      <c r="M1481" t="s">
        <v>18</v>
      </c>
      <c r="N1481">
        <v>2520</v>
      </c>
      <c r="O1481">
        <v>151</v>
      </c>
      <c r="P1481">
        <v>0</v>
      </c>
      <c r="Q1481" t="s">
        <v>6091</v>
      </c>
      <c r="R1481" t="s">
        <v>2762</v>
      </c>
      <c r="S1481" t="s">
        <v>6092</v>
      </c>
      <c r="T1481" t="s">
        <v>6093</v>
      </c>
      <c r="U1481" t="s">
        <v>60</v>
      </c>
      <c r="V1481" t="s">
        <v>61</v>
      </c>
      <c r="W1481">
        <v>10</v>
      </c>
      <c r="X1481">
        <v>0.12381250000000001</v>
      </c>
      <c r="Y1481" t="s">
        <v>183</v>
      </c>
      <c r="Z1481" t="s">
        <v>301</v>
      </c>
      <c r="AA1481">
        <v>1</v>
      </c>
      <c r="AB1481" t="s">
        <v>5943</v>
      </c>
      <c r="AC1481" t="s">
        <v>5944</v>
      </c>
      <c r="AD1481" t="s">
        <v>5945</v>
      </c>
      <c r="AE1481" t="s">
        <v>5946</v>
      </c>
      <c r="AF1481" t="s">
        <v>5947</v>
      </c>
      <c r="AG1481" t="s">
        <v>66</v>
      </c>
      <c r="AH1481" t="s">
        <v>66</v>
      </c>
      <c r="AI1481" t="s">
        <v>66</v>
      </c>
      <c r="AJ1481" t="s">
        <v>66</v>
      </c>
      <c r="AK1481">
        <v>1</v>
      </c>
      <c r="AL1481" t="s">
        <v>6024</v>
      </c>
      <c r="AM1481" t="s">
        <v>6025</v>
      </c>
      <c r="AN1481" t="s">
        <v>66</v>
      </c>
      <c r="AO1481" t="s">
        <v>66</v>
      </c>
      <c r="AP1481">
        <v>1</v>
      </c>
      <c r="AQ1481" t="s">
        <v>66</v>
      </c>
      <c r="AR1481" t="s">
        <v>66</v>
      </c>
      <c r="AS1481" t="s">
        <v>66</v>
      </c>
      <c r="AT1481" t="s">
        <v>66</v>
      </c>
    </row>
    <row r="1482" spans="1:46" x14ac:dyDescent="0.15">
      <c r="A1482" t="s">
        <v>6094</v>
      </c>
      <c r="B1482" t="s">
        <v>5935</v>
      </c>
      <c r="C1482" t="s">
        <v>5936</v>
      </c>
      <c r="D1482">
        <v>38</v>
      </c>
      <c r="E1482" t="s">
        <v>5937</v>
      </c>
      <c r="F1482" t="s">
        <v>3592</v>
      </c>
      <c r="G1482" t="s">
        <v>51</v>
      </c>
      <c r="H1482" t="s">
        <v>5938</v>
      </c>
      <c r="I1482" t="s">
        <v>53</v>
      </c>
      <c r="J1482" t="s">
        <v>1554</v>
      </c>
      <c r="K1482" t="s">
        <v>5939</v>
      </c>
      <c r="L1482" t="s">
        <v>19</v>
      </c>
      <c r="M1482" t="s">
        <v>18</v>
      </c>
      <c r="N1482">
        <v>2577</v>
      </c>
      <c r="O1482">
        <v>154</v>
      </c>
      <c r="P1482">
        <v>0</v>
      </c>
      <c r="Q1482" t="s">
        <v>6095</v>
      </c>
      <c r="R1482" t="s">
        <v>2767</v>
      </c>
      <c r="S1482" t="s">
        <v>6096</v>
      </c>
      <c r="T1482" t="s">
        <v>6097</v>
      </c>
      <c r="U1482" t="s">
        <v>60</v>
      </c>
      <c r="V1482" t="s">
        <v>61</v>
      </c>
      <c r="W1482">
        <v>10</v>
      </c>
      <c r="X1482">
        <v>0.12381250000000001</v>
      </c>
      <c r="Y1482" t="s">
        <v>307</v>
      </c>
      <c r="Z1482" t="s">
        <v>308</v>
      </c>
      <c r="AA1482">
        <v>1</v>
      </c>
      <c r="AB1482" t="s">
        <v>5943</v>
      </c>
      <c r="AC1482" t="s">
        <v>5944</v>
      </c>
      <c r="AD1482" t="s">
        <v>5945</v>
      </c>
      <c r="AE1482" t="s">
        <v>5946</v>
      </c>
      <c r="AF1482" t="s">
        <v>5947</v>
      </c>
      <c r="AG1482" t="s">
        <v>66</v>
      </c>
      <c r="AH1482" t="s">
        <v>66</v>
      </c>
      <c r="AI1482" t="s">
        <v>66</v>
      </c>
      <c r="AJ1482" t="s">
        <v>66</v>
      </c>
      <c r="AK1482">
        <v>1</v>
      </c>
      <c r="AL1482" t="s">
        <v>6024</v>
      </c>
      <c r="AM1482" t="s">
        <v>6025</v>
      </c>
      <c r="AN1482" t="s">
        <v>66</v>
      </c>
      <c r="AO1482" t="s">
        <v>66</v>
      </c>
      <c r="AP1482">
        <v>1</v>
      </c>
      <c r="AQ1482" t="s">
        <v>66</v>
      </c>
      <c r="AR1482" t="s">
        <v>66</v>
      </c>
      <c r="AS1482" t="s">
        <v>66</v>
      </c>
      <c r="AT1482" t="s">
        <v>66</v>
      </c>
    </row>
    <row r="1483" spans="1:46" x14ac:dyDescent="0.15">
      <c r="A1483" t="s">
        <v>6098</v>
      </c>
      <c r="B1483" t="s">
        <v>5935</v>
      </c>
      <c r="C1483" t="s">
        <v>5936</v>
      </c>
      <c r="D1483">
        <v>39</v>
      </c>
      <c r="E1483" t="s">
        <v>5937</v>
      </c>
      <c r="F1483" t="s">
        <v>3592</v>
      </c>
      <c r="G1483" t="s">
        <v>51</v>
      </c>
      <c r="H1483" t="s">
        <v>5938</v>
      </c>
      <c r="I1483" t="s">
        <v>53</v>
      </c>
      <c r="J1483" t="s">
        <v>1554</v>
      </c>
      <c r="K1483" t="s">
        <v>5939</v>
      </c>
      <c r="L1483" t="s">
        <v>19</v>
      </c>
      <c r="M1483" t="s">
        <v>18</v>
      </c>
      <c r="N1483">
        <v>2633</v>
      </c>
      <c r="O1483">
        <v>158</v>
      </c>
      <c r="P1483">
        <v>0</v>
      </c>
      <c r="Q1483" t="s">
        <v>6099</v>
      </c>
      <c r="R1483" t="s">
        <v>2772</v>
      </c>
      <c r="S1483" t="s">
        <v>6100</v>
      </c>
      <c r="T1483" t="s">
        <v>6101</v>
      </c>
      <c r="U1483" t="s">
        <v>60</v>
      </c>
      <c r="V1483" t="s">
        <v>61</v>
      </c>
      <c r="W1483">
        <v>10</v>
      </c>
      <c r="X1483">
        <v>0.12381250000000001</v>
      </c>
      <c r="Y1483" t="s">
        <v>190</v>
      </c>
      <c r="Z1483" t="s">
        <v>314</v>
      </c>
      <c r="AA1483">
        <v>1</v>
      </c>
      <c r="AB1483" t="s">
        <v>5943</v>
      </c>
      <c r="AC1483" t="s">
        <v>5944</v>
      </c>
      <c r="AD1483" t="s">
        <v>5945</v>
      </c>
      <c r="AE1483" t="s">
        <v>5946</v>
      </c>
      <c r="AF1483" t="s">
        <v>5947</v>
      </c>
      <c r="AG1483" t="s">
        <v>66</v>
      </c>
      <c r="AH1483" t="s">
        <v>66</v>
      </c>
      <c r="AI1483" t="s">
        <v>66</v>
      </c>
      <c r="AJ1483" t="s">
        <v>66</v>
      </c>
      <c r="AK1483">
        <v>1</v>
      </c>
      <c r="AL1483" t="s">
        <v>6024</v>
      </c>
      <c r="AM1483" t="s">
        <v>6025</v>
      </c>
      <c r="AN1483" t="s">
        <v>66</v>
      </c>
      <c r="AO1483" t="s">
        <v>66</v>
      </c>
      <c r="AP1483">
        <v>1</v>
      </c>
      <c r="AQ1483" t="s">
        <v>66</v>
      </c>
      <c r="AR1483" t="s">
        <v>66</v>
      </c>
      <c r="AS1483" t="s">
        <v>66</v>
      </c>
      <c r="AT1483" t="s">
        <v>66</v>
      </c>
    </row>
    <row r="1484" spans="1:46" x14ac:dyDescent="0.15">
      <c r="A1484" t="s">
        <v>6102</v>
      </c>
      <c r="B1484" t="s">
        <v>5935</v>
      </c>
      <c r="C1484" t="s">
        <v>5936</v>
      </c>
      <c r="D1484">
        <v>40</v>
      </c>
      <c r="E1484" t="s">
        <v>5937</v>
      </c>
      <c r="F1484" t="s">
        <v>3592</v>
      </c>
      <c r="G1484" t="s">
        <v>51</v>
      </c>
      <c r="H1484" t="s">
        <v>5938</v>
      </c>
      <c r="I1484" t="s">
        <v>53</v>
      </c>
      <c r="J1484" t="s">
        <v>1554</v>
      </c>
      <c r="K1484" t="s">
        <v>5939</v>
      </c>
      <c r="L1484" t="s">
        <v>19</v>
      </c>
      <c r="M1484" t="s">
        <v>18</v>
      </c>
      <c r="N1484">
        <v>2689</v>
      </c>
      <c r="O1484">
        <v>161</v>
      </c>
      <c r="P1484">
        <v>0</v>
      </c>
      <c r="Q1484" t="s">
        <v>6103</v>
      </c>
      <c r="R1484" t="s">
        <v>2777</v>
      </c>
      <c r="S1484" t="s">
        <v>6104</v>
      </c>
      <c r="T1484" t="s">
        <v>6105</v>
      </c>
      <c r="U1484" t="s">
        <v>60</v>
      </c>
      <c r="V1484" t="s">
        <v>61</v>
      </c>
      <c r="W1484">
        <v>10</v>
      </c>
      <c r="X1484">
        <v>0.12381250000000001</v>
      </c>
      <c r="Y1484" t="s">
        <v>320</v>
      </c>
      <c r="Z1484" t="s">
        <v>321</v>
      </c>
      <c r="AA1484">
        <v>1</v>
      </c>
      <c r="AB1484" t="s">
        <v>5943</v>
      </c>
      <c r="AC1484" t="s">
        <v>5944</v>
      </c>
      <c r="AD1484" t="s">
        <v>5945</v>
      </c>
      <c r="AE1484" t="s">
        <v>5946</v>
      </c>
      <c r="AF1484" t="s">
        <v>5947</v>
      </c>
      <c r="AG1484" t="s">
        <v>66</v>
      </c>
      <c r="AH1484" t="s">
        <v>66</v>
      </c>
      <c r="AI1484" t="s">
        <v>66</v>
      </c>
      <c r="AJ1484" t="s">
        <v>66</v>
      </c>
      <c r="AK1484">
        <v>1</v>
      </c>
      <c r="AL1484" t="s">
        <v>6024</v>
      </c>
      <c r="AM1484" t="s">
        <v>6025</v>
      </c>
      <c r="AN1484" t="s">
        <v>66</v>
      </c>
      <c r="AO1484" t="s">
        <v>66</v>
      </c>
      <c r="AP1484">
        <v>1</v>
      </c>
      <c r="AQ1484" t="s">
        <v>66</v>
      </c>
      <c r="AR1484" t="s">
        <v>66</v>
      </c>
      <c r="AS1484" t="s">
        <v>66</v>
      </c>
      <c r="AT1484" t="s">
        <v>66</v>
      </c>
    </row>
    <row r="1485" spans="1:46" x14ac:dyDescent="0.15">
      <c r="A1485" t="s">
        <v>6102</v>
      </c>
      <c r="B1485" t="s">
        <v>5935</v>
      </c>
      <c r="C1485" t="s">
        <v>5936</v>
      </c>
      <c r="D1485">
        <v>40</v>
      </c>
      <c r="E1485" t="s">
        <v>5937</v>
      </c>
      <c r="F1485" t="s">
        <v>3592</v>
      </c>
      <c r="G1485" t="s">
        <v>51</v>
      </c>
      <c r="H1485" t="s">
        <v>5938</v>
      </c>
      <c r="I1485" t="s">
        <v>53</v>
      </c>
      <c r="J1485" t="s">
        <v>1554</v>
      </c>
      <c r="K1485" t="s">
        <v>5939</v>
      </c>
      <c r="L1485" t="s">
        <v>19</v>
      </c>
      <c r="M1485" t="s">
        <v>18</v>
      </c>
      <c r="N1485">
        <v>2689</v>
      </c>
      <c r="O1485">
        <v>161</v>
      </c>
      <c r="P1485">
        <v>0</v>
      </c>
      <c r="Q1485" t="s">
        <v>6103</v>
      </c>
      <c r="R1485" t="s">
        <v>2777</v>
      </c>
      <c r="S1485" t="s">
        <v>6104</v>
      </c>
      <c r="T1485" t="s">
        <v>6105</v>
      </c>
      <c r="U1485" t="s">
        <v>60</v>
      </c>
      <c r="V1485" t="s">
        <v>61</v>
      </c>
      <c r="W1485">
        <v>10</v>
      </c>
      <c r="X1485">
        <v>0.12381250000000001</v>
      </c>
      <c r="Y1485" t="s">
        <v>320</v>
      </c>
      <c r="Z1485" t="s">
        <v>321</v>
      </c>
      <c r="AA1485">
        <v>2</v>
      </c>
      <c r="AB1485" t="s">
        <v>5943</v>
      </c>
      <c r="AC1485" t="s">
        <v>5944</v>
      </c>
      <c r="AD1485" t="s">
        <v>5945</v>
      </c>
      <c r="AE1485" t="s">
        <v>5946</v>
      </c>
      <c r="AF1485" t="s">
        <v>5947</v>
      </c>
      <c r="AG1485" t="s">
        <v>66</v>
      </c>
      <c r="AH1485" t="s">
        <v>66</v>
      </c>
      <c r="AI1485" t="s">
        <v>66</v>
      </c>
      <c r="AJ1485" t="s">
        <v>66</v>
      </c>
      <c r="AK1485">
        <v>1</v>
      </c>
      <c r="AL1485" t="s">
        <v>6024</v>
      </c>
      <c r="AM1485" t="s">
        <v>6025</v>
      </c>
      <c r="AN1485" t="s">
        <v>6106</v>
      </c>
      <c r="AO1485" t="s">
        <v>66</v>
      </c>
      <c r="AP1485">
        <v>1</v>
      </c>
      <c r="AQ1485" t="s">
        <v>6107</v>
      </c>
      <c r="AR1485" t="s">
        <v>6108</v>
      </c>
      <c r="AS1485" t="s">
        <v>66</v>
      </c>
      <c r="AT1485" t="s">
        <v>66</v>
      </c>
    </row>
    <row r="1486" spans="1:46" x14ac:dyDescent="0.15">
      <c r="A1486" t="s">
        <v>6109</v>
      </c>
      <c r="B1486" t="s">
        <v>5935</v>
      </c>
      <c r="C1486" t="s">
        <v>5936</v>
      </c>
      <c r="D1486">
        <v>41</v>
      </c>
      <c r="E1486" t="s">
        <v>5937</v>
      </c>
      <c r="F1486" t="s">
        <v>3592</v>
      </c>
      <c r="G1486" t="s">
        <v>51</v>
      </c>
      <c r="H1486" t="s">
        <v>5938</v>
      </c>
      <c r="I1486" t="s">
        <v>53</v>
      </c>
      <c r="J1486" t="s">
        <v>1554</v>
      </c>
      <c r="K1486" t="s">
        <v>5939</v>
      </c>
      <c r="L1486" t="s">
        <v>19</v>
      </c>
      <c r="M1486" t="s">
        <v>18</v>
      </c>
      <c r="N1486">
        <v>2745</v>
      </c>
      <c r="O1486">
        <v>165</v>
      </c>
      <c r="P1486">
        <v>0</v>
      </c>
      <c r="Q1486" t="s">
        <v>6110</v>
      </c>
      <c r="R1486" t="s">
        <v>2785</v>
      </c>
      <c r="S1486" t="s">
        <v>6111</v>
      </c>
      <c r="T1486" t="s">
        <v>6112</v>
      </c>
      <c r="U1486" t="s">
        <v>60</v>
      </c>
      <c r="V1486" t="s">
        <v>61</v>
      </c>
      <c r="W1486">
        <v>10</v>
      </c>
      <c r="X1486">
        <v>0.12381250000000001</v>
      </c>
      <c r="Y1486" t="s">
        <v>197</v>
      </c>
      <c r="Z1486" t="s">
        <v>330</v>
      </c>
      <c r="AA1486">
        <v>2</v>
      </c>
      <c r="AB1486" t="s">
        <v>5943</v>
      </c>
      <c r="AC1486" t="s">
        <v>5944</v>
      </c>
      <c r="AD1486" t="s">
        <v>5945</v>
      </c>
      <c r="AE1486" t="s">
        <v>5946</v>
      </c>
      <c r="AF1486" t="s">
        <v>5947</v>
      </c>
      <c r="AG1486" t="s">
        <v>66</v>
      </c>
      <c r="AH1486" t="s">
        <v>66</v>
      </c>
      <c r="AI1486" t="s">
        <v>66</v>
      </c>
      <c r="AJ1486" t="s">
        <v>66</v>
      </c>
      <c r="AK1486">
        <v>1</v>
      </c>
      <c r="AL1486" t="s">
        <v>6024</v>
      </c>
      <c r="AM1486" t="s">
        <v>6025</v>
      </c>
      <c r="AN1486" t="s">
        <v>6106</v>
      </c>
      <c r="AO1486" t="s">
        <v>66</v>
      </c>
      <c r="AP1486">
        <v>1</v>
      </c>
      <c r="AQ1486" t="s">
        <v>6107</v>
      </c>
      <c r="AR1486" t="s">
        <v>6108</v>
      </c>
      <c r="AS1486" t="s">
        <v>66</v>
      </c>
      <c r="AT1486" t="s">
        <v>66</v>
      </c>
    </row>
    <row r="1487" spans="1:46" x14ac:dyDescent="0.15">
      <c r="A1487" t="s">
        <v>6113</v>
      </c>
      <c r="B1487" t="s">
        <v>5935</v>
      </c>
      <c r="C1487" t="s">
        <v>5936</v>
      </c>
      <c r="D1487">
        <v>42</v>
      </c>
      <c r="E1487" t="s">
        <v>5937</v>
      </c>
      <c r="F1487" t="s">
        <v>3592</v>
      </c>
      <c r="G1487" t="s">
        <v>51</v>
      </c>
      <c r="H1487" t="s">
        <v>5938</v>
      </c>
      <c r="I1487" t="s">
        <v>53</v>
      </c>
      <c r="J1487" t="s">
        <v>1554</v>
      </c>
      <c r="K1487" t="s">
        <v>5939</v>
      </c>
      <c r="L1487" t="s">
        <v>19</v>
      </c>
      <c r="M1487" t="s">
        <v>18</v>
      </c>
      <c r="N1487">
        <v>2801</v>
      </c>
      <c r="O1487">
        <v>168</v>
      </c>
      <c r="P1487">
        <v>0</v>
      </c>
      <c r="Q1487" t="s">
        <v>6114</v>
      </c>
      <c r="R1487" t="s">
        <v>2790</v>
      </c>
      <c r="S1487" t="s">
        <v>6115</v>
      </c>
      <c r="T1487" t="s">
        <v>6116</v>
      </c>
      <c r="U1487" t="s">
        <v>60</v>
      </c>
      <c r="V1487" t="s">
        <v>61</v>
      </c>
      <c r="W1487">
        <v>10</v>
      </c>
      <c r="X1487">
        <v>0.12381250000000001</v>
      </c>
      <c r="Y1487" t="s">
        <v>336</v>
      </c>
      <c r="Z1487" t="s">
        <v>337</v>
      </c>
      <c r="AA1487">
        <v>2</v>
      </c>
      <c r="AB1487" t="s">
        <v>5943</v>
      </c>
      <c r="AC1487" t="s">
        <v>5944</v>
      </c>
      <c r="AD1487" t="s">
        <v>5945</v>
      </c>
      <c r="AE1487" t="s">
        <v>5946</v>
      </c>
      <c r="AF1487" t="s">
        <v>5947</v>
      </c>
      <c r="AG1487" t="s">
        <v>66</v>
      </c>
      <c r="AH1487" t="s">
        <v>66</v>
      </c>
      <c r="AI1487" t="s">
        <v>66</v>
      </c>
      <c r="AJ1487" t="s">
        <v>66</v>
      </c>
      <c r="AK1487">
        <v>1</v>
      </c>
      <c r="AL1487" t="s">
        <v>6024</v>
      </c>
      <c r="AM1487" t="s">
        <v>6025</v>
      </c>
      <c r="AN1487" t="s">
        <v>6106</v>
      </c>
      <c r="AO1487" t="s">
        <v>66</v>
      </c>
      <c r="AP1487">
        <v>1</v>
      </c>
      <c r="AQ1487" t="s">
        <v>6107</v>
      </c>
      <c r="AR1487" t="s">
        <v>6108</v>
      </c>
      <c r="AS1487" t="s">
        <v>66</v>
      </c>
      <c r="AT1487" t="s">
        <v>66</v>
      </c>
    </row>
    <row r="1488" spans="1:46" x14ac:dyDescent="0.15">
      <c r="A1488" t="s">
        <v>6117</v>
      </c>
      <c r="B1488" t="s">
        <v>5935</v>
      </c>
      <c r="C1488" t="s">
        <v>5936</v>
      </c>
      <c r="D1488">
        <v>43</v>
      </c>
      <c r="E1488" t="s">
        <v>5937</v>
      </c>
      <c r="F1488" t="s">
        <v>3592</v>
      </c>
      <c r="G1488" t="s">
        <v>51</v>
      </c>
      <c r="H1488" t="s">
        <v>5938</v>
      </c>
      <c r="I1488" t="s">
        <v>53</v>
      </c>
      <c r="J1488" t="s">
        <v>1554</v>
      </c>
      <c r="K1488" t="s">
        <v>5939</v>
      </c>
      <c r="L1488" t="s">
        <v>19</v>
      </c>
      <c r="M1488" t="s">
        <v>18</v>
      </c>
      <c r="N1488">
        <v>2857</v>
      </c>
      <c r="O1488">
        <v>171</v>
      </c>
      <c r="P1488">
        <v>0</v>
      </c>
      <c r="Q1488" t="s">
        <v>6118</v>
      </c>
      <c r="R1488" t="s">
        <v>2795</v>
      </c>
      <c r="S1488" t="s">
        <v>6119</v>
      </c>
      <c r="T1488" t="s">
        <v>6120</v>
      </c>
      <c r="U1488" t="s">
        <v>60</v>
      </c>
      <c r="V1488" t="s">
        <v>61</v>
      </c>
      <c r="W1488">
        <v>10</v>
      </c>
      <c r="X1488">
        <v>0.12381250000000001</v>
      </c>
      <c r="Y1488" t="s">
        <v>204</v>
      </c>
      <c r="Z1488" t="s">
        <v>343</v>
      </c>
      <c r="AA1488">
        <v>2</v>
      </c>
      <c r="AB1488" t="s">
        <v>5943</v>
      </c>
      <c r="AC1488" t="s">
        <v>5944</v>
      </c>
      <c r="AD1488" t="s">
        <v>5945</v>
      </c>
      <c r="AE1488" t="s">
        <v>5946</v>
      </c>
      <c r="AF1488" t="s">
        <v>5947</v>
      </c>
      <c r="AG1488" t="s">
        <v>66</v>
      </c>
      <c r="AH1488" t="s">
        <v>66</v>
      </c>
      <c r="AI1488" t="s">
        <v>66</v>
      </c>
      <c r="AJ1488" t="s">
        <v>66</v>
      </c>
      <c r="AK1488">
        <v>1</v>
      </c>
      <c r="AL1488" t="s">
        <v>6024</v>
      </c>
      <c r="AM1488" t="s">
        <v>6025</v>
      </c>
      <c r="AN1488" t="s">
        <v>6106</v>
      </c>
      <c r="AO1488" t="s">
        <v>66</v>
      </c>
      <c r="AP1488">
        <v>1</v>
      </c>
      <c r="AQ1488" t="s">
        <v>6107</v>
      </c>
      <c r="AR1488" t="s">
        <v>6108</v>
      </c>
      <c r="AS1488" t="s">
        <v>66</v>
      </c>
      <c r="AT1488" t="s">
        <v>66</v>
      </c>
    </row>
    <row r="1489" spans="1:46" x14ac:dyDescent="0.15">
      <c r="A1489" t="s">
        <v>6121</v>
      </c>
      <c r="B1489" t="s">
        <v>5935</v>
      </c>
      <c r="C1489" t="s">
        <v>5936</v>
      </c>
      <c r="D1489">
        <v>44</v>
      </c>
      <c r="E1489" t="s">
        <v>5937</v>
      </c>
      <c r="F1489" t="s">
        <v>3592</v>
      </c>
      <c r="G1489" t="s">
        <v>51</v>
      </c>
      <c r="H1489" t="s">
        <v>5938</v>
      </c>
      <c r="I1489" t="s">
        <v>53</v>
      </c>
      <c r="J1489" t="s">
        <v>1554</v>
      </c>
      <c r="K1489" t="s">
        <v>5939</v>
      </c>
      <c r="L1489" t="s">
        <v>19</v>
      </c>
      <c r="M1489" t="s">
        <v>18</v>
      </c>
      <c r="N1489">
        <v>2913</v>
      </c>
      <c r="O1489">
        <v>175</v>
      </c>
      <c r="P1489">
        <v>0</v>
      </c>
      <c r="Q1489" t="s">
        <v>6122</v>
      </c>
      <c r="R1489" t="s">
        <v>2800</v>
      </c>
      <c r="S1489" t="s">
        <v>6123</v>
      </c>
      <c r="T1489" t="s">
        <v>6124</v>
      </c>
      <c r="U1489" t="s">
        <v>60</v>
      </c>
      <c r="V1489" t="s">
        <v>61</v>
      </c>
      <c r="W1489">
        <v>10</v>
      </c>
      <c r="X1489">
        <v>0.12381250000000001</v>
      </c>
      <c r="Y1489" t="s">
        <v>349</v>
      </c>
      <c r="Z1489" t="s">
        <v>350</v>
      </c>
      <c r="AA1489">
        <v>2</v>
      </c>
      <c r="AB1489" t="s">
        <v>5943</v>
      </c>
      <c r="AC1489" t="s">
        <v>5944</v>
      </c>
      <c r="AD1489" t="s">
        <v>5945</v>
      </c>
      <c r="AE1489" t="s">
        <v>5946</v>
      </c>
      <c r="AF1489" t="s">
        <v>5947</v>
      </c>
      <c r="AG1489" t="s">
        <v>66</v>
      </c>
      <c r="AH1489" t="s">
        <v>66</v>
      </c>
      <c r="AI1489" t="s">
        <v>66</v>
      </c>
      <c r="AJ1489" t="s">
        <v>66</v>
      </c>
      <c r="AK1489">
        <v>1</v>
      </c>
      <c r="AL1489" t="s">
        <v>6024</v>
      </c>
      <c r="AM1489" t="s">
        <v>6025</v>
      </c>
      <c r="AN1489" t="s">
        <v>6106</v>
      </c>
      <c r="AO1489" t="s">
        <v>66</v>
      </c>
      <c r="AP1489">
        <v>1</v>
      </c>
      <c r="AQ1489" t="s">
        <v>6107</v>
      </c>
      <c r="AR1489" t="s">
        <v>6108</v>
      </c>
      <c r="AS1489" t="s">
        <v>66</v>
      </c>
      <c r="AT1489" t="s">
        <v>66</v>
      </c>
    </row>
    <row r="1490" spans="1:46" x14ac:dyDescent="0.15">
      <c r="A1490" t="s">
        <v>6125</v>
      </c>
      <c r="B1490" t="s">
        <v>5935</v>
      </c>
      <c r="C1490" t="s">
        <v>5936</v>
      </c>
      <c r="D1490">
        <v>45</v>
      </c>
      <c r="E1490" t="s">
        <v>5937</v>
      </c>
      <c r="F1490" t="s">
        <v>3592</v>
      </c>
      <c r="G1490" t="s">
        <v>51</v>
      </c>
      <c r="H1490" t="s">
        <v>5938</v>
      </c>
      <c r="I1490" t="s">
        <v>53</v>
      </c>
      <c r="J1490" t="s">
        <v>1554</v>
      </c>
      <c r="K1490" t="s">
        <v>5939</v>
      </c>
      <c r="L1490" t="s">
        <v>19</v>
      </c>
      <c r="M1490" t="s">
        <v>18</v>
      </c>
      <c r="N1490">
        <v>2969</v>
      </c>
      <c r="O1490">
        <v>178</v>
      </c>
      <c r="P1490">
        <v>0</v>
      </c>
      <c r="Q1490" t="s">
        <v>6126</v>
      </c>
      <c r="R1490" t="s">
        <v>2805</v>
      </c>
      <c r="S1490" t="s">
        <v>6127</v>
      </c>
      <c r="T1490" t="s">
        <v>6128</v>
      </c>
      <c r="U1490" t="s">
        <v>60</v>
      </c>
      <c r="V1490" t="s">
        <v>61</v>
      </c>
      <c r="W1490">
        <v>10</v>
      </c>
      <c r="X1490">
        <v>0.12381250000000001</v>
      </c>
      <c r="Y1490" t="s">
        <v>210</v>
      </c>
      <c r="Z1490" t="s">
        <v>356</v>
      </c>
      <c r="AA1490">
        <v>2</v>
      </c>
      <c r="AB1490" t="s">
        <v>5943</v>
      </c>
      <c r="AC1490" t="s">
        <v>5944</v>
      </c>
      <c r="AD1490" t="s">
        <v>5945</v>
      </c>
      <c r="AE1490" t="s">
        <v>5946</v>
      </c>
      <c r="AF1490" t="s">
        <v>5947</v>
      </c>
      <c r="AG1490" t="s">
        <v>66</v>
      </c>
      <c r="AH1490" t="s">
        <v>66</v>
      </c>
      <c r="AI1490" t="s">
        <v>66</v>
      </c>
      <c r="AJ1490" t="s">
        <v>66</v>
      </c>
      <c r="AK1490">
        <v>1</v>
      </c>
      <c r="AL1490" t="s">
        <v>6024</v>
      </c>
      <c r="AM1490" t="s">
        <v>6025</v>
      </c>
      <c r="AN1490" t="s">
        <v>6106</v>
      </c>
      <c r="AO1490" t="s">
        <v>66</v>
      </c>
      <c r="AP1490">
        <v>1</v>
      </c>
      <c r="AQ1490" t="s">
        <v>6107</v>
      </c>
      <c r="AR1490" t="s">
        <v>6108</v>
      </c>
      <c r="AS1490" t="s">
        <v>66</v>
      </c>
      <c r="AT1490" t="s">
        <v>66</v>
      </c>
    </row>
    <row r="1491" spans="1:46" x14ac:dyDescent="0.15">
      <c r="A1491" t="s">
        <v>6129</v>
      </c>
      <c r="B1491" t="s">
        <v>5935</v>
      </c>
      <c r="C1491" t="s">
        <v>5936</v>
      </c>
      <c r="D1491">
        <v>46</v>
      </c>
      <c r="E1491" t="s">
        <v>5937</v>
      </c>
      <c r="F1491" t="s">
        <v>3592</v>
      </c>
      <c r="G1491" t="s">
        <v>51</v>
      </c>
      <c r="H1491" t="s">
        <v>5938</v>
      </c>
      <c r="I1491" t="s">
        <v>53</v>
      </c>
      <c r="J1491" t="s">
        <v>1554</v>
      </c>
      <c r="K1491" t="s">
        <v>5939</v>
      </c>
      <c r="L1491" t="s">
        <v>19</v>
      </c>
      <c r="M1491" t="s">
        <v>18</v>
      </c>
      <c r="N1491">
        <v>3026</v>
      </c>
      <c r="O1491">
        <v>181</v>
      </c>
      <c r="P1491">
        <v>0</v>
      </c>
      <c r="Q1491" t="s">
        <v>6130</v>
      </c>
      <c r="R1491" t="s">
        <v>2810</v>
      </c>
      <c r="S1491" t="s">
        <v>6131</v>
      </c>
      <c r="T1491" t="s">
        <v>6132</v>
      </c>
      <c r="U1491" t="s">
        <v>60</v>
      </c>
      <c r="V1491" t="s">
        <v>61</v>
      </c>
      <c r="W1491">
        <v>10</v>
      </c>
      <c r="X1491">
        <v>0.12381250000000001</v>
      </c>
      <c r="Y1491" t="s">
        <v>362</v>
      </c>
      <c r="Z1491" t="s">
        <v>363</v>
      </c>
      <c r="AA1491">
        <v>2</v>
      </c>
      <c r="AB1491" t="s">
        <v>5943</v>
      </c>
      <c r="AC1491" t="s">
        <v>5944</v>
      </c>
      <c r="AD1491" t="s">
        <v>5945</v>
      </c>
      <c r="AE1491" t="s">
        <v>5946</v>
      </c>
      <c r="AF1491" t="s">
        <v>5947</v>
      </c>
      <c r="AG1491" t="s">
        <v>66</v>
      </c>
      <c r="AH1491" t="s">
        <v>66</v>
      </c>
      <c r="AI1491" t="s">
        <v>66</v>
      </c>
      <c r="AJ1491" t="s">
        <v>66</v>
      </c>
      <c r="AK1491">
        <v>1</v>
      </c>
      <c r="AL1491" t="s">
        <v>6024</v>
      </c>
      <c r="AM1491" t="s">
        <v>6025</v>
      </c>
      <c r="AN1491" t="s">
        <v>6106</v>
      </c>
      <c r="AO1491" t="s">
        <v>66</v>
      </c>
      <c r="AP1491">
        <v>1</v>
      </c>
      <c r="AQ1491" t="s">
        <v>6107</v>
      </c>
      <c r="AR1491" t="s">
        <v>6108</v>
      </c>
      <c r="AS1491" t="s">
        <v>66</v>
      </c>
      <c r="AT1491" t="s">
        <v>66</v>
      </c>
    </row>
    <row r="1492" spans="1:46" x14ac:dyDescent="0.15">
      <c r="A1492" t="s">
        <v>6133</v>
      </c>
      <c r="B1492" t="s">
        <v>5935</v>
      </c>
      <c r="C1492" t="s">
        <v>5936</v>
      </c>
      <c r="D1492">
        <v>47</v>
      </c>
      <c r="E1492" t="s">
        <v>5937</v>
      </c>
      <c r="F1492" t="s">
        <v>3592</v>
      </c>
      <c r="G1492" t="s">
        <v>51</v>
      </c>
      <c r="H1492" t="s">
        <v>5938</v>
      </c>
      <c r="I1492" t="s">
        <v>53</v>
      </c>
      <c r="J1492" t="s">
        <v>1554</v>
      </c>
      <c r="K1492" t="s">
        <v>5939</v>
      </c>
      <c r="L1492" t="s">
        <v>19</v>
      </c>
      <c r="M1492" t="s">
        <v>18</v>
      </c>
      <c r="N1492">
        <v>3082</v>
      </c>
      <c r="O1492">
        <v>185</v>
      </c>
      <c r="P1492">
        <v>0</v>
      </c>
      <c r="Q1492" t="s">
        <v>6134</v>
      </c>
      <c r="R1492" t="s">
        <v>2815</v>
      </c>
      <c r="S1492" t="s">
        <v>6135</v>
      </c>
      <c r="T1492" t="s">
        <v>6136</v>
      </c>
      <c r="U1492" t="s">
        <v>60</v>
      </c>
      <c r="V1492" t="s">
        <v>61</v>
      </c>
      <c r="W1492">
        <v>10</v>
      </c>
      <c r="X1492">
        <v>0.12381250000000001</v>
      </c>
      <c r="Y1492" t="s">
        <v>217</v>
      </c>
      <c r="Z1492" t="s">
        <v>369</v>
      </c>
      <c r="AA1492">
        <v>2</v>
      </c>
      <c r="AB1492" t="s">
        <v>5943</v>
      </c>
      <c r="AC1492" t="s">
        <v>5944</v>
      </c>
      <c r="AD1492" t="s">
        <v>5945</v>
      </c>
      <c r="AE1492" t="s">
        <v>5946</v>
      </c>
      <c r="AF1492" t="s">
        <v>5947</v>
      </c>
      <c r="AG1492" t="s">
        <v>66</v>
      </c>
      <c r="AH1492" t="s">
        <v>66</v>
      </c>
      <c r="AI1492" t="s">
        <v>66</v>
      </c>
      <c r="AJ1492" t="s">
        <v>66</v>
      </c>
      <c r="AK1492">
        <v>1</v>
      </c>
      <c r="AL1492" t="s">
        <v>6024</v>
      </c>
      <c r="AM1492" t="s">
        <v>6025</v>
      </c>
      <c r="AN1492" t="s">
        <v>6106</v>
      </c>
      <c r="AO1492" t="s">
        <v>66</v>
      </c>
      <c r="AP1492">
        <v>1</v>
      </c>
      <c r="AQ1492" t="s">
        <v>6107</v>
      </c>
      <c r="AR1492" t="s">
        <v>6108</v>
      </c>
      <c r="AS1492" t="s">
        <v>66</v>
      </c>
      <c r="AT1492" t="s">
        <v>66</v>
      </c>
    </row>
    <row r="1493" spans="1:46" x14ac:dyDescent="0.15">
      <c r="A1493" t="s">
        <v>6137</v>
      </c>
      <c r="B1493" t="s">
        <v>5935</v>
      </c>
      <c r="C1493" t="s">
        <v>5936</v>
      </c>
      <c r="D1493">
        <v>48</v>
      </c>
      <c r="E1493" t="s">
        <v>5937</v>
      </c>
      <c r="F1493" t="s">
        <v>3592</v>
      </c>
      <c r="G1493" t="s">
        <v>51</v>
      </c>
      <c r="H1493" t="s">
        <v>5938</v>
      </c>
      <c r="I1493" t="s">
        <v>53</v>
      </c>
      <c r="J1493" t="s">
        <v>1554</v>
      </c>
      <c r="K1493" t="s">
        <v>5939</v>
      </c>
      <c r="L1493" t="s">
        <v>19</v>
      </c>
      <c r="M1493" t="s">
        <v>18</v>
      </c>
      <c r="N1493">
        <v>3138</v>
      </c>
      <c r="O1493">
        <v>188</v>
      </c>
      <c r="P1493">
        <v>0</v>
      </c>
      <c r="Q1493" t="s">
        <v>6138</v>
      </c>
      <c r="R1493" t="s">
        <v>2820</v>
      </c>
      <c r="S1493" t="s">
        <v>6139</v>
      </c>
      <c r="T1493" t="s">
        <v>6140</v>
      </c>
      <c r="U1493" t="s">
        <v>60</v>
      </c>
      <c r="V1493" t="s">
        <v>61</v>
      </c>
      <c r="W1493">
        <v>10</v>
      </c>
      <c r="X1493">
        <v>0.12381250000000001</v>
      </c>
      <c r="Y1493" t="s">
        <v>375</v>
      </c>
      <c r="Z1493" t="s">
        <v>376</v>
      </c>
      <c r="AA1493">
        <v>2</v>
      </c>
      <c r="AB1493" t="s">
        <v>5943</v>
      </c>
      <c r="AC1493" t="s">
        <v>5944</v>
      </c>
      <c r="AD1493" t="s">
        <v>5945</v>
      </c>
      <c r="AE1493" t="s">
        <v>5946</v>
      </c>
      <c r="AF1493" t="s">
        <v>5947</v>
      </c>
      <c r="AG1493" t="s">
        <v>66</v>
      </c>
      <c r="AH1493" t="s">
        <v>66</v>
      </c>
      <c r="AI1493" t="s">
        <v>66</v>
      </c>
      <c r="AJ1493" t="s">
        <v>66</v>
      </c>
      <c r="AK1493">
        <v>1</v>
      </c>
      <c r="AL1493" t="s">
        <v>6024</v>
      </c>
      <c r="AM1493" t="s">
        <v>6025</v>
      </c>
      <c r="AN1493" t="s">
        <v>6106</v>
      </c>
      <c r="AO1493" t="s">
        <v>66</v>
      </c>
      <c r="AP1493">
        <v>1</v>
      </c>
      <c r="AQ1493" t="s">
        <v>6107</v>
      </c>
      <c r="AR1493" t="s">
        <v>6108</v>
      </c>
      <c r="AS1493" t="s">
        <v>66</v>
      </c>
      <c r="AT1493" t="s">
        <v>66</v>
      </c>
    </row>
    <row r="1494" spans="1:46" x14ac:dyDescent="0.15">
      <c r="A1494" t="s">
        <v>6141</v>
      </c>
      <c r="B1494" t="s">
        <v>5935</v>
      </c>
      <c r="C1494" t="s">
        <v>5936</v>
      </c>
      <c r="D1494">
        <v>49</v>
      </c>
      <c r="E1494" t="s">
        <v>5937</v>
      </c>
      <c r="F1494" t="s">
        <v>3592</v>
      </c>
      <c r="G1494" t="s">
        <v>51</v>
      </c>
      <c r="H1494" t="s">
        <v>5938</v>
      </c>
      <c r="I1494" t="s">
        <v>53</v>
      </c>
      <c r="J1494" t="s">
        <v>1554</v>
      </c>
      <c r="K1494" t="s">
        <v>5939</v>
      </c>
      <c r="L1494" t="s">
        <v>19</v>
      </c>
      <c r="M1494" t="s">
        <v>18</v>
      </c>
      <c r="N1494">
        <v>3194</v>
      </c>
      <c r="O1494">
        <v>191</v>
      </c>
      <c r="P1494">
        <v>0</v>
      </c>
      <c r="Q1494" t="s">
        <v>6142</v>
      </c>
      <c r="R1494" t="s">
        <v>2825</v>
      </c>
      <c r="S1494" t="s">
        <v>6143</v>
      </c>
      <c r="T1494" t="s">
        <v>6144</v>
      </c>
      <c r="U1494" t="s">
        <v>60</v>
      </c>
      <c r="V1494" t="s">
        <v>61</v>
      </c>
      <c r="W1494">
        <v>10</v>
      </c>
      <c r="X1494">
        <v>0.12381250000000001</v>
      </c>
      <c r="Y1494" t="s">
        <v>223</v>
      </c>
      <c r="Z1494" t="s">
        <v>382</v>
      </c>
      <c r="AA1494">
        <v>2</v>
      </c>
      <c r="AB1494" t="s">
        <v>5943</v>
      </c>
      <c r="AC1494" t="s">
        <v>5944</v>
      </c>
      <c r="AD1494" t="s">
        <v>5945</v>
      </c>
      <c r="AE1494" t="s">
        <v>5946</v>
      </c>
      <c r="AF1494" t="s">
        <v>5947</v>
      </c>
      <c r="AG1494" t="s">
        <v>66</v>
      </c>
      <c r="AH1494" t="s">
        <v>66</v>
      </c>
      <c r="AI1494" t="s">
        <v>66</v>
      </c>
      <c r="AJ1494" t="s">
        <v>66</v>
      </c>
      <c r="AK1494">
        <v>1</v>
      </c>
      <c r="AL1494" t="s">
        <v>6024</v>
      </c>
      <c r="AM1494" t="s">
        <v>6025</v>
      </c>
      <c r="AN1494" t="s">
        <v>6106</v>
      </c>
      <c r="AO1494" t="s">
        <v>66</v>
      </c>
      <c r="AP1494">
        <v>1</v>
      </c>
      <c r="AQ1494" t="s">
        <v>6107</v>
      </c>
      <c r="AR1494" t="s">
        <v>6108</v>
      </c>
      <c r="AS1494" t="s">
        <v>66</v>
      </c>
      <c r="AT1494" t="s">
        <v>66</v>
      </c>
    </row>
    <row r="1495" spans="1:46" x14ac:dyDescent="0.15">
      <c r="A1495" t="s">
        <v>6145</v>
      </c>
      <c r="B1495" t="s">
        <v>5935</v>
      </c>
      <c r="C1495" t="s">
        <v>5936</v>
      </c>
      <c r="D1495">
        <v>50</v>
      </c>
      <c r="E1495" t="s">
        <v>5937</v>
      </c>
      <c r="F1495" t="s">
        <v>3592</v>
      </c>
      <c r="G1495" t="s">
        <v>51</v>
      </c>
      <c r="H1495" t="s">
        <v>5938</v>
      </c>
      <c r="I1495" t="s">
        <v>53</v>
      </c>
      <c r="J1495" t="s">
        <v>1554</v>
      </c>
      <c r="K1495" t="s">
        <v>5939</v>
      </c>
      <c r="L1495" t="s">
        <v>19</v>
      </c>
      <c r="M1495" t="s">
        <v>18</v>
      </c>
      <c r="N1495">
        <v>3250</v>
      </c>
      <c r="O1495">
        <v>195</v>
      </c>
      <c r="P1495">
        <v>0</v>
      </c>
      <c r="Q1495" t="s">
        <v>6146</v>
      </c>
      <c r="R1495" t="s">
        <v>2830</v>
      </c>
      <c r="S1495" t="s">
        <v>6147</v>
      </c>
      <c r="T1495" t="s">
        <v>6148</v>
      </c>
      <c r="U1495" t="s">
        <v>60</v>
      </c>
      <c r="V1495" t="s">
        <v>61</v>
      </c>
      <c r="W1495">
        <v>10</v>
      </c>
      <c r="X1495">
        <v>0.12381250000000001</v>
      </c>
      <c r="Y1495" t="s">
        <v>388</v>
      </c>
      <c r="Z1495" t="s">
        <v>389</v>
      </c>
      <c r="AA1495">
        <v>2</v>
      </c>
      <c r="AB1495" t="s">
        <v>5943</v>
      </c>
      <c r="AC1495" t="s">
        <v>5944</v>
      </c>
      <c r="AD1495" t="s">
        <v>5945</v>
      </c>
      <c r="AE1495" t="s">
        <v>5946</v>
      </c>
      <c r="AF1495" t="s">
        <v>5947</v>
      </c>
      <c r="AG1495" t="s">
        <v>66</v>
      </c>
      <c r="AH1495" t="s">
        <v>66</v>
      </c>
      <c r="AI1495" t="s">
        <v>66</v>
      </c>
      <c r="AJ1495" t="s">
        <v>66</v>
      </c>
      <c r="AK1495">
        <v>1</v>
      </c>
      <c r="AL1495" t="s">
        <v>6024</v>
      </c>
      <c r="AM1495" t="s">
        <v>6025</v>
      </c>
      <c r="AN1495" t="s">
        <v>6106</v>
      </c>
      <c r="AO1495" t="s">
        <v>66</v>
      </c>
      <c r="AP1495">
        <v>1</v>
      </c>
      <c r="AQ1495" t="s">
        <v>6107</v>
      </c>
      <c r="AR1495" t="s">
        <v>6108</v>
      </c>
      <c r="AS1495" t="s">
        <v>66</v>
      </c>
      <c r="AT1495" t="s">
        <v>66</v>
      </c>
    </row>
    <row r="1496" spans="1:46" x14ac:dyDescent="0.15">
      <c r="A1496" t="s">
        <v>6149</v>
      </c>
      <c r="B1496" t="s">
        <v>5935</v>
      </c>
      <c r="C1496" t="s">
        <v>5936</v>
      </c>
      <c r="D1496">
        <v>51</v>
      </c>
      <c r="E1496" t="s">
        <v>5937</v>
      </c>
      <c r="F1496" t="s">
        <v>3592</v>
      </c>
      <c r="G1496" t="s">
        <v>51</v>
      </c>
      <c r="H1496" t="s">
        <v>5938</v>
      </c>
      <c r="I1496" t="s">
        <v>53</v>
      </c>
      <c r="J1496" t="s">
        <v>1554</v>
      </c>
      <c r="K1496" t="s">
        <v>5939</v>
      </c>
      <c r="L1496" t="s">
        <v>19</v>
      </c>
      <c r="M1496" t="s">
        <v>18</v>
      </c>
      <c r="N1496">
        <v>3306</v>
      </c>
      <c r="O1496">
        <v>198</v>
      </c>
      <c r="P1496">
        <v>0</v>
      </c>
      <c r="Q1496" t="s">
        <v>6150</v>
      </c>
      <c r="R1496" t="s">
        <v>2835</v>
      </c>
      <c r="S1496" t="s">
        <v>6151</v>
      </c>
      <c r="T1496" t="s">
        <v>6152</v>
      </c>
      <c r="U1496" t="s">
        <v>60</v>
      </c>
      <c r="V1496" t="s">
        <v>61</v>
      </c>
      <c r="W1496">
        <v>10</v>
      </c>
      <c r="X1496">
        <v>0.12381250000000001</v>
      </c>
      <c r="Y1496" t="s">
        <v>230</v>
      </c>
      <c r="Z1496" t="s">
        <v>395</v>
      </c>
      <c r="AA1496">
        <v>2</v>
      </c>
      <c r="AB1496" t="s">
        <v>5943</v>
      </c>
      <c r="AC1496" t="s">
        <v>5944</v>
      </c>
      <c r="AD1496" t="s">
        <v>5945</v>
      </c>
      <c r="AE1496" t="s">
        <v>5946</v>
      </c>
      <c r="AF1496" t="s">
        <v>5947</v>
      </c>
      <c r="AG1496" t="s">
        <v>66</v>
      </c>
      <c r="AH1496" t="s">
        <v>66</v>
      </c>
      <c r="AI1496" t="s">
        <v>66</v>
      </c>
      <c r="AJ1496" t="s">
        <v>66</v>
      </c>
      <c r="AK1496">
        <v>1</v>
      </c>
      <c r="AL1496" t="s">
        <v>6024</v>
      </c>
      <c r="AM1496" t="s">
        <v>6025</v>
      </c>
      <c r="AN1496" t="s">
        <v>6106</v>
      </c>
      <c r="AO1496" t="s">
        <v>66</v>
      </c>
      <c r="AP1496">
        <v>1</v>
      </c>
      <c r="AQ1496" t="s">
        <v>6107</v>
      </c>
      <c r="AR1496" t="s">
        <v>6108</v>
      </c>
      <c r="AS1496" t="s">
        <v>66</v>
      </c>
      <c r="AT1496" t="s">
        <v>66</v>
      </c>
    </row>
    <row r="1497" spans="1:46" x14ac:dyDescent="0.15">
      <c r="A1497" t="s">
        <v>6153</v>
      </c>
      <c r="B1497" t="s">
        <v>5935</v>
      </c>
      <c r="C1497" t="s">
        <v>5936</v>
      </c>
      <c r="D1497">
        <v>52</v>
      </c>
      <c r="E1497" t="s">
        <v>5937</v>
      </c>
      <c r="F1497" t="s">
        <v>3592</v>
      </c>
      <c r="G1497" t="s">
        <v>51</v>
      </c>
      <c r="H1497" t="s">
        <v>5938</v>
      </c>
      <c r="I1497" t="s">
        <v>53</v>
      </c>
      <c r="J1497" t="s">
        <v>1554</v>
      </c>
      <c r="K1497" t="s">
        <v>5939</v>
      </c>
      <c r="L1497" t="s">
        <v>19</v>
      </c>
      <c r="M1497" t="s">
        <v>18</v>
      </c>
      <c r="N1497">
        <v>3362</v>
      </c>
      <c r="O1497">
        <v>202</v>
      </c>
      <c r="P1497">
        <v>0</v>
      </c>
      <c r="Q1497" t="s">
        <v>6154</v>
      </c>
      <c r="R1497" t="s">
        <v>2840</v>
      </c>
      <c r="S1497" t="s">
        <v>6155</v>
      </c>
      <c r="T1497" t="s">
        <v>6156</v>
      </c>
      <c r="U1497" t="s">
        <v>60</v>
      </c>
      <c r="V1497" t="s">
        <v>61</v>
      </c>
      <c r="W1497">
        <v>10</v>
      </c>
      <c r="X1497">
        <v>0.12381250000000001</v>
      </c>
      <c r="Y1497" t="s">
        <v>401</v>
      </c>
      <c r="Z1497" t="s">
        <v>402</v>
      </c>
      <c r="AA1497">
        <v>2</v>
      </c>
      <c r="AB1497" t="s">
        <v>5943</v>
      </c>
      <c r="AC1497" t="s">
        <v>5944</v>
      </c>
      <c r="AD1497" t="s">
        <v>5945</v>
      </c>
      <c r="AE1497" t="s">
        <v>5946</v>
      </c>
      <c r="AF1497" t="s">
        <v>5947</v>
      </c>
      <c r="AG1497" t="s">
        <v>66</v>
      </c>
      <c r="AH1497" t="s">
        <v>66</v>
      </c>
      <c r="AI1497" t="s">
        <v>66</v>
      </c>
      <c r="AJ1497" t="s">
        <v>66</v>
      </c>
      <c r="AK1497">
        <v>1</v>
      </c>
      <c r="AL1497" t="s">
        <v>6024</v>
      </c>
      <c r="AM1497" t="s">
        <v>6025</v>
      </c>
      <c r="AN1497" t="s">
        <v>6106</v>
      </c>
      <c r="AO1497" t="s">
        <v>66</v>
      </c>
      <c r="AP1497">
        <v>1</v>
      </c>
      <c r="AQ1497" t="s">
        <v>6107</v>
      </c>
      <c r="AR1497" t="s">
        <v>6108</v>
      </c>
      <c r="AS1497" t="s">
        <v>66</v>
      </c>
      <c r="AT1497" t="s">
        <v>66</v>
      </c>
    </row>
    <row r="1498" spans="1:46" x14ac:dyDescent="0.15">
      <c r="A1498" t="s">
        <v>6157</v>
      </c>
      <c r="B1498" t="s">
        <v>5935</v>
      </c>
      <c r="C1498" t="s">
        <v>5936</v>
      </c>
      <c r="D1498">
        <v>53</v>
      </c>
      <c r="E1498" t="s">
        <v>5937</v>
      </c>
      <c r="F1498" t="s">
        <v>3592</v>
      </c>
      <c r="G1498" t="s">
        <v>51</v>
      </c>
      <c r="H1498" t="s">
        <v>5938</v>
      </c>
      <c r="I1498" t="s">
        <v>53</v>
      </c>
      <c r="J1498" t="s">
        <v>1554</v>
      </c>
      <c r="K1498" t="s">
        <v>5939</v>
      </c>
      <c r="L1498" t="s">
        <v>19</v>
      </c>
      <c r="M1498" t="s">
        <v>18</v>
      </c>
      <c r="N1498">
        <v>3418</v>
      </c>
      <c r="O1498">
        <v>205</v>
      </c>
      <c r="P1498">
        <v>0</v>
      </c>
      <c r="Q1498" t="s">
        <v>6158</v>
      </c>
      <c r="R1498" t="s">
        <v>2845</v>
      </c>
      <c r="S1498" t="s">
        <v>6159</v>
      </c>
      <c r="T1498" t="s">
        <v>6160</v>
      </c>
      <c r="U1498" t="s">
        <v>60</v>
      </c>
      <c r="V1498" t="s">
        <v>61</v>
      </c>
      <c r="W1498">
        <v>10</v>
      </c>
      <c r="X1498">
        <v>0.12381250000000001</v>
      </c>
      <c r="Y1498" t="s">
        <v>236</v>
      </c>
      <c r="Z1498" t="s">
        <v>408</v>
      </c>
      <c r="AA1498">
        <v>2</v>
      </c>
      <c r="AB1498" t="s">
        <v>5943</v>
      </c>
      <c r="AC1498" t="s">
        <v>5944</v>
      </c>
      <c r="AD1498" t="s">
        <v>5945</v>
      </c>
      <c r="AE1498" t="s">
        <v>5946</v>
      </c>
      <c r="AF1498" t="s">
        <v>5947</v>
      </c>
      <c r="AG1498" t="s">
        <v>66</v>
      </c>
      <c r="AH1498" t="s">
        <v>66</v>
      </c>
      <c r="AI1498" t="s">
        <v>66</v>
      </c>
      <c r="AJ1498" t="s">
        <v>66</v>
      </c>
      <c r="AK1498">
        <v>1</v>
      </c>
      <c r="AL1498" t="s">
        <v>6024</v>
      </c>
      <c r="AM1498" t="s">
        <v>6025</v>
      </c>
      <c r="AN1498" t="s">
        <v>6106</v>
      </c>
      <c r="AO1498" t="s">
        <v>66</v>
      </c>
      <c r="AP1498">
        <v>1</v>
      </c>
      <c r="AQ1498" t="s">
        <v>6107</v>
      </c>
      <c r="AR1498" t="s">
        <v>6108</v>
      </c>
      <c r="AS1498" t="s">
        <v>66</v>
      </c>
      <c r="AT1498" t="s">
        <v>66</v>
      </c>
    </row>
    <row r="1499" spans="1:46" x14ac:dyDescent="0.15">
      <c r="A1499" t="s">
        <v>6161</v>
      </c>
      <c r="B1499" t="s">
        <v>5935</v>
      </c>
      <c r="C1499" t="s">
        <v>5936</v>
      </c>
      <c r="D1499">
        <v>54</v>
      </c>
      <c r="E1499" t="s">
        <v>5937</v>
      </c>
      <c r="F1499" t="s">
        <v>3592</v>
      </c>
      <c r="G1499" t="s">
        <v>51</v>
      </c>
      <c r="H1499" t="s">
        <v>5938</v>
      </c>
      <c r="I1499" t="s">
        <v>53</v>
      </c>
      <c r="J1499" t="s">
        <v>1554</v>
      </c>
      <c r="K1499" t="s">
        <v>5939</v>
      </c>
      <c r="L1499" t="s">
        <v>19</v>
      </c>
      <c r="M1499" t="s">
        <v>18</v>
      </c>
      <c r="N1499">
        <v>3474</v>
      </c>
      <c r="O1499">
        <v>208</v>
      </c>
      <c r="P1499">
        <v>0</v>
      </c>
      <c r="Q1499" t="s">
        <v>6162</v>
      </c>
      <c r="R1499" t="s">
        <v>2850</v>
      </c>
      <c r="S1499" t="s">
        <v>6163</v>
      </c>
      <c r="T1499" t="s">
        <v>6164</v>
      </c>
      <c r="U1499" t="s">
        <v>60</v>
      </c>
      <c r="V1499" t="s">
        <v>61</v>
      </c>
      <c r="W1499">
        <v>10</v>
      </c>
      <c r="X1499">
        <v>0.12381250000000001</v>
      </c>
      <c r="Y1499" t="s">
        <v>414</v>
      </c>
      <c r="Z1499" t="s">
        <v>415</v>
      </c>
      <c r="AA1499">
        <v>2</v>
      </c>
      <c r="AB1499" t="s">
        <v>5943</v>
      </c>
      <c r="AC1499" t="s">
        <v>5944</v>
      </c>
      <c r="AD1499" t="s">
        <v>5945</v>
      </c>
      <c r="AE1499" t="s">
        <v>5946</v>
      </c>
      <c r="AF1499" t="s">
        <v>5947</v>
      </c>
      <c r="AG1499" t="s">
        <v>66</v>
      </c>
      <c r="AH1499" t="s">
        <v>66</v>
      </c>
      <c r="AI1499" t="s">
        <v>66</v>
      </c>
      <c r="AJ1499" t="s">
        <v>66</v>
      </c>
      <c r="AK1499">
        <v>1</v>
      </c>
      <c r="AL1499" t="s">
        <v>6024</v>
      </c>
      <c r="AM1499" t="s">
        <v>6025</v>
      </c>
      <c r="AN1499" t="s">
        <v>6106</v>
      </c>
      <c r="AO1499" t="s">
        <v>66</v>
      </c>
      <c r="AP1499">
        <v>1</v>
      </c>
      <c r="AQ1499" t="s">
        <v>6107</v>
      </c>
      <c r="AR1499" t="s">
        <v>6108</v>
      </c>
      <c r="AS1499" t="s">
        <v>66</v>
      </c>
      <c r="AT1499" t="s">
        <v>66</v>
      </c>
    </row>
    <row r="1500" spans="1:46" x14ac:dyDescent="0.15">
      <c r="A1500" t="s">
        <v>6165</v>
      </c>
      <c r="B1500" t="s">
        <v>5935</v>
      </c>
      <c r="C1500" t="s">
        <v>5936</v>
      </c>
      <c r="D1500">
        <v>55</v>
      </c>
      <c r="E1500" t="s">
        <v>5937</v>
      </c>
      <c r="F1500" t="s">
        <v>3592</v>
      </c>
      <c r="G1500" t="s">
        <v>51</v>
      </c>
      <c r="H1500" t="s">
        <v>5938</v>
      </c>
      <c r="I1500" t="s">
        <v>53</v>
      </c>
      <c r="J1500" t="s">
        <v>1554</v>
      </c>
      <c r="K1500" t="s">
        <v>5939</v>
      </c>
      <c r="L1500" t="s">
        <v>19</v>
      </c>
      <c r="M1500" t="s">
        <v>18</v>
      </c>
      <c r="N1500">
        <v>3531</v>
      </c>
      <c r="O1500">
        <v>212</v>
      </c>
      <c r="P1500">
        <v>0</v>
      </c>
      <c r="Q1500" t="s">
        <v>6166</v>
      </c>
      <c r="R1500" t="s">
        <v>2855</v>
      </c>
      <c r="S1500" t="s">
        <v>6167</v>
      </c>
      <c r="T1500" t="s">
        <v>6168</v>
      </c>
      <c r="U1500" t="s">
        <v>60</v>
      </c>
      <c r="V1500" t="s">
        <v>61</v>
      </c>
      <c r="W1500">
        <v>10</v>
      </c>
      <c r="X1500">
        <v>0.12381250000000001</v>
      </c>
      <c r="Y1500" t="s">
        <v>243</v>
      </c>
      <c r="Z1500" t="s">
        <v>421</v>
      </c>
      <c r="AA1500">
        <v>2</v>
      </c>
      <c r="AB1500" t="s">
        <v>5943</v>
      </c>
      <c r="AC1500" t="s">
        <v>5944</v>
      </c>
      <c r="AD1500" t="s">
        <v>5945</v>
      </c>
      <c r="AE1500" t="s">
        <v>5946</v>
      </c>
      <c r="AF1500" t="s">
        <v>5947</v>
      </c>
      <c r="AG1500" t="s">
        <v>66</v>
      </c>
      <c r="AH1500" t="s">
        <v>66</v>
      </c>
      <c r="AI1500" t="s">
        <v>66</v>
      </c>
      <c r="AJ1500" t="s">
        <v>66</v>
      </c>
      <c r="AK1500">
        <v>1</v>
      </c>
      <c r="AL1500" t="s">
        <v>6024</v>
      </c>
      <c r="AM1500" t="s">
        <v>6025</v>
      </c>
      <c r="AN1500" t="s">
        <v>6106</v>
      </c>
      <c r="AO1500" t="s">
        <v>66</v>
      </c>
      <c r="AP1500">
        <v>1</v>
      </c>
      <c r="AQ1500" t="s">
        <v>6107</v>
      </c>
      <c r="AR1500" t="s">
        <v>6108</v>
      </c>
      <c r="AS1500" t="s">
        <v>66</v>
      </c>
      <c r="AT1500" t="s">
        <v>66</v>
      </c>
    </row>
    <row r="1501" spans="1:46" x14ac:dyDescent="0.15">
      <c r="A1501" t="s">
        <v>6169</v>
      </c>
      <c r="B1501" t="s">
        <v>5935</v>
      </c>
      <c r="C1501" t="s">
        <v>5936</v>
      </c>
      <c r="D1501">
        <v>56</v>
      </c>
      <c r="E1501" t="s">
        <v>5937</v>
      </c>
      <c r="F1501" t="s">
        <v>3592</v>
      </c>
      <c r="G1501" t="s">
        <v>51</v>
      </c>
      <c r="H1501" t="s">
        <v>5938</v>
      </c>
      <c r="I1501" t="s">
        <v>53</v>
      </c>
      <c r="J1501" t="s">
        <v>1554</v>
      </c>
      <c r="K1501" t="s">
        <v>5939</v>
      </c>
      <c r="L1501" t="s">
        <v>19</v>
      </c>
      <c r="M1501" t="s">
        <v>18</v>
      </c>
      <c r="N1501">
        <v>3587</v>
      </c>
      <c r="O1501">
        <v>215</v>
      </c>
      <c r="P1501">
        <v>0</v>
      </c>
      <c r="Q1501" t="s">
        <v>6170</v>
      </c>
      <c r="R1501" t="s">
        <v>2860</v>
      </c>
      <c r="S1501" t="s">
        <v>6171</v>
      </c>
      <c r="T1501" t="s">
        <v>6172</v>
      </c>
      <c r="U1501" t="s">
        <v>60</v>
      </c>
      <c r="V1501" t="s">
        <v>61</v>
      </c>
      <c r="W1501">
        <v>10</v>
      </c>
      <c r="X1501">
        <v>0.12381250000000001</v>
      </c>
      <c r="Y1501" t="s">
        <v>427</v>
      </c>
      <c r="Z1501" t="s">
        <v>428</v>
      </c>
      <c r="AA1501">
        <v>2</v>
      </c>
      <c r="AB1501" t="s">
        <v>5943</v>
      </c>
      <c r="AC1501" t="s">
        <v>5944</v>
      </c>
      <c r="AD1501" t="s">
        <v>5945</v>
      </c>
      <c r="AE1501" t="s">
        <v>5946</v>
      </c>
      <c r="AF1501" t="s">
        <v>5947</v>
      </c>
      <c r="AG1501" t="s">
        <v>66</v>
      </c>
      <c r="AH1501" t="s">
        <v>66</v>
      </c>
      <c r="AI1501" t="s">
        <v>66</v>
      </c>
      <c r="AJ1501" t="s">
        <v>66</v>
      </c>
      <c r="AK1501">
        <v>1</v>
      </c>
      <c r="AL1501" t="s">
        <v>6024</v>
      </c>
      <c r="AM1501" t="s">
        <v>6025</v>
      </c>
      <c r="AN1501" t="s">
        <v>6106</v>
      </c>
      <c r="AO1501" t="s">
        <v>66</v>
      </c>
      <c r="AP1501">
        <v>1</v>
      </c>
      <c r="AQ1501" t="s">
        <v>6107</v>
      </c>
      <c r="AR1501" t="s">
        <v>6108</v>
      </c>
      <c r="AS1501" t="s">
        <v>66</v>
      </c>
      <c r="AT1501" t="s">
        <v>66</v>
      </c>
    </row>
    <row r="1502" spans="1:46" x14ac:dyDescent="0.15">
      <c r="A1502" t="s">
        <v>6173</v>
      </c>
      <c r="B1502" t="s">
        <v>5935</v>
      </c>
      <c r="C1502" t="s">
        <v>5936</v>
      </c>
      <c r="D1502">
        <v>57</v>
      </c>
      <c r="E1502" t="s">
        <v>5937</v>
      </c>
      <c r="F1502" t="s">
        <v>3592</v>
      </c>
      <c r="G1502" t="s">
        <v>51</v>
      </c>
      <c r="H1502" t="s">
        <v>5938</v>
      </c>
      <c r="I1502" t="s">
        <v>53</v>
      </c>
      <c r="J1502" t="s">
        <v>1554</v>
      </c>
      <c r="K1502" t="s">
        <v>5939</v>
      </c>
      <c r="L1502" t="s">
        <v>19</v>
      </c>
      <c r="M1502" t="s">
        <v>18</v>
      </c>
      <c r="N1502">
        <v>3643</v>
      </c>
      <c r="O1502">
        <v>218</v>
      </c>
      <c r="P1502">
        <v>0</v>
      </c>
      <c r="Q1502" t="s">
        <v>6174</v>
      </c>
      <c r="R1502" t="s">
        <v>2865</v>
      </c>
      <c r="S1502" t="s">
        <v>6175</v>
      </c>
      <c r="T1502" t="s">
        <v>6176</v>
      </c>
      <c r="U1502" t="s">
        <v>60</v>
      </c>
      <c r="V1502" t="s">
        <v>61</v>
      </c>
      <c r="W1502">
        <v>10</v>
      </c>
      <c r="X1502">
        <v>0.12381250000000001</v>
      </c>
      <c r="Y1502" t="s">
        <v>249</v>
      </c>
      <c r="Z1502" t="s">
        <v>434</v>
      </c>
      <c r="AA1502">
        <v>2</v>
      </c>
      <c r="AB1502" t="s">
        <v>5943</v>
      </c>
      <c r="AC1502" t="s">
        <v>5944</v>
      </c>
      <c r="AD1502" t="s">
        <v>5945</v>
      </c>
      <c r="AE1502" t="s">
        <v>5946</v>
      </c>
      <c r="AF1502" t="s">
        <v>5947</v>
      </c>
      <c r="AG1502" t="s">
        <v>66</v>
      </c>
      <c r="AH1502" t="s">
        <v>66</v>
      </c>
      <c r="AI1502" t="s">
        <v>66</v>
      </c>
      <c r="AJ1502" t="s">
        <v>66</v>
      </c>
      <c r="AK1502">
        <v>1</v>
      </c>
      <c r="AL1502" t="s">
        <v>6024</v>
      </c>
      <c r="AM1502" t="s">
        <v>6025</v>
      </c>
      <c r="AN1502" t="s">
        <v>6106</v>
      </c>
      <c r="AO1502" t="s">
        <v>66</v>
      </c>
      <c r="AP1502">
        <v>1</v>
      </c>
      <c r="AQ1502" t="s">
        <v>6107</v>
      </c>
      <c r="AR1502" t="s">
        <v>6108</v>
      </c>
      <c r="AS1502" t="s">
        <v>66</v>
      </c>
      <c r="AT1502" t="s">
        <v>66</v>
      </c>
    </row>
    <row r="1503" spans="1:46" x14ac:dyDescent="0.15">
      <c r="A1503" t="s">
        <v>6177</v>
      </c>
      <c r="B1503" t="s">
        <v>5935</v>
      </c>
      <c r="C1503" t="s">
        <v>5936</v>
      </c>
      <c r="D1503">
        <v>58</v>
      </c>
      <c r="E1503" t="s">
        <v>5937</v>
      </c>
      <c r="F1503" t="s">
        <v>3592</v>
      </c>
      <c r="G1503" t="s">
        <v>51</v>
      </c>
      <c r="H1503" t="s">
        <v>5938</v>
      </c>
      <c r="I1503" t="s">
        <v>53</v>
      </c>
      <c r="J1503" t="s">
        <v>1554</v>
      </c>
      <c r="K1503" t="s">
        <v>5939</v>
      </c>
      <c r="L1503" t="s">
        <v>19</v>
      </c>
      <c r="M1503" t="s">
        <v>18</v>
      </c>
      <c r="N1503">
        <v>3699</v>
      </c>
      <c r="O1503">
        <v>222</v>
      </c>
      <c r="P1503">
        <v>0</v>
      </c>
      <c r="Q1503" t="s">
        <v>6178</v>
      </c>
      <c r="R1503" t="s">
        <v>2870</v>
      </c>
      <c r="S1503" t="s">
        <v>6179</v>
      </c>
      <c r="T1503" t="s">
        <v>6180</v>
      </c>
      <c r="U1503" t="s">
        <v>60</v>
      </c>
      <c r="V1503" t="s">
        <v>61</v>
      </c>
      <c r="W1503">
        <v>10</v>
      </c>
      <c r="X1503">
        <v>0.12381250000000001</v>
      </c>
      <c r="Y1503" t="s">
        <v>440</v>
      </c>
      <c r="Z1503" t="s">
        <v>441</v>
      </c>
      <c r="AA1503">
        <v>2</v>
      </c>
      <c r="AB1503" t="s">
        <v>5943</v>
      </c>
      <c r="AC1503" t="s">
        <v>5944</v>
      </c>
      <c r="AD1503" t="s">
        <v>5945</v>
      </c>
      <c r="AE1503" t="s">
        <v>5946</v>
      </c>
      <c r="AF1503" t="s">
        <v>5947</v>
      </c>
      <c r="AG1503" t="s">
        <v>66</v>
      </c>
      <c r="AH1503" t="s">
        <v>66</v>
      </c>
      <c r="AI1503" t="s">
        <v>66</v>
      </c>
      <c r="AJ1503" t="s">
        <v>66</v>
      </c>
      <c r="AK1503">
        <v>1</v>
      </c>
      <c r="AL1503" t="s">
        <v>6024</v>
      </c>
      <c r="AM1503" t="s">
        <v>6025</v>
      </c>
      <c r="AN1503" t="s">
        <v>6106</v>
      </c>
      <c r="AO1503" t="s">
        <v>66</v>
      </c>
      <c r="AP1503">
        <v>1</v>
      </c>
      <c r="AQ1503" t="s">
        <v>6107</v>
      </c>
      <c r="AR1503" t="s">
        <v>6108</v>
      </c>
      <c r="AS1503" t="s">
        <v>66</v>
      </c>
      <c r="AT1503" t="s">
        <v>66</v>
      </c>
    </row>
    <row r="1504" spans="1:46" x14ac:dyDescent="0.15">
      <c r="A1504" t="s">
        <v>6181</v>
      </c>
      <c r="B1504" t="s">
        <v>5935</v>
      </c>
      <c r="C1504" t="s">
        <v>5936</v>
      </c>
      <c r="D1504">
        <v>59</v>
      </c>
      <c r="E1504" t="s">
        <v>5937</v>
      </c>
      <c r="F1504" t="s">
        <v>3592</v>
      </c>
      <c r="G1504" t="s">
        <v>51</v>
      </c>
      <c r="H1504" t="s">
        <v>5938</v>
      </c>
      <c r="I1504" t="s">
        <v>53</v>
      </c>
      <c r="J1504" t="s">
        <v>1554</v>
      </c>
      <c r="K1504" t="s">
        <v>5939</v>
      </c>
      <c r="L1504" t="s">
        <v>19</v>
      </c>
      <c r="M1504" t="s">
        <v>18</v>
      </c>
      <c r="N1504">
        <v>3755</v>
      </c>
      <c r="O1504">
        <v>225</v>
      </c>
      <c r="P1504">
        <v>0</v>
      </c>
      <c r="Q1504" t="s">
        <v>6182</v>
      </c>
      <c r="R1504" t="s">
        <v>2875</v>
      </c>
      <c r="S1504" t="s">
        <v>6183</v>
      </c>
      <c r="T1504" t="s">
        <v>6184</v>
      </c>
      <c r="U1504" t="s">
        <v>60</v>
      </c>
      <c r="V1504" t="s">
        <v>61</v>
      </c>
      <c r="W1504">
        <v>10</v>
      </c>
      <c r="X1504">
        <v>0.12381250000000001</v>
      </c>
      <c r="Y1504" t="s">
        <v>256</v>
      </c>
      <c r="Z1504" t="s">
        <v>447</v>
      </c>
      <c r="AA1504">
        <v>2</v>
      </c>
      <c r="AB1504" t="s">
        <v>5943</v>
      </c>
      <c r="AC1504" t="s">
        <v>5944</v>
      </c>
      <c r="AD1504" t="s">
        <v>5945</v>
      </c>
      <c r="AE1504" t="s">
        <v>5946</v>
      </c>
      <c r="AF1504" t="s">
        <v>5947</v>
      </c>
      <c r="AG1504" t="s">
        <v>66</v>
      </c>
      <c r="AH1504" t="s">
        <v>66</v>
      </c>
      <c r="AI1504" t="s">
        <v>66</v>
      </c>
      <c r="AJ1504" t="s">
        <v>66</v>
      </c>
      <c r="AK1504">
        <v>1</v>
      </c>
      <c r="AL1504" t="s">
        <v>6024</v>
      </c>
      <c r="AM1504" t="s">
        <v>6025</v>
      </c>
      <c r="AN1504" t="s">
        <v>6106</v>
      </c>
      <c r="AO1504" t="s">
        <v>66</v>
      </c>
      <c r="AP1504">
        <v>1</v>
      </c>
      <c r="AQ1504" t="s">
        <v>6107</v>
      </c>
      <c r="AR1504" t="s">
        <v>6108</v>
      </c>
      <c r="AS1504" t="s">
        <v>66</v>
      </c>
      <c r="AT1504" t="s">
        <v>66</v>
      </c>
    </row>
    <row r="1505" spans="1:46" x14ac:dyDescent="0.15">
      <c r="A1505" t="s">
        <v>6185</v>
      </c>
      <c r="B1505" t="s">
        <v>5935</v>
      </c>
      <c r="C1505" t="s">
        <v>5936</v>
      </c>
      <c r="D1505">
        <v>60</v>
      </c>
      <c r="E1505" t="s">
        <v>5937</v>
      </c>
      <c r="F1505" t="s">
        <v>3592</v>
      </c>
      <c r="G1505" t="s">
        <v>51</v>
      </c>
      <c r="H1505" t="s">
        <v>5938</v>
      </c>
      <c r="I1505" t="s">
        <v>53</v>
      </c>
      <c r="J1505" t="s">
        <v>1554</v>
      </c>
      <c r="K1505" t="s">
        <v>5939</v>
      </c>
      <c r="L1505" t="s">
        <v>19</v>
      </c>
      <c r="M1505" t="s">
        <v>18</v>
      </c>
      <c r="N1505">
        <v>3811</v>
      </c>
      <c r="O1505">
        <v>228</v>
      </c>
      <c r="P1505">
        <v>0</v>
      </c>
      <c r="Q1505" t="s">
        <v>6186</v>
      </c>
      <c r="R1505" t="s">
        <v>2880</v>
      </c>
      <c r="S1505" t="s">
        <v>6187</v>
      </c>
      <c r="T1505" t="s">
        <v>6188</v>
      </c>
      <c r="U1505" t="s">
        <v>60</v>
      </c>
      <c r="V1505" t="s">
        <v>61</v>
      </c>
      <c r="W1505">
        <v>10</v>
      </c>
      <c r="X1505">
        <v>0.12381250000000001</v>
      </c>
      <c r="Y1505" t="s">
        <v>453</v>
      </c>
      <c r="Z1505" t="s">
        <v>454</v>
      </c>
      <c r="AA1505">
        <v>2</v>
      </c>
      <c r="AB1505" t="s">
        <v>5943</v>
      </c>
      <c r="AC1505" t="s">
        <v>5944</v>
      </c>
      <c r="AD1505" t="s">
        <v>5945</v>
      </c>
      <c r="AE1505" t="s">
        <v>5946</v>
      </c>
      <c r="AF1505" t="s">
        <v>5947</v>
      </c>
      <c r="AG1505" t="s">
        <v>66</v>
      </c>
      <c r="AH1505" t="s">
        <v>66</v>
      </c>
      <c r="AI1505" t="s">
        <v>66</v>
      </c>
      <c r="AJ1505" t="s">
        <v>66</v>
      </c>
      <c r="AK1505">
        <v>1</v>
      </c>
      <c r="AL1505" t="s">
        <v>6024</v>
      </c>
      <c r="AM1505" t="s">
        <v>6025</v>
      </c>
      <c r="AN1505" t="s">
        <v>6106</v>
      </c>
      <c r="AO1505" t="s">
        <v>66</v>
      </c>
      <c r="AP1505">
        <v>1</v>
      </c>
      <c r="AQ1505" t="s">
        <v>6107</v>
      </c>
      <c r="AR1505" t="s">
        <v>6108</v>
      </c>
      <c r="AS1505" t="s">
        <v>66</v>
      </c>
      <c r="AT1505" t="s">
        <v>66</v>
      </c>
    </row>
    <row r="1506" spans="1:46" x14ac:dyDescent="0.15">
      <c r="A1506" t="s">
        <v>6185</v>
      </c>
      <c r="B1506" t="s">
        <v>5935</v>
      </c>
      <c r="C1506" t="s">
        <v>5936</v>
      </c>
      <c r="D1506">
        <v>60</v>
      </c>
      <c r="E1506" t="s">
        <v>5937</v>
      </c>
      <c r="F1506" t="s">
        <v>3592</v>
      </c>
      <c r="G1506" t="s">
        <v>51</v>
      </c>
      <c r="H1506" t="s">
        <v>5938</v>
      </c>
      <c r="I1506" t="s">
        <v>53</v>
      </c>
      <c r="J1506" t="s">
        <v>1554</v>
      </c>
      <c r="K1506" t="s">
        <v>5939</v>
      </c>
      <c r="L1506" t="s">
        <v>19</v>
      </c>
      <c r="M1506" t="s">
        <v>18</v>
      </c>
      <c r="N1506">
        <v>3811</v>
      </c>
      <c r="O1506">
        <v>228</v>
      </c>
      <c r="P1506">
        <v>0</v>
      </c>
      <c r="Q1506" t="s">
        <v>6186</v>
      </c>
      <c r="R1506" t="s">
        <v>2880</v>
      </c>
      <c r="S1506" t="s">
        <v>6187</v>
      </c>
      <c r="T1506" t="s">
        <v>6188</v>
      </c>
      <c r="U1506" t="s">
        <v>60</v>
      </c>
      <c r="V1506" t="s">
        <v>61</v>
      </c>
      <c r="W1506">
        <v>10</v>
      </c>
      <c r="X1506">
        <v>0.12381250000000001</v>
      </c>
      <c r="Y1506" t="s">
        <v>453</v>
      </c>
      <c r="Z1506" t="s">
        <v>454</v>
      </c>
      <c r="AA1506">
        <v>3</v>
      </c>
      <c r="AB1506" t="s">
        <v>5943</v>
      </c>
      <c r="AC1506" t="s">
        <v>5944</v>
      </c>
      <c r="AD1506" t="s">
        <v>5945</v>
      </c>
      <c r="AE1506" t="s">
        <v>5946</v>
      </c>
      <c r="AF1506" t="s">
        <v>5947</v>
      </c>
      <c r="AG1506" t="s">
        <v>66</v>
      </c>
      <c r="AH1506" t="s">
        <v>66</v>
      </c>
      <c r="AI1506" t="s">
        <v>66</v>
      </c>
      <c r="AJ1506" t="s">
        <v>66</v>
      </c>
      <c r="AK1506">
        <v>1</v>
      </c>
      <c r="AL1506" t="s">
        <v>6024</v>
      </c>
      <c r="AM1506" t="s">
        <v>6025</v>
      </c>
      <c r="AN1506" t="s">
        <v>6106</v>
      </c>
      <c r="AO1506" t="s">
        <v>66</v>
      </c>
      <c r="AP1506">
        <v>1</v>
      </c>
      <c r="AQ1506" t="s">
        <v>6189</v>
      </c>
      <c r="AR1506" t="s">
        <v>6108</v>
      </c>
      <c r="AS1506" t="s">
        <v>6190</v>
      </c>
      <c r="AT1506" t="s">
        <v>66</v>
      </c>
    </row>
    <row r="1507" spans="1:46" x14ac:dyDescent="0.15">
      <c r="A1507" t="s">
        <v>6191</v>
      </c>
      <c r="B1507" t="s">
        <v>5935</v>
      </c>
      <c r="C1507" t="s">
        <v>5936</v>
      </c>
      <c r="D1507">
        <v>61</v>
      </c>
      <c r="E1507" t="s">
        <v>5937</v>
      </c>
      <c r="F1507" t="s">
        <v>3592</v>
      </c>
      <c r="G1507" t="s">
        <v>51</v>
      </c>
      <c r="H1507" t="s">
        <v>5938</v>
      </c>
      <c r="I1507" t="s">
        <v>53</v>
      </c>
      <c r="J1507" t="s">
        <v>1554</v>
      </c>
      <c r="K1507" t="s">
        <v>5939</v>
      </c>
      <c r="L1507" t="s">
        <v>19</v>
      </c>
      <c r="M1507" t="s">
        <v>18</v>
      </c>
      <c r="N1507">
        <v>3867</v>
      </c>
      <c r="O1507">
        <v>232</v>
      </c>
      <c r="P1507">
        <v>0</v>
      </c>
      <c r="Q1507" t="s">
        <v>6192</v>
      </c>
      <c r="R1507" t="s">
        <v>2887</v>
      </c>
      <c r="S1507" t="s">
        <v>6193</v>
      </c>
      <c r="T1507" t="s">
        <v>6194</v>
      </c>
      <c r="U1507" t="s">
        <v>60</v>
      </c>
      <c r="V1507" t="s">
        <v>61</v>
      </c>
      <c r="W1507">
        <v>10</v>
      </c>
      <c r="X1507">
        <v>0.12381250000000001</v>
      </c>
      <c r="Y1507" t="s">
        <v>262</v>
      </c>
      <c r="Z1507" t="s">
        <v>465</v>
      </c>
      <c r="AA1507">
        <v>3</v>
      </c>
      <c r="AB1507" t="s">
        <v>5943</v>
      </c>
      <c r="AC1507" t="s">
        <v>5944</v>
      </c>
      <c r="AD1507" t="s">
        <v>5945</v>
      </c>
      <c r="AE1507" t="s">
        <v>5946</v>
      </c>
      <c r="AF1507" t="s">
        <v>5947</v>
      </c>
      <c r="AG1507" t="s">
        <v>66</v>
      </c>
      <c r="AH1507" t="s">
        <v>66</v>
      </c>
      <c r="AI1507" t="s">
        <v>66</v>
      </c>
      <c r="AJ1507" t="s">
        <v>66</v>
      </c>
      <c r="AK1507">
        <v>1</v>
      </c>
      <c r="AL1507" t="s">
        <v>6024</v>
      </c>
      <c r="AM1507" t="s">
        <v>6025</v>
      </c>
      <c r="AN1507" t="s">
        <v>6106</v>
      </c>
      <c r="AO1507" t="s">
        <v>66</v>
      </c>
      <c r="AP1507">
        <v>1</v>
      </c>
      <c r="AQ1507" t="s">
        <v>6189</v>
      </c>
      <c r="AR1507" t="s">
        <v>6108</v>
      </c>
      <c r="AS1507" t="s">
        <v>6190</v>
      </c>
      <c r="AT1507" t="s">
        <v>66</v>
      </c>
    </row>
    <row r="1508" spans="1:46" x14ac:dyDescent="0.15">
      <c r="A1508" t="s">
        <v>6195</v>
      </c>
      <c r="B1508" t="s">
        <v>5935</v>
      </c>
      <c r="C1508" t="s">
        <v>5936</v>
      </c>
      <c r="D1508">
        <v>62</v>
      </c>
      <c r="E1508" t="s">
        <v>5937</v>
      </c>
      <c r="F1508" t="s">
        <v>3592</v>
      </c>
      <c r="G1508" t="s">
        <v>51</v>
      </c>
      <c r="H1508" t="s">
        <v>5938</v>
      </c>
      <c r="I1508" t="s">
        <v>53</v>
      </c>
      <c r="J1508" t="s">
        <v>1554</v>
      </c>
      <c r="K1508" t="s">
        <v>5939</v>
      </c>
      <c r="L1508" t="s">
        <v>19</v>
      </c>
      <c r="M1508" t="s">
        <v>18</v>
      </c>
      <c r="N1508">
        <v>3923</v>
      </c>
      <c r="O1508">
        <v>235</v>
      </c>
      <c r="P1508">
        <v>0</v>
      </c>
      <c r="Q1508" t="s">
        <v>6196</v>
      </c>
      <c r="R1508" t="s">
        <v>2892</v>
      </c>
      <c r="S1508" t="s">
        <v>6197</v>
      </c>
      <c r="T1508" t="s">
        <v>6198</v>
      </c>
      <c r="U1508" t="s">
        <v>60</v>
      </c>
      <c r="V1508" t="s">
        <v>61</v>
      </c>
      <c r="W1508">
        <v>10</v>
      </c>
      <c r="X1508">
        <v>0.12381250000000001</v>
      </c>
      <c r="Y1508" t="s">
        <v>471</v>
      </c>
      <c r="Z1508" t="s">
        <v>472</v>
      </c>
      <c r="AA1508">
        <v>3</v>
      </c>
      <c r="AB1508" t="s">
        <v>5943</v>
      </c>
      <c r="AC1508" t="s">
        <v>5944</v>
      </c>
      <c r="AD1508" t="s">
        <v>5945</v>
      </c>
      <c r="AE1508" t="s">
        <v>5946</v>
      </c>
      <c r="AF1508" t="s">
        <v>5947</v>
      </c>
      <c r="AG1508" t="s">
        <v>66</v>
      </c>
      <c r="AH1508" t="s">
        <v>66</v>
      </c>
      <c r="AI1508" t="s">
        <v>66</v>
      </c>
      <c r="AJ1508" t="s">
        <v>66</v>
      </c>
      <c r="AK1508">
        <v>1</v>
      </c>
      <c r="AL1508" t="s">
        <v>6024</v>
      </c>
      <c r="AM1508" t="s">
        <v>6025</v>
      </c>
      <c r="AN1508" t="s">
        <v>6106</v>
      </c>
      <c r="AO1508" t="s">
        <v>66</v>
      </c>
      <c r="AP1508">
        <v>1</v>
      </c>
      <c r="AQ1508" t="s">
        <v>6189</v>
      </c>
      <c r="AR1508" t="s">
        <v>6108</v>
      </c>
      <c r="AS1508" t="s">
        <v>6190</v>
      </c>
      <c r="AT1508" t="s">
        <v>66</v>
      </c>
    </row>
    <row r="1509" spans="1:46" x14ac:dyDescent="0.15">
      <c r="A1509" t="s">
        <v>6199</v>
      </c>
      <c r="B1509" t="s">
        <v>5935</v>
      </c>
      <c r="C1509" t="s">
        <v>5936</v>
      </c>
      <c r="D1509">
        <v>63</v>
      </c>
      <c r="E1509" t="s">
        <v>5937</v>
      </c>
      <c r="F1509" t="s">
        <v>3592</v>
      </c>
      <c r="G1509" t="s">
        <v>51</v>
      </c>
      <c r="H1509" t="s">
        <v>5938</v>
      </c>
      <c r="I1509" t="s">
        <v>53</v>
      </c>
      <c r="J1509" t="s">
        <v>1554</v>
      </c>
      <c r="K1509" t="s">
        <v>5939</v>
      </c>
      <c r="L1509" t="s">
        <v>19</v>
      </c>
      <c r="M1509" t="s">
        <v>18</v>
      </c>
      <c r="N1509">
        <v>3980</v>
      </c>
      <c r="O1509">
        <v>239</v>
      </c>
      <c r="P1509">
        <v>0</v>
      </c>
      <c r="Q1509" t="s">
        <v>6200</v>
      </c>
      <c r="R1509" t="s">
        <v>2897</v>
      </c>
      <c r="S1509" t="s">
        <v>6201</v>
      </c>
      <c r="T1509" t="s">
        <v>6202</v>
      </c>
      <c r="U1509" t="s">
        <v>60</v>
      </c>
      <c r="V1509" t="s">
        <v>61</v>
      </c>
      <c r="W1509">
        <v>10</v>
      </c>
      <c r="X1509">
        <v>0.12381250000000001</v>
      </c>
      <c r="Y1509" t="s">
        <v>269</v>
      </c>
      <c r="Z1509" t="s">
        <v>478</v>
      </c>
      <c r="AA1509">
        <v>3</v>
      </c>
      <c r="AB1509" t="s">
        <v>5943</v>
      </c>
      <c r="AC1509" t="s">
        <v>5944</v>
      </c>
      <c r="AD1509" t="s">
        <v>5945</v>
      </c>
      <c r="AE1509" t="s">
        <v>5946</v>
      </c>
      <c r="AF1509" t="s">
        <v>5947</v>
      </c>
      <c r="AG1509" t="s">
        <v>66</v>
      </c>
      <c r="AH1509" t="s">
        <v>66</v>
      </c>
      <c r="AI1509" t="s">
        <v>66</v>
      </c>
      <c r="AJ1509" t="s">
        <v>66</v>
      </c>
      <c r="AK1509">
        <v>1</v>
      </c>
      <c r="AL1509" t="s">
        <v>6024</v>
      </c>
      <c r="AM1509" t="s">
        <v>6025</v>
      </c>
      <c r="AN1509" t="s">
        <v>6106</v>
      </c>
      <c r="AO1509" t="s">
        <v>66</v>
      </c>
      <c r="AP1509">
        <v>1</v>
      </c>
      <c r="AQ1509" t="s">
        <v>6189</v>
      </c>
      <c r="AR1509" t="s">
        <v>6108</v>
      </c>
      <c r="AS1509" t="s">
        <v>6190</v>
      </c>
      <c r="AT1509" t="s">
        <v>66</v>
      </c>
    </row>
    <row r="1510" spans="1:46" x14ac:dyDescent="0.15">
      <c r="A1510" t="s">
        <v>6203</v>
      </c>
      <c r="B1510" t="s">
        <v>5935</v>
      </c>
      <c r="C1510" t="s">
        <v>5936</v>
      </c>
      <c r="D1510">
        <v>64</v>
      </c>
      <c r="E1510" t="s">
        <v>5937</v>
      </c>
      <c r="F1510" t="s">
        <v>3592</v>
      </c>
      <c r="G1510" t="s">
        <v>51</v>
      </c>
      <c r="H1510" t="s">
        <v>5938</v>
      </c>
      <c r="I1510" t="s">
        <v>53</v>
      </c>
      <c r="J1510" t="s">
        <v>1554</v>
      </c>
      <c r="K1510" t="s">
        <v>5939</v>
      </c>
      <c r="L1510" t="s">
        <v>19</v>
      </c>
      <c r="M1510" t="s">
        <v>18</v>
      </c>
      <c r="N1510">
        <v>4036</v>
      </c>
      <c r="O1510">
        <v>242</v>
      </c>
      <c r="P1510">
        <v>0</v>
      </c>
      <c r="Q1510" t="s">
        <v>6204</v>
      </c>
      <c r="R1510" t="s">
        <v>2902</v>
      </c>
      <c r="S1510" t="s">
        <v>6205</v>
      </c>
      <c r="T1510" t="s">
        <v>6206</v>
      </c>
      <c r="U1510" t="s">
        <v>60</v>
      </c>
      <c r="V1510" t="s">
        <v>61</v>
      </c>
      <c r="W1510">
        <v>10</v>
      </c>
      <c r="X1510">
        <v>0.12381250000000001</v>
      </c>
      <c r="Y1510" t="s">
        <v>484</v>
      </c>
      <c r="Z1510" t="s">
        <v>485</v>
      </c>
      <c r="AA1510">
        <v>3</v>
      </c>
      <c r="AB1510" t="s">
        <v>5943</v>
      </c>
      <c r="AC1510" t="s">
        <v>5944</v>
      </c>
      <c r="AD1510" t="s">
        <v>5945</v>
      </c>
      <c r="AE1510" t="s">
        <v>5946</v>
      </c>
      <c r="AF1510" t="s">
        <v>5947</v>
      </c>
      <c r="AG1510" t="s">
        <v>66</v>
      </c>
      <c r="AH1510" t="s">
        <v>66</v>
      </c>
      <c r="AI1510" t="s">
        <v>66</v>
      </c>
      <c r="AJ1510" t="s">
        <v>66</v>
      </c>
      <c r="AK1510">
        <v>1</v>
      </c>
      <c r="AL1510" t="s">
        <v>6024</v>
      </c>
      <c r="AM1510" t="s">
        <v>6025</v>
      </c>
      <c r="AN1510" t="s">
        <v>6106</v>
      </c>
      <c r="AO1510" t="s">
        <v>66</v>
      </c>
      <c r="AP1510">
        <v>1</v>
      </c>
      <c r="AQ1510" t="s">
        <v>6189</v>
      </c>
      <c r="AR1510" t="s">
        <v>6108</v>
      </c>
      <c r="AS1510" t="s">
        <v>6190</v>
      </c>
      <c r="AT1510" t="s">
        <v>66</v>
      </c>
    </row>
    <row r="1511" spans="1:46" x14ac:dyDescent="0.15">
      <c r="A1511" t="s">
        <v>6207</v>
      </c>
      <c r="B1511" t="s">
        <v>5935</v>
      </c>
      <c r="C1511" t="s">
        <v>5936</v>
      </c>
      <c r="D1511">
        <v>65</v>
      </c>
      <c r="E1511" t="s">
        <v>5937</v>
      </c>
      <c r="F1511" t="s">
        <v>3592</v>
      </c>
      <c r="G1511" t="s">
        <v>51</v>
      </c>
      <c r="H1511" t="s">
        <v>5938</v>
      </c>
      <c r="I1511" t="s">
        <v>53</v>
      </c>
      <c r="J1511" t="s">
        <v>1554</v>
      </c>
      <c r="K1511" t="s">
        <v>5939</v>
      </c>
      <c r="L1511" t="s">
        <v>19</v>
      </c>
      <c r="M1511" t="s">
        <v>18</v>
      </c>
      <c r="N1511">
        <v>4092</v>
      </c>
      <c r="O1511">
        <v>245</v>
      </c>
      <c r="P1511">
        <v>0</v>
      </c>
      <c r="Q1511" t="s">
        <v>6208</v>
      </c>
      <c r="R1511" t="s">
        <v>2907</v>
      </c>
      <c r="S1511" t="s">
        <v>6209</v>
      </c>
      <c r="T1511" t="s">
        <v>6210</v>
      </c>
      <c r="U1511" t="s">
        <v>60</v>
      </c>
      <c r="V1511" t="s">
        <v>61</v>
      </c>
      <c r="W1511">
        <v>10</v>
      </c>
      <c r="X1511">
        <v>0.12381250000000001</v>
      </c>
      <c r="Y1511" t="s">
        <v>275</v>
      </c>
      <c r="Z1511" t="s">
        <v>491</v>
      </c>
      <c r="AA1511">
        <v>3</v>
      </c>
      <c r="AB1511" t="s">
        <v>5943</v>
      </c>
      <c r="AC1511" t="s">
        <v>5944</v>
      </c>
      <c r="AD1511" t="s">
        <v>5945</v>
      </c>
      <c r="AE1511" t="s">
        <v>5946</v>
      </c>
      <c r="AF1511" t="s">
        <v>5947</v>
      </c>
      <c r="AG1511" t="s">
        <v>66</v>
      </c>
      <c r="AH1511" t="s">
        <v>66</v>
      </c>
      <c r="AI1511" t="s">
        <v>66</v>
      </c>
      <c r="AJ1511" t="s">
        <v>66</v>
      </c>
      <c r="AK1511">
        <v>1</v>
      </c>
      <c r="AL1511" t="s">
        <v>6024</v>
      </c>
      <c r="AM1511" t="s">
        <v>6025</v>
      </c>
      <c r="AN1511" t="s">
        <v>6106</v>
      </c>
      <c r="AO1511" t="s">
        <v>66</v>
      </c>
      <c r="AP1511">
        <v>1</v>
      </c>
      <c r="AQ1511" t="s">
        <v>6189</v>
      </c>
      <c r="AR1511" t="s">
        <v>6108</v>
      </c>
      <c r="AS1511" t="s">
        <v>6190</v>
      </c>
      <c r="AT1511" t="s">
        <v>66</v>
      </c>
    </row>
    <row r="1512" spans="1:46" x14ac:dyDescent="0.15">
      <c r="A1512" t="s">
        <v>6211</v>
      </c>
      <c r="B1512" t="s">
        <v>5935</v>
      </c>
      <c r="C1512" t="s">
        <v>5936</v>
      </c>
      <c r="D1512">
        <v>66</v>
      </c>
      <c r="E1512" t="s">
        <v>5937</v>
      </c>
      <c r="F1512" t="s">
        <v>3592</v>
      </c>
      <c r="G1512" t="s">
        <v>51</v>
      </c>
      <c r="H1512" t="s">
        <v>5938</v>
      </c>
      <c r="I1512" t="s">
        <v>53</v>
      </c>
      <c r="J1512" t="s">
        <v>1554</v>
      </c>
      <c r="K1512" t="s">
        <v>5939</v>
      </c>
      <c r="L1512" t="s">
        <v>19</v>
      </c>
      <c r="M1512" t="s">
        <v>18</v>
      </c>
      <c r="N1512">
        <v>4148</v>
      </c>
      <c r="O1512">
        <v>249</v>
      </c>
      <c r="P1512">
        <v>0</v>
      </c>
      <c r="Q1512" t="s">
        <v>6212</v>
      </c>
      <c r="R1512" t="s">
        <v>2912</v>
      </c>
      <c r="S1512" t="s">
        <v>6213</v>
      </c>
      <c r="T1512" t="s">
        <v>6214</v>
      </c>
      <c r="U1512" t="s">
        <v>60</v>
      </c>
      <c r="V1512" t="s">
        <v>61</v>
      </c>
      <c r="W1512">
        <v>10</v>
      </c>
      <c r="X1512">
        <v>0.12381250000000001</v>
      </c>
      <c r="Y1512" t="s">
        <v>497</v>
      </c>
      <c r="Z1512" t="s">
        <v>498</v>
      </c>
      <c r="AA1512">
        <v>3</v>
      </c>
      <c r="AB1512" t="s">
        <v>5943</v>
      </c>
      <c r="AC1512" t="s">
        <v>5944</v>
      </c>
      <c r="AD1512" t="s">
        <v>5945</v>
      </c>
      <c r="AE1512" t="s">
        <v>5946</v>
      </c>
      <c r="AF1512" t="s">
        <v>5947</v>
      </c>
      <c r="AG1512" t="s">
        <v>66</v>
      </c>
      <c r="AH1512" t="s">
        <v>66</v>
      </c>
      <c r="AI1512" t="s">
        <v>66</v>
      </c>
      <c r="AJ1512" t="s">
        <v>66</v>
      </c>
      <c r="AK1512">
        <v>1</v>
      </c>
      <c r="AL1512" t="s">
        <v>6024</v>
      </c>
      <c r="AM1512" t="s">
        <v>6025</v>
      </c>
      <c r="AN1512" t="s">
        <v>6106</v>
      </c>
      <c r="AO1512" t="s">
        <v>66</v>
      </c>
      <c r="AP1512">
        <v>1</v>
      </c>
      <c r="AQ1512" t="s">
        <v>6189</v>
      </c>
      <c r="AR1512" t="s">
        <v>6108</v>
      </c>
      <c r="AS1512" t="s">
        <v>6190</v>
      </c>
      <c r="AT1512" t="s">
        <v>66</v>
      </c>
    </row>
    <row r="1513" spans="1:46" x14ac:dyDescent="0.15">
      <c r="A1513" t="s">
        <v>6215</v>
      </c>
      <c r="B1513" t="s">
        <v>5935</v>
      </c>
      <c r="C1513" t="s">
        <v>5936</v>
      </c>
      <c r="D1513">
        <v>67</v>
      </c>
      <c r="E1513" t="s">
        <v>5937</v>
      </c>
      <c r="F1513" t="s">
        <v>3592</v>
      </c>
      <c r="G1513" t="s">
        <v>51</v>
      </c>
      <c r="H1513" t="s">
        <v>5938</v>
      </c>
      <c r="I1513" t="s">
        <v>53</v>
      </c>
      <c r="J1513" t="s">
        <v>1554</v>
      </c>
      <c r="K1513" t="s">
        <v>5939</v>
      </c>
      <c r="L1513" t="s">
        <v>19</v>
      </c>
      <c r="M1513" t="s">
        <v>18</v>
      </c>
      <c r="N1513">
        <v>4204</v>
      </c>
      <c r="O1513">
        <v>252</v>
      </c>
      <c r="P1513">
        <v>0</v>
      </c>
      <c r="Q1513" t="s">
        <v>6216</v>
      </c>
      <c r="R1513" t="s">
        <v>2917</v>
      </c>
      <c r="S1513" t="s">
        <v>6217</v>
      </c>
      <c r="T1513" t="s">
        <v>6218</v>
      </c>
      <c r="U1513" t="s">
        <v>60</v>
      </c>
      <c r="V1513" t="s">
        <v>61</v>
      </c>
      <c r="W1513">
        <v>10</v>
      </c>
      <c r="X1513">
        <v>0.12381250000000001</v>
      </c>
      <c r="Y1513" t="s">
        <v>282</v>
      </c>
      <c r="Z1513" t="s">
        <v>504</v>
      </c>
      <c r="AA1513">
        <v>3</v>
      </c>
      <c r="AB1513" t="s">
        <v>5943</v>
      </c>
      <c r="AC1513" t="s">
        <v>5944</v>
      </c>
      <c r="AD1513" t="s">
        <v>5945</v>
      </c>
      <c r="AE1513" t="s">
        <v>5946</v>
      </c>
      <c r="AF1513" t="s">
        <v>5947</v>
      </c>
      <c r="AG1513" t="s">
        <v>66</v>
      </c>
      <c r="AH1513" t="s">
        <v>66</v>
      </c>
      <c r="AI1513" t="s">
        <v>66</v>
      </c>
      <c r="AJ1513" t="s">
        <v>66</v>
      </c>
      <c r="AK1513">
        <v>1</v>
      </c>
      <c r="AL1513" t="s">
        <v>6024</v>
      </c>
      <c r="AM1513" t="s">
        <v>6025</v>
      </c>
      <c r="AN1513" t="s">
        <v>6106</v>
      </c>
      <c r="AO1513" t="s">
        <v>66</v>
      </c>
      <c r="AP1513">
        <v>1</v>
      </c>
      <c r="AQ1513" t="s">
        <v>6189</v>
      </c>
      <c r="AR1513" t="s">
        <v>6108</v>
      </c>
      <c r="AS1513" t="s">
        <v>6190</v>
      </c>
      <c r="AT1513" t="s">
        <v>66</v>
      </c>
    </row>
    <row r="1514" spans="1:46" x14ac:dyDescent="0.15">
      <c r="A1514" t="s">
        <v>6219</v>
      </c>
      <c r="B1514" t="s">
        <v>5935</v>
      </c>
      <c r="C1514" t="s">
        <v>5936</v>
      </c>
      <c r="D1514">
        <v>68</v>
      </c>
      <c r="E1514" t="s">
        <v>5937</v>
      </c>
      <c r="F1514" t="s">
        <v>3592</v>
      </c>
      <c r="G1514" t="s">
        <v>51</v>
      </c>
      <c r="H1514" t="s">
        <v>5938</v>
      </c>
      <c r="I1514" t="s">
        <v>53</v>
      </c>
      <c r="J1514" t="s">
        <v>1554</v>
      </c>
      <c r="K1514" t="s">
        <v>5939</v>
      </c>
      <c r="L1514" t="s">
        <v>19</v>
      </c>
      <c r="M1514" t="s">
        <v>18</v>
      </c>
      <c r="N1514">
        <v>4260</v>
      </c>
      <c r="O1514">
        <v>255</v>
      </c>
      <c r="P1514">
        <v>0</v>
      </c>
      <c r="Q1514" t="s">
        <v>6220</v>
      </c>
      <c r="R1514" t="s">
        <v>2922</v>
      </c>
      <c r="S1514" t="s">
        <v>6221</v>
      </c>
      <c r="T1514" t="s">
        <v>6222</v>
      </c>
      <c r="U1514" t="s">
        <v>60</v>
      </c>
      <c r="V1514" t="s">
        <v>61</v>
      </c>
      <c r="W1514">
        <v>10</v>
      </c>
      <c r="X1514">
        <v>0.12381250000000001</v>
      </c>
      <c r="Y1514" t="s">
        <v>510</v>
      </c>
      <c r="Z1514" t="s">
        <v>511</v>
      </c>
      <c r="AA1514">
        <v>3</v>
      </c>
      <c r="AB1514" t="s">
        <v>5943</v>
      </c>
      <c r="AC1514" t="s">
        <v>5944</v>
      </c>
      <c r="AD1514" t="s">
        <v>5945</v>
      </c>
      <c r="AE1514" t="s">
        <v>5946</v>
      </c>
      <c r="AF1514" t="s">
        <v>5947</v>
      </c>
      <c r="AG1514" t="s">
        <v>66</v>
      </c>
      <c r="AH1514" t="s">
        <v>66</v>
      </c>
      <c r="AI1514" t="s">
        <v>66</v>
      </c>
      <c r="AJ1514" t="s">
        <v>66</v>
      </c>
      <c r="AK1514">
        <v>1</v>
      </c>
      <c r="AL1514" t="s">
        <v>6024</v>
      </c>
      <c r="AM1514" t="s">
        <v>6025</v>
      </c>
      <c r="AN1514" t="s">
        <v>6106</v>
      </c>
      <c r="AO1514" t="s">
        <v>66</v>
      </c>
      <c r="AP1514">
        <v>1</v>
      </c>
      <c r="AQ1514" t="s">
        <v>6189</v>
      </c>
      <c r="AR1514" t="s">
        <v>6108</v>
      </c>
      <c r="AS1514" t="s">
        <v>6190</v>
      </c>
      <c r="AT1514" t="s">
        <v>66</v>
      </c>
    </row>
    <row r="1515" spans="1:46" x14ac:dyDescent="0.15">
      <c r="A1515" t="s">
        <v>6223</v>
      </c>
      <c r="B1515" t="s">
        <v>5935</v>
      </c>
      <c r="C1515" t="s">
        <v>5936</v>
      </c>
      <c r="D1515">
        <v>69</v>
      </c>
      <c r="E1515" t="s">
        <v>5937</v>
      </c>
      <c r="F1515" t="s">
        <v>3592</v>
      </c>
      <c r="G1515" t="s">
        <v>51</v>
      </c>
      <c r="H1515" t="s">
        <v>5938</v>
      </c>
      <c r="I1515" t="s">
        <v>53</v>
      </c>
      <c r="J1515" t="s">
        <v>1554</v>
      </c>
      <c r="K1515" t="s">
        <v>5939</v>
      </c>
      <c r="L1515" t="s">
        <v>19</v>
      </c>
      <c r="M1515" t="s">
        <v>18</v>
      </c>
      <c r="N1515">
        <v>4316</v>
      </c>
      <c r="O1515">
        <v>259</v>
      </c>
      <c r="P1515">
        <v>0</v>
      </c>
      <c r="Q1515" t="s">
        <v>6224</v>
      </c>
      <c r="R1515" t="s">
        <v>2927</v>
      </c>
      <c r="S1515" t="s">
        <v>6225</v>
      </c>
      <c r="T1515" t="s">
        <v>6226</v>
      </c>
      <c r="U1515" t="s">
        <v>60</v>
      </c>
      <c r="V1515" t="s">
        <v>61</v>
      </c>
      <c r="W1515">
        <v>10</v>
      </c>
      <c r="X1515">
        <v>0.12381250000000001</v>
      </c>
      <c r="Y1515" t="s">
        <v>288</v>
      </c>
      <c r="Z1515" t="s">
        <v>517</v>
      </c>
      <c r="AA1515">
        <v>3</v>
      </c>
      <c r="AB1515" t="s">
        <v>5943</v>
      </c>
      <c r="AC1515" t="s">
        <v>5944</v>
      </c>
      <c r="AD1515" t="s">
        <v>5945</v>
      </c>
      <c r="AE1515" t="s">
        <v>5946</v>
      </c>
      <c r="AF1515" t="s">
        <v>5947</v>
      </c>
      <c r="AG1515" t="s">
        <v>66</v>
      </c>
      <c r="AH1515" t="s">
        <v>66</v>
      </c>
      <c r="AI1515" t="s">
        <v>66</v>
      </c>
      <c r="AJ1515" t="s">
        <v>66</v>
      </c>
      <c r="AK1515">
        <v>1</v>
      </c>
      <c r="AL1515" t="s">
        <v>6024</v>
      </c>
      <c r="AM1515" t="s">
        <v>6025</v>
      </c>
      <c r="AN1515" t="s">
        <v>6106</v>
      </c>
      <c r="AO1515" t="s">
        <v>66</v>
      </c>
      <c r="AP1515">
        <v>1</v>
      </c>
      <c r="AQ1515" t="s">
        <v>6189</v>
      </c>
      <c r="AR1515" t="s">
        <v>6108</v>
      </c>
      <c r="AS1515" t="s">
        <v>6190</v>
      </c>
      <c r="AT1515" t="s">
        <v>66</v>
      </c>
    </row>
    <row r="1516" spans="1:46" x14ac:dyDescent="0.15">
      <c r="A1516" t="s">
        <v>6227</v>
      </c>
      <c r="B1516" t="s">
        <v>5935</v>
      </c>
      <c r="C1516" t="s">
        <v>5936</v>
      </c>
      <c r="D1516">
        <v>70</v>
      </c>
      <c r="E1516" t="s">
        <v>5937</v>
      </c>
      <c r="F1516" t="s">
        <v>3592</v>
      </c>
      <c r="G1516" t="s">
        <v>51</v>
      </c>
      <c r="H1516" t="s">
        <v>5938</v>
      </c>
      <c r="I1516" t="s">
        <v>53</v>
      </c>
      <c r="J1516" t="s">
        <v>1554</v>
      </c>
      <c r="K1516" t="s">
        <v>5939</v>
      </c>
      <c r="L1516" t="s">
        <v>19</v>
      </c>
      <c r="M1516" t="s">
        <v>18</v>
      </c>
      <c r="N1516">
        <v>4372</v>
      </c>
      <c r="O1516">
        <v>262</v>
      </c>
      <c r="P1516">
        <v>0</v>
      </c>
      <c r="Q1516" t="s">
        <v>6228</v>
      </c>
      <c r="R1516" t="s">
        <v>2932</v>
      </c>
      <c r="S1516" t="s">
        <v>6229</v>
      </c>
      <c r="T1516" t="s">
        <v>6230</v>
      </c>
      <c r="U1516" t="s">
        <v>60</v>
      </c>
      <c r="V1516" t="s">
        <v>61</v>
      </c>
      <c r="W1516">
        <v>10</v>
      </c>
      <c r="X1516">
        <v>0.12381250000000001</v>
      </c>
      <c r="Y1516" t="s">
        <v>523</v>
      </c>
      <c r="Z1516" t="s">
        <v>524</v>
      </c>
      <c r="AA1516">
        <v>3</v>
      </c>
      <c r="AB1516" t="s">
        <v>5943</v>
      </c>
      <c r="AC1516" t="s">
        <v>5944</v>
      </c>
      <c r="AD1516" t="s">
        <v>5945</v>
      </c>
      <c r="AE1516" t="s">
        <v>5946</v>
      </c>
      <c r="AF1516" t="s">
        <v>5947</v>
      </c>
      <c r="AG1516" t="s">
        <v>66</v>
      </c>
      <c r="AH1516" t="s">
        <v>66</v>
      </c>
      <c r="AI1516" t="s">
        <v>66</v>
      </c>
      <c r="AJ1516" t="s">
        <v>66</v>
      </c>
      <c r="AK1516">
        <v>1</v>
      </c>
      <c r="AL1516" t="s">
        <v>6024</v>
      </c>
      <c r="AM1516" t="s">
        <v>6025</v>
      </c>
      <c r="AN1516" t="s">
        <v>6106</v>
      </c>
      <c r="AO1516" t="s">
        <v>66</v>
      </c>
      <c r="AP1516">
        <v>1</v>
      </c>
      <c r="AQ1516" t="s">
        <v>6189</v>
      </c>
      <c r="AR1516" t="s">
        <v>6108</v>
      </c>
      <c r="AS1516" t="s">
        <v>6190</v>
      </c>
      <c r="AT1516" t="s">
        <v>66</v>
      </c>
    </row>
    <row r="1517" spans="1:46" x14ac:dyDescent="0.15">
      <c r="A1517" t="s">
        <v>6231</v>
      </c>
      <c r="B1517" t="s">
        <v>5935</v>
      </c>
      <c r="C1517" t="s">
        <v>5936</v>
      </c>
      <c r="D1517">
        <v>71</v>
      </c>
      <c r="E1517" t="s">
        <v>5937</v>
      </c>
      <c r="F1517" t="s">
        <v>3592</v>
      </c>
      <c r="G1517" t="s">
        <v>51</v>
      </c>
      <c r="H1517" t="s">
        <v>5938</v>
      </c>
      <c r="I1517" t="s">
        <v>53</v>
      </c>
      <c r="J1517" t="s">
        <v>1554</v>
      </c>
      <c r="K1517" t="s">
        <v>5939</v>
      </c>
      <c r="L1517" t="s">
        <v>19</v>
      </c>
      <c r="M1517" t="s">
        <v>18</v>
      </c>
      <c r="N1517">
        <v>4429</v>
      </c>
      <c r="O1517">
        <v>265</v>
      </c>
      <c r="P1517">
        <v>0</v>
      </c>
      <c r="Q1517" t="s">
        <v>6232</v>
      </c>
      <c r="R1517" t="s">
        <v>2937</v>
      </c>
      <c r="S1517" t="s">
        <v>6233</v>
      </c>
      <c r="T1517" t="s">
        <v>6234</v>
      </c>
      <c r="U1517" t="s">
        <v>60</v>
      </c>
      <c r="V1517" t="s">
        <v>61</v>
      </c>
      <c r="W1517">
        <v>10</v>
      </c>
      <c r="X1517">
        <v>0.12381250000000001</v>
      </c>
      <c r="Y1517" t="s">
        <v>295</v>
      </c>
      <c r="Z1517" t="s">
        <v>530</v>
      </c>
      <c r="AA1517">
        <v>3</v>
      </c>
      <c r="AB1517" t="s">
        <v>5943</v>
      </c>
      <c r="AC1517" t="s">
        <v>5944</v>
      </c>
      <c r="AD1517" t="s">
        <v>5945</v>
      </c>
      <c r="AE1517" t="s">
        <v>5946</v>
      </c>
      <c r="AF1517" t="s">
        <v>5947</v>
      </c>
      <c r="AG1517" t="s">
        <v>66</v>
      </c>
      <c r="AH1517" t="s">
        <v>66</v>
      </c>
      <c r="AI1517" t="s">
        <v>66</v>
      </c>
      <c r="AJ1517" t="s">
        <v>66</v>
      </c>
      <c r="AK1517">
        <v>1</v>
      </c>
      <c r="AL1517" t="s">
        <v>6024</v>
      </c>
      <c r="AM1517" t="s">
        <v>6025</v>
      </c>
      <c r="AN1517" t="s">
        <v>6106</v>
      </c>
      <c r="AO1517" t="s">
        <v>66</v>
      </c>
      <c r="AP1517">
        <v>1</v>
      </c>
      <c r="AQ1517" t="s">
        <v>6189</v>
      </c>
      <c r="AR1517" t="s">
        <v>6108</v>
      </c>
      <c r="AS1517" t="s">
        <v>6190</v>
      </c>
      <c r="AT1517" t="s">
        <v>66</v>
      </c>
    </row>
    <row r="1518" spans="1:46" x14ac:dyDescent="0.15">
      <c r="A1518" t="s">
        <v>6235</v>
      </c>
      <c r="B1518" t="s">
        <v>5935</v>
      </c>
      <c r="C1518" t="s">
        <v>5936</v>
      </c>
      <c r="D1518">
        <v>72</v>
      </c>
      <c r="E1518" t="s">
        <v>5937</v>
      </c>
      <c r="F1518" t="s">
        <v>3592</v>
      </c>
      <c r="G1518" t="s">
        <v>51</v>
      </c>
      <c r="H1518" t="s">
        <v>5938</v>
      </c>
      <c r="I1518" t="s">
        <v>53</v>
      </c>
      <c r="J1518" t="s">
        <v>1554</v>
      </c>
      <c r="K1518" t="s">
        <v>5939</v>
      </c>
      <c r="L1518" t="s">
        <v>19</v>
      </c>
      <c r="M1518" t="s">
        <v>18</v>
      </c>
      <c r="N1518">
        <v>4485</v>
      </c>
      <c r="O1518">
        <v>269</v>
      </c>
      <c r="P1518">
        <v>0</v>
      </c>
      <c r="Q1518" t="s">
        <v>5326</v>
      </c>
      <c r="R1518" t="s">
        <v>2942</v>
      </c>
      <c r="S1518" t="s">
        <v>6236</v>
      </c>
      <c r="T1518" t="s">
        <v>6237</v>
      </c>
      <c r="U1518" t="s">
        <v>60</v>
      </c>
      <c r="V1518" t="s">
        <v>61</v>
      </c>
      <c r="W1518">
        <v>10</v>
      </c>
      <c r="X1518">
        <v>0.12381250000000001</v>
      </c>
      <c r="Y1518" t="s">
        <v>536</v>
      </c>
      <c r="Z1518" t="s">
        <v>537</v>
      </c>
      <c r="AA1518">
        <v>3</v>
      </c>
      <c r="AB1518" t="s">
        <v>5943</v>
      </c>
      <c r="AC1518" t="s">
        <v>5944</v>
      </c>
      <c r="AD1518" t="s">
        <v>5945</v>
      </c>
      <c r="AE1518" t="s">
        <v>5946</v>
      </c>
      <c r="AF1518" t="s">
        <v>5947</v>
      </c>
      <c r="AG1518" t="s">
        <v>66</v>
      </c>
      <c r="AH1518" t="s">
        <v>66</v>
      </c>
      <c r="AI1518" t="s">
        <v>66</v>
      </c>
      <c r="AJ1518" t="s">
        <v>66</v>
      </c>
      <c r="AK1518">
        <v>1</v>
      </c>
      <c r="AL1518" t="s">
        <v>6024</v>
      </c>
      <c r="AM1518" t="s">
        <v>6025</v>
      </c>
      <c r="AN1518" t="s">
        <v>6106</v>
      </c>
      <c r="AO1518" t="s">
        <v>66</v>
      </c>
      <c r="AP1518">
        <v>1</v>
      </c>
      <c r="AQ1518" t="s">
        <v>6189</v>
      </c>
      <c r="AR1518" t="s">
        <v>6108</v>
      </c>
      <c r="AS1518" t="s">
        <v>6190</v>
      </c>
      <c r="AT1518" t="s">
        <v>66</v>
      </c>
    </row>
    <row r="1519" spans="1:46" x14ac:dyDescent="0.15">
      <c r="A1519" t="s">
        <v>6238</v>
      </c>
      <c r="B1519" t="s">
        <v>5935</v>
      </c>
      <c r="C1519" t="s">
        <v>5936</v>
      </c>
      <c r="D1519">
        <v>73</v>
      </c>
      <c r="E1519" t="s">
        <v>5937</v>
      </c>
      <c r="F1519" t="s">
        <v>3592</v>
      </c>
      <c r="G1519" t="s">
        <v>51</v>
      </c>
      <c r="H1519" t="s">
        <v>5938</v>
      </c>
      <c r="I1519" t="s">
        <v>53</v>
      </c>
      <c r="J1519" t="s">
        <v>1554</v>
      </c>
      <c r="K1519" t="s">
        <v>5939</v>
      </c>
      <c r="L1519" t="s">
        <v>19</v>
      </c>
      <c r="M1519" t="s">
        <v>18</v>
      </c>
      <c r="N1519">
        <v>4541</v>
      </c>
      <c r="O1519">
        <v>272</v>
      </c>
      <c r="P1519">
        <v>0</v>
      </c>
      <c r="Q1519" t="s">
        <v>6239</v>
      </c>
      <c r="R1519" t="s">
        <v>2947</v>
      </c>
      <c r="S1519" t="s">
        <v>6240</v>
      </c>
      <c r="T1519" t="s">
        <v>6241</v>
      </c>
      <c r="U1519" t="s">
        <v>60</v>
      </c>
      <c r="V1519" t="s">
        <v>61</v>
      </c>
      <c r="W1519">
        <v>10</v>
      </c>
      <c r="X1519">
        <v>0.12381250000000001</v>
      </c>
      <c r="Y1519" t="s">
        <v>301</v>
      </c>
      <c r="Z1519" t="s">
        <v>543</v>
      </c>
      <c r="AA1519">
        <v>3</v>
      </c>
      <c r="AB1519" t="s">
        <v>5943</v>
      </c>
      <c r="AC1519" t="s">
        <v>5944</v>
      </c>
      <c r="AD1519" t="s">
        <v>5945</v>
      </c>
      <c r="AE1519" t="s">
        <v>5946</v>
      </c>
      <c r="AF1519" t="s">
        <v>5947</v>
      </c>
      <c r="AG1519" t="s">
        <v>66</v>
      </c>
      <c r="AH1519" t="s">
        <v>66</v>
      </c>
      <c r="AI1519" t="s">
        <v>66</v>
      </c>
      <c r="AJ1519" t="s">
        <v>66</v>
      </c>
      <c r="AK1519">
        <v>1</v>
      </c>
      <c r="AL1519" t="s">
        <v>6024</v>
      </c>
      <c r="AM1519" t="s">
        <v>6025</v>
      </c>
      <c r="AN1519" t="s">
        <v>6106</v>
      </c>
      <c r="AO1519" t="s">
        <v>66</v>
      </c>
      <c r="AP1519">
        <v>1</v>
      </c>
      <c r="AQ1519" t="s">
        <v>6189</v>
      </c>
      <c r="AR1519" t="s">
        <v>6108</v>
      </c>
      <c r="AS1519" t="s">
        <v>6190</v>
      </c>
      <c r="AT1519" t="s">
        <v>66</v>
      </c>
    </row>
    <row r="1520" spans="1:46" x14ac:dyDescent="0.15">
      <c r="A1520" t="s">
        <v>6242</v>
      </c>
      <c r="B1520" t="s">
        <v>5935</v>
      </c>
      <c r="C1520" t="s">
        <v>5936</v>
      </c>
      <c r="D1520">
        <v>74</v>
      </c>
      <c r="E1520" t="s">
        <v>5937</v>
      </c>
      <c r="F1520" t="s">
        <v>3592</v>
      </c>
      <c r="G1520" t="s">
        <v>51</v>
      </c>
      <c r="H1520" t="s">
        <v>5938</v>
      </c>
      <c r="I1520" t="s">
        <v>53</v>
      </c>
      <c r="J1520" t="s">
        <v>1554</v>
      </c>
      <c r="K1520" t="s">
        <v>5939</v>
      </c>
      <c r="L1520" t="s">
        <v>19</v>
      </c>
      <c r="M1520" t="s">
        <v>18</v>
      </c>
      <c r="N1520">
        <v>4597</v>
      </c>
      <c r="O1520">
        <v>276</v>
      </c>
      <c r="P1520">
        <v>0</v>
      </c>
      <c r="Q1520" t="s">
        <v>6243</v>
      </c>
      <c r="R1520" t="s">
        <v>2952</v>
      </c>
      <c r="S1520" t="s">
        <v>6244</v>
      </c>
      <c r="T1520" t="s">
        <v>6245</v>
      </c>
      <c r="U1520" t="s">
        <v>60</v>
      </c>
      <c r="V1520" t="s">
        <v>61</v>
      </c>
      <c r="W1520">
        <v>10</v>
      </c>
      <c r="X1520">
        <v>0.12381250000000001</v>
      </c>
      <c r="Y1520" t="s">
        <v>549</v>
      </c>
      <c r="Z1520" t="s">
        <v>550</v>
      </c>
      <c r="AA1520">
        <v>3</v>
      </c>
      <c r="AB1520" t="s">
        <v>5943</v>
      </c>
      <c r="AC1520" t="s">
        <v>5944</v>
      </c>
      <c r="AD1520" t="s">
        <v>5945</v>
      </c>
      <c r="AE1520" t="s">
        <v>5946</v>
      </c>
      <c r="AF1520" t="s">
        <v>5947</v>
      </c>
      <c r="AG1520" t="s">
        <v>66</v>
      </c>
      <c r="AH1520" t="s">
        <v>66</v>
      </c>
      <c r="AI1520" t="s">
        <v>66</v>
      </c>
      <c r="AJ1520" t="s">
        <v>66</v>
      </c>
      <c r="AK1520">
        <v>1</v>
      </c>
      <c r="AL1520" t="s">
        <v>6024</v>
      </c>
      <c r="AM1520" t="s">
        <v>6025</v>
      </c>
      <c r="AN1520" t="s">
        <v>6106</v>
      </c>
      <c r="AO1520" t="s">
        <v>66</v>
      </c>
      <c r="AP1520">
        <v>1</v>
      </c>
      <c r="AQ1520" t="s">
        <v>6189</v>
      </c>
      <c r="AR1520" t="s">
        <v>6108</v>
      </c>
      <c r="AS1520" t="s">
        <v>6190</v>
      </c>
      <c r="AT1520" t="s">
        <v>66</v>
      </c>
    </row>
    <row r="1521" spans="1:46" x14ac:dyDescent="0.15">
      <c r="A1521" t="s">
        <v>6246</v>
      </c>
      <c r="B1521" t="s">
        <v>5935</v>
      </c>
      <c r="C1521" t="s">
        <v>5936</v>
      </c>
      <c r="D1521">
        <v>75</v>
      </c>
      <c r="E1521" t="s">
        <v>5937</v>
      </c>
      <c r="F1521" t="s">
        <v>3592</v>
      </c>
      <c r="G1521" t="s">
        <v>51</v>
      </c>
      <c r="H1521" t="s">
        <v>5938</v>
      </c>
      <c r="I1521" t="s">
        <v>53</v>
      </c>
      <c r="J1521" t="s">
        <v>1554</v>
      </c>
      <c r="K1521" t="s">
        <v>5939</v>
      </c>
      <c r="L1521" t="s">
        <v>19</v>
      </c>
      <c r="M1521" t="s">
        <v>18</v>
      </c>
      <c r="N1521">
        <v>4653</v>
      </c>
      <c r="O1521">
        <v>279</v>
      </c>
      <c r="P1521">
        <v>0</v>
      </c>
      <c r="Q1521" t="s">
        <v>6247</v>
      </c>
      <c r="R1521" t="s">
        <v>2957</v>
      </c>
      <c r="S1521" t="s">
        <v>6248</v>
      </c>
      <c r="T1521" t="s">
        <v>6249</v>
      </c>
      <c r="U1521" t="s">
        <v>60</v>
      </c>
      <c r="V1521" t="s">
        <v>61</v>
      </c>
      <c r="W1521">
        <v>10</v>
      </c>
      <c r="X1521">
        <v>0.12381250000000001</v>
      </c>
      <c r="Y1521" t="s">
        <v>308</v>
      </c>
      <c r="Z1521" t="s">
        <v>556</v>
      </c>
      <c r="AA1521">
        <v>3</v>
      </c>
      <c r="AB1521" t="s">
        <v>5943</v>
      </c>
      <c r="AC1521" t="s">
        <v>5944</v>
      </c>
      <c r="AD1521" t="s">
        <v>5945</v>
      </c>
      <c r="AE1521" t="s">
        <v>5946</v>
      </c>
      <c r="AF1521" t="s">
        <v>5947</v>
      </c>
      <c r="AG1521" t="s">
        <v>66</v>
      </c>
      <c r="AH1521" t="s">
        <v>66</v>
      </c>
      <c r="AI1521" t="s">
        <v>66</v>
      </c>
      <c r="AJ1521" t="s">
        <v>66</v>
      </c>
      <c r="AK1521">
        <v>1</v>
      </c>
      <c r="AL1521" t="s">
        <v>6024</v>
      </c>
      <c r="AM1521" t="s">
        <v>6025</v>
      </c>
      <c r="AN1521" t="s">
        <v>6106</v>
      </c>
      <c r="AO1521" t="s">
        <v>66</v>
      </c>
      <c r="AP1521">
        <v>1</v>
      </c>
      <c r="AQ1521" t="s">
        <v>6189</v>
      </c>
      <c r="AR1521" t="s">
        <v>6108</v>
      </c>
      <c r="AS1521" t="s">
        <v>6190</v>
      </c>
      <c r="AT1521" t="s">
        <v>66</v>
      </c>
    </row>
    <row r="1522" spans="1:46" x14ac:dyDescent="0.15">
      <c r="A1522" t="s">
        <v>6250</v>
      </c>
      <c r="B1522" t="s">
        <v>5935</v>
      </c>
      <c r="C1522" t="s">
        <v>5936</v>
      </c>
      <c r="D1522">
        <v>76</v>
      </c>
      <c r="E1522" t="s">
        <v>5937</v>
      </c>
      <c r="F1522" t="s">
        <v>3592</v>
      </c>
      <c r="G1522" t="s">
        <v>51</v>
      </c>
      <c r="H1522" t="s">
        <v>5938</v>
      </c>
      <c r="I1522" t="s">
        <v>53</v>
      </c>
      <c r="J1522" t="s">
        <v>1554</v>
      </c>
      <c r="K1522" t="s">
        <v>5939</v>
      </c>
      <c r="L1522" t="s">
        <v>19</v>
      </c>
      <c r="M1522" t="s">
        <v>18</v>
      </c>
      <c r="N1522">
        <v>4709</v>
      </c>
      <c r="O1522">
        <v>282</v>
      </c>
      <c r="P1522">
        <v>0</v>
      </c>
      <c r="Q1522" t="s">
        <v>6251</v>
      </c>
      <c r="R1522" t="s">
        <v>2962</v>
      </c>
      <c r="S1522" t="s">
        <v>6252</v>
      </c>
      <c r="T1522" t="s">
        <v>6253</v>
      </c>
      <c r="U1522" t="s">
        <v>60</v>
      </c>
      <c r="V1522" t="s">
        <v>61</v>
      </c>
      <c r="W1522">
        <v>10</v>
      </c>
      <c r="X1522">
        <v>0.12381250000000001</v>
      </c>
      <c r="Y1522" t="s">
        <v>562</v>
      </c>
      <c r="Z1522" t="s">
        <v>563</v>
      </c>
      <c r="AA1522">
        <v>3</v>
      </c>
      <c r="AB1522" t="s">
        <v>5943</v>
      </c>
      <c r="AC1522" t="s">
        <v>5944</v>
      </c>
      <c r="AD1522" t="s">
        <v>5945</v>
      </c>
      <c r="AE1522" t="s">
        <v>5946</v>
      </c>
      <c r="AF1522" t="s">
        <v>5947</v>
      </c>
      <c r="AG1522" t="s">
        <v>66</v>
      </c>
      <c r="AH1522" t="s">
        <v>66</v>
      </c>
      <c r="AI1522" t="s">
        <v>66</v>
      </c>
      <c r="AJ1522" t="s">
        <v>66</v>
      </c>
      <c r="AK1522">
        <v>1</v>
      </c>
      <c r="AL1522" t="s">
        <v>6024</v>
      </c>
      <c r="AM1522" t="s">
        <v>6025</v>
      </c>
      <c r="AN1522" t="s">
        <v>6106</v>
      </c>
      <c r="AO1522" t="s">
        <v>66</v>
      </c>
      <c r="AP1522">
        <v>1</v>
      </c>
      <c r="AQ1522" t="s">
        <v>6189</v>
      </c>
      <c r="AR1522" t="s">
        <v>6108</v>
      </c>
      <c r="AS1522" t="s">
        <v>6190</v>
      </c>
      <c r="AT1522" t="s">
        <v>66</v>
      </c>
    </row>
    <row r="1523" spans="1:46" x14ac:dyDescent="0.15">
      <c r="A1523" t="s">
        <v>6254</v>
      </c>
      <c r="B1523" t="s">
        <v>5935</v>
      </c>
      <c r="C1523" t="s">
        <v>5936</v>
      </c>
      <c r="D1523">
        <v>77</v>
      </c>
      <c r="E1523" t="s">
        <v>5937</v>
      </c>
      <c r="F1523" t="s">
        <v>3592</v>
      </c>
      <c r="G1523" t="s">
        <v>51</v>
      </c>
      <c r="H1523" t="s">
        <v>5938</v>
      </c>
      <c r="I1523" t="s">
        <v>53</v>
      </c>
      <c r="J1523" t="s">
        <v>1554</v>
      </c>
      <c r="K1523" t="s">
        <v>5939</v>
      </c>
      <c r="L1523" t="s">
        <v>19</v>
      </c>
      <c r="M1523" t="s">
        <v>18</v>
      </c>
      <c r="N1523">
        <v>4765</v>
      </c>
      <c r="O1523">
        <v>286</v>
      </c>
      <c r="P1523">
        <v>0</v>
      </c>
      <c r="Q1523" t="s">
        <v>6255</v>
      </c>
      <c r="R1523" t="s">
        <v>2967</v>
      </c>
      <c r="S1523" t="s">
        <v>6256</v>
      </c>
      <c r="T1523" t="s">
        <v>6257</v>
      </c>
      <c r="U1523" t="s">
        <v>60</v>
      </c>
      <c r="V1523" t="s">
        <v>61</v>
      </c>
      <c r="W1523">
        <v>10</v>
      </c>
      <c r="X1523">
        <v>0.12381250000000001</v>
      </c>
      <c r="Y1523" t="s">
        <v>314</v>
      </c>
      <c r="Z1523" t="s">
        <v>569</v>
      </c>
      <c r="AA1523">
        <v>3</v>
      </c>
      <c r="AB1523" t="s">
        <v>5943</v>
      </c>
      <c r="AC1523" t="s">
        <v>5944</v>
      </c>
      <c r="AD1523" t="s">
        <v>5945</v>
      </c>
      <c r="AE1523" t="s">
        <v>5946</v>
      </c>
      <c r="AF1523" t="s">
        <v>5947</v>
      </c>
      <c r="AG1523" t="s">
        <v>66</v>
      </c>
      <c r="AH1523" t="s">
        <v>66</v>
      </c>
      <c r="AI1523" t="s">
        <v>66</v>
      </c>
      <c r="AJ1523" t="s">
        <v>66</v>
      </c>
      <c r="AK1523">
        <v>1</v>
      </c>
      <c r="AL1523" t="s">
        <v>6024</v>
      </c>
      <c r="AM1523" t="s">
        <v>6025</v>
      </c>
      <c r="AN1523" t="s">
        <v>6106</v>
      </c>
      <c r="AO1523" t="s">
        <v>66</v>
      </c>
      <c r="AP1523">
        <v>1</v>
      </c>
      <c r="AQ1523" t="s">
        <v>6189</v>
      </c>
      <c r="AR1523" t="s">
        <v>6108</v>
      </c>
      <c r="AS1523" t="s">
        <v>6190</v>
      </c>
      <c r="AT1523" t="s">
        <v>66</v>
      </c>
    </row>
    <row r="1524" spans="1:46" x14ac:dyDescent="0.15">
      <c r="A1524" t="s">
        <v>6258</v>
      </c>
      <c r="B1524" t="s">
        <v>5935</v>
      </c>
      <c r="C1524" t="s">
        <v>5936</v>
      </c>
      <c r="D1524">
        <v>78</v>
      </c>
      <c r="E1524" t="s">
        <v>5937</v>
      </c>
      <c r="F1524" t="s">
        <v>3592</v>
      </c>
      <c r="G1524" t="s">
        <v>51</v>
      </c>
      <c r="H1524" t="s">
        <v>5938</v>
      </c>
      <c r="I1524" t="s">
        <v>53</v>
      </c>
      <c r="J1524" t="s">
        <v>1554</v>
      </c>
      <c r="K1524" t="s">
        <v>5939</v>
      </c>
      <c r="L1524" t="s">
        <v>19</v>
      </c>
      <c r="M1524" t="s">
        <v>18</v>
      </c>
      <c r="N1524">
        <v>4821</v>
      </c>
      <c r="O1524">
        <v>289</v>
      </c>
      <c r="P1524">
        <v>0</v>
      </c>
      <c r="Q1524" t="s">
        <v>6259</v>
      </c>
      <c r="R1524" t="s">
        <v>2972</v>
      </c>
      <c r="S1524" t="s">
        <v>6260</v>
      </c>
      <c r="T1524" t="s">
        <v>6261</v>
      </c>
      <c r="U1524" t="s">
        <v>60</v>
      </c>
      <c r="V1524" t="s">
        <v>61</v>
      </c>
      <c r="W1524">
        <v>10</v>
      </c>
      <c r="X1524">
        <v>0.12381250000000001</v>
      </c>
      <c r="Y1524" t="s">
        <v>575</v>
      </c>
      <c r="Z1524" t="s">
        <v>576</v>
      </c>
      <c r="AA1524">
        <v>3</v>
      </c>
      <c r="AB1524" t="s">
        <v>5943</v>
      </c>
      <c r="AC1524" t="s">
        <v>5944</v>
      </c>
      <c r="AD1524" t="s">
        <v>5945</v>
      </c>
      <c r="AE1524" t="s">
        <v>5946</v>
      </c>
      <c r="AF1524" t="s">
        <v>5947</v>
      </c>
      <c r="AG1524" t="s">
        <v>66</v>
      </c>
      <c r="AH1524" t="s">
        <v>66</v>
      </c>
      <c r="AI1524" t="s">
        <v>66</v>
      </c>
      <c r="AJ1524" t="s">
        <v>66</v>
      </c>
      <c r="AK1524">
        <v>1</v>
      </c>
      <c r="AL1524" t="s">
        <v>6024</v>
      </c>
      <c r="AM1524" t="s">
        <v>6025</v>
      </c>
      <c r="AN1524" t="s">
        <v>6106</v>
      </c>
      <c r="AO1524" t="s">
        <v>66</v>
      </c>
      <c r="AP1524">
        <v>1</v>
      </c>
      <c r="AQ1524" t="s">
        <v>6189</v>
      </c>
      <c r="AR1524" t="s">
        <v>6108</v>
      </c>
      <c r="AS1524" t="s">
        <v>6190</v>
      </c>
      <c r="AT1524" t="s">
        <v>66</v>
      </c>
    </row>
    <row r="1525" spans="1:46" x14ac:dyDescent="0.15">
      <c r="A1525" t="s">
        <v>6262</v>
      </c>
      <c r="B1525" t="s">
        <v>5935</v>
      </c>
      <c r="C1525" t="s">
        <v>5936</v>
      </c>
      <c r="D1525">
        <v>79</v>
      </c>
      <c r="E1525" t="s">
        <v>5937</v>
      </c>
      <c r="F1525" t="s">
        <v>3592</v>
      </c>
      <c r="G1525" t="s">
        <v>51</v>
      </c>
      <c r="H1525" t="s">
        <v>5938</v>
      </c>
      <c r="I1525" t="s">
        <v>53</v>
      </c>
      <c r="J1525" t="s">
        <v>1554</v>
      </c>
      <c r="K1525" t="s">
        <v>5939</v>
      </c>
      <c r="L1525" t="s">
        <v>19</v>
      </c>
      <c r="M1525" t="s">
        <v>18</v>
      </c>
      <c r="N1525">
        <v>4878</v>
      </c>
      <c r="O1525">
        <v>292</v>
      </c>
      <c r="P1525">
        <v>0</v>
      </c>
      <c r="Q1525" t="s">
        <v>6263</v>
      </c>
      <c r="R1525" t="s">
        <v>2977</v>
      </c>
      <c r="S1525" t="s">
        <v>6264</v>
      </c>
      <c r="T1525" t="s">
        <v>6265</v>
      </c>
      <c r="U1525" t="s">
        <v>60</v>
      </c>
      <c r="V1525" t="s">
        <v>61</v>
      </c>
      <c r="W1525">
        <v>10</v>
      </c>
      <c r="X1525">
        <v>0.12381250000000001</v>
      </c>
      <c r="Y1525" t="s">
        <v>321</v>
      </c>
      <c r="Z1525" t="s">
        <v>582</v>
      </c>
      <c r="AA1525">
        <v>3</v>
      </c>
      <c r="AB1525" t="s">
        <v>5943</v>
      </c>
      <c r="AC1525" t="s">
        <v>5944</v>
      </c>
      <c r="AD1525" t="s">
        <v>5945</v>
      </c>
      <c r="AE1525" t="s">
        <v>5946</v>
      </c>
      <c r="AF1525" t="s">
        <v>5947</v>
      </c>
      <c r="AG1525" t="s">
        <v>66</v>
      </c>
      <c r="AH1525" t="s">
        <v>66</v>
      </c>
      <c r="AI1525" t="s">
        <v>66</v>
      </c>
      <c r="AJ1525" t="s">
        <v>66</v>
      </c>
      <c r="AK1525">
        <v>1</v>
      </c>
      <c r="AL1525" t="s">
        <v>6024</v>
      </c>
      <c r="AM1525" t="s">
        <v>6025</v>
      </c>
      <c r="AN1525" t="s">
        <v>6106</v>
      </c>
      <c r="AO1525" t="s">
        <v>66</v>
      </c>
      <c r="AP1525">
        <v>1</v>
      </c>
      <c r="AQ1525" t="s">
        <v>6189</v>
      </c>
      <c r="AR1525" t="s">
        <v>6108</v>
      </c>
      <c r="AS1525" t="s">
        <v>6190</v>
      </c>
      <c r="AT1525" t="s">
        <v>66</v>
      </c>
    </row>
    <row r="1526" spans="1:46" x14ac:dyDescent="0.15">
      <c r="A1526" t="s">
        <v>6266</v>
      </c>
      <c r="B1526" t="s">
        <v>5935</v>
      </c>
      <c r="C1526" t="s">
        <v>5936</v>
      </c>
      <c r="D1526">
        <v>80</v>
      </c>
      <c r="E1526" t="s">
        <v>5937</v>
      </c>
      <c r="F1526" t="s">
        <v>3592</v>
      </c>
      <c r="G1526" t="s">
        <v>51</v>
      </c>
      <c r="H1526" t="s">
        <v>5938</v>
      </c>
      <c r="I1526" t="s">
        <v>53</v>
      </c>
      <c r="J1526" t="s">
        <v>1554</v>
      </c>
      <c r="K1526" t="s">
        <v>5939</v>
      </c>
      <c r="L1526" t="s">
        <v>19</v>
      </c>
      <c r="M1526" t="s">
        <v>18</v>
      </c>
      <c r="N1526">
        <v>4934</v>
      </c>
      <c r="O1526">
        <v>296</v>
      </c>
      <c r="P1526">
        <v>0</v>
      </c>
      <c r="Q1526" t="s">
        <v>6267</v>
      </c>
      <c r="R1526" t="s">
        <v>2982</v>
      </c>
      <c r="S1526" t="s">
        <v>6268</v>
      </c>
      <c r="T1526" t="s">
        <v>6269</v>
      </c>
      <c r="U1526" t="s">
        <v>60</v>
      </c>
      <c r="V1526" t="s">
        <v>61</v>
      </c>
      <c r="W1526">
        <v>10</v>
      </c>
      <c r="X1526">
        <v>0.12381250000000001</v>
      </c>
      <c r="Y1526" t="s">
        <v>588</v>
      </c>
      <c r="Z1526" t="s">
        <v>589</v>
      </c>
      <c r="AA1526">
        <v>3</v>
      </c>
      <c r="AB1526" t="s">
        <v>5943</v>
      </c>
      <c r="AC1526" t="s">
        <v>5944</v>
      </c>
      <c r="AD1526" t="s">
        <v>5945</v>
      </c>
      <c r="AE1526" t="s">
        <v>5946</v>
      </c>
      <c r="AF1526" t="s">
        <v>5947</v>
      </c>
      <c r="AG1526" t="s">
        <v>66</v>
      </c>
      <c r="AH1526" t="s">
        <v>66</v>
      </c>
      <c r="AI1526" t="s">
        <v>66</v>
      </c>
      <c r="AJ1526" t="s">
        <v>66</v>
      </c>
      <c r="AK1526">
        <v>1</v>
      </c>
      <c r="AL1526" t="s">
        <v>6024</v>
      </c>
      <c r="AM1526" t="s">
        <v>6025</v>
      </c>
      <c r="AN1526" t="s">
        <v>6106</v>
      </c>
      <c r="AO1526" t="s">
        <v>66</v>
      </c>
      <c r="AP1526">
        <v>1</v>
      </c>
      <c r="AQ1526" t="s">
        <v>6189</v>
      </c>
      <c r="AR1526" t="s">
        <v>6108</v>
      </c>
      <c r="AS1526" t="s">
        <v>6190</v>
      </c>
      <c r="AT1526" t="s">
        <v>66</v>
      </c>
    </row>
    <row r="1527" spans="1:46" x14ac:dyDescent="0.15">
      <c r="A1527" t="s">
        <v>6266</v>
      </c>
      <c r="B1527" t="s">
        <v>5935</v>
      </c>
      <c r="C1527" t="s">
        <v>5936</v>
      </c>
      <c r="D1527">
        <v>80</v>
      </c>
      <c r="E1527" t="s">
        <v>5937</v>
      </c>
      <c r="F1527" t="s">
        <v>3592</v>
      </c>
      <c r="G1527" t="s">
        <v>51</v>
      </c>
      <c r="H1527" t="s">
        <v>5938</v>
      </c>
      <c r="I1527" t="s">
        <v>53</v>
      </c>
      <c r="J1527" t="s">
        <v>1554</v>
      </c>
      <c r="K1527" t="s">
        <v>5939</v>
      </c>
      <c r="L1527" t="s">
        <v>19</v>
      </c>
      <c r="M1527" t="s">
        <v>18</v>
      </c>
      <c r="N1527">
        <v>4934</v>
      </c>
      <c r="O1527">
        <v>296</v>
      </c>
      <c r="P1527">
        <v>0</v>
      </c>
      <c r="Q1527" t="s">
        <v>6267</v>
      </c>
      <c r="R1527" t="s">
        <v>2982</v>
      </c>
      <c r="S1527" t="s">
        <v>6268</v>
      </c>
      <c r="T1527" t="s">
        <v>6269</v>
      </c>
      <c r="U1527" t="s">
        <v>60</v>
      </c>
      <c r="V1527" t="s">
        <v>61</v>
      </c>
      <c r="W1527">
        <v>10</v>
      </c>
      <c r="X1527">
        <v>0.12381250000000001</v>
      </c>
      <c r="Y1527" t="s">
        <v>588</v>
      </c>
      <c r="Z1527" t="s">
        <v>589</v>
      </c>
      <c r="AA1527">
        <v>4</v>
      </c>
      <c r="AB1527" t="s">
        <v>5943</v>
      </c>
      <c r="AC1527" t="s">
        <v>5944</v>
      </c>
      <c r="AD1527" t="s">
        <v>5945</v>
      </c>
      <c r="AE1527" t="s">
        <v>5946</v>
      </c>
      <c r="AF1527" t="s">
        <v>5947</v>
      </c>
      <c r="AG1527" t="s">
        <v>4006</v>
      </c>
      <c r="AH1527" t="s">
        <v>3903</v>
      </c>
      <c r="AI1527" t="s">
        <v>3902</v>
      </c>
      <c r="AJ1527" t="s">
        <v>3902</v>
      </c>
      <c r="AK1527">
        <v>1</v>
      </c>
      <c r="AL1527" t="s">
        <v>6024</v>
      </c>
      <c r="AM1527" t="s">
        <v>6025</v>
      </c>
      <c r="AN1527" t="s">
        <v>6106</v>
      </c>
      <c r="AO1527" t="s">
        <v>66</v>
      </c>
      <c r="AP1527">
        <v>1</v>
      </c>
      <c r="AQ1527" t="s">
        <v>6189</v>
      </c>
      <c r="AR1527" t="s">
        <v>6108</v>
      </c>
      <c r="AS1527" t="s">
        <v>6190</v>
      </c>
      <c r="AT1527" t="s">
        <v>66</v>
      </c>
    </row>
    <row r="1528" spans="1:46" x14ac:dyDescent="0.15">
      <c r="A1528" t="s">
        <v>6270</v>
      </c>
      <c r="B1528" t="s">
        <v>5935</v>
      </c>
      <c r="C1528" t="s">
        <v>5936</v>
      </c>
      <c r="D1528">
        <v>81</v>
      </c>
      <c r="E1528" t="s">
        <v>5937</v>
      </c>
      <c r="F1528" t="s">
        <v>3592</v>
      </c>
      <c r="G1528" t="s">
        <v>51</v>
      </c>
      <c r="H1528" t="s">
        <v>5938</v>
      </c>
      <c r="I1528" t="s">
        <v>53</v>
      </c>
      <c r="J1528" t="s">
        <v>1554</v>
      </c>
      <c r="K1528" t="s">
        <v>5939</v>
      </c>
      <c r="L1528" t="s">
        <v>19</v>
      </c>
      <c r="M1528" t="s">
        <v>18</v>
      </c>
      <c r="N1528">
        <v>4990</v>
      </c>
      <c r="O1528">
        <v>299</v>
      </c>
      <c r="P1528">
        <v>0</v>
      </c>
      <c r="Q1528" t="s">
        <v>6271</v>
      </c>
      <c r="R1528" t="s">
        <v>2987</v>
      </c>
      <c r="S1528" t="s">
        <v>6272</v>
      </c>
      <c r="T1528" t="s">
        <v>6273</v>
      </c>
      <c r="U1528" t="s">
        <v>60</v>
      </c>
      <c r="V1528" t="s">
        <v>61</v>
      </c>
      <c r="W1528">
        <v>10</v>
      </c>
      <c r="X1528">
        <v>0.12381250000000001</v>
      </c>
      <c r="Y1528" t="s">
        <v>330</v>
      </c>
      <c r="Z1528" t="s">
        <v>596</v>
      </c>
      <c r="AA1528">
        <v>4</v>
      </c>
      <c r="AB1528" t="s">
        <v>5943</v>
      </c>
      <c r="AC1528" t="s">
        <v>5944</v>
      </c>
      <c r="AD1528" t="s">
        <v>5945</v>
      </c>
      <c r="AE1528" t="s">
        <v>5946</v>
      </c>
      <c r="AF1528" t="s">
        <v>5947</v>
      </c>
      <c r="AG1528" t="s">
        <v>4006</v>
      </c>
      <c r="AH1528" t="s">
        <v>3903</v>
      </c>
      <c r="AI1528" t="s">
        <v>3902</v>
      </c>
      <c r="AJ1528" t="s">
        <v>3902</v>
      </c>
      <c r="AK1528">
        <v>1</v>
      </c>
      <c r="AL1528" t="s">
        <v>6024</v>
      </c>
      <c r="AM1528" t="s">
        <v>6025</v>
      </c>
      <c r="AN1528" t="s">
        <v>6106</v>
      </c>
      <c r="AO1528" t="s">
        <v>66</v>
      </c>
      <c r="AP1528">
        <v>1</v>
      </c>
      <c r="AQ1528" t="s">
        <v>6189</v>
      </c>
      <c r="AR1528" t="s">
        <v>6108</v>
      </c>
      <c r="AS1528" t="s">
        <v>6190</v>
      </c>
      <c r="AT1528" t="s">
        <v>66</v>
      </c>
    </row>
    <row r="1529" spans="1:46" x14ac:dyDescent="0.15">
      <c r="A1529" t="s">
        <v>6274</v>
      </c>
      <c r="B1529" t="s">
        <v>5935</v>
      </c>
      <c r="C1529" t="s">
        <v>5936</v>
      </c>
      <c r="D1529">
        <v>82</v>
      </c>
      <c r="E1529" t="s">
        <v>5937</v>
      </c>
      <c r="F1529" t="s">
        <v>3592</v>
      </c>
      <c r="G1529" t="s">
        <v>51</v>
      </c>
      <c r="H1529" t="s">
        <v>5938</v>
      </c>
      <c r="I1529" t="s">
        <v>53</v>
      </c>
      <c r="J1529" t="s">
        <v>1554</v>
      </c>
      <c r="K1529" t="s">
        <v>5939</v>
      </c>
      <c r="L1529" t="s">
        <v>19</v>
      </c>
      <c r="M1529" t="s">
        <v>18</v>
      </c>
      <c r="N1529">
        <v>5046</v>
      </c>
      <c r="O1529">
        <v>302</v>
      </c>
      <c r="P1529">
        <v>0</v>
      </c>
      <c r="Q1529" t="s">
        <v>6275</v>
      </c>
      <c r="R1529" t="s">
        <v>2992</v>
      </c>
      <c r="S1529" t="s">
        <v>6276</v>
      </c>
      <c r="T1529" t="s">
        <v>6277</v>
      </c>
      <c r="U1529" t="s">
        <v>60</v>
      </c>
      <c r="V1529" t="s">
        <v>61</v>
      </c>
      <c r="W1529">
        <v>10</v>
      </c>
      <c r="X1529">
        <v>0.12381250000000001</v>
      </c>
      <c r="Y1529" t="s">
        <v>602</v>
      </c>
      <c r="Z1529" t="s">
        <v>603</v>
      </c>
      <c r="AA1529">
        <v>4</v>
      </c>
      <c r="AB1529" t="s">
        <v>5943</v>
      </c>
      <c r="AC1529" t="s">
        <v>5944</v>
      </c>
      <c r="AD1529" t="s">
        <v>5945</v>
      </c>
      <c r="AE1529" t="s">
        <v>5946</v>
      </c>
      <c r="AF1529" t="s">
        <v>5947</v>
      </c>
      <c r="AG1529" t="s">
        <v>4006</v>
      </c>
      <c r="AH1529" t="s">
        <v>3903</v>
      </c>
      <c r="AI1529" t="s">
        <v>3902</v>
      </c>
      <c r="AJ1529" t="s">
        <v>3902</v>
      </c>
      <c r="AK1529">
        <v>1</v>
      </c>
      <c r="AL1529" t="s">
        <v>6024</v>
      </c>
      <c r="AM1529" t="s">
        <v>6025</v>
      </c>
      <c r="AN1529" t="s">
        <v>6106</v>
      </c>
      <c r="AO1529" t="s">
        <v>66</v>
      </c>
      <c r="AP1529">
        <v>1</v>
      </c>
      <c r="AQ1529" t="s">
        <v>6189</v>
      </c>
      <c r="AR1529" t="s">
        <v>6108</v>
      </c>
      <c r="AS1529" t="s">
        <v>6190</v>
      </c>
      <c r="AT1529" t="s">
        <v>66</v>
      </c>
    </row>
    <row r="1530" spans="1:46" x14ac:dyDescent="0.15">
      <c r="A1530" t="s">
        <v>6278</v>
      </c>
      <c r="B1530" t="s">
        <v>5935</v>
      </c>
      <c r="C1530" t="s">
        <v>5936</v>
      </c>
      <c r="D1530">
        <v>83</v>
      </c>
      <c r="E1530" t="s">
        <v>5937</v>
      </c>
      <c r="F1530" t="s">
        <v>3592</v>
      </c>
      <c r="G1530" t="s">
        <v>51</v>
      </c>
      <c r="H1530" t="s">
        <v>5938</v>
      </c>
      <c r="I1530" t="s">
        <v>53</v>
      </c>
      <c r="J1530" t="s">
        <v>1554</v>
      </c>
      <c r="K1530" t="s">
        <v>5939</v>
      </c>
      <c r="L1530" t="s">
        <v>19</v>
      </c>
      <c r="M1530" t="s">
        <v>18</v>
      </c>
      <c r="N1530">
        <v>5102</v>
      </c>
      <c r="O1530">
        <v>306</v>
      </c>
      <c r="P1530">
        <v>0</v>
      </c>
      <c r="Q1530" t="s">
        <v>6279</v>
      </c>
      <c r="R1530" t="s">
        <v>2997</v>
      </c>
      <c r="S1530" t="s">
        <v>6280</v>
      </c>
      <c r="T1530" t="s">
        <v>6281</v>
      </c>
      <c r="U1530" t="s">
        <v>60</v>
      </c>
      <c r="V1530" t="s">
        <v>61</v>
      </c>
      <c r="W1530">
        <v>10</v>
      </c>
      <c r="X1530">
        <v>0.12381250000000001</v>
      </c>
      <c r="Y1530" t="s">
        <v>337</v>
      </c>
      <c r="Z1530" t="s">
        <v>609</v>
      </c>
      <c r="AA1530">
        <v>4</v>
      </c>
      <c r="AB1530" t="s">
        <v>5943</v>
      </c>
      <c r="AC1530" t="s">
        <v>5944</v>
      </c>
      <c r="AD1530" t="s">
        <v>5945</v>
      </c>
      <c r="AE1530" t="s">
        <v>5946</v>
      </c>
      <c r="AF1530" t="s">
        <v>5947</v>
      </c>
      <c r="AG1530" t="s">
        <v>4006</v>
      </c>
      <c r="AH1530" t="s">
        <v>3903</v>
      </c>
      <c r="AI1530" t="s">
        <v>3902</v>
      </c>
      <c r="AJ1530" t="s">
        <v>3902</v>
      </c>
      <c r="AK1530">
        <v>1</v>
      </c>
      <c r="AL1530" t="s">
        <v>6024</v>
      </c>
      <c r="AM1530" t="s">
        <v>6025</v>
      </c>
      <c r="AN1530" t="s">
        <v>6106</v>
      </c>
      <c r="AO1530" t="s">
        <v>66</v>
      </c>
      <c r="AP1530">
        <v>1</v>
      </c>
      <c r="AQ1530" t="s">
        <v>6189</v>
      </c>
      <c r="AR1530" t="s">
        <v>6108</v>
      </c>
      <c r="AS1530" t="s">
        <v>6190</v>
      </c>
      <c r="AT1530" t="s">
        <v>66</v>
      </c>
    </row>
    <row r="1531" spans="1:46" x14ac:dyDescent="0.15">
      <c r="A1531" t="s">
        <v>6282</v>
      </c>
      <c r="B1531" t="s">
        <v>5935</v>
      </c>
      <c r="C1531" t="s">
        <v>5936</v>
      </c>
      <c r="D1531">
        <v>84</v>
      </c>
      <c r="E1531" t="s">
        <v>5937</v>
      </c>
      <c r="F1531" t="s">
        <v>3592</v>
      </c>
      <c r="G1531" t="s">
        <v>51</v>
      </c>
      <c r="H1531" t="s">
        <v>5938</v>
      </c>
      <c r="I1531" t="s">
        <v>53</v>
      </c>
      <c r="J1531" t="s">
        <v>1554</v>
      </c>
      <c r="K1531" t="s">
        <v>5939</v>
      </c>
      <c r="L1531" t="s">
        <v>19</v>
      </c>
      <c r="M1531" t="s">
        <v>18</v>
      </c>
      <c r="N1531">
        <v>5158</v>
      </c>
      <c r="O1531">
        <v>309</v>
      </c>
      <c r="P1531">
        <v>0</v>
      </c>
      <c r="Q1531" t="s">
        <v>6283</v>
      </c>
      <c r="R1531" t="s">
        <v>3002</v>
      </c>
      <c r="S1531" t="s">
        <v>6284</v>
      </c>
      <c r="T1531" t="s">
        <v>6285</v>
      </c>
      <c r="U1531" t="s">
        <v>60</v>
      </c>
      <c r="V1531" t="s">
        <v>61</v>
      </c>
      <c r="W1531">
        <v>10</v>
      </c>
      <c r="X1531">
        <v>0.12381250000000001</v>
      </c>
      <c r="Y1531" t="s">
        <v>615</v>
      </c>
      <c r="Z1531" t="s">
        <v>616</v>
      </c>
      <c r="AA1531">
        <v>4</v>
      </c>
      <c r="AB1531" t="s">
        <v>5943</v>
      </c>
      <c r="AC1531" t="s">
        <v>5944</v>
      </c>
      <c r="AD1531" t="s">
        <v>5945</v>
      </c>
      <c r="AE1531" t="s">
        <v>5946</v>
      </c>
      <c r="AF1531" t="s">
        <v>5947</v>
      </c>
      <c r="AG1531" t="s">
        <v>4006</v>
      </c>
      <c r="AH1531" t="s">
        <v>3903</v>
      </c>
      <c r="AI1531" t="s">
        <v>3902</v>
      </c>
      <c r="AJ1531" t="s">
        <v>3902</v>
      </c>
      <c r="AK1531">
        <v>1</v>
      </c>
      <c r="AL1531" t="s">
        <v>6024</v>
      </c>
      <c r="AM1531" t="s">
        <v>6025</v>
      </c>
      <c r="AN1531" t="s">
        <v>6106</v>
      </c>
      <c r="AO1531" t="s">
        <v>66</v>
      </c>
      <c r="AP1531">
        <v>1</v>
      </c>
      <c r="AQ1531" t="s">
        <v>6189</v>
      </c>
      <c r="AR1531" t="s">
        <v>6108</v>
      </c>
      <c r="AS1531" t="s">
        <v>6190</v>
      </c>
      <c r="AT1531" t="s">
        <v>66</v>
      </c>
    </row>
    <row r="1532" spans="1:46" x14ac:dyDescent="0.15">
      <c r="A1532" t="s">
        <v>6286</v>
      </c>
      <c r="B1532" t="s">
        <v>5935</v>
      </c>
      <c r="C1532" t="s">
        <v>5936</v>
      </c>
      <c r="D1532">
        <v>85</v>
      </c>
      <c r="E1532" t="s">
        <v>5937</v>
      </c>
      <c r="F1532" t="s">
        <v>3592</v>
      </c>
      <c r="G1532" t="s">
        <v>51</v>
      </c>
      <c r="H1532" t="s">
        <v>5938</v>
      </c>
      <c r="I1532" t="s">
        <v>53</v>
      </c>
      <c r="J1532" t="s">
        <v>1554</v>
      </c>
      <c r="K1532" t="s">
        <v>5939</v>
      </c>
      <c r="L1532" t="s">
        <v>19</v>
      </c>
      <c r="M1532" t="s">
        <v>18</v>
      </c>
      <c r="N1532">
        <v>5214</v>
      </c>
      <c r="O1532">
        <v>313</v>
      </c>
      <c r="P1532">
        <v>0</v>
      </c>
      <c r="Q1532" t="s">
        <v>6287</v>
      </c>
      <c r="R1532" t="s">
        <v>3007</v>
      </c>
      <c r="S1532" t="s">
        <v>6288</v>
      </c>
      <c r="T1532" t="s">
        <v>6289</v>
      </c>
      <c r="U1532" t="s">
        <v>60</v>
      </c>
      <c r="V1532" t="s">
        <v>61</v>
      </c>
      <c r="W1532">
        <v>10</v>
      </c>
      <c r="X1532">
        <v>0.12381250000000001</v>
      </c>
      <c r="Y1532" t="s">
        <v>343</v>
      </c>
      <c r="Z1532" t="s">
        <v>622</v>
      </c>
      <c r="AA1532">
        <v>4</v>
      </c>
      <c r="AB1532" t="s">
        <v>5943</v>
      </c>
      <c r="AC1532" t="s">
        <v>5944</v>
      </c>
      <c r="AD1532" t="s">
        <v>5945</v>
      </c>
      <c r="AE1532" t="s">
        <v>5946</v>
      </c>
      <c r="AF1532" t="s">
        <v>5947</v>
      </c>
      <c r="AG1532" t="s">
        <v>4006</v>
      </c>
      <c r="AH1532" t="s">
        <v>3903</v>
      </c>
      <c r="AI1532" t="s">
        <v>3902</v>
      </c>
      <c r="AJ1532" t="s">
        <v>3902</v>
      </c>
      <c r="AK1532">
        <v>1</v>
      </c>
      <c r="AL1532" t="s">
        <v>6024</v>
      </c>
      <c r="AM1532" t="s">
        <v>6025</v>
      </c>
      <c r="AN1532" t="s">
        <v>6106</v>
      </c>
      <c r="AO1532" t="s">
        <v>66</v>
      </c>
      <c r="AP1532">
        <v>1</v>
      </c>
      <c r="AQ1532" t="s">
        <v>6189</v>
      </c>
      <c r="AR1532" t="s">
        <v>6108</v>
      </c>
      <c r="AS1532" t="s">
        <v>6190</v>
      </c>
      <c r="AT1532" t="s">
        <v>66</v>
      </c>
    </row>
    <row r="1533" spans="1:46" x14ac:dyDescent="0.15">
      <c r="A1533" t="s">
        <v>6290</v>
      </c>
      <c r="B1533" t="s">
        <v>5935</v>
      </c>
      <c r="C1533" t="s">
        <v>5936</v>
      </c>
      <c r="D1533">
        <v>86</v>
      </c>
      <c r="E1533" t="s">
        <v>5937</v>
      </c>
      <c r="F1533" t="s">
        <v>3592</v>
      </c>
      <c r="G1533" t="s">
        <v>51</v>
      </c>
      <c r="H1533" t="s">
        <v>5938</v>
      </c>
      <c r="I1533" t="s">
        <v>53</v>
      </c>
      <c r="J1533" t="s">
        <v>1554</v>
      </c>
      <c r="K1533" t="s">
        <v>5939</v>
      </c>
      <c r="L1533" t="s">
        <v>19</v>
      </c>
      <c r="M1533" t="s">
        <v>18</v>
      </c>
      <c r="N1533">
        <v>5270</v>
      </c>
      <c r="O1533">
        <v>316</v>
      </c>
      <c r="P1533">
        <v>0</v>
      </c>
      <c r="Q1533" t="s">
        <v>6291</v>
      </c>
      <c r="R1533" t="s">
        <v>3012</v>
      </c>
      <c r="S1533" t="s">
        <v>6292</v>
      </c>
      <c r="T1533" t="s">
        <v>6293</v>
      </c>
      <c r="U1533" t="s">
        <v>60</v>
      </c>
      <c r="V1533" t="s">
        <v>61</v>
      </c>
      <c r="W1533">
        <v>10</v>
      </c>
      <c r="X1533">
        <v>0.12381250000000001</v>
      </c>
      <c r="Y1533" t="s">
        <v>628</v>
      </c>
      <c r="Z1533" t="s">
        <v>629</v>
      </c>
      <c r="AA1533">
        <v>4</v>
      </c>
      <c r="AB1533" t="s">
        <v>5943</v>
      </c>
      <c r="AC1533" t="s">
        <v>5944</v>
      </c>
      <c r="AD1533" t="s">
        <v>5945</v>
      </c>
      <c r="AE1533" t="s">
        <v>5946</v>
      </c>
      <c r="AF1533" t="s">
        <v>5947</v>
      </c>
      <c r="AG1533" t="s">
        <v>4006</v>
      </c>
      <c r="AH1533" t="s">
        <v>3903</v>
      </c>
      <c r="AI1533" t="s">
        <v>3902</v>
      </c>
      <c r="AJ1533" t="s">
        <v>3902</v>
      </c>
      <c r="AK1533">
        <v>1</v>
      </c>
      <c r="AL1533" t="s">
        <v>6024</v>
      </c>
      <c r="AM1533" t="s">
        <v>6025</v>
      </c>
      <c r="AN1533" t="s">
        <v>6106</v>
      </c>
      <c r="AO1533" t="s">
        <v>66</v>
      </c>
      <c r="AP1533">
        <v>1</v>
      </c>
      <c r="AQ1533" t="s">
        <v>6189</v>
      </c>
      <c r="AR1533" t="s">
        <v>6108</v>
      </c>
      <c r="AS1533" t="s">
        <v>6190</v>
      </c>
      <c r="AT1533" t="s">
        <v>66</v>
      </c>
    </row>
    <row r="1534" spans="1:46" x14ac:dyDescent="0.15">
      <c r="A1534" t="s">
        <v>6294</v>
      </c>
      <c r="B1534" t="s">
        <v>5935</v>
      </c>
      <c r="C1534" t="s">
        <v>5936</v>
      </c>
      <c r="D1534">
        <v>87</v>
      </c>
      <c r="E1534" t="s">
        <v>5937</v>
      </c>
      <c r="F1534" t="s">
        <v>3592</v>
      </c>
      <c r="G1534" t="s">
        <v>51</v>
      </c>
      <c r="H1534" t="s">
        <v>5938</v>
      </c>
      <c r="I1534" t="s">
        <v>53</v>
      </c>
      <c r="J1534" t="s">
        <v>1554</v>
      </c>
      <c r="K1534" t="s">
        <v>5939</v>
      </c>
      <c r="L1534" t="s">
        <v>19</v>
      </c>
      <c r="M1534" t="s">
        <v>18</v>
      </c>
      <c r="N1534">
        <v>5327</v>
      </c>
      <c r="O1534">
        <v>319</v>
      </c>
      <c r="P1534">
        <v>0</v>
      </c>
      <c r="Q1534" t="s">
        <v>6295</v>
      </c>
      <c r="R1534" t="s">
        <v>3017</v>
      </c>
      <c r="S1534" t="s">
        <v>6296</v>
      </c>
      <c r="T1534" t="s">
        <v>6297</v>
      </c>
      <c r="U1534" t="s">
        <v>60</v>
      </c>
      <c r="V1534" t="s">
        <v>61</v>
      </c>
      <c r="W1534">
        <v>10</v>
      </c>
      <c r="X1534">
        <v>0.12381250000000001</v>
      </c>
      <c r="Y1534" t="s">
        <v>350</v>
      </c>
      <c r="Z1534" t="s">
        <v>635</v>
      </c>
      <c r="AA1534">
        <v>4</v>
      </c>
      <c r="AB1534" t="s">
        <v>5943</v>
      </c>
      <c r="AC1534" t="s">
        <v>5944</v>
      </c>
      <c r="AD1534" t="s">
        <v>5945</v>
      </c>
      <c r="AE1534" t="s">
        <v>5946</v>
      </c>
      <c r="AF1534" t="s">
        <v>5947</v>
      </c>
      <c r="AG1534" t="s">
        <v>4006</v>
      </c>
      <c r="AH1534" t="s">
        <v>3903</v>
      </c>
      <c r="AI1534" t="s">
        <v>3902</v>
      </c>
      <c r="AJ1534" t="s">
        <v>3902</v>
      </c>
      <c r="AK1534">
        <v>1</v>
      </c>
      <c r="AL1534" t="s">
        <v>6024</v>
      </c>
      <c r="AM1534" t="s">
        <v>6025</v>
      </c>
      <c r="AN1534" t="s">
        <v>6106</v>
      </c>
      <c r="AO1534" t="s">
        <v>66</v>
      </c>
      <c r="AP1534">
        <v>1</v>
      </c>
      <c r="AQ1534" t="s">
        <v>6189</v>
      </c>
      <c r="AR1534" t="s">
        <v>6108</v>
      </c>
      <c r="AS1534" t="s">
        <v>6190</v>
      </c>
      <c r="AT1534" t="s">
        <v>66</v>
      </c>
    </row>
    <row r="1535" spans="1:46" x14ac:dyDescent="0.15">
      <c r="A1535" t="s">
        <v>6298</v>
      </c>
      <c r="B1535" t="s">
        <v>5935</v>
      </c>
      <c r="C1535" t="s">
        <v>5936</v>
      </c>
      <c r="D1535">
        <v>88</v>
      </c>
      <c r="E1535" t="s">
        <v>5937</v>
      </c>
      <c r="F1535" t="s">
        <v>3592</v>
      </c>
      <c r="G1535" t="s">
        <v>51</v>
      </c>
      <c r="H1535" t="s">
        <v>5938</v>
      </c>
      <c r="I1535" t="s">
        <v>53</v>
      </c>
      <c r="J1535" t="s">
        <v>1554</v>
      </c>
      <c r="K1535" t="s">
        <v>5939</v>
      </c>
      <c r="L1535" t="s">
        <v>19</v>
      </c>
      <c r="M1535" t="s">
        <v>18</v>
      </c>
      <c r="N1535">
        <v>5383</v>
      </c>
      <c r="O1535">
        <v>323</v>
      </c>
      <c r="P1535">
        <v>0</v>
      </c>
      <c r="Q1535" t="s">
        <v>6299</v>
      </c>
      <c r="R1535" t="s">
        <v>3022</v>
      </c>
      <c r="S1535" t="s">
        <v>6300</v>
      </c>
      <c r="T1535" t="s">
        <v>6301</v>
      </c>
      <c r="U1535" t="s">
        <v>60</v>
      </c>
      <c r="V1535" t="s">
        <v>61</v>
      </c>
      <c r="W1535">
        <v>10</v>
      </c>
      <c r="X1535">
        <v>0.12381250000000001</v>
      </c>
      <c r="Y1535" t="s">
        <v>641</v>
      </c>
      <c r="Z1535" t="s">
        <v>642</v>
      </c>
      <c r="AA1535">
        <v>4</v>
      </c>
      <c r="AB1535" t="s">
        <v>5943</v>
      </c>
      <c r="AC1535" t="s">
        <v>5944</v>
      </c>
      <c r="AD1535" t="s">
        <v>5945</v>
      </c>
      <c r="AE1535" t="s">
        <v>5946</v>
      </c>
      <c r="AF1535" t="s">
        <v>5947</v>
      </c>
      <c r="AG1535" t="s">
        <v>4006</v>
      </c>
      <c r="AH1535" t="s">
        <v>3903</v>
      </c>
      <c r="AI1535" t="s">
        <v>3902</v>
      </c>
      <c r="AJ1535" t="s">
        <v>3902</v>
      </c>
      <c r="AK1535">
        <v>1</v>
      </c>
      <c r="AL1535" t="s">
        <v>6024</v>
      </c>
      <c r="AM1535" t="s">
        <v>6025</v>
      </c>
      <c r="AN1535" t="s">
        <v>6106</v>
      </c>
      <c r="AO1535" t="s">
        <v>66</v>
      </c>
      <c r="AP1535">
        <v>1</v>
      </c>
      <c r="AQ1535" t="s">
        <v>6189</v>
      </c>
      <c r="AR1535" t="s">
        <v>6108</v>
      </c>
      <c r="AS1535" t="s">
        <v>6190</v>
      </c>
      <c r="AT1535" t="s">
        <v>66</v>
      </c>
    </row>
    <row r="1536" spans="1:46" x14ac:dyDescent="0.15">
      <c r="A1536" t="s">
        <v>6302</v>
      </c>
      <c r="B1536" t="s">
        <v>5935</v>
      </c>
      <c r="C1536" t="s">
        <v>5936</v>
      </c>
      <c r="D1536">
        <v>89</v>
      </c>
      <c r="E1536" t="s">
        <v>5937</v>
      </c>
      <c r="F1536" t="s">
        <v>3592</v>
      </c>
      <c r="G1536" t="s">
        <v>51</v>
      </c>
      <c r="H1536" t="s">
        <v>5938</v>
      </c>
      <c r="I1536" t="s">
        <v>53</v>
      </c>
      <c r="J1536" t="s">
        <v>1554</v>
      </c>
      <c r="K1536" t="s">
        <v>5939</v>
      </c>
      <c r="L1536" t="s">
        <v>19</v>
      </c>
      <c r="M1536" t="s">
        <v>18</v>
      </c>
      <c r="N1536">
        <v>5439</v>
      </c>
      <c r="O1536">
        <v>326</v>
      </c>
      <c r="P1536">
        <v>0</v>
      </c>
      <c r="Q1536" t="s">
        <v>6303</v>
      </c>
      <c r="R1536" t="s">
        <v>3027</v>
      </c>
      <c r="S1536" t="s">
        <v>6304</v>
      </c>
      <c r="T1536" t="s">
        <v>6305</v>
      </c>
      <c r="U1536" t="s">
        <v>60</v>
      </c>
      <c r="V1536" t="s">
        <v>61</v>
      </c>
      <c r="W1536">
        <v>10</v>
      </c>
      <c r="X1536">
        <v>0.12381250000000001</v>
      </c>
      <c r="Y1536" t="s">
        <v>356</v>
      </c>
      <c r="Z1536" t="s">
        <v>648</v>
      </c>
      <c r="AA1536">
        <v>4</v>
      </c>
      <c r="AB1536" t="s">
        <v>5943</v>
      </c>
      <c r="AC1536" t="s">
        <v>5944</v>
      </c>
      <c r="AD1536" t="s">
        <v>5945</v>
      </c>
      <c r="AE1536" t="s">
        <v>5946</v>
      </c>
      <c r="AF1536" t="s">
        <v>5947</v>
      </c>
      <c r="AG1536" t="s">
        <v>4006</v>
      </c>
      <c r="AH1536" t="s">
        <v>3903</v>
      </c>
      <c r="AI1536" t="s">
        <v>3902</v>
      </c>
      <c r="AJ1536" t="s">
        <v>3902</v>
      </c>
      <c r="AK1536">
        <v>1</v>
      </c>
      <c r="AL1536" t="s">
        <v>6024</v>
      </c>
      <c r="AM1536" t="s">
        <v>6025</v>
      </c>
      <c r="AN1536" t="s">
        <v>6106</v>
      </c>
      <c r="AO1536" t="s">
        <v>66</v>
      </c>
      <c r="AP1536">
        <v>1</v>
      </c>
      <c r="AQ1536" t="s">
        <v>6189</v>
      </c>
      <c r="AR1536" t="s">
        <v>6108</v>
      </c>
      <c r="AS1536" t="s">
        <v>6190</v>
      </c>
      <c r="AT1536" t="s">
        <v>66</v>
      </c>
    </row>
    <row r="1537" spans="1:46" x14ac:dyDescent="0.15">
      <c r="A1537" t="s">
        <v>6306</v>
      </c>
      <c r="B1537" t="s">
        <v>5935</v>
      </c>
      <c r="C1537" t="s">
        <v>5936</v>
      </c>
      <c r="D1537">
        <v>90</v>
      </c>
      <c r="E1537" t="s">
        <v>5937</v>
      </c>
      <c r="F1537" t="s">
        <v>3592</v>
      </c>
      <c r="G1537" t="s">
        <v>51</v>
      </c>
      <c r="H1537" t="s">
        <v>5938</v>
      </c>
      <c r="I1537" t="s">
        <v>53</v>
      </c>
      <c r="J1537" t="s">
        <v>1554</v>
      </c>
      <c r="K1537" t="s">
        <v>5939</v>
      </c>
      <c r="L1537" t="s">
        <v>19</v>
      </c>
      <c r="M1537" t="s">
        <v>18</v>
      </c>
      <c r="N1537">
        <v>5495</v>
      </c>
      <c r="O1537">
        <v>329</v>
      </c>
      <c r="P1537">
        <v>0</v>
      </c>
      <c r="Q1537" t="s">
        <v>6307</v>
      </c>
      <c r="R1537" t="s">
        <v>3032</v>
      </c>
      <c r="S1537" t="s">
        <v>6308</v>
      </c>
      <c r="T1537" t="s">
        <v>6309</v>
      </c>
      <c r="U1537" t="s">
        <v>60</v>
      </c>
      <c r="V1537" t="s">
        <v>61</v>
      </c>
      <c r="W1537">
        <v>10</v>
      </c>
      <c r="X1537">
        <v>0.12381250000000001</v>
      </c>
      <c r="Y1537" t="s">
        <v>654</v>
      </c>
      <c r="Z1537" t="s">
        <v>655</v>
      </c>
      <c r="AA1537">
        <v>4</v>
      </c>
      <c r="AB1537" t="s">
        <v>5943</v>
      </c>
      <c r="AC1537" t="s">
        <v>5944</v>
      </c>
      <c r="AD1537" t="s">
        <v>5945</v>
      </c>
      <c r="AE1537" t="s">
        <v>5946</v>
      </c>
      <c r="AF1537" t="s">
        <v>5947</v>
      </c>
      <c r="AG1537" t="s">
        <v>4006</v>
      </c>
      <c r="AH1537" t="s">
        <v>3903</v>
      </c>
      <c r="AI1537" t="s">
        <v>3902</v>
      </c>
      <c r="AJ1537" t="s">
        <v>3902</v>
      </c>
      <c r="AK1537">
        <v>1</v>
      </c>
      <c r="AL1537" t="s">
        <v>6024</v>
      </c>
      <c r="AM1537" t="s">
        <v>6025</v>
      </c>
      <c r="AN1537" t="s">
        <v>6106</v>
      </c>
      <c r="AO1537" t="s">
        <v>66</v>
      </c>
      <c r="AP1537">
        <v>1</v>
      </c>
      <c r="AQ1537" t="s">
        <v>6189</v>
      </c>
      <c r="AR1537" t="s">
        <v>6108</v>
      </c>
      <c r="AS1537" t="s">
        <v>6190</v>
      </c>
      <c r="AT1537" t="s">
        <v>66</v>
      </c>
    </row>
    <row r="1538" spans="1:46" x14ac:dyDescent="0.15">
      <c r="A1538" t="s">
        <v>6310</v>
      </c>
      <c r="B1538" t="s">
        <v>5935</v>
      </c>
      <c r="C1538" t="s">
        <v>5936</v>
      </c>
      <c r="D1538">
        <v>91</v>
      </c>
      <c r="E1538" t="s">
        <v>5937</v>
      </c>
      <c r="F1538" t="s">
        <v>3592</v>
      </c>
      <c r="G1538" t="s">
        <v>51</v>
      </c>
      <c r="H1538" t="s">
        <v>5938</v>
      </c>
      <c r="I1538" t="s">
        <v>53</v>
      </c>
      <c r="J1538" t="s">
        <v>1554</v>
      </c>
      <c r="K1538" t="s">
        <v>5939</v>
      </c>
      <c r="L1538" t="s">
        <v>19</v>
      </c>
      <c r="M1538" t="s">
        <v>18</v>
      </c>
      <c r="N1538">
        <v>5551</v>
      </c>
      <c r="O1538">
        <v>333</v>
      </c>
      <c r="P1538">
        <v>0</v>
      </c>
      <c r="Q1538" t="s">
        <v>6311</v>
      </c>
      <c r="R1538" t="s">
        <v>3037</v>
      </c>
      <c r="S1538" t="s">
        <v>6312</v>
      </c>
      <c r="T1538" t="s">
        <v>6313</v>
      </c>
      <c r="U1538" t="s">
        <v>60</v>
      </c>
      <c r="V1538" t="s">
        <v>61</v>
      </c>
      <c r="W1538">
        <v>10</v>
      </c>
      <c r="X1538">
        <v>0.12381250000000001</v>
      </c>
      <c r="Y1538" t="s">
        <v>363</v>
      </c>
      <c r="Z1538" t="s">
        <v>661</v>
      </c>
      <c r="AA1538">
        <v>4</v>
      </c>
      <c r="AB1538" t="s">
        <v>5943</v>
      </c>
      <c r="AC1538" t="s">
        <v>5944</v>
      </c>
      <c r="AD1538" t="s">
        <v>5945</v>
      </c>
      <c r="AE1538" t="s">
        <v>5946</v>
      </c>
      <c r="AF1538" t="s">
        <v>5947</v>
      </c>
      <c r="AG1538" t="s">
        <v>4006</v>
      </c>
      <c r="AH1538" t="s">
        <v>3903</v>
      </c>
      <c r="AI1538" t="s">
        <v>3902</v>
      </c>
      <c r="AJ1538" t="s">
        <v>3902</v>
      </c>
      <c r="AK1538">
        <v>1</v>
      </c>
      <c r="AL1538" t="s">
        <v>6024</v>
      </c>
      <c r="AM1538" t="s">
        <v>6025</v>
      </c>
      <c r="AN1538" t="s">
        <v>6106</v>
      </c>
      <c r="AO1538" t="s">
        <v>66</v>
      </c>
      <c r="AP1538">
        <v>1</v>
      </c>
      <c r="AQ1538" t="s">
        <v>6189</v>
      </c>
      <c r="AR1538" t="s">
        <v>6108</v>
      </c>
      <c r="AS1538" t="s">
        <v>6190</v>
      </c>
      <c r="AT1538" t="s">
        <v>66</v>
      </c>
    </row>
    <row r="1539" spans="1:46" x14ac:dyDescent="0.15">
      <c r="A1539" t="s">
        <v>6314</v>
      </c>
      <c r="B1539" t="s">
        <v>5935</v>
      </c>
      <c r="C1539" t="s">
        <v>5936</v>
      </c>
      <c r="D1539">
        <v>92</v>
      </c>
      <c r="E1539" t="s">
        <v>5937</v>
      </c>
      <c r="F1539" t="s">
        <v>3592</v>
      </c>
      <c r="G1539" t="s">
        <v>51</v>
      </c>
      <c r="H1539" t="s">
        <v>5938</v>
      </c>
      <c r="I1539" t="s">
        <v>53</v>
      </c>
      <c r="J1539" t="s">
        <v>1554</v>
      </c>
      <c r="K1539" t="s">
        <v>5939</v>
      </c>
      <c r="L1539" t="s">
        <v>19</v>
      </c>
      <c r="M1539" t="s">
        <v>18</v>
      </c>
      <c r="N1539">
        <v>5607</v>
      </c>
      <c r="O1539">
        <v>336</v>
      </c>
      <c r="P1539">
        <v>0</v>
      </c>
      <c r="Q1539" t="s">
        <v>6315</v>
      </c>
      <c r="R1539" t="s">
        <v>3042</v>
      </c>
      <c r="S1539" t="s">
        <v>6316</v>
      </c>
      <c r="T1539" t="s">
        <v>6317</v>
      </c>
      <c r="U1539" t="s">
        <v>60</v>
      </c>
      <c r="V1539" t="s">
        <v>61</v>
      </c>
      <c r="W1539">
        <v>10</v>
      </c>
      <c r="X1539">
        <v>0.12381250000000001</v>
      </c>
      <c r="Y1539" t="s">
        <v>667</v>
      </c>
      <c r="Z1539" t="s">
        <v>668</v>
      </c>
      <c r="AA1539">
        <v>4</v>
      </c>
      <c r="AB1539" t="s">
        <v>5943</v>
      </c>
      <c r="AC1539" t="s">
        <v>5944</v>
      </c>
      <c r="AD1539" t="s">
        <v>5945</v>
      </c>
      <c r="AE1539" t="s">
        <v>5946</v>
      </c>
      <c r="AF1539" t="s">
        <v>5947</v>
      </c>
      <c r="AG1539" t="s">
        <v>4006</v>
      </c>
      <c r="AH1539" t="s">
        <v>3903</v>
      </c>
      <c r="AI1539" t="s">
        <v>3902</v>
      </c>
      <c r="AJ1539" t="s">
        <v>3902</v>
      </c>
      <c r="AK1539">
        <v>1</v>
      </c>
      <c r="AL1539" t="s">
        <v>6024</v>
      </c>
      <c r="AM1539" t="s">
        <v>6025</v>
      </c>
      <c r="AN1539" t="s">
        <v>6106</v>
      </c>
      <c r="AO1539" t="s">
        <v>66</v>
      </c>
      <c r="AP1539">
        <v>1</v>
      </c>
      <c r="AQ1539" t="s">
        <v>6189</v>
      </c>
      <c r="AR1539" t="s">
        <v>6108</v>
      </c>
      <c r="AS1539" t="s">
        <v>6190</v>
      </c>
      <c r="AT1539" t="s">
        <v>66</v>
      </c>
    </row>
    <row r="1540" spans="1:46" x14ac:dyDescent="0.15">
      <c r="A1540" t="s">
        <v>6318</v>
      </c>
      <c r="B1540" t="s">
        <v>5935</v>
      </c>
      <c r="C1540" t="s">
        <v>5936</v>
      </c>
      <c r="D1540">
        <v>93</v>
      </c>
      <c r="E1540" t="s">
        <v>5937</v>
      </c>
      <c r="F1540" t="s">
        <v>3592</v>
      </c>
      <c r="G1540" t="s">
        <v>51</v>
      </c>
      <c r="H1540" t="s">
        <v>5938</v>
      </c>
      <c r="I1540" t="s">
        <v>53</v>
      </c>
      <c r="J1540" t="s">
        <v>1554</v>
      </c>
      <c r="K1540" t="s">
        <v>5939</v>
      </c>
      <c r="L1540" t="s">
        <v>19</v>
      </c>
      <c r="M1540" t="s">
        <v>18</v>
      </c>
      <c r="N1540">
        <v>5663</v>
      </c>
      <c r="O1540">
        <v>339</v>
      </c>
      <c r="P1540">
        <v>0</v>
      </c>
      <c r="Q1540" t="s">
        <v>6319</v>
      </c>
      <c r="R1540" t="s">
        <v>3047</v>
      </c>
      <c r="S1540" t="s">
        <v>6320</v>
      </c>
      <c r="T1540" t="s">
        <v>6321</v>
      </c>
      <c r="U1540" t="s">
        <v>60</v>
      </c>
      <c r="V1540" t="s">
        <v>61</v>
      </c>
      <c r="W1540">
        <v>10</v>
      </c>
      <c r="X1540">
        <v>0.12381250000000001</v>
      </c>
      <c r="Y1540" t="s">
        <v>369</v>
      </c>
      <c r="Z1540" t="s">
        <v>674</v>
      </c>
      <c r="AA1540">
        <v>4</v>
      </c>
      <c r="AB1540" t="s">
        <v>5943</v>
      </c>
      <c r="AC1540" t="s">
        <v>5944</v>
      </c>
      <c r="AD1540" t="s">
        <v>5945</v>
      </c>
      <c r="AE1540" t="s">
        <v>5946</v>
      </c>
      <c r="AF1540" t="s">
        <v>5947</v>
      </c>
      <c r="AG1540" t="s">
        <v>4006</v>
      </c>
      <c r="AH1540" t="s">
        <v>3903</v>
      </c>
      <c r="AI1540" t="s">
        <v>3902</v>
      </c>
      <c r="AJ1540" t="s">
        <v>3902</v>
      </c>
      <c r="AK1540">
        <v>1</v>
      </c>
      <c r="AL1540" t="s">
        <v>6024</v>
      </c>
      <c r="AM1540" t="s">
        <v>6025</v>
      </c>
      <c r="AN1540" t="s">
        <v>6106</v>
      </c>
      <c r="AO1540" t="s">
        <v>66</v>
      </c>
      <c r="AP1540">
        <v>1</v>
      </c>
      <c r="AQ1540" t="s">
        <v>6189</v>
      </c>
      <c r="AR1540" t="s">
        <v>6108</v>
      </c>
      <c r="AS1540" t="s">
        <v>6190</v>
      </c>
      <c r="AT1540" t="s">
        <v>66</v>
      </c>
    </row>
    <row r="1541" spans="1:46" x14ac:dyDescent="0.15">
      <c r="A1541" t="s">
        <v>6322</v>
      </c>
      <c r="B1541" t="s">
        <v>5935</v>
      </c>
      <c r="C1541" t="s">
        <v>5936</v>
      </c>
      <c r="D1541">
        <v>94</v>
      </c>
      <c r="E1541" t="s">
        <v>5937</v>
      </c>
      <c r="F1541" t="s">
        <v>3592</v>
      </c>
      <c r="G1541" t="s">
        <v>51</v>
      </c>
      <c r="H1541" t="s">
        <v>5938</v>
      </c>
      <c r="I1541" t="s">
        <v>53</v>
      </c>
      <c r="J1541" t="s">
        <v>1554</v>
      </c>
      <c r="K1541" t="s">
        <v>5939</v>
      </c>
      <c r="L1541" t="s">
        <v>19</v>
      </c>
      <c r="M1541" t="s">
        <v>18</v>
      </c>
      <c r="N1541">
        <v>5719</v>
      </c>
      <c r="O1541">
        <v>343</v>
      </c>
      <c r="P1541">
        <v>0</v>
      </c>
      <c r="Q1541" t="s">
        <v>6323</v>
      </c>
      <c r="R1541" t="s">
        <v>3052</v>
      </c>
      <c r="S1541" t="s">
        <v>6324</v>
      </c>
      <c r="T1541" t="s">
        <v>6325</v>
      </c>
      <c r="U1541" t="s">
        <v>60</v>
      </c>
      <c r="V1541" t="s">
        <v>61</v>
      </c>
      <c r="W1541">
        <v>10</v>
      </c>
      <c r="X1541">
        <v>0.12381250000000001</v>
      </c>
      <c r="Y1541" t="s">
        <v>680</v>
      </c>
      <c r="Z1541" t="s">
        <v>681</v>
      </c>
      <c r="AA1541">
        <v>4</v>
      </c>
      <c r="AB1541" t="s">
        <v>5943</v>
      </c>
      <c r="AC1541" t="s">
        <v>5944</v>
      </c>
      <c r="AD1541" t="s">
        <v>5945</v>
      </c>
      <c r="AE1541" t="s">
        <v>5946</v>
      </c>
      <c r="AF1541" t="s">
        <v>5947</v>
      </c>
      <c r="AG1541" t="s">
        <v>4006</v>
      </c>
      <c r="AH1541" t="s">
        <v>3903</v>
      </c>
      <c r="AI1541" t="s">
        <v>3902</v>
      </c>
      <c r="AJ1541" t="s">
        <v>3902</v>
      </c>
      <c r="AK1541">
        <v>1</v>
      </c>
      <c r="AL1541" t="s">
        <v>6024</v>
      </c>
      <c r="AM1541" t="s">
        <v>6025</v>
      </c>
      <c r="AN1541" t="s">
        <v>6106</v>
      </c>
      <c r="AO1541" t="s">
        <v>66</v>
      </c>
      <c r="AP1541">
        <v>1</v>
      </c>
      <c r="AQ1541" t="s">
        <v>6189</v>
      </c>
      <c r="AR1541" t="s">
        <v>6108</v>
      </c>
      <c r="AS1541" t="s">
        <v>6190</v>
      </c>
      <c r="AT1541" t="s">
        <v>66</v>
      </c>
    </row>
    <row r="1542" spans="1:46" x14ac:dyDescent="0.15">
      <c r="A1542" t="s">
        <v>6326</v>
      </c>
      <c r="B1542" t="s">
        <v>5935</v>
      </c>
      <c r="C1542" t="s">
        <v>5936</v>
      </c>
      <c r="D1542">
        <v>95</v>
      </c>
      <c r="E1542" t="s">
        <v>5937</v>
      </c>
      <c r="F1542" t="s">
        <v>3592</v>
      </c>
      <c r="G1542" t="s">
        <v>51</v>
      </c>
      <c r="H1542" t="s">
        <v>5938</v>
      </c>
      <c r="I1542" t="s">
        <v>53</v>
      </c>
      <c r="J1542" t="s">
        <v>1554</v>
      </c>
      <c r="K1542" t="s">
        <v>5939</v>
      </c>
      <c r="L1542" t="s">
        <v>19</v>
      </c>
      <c r="M1542" t="s">
        <v>18</v>
      </c>
      <c r="N1542">
        <v>5776</v>
      </c>
      <c r="O1542">
        <v>346</v>
      </c>
      <c r="P1542">
        <v>0</v>
      </c>
      <c r="Q1542" t="s">
        <v>6327</v>
      </c>
      <c r="R1542" t="s">
        <v>3057</v>
      </c>
      <c r="S1542" t="s">
        <v>6328</v>
      </c>
      <c r="T1542" t="s">
        <v>6329</v>
      </c>
      <c r="U1542" t="s">
        <v>60</v>
      </c>
      <c r="V1542" t="s">
        <v>61</v>
      </c>
      <c r="W1542">
        <v>10</v>
      </c>
      <c r="X1542">
        <v>0.12381250000000001</v>
      </c>
      <c r="Y1542" t="s">
        <v>376</v>
      </c>
      <c r="Z1542" t="s">
        <v>687</v>
      </c>
      <c r="AA1542">
        <v>4</v>
      </c>
      <c r="AB1542" t="s">
        <v>5943</v>
      </c>
      <c r="AC1542" t="s">
        <v>5944</v>
      </c>
      <c r="AD1542" t="s">
        <v>5945</v>
      </c>
      <c r="AE1542" t="s">
        <v>5946</v>
      </c>
      <c r="AF1542" t="s">
        <v>5947</v>
      </c>
      <c r="AG1542" t="s">
        <v>4006</v>
      </c>
      <c r="AH1542" t="s">
        <v>3903</v>
      </c>
      <c r="AI1542" t="s">
        <v>3902</v>
      </c>
      <c r="AJ1542" t="s">
        <v>3902</v>
      </c>
      <c r="AK1542">
        <v>1</v>
      </c>
      <c r="AL1542" t="s">
        <v>6024</v>
      </c>
      <c r="AM1542" t="s">
        <v>6025</v>
      </c>
      <c r="AN1542" t="s">
        <v>6106</v>
      </c>
      <c r="AO1542" t="s">
        <v>66</v>
      </c>
      <c r="AP1542">
        <v>1</v>
      </c>
      <c r="AQ1542" t="s">
        <v>6189</v>
      </c>
      <c r="AR1542" t="s">
        <v>6108</v>
      </c>
      <c r="AS1542" t="s">
        <v>6190</v>
      </c>
      <c r="AT1542" t="s">
        <v>66</v>
      </c>
    </row>
    <row r="1543" spans="1:46" x14ac:dyDescent="0.15">
      <c r="A1543" t="s">
        <v>6330</v>
      </c>
      <c r="B1543" t="s">
        <v>5935</v>
      </c>
      <c r="C1543" t="s">
        <v>5936</v>
      </c>
      <c r="D1543">
        <v>96</v>
      </c>
      <c r="E1543" t="s">
        <v>5937</v>
      </c>
      <c r="F1543" t="s">
        <v>3592</v>
      </c>
      <c r="G1543" t="s">
        <v>51</v>
      </c>
      <c r="H1543" t="s">
        <v>5938</v>
      </c>
      <c r="I1543" t="s">
        <v>53</v>
      </c>
      <c r="J1543" t="s">
        <v>1554</v>
      </c>
      <c r="K1543" t="s">
        <v>5939</v>
      </c>
      <c r="L1543" t="s">
        <v>19</v>
      </c>
      <c r="M1543" t="s">
        <v>18</v>
      </c>
      <c r="N1543">
        <v>5832</v>
      </c>
      <c r="O1543">
        <v>350</v>
      </c>
      <c r="P1543">
        <v>0</v>
      </c>
      <c r="Q1543" t="s">
        <v>6331</v>
      </c>
      <c r="R1543" t="s">
        <v>3062</v>
      </c>
      <c r="S1543" t="s">
        <v>6332</v>
      </c>
      <c r="T1543" t="s">
        <v>6333</v>
      </c>
      <c r="U1543" t="s">
        <v>60</v>
      </c>
      <c r="V1543" t="s">
        <v>61</v>
      </c>
      <c r="W1543">
        <v>10</v>
      </c>
      <c r="X1543">
        <v>0.12381250000000001</v>
      </c>
      <c r="Y1543" t="s">
        <v>693</v>
      </c>
      <c r="Z1543" t="s">
        <v>694</v>
      </c>
      <c r="AA1543">
        <v>4</v>
      </c>
      <c r="AB1543" t="s">
        <v>5943</v>
      </c>
      <c r="AC1543" t="s">
        <v>5944</v>
      </c>
      <c r="AD1543" t="s">
        <v>5945</v>
      </c>
      <c r="AE1543" t="s">
        <v>5946</v>
      </c>
      <c r="AF1543" t="s">
        <v>5947</v>
      </c>
      <c r="AG1543" t="s">
        <v>4006</v>
      </c>
      <c r="AH1543" t="s">
        <v>3903</v>
      </c>
      <c r="AI1543" t="s">
        <v>3902</v>
      </c>
      <c r="AJ1543" t="s">
        <v>3902</v>
      </c>
      <c r="AK1543">
        <v>1</v>
      </c>
      <c r="AL1543" t="s">
        <v>6024</v>
      </c>
      <c r="AM1543" t="s">
        <v>6025</v>
      </c>
      <c r="AN1543" t="s">
        <v>6106</v>
      </c>
      <c r="AO1543" t="s">
        <v>66</v>
      </c>
      <c r="AP1543">
        <v>1</v>
      </c>
      <c r="AQ1543" t="s">
        <v>6189</v>
      </c>
      <c r="AR1543" t="s">
        <v>6108</v>
      </c>
      <c r="AS1543" t="s">
        <v>6190</v>
      </c>
      <c r="AT1543" t="s">
        <v>66</v>
      </c>
    </row>
    <row r="1544" spans="1:46" x14ac:dyDescent="0.15">
      <c r="A1544" t="s">
        <v>6334</v>
      </c>
      <c r="B1544" t="s">
        <v>5935</v>
      </c>
      <c r="C1544" t="s">
        <v>5936</v>
      </c>
      <c r="D1544">
        <v>97</v>
      </c>
      <c r="E1544" t="s">
        <v>5937</v>
      </c>
      <c r="F1544" t="s">
        <v>3592</v>
      </c>
      <c r="G1544" t="s">
        <v>51</v>
      </c>
      <c r="H1544" t="s">
        <v>5938</v>
      </c>
      <c r="I1544" t="s">
        <v>53</v>
      </c>
      <c r="J1544" t="s">
        <v>1554</v>
      </c>
      <c r="K1544" t="s">
        <v>5939</v>
      </c>
      <c r="L1544" t="s">
        <v>19</v>
      </c>
      <c r="M1544" t="s">
        <v>18</v>
      </c>
      <c r="N1544">
        <v>5888</v>
      </c>
      <c r="O1544">
        <v>353</v>
      </c>
      <c r="P1544">
        <v>0</v>
      </c>
      <c r="Q1544" t="s">
        <v>6335</v>
      </c>
      <c r="R1544" t="s">
        <v>3067</v>
      </c>
      <c r="S1544" t="s">
        <v>6336</v>
      </c>
      <c r="T1544" t="s">
        <v>6337</v>
      </c>
      <c r="U1544" t="s">
        <v>60</v>
      </c>
      <c r="V1544" t="s">
        <v>61</v>
      </c>
      <c r="W1544">
        <v>10</v>
      </c>
      <c r="X1544">
        <v>0.12381250000000001</v>
      </c>
      <c r="Y1544" t="s">
        <v>382</v>
      </c>
      <c r="Z1544" t="s">
        <v>700</v>
      </c>
      <c r="AA1544">
        <v>4</v>
      </c>
      <c r="AB1544" t="s">
        <v>5943</v>
      </c>
      <c r="AC1544" t="s">
        <v>5944</v>
      </c>
      <c r="AD1544" t="s">
        <v>5945</v>
      </c>
      <c r="AE1544" t="s">
        <v>5946</v>
      </c>
      <c r="AF1544" t="s">
        <v>5947</v>
      </c>
      <c r="AG1544" t="s">
        <v>4006</v>
      </c>
      <c r="AH1544" t="s">
        <v>3903</v>
      </c>
      <c r="AI1544" t="s">
        <v>3902</v>
      </c>
      <c r="AJ1544" t="s">
        <v>3902</v>
      </c>
      <c r="AK1544">
        <v>1</v>
      </c>
      <c r="AL1544" t="s">
        <v>6024</v>
      </c>
      <c r="AM1544" t="s">
        <v>6025</v>
      </c>
      <c r="AN1544" t="s">
        <v>6106</v>
      </c>
      <c r="AO1544" t="s">
        <v>66</v>
      </c>
      <c r="AP1544">
        <v>1</v>
      </c>
      <c r="AQ1544" t="s">
        <v>6189</v>
      </c>
      <c r="AR1544" t="s">
        <v>6108</v>
      </c>
      <c r="AS1544" t="s">
        <v>6190</v>
      </c>
      <c r="AT1544" t="s">
        <v>66</v>
      </c>
    </row>
    <row r="1545" spans="1:46" x14ac:dyDescent="0.15">
      <c r="A1545" t="s">
        <v>6338</v>
      </c>
      <c r="B1545" t="s">
        <v>5935</v>
      </c>
      <c r="C1545" t="s">
        <v>5936</v>
      </c>
      <c r="D1545">
        <v>98</v>
      </c>
      <c r="E1545" t="s">
        <v>5937</v>
      </c>
      <c r="F1545" t="s">
        <v>3592</v>
      </c>
      <c r="G1545" t="s">
        <v>51</v>
      </c>
      <c r="H1545" t="s">
        <v>5938</v>
      </c>
      <c r="I1545" t="s">
        <v>53</v>
      </c>
      <c r="J1545" t="s">
        <v>1554</v>
      </c>
      <c r="K1545" t="s">
        <v>5939</v>
      </c>
      <c r="L1545" t="s">
        <v>19</v>
      </c>
      <c r="M1545" t="s">
        <v>18</v>
      </c>
      <c r="N1545">
        <v>5944</v>
      </c>
      <c r="O1545">
        <v>356</v>
      </c>
      <c r="P1545">
        <v>0</v>
      </c>
      <c r="Q1545" t="s">
        <v>6339</v>
      </c>
      <c r="R1545" t="s">
        <v>3072</v>
      </c>
      <c r="S1545" t="s">
        <v>6340</v>
      </c>
      <c r="T1545" t="s">
        <v>6341</v>
      </c>
      <c r="U1545" t="s">
        <v>60</v>
      </c>
      <c r="V1545" t="s">
        <v>61</v>
      </c>
      <c r="W1545">
        <v>10</v>
      </c>
      <c r="X1545">
        <v>0.12381250000000001</v>
      </c>
      <c r="Y1545" t="s">
        <v>706</v>
      </c>
      <c r="Z1545" t="s">
        <v>707</v>
      </c>
      <c r="AA1545">
        <v>4</v>
      </c>
      <c r="AB1545" t="s">
        <v>5943</v>
      </c>
      <c r="AC1545" t="s">
        <v>5944</v>
      </c>
      <c r="AD1545" t="s">
        <v>5945</v>
      </c>
      <c r="AE1545" t="s">
        <v>5946</v>
      </c>
      <c r="AF1545" t="s">
        <v>5947</v>
      </c>
      <c r="AG1545" t="s">
        <v>4006</v>
      </c>
      <c r="AH1545" t="s">
        <v>3903</v>
      </c>
      <c r="AI1545" t="s">
        <v>3902</v>
      </c>
      <c r="AJ1545" t="s">
        <v>3902</v>
      </c>
      <c r="AK1545">
        <v>1</v>
      </c>
      <c r="AL1545" t="s">
        <v>6024</v>
      </c>
      <c r="AM1545" t="s">
        <v>6025</v>
      </c>
      <c r="AN1545" t="s">
        <v>6106</v>
      </c>
      <c r="AO1545" t="s">
        <v>66</v>
      </c>
      <c r="AP1545">
        <v>1</v>
      </c>
      <c r="AQ1545" t="s">
        <v>6189</v>
      </c>
      <c r="AR1545" t="s">
        <v>6108</v>
      </c>
      <c r="AS1545" t="s">
        <v>6190</v>
      </c>
      <c r="AT1545" t="s">
        <v>66</v>
      </c>
    </row>
    <row r="1546" spans="1:46" x14ac:dyDescent="0.15">
      <c r="A1546" t="s">
        <v>6342</v>
      </c>
      <c r="B1546" t="s">
        <v>5935</v>
      </c>
      <c r="C1546" t="s">
        <v>5936</v>
      </c>
      <c r="D1546">
        <v>99</v>
      </c>
      <c r="E1546" t="s">
        <v>5937</v>
      </c>
      <c r="F1546" t="s">
        <v>3592</v>
      </c>
      <c r="G1546" t="s">
        <v>51</v>
      </c>
      <c r="H1546" t="s">
        <v>5938</v>
      </c>
      <c r="I1546" t="s">
        <v>53</v>
      </c>
      <c r="J1546" t="s">
        <v>1554</v>
      </c>
      <c r="K1546" t="s">
        <v>5939</v>
      </c>
      <c r="L1546" t="s">
        <v>19</v>
      </c>
      <c r="M1546" t="s">
        <v>18</v>
      </c>
      <c r="N1546">
        <v>6000</v>
      </c>
      <c r="O1546">
        <v>360</v>
      </c>
      <c r="P1546">
        <v>0</v>
      </c>
      <c r="Q1546" t="s">
        <v>6343</v>
      </c>
      <c r="R1546" t="s">
        <v>3077</v>
      </c>
      <c r="S1546" t="s">
        <v>6344</v>
      </c>
      <c r="T1546" t="s">
        <v>2565</v>
      </c>
      <c r="U1546" t="s">
        <v>60</v>
      </c>
      <c r="V1546" t="s">
        <v>61</v>
      </c>
      <c r="W1546">
        <v>10</v>
      </c>
      <c r="X1546">
        <v>0.12381250000000001</v>
      </c>
      <c r="Y1546" t="s">
        <v>389</v>
      </c>
      <c r="Z1546" t="s">
        <v>713</v>
      </c>
      <c r="AA1546">
        <v>4</v>
      </c>
      <c r="AB1546" t="s">
        <v>5943</v>
      </c>
      <c r="AC1546" t="s">
        <v>5944</v>
      </c>
      <c r="AD1546" t="s">
        <v>5945</v>
      </c>
      <c r="AE1546" t="s">
        <v>5946</v>
      </c>
      <c r="AF1546" t="s">
        <v>5947</v>
      </c>
      <c r="AG1546" t="s">
        <v>4006</v>
      </c>
      <c r="AH1546" t="s">
        <v>3903</v>
      </c>
      <c r="AI1546" t="s">
        <v>3902</v>
      </c>
      <c r="AJ1546" t="s">
        <v>3902</v>
      </c>
      <c r="AK1546">
        <v>1</v>
      </c>
      <c r="AL1546" t="s">
        <v>6024</v>
      </c>
      <c r="AM1546" t="s">
        <v>6025</v>
      </c>
      <c r="AN1546" t="s">
        <v>6106</v>
      </c>
      <c r="AO1546" t="s">
        <v>66</v>
      </c>
      <c r="AP1546">
        <v>1</v>
      </c>
      <c r="AQ1546" t="s">
        <v>6189</v>
      </c>
      <c r="AR1546" t="s">
        <v>6108</v>
      </c>
      <c r="AS1546" t="s">
        <v>6190</v>
      </c>
      <c r="AT1546" t="s">
        <v>66</v>
      </c>
    </row>
    <row r="1547" spans="1:46" x14ac:dyDescent="0.15">
      <c r="A1547" t="s">
        <v>6345</v>
      </c>
      <c r="B1547" t="s">
        <v>6346</v>
      </c>
      <c r="C1547" t="s">
        <v>6347</v>
      </c>
      <c r="D1547">
        <v>1</v>
      </c>
      <c r="E1547" t="s">
        <v>6348</v>
      </c>
      <c r="F1547" t="s">
        <v>50</v>
      </c>
      <c r="G1547" t="s">
        <v>51</v>
      </c>
      <c r="H1547" t="s">
        <v>6349</v>
      </c>
      <c r="I1547" t="s">
        <v>53</v>
      </c>
      <c r="J1547" t="s">
        <v>4518</v>
      </c>
      <c r="K1547" t="s">
        <v>55</v>
      </c>
      <c r="L1547" t="s">
        <v>17</v>
      </c>
      <c r="M1547" t="s">
        <v>16</v>
      </c>
      <c r="N1547">
        <v>500</v>
      </c>
      <c r="O1547">
        <v>30</v>
      </c>
      <c r="P1547">
        <v>0</v>
      </c>
      <c r="Q1547" t="s">
        <v>56</v>
      </c>
      <c r="R1547" t="s">
        <v>6350</v>
      </c>
      <c r="S1547" t="s">
        <v>6351</v>
      </c>
      <c r="T1547" t="s">
        <v>4519</v>
      </c>
      <c r="U1547" t="s">
        <v>60</v>
      </c>
      <c r="V1547" t="s">
        <v>61</v>
      </c>
      <c r="W1547">
        <v>3</v>
      </c>
      <c r="X1547">
        <v>0.11812499999999999</v>
      </c>
      <c r="Y1547" t="s">
        <v>62</v>
      </c>
      <c r="Z1547" t="s">
        <v>62</v>
      </c>
      <c r="AA1547">
        <v>0</v>
      </c>
      <c r="AB1547" t="s">
        <v>6352</v>
      </c>
      <c r="AC1547" t="s">
        <v>6353</v>
      </c>
      <c r="AD1547" t="s">
        <v>6354</v>
      </c>
      <c r="AE1547" t="s">
        <v>6355</v>
      </c>
      <c r="AF1547" t="s">
        <v>6356</v>
      </c>
      <c r="AG1547" t="s">
        <v>66</v>
      </c>
      <c r="AH1547" t="s">
        <v>66</v>
      </c>
      <c r="AI1547" t="s">
        <v>66</v>
      </c>
      <c r="AJ1547" t="s">
        <v>66</v>
      </c>
      <c r="AK1547">
        <v>1</v>
      </c>
      <c r="AL1547" t="s">
        <v>66</v>
      </c>
      <c r="AM1547" t="s">
        <v>66</v>
      </c>
      <c r="AN1547" t="s">
        <v>66</v>
      </c>
      <c r="AO1547" t="s">
        <v>66</v>
      </c>
      <c r="AP1547">
        <v>1</v>
      </c>
      <c r="AQ1547" t="s">
        <v>66</v>
      </c>
      <c r="AR1547" t="s">
        <v>66</v>
      </c>
      <c r="AS1547" t="s">
        <v>66</v>
      </c>
      <c r="AT1547" t="s">
        <v>66</v>
      </c>
    </row>
    <row r="1548" spans="1:46" x14ac:dyDescent="0.15">
      <c r="A1548" t="s">
        <v>6357</v>
      </c>
      <c r="B1548" t="s">
        <v>6346</v>
      </c>
      <c r="C1548" t="s">
        <v>6347</v>
      </c>
      <c r="D1548">
        <v>2</v>
      </c>
      <c r="E1548" t="s">
        <v>6348</v>
      </c>
      <c r="F1548" t="s">
        <v>50</v>
      </c>
      <c r="G1548" t="s">
        <v>51</v>
      </c>
      <c r="H1548" t="s">
        <v>6349</v>
      </c>
      <c r="I1548" t="s">
        <v>53</v>
      </c>
      <c r="J1548" t="s">
        <v>4518</v>
      </c>
      <c r="K1548" t="s">
        <v>55</v>
      </c>
      <c r="L1548" t="s">
        <v>17</v>
      </c>
      <c r="M1548" t="s">
        <v>16</v>
      </c>
      <c r="N1548">
        <v>556</v>
      </c>
      <c r="O1548">
        <v>33</v>
      </c>
      <c r="P1548">
        <v>0</v>
      </c>
      <c r="Q1548" t="s">
        <v>68</v>
      </c>
      <c r="R1548" t="s">
        <v>6358</v>
      </c>
      <c r="S1548" t="s">
        <v>6359</v>
      </c>
      <c r="T1548" t="s">
        <v>6360</v>
      </c>
      <c r="U1548" t="s">
        <v>60</v>
      </c>
      <c r="V1548" t="s">
        <v>61</v>
      </c>
      <c r="W1548">
        <v>3</v>
      </c>
      <c r="X1548">
        <v>0.11812499999999999</v>
      </c>
      <c r="Y1548" t="s">
        <v>72</v>
      </c>
      <c r="Z1548" t="s">
        <v>73</v>
      </c>
      <c r="AA1548">
        <v>0</v>
      </c>
      <c r="AB1548" t="s">
        <v>6352</v>
      </c>
      <c r="AC1548" t="s">
        <v>6353</v>
      </c>
      <c r="AD1548" t="s">
        <v>6354</v>
      </c>
      <c r="AE1548" t="s">
        <v>6355</v>
      </c>
      <c r="AF1548" t="s">
        <v>6356</v>
      </c>
      <c r="AG1548" t="s">
        <v>66</v>
      </c>
      <c r="AH1548" t="s">
        <v>66</v>
      </c>
      <c r="AI1548" t="s">
        <v>66</v>
      </c>
      <c r="AJ1548" t="s">
        <v>66</v>
      </c>
      <c r="AK1548">
        <v>1</v>
      </c>
      <c r="AL1548" t="s">
        <v>66</v>
      </c>
      <c r="AM1548" t="s">
        <v>66</v>
      </c>
      <c r="AN1548" t="s">
        <v>66</v>
      </c>
      <c r="AO1548" t="s">
        <v>66</v>
      </c>
      <c r="AP1548">
        <v>1</v>
      </c>
      <c r="AQ1548" t="s">
        <v>66</v>
      </c>
      <c r="AR1548" t="s">
        <v>66</v>
      </c>
      <c r="AS1548" t="s">
        <v>66</v>
      </c>
      <c r="AT1548" t="s">
        <v>66</v>
      </c>
    </row>
    <row r="1549" spans="1:46" x14ac:dyDescent="0.15">
      <c r="A1549" t="s">
        <v>6361</v>
      </c>
      <c r="B1549" t="s">
        <v>6346</v>
      </c>
      <c r="C1549" t="s">
        <v>6347</v>
      </c>
      <c r="D1549">
        <v>3</v>
      </c>
      <c r="E1549" t="s">
        <v>6348</v>
      </c>
      <c r="F1549" t="s">
        <v>50</v>
      </c>
      <c r="G1549" t="s">
        <v>51</v>
      </c>
      <c r="H1549" t="s">
        <v>6349</v>
      </c>
      <c r="I1549" t="s">
        <v>53</v>
      </c>
      <c r="J1549" t="s">
        <v>4518</v>
      </c>
      <c r="K1549" t="s">
        <v>55</v>
      </c>
      <c r="L1549" t="s">
        <v>17</v>
      </c>
      <c r="M1549" t="s">
        <v>16</v>
      </c>
      <c r="N1549">
        <v>612</v>
      </c>
      <c r="O1549">
        <v>36</v>
      </c>
      <c r="P1549">
        <v>0</v>
      </c>
      <c r="Q1549" t="s">
        <v>75</v>
      </c>
      <c r="R1549" t="s">
        <v>6362</v>
      </c>
      <c r="S1549" t="s">
        <v>6363</v>
      </c>
      <c r="T1549" t="s">
        <v>6364</v>
      </c>
      <c r="U1549" t="s">
        <v>60</v>
      </c>
      <c r="V1549" t="s">
        <v>61</v>
      </c>
      <c r="W1549">
        <v>3</v>
      </c>
      <c r="X1549">
        <v>0.11812499999999999</v>
      </c>
      <c r="Y1549" t="s">
        <v>73</v>
      </c>
      <c r="Z1549" t="s">
        <v>79</v>
      </c>
      <c r="AA1549">
        <v>0</v>
      </c>
      <c r="AB1549" t="s">
        <v>6352</v>
      </c>
      <c r="AC1549" t="s">
        <v>6353</v>
      </c>
      <c r="AD1549" t="s">
        <v>6354</v>
      </c>
      <c r="AE1549" t="s">
        <v>6355</v>
      </c>
      <c r="AF1549" t="s">
        <v>6356</v>
      </c>
      <c r="AG1549" t="s">
        <v>66</v>
      </c>
      <c r="AH1549" t="s">
        <v>66</v>
      </c>
      <c r="AI1549" t="s">
        <v>66</v>
      </c>
      <c r="AJ1549" t="s">
        <v>66</v>
      </c>
      <c r="AK1549">
        <v>1</v>
      </c>
      <c r="AL1549" t="s">
        <v>66</v>
      </c>
      <c r="AM1549" t="s">
        <v>66</v>
      </c>
      <c r="AN1549" t="s">
        <v>66</v>
      </c>
      <c r="AO1549" t="s">
        <v>66</v>
      </c>
      <c r="AP1549">
        <v>1</v>
      </c>
      <c r="AQ1549" t="s">
        <v>66</v>
      </c>
      <c r="AR1549" t="s">
        <v>66</v>
      </c>
      <c r="AS1549" t="s">
        <v>66</v>
      </c>
      <c r="AT1549" t="s">
        <v>66</v>
      </c>
    </row>
    <row r="1550" spans="1:46" x14ac:dyDescent="0.15">
      <c r="A1550" t="s">
        <v>6365</v>
      </c>
      <c r="B1550" t="s">
        <v>6346</v>
      </c>
      <c r="C1550" t="s">
        <v>6347</v>
      </c>
      <c r="D1550">
        <v>4</v>
      </c>
      <c r="E1550" t="s">
        <v>6348</v>
      </c>
      <c r="F1550" t="s">
        <v>50</v>
      </c>
      <c r="G1550" t="s">
        <v>51</v>
      </c>
      <c r="H1550" t="s">
        <v>6349</v>
      </c>
      <c r="I1550" t="s">
        <v>53</v>
      </c>
      <c r="J1550" t="s">
        <v>4518</v>
      </c>
      <c r="K1550" t="s">
        <v>55</v>
      </c>
      <c r="L1550" t="s">
        <v>17</v>
      </c>
      <c r="M1550" t="s">
        <v>16</v>
      </c>
      <c r="N1550">
        <v>668</v>
      </c>
      <c r="O1550">
        <v>39</v>
      </c>
      <c r="P1550">
        <v>0</v>
      </c>
      <c r="Q1550" t="s">
        <v>81</v>
      </c>
      <c r="R1550" t="s">
        <v>6366</v>
      </c>
      <c r="S1550" t="s">
        <v>6367</v>
      </c>
      <c r="T1550" t="s">
        <v>6368</v>
      </c>
      <c r="U1550" t="s">
        <v>60</v>
      </c>
      <c r="V1550" t="s">
        <v>61</v>
      </c>
      <c r="W1550">
        <v>3</v>
      </c>
      <c r="X1550">
        <v>0.11812499999999999</v>
      </c>
      <c r="Y1550" t="s">
        <v>85</v>
      </c>
      <c r="Z1550" t="s">
        <v>86</v>
      </c>
      <c r="AA1550">
        <v>0</v>
      </c>
      <c r="AB1550" t="s">
        <v>6352</v>
      </c>
      <c r="AC1550" t="s">
        <v>6353</v>
      </c>
      <c r="AD1550" t="s">
        <v>6354</v>
      </c>
      <c r="AE1550" t="s">
        <v>6355</v>
      </c>
      <c r="AF1550" t="s">
        <v>6356</v>
      </c>
      <c r="AG1550" t="s">
        <v>66</v>
      </c>
      <c r="AH1550" t="s">
        <v>66</v>
      </c>
      <c r="AI1550" t="s">
        <v>66</v>
      </c>
      <c r="AJ1550" t="s">
        <v>66</v>
      </c>
      <c r="AK1550">
        <v>1</v>
      </c>
      <c r="AL1550" t="s">
        <v>66</v>
      </c>
      <c r="AM1550" t="s">
        <v>66</v>
      </c>
      <c r="AN1550" t="s">
        <v>66</v>
      </c>
      <c r="AO1550" t="s">
        <v>66</v>
      </c>
      <c r="AP1550">
        <v>1</v>
      </c>
      <c r="AQ1550" t="s">
        <v>66</v>
      </c>
      <c r="AR1550" t="s">
        <v>66</v>
      </c>
      <c r="AS1550" t="s">
        <v>66</v>
      </c>
      <c r="AT1550" t="s">
        <v>66</v>
      </c>
    </row>
    <row r="1551" spans="1:46" x14ac:dyDescent="0.15">
      <c r="A1551" t="s">
        <v>6369</v>
      </c>
      <c r="B1551" t="s">
        <v>6346</v>
      </c>
      <c r="C1551" t="s">
        <v>6347</v>
      </c>
      <c r="D1551">
        <v>5</v>
      </c>
      <c r="E1551" t="s">
        <v>6348</v>
      </c>
      <c r="F1551" t="s">
        <v>50</v>
      </c>
      <c r="G1551" t="s">
        <v>51</v>
      </c>
      <c r="H1551" t="s">
        <v>6349</v>
      </c>
      <c r="I1551" t="s">
        <v>53</v>
      </c>
      <c r="J1551" t="s">
        <v>4518</v>
      </c>
      <c r="K1551" t="s">
        <v>55</v>
      </c>
      <c r="L1551" t="s">
        <v>17</v>
      </c>
      <c r="M1551" t="s">
        <v>16</v>
      </c>
      <c r="N1551">
        <v>724</v>
      </c>
      <c r="O1551">
        <v>43</v>
      </c>
      <c r="P1551">
        <v>0</v>
      </c>
      <c r="Q1551" t="s">
        <v>88</v>
      </c>
      <c r="R1551" t="s">
        <v>6370</v>
      </c>
      <c r="S1551" t="s">
        <v>6371</v>
      </c>
      <c r="T1551" t="s">
        <v>6372</v>
      </c>
      <c r="U1551" t="s">
        <v>60</v>
      </c>
      <c r="V1551" t="s">
        <v>61</v>
      </c>
      <c r="W1551">
        <v>3</v>
      </c>
      <c r="X1551">
        <v>0.11812499999999999</v>
      </c>
      <c r="Y1551" t="s">
        <v>79</v>
      </c>
      <c r="Z1551" t="s">
        <v>92</v>
      </c>
      <c r="AA1551">
        <v>0</v>
      </c>
      <c r="AB1551" t="s">
        <v>6352</v>
      </c>
      <c r="AC1551" t="s">
        <v>6353</v>
      </c>
      <c r="AD1551" t="s">
        <v>6354</v>
      </c>
      <c r="AE1551" t="s">
        <v>6355</v>
      </c>
      <c r="AF1551" t="s">
        <v>6356</v>
      </c>
      <c r="AG1551" t="s">
        <v>66</v>
      </c>
      <c r="AH1551" t="s">
        <v>66</v>
      </c>
      <c r="AI1551" t="s">
        <v>66</v>
      </c>
      <c r="AJ1551" t="s">
        <v>66</v>
      </c>
      <c r="AK1551">
        <v>1</v>
      </c>
      <c r="AL1551" t="s">
        <v>66</v>
      </c>
      <c r="AM1551" t="s">
        <v>66</v>
      </c>
      <c r="AN1551" t="s">
        <v>66</v>
      </c>
      <c r="AO1551" t="s">
        <v>66</v>
      </c>
      <c r="AP1551">
        <v>1</v>
      </c>
      <c r="AQ1551" t="s">
        <v>66</v>
      </c>
      <c r="AR1551" t="s">
        <v>66</v>
      </c>
      <c r="AS1551" t="s">
        <v>66</v>
      </c>
      <c r="AT1551" t="s">
        <v>66</v>
      </c>
    </row>
    <row r="1552" spans="1:46" x14ac:dyDescent="0.15">
      <c r="A1552" t="s">
        <v>6373</v>
      </c>
      <c r="B1552" t="s">
        <v>6346</v>
      </c>
      <c r="C1552" t="s">
        <v>6347</v>
      </c>
      <c r="D1552">
        <v>6</v>
      </c>
      <c r="E1552" t="s">
        <v>6348</v>
      </c>
      <c r="F1552" t="s">
        <v>50</v>
      </c>
      <c r="G1552" t="s">
        <v>51</v>
      </c>
      <c r="H1552" t="s">
        <v>6349</v>
      </c>
      <c r="I1552" t="s">
        <v>53</v>
      </c>
      <c r="J1552" t="s">
        <v>4518</v>
      </c>
      <c r="K1552" t="s">
        <v>55</v>
      </c>
      <c r="L1552" t="s">
        <v>17</v>
      </c>
      <c r="M1552" t="s">
        <v>16</v>
      </c>
      <c r="N1552">
        <v>781</v>
      </c>
      <c r="O1552">
        <v>46</v>
      </c>
      <c r="P1552">
        <v>0</v>
      </c>
      <c r="Q1552" t="s">
        <v>94</v>
      </c>
      <c r="R1552" t="s">
        <v>6374</v>
      </c>
      <c r="S1552" t="s">
        <v>6375</v>
      </c>
      <c r="T1552" t="s">
        <v>6376</v>
      </c>
      <c r="U1552" t="s">
        <v>60</v>
      </c>
      <c r="V1552" t="s">
        <v>61</v>
      </c>
      <c r="W1552">
        <v>3</v>
      </c>
      <c r="X1552">
        <v>0.11812499999999999</v>
      </c>
      <c r="Y1552" t="s">
        <v>98</v>
      </c>
      <c r="Z1552" t="s">
        <v>99</v>
      </c>
      <c r="AA1552">
        <v>0</v>
      </c>
      <c r="AB1552" t="s">
        <v>6352</v>
      </c>
      <c r="AC1552" t="s">
        <v>6353</v>
      </c>
      <c r="AD1552" t="s">
        <v>6354</v>
      </c>
      <c r="AE1552" t="s">
        <v>6355</v>
      </c>
      <c r="AF1552" t="s">
        <v>6356</v>
      </c>
      <c r="AG1552" t="s">
        <v>66</v>
      </c>
      <c r="AH1552" t="s">
        <v>66</v>
      </c>
      <c r="AI1552" t="s">
        <v>66</v>
      </c>
      <c r="AJ1552" t="s">
        <v>66</v>
      </c>
      <c r="AK1552">
        <v>1</v>
      </c>
      <c r="AL1552" t="s">
        <v>66</v>
      </c>
      <c r="AM1552" t="s">
        <v>66</v>
      </c>
      <c r="AN1552" t="s">
        <v>66</v>
      </c>
      <c r="AO1552" t="s">
        <v>66</v>
      </c>
      <c r="AP1552">
        <v>1</v>
      </c>
      <c r="AQ1552" t="s">
        <v>66</v>
      </c>
      <c r="AR1552" t="s">
        <v>66</v>
      </c>
      <c r="AS1552" t="s">
        <v>66</v>
      </c>
      <c r="AT1552" t="s">
        <v>66</v>
      </c>
    </row>
    <row r="1553" spans="1:46" x14ac:dyDescent="0.15">
      <c r="A1553" t="s">
        <v>6377</v>
      </c>
      <c r="B1553" t="s">
        <v>6346</v>
      </c>
      <c r="C1553" t="s">
        <v>6347</v>
      </c>
      <c r="D1553">
        <v>7</v>
      </c>
      <c r="E1553" t="s">
        <v>6348</v>
      </c>
      <c r="F1553" t="s">
        <v>50</v>
      </c>
      <c r="G1553" t="s">
        <v>51</v>
      </c>
      <c r="H1553" t="s">
        <v>6349</v>
      </c>
      <c r="I1553" t="s">
        <v>53</v>
      </c>
      <c r="J1553" t="s">
        <v>4518</v>
      </c>
      <c r="K1553" t="s">
        <v>55</v>
      </c>
      <c r="L1553" t="s">
        <v>17</v>
      </c>
      <c r="M1553" t="s">
        <v>16</v>
      </c>
      <c r="N1553">
        <v>837</v>
      </c>
      <c r="O1553">
        <v>49</v>
      </c>
      <c r="P1553">
        <v>0</v>
      </c>
      <c r="Q1553" t="s">
        <v>101</v>
      </c>
      <c r="R1553" t="s">
        <v>6378</v>
      </c>
      <c r="S1553" t="s">
        <v>6379</v>
      </c>
      <c r="T1553" t="s">
        <v>6380</v>
      </c>
      <c r="U1553" t="s">
        <v>60</v>
      </c>
      <c r="V1553" t="s">
        <v>61</v>
      </c>
      <c r="W1553">
        <v>3</v>
      </c>
      <c r="X1553">
        <v>0.11812499999999999</v>
      </c>
      <c r="Y1553" t="s">
        <v>86</v>
      </c>
      <c r="Z1553" t="s">
        <v>105</v>
      </c>
      <c r="AA1553">
        <v>0</v>
      </c>
      <c r="AB1553" t="s">
        <v>6352</v>
      </c>
      <c r="AC1553" t="s">
        <v>6353</v>
      </c>
      <c r="AD1553" t="s">
        <v>6354</v>
      </c>
      <c r="AE1553" t="s">
        <v>6355</v>
      </c>
      <c r="AF1553" t="s">
        <v>6356</v>
      </c>
      <c r="AG1553" t="s">
        <v>66</v>
      </c>
      <c r="AH1553" t="s">
        <v>66</v>
      </c>
      <c r="AI1553" t="s">
        <v>66</v>
      </c>
      <c r="AJ1553" t="s">
        <v>66</v>
      </c>
      <c r="AK1553">
        <v>1</v>
      </c>
      <c r="AL1553" t="s">
        <v>66</v>
      </c>
      <c r="AM1553" t="s">
        <v>66</v>
      </c>
      <c r="AN1553" t="s">
        <v>66</v>
      </c>
      <c r="AO1553" t="s">
        <v>66</v>
      </c>
      <c r="AP1553">
        <v>1</v>
      </c>
      <c r="AQ1553" t="s">
        <v>66</v>
      </c>
      <c r="AR1553" t="s">
        <v>66</v>
      </c>
      <c r="AS1553" t="s">
        <v>66</v>
      </c>
      <c r="AT1553" t="s">
        <v>66</v>
      </c>
    </row>
    <row r="1554" spans="1:46" x14ac:dyDescent="0.15">
      <c r="A1554" t="s">
        <v>6381</v>
      </c>
      <c r="B1554" t="s">
        <v>6346</v>
      </c>
      <c r="C1554" t="s">
        <v>6347</v>
      </c>
      <c r="D1554">
        <v>8</v>
      </c>
      <c r="E1554" t="s">
        <v>6348</v>
      </c>
      <c r="F1554" t="s">
        <v>50</v>
      </c>
      <c r="G1554" t="s">
        <v>51</v>
      </c>
      <c r="H1554" t="s">
        <v>6349</v>
      </c>
      <c r="I1554" t="s">
        <v>53</v>
      </c>
      <c r="J1554" t="s">
        <v>4518</v>
      </c>
      <c r="K1554" t="s">
        <v>55</v>
      </c>
      <c r="L1554" t="s">
        <v>17</v>
      </c>
      <c r="M1554" t="s">
        <v>16</v>
      </c>
      <c r="N1554">
        <v>893</v>
      </c>
      <c r="O1554">
        <v>52</v>
      </c>
      <c r="P1554">
        <v>0</v>
      </c>
      <c r="Q1554" t="s">
        <v>107</v>
      </c>
      <c r="R1554" t="s">
        <v>6382</v>
      </c>
      <c r="S1554" t="s">
        <v>6383</v>
      </c>
      <c r="T1554" t="s">
        <v>6384</v>
      </c>
      <c r="U1554" t="s">
        <v>60</v>
      </c>
      <c r="V1554" t="s">
        <v>61</v>
      </c>
      <c r="W1554">
        <v>3</v>
      </c>
      <c r="X1554">
        <v>0.11812499999999999</v>
      </c>
      <c r="Y1554" t="s">
        <v>111</v>
      </c>
      <c r="Z1554" t="s">
        <v>112</v>
      </c>
      <c r="AA1554">
        <v>0</v>
      </c>
      <c r="AB1554" t="s">
        <v>6352</v>
      </c>
      <c r="AC1554" t="s">
        <v>6353</v>
      </c>
      <c r="AD1554" t="s">
        <v>6354</v>
      </c>
      <c r="AE1554" t="s">
        <v>6355</v>
      </c>
      <c r="AF1554" t="s">
        <v>6356</v>
      </c>
      <c r="AG1554" t="s">
        <v>66</v>
      </c>
      <c r="AH1554" t="s">
        <v>66</v>
      </c>
      <c r="AI1554" t="s">
        <v>66</v>
      </c>
      <c r="AJ1554" t="s">
        <v>66</v>
      </c>
      <c r="AK1554">
        <v>1</v>
      </c>
      <c r="AL1554" t="s">
        <v>66</v>
      </c>
      <c r="AM1554" t="s">
        <v>66</v>
      </c>
      <c r="AN1554" t="s">
        <v>66</v>
      </c>
      <c r="AO1554" t="s">
        <v>66</v>
      </c>
      <c r="AP1554">
        <v>1</v>
      </c>
      <c r="AQ1554" t="s">
        <v>66</v>
      </c>
      <c r="AR1554" t="s">
        <v>66</v>
      </c>
      <c r="AS1554" t="s">
        <v>66</v>
      </c>
      <c r="AT1554" t="s">
        <v>66</v>
      </c>
    </row>
    <row r="1555" spans="1:46" x14ac:dyDescent="0.15">
      <c r="A1555" t="s">
        <v>6385</v>
      </c>
      <c r="B1555" t="s">
        <v>6346</v>
      </c>
      <c r="C1555" t="s">
        <v>6347</v>
      </c>
      <c r="D1555">
        <v>9</v>
      </c>
      <c r="E1555" t="s">
        <v>6348</v>
      </c>
      <c r="F1555" t="s">
        <v>50</v>
      </c>
      <c r="G1555" t="s">
        <v>51</v>
      </c>
      <c r="H1555" t="s">
        <v>6349</v>
      </c>
      <c r="I1555" t="s">
        <v>53</v>
      </c>
      <c r="J1555" t="s">
        <v>4518</v>
      </c>
      <c r="K1555" t="s">
        <v>55</v>
      </c>
      <c r="L1555" t="s">
        <v>17</v>
      </c>
      <c r="M1555" t="s">
        <v>16</v>
      </c>
      <c r="N1555">
        <v>949</v>
      </c>
      <c r="O1555">
        <v>55</v>
      </c>
      <c r="P1555">
        <v>0</v>
      </c>
      <c r="Q1555" t="s">
        <v>114</v>
      </c>
      <c r="R1555" t="s">
        <v>6386</v>
      </c>
      <c r="S1555" t="s">
        <v>6387</v>
      </c>
      <c r="T1555" t="s">
        <v>6388</v>
      </c>
      <c r="U1555" t="s">
        <v>60</v>
      </c>
      <c r="V1555" t="s">
        <v>61</v>
      </c>
      <c r="W1555">
        <v>3</v>
      </c>
      <c r="X1555">
        <v>0.11812499999999999</v>
      </c>
      <c r="Y1555" t="s">
        <v>92</v>
      </c>
      <c r="Z1555" t="s">
        <v>118</v>
      </c>
      <c r="AA1555">
        <v>0</v>
      </c>
      <c r="AB1555" t="s">
        <v>6352</v>
      </c>
      <c r="AC1555" t="s">
        <v>6353</v>
      </c>
      <c r="AD1555" t="s">
        <v>6354</v>
      </c>
      <c r="AE1555" t="s">
        <v>6355</v>
      </c>
      <c r="AF1555" t="s">
        <v>6356</v>
      </c>
      <c r="AG1555" t="s">
        <v>66</v>
      </c>
      <c r="AH1555" t="s">
        <v>66</v>
      </c>
      <c r="AI1555" t="s">
        <v>66</v>
      </c>
      <c r="AJ1555" t="s">
        <v>66</v>
      </c>
      <c r="AK1555">
        <v>1</v>
      </c>
      <c r="AL1555" t="s">
        <v>66</v>
      </c>
      <c r="AM1555" t="s">
        <v>66</v>
      </c>
      <c r="AN1555" t="s">
        <v>66</v>
      </c>
      <c r="AO1555" t="s">
        <v>66</v>
      </c>
      <c r="AP1555">
        <v>1</v>
      </c>
      <c r="AQ1555" t="s">
        <v>66</v>
      </c>
      <c r="AR1555" t="s">
        <v>66</v>
      </c>
      <c r="AS1555" t="s">
        <v>66</v>
      </c>
      <c r="AT1555" t="s">
        <v>66</v>
      </c>
    </row>
    <row r="1556" spans="1:46" x14ac:dyDescent="0.15">
      <c r="A1556" t="s">
        <v>6389</v>
      </c>
      <c r="B1556" t="s">
        <v>6346</v>
      </c>
      <c r="C1556" t="s">
        <v>6347</v>
      </c>
      <c r="D1556">
        <v>10</v>
      </c>
      <c r="E1556" t="s">
        <v>6348</v>
      </c>
      <c r="F1556" t="s">
        <v>50</v>
      </c>
      <c r="G1556" t="s">
        <v>51</v>
      </c>
      <c r="H1556" t="s">
        <v>6349</v>
      </c>
      <c r="I1556" t="s">
        <v>53</v>
      </c>
      <c r="J1556" t="s">
        <v>4518</v>
      </c>
      <c r="K1556" t="s">
        <v>55</v>
      </c>
      <c r="L1556" t="s">
        <v>17</v>
      </c>
      <c r="M1556" t="s">
        <v>16</v>
      </c>
      <c r="N1556">
        <v>1005</v>
      </c>
      <c r="O1556">
        <v>58</v>
      </c>
      <c r="P1556">
        <v>0</v>
      </c>
      <c r="Q1556" t="s">
        <v>120</v>
      </c>
      <c r="R1556" t="s">
        <v>6390</v>
      </c>
      <c r="S1556" t="s">
        <v>6391</v>
      </c>
      <c r="T1556" t="s">
        <v>6392</v>
      </c>
      <c r="U1556" t="s">
        <v>60</v>
      </c>
      <c r="V1556" t="s">
        <v>61</v>
      </c>
      <c r="W1556">
        <v>3</v>
      </c>
      <c r="X1556">
        <v>0.11812499999999999</v>
      </c>
      <c r="Y1556" t="s">
        <v>124</v>
      </c>
      <c r="Z1556" t="s">
        <v>125</v>
      </c>
      <c r="AA1556">
        <v>0</v>
      </c>
      <c r="AB1556" t="s">
        <v>6352</v>
      </c>
      <c r="AC1556" t="s">
        <v>6353</v>
      </c>
      <c r="AD1556" t="s">
        <v>6354</v>
      </c>
      <c r="AE1556" t="s">
        <v>6355</v>
      </c>
      <c r="AF1556" t="s">
        <v>6356</v>
      </c>
      <c r="AG1556" t="s">
        <v>66</v>
      </c>
      <c r="AH1556" t="s">
        <v>66</v>
      </c>
      <c r="AI1556" t="s">
        <v>66</v>
      </c>
      <c r="AJ1556" t="s">
        <v>66</v>
      </c>
      <c r="AK1556">
        <v>1</v>
      </c>
      <c r="AL1556" t="s">
        <v>66</v>
      </c>
      <c r="AM1556" t="s">
        <v>66</v>
      </c>
      <c r="AN1556" t="s">
        <v>66</v>
      </c>
      <c r="AO1556" t="s">
        <v>66</v>
      </c>
      <c r="AP1556">
        <v>1</v>
      </c>
      <c r="AQ1556" t="s">
        <v>66</v>
      </c>
      <c r="AR1556" t="s">
        <v>66</v>
      </c>
      <c r="AS1556" t="s">
        <v>66</v>
      </c>
      <c r="AT1556" t="s">
        <v>66</v>
      </c>
    </row>
    <row r="1557" spans="1:46" x14ac:dyDescent="0.15">
      <c r="A1557" t="s">
        <v>6393</v>
      </c>
      <c r="B1557" t="s">
        <v>6346</v>
      </c>
      <c r="C1557" t="s">
        <v>6347</v>
      </c>
      <c r="D1557">
        <v>11</v>
      </c>
      <c r="E1557" t="s">
        <v>6348</v>
      </c>
      <c r="F1557" t="s">
        <v>50</v>
      </c>
      <c r="G1557" t="s">
        <v>51</v>
      </c>
      <c r="H1557" t="s">
        <v>6349</v>
      </c>
      <c r="I1557" t="s">
        <v>53</v>
      </c>
      <c r="J1557" t="s">
        <v>4518</v>
      </c>
      <c r="K1557" t="s">
        <v>55</v>
      </c>
      <c r="L1557" t="s">
        <v>17</v>
      </c>
      <c r="M1557" t="s">
        <v>16</v>
      </c>
      <c r="N1557">
        <v>1061</v>
      </c>
      <c r="O1557">
        <v>62</v>
      </c>
      <c r="P1557">
        <v>0</v>
      </c>
      <c r="Q1557" t="s">
        <v>127</v>
      </c>
      <c r="R1557" t="s">
        <v>6394</v>
      </c>
      <c r="S1557" t="s">
        <v>6395</v>
      </c>
      <c r="T1557" t="s">
        <v>6396</v>
      </c>
      <c r="U1557" t="s">
        <v>60</v>
      </c>
      <c r="V1557" t="s">
        <v>61</v>
      </c>
      <c r="W1557">
        <v>3</v>
      </c>
      <c r="X1557">
        <v>0.11812499999999999</v>
      </c>
      <c r="Y1557" t="s">
        <v>99</v>
      </c>
      <c r="Z1557" t="s">
        <v>131</v>
      </c>
      <c r="AA1557">
        <v>0</v>
      </c>
      <c r="AB1557" t="s">
        <v>6352</v>
      </c>
      <c r="AC1557" t="s">
        <v>6353</v>
      </c>
      <c r="AD1557" t="s">
        <v>6354</v>
      </c>
      <c r="AE1557" t="s">
        <v>6355</v>
      </c>
      <c r="AF1557" t="s">
        <v>6356</v>
      </c>
      <c r="AG1557" t="s">
        <v>66</v>
      </c>
      <c r="AH1557" t="s">
        <v>66</v>
      </c>
      <c r="AI1557" t="s">
        <v>66</v>
      </c>
      <c r="AJ1557" t="s">
        <v>66</v>
      </c>
      <c r="AK1557">
        <v>1</v>
      </c>
      <c r="AL1557" t="s">
        <v>66</v>
      </c>
      <c r="AM1557" t="s">
        <v>66</v>
      </c>
      <c r="AN1557" t="s">
        <v>66</v>
      </c>
      <c r="AO1557" t="s">
        <v>66</v>
      </c>
      <c r="AP1557">
        <v>1</v>
      </c>
      <c r="AQ1557" t="s">
        <v>66</v>
      </c>
      <c r="AR1557" t="s">
        <v>66</v>
      </c>
      <c r="AS1557" t="s">
        <v>66</v>
      </c>
      <c r="AT1557" t="s">
        <v>66</v>
      </c>
    </row>
    <row r="1558" spans="1:46" x14ac:dyDescent="0.15">
      <c r="A1558" t="s">
        <v>6397</v>
      </c>
      <c r="B1558" t="s">
        <v>6346</v>
      </c>
      <c r="C1558" t="s">
        <v>6347</v>
      </c>
      <c r="D1558">
        <v>12</v>
      </c>
      <c r="E1558" t="s">
        <v>6348</v>
      </c>
      <c r="F1558" t="s">
        <v>50</v>
      </c>
      <c r="G1558" t="s">
        <v>51</v>
      </c>
      <c r="H1558" t="s">
        <v>6349</v>
      </c>
      <c r="I1558" t="s">
        <v>53</v>
      </c>
      <c r="J1558" t="s">
        <v>4518</v>
      </c>
      <c r="K1558" t="s">
        <v>55</v>
      </c>
      <c r="L1558" t="s">
        <v>17</v>
      </c>
      <c r="M1558" t="s">
        <v>16</v>
      </c>
      <c r="N1558">
        <v>1117</v>
      </c>
      <c r="O1558">
        <v>65</v>
      </c>
      <c r="P1558">
        <v>0</v>
      </c>
      <c r="Q1558" t="s">
        <v>133</v>
      </c>
      <c r="R1558" t="s">
        <v>6398</v>
      </c>
      <c r="S1558" t="s">
        <v>6399</v>
      </c>
      <c r="T1558" t="s">
        <v>6400</v>
      </c>
      <c r="U1558" t="s">
        <v>60</v>
      </c>
      <c r="V1558" t="s">
        <v>61</v>
      </c>
      <c r="W1558">
        <v>3</v>
      </c>
      <c r="X1558">
        <v>0.11812499999999999</v>
      </c>
      <c r="Y1558" t="s">
        <v>137</v>
      </c>
      <c r="Z1558" t="s">
        <v>138</v>
      </c>
      <c r="AA1558">
        <v>0</v>
      </c>
      <c r="AB1558" t="s">
        <v>6352</v>
      </c>
      <c r="AC1558" t="s">
        <v>6353</v>
      </c>
      <c r="AD1558" t="s">
        <v>6354</v>
      </c>
      <c r="AE1558" t="s">
        <v>6355</v>
      </c>
      <c r="AF1558" t="s">
        <v>6356</v>
      </c>
      <c r="AG1558" t="s">
        <v>66</v>
      </c>
      <c r="AH1558" t="s">
        <v>66</v>
      </c>
      <c r="AI1558" t="s">
        <v>66</v>
      </c>
      <c r="AJ1558" t="s">
        <v>66</v>
      </c>
      <c r="AK1558">
        <v>1</v>
      </c>
      <c r="AL1558" t="s">
        <v>66</v>
      </c>
      <c r="AM1558" t="s">
        <v>66</v>
      </c>
      <c r="AN1558" t="s">
        <v>66</v>
      </c>
      <c r="AO1558" t="s">
        <v>66</v>
      </c>
      <c r="AP1558">
        <v>1</v>
      </c>
      <c r="AQ1558" t="s">
        <v>66</v>
      </c>
      <c r="AR1558" t="s">
        <v>66</v>
      </c>
      <c r="AS1558" t="s">
        <v>66</v>
      </c>
      <c r="AT1558" t="s">
        <v>66</v>
      </c>
    </row>
    <row r="1559" spans="1:46" x14ac:dyDescent="0.15">
      <c r="A1559" t="s">
        <v>6401</v>
      </c>
      <c r="B1559" t="s">
        <v>6346</v>
      </c>
      <c r="C1559" t="s">
        <v>6347</v>
      </c>
      <c r="D1559">
        <v>13</v>
      </c>
      <c r="E1559" t="s">
        <v>6348</v>
      </c>
      <c r="F1559" t="s">
        <v>50</v>
      </c>
      <c r="G1559" t="s">
        <v>51</v>
      </c>
      <c r="H1559" t="s">
        <v>6349</v>
      </c>
      <c r="I1559" t="s">
        <v>53</v>
      </c>
      <c r="J1559" t="s">
        <v>4518</v>
      </c>
      <c r="K1559" t="s">
        <v>55</v>
      </c>
      <c r="L1559" t="s">
        <v>17</v>
      </c>
      <c r="M1559" t="s">
        <v>16</v>
      </c>
      <c r="N1559">
        <v>1173</v>
      </c>
      <c r="O1559">
        <v>68</v>
      </c>
      <c r="P1559">
        <v>0</v>
      </c>
      <c r="Q1559" t="s">
        <v>140</v>
      </c>
      <c r="R1559" t="s">
        <v>6402</v>
      </c>
      <c r="S1559" t="s">
        <v>6403</v>
      </c>
      <c r="T1559" t="s">
        <v>6404</v>
      </c>
      <c r="U1559" t="s">
        <v>60</v>
      </c>
      <c r="V1559" t="s">
        <v>61</v>
      </c>
      <c r="W1559">
        <v>3</v>
      </c>
      <c r="X1559">
        <v>0.11812499999999999</v>
      </c>
      <c r="Y1559" t="s">
        <v>105</v>
      </c>
      <c r="Z1559" t="s">
        <v>144</v>
      </c>
      <c r="AA1559">
        <v>0</v>
      </c>
      <c r="AB1559" t="s">
        <v>6352</v>
      </c>
      <c r="AC1559" t="s">
        <v>6353</v>
      </c>
      <c r="AD1559" t="s">
        <v>6354</v>
      </c>
      <c r="AE1559" t="s">
        <v>6355</v>
      </c>
      <c r="AF1559" t="s">
        <v>6356</v>
      </c>
      <c r="AG1559" t="s">
        <v>66</v>
      </c>
      <c r="AH1559" t="s">
        <v>66</v>
      </c>
      <c r="AI1559" t="s">
        <v>66</v>
      </c>
      <c r="AJ1559" t="s">
        <v>66</v>
      </c>
      <c r="AK1559">
        <v>1</v>
      </c>
      <c r="AL1559" t="s">
        <v>66</v>
      </c>
      <c r="AM1559" t="s">
        <v>66</v>
      </c>
      <c r="AN1559" t="s">
        <v>66</v>
      </c>
      <c r="AO1559" t="s">
        <v>66</v>
      </c>
      <c r="AP1559">
        <v>1</v>
      </c>
      <c r="AQ1559" t="s">
        <v>66</v>
      </c>
      <c r="AR1559" t="s">
        <v>66</v>
      </c>
      <c r="AS1559" t="s">
        <v>66</v>
      </c>
      <c r="AT1559" t="s">
        <v>66</v>
      </c>
    </row>
    <row r="1560" spans="1:46" x14ac:dyDescent="0.15">
      <c r="A1560" t="s">
        <v>6405</v>
      </c>
      <c r="B1560" t="s">
        <v>6346</v>
      </c>
      <c r="C1560" t="s">
        <v>6347</v>
      </c>
      <c r="D1560">
        <v>14</v>
      </c>
      <c r="E1560" t="s">
        <v>6348</v>
      </c>
      <c r="F1560" t="s">
        <v>50</v>
      </c>
      <c r="G1560" t="s">
        <v>51</v>
      </c>
      <c r="H1560" t="s">
        <v>6349</v>
      </c>
      <c r="I1560" t="s">
        <v>53</v>
      </c>
      <c r="J1560" t="s">
        <v>4518</v>
      </c>
      <c r="K1560" t="s">
        <v>55</v>
      </c>
      <c r="L1560" t="s">
        <v>17</v>
      </c>
      <c r="M1560" t="s">
        <v>16</v>
      </c>
      <c r="N1560">
        <v>1230</v>
      </c>
      <c r="O1560">
        <v>71</v>
      </c>
      <c r="P1560">
        <v>0</v>
      </c>
      <c r="Q1560" t="s">
        <v>146</v>
      </c>
      <c r="R1560" t="s">
        <v>6406</v>
      </c>
      <c r="S1560" t="s">
        <v>6407</v>
      </c>
      <c r="T1560" t="s">
        <v>6408</v>
      </c>
      <c r="U1560" t="s">
        <v>60</v>
      </c>
      <c r="V1560" t="s">
        <v>61</v>
      </c>
      <c r="W1560">
        <v>3</v>
      </c>
      <c r="X1560">
        <v>0.11812499999999999</v>
      </c>
      <c r="Y1560" t="s">
        <v>150</v>
      </c>
      <c r="Z1560" t="s">
        <v>151</v>
      </c>
      <c r="AA1560">
        <v>0</v>
      </c>
      <c r="AB1560" t="s">
        <v>6352</v>
      </c>
      <c r="AC1560" t="s">
        <v>6353</v>
      </c>
      <c r="AD1560" t="s">
        <v>6354</v>
      </c>
      <c r="AE1560" t="s">
        <v>6355</v>
      </c>
      <c r="AF1560" t="s">
        <v>6356</v>
      </c>
      <c r="AG1560" t="s">
        <v>66</v>
      </c>
      <c r="AH1560" t="s">
        <v>66</v>
      </c>
      <c r="AI1560" t="s">
        <v>66</v>
      </c>
      <c r="AJ1560" t="s">
        <v>66</v>
      </c>
      <c r="AK1560">
        <v>1</v>
      </c>
      <c r="AL1560" t="s">
        <v>66</v>
      </c>
      <c r="AM1560" t="s">
        <v>66</v>
      </c>
      <c r="AN1560" t="s">
        <v>66</v>
      </c>
      <c r="AO1560" t="s">
        <v>66</v>
      </c>
      <c r="AP1560">
        <v>1</v>
      </c>
      <c r="AQ1560" t="s">
        <v>66</v>
      </c>
      <c r="AR1560" t="s">
        <v>66</v>
      </c>
      <c r="AS1560" t="s">
        <v>66</v>
      </c>
      <c r="AT1560" t="s">
        <v>66</v>
      </c>
    </row>
    <row r="1561" spans="1:46" x14ac:dyDescent="0.15">
      <c r="A1561" t="s">
        <v>6409</v>
      </c>
      <c r="B1561" t="s">
        <v>6346</v>
      </c>
      <c r="C1561" t="s">
        <v>6347</v>
      </c>
      <c r="D1561">
        <v>15</v>
      </c>
      <c r="E1561" t="s">
        <v>6348</v>
      </c>
      <c r="F1561" t="s">
        <v>50</v>
      </c>
      <c r="G1561" t="s">
        <v>51</v>
      </c>
      <c r="H1561" t="s">
        <v>6349</v>
      </c>
      <c r="I1561" t="s">
        <v>53</v>
      </c>
      <c r="J1561" t="s">
        <v>4518</v>
      </c>
      <c r="K1561" t="s">
        <v>55</v>
      </c>
      <c r="L1561" t="s">
        <v>17</v>
      </c>
      <c r="M1561" t="s">
        <v>16</v>
      </c>
      <c r="N1561">
        <v>1286</v>
      </c>
      <c r="O1561">
        <v>74</v>
      </c>
      <c r="P1561">
        <v>0</v>
      </c>
      <c r="Q1561" t="s">
        <v>153</v>
      </c>
      <c r="R1561" t="s">
        <v>6410</v>
      </c>
      <c r="S1561" t="s">
        <v>6411</v>
      </c>
      <c r="T1561" t="s">
        <v>6412</v>
      </c>
      <c r="U1561" t="s">
        <v>60</v>
      </c>
      <c r="V1561" t="s">
        <v>61</v>
      </c>
      <c r="W1561">
        <v>3</v>
      </c>
      <c r="X1561">
        <v>0.11812499999999999</v>
      </c>
      <c r="Y1561" t="s">
        <v>112</v>
      </c>
      <c r="Z1561" t="s">
        <v>157</v>
      </c>
      <c r="AA1561">
        <v>0</v>
      </c>
      <c r="AB1561" t="s">
        <v>6352</v>
      </c>
      <c r="AC1561" t="s">
        <v>6353</v>
      </c>
      <c r="AD1561" t="s">
        <v>6354</v>
      </c>
      <c r="AE1561" t="s">
        <v>6355</v>
      </c>
      <c r="AF1561" t="s">
        <v>6356</v>
      </c>
      <c r="AG1561" t="s">
        <v>66</v>
      </c>
      <c r="AH1561" t="s">
        <v>66</v>
      </c>
      <c r="AI1561" t="s">
        <v>66</v>
      </c>
      <c r="AJ1561" t="s">
        <v>66</v>
      </c>
      <c r="AK1561">
        <v>1</v>
      </c>
      <c r="AL1561" t="s">
        <v>66</v>
      </c>
      <c r="AM1561" t="s">
        <v>66</v>
      </c>
      <c r="AN1561" t="s">
        <v>66</v>
      </c>
      <c r="AO1561" t="s">
        <v>66</v>
      </c>
      <c r="AP1561">
        <v>1</v>
      </c>
      <c r="AQ1561" t="s">
        <v>66</v>
      </c>
      <c r="AR1561" t="s">
        <v>66</v>
      </c>
      <c r="AS1561" t="s">
        <v>66</v>
      </c>
      <c r="AT1561" t="s">
        <v>66</v>
      </c>
    </row>
    <row r="1562" spans="1:46" x14ac:dyDescent="0.15">
      <c r="A1562" t="s">
        <v>6413</v>
      </c>
      <c r="B1562" t="s">
        <v>6346</v>
      </c>
      <c r="C1562" t="s">
        <v>6347</v>
      </c>
      <c r="D1562">
        <v>16</v>
      </c>
      <c r="E1562" t="s">
        <v>6348</v>
      </c>
      <c r="F1562" t="s">
        <v>50</v>
      </c>
      <c r="G1562" t="s">
        <v>51</v>
      </c>
      <c r="H1562" t="s">
        <v>6349</v>
      </c>
      <c r="I1562" t="s">
        <v>53</v>
      </c>
      <c r="J1562" t="s">
        <v>4518</v>
      </c>
      <c r="K1562" t="s">
        <v>55</v>
      </c>
      <c r="L1562" t="s">
        <v>17</v>
      </c>
      <c r="M1562" t="s">
        <v>16</v>
      </c>
      <c r="N1562">
        <v>1342</v>
      </c>
      <c r="O1562">
        <v>77</v>
      </c>
      <c r="P1562">
        <v>0</v>
      </c>
      <c r="Q1562" t="s">
        <v>159</v>
      </c>
      <c r="R1562" t="s">
        <v>6414</v>
      </c>
      <c r="S1562" t="s">
        <v>6415</v>
      </c>
      <c r="T1562" t="s">
        <v>6416</v>
      </c>
      <c r="U1562" t="s">
        <v>60</v>
      </c>
      <c r="V1562" t="s">
        <v>61</v>
      </c>
      <c r="W1562">
        <v>3</v>
      </c>
      <c r="X1562">
        <v>0.11812499999999999</v>
      </c>
      <c r="Y1562" t="s">
        <v>163</v>
      </c>
      <c r="Z1562" t="s">
        <v>164</v>
      </c>
      <c r="AA1562">
        <v>0</v>
      </c>
      <c r="AB1562" t="s">
        <v>6352</v>
      </c>
      <c r="AC1562" t="s">
        <v>6353</v>
      </c>
      <c r="AD1562" t="s">
        <v>6354</v>
      </c>
      <c r="AE1562" t="s">
        <v>6355</v>
      </c>
      <c r="AF1562" t="s">
        <v>6356</v>
      </c>
      <c r="AG1562" t="s">
        <v>66</v>
      </c>
      <c r="AH1562" t="s">
        <v>66</v>
      </c>
      <c r="AI1562" t="s">
        <v>66</v>
      </c>
      <c r="AJ1562" t="s">
        <v>66</v>
      </c>
      <c r="AK1562">
        <v>1</v>
      </c>
      <c r="AL1562" t="s">
        <v>66</v>
      </c>
      <c r="AM1562" t="s">
        <v>66</v>
      </c>
      <c r="AN1562" t="s">
        <v>66</v>
      </c>
      <c r="AO1562" t="s">
        <v>66</v>
      </c>
      <c r="AP1562">
        <v>1</v>
      </c>
      <c r="AQ1562" t="s">
        <v>66</v>
      </c>
      <c r="AR1562" t="s">
        <v>66</v>
      </c>
      <c r="AS1562" t="s">
        <v>66</v>
      </c>
      <c r="AT1562" t="s">
        <v>66</v>
      </c>
    </row>
    <row r="1563" spans="1:46" x14ac:dyDescent="0.15">
      <c r="A1563" t="s">
        <v>6417</v>
      </c>
      <c r="B1563" t="s">
        <v>6346</v>
      </c>
      <c r="C1563" t="s">
        <v>6347</v>
      </c>
      <c r="D1563">
        <v>17</v>
      </c>
      <c r="E1563" t="s">
        <v>6348</v>
      </c>
      <c r="F1563" t="s">
        <v>50</v>
      </c>
      <c r="G1563" t="s">
        <v>51</v>
      </c>
      <c r="H1563" t="s">
        <v>6349</v>
      </c>
      <c r="I1563" t="s">
        <v>53</v>
      </c>
      <c r="J1563" t="s">
        <v>4518</v>
      </c>
      <c r="K1563" t="s">
        <v>55</v>
      </c>
      <c r="L1563" t="s">
        <v>17</v>
      </c>
      <c r="M1563" t="s">
        <v>16</v>
      </c>
      <c r="N1563">
        <v>1398</v>
      </c>
      <c r="O1563">
        <v>81</v>
      </c>
      <c r="P1563">
        <v>0</v>
      </c>
      <c r="Q1563" t="s">
        <v>166</v>
      </c>
      <c r="R1563" t="s">
        <v>6418</v>
      </c>
      <c r="S1563" t="s">
        <v>6419</v>
      </c>
      <c r="T1563" t="s">
        <v>6420</v>
      </c>
      <c r="U1563" t="s">
        <v>60</v>
      </c>
      <c r="V1563" t="s">
        <v>61</v>
      </c>
      <c r="W1563">
        <v>3</v>
      </c>
      <c r="X1563">
        <v>0.11812499999999999</v>
      </c>
      <c r="Y1563" t="s">
        <v>118</v>
      </c>
      <c r="Z1563" t="s">
        <v>170</v>
      </c>
      <c r="AA1563">
        <v>0</v>
      </c>
      <c r="AB1563" t="s">
        <v>6352</v>
      </c>
      <c r="AC1563" t="s">
        <v>6353</v>
      </c>
      <c r="AD1563" t="s">
        <v>6354</v>
      </c>
      <c r="AE1563" t="s">
        <v>6355</v>
      </c>
      <c r="AF1563" t="s">
        <v>6356</v>
      </c>
      <c r="AG1563" t="s">
        <v>66</v>
      </c>
      <c r="AH1563" t="s">
        <v>66</v>
      </c>
      <c r="AI1563" t="s">
        <v>66</v>
      </c>
      <c r="AJ1563" t="s">
        <v>66</v>
      </c>
      <c r="AK1563">
        <v>1</v>
      </c>
      <c r="AL1563" t="s">
        <v>66</v>
      </c>
      <c r="AM1563" t="s">
        <v>66</v>
      </c>
      <c r="AN1563" t="s">
        <v>66</v>
      </c>
      <c r="AO1563" t="s">
        <v>66</v>
      </c>
      <c r="AP1563">
        <v>1</v>
      </c>
      <c r="AQ1563" t="s">
        <v>66</v>
      </c>
      <c r="AR1563" t="s">
        <v>66</v>
      </c>
      <c r="AS1563" t="s">
        <v>66</v>
      </c>
      <c r="AT1563" t="s">
        <v>66</v>
      </c>
    </row>
    <row r="1564" spans="1:46" x14ac:dyDescent="0.15">
      <c r="A1564" t="s">
        <v>6421</v>
      </c>
      <c r="B1564" t="s">
        <v>6346</v>
      </c>
      <c r="C1564" t="s">
        <v>6347</v>
      </c>
      <c r="D1564">
        <v>18</v>
      </c>
      <c r="E1564" t="s">
        <v>6348</v>
      </c>
      <c r="F1564" t="s">
        <v>50</v>
      </c>
      <c r="G1564" t="s">
        <v>51</v>
      </c>
      <c r="H1564" t="s">
        <v>6349</v>
      </c>
      <c r="I1564" t="s">
        <v>53</v>
      </c>
      <c r="J1564" t="s">
        <v>4518</v>
      </c>
      <c r="K1564" t="s">
        <v>55</v>
      </c>
      <c r="L1564" t="s">
        <v>17</v>
      </c>
      <c r="M1564" t="s">
        <v>16</v>
      </c>
      <c r="N1564">
        <v>1454</v>
      </c>
      <c r="O1564">
        <v>84</v>
      </c>
      <c r="P1564">
        <v>0</v>
      </c>
      <c r="Q1564" t="s">
        <v>172</v>
      </c>
      <c r="R1564" t="s">
        <v>6422</v>
      </c>
      <c r="S1564" t="s">
        <v>6423</v>
      </c>
      <c r="T1564" t="s">
        <v>6424</v>
      </c>
      <c r="U1564" t="s">
        <v>60</v>
      </c>
      <c r="V1564" t="s">
        <v>61</v>
      </c>
      <c r="W1564">
        <v>3</v>
      </c>
      <c r="X1564">
        <v>0.11812499999999999</v>
      </c>
      <c r="Y1564" t="s">
        <v>176</v>
      </c>
      <c r="Z1564" t="s">
        <v>177</v>
      </c>
      <c r="AA1564">
        <v>0</v>
      </c>
      <c r="AB1564" t="s">
        <v>6352</v>
      </c>
      <c r="AC1564" t="s">
        <v>6353</v>
      </c>
      <c r="AD1564" t="s">
        <v>6354</v>
      </c>
      <c r="AE1564" t="s">
        <v>6355</v>
      </c>
      <c r="AF1564" t="s">
        <v>6356</v>
      </c>
      <c r="AG1564" t="s">
        <v>66</v>
      </c>
      <c r="AH1564" t="s">
        <v>66</v>
      </c>
      <c r="AI1564" t="s">
        <v>66</v>
      </c>
      <c r="AJ1564" t="s">
        <v>66</v>
      </c>
      <c r="AK1564">
        <v>1</v>
      </c>
      <c r="AL1564" t="s">
        <v>66</v>
      </c>
      <c r="AM1564" t="s">
        <v>66</v>
      </c>
      <c r="AN1564" t="s">
        <v>66</v>
      </c>
      <c r="AO1564" t="s">
        <v>66</v>
      </c>
      <c r="AP1564">
        <v>1</v>
      </c>
      <c r="AQ1564" t="s">
        <v>66</v>
      </c>
      <c r="AR1564" t="s">
        <v>66</v>
      </c>
      <c r="AS1564" t="s">
        <v>66</v>
      </c>
      <c r="AT1564" t="s">
        <v>66</v>
      </c>
    </row>
    <row r="1565" spans="1:46" x14ac:dyDescent="0.15">
      <c r="A1565" t="s">
        <v>6425</v>
      </c>
      <c r="B1565" t="s">
        <v>6346</v>
      </c>
      <c r="C1565" t="s">
        <v>6347</v>
      </c>
      <c r="D1565">
        <v>19</v>
      </c>
      <c r="E1565" t="s">
        <v>6348</v>
      </c>
      <c r="F1565" t="s">
        <v>50</v>
      </c>
      <c r="G1565" t="s">
        <v>51</v>
      </c>
      <c r="H1565" t="s">
        <v>6349</v>
      </c>
      <c r="I1565" t="s">
        <v>53</v>
      </c>
      <c r="J1565" t="s">
        <v>4518</v>
      </c>
      <c r="K1565" t="s">
        <v>55</v>
      </c>
      <c r="L1565" t="s">
        <v>17</v>
      </c>
      <c r="M1565" t="s">
        <v>16</v>
      </c>
      <c r="N1565">
        <v>1510</v>
      </c>
      <c r="O1565">
        <v>87</v>
      </c>
      <c r="P1565">
        <v>0</v>
      </c>
      <c r="Q1565" t="s">
        <v>179</v>
      </c>
      <c r="R1565" t="s">
        <v>6426</v>
      </c>
      <c r="S1565" t="s">
        <v>6427</v>
      </c>
      <c r="T1565" t="s">
        <v>6428</v>
      </c>
      <c r="U1565" t="s">
        <v>60</v>
      </c>
      <c r="V1565" t="s">
        <v>61</v>
      </c>
      <c r="W1565">
        <v>3</v>
      </c>
      <c r="X1565">
        <v>0.11812499999999999</v>
      </c>
      <c r="Y1565" t="s">
        <v>125</v>
      </c>
      <c r="Z1565" t="s">
        <v>183</v>
      </c>
      <c r="AA1565">
        <v>0</v>
      </c>
      <c r="AB1565" t="s">
        <v>6352</v>
      </c>
      <c r="AC1565" t="s">
        <v>6353</v>
      </c>
      <c r="AD1565" t="s">
        <v>6354</v>
      </c>
      <c r="AE1565" t="s">
        <v>6355</v>
      </c>
      <c r="AF1565" t="s">
        <v>6356</v>
      </c>
      <c r="AG1565" t="s">
        <v>66</v>
      </c>
      <c r="AH1565" t="s">
        <v>66</v>
      </c>
      <c r="AI1565" t="s">
        <v>66</v>
      </c>
      <c r="AJ1565" t="s">
        <v>66</v>
      </c>
      <c r="AK1565">
        <v>1</v>
      </c>
      <c r="AL1565" t="s">
        <v>66</v>
      </c>
      <c r="AM1565" t="s">
        <v>66</v>
      </c>
      <c r="AN1565" t="s">
        <v>66</v>
      </c>
      <c r="AO1565" t="s">
        <v>66</v>
      </c>
      <c r="AP1565">
        <v>1</v>
      </c>
      <c r="AQ1565" t="s">
        <v>66</v>
      </c>
      <c r="AR1565" t="s">
        <v>66</v>
      </c>
      <c r="AS1565" t="s">
        <v>66</v>
      </c>
      <c r="AT1565" t="s">
        <v>66</v>
      </c>
    </row>
    <row r="1566" spans="1:46" x14ac:dyDescent="0.15">
      <c r="A1566" t="s">
        <v>6429</v>
      </c>
      <c r="B1566" t="s">
        <v>6346</v>
      </c>
      <c r="C1566" t="s">
        <v>6347</v>
      </c>
      <c r="D1566">
        <v>20</v>
      </c>
      <c r="E1566" t="s">
        <v>6348</v>
      </c>
      <c r="F1566" t="s">
        <v>50</v>
      </c>
      <c r="G1566" t="s">
        <v>51</v>
      </c>
      <c r="H1566" t="s">
        <v>6349</v>
      </c>
      <c r="I1566" t="s">
        <v>53</v>
      </c>
      <c r="J1566" t="s">
        <v>4518</v>
      </c>
      <c r="K1566" t="s">
        <v>55</v>
      </c>
      <c r="L1566" t="s">
        <v>17</v>
      </c>
      <c r="M1566" t="s">
        <v>16</v>
      </c>
      <c r="N1566">
        <v>1566</v>
      </c>
      <c r="O1566">
        <v>90</v>
      </c>
      <c r="P1566">
        <v>0</v>
      </c>
      <c r="Q1566" t="s">
        <v>185</v>
      </c>
      <c r="R1566" t="s">
        <v>6430</v>
      </c>
      <c r="S1566" t="s">
        <v>6431</v>
      </c>
      <c r="T1566" t="s">
        <v>6432</v>
      </c>
      <c r="U1566" t="s">
        <v>60</v>
      </c>
      <c r="V1566" t="s">
        <v>61</v>
      </c>
      <c r="W1566">
        <v>3</v>
      </c>
      <c r="X1566">
        <v>0.11812499999999999</v>
      </c>
      <c r="Y1566" t="s">
        <v>189</v>
      </c>
      <c r="Z1566" t="s">
        <v>190</v>
      </c>
      <c r="AA1566">
        <v>0</v>
      </c>
      <c r="AB1566" t="s">
        <v>6352</v>
      </c>
      <c r="AC1566" t="s">
        <v>6353</v>
      </c>
      <c r="AD1566" t="s">
        <v>6354</v>
      </c>
      <c r="AE1566" t="s">
        <v>6355</v>
      </c>
      <c r="AF1566" t="s">
        <v>6356</v>
      </c>
      <c r="AG1566" t="s">
        <v>66</v>
      </c>
      <c r="AH1566" t="s">
        <v>66</v>
      </c>
      <c r="AI1566" t="s">
        <v>66</v>
      </c>
      <c r="AJ1566" t="s">
        <v>66</v>
      </c>
      <c r="AK1566">
        <v>1</v>
      </c>
      <c r="AL1566" t="s">
        <v>66</v>
      </c>
      <c r="AM1566" t="s">
        <v>66</v>
      </c>
      <c r="AN1566" t="s">
        <v>66</v>
      </c>
      <c r="AO1566" t="s">
        <v>66</v>
      </c>
      <c r="AP1566">
        <v>1</v>
      </c>
      <c r="AQ1566" t="s">
        <v>66</v>
      </c>
      <c r="AR1566" t="s">
        <v>66</v>
      </c>
      <c r="AS1566" t="s">
        <v>66</v>
      </c>
      <c r="AT1566" t="s">
        <v>66</v>
      </c>
    </row>
    <row r="1567" spans="1:46" x14ac:dyDescent="0.15">
      <c r="A1567" t="s">
        <v>6429</v>
      </c>
      <c r="B1567" t="s">
        <v>6346</v>
      </c>
      <c r="C1567" t="s">
        <v>6347</v>
      </c>
      <c r="D1567">
        <v>20</v>
      </c>
      <c r="E1567" t="s">
        <v>6348</v>
      </c>
      <c r="F1567" t="s">
        <v>50</v>
      </c>
      <c r="G1567" t="s">
        <v>51</v>
      </c>
      <c r="H1567" t="s">
        <v>6349</v>
      </c>
      <c r="I1567" t="s">
        <v>53</v>
      </c>
      <c r="J1567" t="s">
        <v>4518</v>
      </c>
      <c r="K1567" t="s">
        <v>55</v>
      </c>
      <c r="L1567" t="s">
        <v>17</v>
      </c>
      <c r="M1567" t="s">
        <v>16</v>
      </c>
      <c r="N1567">
        <v>1566</v>
      </c>
      <c r="O1567">
        <v>90</v>
      </c>
      <c r="P1567">
        <v>0</v>
      </c>
      <c r="Q1567" t="s">
        <v>185</v>
      </c>
      <c r="R1567" t="s">
        <v>6430</v>
      </c>
      <c r="S1567" t="s">
        <v>6431</v>
      </c>
      <c r="T1567" t="s">
        <v>6432</v>
      </c>
      <c r="U1567" t="s">
        <v>60</v>
      </c>
      <c r="V1567" t="s">
        <v>61</v>
      </c>
      <c r="W1567">
        <v>3</v>
      </c>
      <c r="X1567">
        <v>0.11812499999999999</v>
      </c>
      <c r="Y1567" t="s">
        <v>189</v>
      </c>
      <c r="Z1567" t="s">
        <v>190</v>
      </c>
      <c r="AA1567">
        <v>1</v>
      </c>
      <c r="AB1567" t="s">
        <v>6352</v>
      </c>
      <c r="AC1567" t="s">
        <v>6353</v>
      </c>
      <c r="AD1567" t="s">
        <v>6354</v>
      </c>
      <c r="AE1567" t="s">
        <v>6355</v>
      </c>
      <c r="AF1567" t="s">
        <v>6356</v>
      </c>
      <c r="AG1567" t="s">
        <v>66</v>
      </c>
      <c r="AH1567" t="s">
        <v>66</v>
      </c>
      <c r="AI1567" t="s">
        <v>66</v>
      </c>
      <c r="AJ1567" t="s">
        <v>66</v>
      </c>
      <c r="AK1567">
        <v>1</v>
      </c>
      <c r="AL1567" t="s">
        <v>66</v>
      </c>
      <c r="AM1567" t="s">
        <v>66</v>
      </c>
      <c r="AN1567" t="s">
        <v>66</v>
      </c>
      <c r="AO1567" t="s">
        <v>66</v>
      </c>
      <c r="AP1567">
        <v>1</v>
      </c>
      <c r="AQ1567" t="s">
        <v>66</v>
      </c>
      <c r="AR1567" t="s">
        <v>66</v>
      </c>
      <c r="AS1567" t="s">
        <v>66</v>
      </c>
      <c r="AT1567" t="s">
        <v>66</v>
      </c>
    </row>
    <row r="1568" spans="1:46" x14ac:dyDescent="0.15">
      <c r="A1568" t="s">
        <v>6433</v>
      </c>
      <c r="B1568" t="s">
        <v>6346</v>
      </c>
      <c r="C1568" t="s">
        <v>6347</v>
      </c>
      <c r="D1568">
        <v>21</v>
      </c>
      <c r="E1568" t="s">
        <v>6348</v>
      </c>
      <c r="F1568" t="s">
        <v>50</v>
      </c>
      <c r="G1568" t="s">
        <v>51</v>
      </c>
      <c r="H1568" t="s">
        <v>6349</v>
      </c>
      <c r="I1568" t="s">
        <v>53</v>
      </c>
      <c r="J1568" t="s">
        <v>4518</v>
      </c>
      <c r="K1568" t="s">
        <v>55</v>
      </c>
      <c r="L1568" t="s">
        <v>17</v>
      </c>
      <c r="M1568" t="s">
        <v>16</v>
      </c>
      <c r="N1568">
        <v>1622</v>
      </c>
      <c r="O1568">
        <v>93</v>
      </c>
      <c r="P1568">
        <v>0</v>
      </c>
      <c r="Q1568" t="s">
        <v>193</v>
      </c>
      <c r="R1568" t="s">
        <v>6434</v>
      </c>
      <c r="S1568" t="s">
        <v>6435</v>
      </c>
      <c r="T1568" t="s">
        <v>6436</v>
      </c>
      <c r="U1568" t="s">
        <v>60</v>
      </c>
      <c r="V1568" t="s">
        <v>61</v>
      </c>
      <c r="W1568">
        <v>3</v>
      </c>
      <c r="X1568">
        <v>0.11812499999999999</v>
      </c>
      <c r="Y1568" t="s">
        <v>131</v>
      </c>
      <c r="Z1568" t="s">
        <v>197</v>
      </c>
      <c r="AA1568">
        <v>1</v>
      </c>
      <c r="AB1568" t="s">
        <v>6352</v>
      </c>
      <c r="AC1568" t="s">
        <v>6353</v>
      </c>
      <c r="AD1568" t="s">
        <v>6354</v>
      </c>
      <c r="AE1568" t="s">
        <v>6355</v>
      </c>
      <c r="AF1568" t="s">
        <v>6356</v>
      </c>
      <c r="AG1568" t="s">
        <v>66</v>
      </c>
      <c r="AH1568" t="s">
        <v>66</v>
      </c>
      <c r="AI1568" t="s">
        <v>66</v>
      </c>
      <c r="AJ1568" t="s">
        <v>66</v>
      </c>
      <c r="AK1568">
        <v>1</v>
      </c>
      <c r="AL1568" t="s">
        <v>66</v>
      </c>
      <c r="AM1568" t="s">
        <v>66</v>
      </c>
      <c r="AN1568" t="s">
        <v>66</v>
      </c>
      <c r="AO1568" t="s">
        <v>66</v>
      </c>
      <c r="AP1568">
        <v>1</v>
      </c>
      <c r="AQ1568" t="s">
        <v>66</v>
      </c>
      <c r="AR1568" t="s">
        <v>66</v>
      </c>
      <c r="AS1568" t="s">
        <v>66</v>
      </c>
      <c r="AT1568" t="s">
        <v>66</v>
      </c>
    </row>
    <row r="1569" spans="1:46" x14ac:dyDescent="0.15">
      <c r="A1569" t="s">
        <v>6437</v>
      </c>
      <c r="B1569" t="s">
        <v>6346</v>
      </c>
      <c r="C1569" t="s">
        <v>6347</v>
      </c>
      <c r="D1569">
        <v>22</v>
      </c>
      <c r="E1569" t="s">
        <v>6348</v>
      </c>
      <c r="F1569" t="s">
        <v>50</v>
      </c>
      <c r="G1569" t="s">
        <v>51</v>
      </c>
      <c r="H1569" t="s">
        <v>6349</v>
      </c>
      <c r="I1569" t="s">
        <v>53</v>
      </c>
      <c r="J1569" t="s">
        <v>4518</v>
      </c>
      <c r="K1569" t="s">
        <v>55</v>
      </c>
      <c r="L1569" t="s">
        <v>17</v>
      </c>
      <c r="M1569" t="s">
        <v>16</v>
      </c>
      <c r="N1569">
        <v>1679</v>
      </c>
      <c r="O1569">
        <v>96</v>
      </c>
      <c r="P1569">
        <v>0</v>
      </c>
      <c r="Q1569" t="s">
        <v>199</v>
      </c>
      <c r="R1569" t="s">
        <v>6438</v>
      </c>
      <c r="S1569" t="s">
        <v>6439</v>
      </c>
      <c r="T1569" t="s">
        <v>6440</v>
      </c>
      <c r="U1569" t="s">
        <v>60</v>
      </c>
      <c r="V1569" t="s">
        <v>61</v>
      </c>
      <c r="W1569">
        <v>3</v>
      </c>
      <c r="X1569">
        <v>0.11812499999999999</v>
      </c>
      <c r="Y1569" t="s">
        <v>203</v>
      </c>
      <c r="Z1569" t="s">
        <v>204</v>
      </c>
      <c r="AA1569">
        <v>1</v>
      </c>
      <c r="AB1569" t="s">
        <v>6352</v>
      </c>
      <c r="AC1569" t="s">
        <v>6353</v>
      </c>
      <c r="AD1569" t="s">
        <v>6354</v>
      </c>
      <c r="AE1569" t="s">
        <v>6355</v>
      </c>
      <c r="AF1569" t="s">
        <v>6356</v>
      </c>
      <c r="AG1569" t="s">
        <v>66</v>
      </c>
      <c r="AH1569" t="s">
        <v>66</v>
      </c>
      <c r="AI1569" t="s">
        <v>66</v>
      </c>
      <c r="AJ1569" t="s">
        <v>66</v>
      </c>
      <c r="AK1569">
        <v>1</v>
      </c>
      <c r="AL1569" t="s">
        <v>66</v>
      </c>
      <c r="AM1569" t="s">
        <v>66</v>
      </c>
      <c r="AN1569" t="s">
        <v>66</v>
      </c>
      <c r="AO1569" t="s">
        <v>66</v>
      </c>
      <c r="AP1569">
        <v>1</v>
      </c>
      <c r="AQ1569" t="s">
        <v>66</v>
      </c>
      <c r="AR1569" t="s">
        <v>66</v>
      </c>
      <c r="AS1569" t="s">
        <v>66</v>
      </c>
      <c r="AT1569" t="s">
        <v>66</v>
      </c>
    </row>
    <row r="1570" spans="1:46" x14ac:dyDescent="0.15">
      <c r="A1570" t="s">
        <v>6441</v>
      </c>
      <c r="B1570" t="s">
        <v>6346</v>
      </c>
      <c r="C1570" t="s">
        <v>6347</v>
      </c>
      <c r="D1570">
        <v>23</v>
      </c>
      <c r="E1570" t="s">
        <v>6348</v>
      </c>
      <c r="F1570" t="s">
        <v>50</v>
      </c>
      <c r="G1570" t="s">
        <v>51</v>
      </c>
      <c r="H1570" t="s">
        <v>6349</v>
      </c>
      <c r="I1570" t="s">
        <v>53</v>
      </c>
      <c r="J1570" t="s">
        <v>4518</v>
      </c>
      <c r="K1570" t="s">
        <v>55</v>
      </c>
      <c r="L1570" t="s">
        <v>17</v>
      </c>
      <c r="M1570" t="s">
        <v>16</v>
      </c>
      <c r="N1570">
        <v>1735</v>
      </c>
      <c r="O1570">
        <v>100</v>
      </c>
      <c r="P1570">
        <v>0</v>
      </c>
      <c r="Q1570" t="s">
        <v>206</v>
      </c>
      <c r="R1570" t="s">
        <v>6442</v>
      </c>
      <c r="S1570" t="s">
        <v>6443</v>
      </c>
      <c r="T1570" t="s">
        <v>6444</v>
      </c>
      <c r="U1570" t="s">
        <v>60</v>
      </c>
      <c r="V1570" t="s">
        <v>61</v>
      </c>
      <c r="W1570">
        <v>3</v>
      </c>
      <c r="X1570">
        <v>0.11812499999999999</v>
      </c>
      <c r="Y1570" t="s">
        <v>138</v>
      </c>
      <c r="Z1570" t="s">
        <v>210</v>
      </c>
      <c r="AA1570">
        <v>1</v>
      </c>
      <c r="AB1570" t="s">
        <v>6352</v>
      </c>
      <c r="AC1570" t="s">
        <v>6353</v>
      </c>
      <c r="AD1570" t="s">
        <v>6354</v>
      </c>
      <c r="AE1570" t="s">
        <v>6355</v>
      </c>
      <c r="AF1570" t="s">
        <v>6356</v>
      </c>
      <c r="AG1570" t="s">
        <v>66</v>
      </c>
      <c r="AH1570" t="s">
        <v>66</v>
      </c>
      <c r="AI1570" t="s">
        <v>66</v>
      </c>
      <c r="AJ1570" t="s">
        <v>66</v>
      </c>
      <c r="AK1570">
        <v>1</v>
      </c>
      <c r="AL1570" t="s">
        <v>66</v>
      </c>
      <c r="AM1570" t="s">
        <v>66</v>
      </c>
      <c r="AN1570" t="s">
        <v>66</v>
      </c>
      <c r="AO1570" t="s">
        <v>66</v>
      </c>
      <c r="AP1570">
        <v>1</v>
      </c>
      <c r="AQ1570" t="s">
        <v>66</v>
      </c>
      <c r="AR1570" t="s">
        <v>66</v>
      </c>
      <c r="AS1570" t="s">
        <v>66</v>
      </c>
      <c r="AT1570" t="s">
        <v>66</v>
      </c>
    </row>
    <row r="1571" spans="1:46" x14ac:dyDescent="0.15">
      <c r="A1571" t="s">
        <v>6445</v>
      </c>
      <c r="B1571" t="s">
        <v>6346</v>
      </c>
      <c r="C1571" t="s">
        <v>6347</v>
      </c>
      <c r="D1571">
        <v>24</v>
      </c>
      <c r="E1571" t="s">
        <v>6348</v>
      </c>
      <c r="F1571" t="s">
        <v>50</v>
      </c>
      <c r="G1571" t="s">
        <v>51</v>
      </c>
      <c r="H1571" t="s">
        <v>6349</v>
      </c>
      <c r="I1571" t="s">
        <v>53</v>
      </c>
      <c r="J1571" t="s">
        <v>4518</v>
      </c>
      <c r="K1571" t="s">
        <v>55</v>
      </c>
      <c r="L1571" t="s">
        <v>17</v>
      </c>
      <c r="M1571" t="s">
        <v>16</v>
      </c>
      <c r="N1571">
        <v>1791</v>
      </c>
      <c r="O1571">
        <v>103</v>
      </c>
      <c r="P1571">
        <v>0</v>
      </c>
      <c r="Q1571" t="s">
        <v>212</v>
      </c>
      <c r="R1571" t="s">
        <v>6446</v>
      </c>
      <c r="S1571" t="s">
        <v>6447</v>
      </c>
      <c r="T1571" t="s">
        <v>6448</v>
      </c>
      <c r="U1571" t="s">
        <v>60</v>
      </c>
      <c r="V1571" t="s">
        <v>61</v>
      </c>
      <c r="W1571">
        <v>3</v>
      </c>
      <c r="X1571">
        <v>0.11812499999999999</v>
      </c>
      <c r="Y1571" t="s">
        <v>216</v>
      </c>
      <c r="Z1571" t="s">
        <v>217</v>
      </c>
      <c r="AA1571">
        <v>1</v>
      </c>
      <c r="AB1571" t="s">
        <v>6352</v>
      </c>
      <c r="AC1571" t="s">
        <v>6353</v>
      </c>
      <c r="AD1571" t="s">
        <v>6354</v>
      </c>
      <c r="AE1571" t="s">
        <v>6355</v>
      </c>
      <c r="AF1571" t="s">
        <v>6356</v>
      </c>
      <c r="AG1571" t="s">
        <v>66</v>
      </c>
      <c r="AH1571" t="s">
        <v>66</v>
      </c>
      <c r="AI1571" t="s">
        <v>66</v>
      </c>
      <c r="AJ1571" t="s">
        <v>66</v>
      </c>
      <c r="AK1571">
        <v>1</v>
      </c>
      <c r="AL1571" t="s">
        <v>66</v>
      </c>
      <c r="AM1571" t="s">
        <v>66</v>
      </c>
      <c r="AN1571" t="s">
        <v>66</v>
      </c>
      <c r="AO1571" t="s">
        <v>66</v>
      </c>
      <c r="AP1571">
        <v>1</v>
      </c>
      <c r="AQ1571" t="s">
        <v>66</v>
      </c>
      <c r="AR1571" t="s">
        <v>66</v>
      </c>
      <c r="AS1571" t="s">
        <v>66</v>
      </c>
      <c r="AT1571" t="s">
        <v>66</v>
      </c>
    </row>
    <row r="1572" spans="1:46" x14ac:dyDescent="0.15">
      <c r="A1572" t="s">
        <v>6449</v>
      </c>
      <c r="B1572" t="s">
        <v>6346</v>
      </c>
      <c r="C1572" t="s">
        <v>6347</v>
      </c>
      <c r="D1572">
        <v>25</v>
      </c>
      <c r="E1572" t="s">
        <v>6348</v>
      </c>
      <c r="F1572" t="s">
        <v>50</v>
      </c>
      <c r="G1572" t="s">
        <v>51</v>
      </c>
      <c r="H1572" t="s">
        <v>6349</v>
      </c>
      <c r="I1572" t="s">
        <v>53</v>
      </c>
      <c r="J1572" t="s">
        <v>4518</v>
      </c>
      <c r="K1572" t="s">
        <v>55</v>
      </c>
      <c r="L1572" t="s">
        <v>17</v>
      </c>
      <c r="M1572" t="s">
        <v>16</v>
      </c>
      <c r="N1572">
        <v>1847</v>
      </c>
      <c r="O1572">
        <v>106</v>
      </c>
      <c r="P1572">
        <v>0</v>
      </c>
      <c r="Q1572" t="s">
        <v>219</v>
      </c>
      <c r="R1572" t="s">
        <v>6450</v>
      </c>
      <c r="S1572" t="s">
        <v>6451</v>
      </c>
      <c r="T1572" t="s">
        <v>6452</v>
      </c>
      <c r="U1572" t="s">
        <v>60</v>
      </c>
      <c r="V1572" t="s">
        <v>61</v>
      </c>
      <c r="W1572">
        <v>3</v>
      </c>
      <c r="X1572">
        <v>0.11812499999999999</v>
      </c>
      <c r="Y1572" t="s">
        <v>144</v>
      </c>
      <c r="Z1572" t="s">
        <v>223</v>
      </c>
      <c r="AA1572">
        <v>1</v>
      </c>
      <c r="AB1572" t="s">
        <v>6352</v>
      </c>
      <c r="AC1572" t="s">
        <v>6353</v>
      </c>
      <c r="AD1572" t="s">
        <v>6354</v>
      </c>
      <c r="AE1572" t="s">
        <v>6355</v>
      </c>
      <c r="AF1572" t="s">
        <v>6356</v>
      </c>
      <c r="AG1572" t="s">
        <v>66</v>
      </c>
      <c r="AH1572" t="s">
        <v>66</v>
      </c>
      <c r="AI1572" t="s">
        <v>66</v>
      </c>
      <c r="AJ1572" t="s">
        <v>66</v>
      </c>
      <c r="AK1572">
        <v>1</v>
      </c>
      <c r="AL1572" t="s">
        <v>66</v>
      </c>
      <c r="AM1572" t="s">
        <v>66</v>
      </c>
      <c r="AN1572" t="s">
        <v>66</v>
      </c>
      <c r="AO1572" t="s">
        <v>66</v>
      </c>
      <c r="AP1572">
        <v>1</v>
      </c>
      <c r="AQ1572" t="s">
        <v>66</v>
      </c>
      <c r="AR1572" t="s">
        <v>66</v>
      </c>
      <c r="AS1572" t="s">
        <v>66</v>
      </c>
      <c r="AT1572" t="s">
        <v>66</v>
      </c>
    </row>
    <row r="1573" spans="1:46" x14ac:dyDescent="0.15">
      <c r="A1573" t="s">
        <v>6453</v>
      </c>
      <c r="B1573" t="s">
        <v>6346</v>
      </c>
      <c r="C1573" t="s">
        <v>6347</v>
      </c>
      <c r="D1573">
        <v>26</v>
      </c>
      <c r="E1573" t="s">
        <v>6348</v>
      </c>
      <c r="F1573" t="s">
        <v>50</v>
      </c>
      <c r="G1573" t="s">
        <v>51</v>
      </c>
      <c r="H1573" t="s">
        <v>6349</v>
      </c>
      <c r="I1573" t="s">
        <v>53</v>
      </c>
      <c r="J1573" t="s">
        <v>4518</v>
      </c>
      <c r="K1573" t="s">
        <v>55</v>
      </c>
      <c r="L1573" t="s">
        <v>17</v>
      </c>
      <c r="M1573" t="s">
        <v>16</v>
      </c>
      <c r="N1573">
        <v>1903</v>
      </c>
      <c r="O1573">
        <v>109</v>
      </c>
      <c r="P1573">
        <v>0</v>
      </c>
      <c r="Q1573" t="s">
        <v>225</v>
      </c>
      <c r="R1573" t="s">
        <v>6454</v>
      </c>
      <c r="S1573" t="s">
        <v>6455</v>
      </c>
      <c r="T1573" t="s">
        <v>6456</v>
      </c>
      <c r="U1573" t="s">
        <v>60</v>
      </c>
      <c r="V1573" t="s">
        <v>61</v>
      </c>
      <c r="W1573">
        <v>3</v>
      </c>
      <c r="X1573">
        <v>0.11812499999999999</v>
      </c>
      <c r="Y1573" t="s">
        <v>229</v>
      </c>
      <c r="Z1573" t="s">
        <v>230</v>
      </c>
      <c r="AA1573">
        <v>1</v>
      </c>
      <c r="AB1573" t="s">
        <v>6352</v>
      </c>
      <c r="AC1573" t="s">
        <v>6353</v>
      </c>
      <c r="AD1573" t="s">
        <v>6354</v>
      </c>
      <c r="AE1573" t="s">
        <v>6355</v>
      </c>
      <c r="AF1573" t="s">
        <v>6356</v>
      </c>
      <c r="AG1573" t="s">
        <v>66</v>
      </c>
      <c r="AH1573" t="s">
        <v>66</v>
      </c>
      <c r="AI1573" t="s">
        <v>66</v>
      </c>
      <c r="AJ1573" t="s">
        <v>66</v>
      </c>
      <c r="AK1573">
        <v>1</v>
      </c>
      <c r="AL1573" t="s">
        <v>66</v>
      </c>
      <c r="AM1573" t="s">
        <v>66</v>
      </c>
      <c r="AN1573" t="s">
        <v>66</v>
      </c>
      <c r="AO1573" t="s">
        <v>66</v>
      </c>
      <c r="AP1573">
        <v>1</v>
      </c>
      <c r="AQ1573" t="s">
        <v>66</v>
      </c>
      <c r="AR1573" t="s">
        <v>66</v>
      </c>
      <c r="AS1573" t="s">
        <v>66</v>
      </c>
      <c r="AT1573" t="s">
        <v>66</v>
      </c>
    </row>
    <row r="1574" spans="1:46" x14ac:dyDescent="0.15">
      <c r="A1574" t="s">
        <v>6457</v>
      </c>
      <c r="B1574" t="s">
        <v>6346</v>
      </c>
      <c r="C1574" t="s">
        <v>6347</v>
      </c>
      <c r="D1574">
        <v>27</v>
      </c>
      <c r="E1574" t="s">
        <v>6348</v>
      </c>
      <c r="F1574" t="s">
        <v>50</v>
      </c>
      <c r="G1574" t="s">
        <v>51</v>
      </c>
      <c r="H1574" t="s">
        <v>6349</v>
      </c>
      <c r="I1574" t="s">
        <v>53</v>
      </c>
      <c r="J1574" t="s">
        <v>4518</v>
      </c>
      <c r="K1574" t="s">
        <v>55</v>
      </c>
      <c r="L1574" t="s">
        <v>17</v>
      </c>
      <c r="M1574" t="s">
        <v>16</v>
      </c>
      <c r="N1574">
        <v>1959</v>
      </c>
      <c r="O1574">
        <v>112</v>
      </c>
      <c r="P1574">
        <v>0</v>
      </c>
      <c r="Q1574" t="s">
        <v>232</v>
      </c>
      <c r="R1574" t="s">
        <v>6458</v>
      </c>
      <c r="S1574" t="s">
        <v>6459</v>
      </c>
      <c r="T1574" t="s">
        <v>6460</v>
      </c>
      <c r="U1574" t="s">
        <v>60</v>
      </c>
      <c r="V1574" t="s">
        <v>61</v>
      </c>
      <c r="W1574">
        <v>3</v>
      </c>
      <c r="X1574">
        <v>0.11812499999999999</v>
      </c>
      <c r="Y1574" t="s">
        <v>151</v>
      </c>
      <c r="Z1574" t="s">
        <v>236</v>
      </c>
      <c r="AA1574">
        <v>1</v>
      </c>
      <c r="AB1574" t="s">
        <v>6352</v>
      </c>
      <c r="AC1574" t="s">
        <v>6353</v>
      </c>
      <c r="AD1574" t="s">
        <v>6354</v>
      </c>
      <c r="AE1574" t="s">
        <v>6355</v>
      </c>
      <c r="AF1574" t="s">
        <v>6356</v>
      </c>
      <c r="AG1574" t="s">
        <v>66</v>
      </c>
      <c r="AH1574" t="s">
        <v>66</v>
      </c>
      <c r="AI1574" t="s">
        <v>66</v>
      </c>
      <c r="AJ1574" t="s">
        <v>66</v>
      </c>
      <c r="AK1574">
        <v>1</v>
      </c>
      <c r="AL1574" t="s">
        <v>66</v>
      </c>
      <c r="AM1574" t="s">
        <v>66</v>
      </c>
      <c r="AN1574" t="s">
        <v>66</v>
      </c>
      <c r="AO1574" t="s">
        <v>66</v>
      </c>
      <c r="AP1574">
        <v>1</v>
      </c>
      <c r="AQ1574" t="s">
        <v>66</v>
      </c>
      <c r="AR1574" t="s">
        <v>66</v>
      </c>
      <c r="AS1574" t="s">
        <v>66</v>
      </c>
      <c r="AT1574" t="s">
        <v>66</v>
      </c>
    </row>
    <row r="1575" spans="1:46" x14ac:dyDescent="0.15">
      <c r="A1575" t="s">
        <v>6461</v>
      </c>
      <c r="B1575" t="s">
        <v>6346</v>
      </c>
      <c r="C1575" t="s">
        <v>6347</v>
      </c>
      <c r="D1575">
        <v>28</v>
      </c>
      <c r="E1575" t="s">
        <v>6348</v>
      </c>
      <c r="F1575" t="s">
        <v>50</v>
      </c>
      <c r="G1575" t="s">
        <v>51</v>
      </c>
      <c r="H1575" t="s">
        <v>6349</v>
      </c>
      <c r="I1575" t="s">
        <v>53</v>
      </c>
      <c r="J1575" t="s">
        <v>4518</v>
      </c>
      <c r="K1575" t="s">
        <v>55</v>
      </c>
      <c r="L1575" t="s">
        <v>17</v>
      </c>
      <c r="M1575" t="s">
        <v>16</v>
      </c>
      <c r="N1575">
        <v>2015</v>
      </c>
      <c r="O1575">
        <v>115</v>
      </c>
      <c r="P1575">
        <v>0</v>
      </c>
      <c r="Q1575" t="s">
        <v>238</v>
      </c>
      <c r="R1575" t="s">
        <v>6462</v>
      </c>
      <c r="S1575" t="s">
        <v>6463</v>
      </c>
      <c r="T1575" t="s">
        <v>6464</v>
      </c>
      <c r="U1575" t="s">
        <v>60</v>
      </c>
      <c r="V1575" t="s">
        <v>61</v>
      </c>
      <c r="W1575">
        <v>3</v>
      </c>
      <c r="X1575">
        <v>0.11812499999999999</v>
      </c>
      <c r="Y1575" t="s">
        <v>242</v>
      </c>
      <c r="Z1575" t="s">
        <v>243</v>
      </c>
      <c r="AA1575">
        <v>1</v>
      </c>
      <c r="AB1575" t="s">
        <v>6352</v>
      </c>
      <c r="AC1575" t="s">
        <v>6353</v>
      </c>
      <c r="AD1575" t="s">
        <v>6354</v>
      </c>
      <c r="AE1575" t="s">
        <v>6355</v>
      </c>
      <c r="AF1575" t="s">
        <v>6356</v>
      </c>
      <c r="AG1575" t="s">
        <v>66</v>
      </c>
      <c r="AH1575" t="s">
        <v>66</v>
      </c>
      <c r="AI1575" t="s">
        <v>66</v>
      </c>
      <c r="AJ1575" t="s">
        <v>66</v>
      </c>
      <c r="AK1575">
        <v>1</v>
      </c>
      <c r="AL1575" t="s">
        <v>66</v>
      </c>
      <c r="AM1575" t="s">
        <v>66</v>
      </c>
      <c r="AN1575" t="s">
        <v>66</v>
      </c>
      <c r="AO1575" t="s">
        <v>66</v>
      </c>
      <c r="AP1575">
        <v>1</v>
      </c>
      <c r="AQ1575" t="s">
        <v>66</v>
      </c>
      <c r="AR1575" t="s">
        <v>66</v>
      </c>
      <c r="AS1575" t="s">
        <v>66</v>
      </c>
      <c r="AT1575" t="s">
        <v>66</v>
      </c>
    </row>
    <row r="1576" spans="1:46" x14ac:dyDescent="0.15">
      <c r="A1576" t="s">
        <v>6465</v>
      </c>
      <c r="B1576" t="s">
        <v>6346</v>
      </c>
      <c r="C1576" t="s">
        <v>6347</v>
      </c>
      <c r="D1576">
        <v>29</v>
      </c>
      <c r="E1576" t="s">
        <v>6348</v>
      </c>
      <c r="F1576" t="s">
        <v>50</v>
      </c>
      <c r="G1576" t="s">
        <v>51</v>
      </c>
      <c r="H1576" t="s">
        <v>6349</v>
      </c>
      <c r="I1576" t="s">
        <v>53</v>
      </c>
      <c r="J1576" t="s">
        <v>4518</v>
      </c>
      <c r="K1576" t="s">
        <v>55</v>
      </c>
      <c r="L1576" t="s">
        <v>17</v>
      </c>
      <c r="M1576" t="s">
        <v>16</v>
      </c>
      <c r="N1576">
        <v>2071</v>
      </c>
      <c r="O1576">
        <v>119</v>
      </c>
      <c r="P1576">
        <v>0</v>
      </c>
      <c r="Q1576" t="s">
        <v>245</v>
      </c>
      <c r="R1576" t="s">
        <v>6466</v>
      </c>
      <c r="S1576" t="s">
        <v>6467</v>
      </c>
      <c r="T1576" t="s">
        <v>6468</v>
      </c>
      <c r="U1576" t="s">
        <v>60</v>
      </c>
      <c r="V1576" t="s">
        <v>61</v>
      </c>
      <c r="W1576">
        <v>3</v>
      </c>
      <c r="X1576">
        <v>0.11812499999999999</v>
      </c>
      <c r="Y1576" t="s">
        <v>157</v>
      </c>
      <c r="Z1576" t="s">
        <v>249</v>
      </c>
      <c r="AA1576">
        <v>1</v>
      </c>
      <c r="AB1576" t="s">
        <v>6352</v>
      </c>
      <c r="AC1576" t="s">
        <v>6353</v>
      </c>
      <c r="AD1576" t="s">
        <v>6354</v>
      </c>
      <c r="AE1576" t="s">
        <v>6355</v>
      </c>
      <c r="AF1576" t="s">
        <v>6356</v>
      </c>
      <c r="AG1576" t="s">
        <v>66</v>
      </c>
      <c r="AH1576" t="s">
        <v>66</v>
      </c>
      <c r="AI1576" t="s">
        <v>66</v>
      </c>
      <c r="AJ1576" t="s">
        <v>66</v>
      </c>
      <c r="AK1576">
        <v>1</v>
      </c>
      <c r="AL1576" t="s">
        <v>66</v>
      </c>
      <c r="AM1576" t="s">
        <v>66</v>
      </c>
      <c r="AN1576" t="s">
        <v>66</v>
      </c>
      <c r="AO1576" t="s">
        <v>66</v>
      </c>
      <c r="AP1576">
        <v>1</v>
      </c>
      <c r="AQ1576" t="s">
        <v>66</v>
      </c>
      <c r="AR1576" t="s">
        <v>66</v>
      </c>
      <c r="AS1576" t="s">
        <v>66</v>
      </c>
      <c r="AT1576" t="s">
        <v>66</v>
      </c>
    </row>
    <row r="1577" spans="1:46" x14ac:dyDescent="0.15">
      <c r="A1577" t="s">
        <v>6469</v>
      </c>
      <c r="B1577" t="s">
        <v>6346</v>
      </c>
      <c r="C1577" t="s">
        <v>6347</v>
      </c>
      <c r="D1577">
        <v>30</v>
      </c>
      <c r="E1577" t="s">
        <v>6348</v>
      </c>
      <c r="F1577" t="s">
        <v>50</v>
      </c>
      <c r="G1577" t="s">
        <v>51</v>
      </c>
      <c r="H1577" t="s">
        <v>6349</v>
      </c>
      <c r="I1577" t="s">
        <v>53</v>
      </c>
      <c r="J1577" t="s">
        <v>4518</v>
      </c>
      <c r="K1577" t="s">
        <v>55</v>
      </c>
      <c r="L1577" t="s">
        <v>17</v>
      </c>
      <c r="M1577" t="s">
        <v>16</v>
      </c>
      <c r="N1577">
        <v>2128</v>
      </c>
      <c r="O1577">
        <v>122</v>
      </c>
      <c r="P1577">
        <v>0</v>
      </c>
      <c r="Q1577" t="s">
        <v>251</v>
      </c>
      <c r="R1577" t="s">
        <v>6470</v>
      </c>
      <c r="S1577" t="s">
        <v>6471</v>
      </c>
      <c r="T1577" t="s">
        <v>6472</v>
      </c>
      <c r="U1577" t="s">
        <v>60</v>
      </c>
      <c r="V1577" t="s">
        <v>61</v>
      </c>
      <c r="W1577">
        <v>3</v>
      </c>
      <c r="X1577">
        <v>0.11812499999999999</v>
      </c>
      <c r="Y1577" t="s">
        <v>255</v>
      </c>
      <c r="Z1577" t="s">
        <v>256</v>
      </c>
      <c r="AA1577">
        <v>1</v>
      </c>
      <c r="AB1577" t="s">
        <v>6352</v>
      </c>
      <c r="AC1577" t="s">
        <v>6353</v>
      </c>
      <c r="AD1577" t="s">
        <v>6354</v>
      </c>
      <c r="AE1577" t="s">
        <v>6355</v>
      </c>
      <c r="AF1577" t="s">
        <v>6356</v>
      </c>
      <c r="AG1577" t="s">
        <v>66</v>
      </c>
      <c r="AH1577" t="s">
        <v>66</v>
      </c>
      <c r="AI1577" t="s">
        <v>66</v>
      </c>
      <c r="AJ1577" t="s">
        <v>66</v>
      </c>
      <c r="AK1577">
        <v>1</v>
      </c>
      <c r="AL1577" t="s">
        <v>66</v>
      </c>
      <c r="AM1577" t="s">
        <v>66</v>
      </c>
      <c r="AN1577" t="s">
        <v>66</v>
      </c>
      <c r="AO1577" t="s">
        <v>66</v>
      </c>
      <c r="AP1577">
        <v>1</v>
      </c>
      <c r="AQ1577" t="s">
        <v>66</v>
      </c>
      <c r="AR1577" t="s">
        <v>66</v>
      </c>
      <c r="AS1577" t="s">
        <v>66</v>
      </c>
      <c r="AT1577" t="s">
        <v>66</v>
      </c>
    </row>
    <row r="1578" spans="1:46" x14ac:dyDescent="0.15">
      <c r="A1578" t="s">
        <v>6473</v>
      </c>
      <c r="B1578" t="s">
        <v>6346</v>
      </c>
      <c r="C1578" t="s">
        <v>6347</v>
      </c>
      <c r="D1578">
        <v>31</v>
      </c>
      <c r="E1578" t="s">
        <v>6348</v>
      </c>
      <c r="F1578" t="s">
        <v>50</v>
      </c>
      <c r="G1578" t="s">
        <v>51</v>
      </c>
      <c r="H1578" t="s">
        <v>6349</v>
      </c>
      <c r="I1578" t="s">
        <v>53</v>
      </c>
      <c r="J1578" t="s">
        <v>4518</v>
      </c>
      <c r="K1578" t="s">
        <v>55</v>
      </c>
      <c r="L1578" t="s">
        <v>17</v>
      </c>
      <c r="M1578" t="s">
        <v>16</v>
      </c>
      <c r="N1578">
        <v>2184</v>
      </c>
      <c r="O1578">
        <v>125</v>
      </c>
      <c r="P1578">
        <v>0</v>
      </c>
      <c r="Q1578" t="s">
        <v>258</v>
      </c>
      <c r="R1578" t="s">
        <v>6474</v>
      </c>
      <c r="S1578" t="s">
        <v>6475</v>
      </c>
      <c r="T1578" t="s">
        <v>6476</v>
      </c>
      <c r="U1578" t="s">
        <v>60</v>
      </c>
      <c r="V1578" t="s">
        <v>61</v>
      </c>
      <c r="W1578">
        <v>3</v>
      </c>
      <c r="X1578">
        <v>0.11812499999999999</v>
      </c>
      <c r="Y1578" t="s">
        <v>164</v>
      </c>
      <c r="Z1578" t="s">
        <v>262</v>
      </c>
      <c r="AA1578">
        <v>1</v>
      </c>
      <c r="AB1578" t="s">
        <v>6352</v>
      </c>
      <c r="AC1578" t="s">
        <v>6353</v>
      </c>
      <c r="AD1578" t="s">
        <v>6354</v>
      </c>
      <c r="AE1578" t="s">
        <v>6355</v>
      </c>
      <c r="AF1578" t="s">
        <v>6356</v>
      </c>
      <c r="AG1578" t="s">
        <v>66</v>
      </c>
      <c r="AH1578" t="s">
        <v>66</v>
      </c>
      <c r="AI1578" t="s">
        <v>66</v>
      </c>
      <c r="AJ1578" t="s">
        <v>66</v>
      </c>
      <c r="AK1578">
        <v>1</v>
      </c>
      <c r="AL1578" t="s">
        <v>66</v>
      </c>
      <c r="AM1578" t="s">
        <v>66</v>
      </c>
      <c r="AN1578" t="s">
        <v>66</v>
      </c>
      <c r="AO1578" t="s">
        <v>66</v>
      </c>
      <c r="AP1578">
        <v>1</v>
      </c>
      <c r="AQ1578" t="s">
        <v>66</v>
      </c>
      <c r="AR1578" t="s">
        <v>66</v>
      </c>
      <c r="AS1578" t="s">
        <v>66</v>
      </c>
      <c r="AT1578" t="s">
        <v>66</v>
      </c>
    </row>
    <row r="1579" spans="1:46" x14ac:dyDescent="0.15">
      <c r="A1579" t="s">
        <v>6477</v>
      </c>
      <c r="B1579" t="s">
        <v>6346</v>
      </c>
      <c r="C1579" t="s">
        <v>6347</v>
      </c>
      <c r="D1579">
        <v>32</v>
      </c>
      <c r="E1579" t="s">
        <v>6348</v>
      </c>
      <c r="F1579" t="s">
        <v>50</v>
      </c>
      <c r="G1579" t="s">
        <v>51</v>
      </c>
      <c r="H1579" t="s">
        <v>6349</v>
      </c>
      <c r="I1579" t="s">
        <v>53</v>
      </c>
      <c r="J1579" t="s">
        <v>4518</v>
      </c>
      <c r="K1579" t="s">
        <v>55</v>
      </c>
      <c r="L1579" t="s">
        <v>17</v>
      </c>
      <c r="M1579" t="s">
        <v>16</v>
      </c>
      <c r="N1579">
        <v>2240</v>
      </c>
      <c r="O1579">
        <v>128</v>
      </c>
      <c r="P1579">
        <v>0</v>
      </c>
      <c r="Q1579" t="s">
        <v>264</v>
      </c>
      <c r="R1579" t="s">
        <v>6478</v>
      </c>
      <c r="S1579" t="s">
        <v>6479</v>
      </c>
      <c r="T1579" t="s">
        <v>6480</v>
      </c>
      <c r="U1579" t="s">
        <v>60</v>
      </c>
      <c r="V1579" t="s">
        <v>61</v>
      </c>
      <c r="W1579">
        <v>3</v>
      </c>
      <c r="X1579">
        <v>0.11812499999999999</v>
      </c>
      <c r="Y1579" t="s">
        <v>268</v>
      </c>
      <c r="Z1579" t="s">
        <v>269</v>
      </c>
      <c r="AA1579">
        <v>1</v>
      </c>
      <c r="AB1579" t="s">
        <v>6352</v>
      </c>
      <c r="AC1579" t="s">
        <v>6353</v>
      </c>
      <c r="AD1579" t="s">
        <v>6354</v>
      </c>
      <c r="AE1579" t="s">
        <v>6355</v>
      </c>
      <c r="AF1579" t="s">
        <v>6356</v>
      </c>
      <c r="AG1579" t="s">
        <v>66</v>
      </c>
      <c r="AH1579" t="s">
        <v>66</v>
      </c>
      <c r="AI1579" t="s">
        <v>66</v>
      </c>
      <c r="AJ1579" t="s">
        <v>66</v>
      </c>
      <c r="AK1579">
        <v>1</v>
      </c>
      <c r="AL1579" t="s">
        <v>66</v>
      </c>
      <c r="AM1579" t="s">
        <v>66</v>
      </c>
      <c r="AN1579" t="s">
        <v>66</v>
      </c>
      <c r="AO1579" t="s">
        <v>66</v>
      </c>
      <c r="AP1579">
        <v>1</v>
      </c>
      <c r="AQ1579" t="s">
        <v>66</v>
      </c>
      <c r="AR1579" t="s">
        <v>66</v>
      </c>
      <c r="AS1579" t="s">
        <v>66</v>
      </c>
      <c r="AT1579" t="s">
        <v>66</v>
      </c>
    </row>
    <row r="1580" spans="1:46" x14ac:dyDescent="0.15">
      <c r="A1580" t="s">
        <v>6481</v>
      </c>
      <c r="B1580" t="s">
        <v>6346</v>
      </c>
      <c r="C1580" t="s">
        <v>6347</v>
      </c>
      <c r="D1580">
        <v>33</v>
      </c>
      <c r="E1580" t="s">
        <v>6348</v>
      </c>
      <c r="F1580" t="s">
        <v>50</v>
      </c>
      <c r="G1580" t="s">
        <v>51</v>
      </c>
      <c r="H1580" t="s">
        <v>6349</v>
      </c>
      <c r="I1580" t="s">
        <v>53</v>
      </c>
      <c r="J1580" t="s">
        <v>4518</v>
      </c>
      <c r="K1580" t="s">
        <v>55</v>
      </c>
      <c r="L1580" t="s">
        <v>17</v>
      </c>
      <c r="M1580" t="s">
        <v>16</v>
      </c>
      <c r="N1580">
        <v>2296</v>
      </c>
      <c r="O1580">
        <v>131</v>
      </c>
      <c r="P1580">
        <v>0</v>
      </c>
      <c r="Q1580" t="s">
        <v>271</v>
      </c>
      <c r="R1580" t="s">
        <v>6482</v>
      </c>
      <c r="S1580" t="s">
        <v>6483</v>
      </c>
      <c r="T1580" t="s">
        <v>6484</v>
      </c>
      <c r="U1580" t="s">
        <v>60</v>
      </c>
      <c r="V1580" t="s">
        <v>61</v>
      </c>
      <c r="W1580">
        <v>3</v>
      </c>
      <c r="X1580">
        <v>0.11812499999999999</v>
      </c>
      <c r="Y1580" t="s">
        <v>170</v>
      </c>
      <c r="Z1580" t="s">
        <v>275</v>
      </c>
      <c r="AA1580">
        <v>1</v>
      </c>
      <c r="AB1580" t="s">
        <v>6352</v>
      </c>
      <c r="AC1580" t="s">
        <v>6353</v>
      </c>
      <c r="AD1580" t="s">
        <v>6354</v>
      </c>
      <c r="AE1580" t="s">
        <v>6355</v>
      </c>
      <c r="AF1580" t="s">
        <v>6356</v>
      </c>
      <c r="AG1580" t="s">
        <v>66</v>
      </c>
      <c r="AH1580" t="s">
        <v>66</v>
      </c>
      <c r="AI1580" t="s">
        <v>66</v>
      </c>
      <c r="AJ1580" t="s">
        <v>66</v>
      </c>
      <c r="AK1580">
        <v>1</v>
      </c>
      <c r="AL1580" t="s">
        <v>66</v>
      </c>
      <c r="AM1580" t="s">
        <v>66</v>
      </c>
      <c r="AN1580" t="s">
        <v>66</v>
      </c>
      <c r="AO1580" t="s">
        <v>66</v>
      </c>
      <c r="AP1580">
        <v>1</v>
      </c>
      <c r="AQ1580" t="s">
        <v>66</v>
      </c>
      <c r="AR1580" t="s">
        <v>66</v>
      </c>
      <c r="AS1580" t="s">
        <v>66</v>
      </c>
      <c r="AT1580" t="s">
        <v>66</v>
      </c>
    </row>
    <row r="1581" spans="1:46" x14ac:dyDescent="0.15">
      <c r="A1581" t="s">
        <v>6485</v>
      </c>
      <c r="B1581" t="s">
        <v>6346</v>
      </c>
      <c r="C1581" t="s">
        <v>6347</v>
      </c>
      <c r="D1581">
        <v>34</v>
      </c>
      <c r="E1581" t="s">
        <v>6348</v>
      </c>
      <c r="F1581" t="s">
        <v>50</v>
      </c>
      <c r="G1581" t="s">
        <v>51</v>
      </c>
      <c r="H1581" t="s">
        <v>6349</v>
      </c>
      <c r="I1581" t="s">
        <v>53</v>
      </c>
      <c r="J1581" t="s">
        <v>4518</v>
      </c>
      <c r="K1581" t="s">
        <v>55</v>
      </c>
      <c r="L1581" t="s">
        <v>17</v>
      </c>
      <c r="M1581" t="s">
        <v>16</v>
      </c>
      <c r="N1581">
        <v>2352</v>
      </c>
      <c r="O1581">
        <v>134</v>
      </c>
      <c r="P1581">
        <v>0</v>
      </c>
      <c r="Q1581" t="s">
        <v>277</v>
      </c>
      <c r="R1581" t="s">
        <v>6486</v>
      </c>
      <c r="S1581" t="s">
        <v>6487</v>
      </c>
      <c r="T1581" t="s">
        <v>6488</v>
      </c>
      <c r="U1581" t="s">
        <v>60</v>
      </c>
      <c r="V1581" t="s">
        <v>61</v>
      </c>
      <c r="W1581">
        <v>3</v>
      </c>
      <c r="X1581">
        <v>0.11812499999999999</v>
      </c>
      <c r="Y1581" t="s">
        <v>281</v>
      </c>
      <c r="Z1581" t="s">
        <v>282</v>
      </c>
      <c r="AA1581">
        <v>1</v>
      </c>
      <c r="AB1581" t="s">
        <v>6352</v>
      </c>
      <c r="AC1581" t="s">
        <v>6353</v>
      </c>
      <c r="AD1581" t="s">
        <v>6354</v>
      </c>
      <c r="AE1581" t="s">
        <v>6355</v>
      </c>
      <c r="AF1581" t="s">
        <v>6356</v>
      </c>
      <c r="AG1581" t="s">
        <v>66</v>
      </c>
      <c r="AH1581" t="s">
        <v>66</v>
      </c>
      <c r="AI1581" t="s">
        <v>66</v>
      </c>
      <c r="AJ1581" t="s">
        <v>66</v>
      </c>
      <c r="AK1581">
        <v>1</v>
      </c>
      <c r="AL1581" t="s">
        <v>66</v>
      </c>
      <c r="AM1581" t="s">
        <v>66</v>
      </c>
      <c r="AN1581" t="s">
        <v>66</v>
      </c>
      <c r="AO1581" t="s">
        <v>66</v>
      </c>
      <c r="AP1581">
        <v>1</v>
      </c>
      <c r="AQ1581" t="s">
        <v>66</v>
      </c>
      <c r="AR1581" t="s">
        <v>66</v>
      </c>
      <c r="AS1581" t="s">
        <v>66</v>
      </c>
      <c r="AT1581" t="s">
        <v>66</v>
      </c>
    </row>
    <row r="1582" spans="1:46" x14ac:dyDescent="0.15">
      <c r="A1582" t="s">
        <v>6489</v>
      </c>
      <c r="B1582" t="s">
        <v>6346</v>
      </c>
      <c r="C1582" t="s">
        <v>6347</v>
      </c>
      <c r="D1582">
        <v>35</v>
      </c>
      <c r="E1582" t="s">
        <v>6348</v>
      </c>
      <c r="F1582" t="s">
        <v>50</v>
      </c>
      <c r="G1582" t="s">
        <v>51</v>
      </c>
      <c r="H1582" t="s">
        <v>6349</v>
      </c>
      <c r="I1582" t="s">
        <v>53</v>
      </c>
      <c r="J1582" t="s">
        <v>4518</v>
      </c>
      <c r="K1582" t="s">
        <v>55</v>
      </c>
      <c r="L1582" t="s">
        <v>17</v>
      </c>
      <c r="M1582" t="s">
        <v>16</v>
      </c>
      <c r="N1582">
        <v>2408</v>
      </c>
      <c r="O1582">
        <v>138</v>
      </c>
      <c r="P1582">
        <v>0</v>
      </c>
      <c r="Q1582" t="s">
        <v>284</v>
      </c>
      <c r="R1582" t="s">
        <v>6490</v>
      </c>
      <c r="S1582" t="s">
        <v>6491</v>
      </c>
      <c r="T1582" t="s">
        <v>6492</v>
      </c>
      <c r="U1582" t="s">
        <v>60</v>
      </c>
      <c r="V1582" t="s">
        <v>61</v>
      </c>
      <c r="W1582">
        <v>3</v>
      </c>
      <c r="X1582">
        <v>0.11812499999999999</v>
      </c>
      <c r="Y1582" t="s">
        <v>177</v>
      </c>
      <c r="Z1582" t="s">
        <v>288</v>
      </c>
      <c r="AA1582">
        <v>1</v>
      </c>
      <c r="AB1582" t="s">
        <v>6352</v>
      </c>
      <c r="AC1582" t="s">
        <v>6353</v>
      </c>
      <c r="AD1582" t="s">
        <v>6354</v>
      </c>
      <c r="AE1582" t="s">
        <v>6355</v>
      </c>
      <c r="AF1582" t="s">
        <v>6356</v>
      </c>
      <c r="AG1582" t="s">
        <v>66</v>
      </c>
      <c r="AH1582" t="s">
        <v>66</v>
      </c>
      <c r="AI1582" t="s">
        <v>66</v>
      </c>
      <c r="AJ1582" t="s">
        <v>66</v>
      </c>
      <c r="AK1582">
        <v>1</v>
      </c>
      <c r="AL1582" t="s">
        <v>66</v>
      </c>
      <c r="AM1582" t="s">
        <v>66</v>
      </c>
      <c r="AN1582" t="s">
        <v>66</v>
      </c>
      <c r="AO1582" t="s">
        <v>66</v>
      </c>
      <c r="AP1582">
        <v>1</v>
      </c>
      <c r="AQ1582" t="s">
        <v>66</v>
      </c>
      <c r="AR1582" t="s">
        <v>66</v>
      </c>
      <c r="AS1582" t="s">
        <v>66</v>
      </c>
      <c r="AT1582" t="s">
        <v>66</v>
      </c>
    </row>
    <row r="1583" spans="1:46" x14ac:dyDescent="0.15">
      <c r="A1583" t="s">
        <v>6493</v>
      </c>
      <c r="B1583" t="s">
        <v>6346</v>
      </c>
      <c r="C1583" t="s">
        <v>6347</v>
      </c>
      <c r="D1583">
        <v>36</v>
      </c>
      <c r="E1583" t="s">
        <v>6348</v>
      </c>
      <c r="F1583" t="s">
        <v>50</v>
      </c>
      <c r="G1583" t="s">
        <v>51</v>
      </c>
      <c r="H1583" t="s">
        <v>6349</v>
      </c>
      <c r="I1583" t="s">
        <v>53</v>
      </c>
      <c r="J1583" t="s">
        <v>4518</v>
      </c>
      <c r="K1583" t="s">
        <v>55</v>
      </c>
      <c r="L1583" t="s">
        <v>17</v>
      </c>
      <c r="M1583" t="s">
        <v>16</v>
      </c>
      <c r="N1583">
        <v>2464</v>
      </c>
      <c r="O1583">
        <v>141</v>
      </c>
      <c r="P1583">
        <v>0</v>
      </c>
      <c r="Q1583" t="s">
        <v>290</v>
      </c>
      <c r="R1583" t="s">
        <v>6494</v>
      </c>
      <c r="S1583" t="s">
        <v>6495</v>
      </c>
      <c r="T1583" t="s">
        <v>6496</v>
      </c>
      <c r="U1583" t="s">
        <v>60</v>
      </c>
      <c r="V1583" t="s">
        <v>61</v>
      </c>
      <c r="W1583">
        <v>3</v>
      </c>
      <c r="X1583">
        <v>0.11812499999999999</v>
      </c>
      <c r="Y1583" t="s">
        <v>294</v>
      </c>
      <c r="Z1583" t="s">
        <v>295</v>
      </c>
      <c r="AA1583">
        <v>1</v>
      </c>
      <c r="AB1583" t="s">
        <v>6352</v>
      </c>
      <c r="AC1583" t="s">
        <v>6353</v>
      </c>
      <c r="AD1583" t="s">
        <v>6354</v>
      </c>
      <c r="AE1583" t="s">
        <v>6355</v>
      </c>
      <c r="AF1583" t="s">
        <v>6356</v>
      </c>
      <c r="AG1583" t="s">
        <v>66</v>
      </c>
      <c r="AH1583" t="s">
        <v>66</v>
      </c>
      <c r="AI1583" t="s">
        <v>66</v>
      </c>
      <c r="AJ1583" t="s">
        <v>66</v>
      </c>
      <c r="AK1583">
        <v>1</v>
      </c>
      <c r="AL1583" t="s">
        <v>66</v>
      </c>
      <c r="AM1583" t="s">
        <v>66</v>
      </c>
      <c r="AN1583" t="s">
        <v>66</v>
      </c>
      <c r="AO1583" t="s">
        <v>66</v>
      </c>
      <c r="AP1583">
        <v>1</v>
      </c>
      <c r="AQ1583" t="s">
        <v>66</v>
      </c>
      <c r="AR1583" t="s">
        <v>66</v>
      </c>
      <c r="AS1583" t="s">
        <v>66</v>
      </c>
      <c r="AT1583" t="s">
        <v>66</v>
      </c>
    </row>
    <row r="1584" spans="1:46" x14ac:dyDescent="0.15">
      <c r="A1584" t="s">
        <v>6497</v>
      </c>
      <c r="B1584" t="s">
        <v>6346</v>
      </c>
      <c r="C1584" t="s">
        <v>6347</v>
      </c>
      <c r="D1584">
        <v>37</v>
      </c>
      <c r="E1584" t="s">
        <v>6348</v>
      </c>
      <c r="F1584" t="s">
        <v>50</v>
      </c>
      <c r="G1584" t="s">
        <v>51</v>
      </c>
      <c r="H1584" t="s">
        <v>6349</v>
      </c>
      <c r="I1584" t="s">
        <v>53</v>
      </c>
      <c r="J1584" t="s">
        <v>4518</v>
      </c>
      <c r="K1584" t="s">
        <v>55</v>
      </c>
      <c r="L1584" t="s">
        <v>17</v>
      </c>
      <c r="M1584" t="s">
        <v>16</v>
      </c>
      <c r="N1584">
        <v>2520</v>
      </c>
      <c r="O1584">
        <v>144</v>
      </c>
      <c r="P1584">
        <v>0</v>
      </c>
      <c r="Q1584" t="s">
        <v>297</v>
      </c>
      <c r="R1584" t="s">
        <v>6498</v>
      </c>
      <c r="S1584" t="s">
        <v>6499</v>
      </c>
      <c r="T1584" t="s">
        <v>6500</v>
      </c>
      <c r="U1584" t="s">
        <v>60</v>
      </c>
      <c r="V1584" t="s">
        <v>61</v>
      </c>
      <c r="W1584">
        <v>3</v>
      </c>
      <c r="X1584">
        <v>0.11812499999999999</v>
      </c>
      <c r="Y1584" t="s">
        <v>183</v>
      </c>
      <c r="Z1584" t="s">
        <v>301</v>
      </c>
      <c r="AA1584">
        <v>1</v>
      </c>
      <c r="AB1584" t="s">
        <v>6352</v>
      </c>
      <c r="AC1584" t="s">
        <v>6353</v>
      </c>
      <c r="AD1584" t="s">
        <v>6354</v>
      </c>
      <c r="AE1584" t="s">
        <v>6355</v>
      </c>
      <c r="AF1584" t="s">
        <v>6356</v>
      </c>
      <c r="AG1584" t="s">
        <v>66</v>
      </c>
      <c r="AH1584" t="s">
        <v>66</v>
      </c>
      <c r="AI1584" t="s">
        <v>66</v>
      </c>
      <c r="AJ1584" t="s">
        <v>66</v>
      </c>
      <c r="AK1584">
        <v>1</v>
      </c>
      <c r="AL1584" t="s">
        <v>66</v>
      </c>
      <c r="AM1584" t="s">
        <v>66</v>
      </c>
      <c r="AN1584" t="s">
        <v>66</v>
      </c>
      <c r="AO1584" t="s">
        <v>66</v>
      </c>
      <c r="AP1584">
        <v>1</v>
      </c>
      <c r="AQ1584" t="s">
        <v>66</v>
      </c>
      <c r="AR1584" t="s">
        <v>66</v>
      </c>
      <c r="AS1584" t="s">
        <v>66</v>
      </c>
      <c r="AT1584" t="s">
        <v>66</v>
      </c>
    </row>
    <row r="1585" spans="1:46" x14ac:dyDescent="0.15">
      <c r="A1585" t="s">
        <v>6501</v>
      </c>
      <c r="B1585" t="s">
        <v>6346</v>
      </c>
      <c r="C1585" t="s">
        <v>6347</v>
      </c>
      <c r="D1585">
        <v>38</v>
      </c>
      <c r="E1585" t="s">
        <v>6348</v>
      </c>
      <c r="F1585" t="s">
        <v>50</v>
      </c>
      <c r="G1585" t="s">
        <v>51</v>
      </c>
      <c r="H1585" t="s">
        <v>6349</v>
      </c>
      <c r="I1585" t="s">
        <v>53</v>
      </c>
      <c r="J1585" t="s">
        <v>4518</v>
      </c>
      <c r="K1585" t="s">
        <v>55</v>
      </c>
      <c r="L1585" t="s">
        <v>17</v>
      </c>
      <c r="M1585" t="s">
        <v>16</v>
      </c>
      <c r="N1585">
        <v>2577</v>
      </c>
      <c r="O1585">
        <v>147</v>
      </c>
      <c r="P1585">
        <v>0</v>
      </c>
      <c r="Q1585" t="s">
        <v>303</v>
      </c>
      <c r="R1585" t="s">
        <v>6502</v>
      </c>
      <c r="S1585" t="s">
        <v>6503</v>
      </c>
      <c r="T1585" t="s">
        <v>6504</v>
      </c>
      <c r="U1585" t="s">
        <v>60</v>
      </c>
      <c r="V1585" t="s">
        <v>61</v>
      </c>
      <c r="W1585">
        <v>3</v>
      </c>
      <c r="X1585">
        <v>0.11812499999999999</v>
      </c>
      <c r="Y1585" t="s">
        <v>307</v>
      </c>
      <c r="Z1585" t="s">
        <v>308</v>
      </c>
      <c r="AA1585">
        <v>1</v>
      </c>
      <c r="AB1585" t="s">
        <v>6352</v>
      </c>
      <c r="AC1585" t="s">
        <v>6353</v>
      </c>
      <c r="AD1585" t="s">
        <v>6354</v>
      </c>
      <c r="AE1585" t="s">
        <v>6355</v>
      </c>
      <c r="AF1585" t="s">
        <v>6356</v>
      </c>
      <c r="AG1585" t="s">
        <v>66</v>
      </c>
      <c r="AH1585" t="s">
        <v>66</v>
      </c>
      <c r="AI1585" t="s">
        <v>66</v>
      </c>
      <c r="AJ1585" t="s">
        <v>66</v>
      </c>
      <c r="AK1585">
        <v>1</v>
      </c>
      <c r="AL1585" t="s">
        <v>66</v>
      </c>
      <c r="AM1585" t="s">
        <v>66</v>
      </c>
      <c r="AN1585" t="s">
        <v>66</v>
      </c>
      <c r="AO1585" t="s">
        <v>66</v>
      </c>
      <c r="AP1585">
        <v>1</v>
      </c>
      <c r="AQ1585" t="s">
        <v>66</v>
      </c>
      <c r="AR1585" t="s">
        <v>66</v>
      </c>
      <c r="AS1585" t="s">
        <v>66</v>
      </c>
      <c r="AT1585" t="s">
        <v>66</v>
      </c>
    </row>
    <row r="1586" spans="1:46" x14ac:dyDescent="0.15">
      <c r="A1586" t="s">
        <v>6505</v>
      </c>
      <c r="B1586" t="s">
        <v>6346</v>
      </c>
      <c r="C1586" t="s">
        <v>6347</v>
      </c>
      <c r="D1586">
        <v>39</v>
      </c>
      <c r="E1586" t="s">
        <v>6348</v>
      </c>
      <c r="F1586" t="s">
        <v>50</v>
      </c>
      <c r="G1586" t="s">
        <v>51</v>
      </c>
      <c r="H1586" t="s">
        <v>6349</v>
      </c>
      <c r="I1586" t="s">
        <v>53</v>
      </c>
      <c r="J1586" t="s">
        <v>4518</v>
      </c>
      <c r="K1586" t="s">
        <v>55</v>
      </c>
      <c r="L1586" t="s">
        <v>17</v>
      </c>
      <c r="M1586" t="s">
        <v>16</v>
      </c>
      <c r="N1586">
        <v>2633</v>
      </c>
      <c r="O1586">
        <v>150</v>
      </c>
      <c r="P1586">
        <v>0</v>
      </c>
      <c r="Q1586" t="s">
        <v>310</v>
      </c>
      <c r="R1586" t="s">
        <v>6506</v>
      </c>
      <c r="S1586" t="s">
        <v>6507</v>
      </c>
      <c r="T1586" t="s">
        <v>6508</v>
      </c>
      <c r="U1586" t="s">
        <v>60</v>
      </c>
      <c r="V1586" t="s">
        <v>61</v>
      </c>
      <c r="W1586">
        <v>3</v>
      </c>
      <c r="X1586">
        <v>0.11812499999999999</v>
      </c>
      <c r="Y1586" t="s">
        <v>190</v>
      </c>
      <c r="Z1586" t="s">
        <v>314</v>
      </c>
      <c r="AA1586">
        <v>1</v>
      </c>
      <c r="AB1586" t="s">
        <v>6352</v>
      </c>
      <c r="AC1586" t="s">
        <v>6353</v>
      </c>
      <c r="AD1586" t="s">
        <v>6354</v>
      </c>
      <c r="AE1586" t="s">
        <v>6355</v>
      </c>
      <c r="AF1586" t="s">
        <v>6356</v>
      </c>
      <c r="AG1586" t="s">
        <v>66</v>
      </c>
      <c r="AH1586" t="s">
        <v>66</v>
      </c>
      <c r="AI1586" t="s">
        <v>66</v>
      </c>
      <c r="AJ1586" t="s">
        <v>66</v>
      </c>
      <c r="AK1586">
        <v>1</v>
      </c>
      <c r="AL1586" t="s">
        <v>66</v>
      </c>
      <c r="AM1586" t="s">
        <v>66</v>
      </c>
      <c r="AN1586" t="s">
        <v>66</v>
      </c>
      <c r="AO1586" t="s">
        <v>66</v>
      </c>
      <c r="AP1586">
        <v>1</v>
      </c>
      <c r="AQ1586" t="s">
        <v>66</v>
      </c>
      <c r="AR1586" t="s">
        <v>66</v>
      </c>
      <c r="AS1586" t="s">
        <v>66</v>
      </c>
      <c r="AT1586" t="s">
        <v>66</v>
      </c>
    </row>
    <row r="1587" spans="1:46" x14ac:dyDescent="0.15">
      <c r="A1587" t="s">
        <v>6509</v>
      </c>
      <c r="B1587" t="s">
        <v>6346</v>
      </c>
      <c r="C1587" t="s">
        <v>6347</v>
      </c>
      <c r="D1587">
        <v>40</v>
      </c>
      <c r="E1587" t="s">
        <v>6348</v>
      </c>
      <c r="F1587" t="s">
        <v>50</v>
      </c>
      <c r="G1587" t="s">
        <v>51</v>
      </c>
      <c r="H1587" t="s">
        <v>6349</v>
      </c>
      <c r="I1587" t="s">
        <v>53</v>
      </c>
      <c r="J1587" t="s">
        <v>4518</v>
      </c>
      <c r="K1587" t="s">
        <v>55</v>
      </c>
      <c r="L1587" t="s">
        <v>17</v>
      </c>
      <c r="M1587" t="s">
        <v>16</v>
      </c>
      <c r="N1587">
        <v>2689</v>
      </c>
      <c r="O1587">
        <v>153</v>
      </c>
      <c r="P1587">
        <v>0</v>
      </c>
      <c r="Q1587" t="s">
        <v>316</v>
      </c>
      <c r="R1587" t="s">
        <v>6510</v>
      </c>
      <c r="S1587" t="s">
        <v>6511</v>
      </c>
      <c r="T1587" t="s">
        <v>6512</v>
      </c>
      <c r="U1587" t="s">
        <v>60</v>
      </c>
      <c r="V1587" t="s">
        <v>61</v>
      </c>
      <c r="W1587">
        <v>3</v>
      </c>
      <c r="X1587">
        <v>0.11812499999999999</v>
      </c>
      <c r="Y1587" t="s">
        <v>320</v>
      </c>
      <c r="Z1587" t="s">
        <v>321</v>
      </c>
      <c r="AA1587">
        <v>1</v>
      </c>
      <c r="AB1587" t="s">
        <v>6352</v>
      </c>
      <c r="AC1587" t="s">
        <v>6353</v>
      </c>
      <c r="AD1587" t="s">
        <v>6354</v>
      </c>
      <c r="AE1587" t="s">
        <v>6355</v>
      </c>
      <c r="AF1587" t="s">
        <v>6356</v>
      </c>
      <c r="AG1587" t="s">
        <v>66</v>
      </c>
      <c r="AH1587" t="s">
        <v>66</v>
      </c>
      <c r="AI1587" t="s">
        <v>66</v>
      </c>
      <c r="AJ1587" t="s">
        <v>66</v>
      </c>
      <c r="AK1587">
        <v>1</v>
      </c>
      <c r="AL1587" t="s">
        <v>66</v>
      </c>
      <c r="AM1587" t="s">
        <v>66</v>
      </c>
      <c r="AN1587" t="s">
        <v>66</v>
      </c>
      <c r="AO1587" t="s">
        <v>66</v>
      </c>
      <c r="AP1587">
        <v>1</v>
      </c>
      <c r="AQ1587" t="s">
        <v>66</v>
      </c>
      <c r="AR1587" t="s">
        <v>66</v>
      </c>
      <c r="AS1587" t="s">
        <v>66</v>
      </c>
      <c r="AT1587" t="s">
        <v>66</v>
      </c>
    </row>
    <row r="1588" spans="1:46" x14ac:dyDescent="0.15">
      <c r="A1588" t="s">
        <v>6509</v>
      </c>
      <c r="B1588" t="s">
        <v>6346</v>
      </c>
      <c r="C1588" t="s">
        <v>6347</v>
      </c>
      <c r="D1588">
        <v>40</v>
      </c>
      <c r="E1588" t="s">
        <v>6348</v>
      </c>
      <c r="F1588" t="s">
        <v>50</v>
      </c>
      <c r="G1588" t="s">
        <v>51</v>
      </c>
      <c r="H1588" t="s">
        <v>6349</v>
      </c>
      <c r="I1588" t="s">
        <v>53</v>
      </c>
      <c r="J1588" t="s">
        <v>4518</v>
      </c>
      <c r="K1588" t="s">
        <v>55</v>
      </c>
      <c r="L1588" t="s">
        <v>17</v>
      </c>
      <c r="M1588" t="s">
        <v>16</v>
      </c>
      <c r="N1588">
        <v>2689</v>
      </c>
      <c r="O1588">
        <v>153</v>
      </c>
      <c r="P1588">
        <v>0</v>
      </c>
      <c r="Q1588" t="s">
        <v>316</v>
      </c>
      <c r="R1588" t="s">
        <v>6510</v>
      </c>
      <c r="S1588" t="s">
        <v>6511</v>
      </c>
      <c r="T1588" t="s">
        <v>6512</v>
      </c>
      <c r="U1588" t="s">
        <v>60</v>
      </c>
      <c r="V1588" t="s">
        <v>61</v>
      </c>
      <c r="W1588">
        <v>3</v>
      </c>
      <c r="X1588">
        <v>0.11812499999999999</v>
      </c>
      <c r="Y1588" t="s">
        <v>320</v>
      </c>
      <c r="Z1588" t="s">
        <v>321</v>
      </c>
      <c r="AA1588">
        <v>2</v>
      </c>
      <c r="AB1588" t="s">
        <v>6352</v>
      </c>
      <c r="AC1588" t="s">
        <v>6353</v>
      </c>
      <c r="AD1588" t="s">
        <v>6354</v>
      </c>
      <c r="AE1588" t="s">
        <v>6355</v>
      </c>
      <c r="AF1588" t="s">
        <v>6356</v>
      </c>
      <c r="AG1588" t="s">
        <v>66</v>
      </c>
      <c r="AH1588" t="s">
        <v>66</v>
      </c>
      <c r="AI1588" t="s">
        <v>66</v>
      </c>
      <c r="AJ1588" t="s">
        <v>66</v>
      </c>
      <c r="AK1588">
        <v>1</v>
      </c>
      <c r="AL1588" t="s">
        <v>6513</v>
      </c>
      <c r="AM1588" t="s">
        <v>6514</v>
      </c>
      <c r="AN1588" t="s">
        <v>6515</v>
      </c>
      <c r="AO1588" t="s">
        <v>66</v>
      </c>
      <c r="AP1588">
        <v>1</v>
      </c>
      <c r="AQ1588" t="s">
        <v>6516</v>
      </c>
      <c r="AR1588" t="s">
        <v>6517</v>
      </c>
      <c r="AS1588" t="s">
        <v>66</v>
      </c>
      <c r="AT1588" t="s">
        <v>66</v>
      </c>
    </row>
    <row r="1589" spans="1:46" x14ac:dyDescent="0.15">
      <c r="A1589" t="s">
        <v>6518</v>
      </c>
      <c r="B1589" t="s">
        <v>6346</v>
      </c>
      <c r="C1589" t="s">
        <v>6347</v>
      </c>
      <c r="D1589">
        <v>41</v>
      </c>
      <c r="E1589" t="s">
        <v>6348</v>
      </c>
      <c r="F1589" t="s">
        <v>50</v>
      </c>
      <c r="G1589" t="s">
        <v>51</v>
      </c>
      <c r="H1589" t="s">
        <v>6349</v>
      </c>
      <c r="I1589" t="s">
        <v>53</v>
      </c>
      <c r="J1589" t="s">
        <v>4518</v>
      </c>
      <c r="K1589" t="s">
        <v>55</v>
      </c>
      <c r="L1589" t="s">
        <v>17</v>
      </c>
      <c r="M1589" t="s">
        <v>16</v>
      </c>
      <c r="N1589">
        <v>2745</v>
      </c>
      <c r="O1589">
        <v>157</v>
      </c>
      <c r="P1589">
        <v>0</v>
      </c>
      <c r="Q1589" t="s">
        <v>326</v>
      </c>
      <c r="R1589" t="s">
        <v>6519</v>
      </c>
      <c r="S1589" t="s">
        <v>6520</v>
      </c>
      <c r="T1589" t="s">
        <v>6521</v>
      </c>
      <c r="U1589" t="s">
        <v>60</v>
      </c>
      <c r="V1589" t="s">
        <v>61</v>
      </c>
      <c r="W1589">
        <v>3</v>
      </c>
      <c r="X1589">
        <v>0.11812499999999999</v>
      </c>
      <c r="Y1589" t="s">
        <v>197</v>
      </c>
      <c r="Z1589" t="s">
        <v>330</v>
      </c>
      <c r="AA1589">
        <v>2</v>
      </c>
      <c r="AB1589" t="s">
        <v>6352</v>
      </c>
      <c r="AC1589" t="s">
        <v>6353</v>
      </c>
      <c r="AD1589" t="s">
        <v>6354</v>
      </c>
      <c r="AE1589" t="s">
        <v>6355</v>
      </c>
      <c r="AF1589" t="s">
        <v>6356</v>
      </c>
      <c r="AG1589" t="s">
        <v>66</v>
      </c>
      <c r="AH1589" t="s">
        <v>66</v>
      </c>
      <c r="AI1589" t="s">
        <v>66</v>
      </c>
      <c r="AJ1589" t="s">
        <v>66</v>
      </c>
      <c r="AK1589">
        <v>1</v>
      </c>
      <c r="AL1589" t="s">
        <v>6513</v>
      </c>
      <c r="AM1589" t="s">
        <v>6514</v>
      </c>
      <c r="AN1589" t="s">
        <v>6515</v>
      </c>
      <c r="AO1589" t="s">
        <v>66</v>
      </c>
      <c r="AP1589">
        <v>1</v>
      </c>
      <c r="AQ1589" t="s">
        <v>6516</v>
      </c>
      <c r="AR1589" t="s">
        <v>6517</v>
      </c>
      <c r="AS1589" t="s">
        <v>66</v>
      </c>
      <c r="AT1589" t="s">
        <v>66</v>
      </c>
    </row>
    <row r="1590" spans="1:46" x14ac:dyDescent="0.15">
      <c r="A1590" t="s">
        <v>6522</v>
      </c>
      <c r="B1590" t="s">
        <v>6346</v>
      </c>
      <c r="C1590" t="s">
        <v>6347</v>
      </c>
      <c r="D1590">
        <v>42</v>
      </c>
      <c r="E1590" t="s">
        <v>6348</v>
      </c>
      <c r="F1590" t="s">
        <v>50</v>
      </c>
      <c r="G1590" t="s">
        <v>51</v>
      </c>
      <c r="H1590" t="s">
        <v>6349</v>
      </c>
      <c r="I1590" t="s">
        <v>53</v>
      </c>
      <c r="J1590" t="s">
        <v>4518</v>
      </c>
      <c r="K1590" t="s">
        <v>55</v>
      </c>
      <c r="L1590" t="s">
        <v>17</v>
      </c>
      <c r="M1590" t="s">
        <v>16</v>
      </c>
      <c r="N1590">
        <v>2801</v>
      </c>
      <c r="O1590">
        <v>160</v>
      </c>
      <c r="P1590">
        <v>0</v>
      </c>
      <c r="Q1590" t="s">
        <v>332</v>
      </c>
      <c r="R1590" t="s">
        <v>6523</v>
      </c>
      <c r="S1590" t="s">
        <v>6524</v>
      </c>
      <c r="T1590" t="s">
        <v>6525</v>
      </c>
      <c r="U1590" t="s">
        <v>60</v>
      </c>
      <c r="V1590" t="s">
        <v>61</v>
      </c>
      <c r="W1590">
        <v>3</v>
      </c>
      <c r="X1590">
        <v>0.11812499999999999</v>
      </c>
      <c r="Y1590" t="s">
        <v>336</v>
      </c>
      <c r="Z1590" t="s">
        <v>337</v>
      </c>
      <c r="AA1590">
        <v>2</v>
      </c>
      <c r="AB1590" t="s">
        <v>6352</v>
      </c>
      <c r="AC1590" t="s">
        <v>6353</v>
      </c>
      <c r="AD1590" t="s">
        <v>6354</v>
      </c>
      <c r="AE1590" t="s">
        <v>6355</v>
      </c>
      <c r="AF1590" t="s">
        <v>6356</v>
      </c>
      <c r="AG1590" t="s">
        <v>66</v>
      </c>
      <c r="AH1590" t="s">
        <v>66</v>
      </c>
      <c r="AI1590" t="s">
        <v>66</v>
      </c>
      <c r="AJ1590" t="s">
        <v>66</v>
      </c>
      <c r="AK1590">
        <v>1</v>
      </c>
      <c r="AL1590" t="s">
        <v>6513</v>
      </c>
      <c r="AM1590" t="s">
        <v>6514</v>
      </c>
      <c r="AN1590" t="s">
        <v>6515</v>
      </c>
      <c r="AO1590" t="s">
        <v>66</v>
      </c>
      <c r="AP1590">
        <v>1</v>
      </c>
      <c r="AQ1590" t="s">
        <v>6516</v>
      </c>
      <c r="AR1590" t="s">
        <v>6517</v>
      </c>
      <c r="AS1590" t="s">
        <v>66</v>
      </c>
      <c r="AT1590" t="s">
        <v>66</v>
      </c>
    </row>
    <row r="1591" spans="1:46" x14ac:dyDescent="0.15">
      <c r="A1591" t="s">
        <v>6526</v>
      </c>
      <c r="B1591" t="s">
        <v>6346</v>
      </c>
      <c r="C1591" t="s">
        <v>6347</v>
      </c>
      <c r="D1591">
        <v>43</v>
      </c>
      <c r="E1591" t="s">
        <v>6348</v>
      </c>
      <c r="F1591" t="s">
        <v>50</v>
      </c>
      <c r="G1591" t="s">
        <v>51</v>
      </c>
      <c r="H1591" t="s">
        <v>6349</v>
      </c>
      <c r="I1591" t="s">
        <v>53</v>
      </c>
      <c r="J1591" t="s">
        <v>4518</v>
      </c>
      <c r="K1591" t="s">
        <v>55</v>
      </c>
      <c r="L1591" t="s">
        <v>17</v>
      </c>
      <c r="M1591" t="s">
        <v>16</v>
      </c>
      <c r="N1591">
        <v>2857</v>
      </c>
      <c r="O1591">
        <v>163</v>
      </c>
      <c r="P1591">
        <v>0</v>
      </c>
      <c r="Q1591" t="s">
        <v>339</v>
      </c>
      <c r="R1591" t="s">
        <v>6527</v>
      </c>
      <c r="S1591" t="s">
        <v>6528</v>
      </c>
      <c r="T1591" t="s">
        <v>6529</v>
      </c>
      <c r="U1591" t="s">
        <v>60</v>
      </c>
      <c r="V1591" t="s">
        <v>61</v>
      </c>
      <c r="W1591">
        <v>3</v>
      </c>
      <c r="X1591">
        <v>0.11812499999999999</v>
      </c>
      <c r="Y1591" t="s">
        <v>204</v>
      </c>
      <c r="Z1591" t="s">
        <v>343</v>
      </c>
      <c r="AA1591">
        <v>2</v>
      </c>
      <c r="AB1591" t="s">
        <v>6352</v>
      </c>
      <c r="AC1591" t="s">
        <v>6353</v>
      </c>
      <c r="AD1591" t="s">
        <v>6354</v>
      </c>
      <c r="AE1591" t="s">
        <v>6355</v>
      </c>
      <c r="AF1591" t="s">
        <v>6356</v>
      </c>
      <c r="AG1591" t="s">
        <v>66</v>
      </c>
      <c r="AH1591" t="s">
        <v>66</v>
      </c>
      <c r="AI1591" t="s">
        <v>66</v>
      </c>
      <c r="AJ1591" t="s">
        <v>66</v>
      </c>
      <c r="AK1591">
        <v>1</v>
      </c>
      <c r="AL1591" t="s">
        <v>6513</v>
      </c>
      <c r="AM1591" t="s">
        <v>6514</v>
      </c>
      <c r="AN1591" t="s">
        <v>6515</v>
      </c>
      <c r="AO1591" t="s">
        <v>66</v>
      </c>
      <c r="AP1591">
        <v>1</v>
      </c>
      <c r="AQ1591" t="s">
        <v>6516</v>
      </c>
      <c r="AR1591" t="s">
        <v>6517</v>
      </c>
      <c r="AS1591" t="s">
        <v>66</v>
      </c>
      <c r="AT1591" t="s">
        <v>66</v>
      </c>
    </row>
    <row r="1592" spans="1:46" x14ac:dyDescent="0.15">
      <c r="A1592" t="s">
        <v>6530</v>
      </c>
      <c r="B1592" t="s">
        <v>6346</v>
      </c>
      <c r="C1592" t="s">
        <v>6347</v>
      </c>
      <c r="D1592">
        <v>44</v>
      </c>
      <c r="E1592" t="s">
        <v>6348</v>
      </c>
      <c r="F1592" t="s">
        <v>50</v>
      </c>
      <c r="G1592" t="s">
        <v>51</v>
      </c>
      <c r="H1592" t="s">
        <v>6349</v>
      </c>
      <c r="I1592" t="s">
        <v>53</v>
      </c>
      <c r="J1592" t="s">
        <v>4518</v>
      </c>
      <c r="K1592" t="s">
        <v>55</v>
      </c>
      <c r="L1592" t="s">
        <v>17</v>
      </c>
      <c r="M1592" t="s">
        <v>16</v>
      </c>
      <c r="N1592">
        <v>2913</v>
      </c>
      <c r="O1592">
        <v>166</v>
      </c>
      <c r="P1592">
        <v>0</v>
      </c>
      <c r="Q1592" t="s">
        <v>345</v>
      </c>
      <c r="R1592" t="s">
        <v>6531</v>
      </c>
      <c r="S1592" t="s">
        <v>6532</v>
      </c>
      <c r="T1592" t="s">
        <v>6533</v>
      </c>
      <c r="U1592" t="s">
        <v>60</v>
      </c>
      <c r="V1592" t="s">
        <v>61</v>
      </c>
      <c r="W1592">
        <v>3</v>
      </c>
      <c r="X1592">
        <v>0.11812499999999999</v>
      </c>
      <c r="Y1592" t="s">
        <v>349</v>
      </c>
      <c r="Z1592" t="s">
        <v>350</v>
      </c>
      <c r="AA1592">
        <v>2</v>
      </c>
      <c r="AB1592" t="s">
        <v>6352</v>
      </c>
      <c r="AC1592" t="s">
        <v>6353</v>
      </c>
      <c r="AD1592" t="s">
        <v>6354</v>
      </c>
      <c r="AE1592" t="s">
        <v>6355</v>
      </c>
      <c r="AF1592" t="s">
        <v>6356</v>
      </c>
      <c r="AG1592" t="s">
        <v>66</v>
      </c>
      <c r="AH1592" t="s">
        <v>66</v>
      </c>
      <c r="AI1592" t="s">
        <v>66</v>
      </c>
      <c r="AJ1592" t="s">
        <v>66</v>
      </c>
      <c r="AK1592">
        <v>1</v>
      </c>
      <c r="AL1592" t="s">
        <v>6513</v>
      </c>
      <c r="AM1592" t="s">
        <v>6514</v>
      </c>
      <c r="AN1592" t="s">
        <v>6515</v>
      </c>
      <c r="AO1592" t="s">
        <v>66</v>
      </c>
      <c r="AP1592">
        <v>1</v>
      </c>
      <c r="AQ1592" t="s">
        <v>6516</v>
      </c>
      <c r="AR1592" t="s">
        <v>6517</v>
      </c>
      <c r="AS1592" t="s">
        <v>66</v>
      </c>
      <c r="AT1592" t="s">
        <v>66</v>
      </c>
    </row>
    <row r="1593" spans="1:46" x14ac:dyDescent="0.15">
      <c r="A1593" t="s">
        <v>6534</v>
      </c>
      <c r="B1593" t="s">
        <v>6346</v>
      </c>
      <c r="C1593" t="s">
        <v>6347</v>
      </c>
      <c r="D1593">
        <v>45</v>
      </c>
      <c r="E1593" t="s">
        <v>6348</v>
      </c>
      <c r="F1593" t="s">
        <v>50</v>
      </c>
      <c r="G1593" t="s">
        <v>51</v>
      </c>
      <c r="H1593" t="s">
        <v>6349</v>
      </c>
      <c r="I1593" t="s">
        <v>53</v>
      </c>
      <c r="J1593" t="s">
        <v>4518</v>
      </c>
      <c r="K1593" t="s">
        <v>55</v>
      </c>
      <c r="L1593" t="s">
        <v>17</v>
      </c>
      <c r="M1593" t="s">
        <v>16</v>
      </c>
      <c r="N1593">
        <v>2969</v>
      </c>
      <c r="O1593">
        <v>169</v>
      </c>
      <c r="P1593">
        <v>0</v>
      </c>
      <c r="Q1593" t="s">
        <v>352</v>
      </c>
      <c r="R1593" t="s">
        <v>6535</v>
      </c>
      <c r="S1593" t="s">
        <v>6536</v>
      </c>
      <c r="T1593" t="s">
        <v>6537</v>
      </c>
      <c r="U1593" t="s">
        <v>60</v>
      </c>
      <c r="V1593" t="s">
        <v>61</v>
      </c>
      <c r="W1593">
        <v>3</v>
      </c>
      <c r="X1593">
        <v>0.11812499999999999</v>
      </c>
      <c r="Y1593" t="s">
        <v>210</v>
      </c>
      <c r="Z1593" t="s">
        <v>356</v>
      </c>
      <c r="AA1593">
        <v>2</v>
      </c>
      <c r="AB1593" t="s">
        <v>6352</v>
      </c>
      <c r="AC1593" t="s">
        <v>6353</v>
      </c>
      <c r="AD1593" t="s">
        <v>6354</v>
      </c>
      <c r="AE1593" t="s">
        <v>6355</v>
      </c>
      <c r="AF1593" t="s">
        <v>6356</v>
      </c>
      <c r="AG1593" t="s">
        <v>66</v>
      </c>
      <c r="AH1593" t="s">
        <v>66</v>
      </c>
      <c r="AI1593" t="s">
        <v>66</v>
      </c>
      <c r="AJ1593" t="s">
        <v>66</v>
      </c>
      <c r="AK1593">
        <v>1</v>
      </c>
      <c r="AL1593" t="s">
        <v>6513</v>
      </c>
      <c r="AM1593" t="s">
        <v>6514</v>
      </c>
      <c r="AN1593" t="s">
        <v>6515</v>
      </c>
      <c r="AO1593" t="s">
        <v>66</v>
      </c>
      <c r="AP1593">
        <v>1</v>
      </c>
      <c r="AQ1593" t="s">
        <v>6516</v>
      </c>
      <c r="AR1593" t="s">
        <v>6517</v>
      </c>
      <c r="AS1593" t="s">
        <v>66</v>
      </c>
      <c r="AT1593" t="s">
        <v>66</v>
      </c>
    </row>
    <row r="1594" spans="1:46" x14ac:dyDescent="0.15">
      <c r="A1594" t="s">
        <v>6538</v>
      </c>
      <c r="B1594" t="s">
        <v>6346</v>
      </c>
      <c r="C1594" t="s">
        <v>6347</v>
      </c>
      <c r="D1594">
        <v>46</v>
      </c>
      <c r="E1594" t="s">
        <v>6348</v>
      </c>
      <c r="F1594" t="s">
        <v>50</v>
      </c>
      <c r="G1594" t="s">
        <v>51</v>
      </c>
      <c r="H1594" t="s">
        <v>6349</v>
      </c>
      <c r="I1594" t="s">
        <v>53</v>
      </c>
      <c r="J1594" t="s">
        <v>4518</v>
      </c>
      <c r="K1594" t="s">
        <v>55</v>
      </c>
      <c r="L1594" t="s">
        <v>17</v>
      </c>
      <c r="M1594" t="s">
        <v>16</v>
      </c>
      <c r="N1594">
        <v>3026</v>
      </c>
      <c r="O1594">
        <v>172</v>
      </c>
      <c r="P1594">
        <v>0</v>
      </c>
      <c r="Q1594" t="s">
        <v>358</v>
      </c>
      <c r="R1594" t="s">
        <v>6539</v>
      </c>
      <c r="S1594" t="s">
        <v>6540</v>
      </c>
      <c r="T1594" t="s">
        <v>6541</v>
      </c>
      <c r="U1594" t="s">
        <v>60</v>
      </c>
      <c r="V1594" t="s">
        <v>61</v>
      </c>
      <c r="W1594">
        <v>3</v>
      </c>
      <c r="X1594">
        <v>0.11812499999999999</v>
      </c>
      <c r="Y1594" t="s">
        <v>362</v>
      </c>
      <c r="Z1594" t="s">
        <v>363</v>
      </c>
      <c r="AA1594">
        <v>2</v>
      </c>
      <c r="AB1594" t="s">
        <v>6352</v>
      </c>
      <c r="AC1594" t="s">
        <v>6353</v>
      </c>
      <c r="AD1594" t="s">
        <v>6354</v>
      </c>
      <c r="AE1594" t="s">
        <v>6355</v>
      </c>
      <c r="AF1594" t="s">
        <v>6356</v>
      </c>
      <c r="AG1594" t="s">
        <v>66</v>
      </c>
      <c r="AH1594" t="s">
        <v>66</v>
      </c>
      <c r="AI1594" t="s">
        <v>66</v>
      </c>
      <c r="AJ1594" t="s">
        <v>66</v>
      </c>
      <c r="AK1594">
        <v>1</v>
      </c>
      <c r="AL1594" t="s">
        <v>6513</v>
      </c>
      <c r="AM1594" t="s">
        <v>6514</v>
      </c>
      <c r="AN1594" t="s">
        <v>6515</v>
      </c>
      <c r="AO1594" t="s">
        <v>66</v>
      </c>
      <c r="AP1594">
        <v>1</v>
      </c>
      <c r="AQ1594" t="s">
        <v>6516</v>
      </c>
      <c r="AR1594" t="s">
        <v>6517</v>
      </c>
      <c r="AS1594" t="s">
        <v>66</v>
      </c>
      <c r="AT1594" t="s">
        <v>66</v>
      </c>
    </row>
    <row r="1595" spans="1:46" x14ac:dyDescent="0.15">
      <c r="A1595" t="s">
        <v>6542</v>
      </c>
      <c r="B1595" t="s">
        <v>6346</v>
      </c>
      <c r="C1595" t="s">
        <v>6347</v>
      </c>
      <c r="D1595">
        <v>47</v>
      </c>
      <c r="E1595" t="s">
        <v>6348</v>
      </c>
      <c r="F1595" t="s">
        <v>50</v>
      </c>
      <c r="G1595" t="s">
        <v>51</v>
      </c>
      <c r="H1595" t="s">
        <v>6349</v>
      </c>
      <c r="I1595" t="s">
        <v>53</v>
      </c>
      <c r="J1595" t="s">
        <v>4518</v>
      </c>
      <c r="K1595" t="s">
        <v>55</v>
      </c>
      <c r="L1595" t="s">
        <v>17</v>
      </c>
      <c r="M1595" t="s">
        <v>16</v>
      </c>
      <c r="N1595">
        <v>3082</v>
      </c>
      <c r="O1595">
        <v>176</v>
      </c>
      <c r="P1595">
        <v>0</v>
      </c>
      <c r="Q1595" t="s">
        <v>365</v>
      </c>
      <c r="R1595" t="s">
        <v>6543</v>
      </c>
      <c r="S1595" t="s">
        <v>6544</v>
      </c>
      <c r="T1595" t="s">
        <v>6545</v>
      </c>
      <c r="U1595" t="s">
        <v>60</v>
      </c>
      <c r="V1595" t="s">
        <v>61</v>
      </c>
      <c r="W1595">
        <v>3</v>
      </c>
      <c r="X1595">
        <v>0.11812499999999999</v>
      </c>
      <c r="Y1595" t="s">
        <v>217</v>
      </c>
      <c r="Z1595" t="s">
        <v>369</v>
      </c>
      <c r="AA1595">
        <v>2</v>
      </c>
      <c r="AB1595" t="s">
        <v>6352</v>
      </c>
      <c r="AC1595" t="s">
        <v>6353</v>
      </c>
      <c r="AD1595" t="s">
        <v>6354</v>
      </c>
      <c r="AE1595" t="s">
        <v>6355</v>
      </c>
      <c r="AF1595" t="s">
        <v>6356</v>
      </c>
      <c r="AG1595" t="s">
        <v>66</v>
      </c>
      <c r="AH1595" t="s">
        <v>66</v>
      </c>
      <c r="AI1595" t="s">
        <v>66</v>
      </c>
      <c r="AJ1595" t="s">
        <v>66</v>
      </c>
      <c r="AK1595">
        <v>1</v>
      </c>
      <c r="AL1595" t="s">
        <v>6513</v>
      </c>
      <c r="AM1595" t="s">
        <v>6514</v>
      </c>
      <c r="AN1595" t="s">
        <v>6515</v>
      </c>
      <c r="AO1595" t="s">
        <v>66</v>
      </c>
      <c r="AP1595">
        <v>1</v>
      </c>
      <c r="AQ1595" t="s">
        <v>6516</v>
      </c>
      <c r="AR1595" t="s">
        <v>6517</v>
      </c>
      <c r="AS1595" t="s">
        <v>66</v>
      </c>
      <c r="AT1595" t="s">
        <v>66</v>
      </c>
    </row>
    <row r="1596" spans="1:46" x14ac:dyDescent="0.15">
      <c r="A1596" t="s">
        <v>6546</v>
      </c>
      <c r="B1596" t="s">
        <v>6346</v>
      </c>
      <c r="C1596" t="s">
        <v>6347</v>
      </c>
      <c r="D1596">
        <v>48</v>
      </c>
      <c r="E1596" t="s">
        <v>6348</v>
      </c>
      <c r="F1596" t="s">
        <v>50</v>
      </c>
      <c r="G1596" t="s">
        <v>51</v>
      </c>
      <c r="H1596" t="s">
        <v>6349</v>
      </c>
      <c r="I1596" t="s">
        <v>53</v>
      </c>
      <c r="J1596" t="s">
        <v>4518</v>
      </c>
      <c r="K1596" t="s">
        <v>55</v>
      </c>
      <c r="L1596" t="s">
        <v>17</v>
      </c>
      <c r="M1596" t="s">
        <v>16</v>
      </c>
      <c r="N1596">
        <v>3138</v>
      </c>
      <c r="O1596">
        <v>179</v>
      </c>
      <c r="P1596">
        <v>0</v>
      </c>
      <c r="Q1596" t="s">
        <v>371</v>
      </c>
      <c r="R1596" t="s">
        <v>6547</v>
      </c>
      <c r="S1596" t="s">
        <v>6548</v>
      </c>
      <c r="T1596" t="s">
        <v>6549</v>
      </c>
      <c r="U1596" t="s">
        <v>60</v>
      </c>
      <c r="V1596" t="s">
        <v>61</v>
      </c>
      <c r="W1596">
        <v>3</v>
      </c>
      <c r="X1596">
        <v>0.11812499999999999</v>
      </c>
      <c r="Y1596" t="s">
        <v>375</v>
      </c>
      <c r="Z1596" t="s">
        <v>376</v>
      </c>
      <c r="AA1596">
        <v>2</v>
      </c>
      <c r="AB1596" t="s">
        <v>6352</v>
      </c>
      <c r="AC1596" t="s">
        <v>6353</v>
      </c>
      <c r="AD1596" t="s">
        <v>6354</v>
      </c>
      <c r="AE1596" t="s">
        <v>6355</v>
      </c>
      <c r="AF1596" t="s">
        <v>6356</v>
      </c>
      <c r="AG1596" t="s">
        <v>66</v>
      </c>
      <c r="AH1596" t="s">
        <v>66</v>
      </c>
      <c r="AI1596" t="s">
        <v>66</v>
      </c>
      <c r="AJ1596" t="s">
        <v>66</v>
      </c>
      <c r="AK1596">
        <v>1</v>
      </c>
      <c r="AL1596" t="s">
        <v>6513</v>
      </c>
      <c r="AM1596" t="s">
        <v>6514</v>
      </c>
      <c r="AN1596" t="s">
        <v>6515</v>
      </c>
      <c r="AO1596" t="s">
        <v>66</v>
      </c>
      <c r="AP1596">
        <v>1</v>
      </c>
      <c r="AQ1596" t="s">
        <v>6516</v>
      </c>
      <c r="AR1596" t="s">
        <v>6517</v>
      </c>
      <c r="AS1596" t="s">
        <v>66</v>
      </c>
      <c r="AT1596" t="s">
        <v>66</v>
      </c>
    </row>
    <row r="1597" spans="1:46" x14ac:dyDescent="0.15">
      <c r="A1597" t="s">
        <v>6550</v>
      </c>
      <c r="B1597" t="s">
        <v>6346</v>
      </c>
      <c r="C1597" t="s">
        <v>6347</v>
      </c>
      <c r="D1597">
        <v>49</v>
      </c>
      <c r="E1597" t="s">
        <v>6348</v>
      </c>
      <c r="F1597" t="s">
        <v>50</v>
      </c>
      <c r="G1597" t="s">
        <v>51</v>
      </c>
      <c r="H1597" t="s">
        <v>6349</v>
      </c>
      <c r="I1597" t="s">
        <v>53</v>
      </c>
      <c r="J1597" t="s">
        <v>4518</v>
      </c>
      <c r="K1597" t="s">
        <v>55</v>
      </c>
      <c r="L1597" t="s">
        <v>17</v>
      </c>
      <c r="M1597" t="s">
        <v>16</v>
      </c>
      <c r="N1597">
        <v>3194</v>
      </c>
      <c r="O1597">
        <v>182</v>
      </c>
      <c r="P1597">
        <v>0</v>
      </c>
      <c r="Q1597" t="s">
        <v>378</v>
      </c>
      <c r="R1597" t="s">
        <v>6551</v>
      </c>
      <c r="S1597" t="s">
        <v>6552</v>
      </c>
      <c r="T1597" t="s">
        <v>6553</v>
      </c>
      <c r="U1597" t="s">
        <v>60</v>
      </c>
      <c r="V1597" t="s">
        <v>61</v>
      </c>
      <c r="W1597">
        <v>3</v>
      </c>
      <c r="X1597">
        <v>0.11812499999999999</v>
      </c>
      <c r="Y1597" t="s">
        <v>223</v>
      </c>
      <c r="Z1597" t="s">
        <v>382</v>
      </c>
      <c r="AA1597">
        <v>2</v>
      </c>
      <c r="AB1597" t="s">
        <v>6352</v>
      </c>
      <c r="AC1597" t="s">
        <v>6353</v>
      </c>
      <c r="AD1597" t="s">
        <v>6354</v>
      </c>
      <c r="AE1597" t="s">
        <v>6355</v>
      </c>
      <c r="AF1597" t="s">
        <v>6356</v>
      </c>
      <c r="AG1597" t="s">
        <v>66</v>
      </c>
      <c r="AH1597" t="s">
        <v>66</v>
      </c>
      <c r="AI1597" t="s">
        <v>66</v>
      </c>
      <c r="AJ1597" t="s">
        <v>66</v>
      </c>
      <c r="AK1597">
        <v>1</v>
      </c>
      <c r="AL1597" t="s">
        <v>6513</v>
      </c>
      <c r="AM1597" t="s">
        <v>6514</v>
      </c>
      <c r="AN1597" t="s">
        <v>6515</v>
      </c>
      <c r="AO1597" t="s">
        <v>66</v>
      </c>
      <c r="AP1597">
        <v>1</v>
      </c>
      <c r="AQ1597" t="s">
        <v>6516</v>
      </c>
      <c r="AR1597" t="s">
        <v>6517</v>
      </c>
      <c r="AS1597" t="s">
        <v>66</v>
      </c>
      <c r="AT1597" t="s">
        <v>66</v>
      </c>
    </row>
    <row r="1598" spans="1:46" x14ac:dyDescent="0.15">
      <c r="A1598" t="s">
        <v>6554</v>
      </c>
      <c r="B1598" t="s">
        <v>6346</v>
      </c>
      <c r="C1598" t="s">
        <v>6347</v>
      </c>
      <c r="D1598">
        <v>50</v>
      </c>
      <c r="E1598" t="s">
        <v>6348</v>
      </c>
      <c r="F1598" t="s">
        <v>50</v>
      </c>
      <c r="G1598" t="s">
        <v>51</v>
      </c>
      <c r="H1598" t="s">
        <v>6349</v>
      </c>
      <c r="I1598" t="s">
        <v>53</v>
      </c>
      <c r="J1598" t="s">
        <v>4518</v>
      </c>
      <c r="K1598" t="s">
        <v>55</v>
      </c>
      <c r="L1598" t="s">
        <v>17</v>
      </c>
      <c r="M1598" t="s">
        <v>16</v>
      </c>
      <c r="N1598">
        <v>3250</v>
      </c>
      <c r="O1598">
        <v>185</v>
      </c>
      <c r="P1598">
        <v>0</v>
      </c>
      <c r="Q1598" t="s">
        <v>384</v>
      </c>
      <c r="R1598" t="s">
        <v>6555</v>
      </c>
      <c r="S1598" t="s">
        <v>6556</v>
      </c>
      <c r="T1598" t="s">
        <v>6557</v>
      </c>
      <c r="U1598" t="s">
        <v>60</v>
      </c>
      <c r="V1598" t="s">
        <v>61</v>
      </c>
      <c r="W1598">
        <v>3</v>
      </c>
      <c r="X1598">
        <v>0.11812499999999999</v>
      </c>
      <c r="Y1598" t="s">
        <v>388</v>
      </c>
      <c r="Z1598" t="s">
        <v>389</v>
      </c>
      <c r="AA1598">
        <v>2</v>
      </c>
      <c r="AB1598" t="s">
        <v>6352</v>
      </c>
      <c r="AC1598" t="s">
        <v>6353</v>
      </c>
      <c r="AD1598" t="s">
        <v>6354</v>
      </c>
      <c r="AE1598" t="s">
        <v>6355</v>
      </c>
      <c r="AF1598" t="s">
        <v>6356</v>
      </c>
      <c r="AG1598" t="s">
        <v>66</v>
      </c>
      <c r="AH1598" t="s">
        <v>66</v>
      </c>
      <c r="AI1598" t="s">
        <v>66</v>
      </c>
      <c r="AJ1598" t="s">
        <v>66</v>
      </c>
      <c r="AK1598">
        <v>1</v>
      </c>
      <c r="AL1598" t="s">
        <v>6513</v>
      </c>
      <c r="AM1598" t="s">
        <v>6514</v>
      </c>
      <c r="AN1598" t="s">
        <v>6515</v>
      </c>
      <c r="AO1598" t="s">
        <v>66</v>
      </c>
      <c r="AP1598">
        <v>1</v>
      </c>
      <c r="AQ1598" t="s">
        <v>6516</v>
      </c>
      <c r="AR1598" t="s">
        <v>6517</v>
      </c>
      <c r="AS1598" t="s">
        <v>66</v>
      </c>
      <c r="AT1598" t="s">
        <v>66</v>
      </c>
    </row>
    <row r="1599" spans="1:46" x14ac:dyDescent="0.15">
      <c r="A1599" t="s">
        <v>6558</v>
      </c>
      <c r="B1599" t="s">
        <v>6346</v>
      </c>
      <c r="C1599" t="s">
        <v>6347</v>
      </c>
      <c r="D1599">
        <v>51</v>
      </c>
      <c r="E1599" t="s">
        <v>6348</v>
      </c>
      <c r="F1599" t="s">
        <v>50</v>
      </c>
      <c r="G1599" t="s">
        <v>51</v>
      </c>
      <c r="H1599" t="s">
        <v>6349</v>
      </c>
      <c r="I1599" t="s">
        <v>53</v>
      </c>
      <c r="J1599" t="s">
        <v>4518</v>
      </c>
      <c r="K1599" t="s">
        <v>55</v>
      </c>
      <c r="L1599" t="s">
        <v>17</v>
      </c>
      <c r="M1599" t="s">
        <v>16</v>
      </c>
      <c r="N1599">
        <v>3306</v>
      </c>
      <c r="O1599">
        <v>188</v>
      </c>
      <c r="P1599">
        <v>0</v>
      </c>
      <c r="Q1599" t="s">
        <v>391</v>
      </c>
      <c r="R1599" t="s">
        <v>6559</v>
      </c>
      <c r="S1599" t="s">
        <v>6560</v>
      </c>
      <c r="T1599" t="s">
        <v>6561</v>
      </c>
      <c r="U1599" t="s">
        <v>60</v>
      </c>
      <c r="V1599" t="s">
        <v>61</v>
      </c>
      <c r="W1599">
        <v>3</v>
      </c>
      <c r="X1599">
        <v>0.11812499999999999</v>
      </c>
      <c r="Y1599" t="s">
        <v>230</v>
      </c>
      <c r="Z1599" t="s">
        <v>395</v>
      </c>
      <c r="AA1599">
        <v>2</v>
      </c>
      <c r="AB1599" t="s">
        <v>6352</v>
      </c>
      <c r="AC1599" t="s">
        <v>6353</v>
      </c>
      <c r="AD1599" t="s">
        <v>6354</v>
      </c>
      <c r="AE1599" t="s">
        <v>6355</v>
      </c>
      <c r="AF1599" t="s">
        <v>6356</v>
      </c>
      <c r="AG1599" t="s">
        <v>66</v>
      </c>
      <c r="AH1599" t="s">
        <v>66</v>
      </c>
      <c r="AI1599" t="s">
        <v>66</v>
      </c>
      <c r="AJ1599" t="s">
        <v>66</v>
      </c>
      <c r="AK1599">
        <v>1</v>
      </c>
      <c r="AL1599" t="s">
        <v>6513</v>
      </c>
      <c r="AM1599" t="s">
        <v>6514</v>
      </c>
      <c r="AN1599" t="s">
        <v>6515</v>
      </c>
      <c r="AO1599" t="s">
        <v>66</v>
      </c>
      <c r="AP1599">
        <v>1</v>
      </c>
      <c r="AQ1599" t="s">
        <v>6516</v>
      </c>
      <c r="AR1599" t="s">
        <v>6517</v>
      </c>
      <c r="AS1599" t="s">
        <v>66</v>
      </c>
      <c r="AT1599" t="s">
        <v>66</v>
      </c>
    </row>
    <row r="1600" spans="1:46" x14ac:dyDescent="0.15">
      <c r="A1600" t="s">
        <v>6562</v>
      </c>
      <c r="B1600" t="s">
        <v>6346</v>
      </c>
      <c r="C1600" t="s">
        <v>6347</v>
      </c>
      <c r="D1600">
        <v>52</v>
      </c>
      <c r="E1600" t="s">
        <v>6348</v>
      </c>
      <c r="F1600" t="s">
        <v>50</v>
      </c>
      <c r="G1600" t="s">
        <v>51</v>
      </c>
      <c r="H1600" t="s">
        <v>6349</v>
      </c>
      <c r="I1600" t="s">
        <v>53</v>
      </c>
      <c r="J1600" t="s">
        <v>4518</v>
      </c>
      <c r="K1600" t="s">
        <v>55</v>
      </c>
      <c r="L1600" t="s">
        <v>17</v>
      </c>
      <c r="M1600" t="s">
        <v>16</v>
      </c>
      <c r="N1600">
        <v>3362</v>
      </c>
      <c r="O1600">
        <v>191</v>
      </c>
      <c r="P1600">
        <v>0</v>
      </c>
      <c r="Q1600" t="s">
        <v>397</v>
      </c>
      <c r="R1600" t="s">
        <v>6563</v>
      </c>
      <c r="S1600" t="s">
        <v>6564</v>
      </c>
      <c r="T1600" t="s">
        <v>6565</v>
      </c>
      <c r="U1600" t="s">
        <v>60</v>
      </c>
      <c r="V1600" t="s">
        <v>61</v>
      </c>
      <c r="W1600">
        <v>3</v>
      </c>
      <c r="X1600">
        <v>0.11812499999999999</v>
      </c>
      <c r="Y1600" t="s">
        <v>401</v>
      </c>
      <c r="Z1600" t="s">
        <v>402</v>
      </c>
      <c r="AA1600">
        <v>2</v>
      </c>
      <c r="AB1600" t="s">
        <v>6352</v>
      </c>
      <c r="AC1600" t="s">
        <v>6353</v>
      </c>
      <c r="AD1600" t="s">
        <v>6354</v>
      </c>
      <c r="AE1600" t="s">
        <v>6355</v>
      </c>
      <c r="AF1600" t="s">
        <v>6356</v>
      </c>
      <c r="AG1600" t="s">
        <v>66</v>
      </c>
      <c r="AH1600" t="s">
        <v>66</v>
      </c>
      <c r="AI1600" t="s">
        <v>66</v>
      </c>
      <c r="AJ1600" t="s">
        <v>66</v>
      </c>
      <c r="AK1600">
        <v>1</v>
      </c>
      <c r="AL1600" t="s">
        <v>6513</v>
      </c>
      <c r="AM1600" t="s">
        <v>6514</v>
      </c>
      <c r="AN1600" t="s">
        <v>6515</v>
      </c>
      <c r="AO1600" t="s">
        <v>66</v>
      </c>
      <c r="AP1600">
        <v>1</v>
      </c>
      <c r="AQ1600" t="s">
        <v>6516</v>
      </c>
      <c r="AR1600" t="s">
        <v>6517</v>
      </c>
      <c r="AS1600" t="s">
        <v>66</v>
      </c>
      <c r="AT1600" t="s">
        <v>66</v>
      </c>
    </row>
    <row r="1601" spans="1:46" x14ac:dyDescent="0.15">
      <c r="A1601" t="s">
        <v>6566</v>
      </c>
      <c r="B1601" t="s">
        <v>6346</v>
      </c>
      <c r="C1601" t="s">
        <v>6347</v>
      </c>
      <c r="D1601">
        <v>53</v>
      </c>
      <c r="E1601" t="s">
        <v>6348</v>
      </c>
      <c r="F1601" t="s">
        <v>50</v>
      </c>
      <c r="G1601" t="s">
        <v>51</v>
      </c>
      <c r="H1601" t="s">
        <v>6349</v>
      </c>
      <c r="I1601" t="s">
        <v>53</v>
      </c>
      <c r="J1601" t="s">
        <v>4518</v>
      </c>
      <c r="K1601" t="s">
        <v>55</v>
      </c>
      <c r="L1601" t="s">
        <v>17</v>
      </c>
      <c r="M1601" t="s">
        <v>16</v>
      </c>
      <c r="N1601">
        <v>3418</v>
      </c>
      <c r="O1601">
        <v>195</v>
      </c>
      <c r="P1601">
        <v>0</v>
      </c>
      <c r="Q1601" t="s">
        <v>404</v>
      </c>
      <c r="R1601" t="s">
        <v>6567</v>
      </c>
      <c r="S1601" t="s">
        <v>6568</v>
      </c>
      <c r="T1601" t="s">
        <v>6569</v>
      </c>
      <c r="U1601" t="s">
        <v>60</v>
      </c>
      <c r="V1601" t="s">
        <v>61</v>
      </c>
      <c r="W1601">
        <v>3</v>
      </c>
      <c r="X1601">
        <v>0.11812499999999999</v>
      </c>
      <c r="Y1601" t="s">
        <v>236</v>
      </c>
      <c r="Z1601" t="s">
        <v>408</v>
      </c>
      <c r="AA1601">
        <v>2</v>
      </c>
      <c r="AB1601" t="s">
        <v>6352</v>
      </c>
      <c r="AC1601" t="s">
        <v>6353</v>
      </c>
      <c r="AD1601" t="s">
        <v>6354</v>
      </c>
      <c r="AE1601" t="s">
        <v>6355</v>
      </c>
      <c r="AF1601" t="s">
        <v>6356</v>
      </c>
      <c r="AG1601" t="s">
        <v>66</v>
      </c>
      <c r="AH1601" t="s">
        <v>66</v>
      </c>
      <c r="AI1601" t="s">
        <v>66</v>
      </c>
      <c r="AJ1601" t="s">
        <v>66</v>
      </c>
      <c r="AK1601">
        <v>1</v>
      </c>
      <c r="AL1601" t="s">
        <v>6513</v>
      </c>
      <c r="AM1601" t="s">
        <v>6514</v>
      </c>
      <c r="AN1601" t="s">
        <v>6515</v>
      </c>
      <c r="AO1601" t="s">
        <v>66</v>
      </c>
      <c r="AP1601">
        <v>1</v>
      </c>
      <c r="AQ1601" t="s">
        <v>6516</v>
      </c>
      <c r="AR1601" t="s">
        <v>6517</v>
      </c>
      <c r="AS1601" t="s">
        <v>66</v>
      </c>
      <c r="AT1601" t="s">
        <v>66</v>
      </c>
    </row>
    <row r="1602" spans="1:46" x14ac:dyDescent="0.15">
      <c r="A1602" t="s">
        <v>6570</v>
      </c>
      <c r="B1602" t="s">
        <v>6346</v>
      </c>
      <c r="C1602" t="s">
        <v>6347</v>
      </c>
      <c r="D1602">
        <v>54</v>
      </c>
      <c r="E1602" t="s">
        <v>6348</v>
      </c>
      <c r="F1602" t="s">
        <v>50</v>
      </c>
      <c r="G1602" t="s">
        <v>51</v>
      </c>
      <c r="H1602" t="s">
        <v>6349</v>
      </c>
      <c r="I1602" t="s">
        <v>53</v>
      </c>
      <c r="J1602" t="s">
        <v>4518</v>
      </c>
      <c r="K1602" t="s">
        <v>55</v>
      </c>
      <c r="L1602" t="s">
        <v>17</v>
      </c>
      <c r="M1602" t="s">
        <v>16</v>
      </c>
      <c r="N1602">
        <v>3474</v>
      </c>
      <c r="O1602">
        <v>198</v>
      </c>
      <c r="P1602">
        <v>0</v>
      </c>
      <c r="Q1602" t="s">
        <v>410</v>
      </c>
      <c r="R1602" t="s">
        <v>6571</v>
      </c>
      <c r="S1602" t="s">
        <v>6572</v>
      </c>
      <c r="T1602" t="s">
        <v>6573</v>
      </c>
      <c r="U1602" t="s">
        <v>60</v>
      </c>
      <c r="V1602" t="s">
        <v>61</v>
      </c>
      <c r="W1602">
        <v>3</v>
      </c>
      <c r="X1602">
        <v>0.11812499999999999</v>
      </c>
      <c r="Y1602" t="s">
        <v>414</v>
      </c>
      <c r="Z1602" t="s">
        <v>415</v>
      </c>
      <c r="AA1602">
        <v>2</v>
      </c>
      <c r="AB1602" t="s">
        <v>6352</v>
      </c>
      <c r="AC1602" t="s">
        <v>6353</v>
      </c>
      <c r="AD1602" t="s">
        <v>6354</v>
      </c>
      <c r="AE1602" t="s">
        <v>6355</v>
      </c>
      <c r="AF1602" t="s">
        <v>6356</v>
      </c>
      <c r="AG1602" t="s">
        <v>66</v>
      </c>
      <c r="AH1602" t="s">
        <v>66</v>
      </c>
      <c r="AI1602" t="s">
        <v>66</v>
      </c>
      <c r="AJ1602" t="s">
        <v>66</v>
      </c>
      <c r="AK1602">
        <v>1</v>
      </c>
      <c r="AL1602" t="s">
        <v>6513</v>
      </c>
      <c r="AM1602" t="s">
        <v>6514</v>
      </c>
      <c r="AN1602" t="s">
        <v>6515</v>
      </c>
      <c r="AO1602" t="s">
        <v>66</v>
      </c>
      <c r="AP1602">
        <v>1</v>
      </c>
      <c r="AQ1602" t="s">
        <v>6516</v>
      </c>
      <c r="AR1602" t="s">
        <v>6517</v>
      </c>
      <c r="AS1602" t="s">
        <v>66</v>
      </c>
      <c r="AT1602" t="s">
        <v>66</v>
      </c>
    </row>
    <row r="1603" spans="1:46" x14ac:dyDescent="0.15">
      <c r="A1603" t="s">
        <v>6574</v>
      </c>
      <c r="B1603" t="s">
        <v>6346</v>
      </c>
      <c r="C1603" t="s">
        <v>6347</v>
      </c>
      <c r="D1603">
        <v>55</v>
      </c>
      <c r="E1603" t="s">
        <v>6348</v>
      </c>
      <c r="F1603" t="s">
        <v>50</v>
      </c>
      <c r="G1603" t="s">
        <v>51</v>
      </c>
      <c r="H1603" t="s">
        <v>6349</v>
      </c>
      <c r="I1603" t="s">
        <v>53</v>
      </c>
      <c r="J1603" t="s">
        <v>4518</v>
      </c>
      <c r="K1603" t="s">
        <v>55</v>
      </c>
      <c r="L1603" t="s">
        <v>17</v>
      </c>
      <c r="M1603" t="s">
        <v>16</v>
      </c>
      <c r="N1603">
        <v>3531</v>
      </c>
      <c r="O1603">
        <v>201</v>
      </c>
      <c r="P1603">
        <v>0</v>
      </c>
      <c r="Q1603" t="s">
        <v>417</v>
      </c>
      <c r="R1603" t="s">
        <v>6575</v>
      </c>
      <c r="S1603" t="s">
        <v>6576</v>
      </c>
      <c r="T1603" t="s">
        <v>6577</v>
      </c>
      <c r="U1603" t="s">
        <v>60</v>
      </c>
      <c r="V1603" t="s">
        <v>61</v>
      </c>
      <c r="W1603">
        <v>3</v>
      </c>
      <c r="X1603">
        <v>0.11812499999999999</v>
      </c>
      <c r="Y1603" t="s">
        <v>243</v>
      </c>
      <c r="Z1603" t="s">
        <v>421</v>
      </c>
      <c r="AA1603">
        <v>2</v>
      </c>
      <c r="AB1603" t="s">
        <v>6352</v>
      </c>
      <c r="AC1603" t="s">
        <v>6353</v>
      </c>
      <c r="AD1603" t="s">
        <v>6354</v>
      </c>
      <c r="AE1603" t="s">
        <v>6355</v>
      </c>
      <c r="AF1603" t="s">
        <v>6356</v>
      </c>
      <c r="AG1603" t="s">
        <v>66</v>
      </c>
      <c r="AH1603" t="s">
        <v>66</v>
      </c>
      <c r="AI1603" t="s">
        <v>66</v>
      </c>
      <c r="AJ1603" t="s">
        <v>66</v>
      </c>
      <c r="AK1603">
        <v>1</v>
      </c>
      <c r="AL1603" t="s">
        <v>6513</v>
      </c>
      <c r="AM1603" t="s">
        <v>6514</v>
      </c>
      <c r="AN1603" t="s">
        <v>6515</v>
      </c>
      <c r="AO1603" t="s">
        <v>66</v>
      </c>
      <c r="AP1603">
        <v>1</v>
      </c>
      <c r="AQ1603" t="s">
        <v>6516</v>
      </c>
      <c r="AR1603" t="s">
        <v>6517</v>
      </c>
      <c r="AS1603" t="s">
        <v>66</v>
      </c>
      <c r="AT1603" t="s">
        <v>66</v>
      </c>
    </row>
    <row r="1604" spans="1:46" x14ac:dyDescent="0.15">
      <c r="A1604" t="s">
        <v>6578</v>
      </c>
      <c r="B1604" t="s">
        <v>6346</v>
      </c>
      <c r="C1604" t="s">
        <v>6347</v>
      </c>
      <c r="D1604">
        <v>56</v>
      </c>
      <c r="E1604" t="s">
        <v>6348</v>
      </c>
      <c r="F1604" t="s">
        <v>50</v>
      </c>
      <c r="G1604" t="s">
        <v>51</v>
      </c>
      <c r="H1604" t="s">
        <v>6349</v>
      </c>
      <c r="I1604" t="s">
        <v>53</v>
      </c>
      <c r="J1604" t="s">
        <v>4518</v>
      </c>
      <c r="K1604" t="s">
        <v>55</v>
      </c>
      <c r="L1604" t="s">
        <v>17</v>
      </c>
      <c r="M1604" t="s">
        <v>16</v>
      </c>
      <c r="N1604">
        <v>3587</v>
      </c>
      <c r="O1604">
        <v>204</v>
      </c>
      <c r="P1604">
        <v>0</v>
      </c>
      <c r="Q1604" t="s">
        <v>423</v>
      </c>
      <c r="R1604" t="s">
        <v>6579</v>
      </c>
      <c r="S1604" t="s">
        <v>6580</v>
      </c>
      <c r="T1604" t="s">
        <v>6581</v>
      </c>
      <c r="U1604" t="s">
        <v>60</v>
      </c>
      <c r="V1604" t="s">
        <v>61</v>
      </c>
      <c r="W1604">
        <v>3</v>
      </c>
      <c r="X1604">
        <v>0.11812499999999999</v>
      </c>
      <c r="Y1604" t="s">
        <v>427</v>
      </c>
      <c r="Z1604" t="s">
        <v>428</v>
      </c>
      <c r="AA1604">
        <v>2</v>
      </c>
      <c r="AB1604" t="s">
        <v>6352</v>
      </c>
      <c r="AC1604" t="s">
        <v>6353</v>
      </c>
      <c r="AD1604" t="s">
        <v>6354</v>
      </c>
      <c r="AE1604" t="s">
        <v>6355</v>
      </c>
      <c r="AF1604" t="s">
        <v>6356</v>
      </c>
      <c r="AG1604" t="s">
        <v>66</v>
      </c>
      <c r="AH1604" t="s">
        <v>66</v>
      </c>
      <c r="AI1604" t="s">
        <v>66</v>
      </c>
      <c r="AJ1604" t="s">
        <v>66</v>
      </c>
      <c r="AK1604">
        <v>1</v>
      </c>
      <c r="AL1604" t="s">
        <v>6513</v>
      </c>
      <c r="AM1604" t="s">
        <v>6514</v>
      </c>
      <c r="AN1604" t="s">
        <v>6515</v>
      </c>
      <c r="AO1604" t="s">
        <v>66</v>
      </c>
      <c r="AP1604">
        <v>1</v>
      </c>
      <c r="AQ1604" t="s">
        <v>6516</v>
      </c>
      <c r="AR1604" t="s">
        <v>6517</v>
      </c>
      <c r="AS1604" t="s">
        <v>66</v>
      </c>
      <c r="AT1604" t="s">
        <v>66</v>
      </c>
    </row>
    <row r="1605" spans="1:46" x14ac:dyDescent="0.15">
      <c r="A1605" t="s">
        <v>6582</v>
      </c>
      <c r="B1605" t="s">
        <v>6346</v>
      </c>
      <c r="C1605" t="s">
        <v>6347</v>
      </c>
      <c r="D1605">
        <v>57</v>
      </c>
      <c r="E1605" t="s">
        <v>6348</v>
      </c>
      <c r="F1605" t="s">
        <v>50</v>
      </c>
      <c r="G1605" t="s">
        <v>51</v>
      </c>
      <c r="H1605" t="s">
        <v>6349</v>
      </c>
      <c r="I1605" t="s">
        <v>53</v>
      </c>
      <c r="J1605" t="s">
        <v>4518</v>
      </c>
      <c r="K1605" t="s">
        <v>55</v>
      </c>
      <c r="L1605" t="s">
        <v>17</v>
      </c>
      <c r="M1605" t="s">
        <v>16</v>
      </c>
      <c r="N1605">
        <v>3643</v>
      </c>
      <c r="O1605">
        <v>207</v>
      </c>
      <c r="P1605">
        <v>0</v>
      </c>
      <c r="Q1605" t="s">
        <v>430</v>
      </c>
      <c r="R1605" t="s">
        <v>6583</v>
      </c>
      <c r="S1605" t="s">
        <v>6584</v>
      </c>
      <c r="T1605" t="s">
        <v>6585</v>
      </c>
      <c r="U1605" t="s">
        <v>60</v>
      </c>
      <c r="V1605" t="s">
        <v>61</v>
      </c>
      <c r="W1605">
        <v>3</v>
      </c>
      <c r="X1605">
        <v>0.11812499999999999</v>
      </c>
      <c r="Y1605" t="s">
        <v>249</v>
      </c>
      <c r="Z1605" t="s">
        <v>434</v>
      </c>
      <c r="AA1605">
        <v>2</v>
      </c>
      <c r="AB1605" t="s">
        <v>6352</v>
      </c>
      <c r="AC1605" t="s">
        <v>6353</v>
      </c>
      <c r="AD1605" t="s">
        <v>6354</v>
      </c>
      <c r="AE1605" t="s">
        <v>6355</v>
      </c>
      <c r="AF1605" t="s">
        <v>6356</v>
      </c>
      <c r="AG1605" t="s">
        <v>66</v>
      </c>
      <c r="AH1605" t="s">
        <v>66</v>
      </c>
      <c r="AI1605" t="s">
        <v>66</v>
      </c>
      <c r="AJ1605" t="s">
        <v>66</v>
      </c>
      <c r="AK1605">
        <v>1</v>
      </c>
      <c r="AL1605" t="s">
        <v>6513</v>
      </c>
      <c r="AM1605" t="s">
        <v>6514</v>
      </c>
      <c r="AN1605" t="s">
        <v>6515</v>
      </c>
      <c r="AO1605" t="s">
        <v>66</v>
      </c>
      <c r="AP1605">
        <v>1</v>
      </c>
      <c r="AQ1605" t="s">
        <v>6516</v>
      </c>
      <c r="AR1605" t="s">
        <v>6517</v>
      </c>
      <c r="AS1605" t="s">
        <v>66</v>
      </c>
      <c r="AT1605" t="s">
        <v>66</v>
      </c>
    </row>
    <row r="1606" spans="1:46" x14ac:dyDescent="0.15">
      <c r="A1606" t="s">
        <v>6586</v>
      </c>
      <c r="B1606" t="s">
        <v>6346</v>
      </c>
      <c r="C1606" t="s">
        <v>6347</v>
      </c>
      <c r="D1606">
        <v>58</v>
      </c>
      <c r="E1606" t="s">
        <v>6348</v>
      </c>
      <c r="F1606" t="s">
        <v>50</v>
      </c>
      <c r="G1606" t="s">
        <v>51</v>
      </c>
      <c r="H1606" t="s">
        <v>6349</v>
      </c>
      <c r="I1606" t="s">
        <v>53</v>
      </c>
      <c r="J1606" t="s">
        <v>4518</v>
      </c>
      <c r="K1606" t="s">
        <v>55</v>
      </c>
      <c r="L1606" t="s">
        <v>17</v>
      </c>
      <c r="M1606" t="s">
        <v>16</v>
      </c>
      <c r="N1606">
        <v>3699</v>
      </c>
      <c r="O1606">
        <v>210</v>
      </c>
      <c r="P1606">
        <v>0</v>
      </c>
      <c r="Q1606" t="s">
        <v>436</v>
      </c>
      <c r="R1606" t="s">
        <v>6587</v>
      </c>
      <c r="S1606" t="s">
        <v>6588</v>
      </c>
      <c r="T1606" t="s">
        <v>6589</v>
      </c>
      <c r="U1606" t="s">
        <v>60</v>
      </c>
      <c r="V1606" t="s">
        <v>61</v>
      </c>
      <c r="W1606">
        <v>3</v>
      </c>
      <c r="X1606">
        <v>0.11812499999999999</v>
      </c>
      <c r="Y1606" t="s">
        <v>440</v>
      </c>
      <c r="Z1606" t="s">
        <v>441</v>
      </c>
      <c r="AA1606">
        <v>2</v>
      </c>
      <c r="AB1606" t="s">
        <v>6352</v>
      </c>
      <c r="AC1606" t="s">
        <v>6353</v>
      </c>
      <c r="AD1606" t="s">
        <v>6354</v>
      </c>
      <c r="AE1606" t="s">
        <v>6355</v>
      </c>
      <c r="AF1606" t="s">
        <v>6356</v>
      </c>
      <c r="AG1606" t="s">
        <v>66</v>
      </c>
      <c r="AH1606" t="s">
        <v>66</v>
      </c>
      <c r="AI1606" t="s">
        <v>66</v>
      </c>
      <c r="AJ1606" t="s">
        <v>66</v>
      </c>
      <c r="AK1606">
        <v>1</v>
      </c>
      <c r="AL1606" t="s">
        <v>6513</v>
      </c>
      <c r="AM1606" t="s">
        <v>6514</v>
      </c>
      <c r="AN1606" t="s">
        <v>6515</v>
      </c>
      <c r="AO1606" t="s">
        <v>66</v>
      </c>
      <c r="AP1606">
        <v>1</v>
      </c>
      <c r="AQ1606" t="s">
        <v>6516</v>
      </c>
      <c r="AR1606" t="s">
        <v>6517</v>
      </c>
      <c r="AS1606" t="s">
        <v>66</v>
      </c>
      <c r="AT1606" t="s">
        <v>66</v>
      </c>
    </row>
    <row r="1607" spans="1:46" x14ac:dyDescent="0.15">
      <c r="A1607" t="s">
        <v>6590</v>
      </c>
      <c r="B1607" t="s">
        <v>6346</v>
      </c>
      <c r="C1607" t="s">
        <v>6347</v>
      </c>
      <c r="D1607">
        <v>59</v>
      </c>
      <c r="E1607" t="s">
        <v>6348</v>
      </c>
      <c r="F1607" t="s">
        <v>50</v>
      </c>
      <c r="G1607" t="s">
        <v>51</v>
      </c>
      <c r="H1607" t="s">
        <v>6349</v>
      </c>
      <c r="I1607" t="s">
        <v>53</v>
      </c>
      <c r="J1607" t="s">
        <v>4518</v>
      </c>
      <c r="K1607" t="s">
        <v>55</v>
      </c>
      <c r="L1607" t="s">
        <v>17</v>
      </c>
      <c r="M1607" t="s">
        <v>16</v>
      </c>
      <c r="N1607">
        <v>3755</v>
      </c>
      <c r="O1607">
        <v>214</v>
      </c>
      <c r="P1607">
        <v>0</v>
      </c>
      <c r="Q1607" t="s">
        <v>443</v>
      </c>
      <c r="R1607" t="s">
        <v>6591</v>
      </c>
      <c r="S1607" t="s">
        <v>6592</v>
      </c>
      <c r="T1607" t="s">
        <v>6593</v>
      </c>
      <c r="U1607" t="s">
        <v>60</v>
      </c>
      <c r="V1607" t="s">
        <v>61</v>
      </c>
      <c r="W1607">
        <v>3</v>
      </c>
      <c r="X1607">
        <v>0.11812499999999999</v>
      </c>
      <c r="Y1607" t="s">
        <v>256</v>
      </c>
      <c r="Z1607" t="s">
        <v>447</v>
      </c>
      <c r="AA1607">
        <v>2</v>
      </c>
      <c r="AB1607" t="s">
        <v>6352</v>
      </c>
      <c r="AC1607" t="s">
        <v>6353</v>
      </c>
      <c r="AD1607" t="s">
        <v>6354</v>
      </c>
      <c r="AE1607" t="s">
        <v>6355</v>
      </c>
      <c r="AF1607" t="s">
        <v>6356</v>
      </c>
      <c r="AG1607" t="s">
        <v>66</v>
      </c>
      <c r="AH1607" t="s">
        <v>66</v>
      </c>
      <c r="AI1607" t="s">
        <v>66</v>
      </c>
      <c r="AJ1607" t="s">
        <v>66</v>
      </c>
      <c r="AK1607">
        <v>1</v>
      </c>
      <c r="AL1607" t="s">
        <v>6513</v>
      </c>
      <c r="AM1607" t="s">
        <v>6514</v>
      </c>
      <c r="AN1607" t="s">
        <v>6515</v>
      </c>
      <c r="AO1607" t="s">
        <v>66</v>
      </c>
      <c r="AP1607">
        <v>1</v>
      </c>
      <c r="AQ1607" t="s">
        <v>6516</v>
      </c>
      <c r="AR1607" t="s">
        <v>6517</v>
      </c>
      <c r="AS1607" t="s">
        <v>66</v>
      </c>
      <c r="AT1607" t="s">
        <v>66</v>
      </c>
    </row>
    <row r="1608" spans="1:46" x14ac:dyDescent="0.15">
      <c r="A1608" t="s">
        <v>6594</v>
      </c>
      <c r="B1608" t="s">
        <v>6346</v>
      </c>
      <c r="C1608" t="s">
        <v>6347</v>
      </c>
      <c r="D1608">
        <v>60</v>
      </c>
      <c r="E1608" t="s">
        <v>6348</v>
      </c>
      <c r="F1608" t="s">
        <v>50</v>
      </c>
      <c r="G1608" t="s">
        <v>51</v>
      </c>
      <c r="H1608" t="s">
        <v>6349</v>
      </c>
      <c r="I1608" t="s">
        <v>53</v>
      </c>
      <c r="J1608" t="s">
        <v>4518</v>
      </c>
      <c r="K1608" t="s">
        <v>55</v>
      </c>
      <c r="L1608" t="s">
        <v>17</v>
      </c>
      <c r="M1608" t="s">
        <v>16</v>
      </c>
      <c r="N1608">
        <v>3811</v>
      </c>
      <c r="O1608">
        <v>217</v>
      </c>
      <c r="P1608">
        <v>0</v>
      </c>
      <c r="Q1608" t="s">
        <v>449</v>
      </c>
      <c r="R1608" t="s">
        <v>6595</v>
      </c>
      <c r="S1608" t="s">
        <v>6596</v>
      </c>
      <c r="T1608" t="s">
        <v>6597</v>
      </c>
      <c r="U1608" t="s">
        <v>60</v>
      </c>
      <c r="V1608" t="s">
        <v>61</v>
      </c>
      <c r="W1608">
        <v>3</v>
      </c>
      <c r="X1608">
        <v>0.11812499999999999</v>
      </c>
      <c r="Y1608" t="s">
        <v>453</v>
      </c>
      <c r="Z1608" t="s">
        <v>454</v>
      </c>
      <c r="AA1608">
        <v>2</v>
      </c>
      <c r="AB1608" t="s">
        <v>6352</v>
      </c>
      <c r="AC1608" t="s">
        <v>6353</v>
      </c>
      <c r="AD1608" t="s">
        <v>6354</v>
      </c>
      <c r="AE1608" t="s">
        <v>6355</v>
      </c>
      <c r="AF1608" t="s">
        <v>6356</v>
      </c>
      <c r="AG1608" t="s">
        <v>66</v>
      </c>
      <c r="AH1608" t="s">
        <v>66</v>
      </c>
      <c r="AI1608" t="s">
        <v>66</v>
      </c>
      <c r="AJ1608" t="s">
        <v>66</v>
      </c>
      <c r="AK1608">
        <v>1</v>
      </c>
      <c r="AL1608" t="s">
        <v>6513</v>
      </c>
      <c r="AM1608" t="s">
        <v>6514</v>
      </c>
      <c r="AN1608" t="s">
        <v>6515</v>
      </c>
      <c r="AO1608" t="s">
        <v>66</v>
      </c>
      <c r="AP1608">
        <v>1</v>
      </c>
      <c r="AQ1608" t="s">
        <v>6516</v>
      </c>
      <c r="AR1608" t="s">
        <v>6517</v>
      </c>
      <c r="AS1608" t="s">
        <v>66</v>
      </c>
      <c r="AT1608" t="s">
        <v>66</v>
      </c>
    </row>
    <row r="1609" spans="1:46" x14ac:dyDescent="0.15">
      <c r="A1609" t="s">
        <v>6594</v>
      </c>
      <c r="B1609" t="s">
        <v>6346</v>
      </c>
      <c r="C1609" t="s">
        <v>6347</v>
      </c>
      <c r="D1609">
        <v>60</v>
      </c>
      <c r="E1609" t="s">
        <v>6348</v>
      </c>
      <c r="F1609" t="s">
        <v>50</v>
      </c>
      <c r="G1609" t="s">
        <v>51</v>
      </c>
      <c r="H1609" t="s">
        <v>6349</v>
      </c>
      <c r="I1609" t="s">
        <v>53</v>
      </c>
      <c r="J1609" t="s">
        <v>4518</v>
      </c>
      <c r="K1609" t="s">
        <v>55</v>
      </c>
      <c r="L1609" t="s">
        <v>17</v>
      </c>
      <c r="M1609" t="s">
        <v>16</v>
      </c>
      <c r="N1609">
        <v>3811</v>
      </c>
      <c r="O1609">
        <v>217</v>
      </c>
      <c r="P1609">
        <v>0</v>
      </c>
      <c r="Q1609" t="s">
        <v>449</v>
      </c>
      <c r="R1609" t="s">
        <v>6595</v>
      </c>
      <c r="S1609" t="s">
        <v>6596</v>
      </c>
      <c r="T1609" t="s">
        <v>6597</v>
      </c>
      <c r="U1609" t="s">
        <v>60</v>
      </c>
      <c r="V1609" t="s">
        <v>61</v>
      </c>
      <c r="W1609">
        <v>3</v>
      </c>
      <c r="X1609">
        <v>0.11812499999999999</v>
      </c>
      <c r="Y1609" t="s">
        <v>453</v>
      </c>
      <c r="Z1609" t="s">
        <v>454</v>
      </c>
      <c r="AA1609">
        <v>3</v>
      </c>
      <c r="AB1609" t="s">
        <v>6352</v>
      </c>
      <c r="AC1609" t="s">
        <v>6353</v>
      </c>
      <c r="AD1609" t="s">
        <v>6354</v>
      </c>
      <c r="AE1609" t="s">
        <v>6355</v>
      </c>
      <c r="AF1609" t="s">
        <v>6356</v>
      </c>
      <c r="AG1609" t="s">
        <v>322</v>
      </c>
      <c r="AH1609" t="s">
        <v>191</v>
      </c>
      <c r="AI1609" t="s">
        <v>322</v>
      </c>
      <c r="AJ1609" t="s">
        <v>66</v>
      </c>
      <c r="AK1609">
        <v>1</v>
      </c>
      <c r="AL1609" t="s">
        <v>6513</v>
      </c>
      <c r="AM1609" t="s">
        <v>6514</v>
      </c>
      <c r="AN1609" t="s">
        <v>6515</v>
      </c>
      <c r="AO1609" t="s">
        <v>66</v>
      </c>
      <c r="AP1609">
        <v>1</v>
      </c>
      <c r="AQ1609" t="s">
        <v>6598</v>
      </c>
      <c r="AR1609" t="s">
        <v>6517</v>
      </c>
      <c r="AS1609" t="s">
        <v>6599</v>
      </c>
      <c r="AT1609" t="s">
        <v>66</v>
      </c>
    </row>
    <row r="1610" spans="1:46" x14ac:dyDescent="0.15">
      <c r="A1610" t="s">
        <v>6600</v>
      </c>
      <c r="B1610" t="s">
        <v>6346</v>
      </c>
      <c r="C1610" t="s">
        <v>6347</v>
      </c>
      <c r="D1610">
        <v>61</v>
      </c>
      <c r="E1610" t="s">
        <v>6348</v>
      </c>
      <c r="F1610" t="s">
        <v>50</v>
      </c>
      <c r="G1610" t="s">
        <v>51</v>
      </c>
      <c r="H1610" t="s">
        <v>6349</v>
      </c>
      <c r="I1610" t="s">
        <v>53</v>
      </c>
      <c r="J1610" t="s">
        <v>4518</v>
      </c>
      <c r="K1610" t="s">
        <v>55</v>
      </c>
      <c r="L1610" t="s">
        <v>17</v>
      </c>
      <c r="M1610" t="s">
        <v>16</v>
      </c>
      <c r="N1610">
        <v>3867</v>
      </c>
      <c r="O1610">
        <v>220</v>
      </c>
      <c r="P1610">
        <v>0</v>
      </c>
      <c r="Q1610" t="s">
        <v>461</v>
      </c>
      <c r="R1610" t="s">
        <v>6601</v>
      </c>
      <c r="S1610" t="s">
        <v>6602</v>
      </c>
      <c r="T1610" t="s">
        <v>6603</v>
      </c>
      <c r="U1610" t="s">
        <v>60</v>
      </c>
      <c r="V1610" t="s">
        <v>61</v>
      </c>
      <c r="W1610">
        <v>3</v>
      </c>
      <c r="X1610">
        <v>0.11812499999999999</v>
      </c>
      <c r="Y1610" t="s">
        <v>262</v>
      </c>
      <c r="Z1610" t="s">
        <v>465</v>
      </c>
      <c r="AA1610">
        <v>3</v>
      </c>
      <c r="AB1610" t="s">
        <v>6352</v>
      </c>
      <c r="AC1610" t="s">
        <v>6353</v>
      </c>
      <c r="AD1610" t="s">
        <v>6354</v>
      </c>
      <c r="AE1610" t="s">
        <v>6355</v>
      </c>
      <c r="AF1610" t="s">
        <v>6356</v>
      </c>
      <c r="AG1610" t="s">
        <v>322</v>
      </c>
      <c r="AH1610" t="s">
        <v>191</v>
      </c>
      <c r="AI1610" t="s">
        <v>322</v>
      </c>
      <c r="AJ1610" t="s">
        <v>66</v>
      </c>
      <c r="AK1610">
        <v>1</v>
      </c>
      <c r="AL1610" t="s">
        <v>6513</v>
      </c>
      <c r="AM1610" t="s">
        <v>6514</v>
      </c>
      <c r="AN1610" t="s">
        <v>6515</v>
      </c>
      <c r="AO1610" t="s">
        <v>66</v>
      </c>
      <c r="AP1610">
        <v>1</v>
      </c>
      <c r="AQ1610" t="s">
        <v>6598</v>
      </c>
      <c r="AR1610" t="s">
        <v>6517</v>
      </c>
      <c r="AS1610" t="s">
        <v>6599</v>
      </c>
      <c r="AT1610" t="s">
        <v>66</v>
      </c>
    </row>
    <row r="1611" spans="1:46" x14ac:dyDescent="0.15">
      <c r="A1611" t="s">
        <v>6604</v>
      </c>
      <c r="B1611" t="s">
        <v>6346</v>
      </c>
      <c r="C1611" t="s">
        <v>6347</v>
      </c>
      <c r="D1611">
        <v>62</v>
      </c>
      <c r="E1611" t="s">
        <v>6348</v>
      </c>
      <c r="F1611" t="s">
        <v>50</v>
      </c>
      <c r="G1611" t="s">
        <v>51</v>
      </c>
      <c r="H1611" t="s">
        <v>6349</v>
      </c>
      <c r="I1611" t="s">
        <v>53</v>
      </c>
      <c r="J1611" t="s">
        <v>4518</v>
      </c>
      <c r="K1611" t="s">
        <v>55</v>
      </c>
      <c r="L1611" t="s">
        <v>17</v>
      </c>
      <c r="M1611" t="s">
        <v>16</v>
      </c>
      <c r="N1611">
        <v>3923</v>
      </c>
      <c r="O1611">
        <v>223</v>
      </c>
      <c r="P1611">
        <v>0</v>
      </c>
      <c r="Q1611" t="s">
        <v>467</v>
      </c>
      <c r="R1611" t="s">
        <v>6605</v>
      </c>
      <c r="S1611" t="s">
        <v>6606</v>
      </c>
      <c r="T1611" t="s">
        <v>6607</v>
      </c>
      <c r="U1611" t="s">
        <v>60</v>
      </c>
      <c r="V1611" t="s">
        <v>61</v>
      </c>
      <c r="W1611">
        <v>3</v>
      </c>
      <c r="X1611">
        <v>0.11812499999999999</v>
      </c>
      <c r="Y1611" t="s">
        <v>471</v>
      </c>
      <c r="Z1611" t="s">
        <v>472</v>
      </c>
      <c r="AA1611">
        <v>3</v>
      </c>
      <c r="AB1611" t="s">
        <v>6352</v>
      </c>
      <c r="AC1611" t="s">
        <v>6353</v>
      </c>
      <c r="AD1611" t="s">
        <v>6354</v>
      </c>
      <c r="AE1611" t="s">
        <v>6355</v>
      </c>
      <c r="AF1611" t="s">
        <v>6356</v>
      </c>
      <c r="AG1611" t="s">
        <v>322</v>
      </c>
      <c r="AH1611" t="s">
        <v>191</v>
      </c>
      <c r="AI1611" t="s">
        <v>322</v>
      </c>
      <c r="AJ1611" t="s">
        <v>66</v>
      </c>
      <c r="AK1611">
        <v>1</v>
      </c>
      <c r="AL1611" t="s">
        <v>6513</v>
      </c>
      <c r="AM1611" t="s">
        <v>6514</v>
      </c>
      <c r="AN1611" t="s">
        <v>6515</v>
      </c>
      <c r="AO1611" t="s">
        <v>66</v>
      </c>
      <c r="AP1611">
        <v>1</v>
      </c>
      <c r="AQ1611" t="s">
        <v>6598</v>
      </c>
      <c r="AR1611" t="s">
        <v>6517</v>
      </c>
      <c r="AS1611" t="s">
        <v>6599</v>
      </c>
      <c r="AT1611" t="s">
        <v>66</v>
      </c>
    </row>
    <row r="1612" spans="1:46" x14ac:dyDescent="0.15">
      <c r="A1612" t="s">
        <v>6608</v>
      </c>
      <c r="B1612" t="s">
        <v>6346</v>
      </c>
      <c r="C1612" t="s">
        <v>6347</v>
      </c>
      <c r="D1612">
        <v>63</v>
      </c>
      <c r="E1612" t="s">
        <v>6348</v>
      </c>
      <c r="F1612" t="s">
        <v>50</v>
      </c>
      <c r="G1612" t="s">
        <v>51</v>
      </c>
      <c r="H1612" t="s">
        <v>6349</v>
      </c>
      <c r="I1612" t="s">
        <v>53</v>
      </c>
      <c r="J1612" t="s">
        <v>4518</v>
      </c>
      <c r="K1612" t="s">
        <v>55</v>
      </c>
      <c r="L1612" t="s">
        <v>17</v>
      </c>
      <c r="M1612" t="s">
        <v>16</v>
      </c>
      <c r="N1612">
        <v>3980</v>
      </c>
      <c r="O1612">
        <v>226</v>
      </c>
      <c r="P1612">
        <v>0</v>
      </c>
      <c r="Q1612" t="s">
        <v>474</v>
      </c>
      <c r="R1612" t="s">
        <v>6609</v>
      </c>
      <c r="S1612" t="s">
        <v>6610</v>
      </c>
      <c r="T1612" t="s">
        <v>6611</v>
      </c>
      <c r="U1612" t="s">
        <v>60</v>
      </c>
      <c r="V1612" t="s">
        <v>61</v>
      </c>
      <c r="W1612">
        <v>3</v>
      </c>
      <c r="X1612">
        <v>0.11812499999999999</v>
      </c>
      <c r="Y1612" t="s">
        <v>269</v>
      </c>
      <c r="Z1612" t="s">
        <v>478</v>
      </c>
      <c r="AA1612">
        <v>3</v>
      </c>
      <c r="AB1612" t="s">
        <v>6352</v>
      </c>
      <c r="AC1612" t="s">
        <v>6353</v>
      </c>
      <c r="AD1612" t="s">
        <v>6354</v>
      </c>
      <c r="AE1612" t="s">
        <v>6355</v>
      </c>
      <c r="AF1612" t="s">
        <v>6356</v>
      </c>
      <c r="AG1612" t="s">
        <v>322</v>
      </c>
      <c r="AH1612" t="s">
        <v>191</v>
      </c>
      <c r="AI1612" t="s">
        <v>322</v>
      </c>
      <c r="AJ1612" t="s">
        <v>66</v>
      </c>
      <c r="AK1612">
        <v>1</v>
      </c>
      <c r="AL1612" t="s">
        <v>6513</v>
      </c>
      <c r="AM1612" t="s">
        <v>6514</v>
      </c>
      <c r="AN1612" t="s">
        <v>6515</v>
      </c>
      <c r="AO1612" t="s">
        <v>66</v>
      </c>
      <c r="AP1612">
        <v>1</v>
      </c>
      <c r="AQ1612" t="s">
        <v>6598</v>
      </c>
      <c r="AR1612" t="s">
        <v>6517</v>
      </c>
      <c r="AS1612" t="s">
        <v>6599</v>
      </c>
      <c r="AT1612" t="s">
        <v>66</v>
      </c>
    </row>
    <row r="1613" spans="1:46" x14ac:dyDescent="0.15">
      <c r="A1613" t="s">
        <v>6612</v>
      </c>
      <c r="B1613" t="s">
        <v>6346</v>
      </c>
      <c r="C1613" t="s">
        <v>6347</v>
      </c>
      <c r="D1613">
        <v>64</v>
      </c>
      <c r="E1613" t="s">
        <v>6348</v>
      </c>
      <c r="F1613" t="s">
        <v>50</v>
      </c>
      <c r="G1613" t="s">
        <v>51</v>
      </c>
      <c r="H1613" t="s">
        <v>6349</v>
      </c>
      <c r="I1613" t="s">
        <v>53</v>
      </c>
      <c r="J1613" t="s">
        <v>4518</v>
      </c>
      <c r="K1613" t="s">
        <v>55</v>
      </c>
      <c r="L1613" t="s">
        <v>17</v>
      </c>
      <c r="M1613" t="s">
        <v>16</v>
      </c>
      <c r="N1613">
        <v>4036</v>
      </c>
      <c r="O1613">
        <v>229</v>
      </c>
      <c r="P1613">
        <v>0</v>
      </c>
      <c r="Q1613" t="s">
        <v>480</v>
      </c>
      <c r="R1613" t="s">
        <v>6613</v>
      </c>
      <c r="S1613" t="s">
        <v>6614</v>
      </c>
      <c r="T1613" t="s">
        <v>6615</v>
      </c>
      <c r="U1613" t="s">
        <v>60</v>
      </c>
      <c r="V1613" t="s">
        <v>61</v>
      </c>
      <c r="W1613">
        <v>3</v>
      </c>
      <c r="X1613">
        <v>0.11812499999999999</v>
      </c>
      <c r="Y1613" t="s">
        <v>484</v>
      </c>
      <c r="Z1613" t="s">
        <v>485</v>
      </c>
      <c r="AA1613">
        <v>3</v>
      </c>
      <c r="AB1613" t="s">
        <v>6352</v>
      </c>
      <c r="AC1613" t="s">
        <v>6353</v>
      </c>
      <c r="AD1613" t="s">
        <v>6354</v>
      </c>
      <c r="AE1613" t="s">
        <v>6355</v>
      </c>
      <c r="AF1613" t="s">
        <v>6356</v>
      </c>
      <c r="AG1613" t="s">
        <v>322</v>
      </c>
      <c r="AH1613" t="s">
        <v>191</v>
      </c>
      <c r="AI1613" t="s">
        <v>322</v>
      </c>
      <c r="AJ1613" t="s">
        <v>66</v>
      </c>
      <c r="AK1613">
        <v>1</v>
      </c>
      <c r="AL1613" t="s">
        <v>6513</v>
      </c>
      <c r="AM1613" t="s">
        <v>6514</v>
      </c>
      <c r="AN1613" t="s">
        <v>6515</v>
      </c>
      <c r="AO1613" t="s">
        <v>66</v>
      </c>
      <c r="AP1613">
        <v>1</v>
      </c>
      <c r="AQ1613" t="s">
        <v>6598</v>
      </c>
      <c r="AR1613" t="s">
        <v>6517</v>
      </c>
      <c r="AS1613" t="s">
        <v>6599</v>
      </c>
      <c r="AT1613" t="s">
        <v>66</v>
      </c>
    </row>
    <row r="1614" spans="1:46" x14ac:dyDescent="0.15">
      <c r="A1614" t="s">
        <v>6616</v>
      </c>
      <c r="B1614" t="s">
        <v>6346</v>
      </c>
      <c r="C1614" t="s">
        <v>6347</v>
      </c>
      <c r="D1614">
        <v>65</v>
      </c>
      <c r="E1614" t="s">
        <v>6348</v>
      </c>
      <c r="F1614" t="s">
        <v>50</v>
      </c>
      <c r="G1614" t="s">
        <v>51</v>
      </c>
      <c r="H1614" t="s">
        <v>6349</v>
      </c>
      <c r="I1614" t="s">
        <v>53</v>
      </c>
      <c r="J1614" t="s">
        <v>4518</v>
      </c>
      <c r="K1614" t="s">
        <v>55</v>
      </c>
      <c r="L1614" t="s">
        <v>17</v>
      </c>
      <c r="M1614" t="s">
        <v>16</v>
      </c>
      <c r="N1614">
        <v>4092</v>
      </c>
      <c r="O1614">
        <v>233</v>
      </c>
      <c r="P1614">
        <v>0</v>
      </c>
      <c r="Q1614" t="s">
        <v>487</v>
      </c>
      <c r="R1614" t="s">
        <v>6617</v>
      </c>
      <c r="S1614" t="s">
        <v>6618</v>
      </c>
      <c r="T1614" t="s">
        <v>6619</v>
      </c>
      <c r="U1614" t="s">
        <v>60</v>
      </c>
      <c r="V1614" t="s">
        <v>61</v>
      </c>
      <c r="W1614">
        <v>3</v>
      </c>
      <c r="X1614">
        <v>0.11812499999999999</v>
      </c>
      <c r="Y1614" t="s">
        <v>275</v>
      </c>
      <c r="Z1614" t="s">
        <v>491</v>
      </c>
      <c r="AA1614">
        <v>3</v>
      </c>
      <c r="AB1614" t="s">
        <v>6352</v>
      </c>
      <c r="AC1614" t="s">
        <v>6353</v>
      </c>
      <c r="AD1614" t="s">
        <v>6354</v>
      </c>
      <c r="AE1614" t="s">
        <v>6355</v>
      </c>
      <c r="AF1614" t="s">
        <v>6356</v>
      </c>
      <c r="AG1614" t="s">
        <v>322</v>
      </c>
      <c r="AH1614" t="s">
        <v>191</v>
      </c>
      <c r="AI1614" t="s">
        <v>322</v>
      </c>
      <c r="AJ1614" t="s">
        <v>66</v>
      </c>
      <c r="AK1614">
        <v>1</v>
      </c>
      <c r="AL1614" t="s">
        <v>6513</v>
      </c>
      <c r="AM1614" t="s">
        <v>6514</v>
      </c>
      <c r="AN1614" t="s">
        <v>6515</v>
      </c>
      <c r="AO1614" t="s">
        <v>66</v>
      </c>
      <c r="AP1614">
        <v>1</v>
      </c>
      <c r="AQ1614" t="s">
        <v>6598</v>
      </c>
      <c r="AR1614" t="s">
        <v>6517</v>
      </c>
      <c r="AS1614" t="s">
        <v>6599</v>
      </c>
      <c r="AT1614" t="s">
        <v>66</v>
      </c>
    </row>
    <row r="1615" spans="1:46" x14ac:dyDescent="0.15">
      <c r="A1615" t="s">
        <v>6620</v>
      </c>
      <c r="B1615" t="s">
        <v>6346</v>
      </c>
      <c r="C1615" t="s">
        <v>6347</v>
      </c>
      <c r="D1615">
        <v>66</v>
      </c>
      <c r="E1615" t="s">
        <v>6348</v>
      </c>
      <c r="F1615" t="s">
        <v>50</v>
      </c>
      <c r="G1615" t="s">
        <v>51</v>
      </c>
      <c r="H1615" t="s">
        <v>6349</v>
      </c>
      <c r="I1615" t="s">
        <v>53</v>
      </c>
      <c r="J1615" t="s">
        <v>4518</v>
      </c>
      <c r="K1615" t="s">
        <v>55</v>
      </c>
      <c r="L1615" t="s">
        <v>17</v>
      </c>
      <c r="M1615" t="s">
        <v>16</v>
      </c>
      <c r="N1615">
        <v>4148</v>
      </c>
      <c r="O1615">
        <v>236</v>
      </c>
      <c r="P1615">
        <v>0</v>
      </c>
      <c r="Q1615" t="s">
        <v>493</v>
      </c>
      <c r="R1615" t="s">
        <v>6621</v>
      </c>
      <c r="S1615" t="s">
        <v>6622</v>
      </c>
      <c r="T1615" t="s">
        <v>6623</v>
      </c>
      <c r="U1615" t="s">
        <v>60</v>
      </c>
      <c r="V1615" t="s">
        <v>61</v>
      </c>
      <c r="W1615">
        <v>3</v>
      </c>
      <c r="X1615">
        <v>0.11812499999999999</v>
      </c>
      <c r="Y1615" t="s">
        <v>497</v>
      </c>
      <c r="Z1615" t="s">
        <v>498</v>
      </c>
      <c r="AA1615">
        <v>3</v>
      </c>
      <c r="AB1615" t="s">
        <v>6352</v>
      </c>
      <c r="AC1615" t="s">
        <v>6353</v>
      </c>
      <c r="AD1615" t="s">
        <v>6354</v>
      </c>
      <c r="AE1615" t="s">
        <v>6355</v>
      </c>
      <c r="AF1615" t="s">
        <v>6356</v>
      </c>
      <c r="AG1615" t="s">
        <v>322</v>
      </c>
      <c r="AH1615" t="s">
        <v>191</v>
      </c>
      <c r="AI1615" t="s">
        <v>322</v>
      </c>
      <c r="AJ1615" t="s">
        <v>66</v>
      </c>
      <c r="AK1615">
        <v>1</v>
      </c>
      <c r="AL1615" t="s">
        <v>6513</v>
      </c>
      <c r="AM1615" t="s">
        <v>6514</v>
      </c>
      <c r="AN1615" t="s">
        <v>6515</v>
      </c>
      <c r="AO1615" t="s">
        <v>66</v>
      </c>
      <c r="AP1615">
        <v>1</v>
      </c>
      <c r="AQ1615" t="s">
        <v>6598</v>
      </c>
      <c r="AR1615" t="s">
        <v>6517</v>
      </c>
      <c r="AS1615" t="s">
        <v>6599</v>
      </c>
      <c r="AT1615" t="s">
        <v>66</v>
      </c>
    </row>
    <row r="1616" spans="1:46" x14ac:dyDescent="0.15">
      <c r="A1616" t="s">
        <v>6624</v>
      </c>
      <c r="B1616" t="s">
        <v>6346</v>
      </c>
      <c r="C1616" t="s">
        <v>6347</v>
      </c>
      <c r="D1616">
        <v>67</v>
      </c>
      <c r="E1616" t="s">
        <v>6348</v>
      </c>
      <c r="F1616" t="s">
        <v>50</v>
      </c>
      <c r="G1616" t="s">
        <v>51</v>
      </c>
      <c r="H1616" t="s">
        <v>6349</v>
      </c>
      <c r="I1616" t="s">
        <v>53</v>
      </c>
      <c r="J1616" t="s">
        <v>4518</v>
      </c>
      <c r="K1616" t="s">
        <v>55</v>
      </c>
      <c r="L1616" t="s">
        <v>17</v>
      </c>
      <c r="M1616" t="s">
        <v>16</v>
      </c>
      <c r="N1616">
        <v>4204</v>
      </c>
      <c r="O1616">
        <v>239</v>
      </c>
      <c r="P1616">
        <v>0</v>
      </c>
      <c r="Q1616" t="s">
        <v>500</v>
      </c>
      <c r="R1616" t="s">
        <v>6625</v>
      </c>
      <c r="S1616" t="s">
        <v>6626</v>
      </c>
      <c r="T1616" t="s">
        <v>6627</v>
      </c>
      <c r="U1616" t="s">
        <v>60</v>
      </c>
      <c r="V1616" t="s">
        <v>61</v>
      </c>
      <c r="W1616">
        <v>3</v>
      </c>
      <c r="X1616">
        <v>0.11812499999999999</v>
      </c>
      <c r="Y1616" t="s">
        <v>282</v>
      </c>
      <c r="Z1616" t="s">
        <v>504</v>
      </c>
      <c r="AA1616">
        <v>3</v>
      </c>
      <c r="AB1616" t="s">
        <v>6352</v>
      </c>
      <c r="AC1616" t="s">
        <v>6353</v>
      </c>
      <c r="AD1616" t="s">
        <v>6354</v>
      </c>
      <c r="AE1616" t="s">
        <v>6355</v>
      </c>
      <c r="AF1616" t="s">
        <v>6356</v>
      </c>
      <c r="AG1616" t="s">
        <v>322</v>
      </c>
      <c r="AH1616" t="s">
        <v>191</v>
      </c>
      <c r="AI1616" t="s">
        <v>322</v>
      </c>
      <c r="AJ1616" t="s">
        <v>66</v>
      </c>
      <c r="AK1616">
        <v>1</v>
      </c>
      <c r="AL1616" t="s">
        <v>6513</v>
      </c>
      <c r="AM1616" t="s">
        <v>6514</v>
      </c>
      <c r="AN1616" t="s">
        <v>6515</v>
      </c>
      <c r="AO1616" t="s">
        <v>66</v>
      </c>
      <c r="AP1616">
        <v>1</v>
      </c>
      <c r="AQ1616" t="s">
        <v>6598</v>
      </c>
      <c r="AR1616" t="s">
        <v>6517</v>
      </c>
      <c r="AS1616" t="s">
        <v>6599</v>
      </c>
      <c r="AT1616" t="s">
        <v>66</v>
      </c>
    </row>
    <row r="1617" spans="1:46" x14ac:dyDescent="0.15">
      <c r="A1617" t="s">
        <v>6628</v>
      </c>
      <c r="B1617" t="s">
        <v>6346</v>
      </c>
      <c r="C1617" t="s">
        <v>6347</v>
      </c>
      <c r="D1617">
        <v>68</v>
      </c>
      <c r="E1617" t="s">
        <v>6348</v>
      </c>
      <c r="F1617" t="s">
        <v>50</v>
      </c>
      <c r="G1617" t="s">
        <v>51</v>
      </c>
      <c r="H1617" t="s">
        <v>6349</v>
      </c>
      <c r="I1617" t="s">
        <v>53</v>
      </c>
      <c r="J1617" t="s">
        <v>4518</v>
      </c>
      <c r="K1617" t="s">
        <v>55</v>
      </c>
      <c r="L1617" t="s">
        <v>17</v>
      </c>
      <c r="M1617" t="s">
        <v>16</v>
      </c>
      <c r="N1617">
        <v>4260</v>
      </c>
      <c r="O1617">
        <v>242</v>
      </c>
      <c r="P1617">
        <v>0</v>
      </c>
      <c r="Q1617" t="s">
        <v>506</v>
      </c>
      <c r="R1617" t="s">
        <v>6629</v>
      </c>
      <c r="S1617" t="s">
        <v>6630</v>
      </c>
      <c r="T1617" t="s">
        <v>6631</v>
      </c>
      <c r="U1617" t="s">
        <v>60</v>
      </c>
      <c r="V1617" t="s">
        <v>61</v>
      </c>
      <c r="W1617">
        <v>3</v>
      </c>
      <c r="X1617">
        <v>0.11812499999999999</v>
      </c>
      <c r="Y1617" t="s">
        <v>510</v>
      </c>
      <c r="Z1617" t="s">
        <v>511</v>
      </c>
      <c r="AA1617">
        <v>3</v>
      </c>
      <c r="AB1617" t="s">
        <v>6352</v>
      </c>
      <c r="AC1617" t="s">
        <v>6353</v>
      </c>
      <c r="AD1617" t="s">
        <v>6354</v>
      </c>
      <c r="AE1617" t="s">
        <v>6355</v>
      </c>
      <c r="AF1617" t="s">
        <v>6356</v>
      </c>
      <c r="AG1617" t="s">
        <v>322</v>
      </c>
      <c r="AH1617" t="s">
        <v>191</v>
      </c>
      <c r="AI1617" t="s">
        <v>322</v>
      </c>
      <c r="AJ1617" t="s">
        <v>66</v>
      </c>
      <c r="AK1617">
        <v>1</v>
      </c>
      <c r="AL1617" t="s">
        <v>6513</v>
      </c>
      <c r="AM1617" t="s">
        <v>6514</v>
      </c>
      <c r="AN1617" t="s">
        <v>6515</v>
      </c>
      <c r="AO1617" t="s">
        <v>66</v>
      </c>
      <c r="AP1617">
        <v>1</v>
      </c>
      <c r="AQ1617" t="s">
        <v>6598</v>
      </c>
      <c r="AR1617" t="s">
        <v>6517</v>
      </c>
      <c r="AS1617" t="s">
        <v>6599</v>
      </c>
      <c r="AT1617" t="s">
        <v>66</v>
      </c>
    </row>
    <row r="1618" spans="1:46" x14ac:dyDescent="0.15">
      <c r="A1618" t="s">
        <v>6632</v>
      </c>
      <c r="B1618" t="s">
        <v>6346</v>
      </c>
      <c r="C1618" t="s">
        <v>6347</v>
      </c>
      <c r="D1618">
        <v>69</v>
      </c>
      <c r="E1618" t="s">
        <v>6348</v>
      </c>
      <c r="F1618" t="s">
        <v>50</v>
      </c>
      <c r="G1618" t="s">
        <v>51</v>
      </c>
      <c r="H1618" t="s">
        <v>6349</v>
      </c>
      <c r="I1618" t="s">
        <v>53</v>
      </c>
      <c r="J1618" t="s">
        <v>4518</v>
      </c>
      <c r="K1618" t="s">
        <v>55</v>
      </c>
      <c r="L1618" t="s">
        <v>17</v>
      </c>
      <c r="M1618" t="s">
        <v>16</v>
      </c>
      <c r="N1618">
        <v>4316</v>
      </c>
      <c r="O1618">
        <v>245</v>
      </c>
      <c r="P1618">
        <v>0</v>
      </c>
      <c r="Q1618" t="s">
        <v>513</v>
      </c>
      <c r="R1618" t="s">
        <v>6633</v>
      </c>
      <c r="S1618" t="s">
        <v>6634</v>
      </c>
      <c r="T1618" t="s">
        <v>6635</v>
      </c>
      <c r="U1618" t="s">
        <v>60</v>
      </c>
      <c r="V1618" t="s">
        <v>61</v>
      </c>
      <c r="W1618">
        <v>3</v>
      </c>
      <c r="X1618">
        <v>0.11812499999999999</v>
      </c>
      <c r="Y1618" t="s">
        <v>288</v>
      </c>
      <c r="Z1618" t="s">
        <v>517</v>
      </c>
      <c r="AA1618">
        <v>3</v>
      </c>
      <c r="AB1618" t="s">
        <v>6352</v>
      </c>
      <c r="AC1618" t="s">
        <v>6353</v>
      </c>
      <c r="AD1618" t="s">
        <v>6354</v>
      </c>
      <c r="AE1618" t="s">
        <v>6355</v>
      </c>
      <c r="AF1618" t="s">
        <v>6356</v>
      </c>
      <c r="AG1618" t="s">
        <v>322</v>
      </c>
      <c r="AH1618" t="s">
        <v>191</v>
      </c>
      <c r="AI1618" t="s">
        <v>322</v>
      </c>
      <c r="AJ1618" t="s">
        <v>66</v>
      </c>
      <c r="AK1618">
        <v>1</v>
      </c>
      <c r="AL1618" t="s">
        <v>6513</v>
      </c>
      <c r="AM1618" t="s">
        <v>6514</v>
      </c>
      <c r="AN1618" t="s">
        <v>6515</v>
      </c>
      <c r="AO1618" t="s">
        <v>66</v>
      </c>
      <c r="AP1618">
        <v>1</v>
      </c>
      <c r="AQ1618" t="s">
        <v>6598</v>
      </c>
      <c r="AR1618" t="s">
        <v>6517</v>
      </c>
      <c r="AS1618" t="s">
        <v>6599</v>
      </c>
      <c r="AT1618" t="s">
        <v>66</v>
      </c>
    </row>
    <row r="1619" spans="1:46" x14ac:dyDescent="0.15">
      <c r="A1619" t="s">
        <v>6636</v>
      </c>
      <c r="B1619" t="s">
        <v>6346</v>
      </c>
      <c r="C1619" t="s">
        <v>6347</v>
      </c>
      <c r="D1619">
        <v>70</v>
      </c>
      <c r="E1619" t="s">
        <v>6348</v>
      </c>
      <c r="F1619" t="s">
        <v>50</v>
      </c>
      <c r="G1619" t="s">
        <v>51</v>
      </c>
      <c r="H1619" t="s">
        <v>6349</v>
      </c>
      <c r="I1619" t="s">
        <v>53</v>
      </c>
      <c r="J1619" t="s">
        <v>4518</v>
      </c>
      <c r="K1619" t="s">
        <v>55</v>
      </c>
      <c r="L1619" t="s">
        <v>17</v>
      </c>
      <c r="M1619" t="s">
        <v>16</v>
      </c>
      <c r="N1619">
        <v>4372</v>
      </c>
      <c r="O1619">
        <v>248</v>
      </c>
      <c r="P1619">
        <v>0</v>
      </c>
      <c r="Q1619" t="s">
        <v>519</v>
      </c>
      <c r="R1619" t="s">
        <v>6637</v>
      </c>
      <c r="S1619" t="s">
        <v>6638</v>
      </c>
      <c r="T1619" t="s">
        <v>6639</v>
      </c>
      <c r="U1619" t="s">
        <v>60</v>
      </c>
      <c r="V1619" t="s">
        <v>61</v>
      </c>
      <c r="W1619">
        <v>3</v>
      </c>
      <c r="X1619">
        <v>0.11812499999999999</v>
      </c>
      <c r="Y1619" t="s">
        <v>523</v>
      </c>
      <c r="Z1619" t="s">
        <v>524</v>
      </c>
      <c r="AA1619">
        <v>3</v>
      </c>
      <c r="AB1619" t="s">
        <v>6352</v>
      </c>
      <c r="AC1619" t="s">
        <v>6353</v>
      </c>
      <c r="AD1619" t="s">
        <v>6354</v>
      </c>
      <c r="AE1619" t="s">
        <v>6355</v>
      </c>
      <c r="AF1619" t="s">
        <v>6356</v>
      </c>
      <c r="AG1619" t="s">
        <v>322</v>
      </c>
      <c r="AH1619" t="s">
        <v>191</v>
      </c>
      <c r="AI1619" t="s">
        <v>322</v>
      </c>
      <c r="AJ1619" t="s">
        <v>66</v>
      </c>
      <c r="AK1619">
        <v>1</v>
      </c>
      <c r="AL1619" t="s">
        <v>6513</v>
      </c>
      <c r="AM1619" t="s">
        <v>6514</v>
      </c>
      <c r="AN1619" t="s">
        <v>6515</v>
      </c>
      <c r="AO1619" t="s">
        <v>66</v>
      </c>
      <c r="AP1619">
        <v>1</v>
      </c>
      <c r="AQ1619" t="s">
        <v>6598</v>
      </c>
      <c r="AR1619" t="s">
        <v>6517</v>
      </c>
      <c r="AS1619" t="s">
        <v>6599</v>
      </c>
      <c r="AT1619" t="s">
        <v>66</v>
      </c>
    </row>
    <row r="1620" spans="1:46" x14ac:dyDescent="0.15">
      <c r="A1620" t="s">
        <v>6640</v>
      </c>
      <c r="B1620" t="s">
        <v>6346</v>
      </c>
      <c r="C1620" t="s">
        <v>6347</v>
      </c>
      <c r="D1620">
        <v>71</v>
      </c>
      <c r="E1620" t="s">
        <v>6348</v>
      </c>
      <c r="F1620" t="s">
        <v>50</v>
      </c>
      <c r="G1620" t="s">
        <v>51</v>
      </c>
      <c r="H1620" t="s">
        <v>6349</v>
      </c>
      <c r="I1620" t="s">
        <v>53</v>
      </c>
      <c r="J1620" t="s">
        <v>4518</v>
      </c>
      <c r="K1620" t="s">
        <v>55</v>
      </c>
      <c r="L1620" t="s">
        <v>17</v>
      </c>
      <c r="M1620" t="s">
        <v>16</v>
      </c>
      <c r="N1620">
        <v>4429</v>
      </c>
      <c r="O1620">
        <v>252</v>
      </c>
      <c r="P1620">
        <v>0</v>
      </c>
      <c r="Q1620" t="s">
        <v>526</v>
      </c>
      <c r="R1620" t="s">
        <v>6641</v>
      </c>
      <c r="S1620" t="s">
        <v>6642</v>
      </c>
      <c r="T1620" t="s">
        <v>6643</v>
      </c>
      <c r="U1620" t="s">
        <v>60</v>
      </c>
      <c r="V1620" t="s">
        <v>61</v>
      </c>
      <c r="W1620">
        <v>3</v>
      </c>
      <c r="X1620">
        <v>0.11812499999999999</v>
      </c>
      <c r="Y1620" t="s">
        <v>295</v>
      </c>
      <c r="Z1620" t="s">
        <v>530</v>
      </c>
      <c r="AA1620">
        <v>3</v>
      </c>
      <c r="AB1620" t="s">
        <v>6352</v>
      </c>
      <c r="AC1620" t="s">
        <v>6353</v>
      </c>
      <c r="AD1620" t="s">
        <v>6354</v>
      </c>
      <c r="AE1620" t="s">
        <v>6355</v>
      </c>
      <c r="AF1620" t="s">
        <v>6356</v>
      </c>
      <c r="AG1620" t="s">
        <v>322</v>
      </c>
      <c r="AH1620" t="s">
        <v>191</v>
      </c>
      <c r="AI1620" t="s">
        <v>322</v>
      </c>
      <c r="AJ1620" t="s">
        <v>66</v>
      </c>
      <c r="AK1620">
        <v>1</v>
      </c>
      <c r="AL1620" t="s">
        <v>6513</v>
      </c>
      <c r="AM1620" t="s">
        <v>6514</v>
      </c>
      <c r="AN1620" t="s">
        <v>6515</v>
      </c>
      <c r="AO1620" t="s">
        <v>66</v>
      </c>
      <c r="AP1620">
        <v>1</v>
      </c>
      <c r="AQ1620" t="s">
        <v>6598</v>
      </c>
      <c r="AR1620" t="s">
        <v>6517</v>
      </c>
      <c r="AS1620" t="s">
        <v>6599</v>
      </c>
      <c r="AT1620" t="s">
        <v>66</v>
      </c>
    </row>
    <row r="1621" spans="1:46" x14ac:dyDescent="0.15">
      <c r="A1621" t="s">
        <v>6644</v>
      </c>
      <c r="B1621" t="s">
        <v>6346</v>
      </c>
      <c r="C1621" t="s">
        <v>6347</v>
      </c>
      <c r="D1621">
        <v>72</v>
      </c>
      <c r="E1621" t="s">
        <v>6348</v>
      </c>
      <c r="F1621" t="s">
        <v>50</v>
      </c>
      <c r="G1621" t="s">
        <v>51</v>
      </c>
      <c r="H1621" t="s">
        <v>6349</v>
      </c>
      <c r="I1621" t="s">
        <v>53</v>
      </c>
      <c r="J1621" t="s">
        <v>4518</v>
      </c>
      <c r="K1621" t="s">
        <v>55</v>
      </c>
      <c r="L1621" t="s">
        <v>17</v>
      </c>
      <c r="M1621" t="s">
        <v>16</v>
      </c>
      <c r="N1621">
        <v>4485</v>
      </c>
      <c r="O1621">
        <v>255</v>
      </c>
      <c r="P1621">
        <v>0</v>
      </c>
      <c r="Q1621" t="s">
        <v>532</v>
      </c>
      <c r="R1621" t="s">
        <v>6645</v>
      </c>
      <c r="S1621" t="s">
        <v>6646</v>
      </c>
      <c r="T1621" t="s">
        <v>6647</v>
      </c>
      <c r="U1621" t="s">
        <v>60</v>
      </c>
      <c r="V1621" t="s">
        <v>61</v>
      </c>
      <c r="W1621">
        <v>3</v>
      </c>
      <c r="X1621">
        <v>0.11812499999999999</v>
      </c>
      <c r="Y1621" t="s">
        <v>536</v>
      </c>
      <c r="Z1621" t="s">
        <v>537</v>
      </c>
      <c r="AA1621">
        <v>3</v>
      </c>
      <c r="AB1621" t="s">
        <v>6352</v>
      </c>
      <c r="AC1621" t="s">
        <v>6353</v>
      </c>
      <c r="AD1621" t="s">
        <v>6354</v>
      </c>
      <c r="AE1621" t="s">
        <v>6355</v>
      </c>
      <c r="AF1621" t="s">
        <v>6356</v>
      </c>
      <c r="AG1621" t="s">
        <v>322</v>
      </c>
      <c r="AH1621" t="s">
        <v>191</v>
      </c>
      <c r="AI1621" t="s">
        <v>322</v>
      </c>
      <c r="AJ1621" t="s">
        <v>66</v>
      </c>
      <c r="AK1621">
        <v>1</v>
      </c>
      <c r="AL1621" t="s">
        <v>6513</v>
      </c>
      <c r="AM1621" t="s">
        <v>6514</v>
      </c>
      <c r="AN1621" t="s">
        <v>6515</v>
      </c>
      <c r="AO1621" t="s">
        <v>66</v>
      </c>
      <c r="AP1621">
        <v>1</v>
      </c>
      <c r="AQ1621" t="s">
        <v>6598</v>
      </c>
      <c r="AR1621" t="s">
        <v>6517</v>
      </c>
      <c r="AS1621" t="s">
        <v>6599</v>
      </c>
      <c r="AT1621" t="s">
        <v>66</v>
      </c>
    </row>
    <row r="1622" spans="1:46" x14ac:dyDescent="0.15">
      <c r="A1622" t="s">
        <v>6648</v>
      </c>
      <c r="B1622" t="s">
        <v>6346</v>
      </c>
      <c r="C1622" t="s">
        <v>6347</v>
      </c>
      <c r="D1622">
        <v>73</v>
      </c>
      <c r="E1622" t="s">
        <v>6348</v>
      </c>
      <c r="F1622" t="s">
        <v>50</v>
      </c>
      <c r="G1622" t="s">
        <v>51</v>
      </c>
      <c r="H1622" t="s">
        <v>6349</v>
      </c>
      <c r="I1622" t="s">
        <v>53</v>
      </c>
      <c r="J1622" t="s">
        <v>4518</v>
      </c>
      <c r="K1622" t="s">
        <v>55</v>
      </c>
      <c r="L1622" t="s">
        <v>17</v>
      </c>
      <c r="M1622" t="s">
        <v>16</v>
      </c>
      <c r="N1622">
        <v>4541</v>
      </c>
      <c r="O1622">
        <v>258</v>
      </c>
      <c r="P1622">
        <v>0</v>
      </c>
      <c r="Q1622" t="s">
        <v>539</v>
      </c>
      <c r="R1622" t="s">
        <v>6649</v>
      </c>
      <c r="S1622" t="s">
        <v>6650</v>
      </c>
      <c r="T1622" t="s">
        <v>6651</v>
      </c>
      <c r="U1622" t="s">
        <v>60</v>
      </c>
      <c r="V1622" t="s">
        <v>61</v>
      </c>
      <c r="W1622">
        <v>3</v>
      </c>
      <c r="X1622">
        <v>0.11812499999999999</v>
      </c>
      <c r="Y1622" t="s">
        <v>301</v>
      </c>
      <c r="Z1622" t="s">
        <v>543</v>
      </c>
      <c r="AA1622">
        <v>3</v>
      </c>
      <c r="AB1622" t="s">
        <v>6352</v>
      </c>
      <c r="AC1622" t="s">
        <v>6353</v>
      </c>
      <c r="AD1622" t="s">
        <v>6354</v>
      </c>
      <c r="AE1622" t="s">
        <v>6355</v>
      </c>
      <c r="AF1622" t="s">
        <v>6356</v>
      </c>
      <c r="AG1622" t="s">
        <v>322</v>
      </c>
      <c r="AH1622" t="s">
        <v>191</v>
      </c>
      <c r="AI1622" t="s">
        <v>322</v>
      </c>
      <c r="AJ1622" t="s">
        <v>66</v>
      </c>
      <c r="AK1622">
        <v>1</v>
      </c>
      <c r="AL1622" t="s">
        <v>6513</v>
      </c>
      <c r="AM1622" t="s">
        <v>6514</v>
      </c>
      <c r="AN1622" t="s">
        <v>6515</v>
      </c>
      <c r="AO1622" t="s">
        <v>66</v>
      </c>
      <c r="AP1622">
        <v>1</v>
      </c>
      <c r="AQ1622" t="s">
        <v>6598</v>
      </c>
      <c r="AR1622" t="s">
        <v>6517</v>
      </c>
      <c r="AS1622" t="s">
        <v>6599</v>
      </c>
      <c r="AT1622" t="s">
        <v>66</v>
      </c>
    </row>
    <row r="1623" spans="1:46" x14ac:dyDescent="0.15">
      <c r="A1623" t="s">
        <v>6652</v>
      </c>
      <c r="B1623" t="s">
        <v>6346</v>
      </c>
      <c r="C1623" t="s">
        <v>6347</v>
      </c>
      <c r="D1623">
        <v>74</v>
      </c>
      <c r="E1623" t="s">
        <v>6348</v>
      </c>
      <c r="F1623" t="s">
        <v>50</v>
      </c>
      <c r="G1623" t="s">
        <v>51</v>
      </c>
      <c r="H1623" t="s">
        <v>6349</v>
      </c>
      <c r="I1623" t="s">
        <v>53</v>
      </c>
      <c r="J1623" t="s">
        <v>4518</v>
      </c>
      <c r="K1623" t="s">
        <v>55</v>
      </c>
      <c r="L1623" t="s">
        <v>17</v>
      </c>
      <c r="M1623" t="s">
        <v>16</v>
      </c>
      <c r="N1623">
        <v>4597</v>
      </c>
      <c r="O1623">
        <v>261</v>
      </c>
      <c r="P1623">
        <v>0</v>
      </c>
      <c r="Q1623" t="s">
        <v>545</v>
      </c>
      <c r="R1623" t="s">
        <v>6653</v>
      </c>
      <c r="S1623" t="s">
        <v>6654</v>
      </c>
      <c r="T1623" t="s">
        <v>6655</v>
      </c>
      <c r="U1623" t="s">
        <v>60</v>
      </c>
      <c r="V1623" t="s">
        <v>61</v>
      </c>
      <c r="W1623">
        <v>3</v>
      </c>
      <c r="X1623">
        <v>0.11812499999999999</v>
      </c>
      <c r="Y1623" t="s">
        <v>549</v>
      </c>
      <c r="Z1623" t="s">
        <v>550</v>
      </c>
      <c r="AA1623">
        <v>3</v>
      </c>
      <c r="AB1623" t="s">
        <v>6352</v>
      </c>
      <c r="AC1623" t="s">
        <v>6353</v>
      </c>
      <c r="AD1623" t="s">
        <v>6354</v>
      </c>
      <c r="AE1623" t="s">
        <v>6355</v>
      </c>
      <c r="AF1623" t="s">
        <v>6356</v>
      </c>
      <c r="AG1623" t="s">
        <v>322</v>
      </c>
      <c r="AH1623" t="s">
        <v>191</v>
      </c>
      <c r="AI1623" t="s">
        <v>322</v>
      </c>
      <c r="AJ1623" t="s">
        <v>66</v>
      </c>
      <c r="AK1623">
        <v>1</v>
      </c>
      <c r="AL1623" t="s">
        <v>6513</v>
      </c>
      <c r="AM1623" t="s">
        <v>6514</v>
      </c>
      <c r="AN1623" t="s">
        <v>6515</v>
      </c>
      <c r="AO1623" t="s">
        <v>66</v>
      </c>
      <c r="AP1623">
        <v>1</v>
      </c>
      <c r="AQ1623" t="s">
        <v>6598</v>
      </c>
      <c r="AR1623" t="s">
        <v>6517</v>
      </c>
      <c r="AS1623" t="s">
        <v>6599</v>
      </c>
      <c r="AT1623" t="s">
        <v>66</v>
      </c>
    </row>
    <row r="1624" spans="1:46" x14ac:dyDescent="0.15">
      <c r="A1624" t="s">
        <v>6656</v>
      </c>
      <c r="B1624" t="s">
        <v>6346</v>
      </c>
      <c r="C1624" t="s">
        <v>6347</v>
      </c>
      <c r="D1624">
        <v>75</v>
      </c>
      <c r="E1624" t="s">
        <v>6348</v>
      </c>
      <c r="F1624" t="s">
        <v>50</v>
      </c>
      <c r="G1624" t="s">
        <v>51</v>
      </c>
      <c r="H1624" t="s">
        <v>6349</v>
      </c>
      <c r="I1624" t="s">
        <v>53</v>
      </c>
      <c r="J1624" t="s">
        <v>4518</v>
      </c>
      <c r="K1624" t="s">
        <v>55</v>
      </c>
      <c r="L1624" t="s">
        <v>17</v>
      </c>
      <c r="M1624" t="s">
        <v>16</v>
      </c>
      <c r="N1624">
        <v>4653</v>
      </c>
      <c r="O1624">
        <v>264</v>
      </c>
      <c r="P1624">
        <v>0</v>
      </c>
      <c r="Q1624" t="s">
        <v>552</v>
      </c>
      <c r="R1624" t="s">
        <v>6657</v>
      </c>
      <c r="S1624" t="s">
        <v>6658</v>
      </c>
      <c r="T1624" t="s">
        <v>6659</v>
      </c>
      <c r="U1624" t="s">
        <v>60</v>
      </c>
      <c r="V1624" t="s">
        <v>61</v>
      </c>
      <c r="W1624">
        <v>3</v>
      </c>
      <c r="X1624">
        <v>0.11812499999999999</v>
      </c>
      <c r="Y1624" t="s">
        <v>308</v>
      </c>
      <c r="Z1624" t="s">
        <v>556</v>
      </c>
      <c r="AA1624">
        <v>3</v>
      </c>
      <c r="AB1624" t="s">
        <v>6352</v>
      </c>
      <c r="AC1624" t="s">
        <v>6353</v>
      </c>
      <c r="AD1624" t="s">
        <v>6354</v>
      </c>
      <c r="AE1624" t="s">
        <v>6355</v>
      </c>
      <c r="AF1624" t="s">
        <v>6356</v>
      </c>
      <c r="AG1624" t="s">
        <v>322</v>
      </c>
      <c r="AH1624" t="s">
        <v>191</v>
      </c>
      <c r="AI1624" t="s">
        <v>322</v>
      </c>
      <c r="AJ1624" t="s">
        <v>66</v>
      </c>
      <c r="AK1624">
        <v>1</v>
      </c>
      <c r="AL1624" t="s">
        <v>6513</v>
      </c>
      <c r="AM1624" t="s">
        <v>6514</v>
      </c>
      <c r="AN1624" t="s">
        <v>6515</v>
      </c>
      <c r="AO1624" t="s">
        <v>66</v>
      </c>
      <c r="AP1624">
        <v>1</v>
      </c>
      <c r="AQ1624" t="s">
        <v>6598</v>
      </c>
      <c r="AR1624" t="s">
        <v>6517</v>
      </c>
      <c r="AS1624" t="s">
        <v>6599</v>
      </c>
      <c r="AT1624" t="s">
        <v>66</v>
      </c>
    </row>
    <row r="1625" spans="1:46" x14ac:dyDescent="0.15">
      <c r="A1625" t="s">
        <v>6660</v>
      </c>
      <c r="B1625" t="s">
        <v>6346</v>
      </c>
      <c r="C1625" t="s">
        <v>6347</v>
      </c>
      <c r="D1625">
        <v>76</v>
      </c>
      <c r="E1625" t="s">
        <v>6348</v>
      </c>
      <c r="F1625" t="s">
        <v>50</v>
      </c>
      <c r="G1625" t="s">
        <v>51</v>
      </c>
      <c r="H1625" t="s">
        <v>6349</v>
      </c>
      <c r="I1625" t="s">
        <v>53</v>
      </c>
      <c r="J1625" t="s">
        <v>4518</v>
      </c>
      <c r="K1625" t="s">
        <v>55</v>
      </c>
      <c r="L1625" t="s">
        <v>17</v>
      </c>
      <c r="M1625" t="s">
        <v>16</v>
      </c>
      <c r="N1625">
        <v>4709</v>
      </c>
      <c r="O1625">
        <v>267</v>
      </c>
      <c r="P1625">
        <v>0</v>
      </c>
      <c r="Q1625" t="s">
        <v>558</v>
      </c>
      <c r="R1625" t="s">
        <v>6661</v>
      </c>
      <c r="S1625" t="s">
        <v>6662</v>
      </c>
      <c r="T1625" t="s">
        <v>6663</v>
      </c>
      <c r="U1625" t="s">
        <v>60</v>
      </c>
      <c r="V1625" t="s">
        <v>61</v>
      </c>
      <c r="W1625">
        <v>3</v>
      </c>
      <c r="X1625">
        <v>0.11812499999999999</v>
      </c>
      <c r="Y1625" t="s">
        <v>562</v>
      </c>
      <c r="Z1625" t="s">
        <v>563</v>
      </c>
      <c r="AA1625">
        <v>3</v>
      </c>
      <c r="AB1625" t="s">
        <v>6352</v>
      </c>
      <c r="AC1625" t="s">
        <v>6353</v>
      </c>
      <c r="AD1625" t="s">
        <v>6354</v>
      </c>
      <c r="AE1625" t="s">
        <v>6355</v>
      </c>
      <c r="AF1625" t="s">
        <v>6356</v>
      </c>
      <c r="AG1625" t="s">
        <v>322</v>
      </c>
      <c r="AH1625" t="s">
        <v>191</v>
      </c>
      <c r="AI1625" t="s">
        <v>322</v>
      </c>
      <c r="AJ1625" t="s">
        <v>66</v>
      </c>
      <c r="AK1625">
        <v>1</v>
      </c>
      <c r="AL1625" t="s">
        <v>6513</v>
      </c>
      <c r="AM1625" t="s">
        <v>6514</v>
      </c>
      <c r="AN1625" t="s">
        <v>6515</v>
      </c>
      <c r="AO1625" t="s">
        <v>66</v>
      </c>
      <c r="AP1625">
        <v>1</v>
      </c>
      <c r="AQ1625" t="s">
        <v>6598</v>
      </c>
      <c r="AR1625" t="s">
        <v>6517</v>
      </c>
      <c r="AS1625" t="s">
        <v>6599</v>
      </c>
      <c r="AT1625" t="s">
        <v>66</v>
      </c>
    </row>
    <row r="1626" spans="1:46" x14ac:dyDescent="0.15">
      <c r="A1626" t="s">
        <v>6664</v>
      </c>
      <c r="B1626" t="s">
        <v>6346</v>
      </c>
      <c r="C1626" t="s">
        <v>6347</v>
      </c>
      <c r="D1626">
        <v>77</v>
      </c>
      <c r="E1626" t="s">
        <v>6348</v>
      </c>
      <c r="F1626" t="s">
        <v>50</v>
      </c>
      <c r="G1626" t="s">
        <v>51</v>
      </c>
      <c r="H1626" t="s">
        <v>6349</v>
      </c>
      <c r="I1626" t="s">
        <v>53</v>
      </c>
      <c r="J1626" t="s">
        <v>4518</v>
      </c>
      <c r="K1626" t="s">
        <v>55</v>
      </c>
      <c r="L1626" t="s">
        <v>17</v>
      </c>
      <c r="M1626" t="s">
        <v>16</v>
      </c>
      <c r="N1626">
        <v>4765</v>
      </c>
      <c r="O1626">
        <v>271</v>
      </c>
      <c r="P1626">
        <v>0</v>
      </c>
      <c r="Q1626" t="s">
        <v>565</v>
      </c>
      <c r="R1626" t="s">
        <v>6665</v>
      </c>
      <c r="S1626" t="s">
        <v>6666</v>
      </c>
      <c r="T1626" t="s">
        <v>6667</v>
      </c>
      <c r="U1626" t="s">
        <v>60</v>
      </c>
      <c r="V1626" t="s">
        <v>61</v>
      </c>
      <c r="W1626">
        <v>3</v>
      </c>
      <c r="X1626">
        <v>0.11812499999999999</v>
      </c>
      <c r="Y1626" t="s">
        <v>314</v>
      </c>
      <c r="Z1626" t="s">
        <v>569</v>
      </c>
      <c r="AA1626">
        <v>3</v>
      </c>
      <c r="AB1626" t="s">
        <v>6352</v>
      </c>
      <c r="AC1626" t="s">
        <v>6353</v>
      </c>
      <c r="AD1626" t="s">
        <v>6354</v>
      </c>
      <c r="AE1626" t="s">
        <v>6355</v>
      </c>
      <c r="AF1626" t="s">
        <v>6356</v>
      </c>
      <c r="AG1626" t="s">
        <v>322</v>
      </c>
      <c r="AH1626" t="s">
        <v>191</v>
      </c>
      <c r="AI1626" t="s">
        <v>322</v>
      </c>
      <c r="AJ1626" t="s">
        <v>66</v>
      </c>
      <c r="AK1626">
        <v>1</v>
      </c>
      <c r="AL1626" t="s">
        <v>6513</v>
      </c>
      <c r="AM1626" t="s">
        <v>6514</v>
      </c>
      <c r="AN1626" t="s">
        <v>6515</v>
      </c>
      <c r="AO1626" t="s">
        <v>66</v>
      </c>
      <c r="AP1626">
        <v>1</v>
      </c>
      <c r="AQ1626" t="s">
        <v>6598</v>
      </c>
      <c r="AR1626" t="s">
        <v>6517</v>
      </c>
      <c r="AS1626" t="s">
        <v>6599</v>
      </c>
      <c r="AT1626" t="s">
        <v>66</v>
      </c>
    </row>
    <row r="1627" spans="1:46" x14ac:dyDescent="0.15">
      <c r="A1627" t="s">
        <v>6668</v>
      </c>
      <c r="B1627" t="s">
        <v>6346</v>
      </c>
      <c r="C1627" t="s">
        <v>6347</v>
      </c>
      <c r="D1627">
        <v>78</v>
      </c>
      <c r="E1627" t="s">
        <v>6348</v>
      </c>
      <c r="F1627" t="s">
        <v>50</v>
      </c>
      <c r="G1627" t="s">
        <v>51</v>
      </c>
      <c r="H1627" t="s">
        <v>6349</v>
      </c>
      <c r="I1627" t="s">
        <v>53</v>
      </c>
      <c r="J1627" t="s">
        <v>4518</v>
      </c>
      <c r="K1627" t="s">
        <v>55</v>
      </c>
      <c r="L1627" t="s">
        <v>17</v>
      </c>
      <c r="M1627" t="s">
        <v>16</v>
      </c>
      <c r="N1627">
        <v>4821</v>
      </c>
      <c r="O1627">
        <v>274</v>
      </c>
      <c r="P1627">
        <v>0</v>
      </c>
      <c r="Q1627" t="s">
        <v>571</v>
      </c>
      <c r="R1627" t="s">
        <v>6669</v>
      </c>
      <c r="S1627" t="s">
        <v>6670</v>
      </c>
      <c r="T1627" t="s">
        <v>6671</v>
      </c>
      <c r="U1627" t="s">
        <v>60</v>
      </c>
      <c r="V1627" t="s">
        <v>61</v>
      </c>
      <c r="W1627">
        <v>3</v>
      </c>
      <c r="X1627">
        <v>0.11812499999999999</v>
      </c>
      <c r="Y1627" t="s">
        <v>575</v>
      </c>
      <c r="Z1627" t="s">
        <v>576</v>
      </c>
      <c r="AA1627">
        <v>3</v>
      </c>
      <c r="AB1627" t="s">
        <v>6352</v>
      </c>
      <c r="AC1627" t="s">
        <v>6353</v>
      </c>
      <c r="AD1627" t="s">
        <v>6354</v>
      </c>
      <c r="AE1627" t="s">
        <v>6355</v>
      </c>
      <c r="AF1627" t="s">
        <v>6356</v>
      </c>
      <c r="AG1627" t="s">
        <v>322</v>
      </c>
      <c r="AH1627" t="s">
        <v>191</v>
      </c>
      <c r="AI1627" t="s">
        <v>322</v>
      </c>
      <c r="AJ1627" t="s">
        <v>66</v>
      </c>
      <c r="AK1627">
        <v>1</v>
      </c>
      <c r="AL1627" t="s">
        <v>6513</v>
      </c>
      <c r="AM1627" t="s">
        <v>6514</v>
      </c>
      <c r="AN1627" t="s">
        <v>6515</v>
      </c>
      <c r="AO1627" t="s">
        <v>66</v>
      </c>
      <c r="AP1627">
        <v>1</v>
      </c>
      <c r="AQ1627" t="s">
        <v>6598</v>
      </c>
      <c r="AR1627" t="s">
        <v>6517</v>
      </c>
      <c r="AS1627" t="s">
        <v>6599</v>
      </c>
      <c r="AT1627" t="s">
        <v>66</v>
      </c>
    </row>
    <row r="1628" spans="1:46" x14ac:dyDescent="0.15">
      <c r="A1628" t="s">
        <v>6672</v>
      </c>
      <c r="B1628" t="s">
        <v>6346</v>
      </c>
      <c r="C1628" t="s">
        <v>6347</v>
      </c>
      <c r="D1628">
        <v>79</v>
      </c>
      <c r="E1628" t="s">
        <v>6348</v>
      </c>
      <c r="F1628" t="s">
        <v>50</v>
      </c>
      <c r="G1628" t="s">
        <v>51</v>
      </c>
      <c r="H1628" t="s">
        <v>6349</v>
      </c>
      <c r="I1628" t="s">
        <v>53</v>
      </c>
      <c r="J1628" t="s">
        <v>4518</v>
      </c>
      <c r="K1628" t="s">
        <v>55</v>
      </c>
      <c r="L1628" t="s">
        <v>17</v>
      </c>
      <c r="M1628" t="s">
        <v>16</v>
      </c>
      <c r="N1628">
        <v>4878</v>
      </c>
      <c r="O1628">
        <v>277</v>
      </c>
      <c r="P1628">
        <v>0</v>
      </c>
      <c r="Q1628" t="s">
        <v>578</v>
      </c>
      <c r="R1628" t="s">
        <v>6673</v>
      </c>
      <c r="S1628" t="s">
        <v>6674</v>
      </c>
      <c r="T1628" t="s">
        <v>6675</v>
      </c>
      <c r="U1628" t="s">
        <v>60</v>
      </c>
      <c r="V1628" t="s">
        <v>61</v>
      </c>
      <c r="W1628">
        <v>3</v>
      </c>
      <c r="X1628">
        <v>0.11812499999999999</v>
      </c>
      <c r="Y1628" t="s">
        <v>321</v>
      </c>
      <c r="Z1628" t="s">
        <v>582</v>
      </c>
      <c r="AA1628">
        <v>3</v>
      </c>
      <c r="AB1628" t="s">
        <v>6352</v>
      </c>
      <c r="AC1628" t="s">
        <v>6353</v>
      </c>
      <c r="AD1628" t="s">
        <v>6354</v>
      </c>
      <c r="AE1628" t="s">
        <v>6355</v>
      </c>
      <c r="AF1628" t="s">
        <v>6356</v>
      </c>
      <c r="AG1628" t="s">
        <v>322</v>
      </c>
      <c r="AH1628" t="s">
        <v>191</v>
      </c>
      <c r="AI1628" t="s">
        <v>322</v>
      </c>
      <c r="AJ1628" t="s">
        <v>66</v>
      </c>
      <c r="AK1628">
        <v>1</v>
      </c>
      <c r="AL1628" t="s">
        <v>6513</v>
      </c>
      <c r="AM1628" t="s">
        <v>6514</v>
      </c>
      <c r="AN1628" t="s">
        <v>6515</v>
      </c>
      <c r="AO1628" t="s">
        <v>66</v>
      </c>
      <c r="AP1628">
        <v>1</v>
      </c>
      <c r="AQ1628" t="s">
        <v>6598</v>
      </c>
      <c r="AR1628" t="s">
        <v>6517</v>
      </c>
      <c r="AS1628" t="s">
        <v>6599</v>
      </c>
      <c r="AT1628" t="s">
        <v>66</v>
      </c>
    </row>
    <row r="1629" spans="1:46" x14ac:dyDescent="0.15">
      <c r="A1629" t="s">
        <v>6676</v>
      </c>
      <c r="B1629" t="s">
        <v>6346</v>
      </c>
      <c r="C1629" t="s">
        <v>6347</v>
      </c>
      <c r="D1629">
        <v>80</v>
      </c>
      <c r="E1629" t="s">
        <v>6348</v>
      </c>
      <c r="F1629" t="s">
        <v>50</v>
      </c>
      <c r="G1629" t="s">
        <v>51</v>
      </c>
      <c r="H1629" t="s">
        <v>6349</v>
      </c>
      <c r="I1629" t="s">
        <v>53</v>
      </c>
      <c r="J1629" t="s">
        <v>4518</v>
      </c>
      <c r="K1629" t="s">
        <v>55</v>
      </c>
      <c r="L1629" t="s">
        <v>17</v>
      </c>
      <c r="M1629" t="s">
        <v>16</v>
      </c>
      <c r="N1629">
        <v>4934</v>
      </c>
      <c r="O1629">
        <v>280</v>
      </c>
      <c r="P1629">
        <v>0</v>
      </c>
      <c r="Q1629" t="s">
        <v>584</v>
      </c>
      <c r="R1629" t="s">
        <v>6677</v>
      </c>
      <c r="S1629" t="s">
        <v>6678</v>
      </c>
      <c r="T1629" t="s">
        <v>6679</v>
      </c>
      <c r="U1629" t="s">
        <v>60</v>
      </c>
      <c r="V1629" t="s">
        <v>61</v>
      </c>
      <c r="W1629">
        <v>3</v>
      </c>
      <c r="X1629">
        <v>0.11812499999999999</v>
      </c>
      <c r="Y1629" t="s">
        <v>588</v>
      </c>
      <c r="Z1629" t="s">
        <v>589</v>
      </c>
      <c r="AA1629">
        <v>3</v>
      </c>
      <c r="AB1629" t="s">
        <v>6352</v>
      </c>
      <c r="AC1629" t="s">
        <v>6353</v>
      </c>
      <c r="AD1629" t="s">
        <v>6354</v>
      </c>
      <c r="AE1629" t="s">
        <v>6355</v>
      </c>
      <c r="AF1629" t="s">
        <v>6356</v>
      </c>
      <c r="AG1629" t="s">
        <v>322</v>
      </c>
      <c r="AH1629" t="s">
        <v>191</v>
      </c>
      <c r="AI1629" t="s">
        <v>322</v>
      </c>
      <c r="AJ1629" t="s">
        <v>66</v>
      </c>
      <c r="AK1629">
        <v>1</v>
      </c>
      <c r="AL1629" t="s">
        <v>6513</v>
      </c>
      <c r="AM1629" t="s">
        <v>6514</v>
      </c>
      <c r="AN1629" t="s">
        <v>6515</v>
      </c>
      <c r="AO1629" t="s">
        <v>66</v>
      </c>
      <c r="AP1629">
        <v>1</v>
      </c>
      <c r="AQ1629" t="s">
        <v>6598</v>
      </c>
      <c r="AR1629" t="s">
        <v>6517</v>
      </c>
      <c r="AS1629" t="s">
        <v>6599</v>
      </c>
      <c r="AT1629" t="s">
        <v>66</v>
      </c>
    </row>
    <row r="1630" spans="1:46" x14ac:dyDescent="0.15">
      <c r="A1630" t="s">
        <v>6676</v>
      </c>
      <c r="B1630" t="s">
        <v>6346</v>
      </c>
      <c r="C1630" t="s">
        <v>6347</v>
      </c>
      <c r="D1630">
        <v>80</v>
      </c>
      <c r="E1630" t="s">
        <v>6348</v>
      </c>
      <c r="F1630" t="s">
        <v>50</v>
      </c>
      <c r="G1630" t="s">
        <v>51</v>
      </c>
      <c r="H1630" t="s">
        <v>6349</v>
      </c>
      <c r="I1630" t="s">
        <v>53</v>
      </c>
      <c r="J1630" t="s">
        <v>4518</v>
      </c>
      <c r="K1630" t="s">
        <v>55</v>
      </c>
      <c r="L1630" t="s">
        <v>17</v>
      </c>
      <c r="M1630" t="s">
        <v>16</v>
      </c>
      <c r="N1630">
        <v>4934</v>
      </c>
      <c r="O1630">
        <v>280</v>
      </c>
      <c r="P1630">
        <v>0</v>
      </c>
      <c r="Q1630" t="s">
        <v>584</v>
      </c>
      <c r="R1630" t="s">
        <v>6677</v>
      </c>
      <c r="S1630" t="s">
        <v>6678</v>
      </c>
      <c r="T1630" t="s">
        <v>6679</v>
      </c>
      <c r="U1630" t="s">
        <v>60</v>
      </c>
      <c r="V1630" t="s">
        <v>61</v>
      </c>
      <c r="W1630">
        <v>3</v>
      </c>
      <c r="X1630">
        <v>0.11812499999999999</v>
      </c>
      <c r="Y1630" t="s">
        <v>588</v>
      </c>
      <c r="Z1630" t="s">
        <v>589</v>
      </c>
      <c r="AA1630">
        <v>4</v>
      </c>
      <c r="AB1630" t="s">
        <v>6352</v>
      </c>
      <c r="AC1630" t="s">
        <v>6353</v>
      </c>
      <c r="AD1630" t="s">
        <v>6354</v>
      </c>
      <c r="AE1630" t="s">
        <v>6355</v>
      </c>
      <c r="AF1630" t="s">
        <v>6356</v>
      </c>
      <c r="AG1630" t="s">
        <v>322</v>
      </c>
      <c r="AH1630" t="s">
        <v>191</v>
      </c>
      <c r="AI1630" t="s">
        <v>322</v>
      </c>
      <c r="AJ1630" t="s">
        <v>590</v>
      </c>
      <c r="AK1630">
        <v>1</v>
      </c>
      <c r="AL1630" t="s">
        <v>6513</v>
      </c>
      <c r="AM1630" t="s">
        <v>6514</v>
      </c>
      <c r="AN1630" t="s">
        <v>6515</v>
      </c>
      <c r="AO1630" t="s">
        <v>66</v>
      </c>
      <c r="AP1630">
        <v>1</v>
      </c>
      <c r="AQ1630" t="s">
        <v>6598</v>
      </c>
      <c r="AR1630" t="s">
        <v>6517</v>
      </c>
      <c r="AS1630" t="s">
        <v>6599</v>
      </c>
      <c r="AT1630" t="s">
        <v>66</v>
      </c>
    </row>
    <row r="1631" spans="1:46" x14ac:dyDescent="0.15">
      <c r="A1631" t="s">
        <v>6680</v>
      </c>
      <c r="B1631" t="s">
        <v>6346</v>
      </c>
      <c r="C1631" t="s">
        <v>6347</v>
      </c>
      <c r="D1631">
        <v>81</v>
      </c>
      <c r="E1631" t="s">
        <v>6348</v>
      </c>
      <c r="F1631" t="s">
        <v>50</v>
      </c>
      <c r="G1631" t="s">
        <v>51</v>
      </c>
      <c r="H1631" t="s">
        <v>6349</v>
      </c>
      <c r="I1631" t="s">
        <v>53</v>
      </c>
      <c r="J1631" t="s">
        <v>4518</v>
      </c>
      <c r="K1631" t="s">
        <v>55</v>
      </c>
      <c r="L1631" t="s">
        <v>17</v>
      </c>
      <c r="M1631" t="s">
        <v>16</v>
      </c>
      <c r="N1631">
        <v>4990</v>
      </c>
      <c r="O1631">
        <v>283</v>
      </c>
      <c r="P1631">
        <v>0</v>
      </c>
      <c r="Q1631" t="s">
        <v>592</v>
      </c>
      <c r="R1631" t="s">
        <v>6681</v>
      </c>
      <c r="S1631" t="s">
        <v>6682</v>
      </c>
      <c r="T1631" t="s">
        <v>6683</v>
      </c>
      <c r="U1631" t="s">
        <v>60</v>
      </c>
      <c r="V1631" t="s">
        <v>61</v>
      </c>
      <c r="W1631">
        <v>3</v>
      </c>
      <c r="X1631">
        <v>0.11812499999999999</v>
      </c>
      <c r="Y1631" t="s">
        <v>330</v>
      </c>
      <c r="Z1631" t="s">
        <v>596</v>
      </c>
      <c r="AA1631">
        <v>4</v>
      </c>
      <c r="AB1631" t="s">
        <v>6352</v>
      </c>
      <c r="AC1631" t="s">
        <v>6353</v>
      </c>
      <c r="AD1631" t="s">
        <v>6354</v>
      </c>
      <c r="AE1631" t="s">
        <v>6355</v>
      </c>
      <c r="AF1631" t="s">
        <v>6356</v>
      </c>
      <c r="AG1631" t="s">
        <v>322</v>
      </c>
      <c r="AH1631" t="s">
        <v>191</v>
      </c>
      <c r="AI1631" t="s">
        <v>322</v>
      </c>
      <c r="AJ1631" t="s">
        <v>590</v>
      </c>
      <c r="AK1631">
        <v>1</v>
      </c>
      <c r="AL1631" t="s">
        <v>6513</v>
      </c>
      <c r="AM1631" t="s">
        <v>6514</v>
      </c>
      <c r="AN1631" t="s">
        <v>6515</v>
      </c>
      <c r="AO1631" t="s">
        <v>66</v>
      </c>
      <c r="AP1631">
        <v>1</v>
      </c>
      <c r="AQ1631" t="s">
        <v>6598</v>
      </c>
      <c r="AR1631" t="s">
        <v>6517</v>
      </c>
      <c r="AS1631" t="s">
        <v>6599</v>
      </c>
      <c r="AT1631" t="s">
        <v>66</v>
      </c>
    </row>
    <row r="1632" spans="1:46" x14ac:dyDescent="0.15">
      <c r="A1632" t="s">
        <v>6684</v>
      </c>
      <c r="B1632" t="s">
        <v>6346</v>
      </c>
      <c r="C1632" t="s">
        <v>6347</v>
      </c>
      <c r="D1632">
        <v>82</v>
      </c>
      <c r="E1632" t="s">
        <v>6348</v>
      </c>
      <c r="F1632" t="s">
        <v>50</v>
      </c>
      <c r="G1632" t="s">
        <v>51</v>
      </c>
      <c r="H1632" t="s">
        <v>6349</v>
      </c>
      <c r="I1632" t="s">
        <v>53</v>
      </c>
      <c r="J1632" t="s">
        <v>4518</v>
      </c>
      <c r="K1632" t="s">
        <v>55</v>
      </c>
      <c r="L1632" t="s">
        <v>17</v>
      </c>
      <c r="M1632" t="s">
        <v>16</v>
      </c>
      <c r="N1632">
        <v>5046</v>
      </c>
      <c r="O1632">
        <v>286</v>
      </c>
      <c r="P1632">
        <v>0</v>
      </c>
      <c r="Q1632" t="s">
        <v>598</v>
      </c>
      <c r="R1632" t="s">
        <v>6685</v>
      </c>
      <c r="S1632" t="s">
        <v>6686</v>
      </c>
      <c r="T1632" t="s">
        <v>6687</v>
      </c>
      <c r="U1632" t="s">
        <v>60</v>
      </c>
      <c r="V1632" t="s">
        <v>61</v>
      </c>
      <c r="W1632">
        <v>3</v>
      </c>
      <c r="X1632">
        <v>0.11812499999999999</v>
      </c>
      <c r="Y1632" t="s">
        <v>602</v>
      </c>
      <c r="Z1632" t="s">
        <v>603</v>
      </c>
      <c r="AA1632">
        <v>4</v>
      </c>
      <c r="AB1632" t="s">
        <v>6352</v>
      </c>
      <c r="AC1632" t="s">
        <v>6353</v>
      </c>
      <c r="AD1632" t="s">
        <v>6354</v>
      </c>
      <c r="AE1632" t="s">
        <v>6355</v>
      </c>
      <c r="AF1632" t="s">
        <v>6356</v>
      </c>
      <c r="AG1632" t="s">
        <v>322</v>
      </c>
      <c r="AH1632" t="s">
        <v>191</v>
      </c>
      <c r="AI1632" t="s">
        <v>322</v>
      </c>
      <c r="AJ1632" t="s">
        <v>590</v>
      </c>
      <c r="AK1632">
        <v>1</v>
      </c>
      <c r="AL1632" t="s">
        <v>6513</v>
      </c>
      <c r="AM1632" t="s">
        <v>6514</v>
      </c>
      <c r="AN1632" t="s">
        <v>6515</v>
      </c>
      <c r="AO1632" t="s">
        <v>66</v>
      </c>
      <c r="AP1632">
        <v>1</v>
      </c>
      <c r="AQ1632" t="s">
        <v>6598</v>
      </c>
      <c r="AR1632" t="s">
        <v>6517</v>
      </c>
      <c r="AS1632" t="s">
        <v>6599</v>
      </c>
      <c r="AT1632" t="s">
        <v>66</v>
      </c>
    </row>
    <row r="1633" spans="1:46" x14ac:dyDescent="0.15">
      <c r="A1633" t="s">
        <v>6688</v>
      </c>
      <c r="B1633" t="s">
        <v>6346</v>
      </c>
      <c r="C1633" t="s">
        <v>6347</v>
      </c>
      <c r="D1633">
        <v>83</v>
      </c>
      <c r="E1633" t="s">
        <v>6348</v>
      </c>
      <c r="F1633" t="s">
        <v>50</v>
      </c>
      <c r="G1633" t="s">
        <v>51</v>
      </c>
      <c r="H1633" t="s">
        <v>6349</v>
      </c>
      <c r="I1633" t="s">
        <v>53</v>
      </c>
      <c r="J1633" t="s">
        <v>4518</v>
      </c>
      <c r="K1633" t="s">
        <v>55</v>
      </c>
      <c r="L1633" t="s">
        <v>17</v>
      </c>
      <c r="M1633" t="s">
        <v>16</v>
      </c>
      <c r="N1633">
        <v>5102</v>
      </c>
      <c r="O1633">
        <v>290</v>
      </c>
      <c r="P1633">
        <v>0</v>
      </c>
      <c r="Q1633" t="s">
        <v>605</v>
      </c>
      <c r="R1633" t="s">
        <v>6689</v>
      </c>
      <c r="S1633" t="s">
        <v>6690</v>
      </c>
      <c r="T1633" t="s">
        <v>6691</v>
      </c>
      <c r="U1633" t="s">
        <v>60</v>
      </c>
      <c r="V1633" t="s">
        <v>61</v>
      </c>
      <c r="W1633">
        <v>3</v>
      </c>
      <c r="X1633">
        <v>0.11812499999999999</v>
      </c>
      <c r="Y1633" t="s">
        <v>337</v>
      </c>
      <c r="Z1633" t="s">
        <v>609</v>
      </c>
      <c r="AA1633">
        <v>4</v>
      </c>
      <c r="AB1633" t="s">
        <v>6352</v>
      </c>
      <c r="AC1633" t="s">
        <v>6353</v>
      </c>
      <c r="AD1633" t="s">
        <v>6354</v>
      </c>
      <c r="AE1633" t="s">
        <v>6355</v>
      </c>
      <c r="AF1633" t="s">
        <v>6356</v>
      </c>
      <c r="AG1633" t="s">
        <v>322</v>
      </c>
      <c r="AH1633" t="s">
        <v>191</v>
      </c>
      <c r="AI1633" t="s">
        <v>322</v>
      </c>
      <c r="AJ1633" t="s">
        <v>590</v>
      </c>
      <c r="AK1633">
        <v>1</v>
      </c>
      <c r="AL1633" t="s">
        <v>6513</v>
      </c>
      <c r="AM1633" t="s">
        <v>6514</v>
      </c>
      <c r="AN1633" t="s">
        <v>6515</v>
      </c>
      <c r="AO1633" t="s">
        <v>66</v>
      </c>
      <c r="AP1633">
        <v>1</v>
      </c>
      <c r="AQ1633" t="s">
        <v>6598</v>
      </c>
      <c r="AR1633" t="s">
        <v>6517</v>
      </c>
      <c r="AS1633" t="s">
        <v>6599</v>
      </c>
      <c r="AT1633" t="s">
        <v>66</v>
      </c>
    </row>
    <row r="1634" spans="1:46" x14ac:dyDescent="0.15">
      <c r="A1634" t="s">
        <v>6692</v>
      </c>
      <c r="B1634" t="s">
        <v>6346</v>
      </c>
      <c r="C1634" t="s">
        <v>6347</v>
      </c>
      <c r="D1634">
        <v>84</v>
      </c>
      <c r="E1634" t="s">
        <v>6348</v>
      </c>
      <c r="F1634" t="s">
        <v>50</v>
      </c>
      <c r="G1634" t="s">
        <v>51</v>
      </c>
      <c r="H1634" t="s">
        <v>6349</v>
      </c>
      <c r="I1634" t="s">
        <v>53</v>
      </c>
      <c r="J1634" t="s">
        <v>4518</v>
      </c>
      <c r="K1634" t="s">
        <v>55</v>
      </c>
      <c r="L1634" t="s">
        <v>17</v>
      </c>
      <c r="M1634" t="s">
        <v>16</v>
      </c>
      <c r="N1634">
        <v>5158</v>
      </c>
      <c r="O1634">
        <v>293</v>
      </c>
      <c r="P1634">
        <v>0</v>
      </c>
      <c r="Q1634" t="s">
        <v>611</v>
      </c>
      <c r="R1634" t="s">
        <v>6693</v>
      </c>
      <c r="S1634" t="s">
        <v>6694</v>
      </c>
      <c r="T1634" t="s">
        <v>6695</v>
      </c>
      <c r="U1634" t="s">
        <v>60</v>
      </c>
      <c r="V1634" t="s">
        <v>61</v>
      </c>
      <c r="W1634">
        <v>3</v>
      </c>
      <c r="X1634">
        <v>0.11812499999999999</v>
      </c>
      <c r="Y1634" t="s">
        <v>615</v>
      </c>
      <c r="Z1634" t="s">
        <v>616</v>
      </c>
      <c r="AA1634">
        <v>4</v>
      </c>
      <c r="AB1634" t="s">
        <v>6352</v>
      </c>
      <c r="AC1634" t="s">
        <v>6353</v>
      </c>
      <c r="AD1634" t="s">
        <v>6354</v>
      </c>
      <c r="AE1634" t="s">
        <v>6355</v>
      </c>
      <c r="AF1634" t="s">
        <v>6356</v>
      </c>
      <c r="AG1634" t="s">
        <v>322</v>
      </c>
      <c r="AH1634" t="s">
        <v>191</v>
      </c>
      <c r="AI1634" t="s">
        <v>322</v>
      </c>
      <c r="AJ1634" t="s">
        <v>590</v>
      </c>
      <c r="AK1634">
        <v>1</v>
      </c>
      <c r="AL1634" t="s">
        <v>6513</v>
      </c>
      <c r="AM1634" t="s">
        <v>6514</v>
      </c>
      <c r="AN1634" t="s">
        <v>6515</v>
      </c>
      <c r="AO1634" t="s">
        <v>66</v>
      </c>
      <c r="AP1634">
        <v>1</v>
      </c>
      <c r="AQ1634" t="s">
        <v>6598</v>
      </c>
      <c r="AR1634" t="s">
        <v>6517</v>
      </c>
      <c r="AS1634" t="s">
        <v>6599</v>
      </c>
      <c r="AT1634" t="s">
        <v>66</v>
      </c>
    </row>
    <row r="1635" spans="1:46" x14ac:dyDescent="0.15">
      <c r="A1635" t="s">
        <v>6696</v>
      </c>
      <c r="B1635" t="s">
        <v>6346</v>
      </c>
      <c r="C1635" t="s">
        <v>6347</v>
      </c>
      <c r="D1635">
        <v>85</v>
      </c>
      <c r="E1635" t="s">
        <v>6348</v>
      </c>
      <c r="F1635" t="s">
        <v>50</v>
      </c>
      <c r="G1635" t="s">
        <v>51</v>
      </c>
      <c r="H1635" t="s">
        <v>6349</v>
      </c>
      <c r="I1635" t="s">
        <v>53</v>
      </c>
      <c r="J1635" t="s">
        <v>4518</v>
      </c>
      <c r="K1635" t="s">
        <v>55</v>
      </c>
      <c r="L1635" t="s">
        <v>17</v>
      </c>
      <c r="M1635" t="s">
        <v>16</v>
      </c>
      <c r="N1635">
        <v>5214</v>
      </c>
      <c r="O1635">
        <v>296</v>
      </c>
      <c r="P1635">
        <v>0</v>
      </c>
      <c r="Q1635" t="s">
        <v>618</v>
      </c>
      <c r="R1635" t="s">
        <v>6697</v>
      </c>
      <c r="S1635" t="s">
        <v>6698</v>
      </c>
      <c r="T1635" t="s">
        <v>6699</v>
      </c>
      <c r="U1635" t="s">
        <v>60</v>
      </c>
      <c r="V1635" t="s">
        <v>61</v>
      </c>
      <c r="W1635">
        <v>3</v>
      </c>
      <c r="X1635">
        <v>0.11812499999999999</v>
      </c>
      <c r="Y1635" t="s">
        <v>343</v>
      </c>
      <c r="Z1635" t="s">
        <v>622</v>
      </c>
      <c r="AA1635">
        <v>4</v>
      </c>
      <c r="AB1635" t="s">
        <v>6352</v>
      </c>
      <c r="AC1635" t="s">
        <v>6353</v>
      </c>
      <c r="AD1635" t="s">
        <v>6354</v>
      </c>
      <c r="AE1635" t="s">
        <v>6355</v>
      </c>
      <c r="AF1635" t="s">
        <v>6356</v>
      </c>
      <c r="AG1635" t="s">
        <v>322</v>
      </c>
      <c r="AH1635" t="s">
        <v>191</v>
      </c>
      <c r="AI1635" t="s">
        <v>322</v>
      </c>
      <c r="AJ1635" t="s">
        <v>590</v>
      </c>
      <c r="AK1635">
        <v>1</v>
      </c>
      <c r="AL1635" t="s">
        <v>6513</v>
      </c>
      <c r="AM1635" t="s">
        <v>6514</v>
      </c>
      <c r="AN1635" t="s">
        <v>6515</v>
      </c>
      <c r="AO1635" t="s">
        <v>66</v>
      </c>
      <c r="AP1635">
        <v>1</v>
      </c>
      <c r="AQ1635" t="s">
        <v>6598</v>
      </c>
      <c r="AR1635" t="s">
        <v>6517</v>
      </c>
      <c r="AS1635" t="s">
        <v>6599</v>
      </c>
      <c r="AT1635" t="s">
        <v>66</v>
      </c>
    </row>
    <row r="1636" spans="1:46" x14ac:dyDescent="0.15">
      <c r="A1636" t="s">
        <v>6700</v>
      </c>
      <c r="B1636" t="s">
        <v>6346</v>
      </c>
      <c r="C1636" t="s">
        <v>6347</v>
      </c>
      <c r="D1636">
        <v>86</v>
      </c>
      <c r="E1636" t="s">
        <v>6348</v>
      </c>
      <c r="F1636" t="s">
        <v>50</v>
      </c>
      <c r="G1636" t="s">
        <v>51</v>
      </c>
      <c r="H1636" t="s">
        <v>6349</v>
      </c>
      <c r="I1636" t="s">
        <v>53</v>
      </c>
      <c r="J1636" t="s">
        <v>4518</v>
      </c>
      <c r="K1636" t="s">
        <v>55</v>
      </c>
      <c r="L1636" t="s">
        <v>17</v>
      </c>
      <c r="M1636" t="s">
        <v>16</v>
      </c>
      <c r="N1636">
        <v>5270</v>
      </c>
      <c r="O1636">
        <v>299</v>
      </c>
      <c r="P1636">
        <v>0</v>
      </c>
      <c r="Q1636" t="s">
        <v>624</v>
      </c>
      <c r="R1636" t="s">
        <v>6701</v>
      </c>
      <c r="S1636" t="s">
        <v>6702</v>
      </c>
      <c r="T1636" t="s">
        <v>6703</v>
      </c>
      <c r="U1636" t="s">
        <v>60</v>
      </c>
      <c r="V1636" t="s">
        <v>61</v>
      </c>
      <c r="W1636">
        <v>3</v>
      </c>
      <c r="X1636">
        <v>0.11812499999999999</v>
      </c>
      <c r="Y1636" t="s">
        <v>628</v>
      </c>
      <c r="Z1636" t="s">
        <v>629</v>
      </c>
      <c r="AA1636">
        <v>4</v>
      </c>
      <c r="AB1636" t="s">
        <v>6352</v>
      </c>
      <c r="AC1636" t="s">
        <v>6353</v>
      </c>
      <c r="AD1636" t="s">
        <v>6354</v>
      </c>
      <c r="AE1636" t="s">
        <v>6355</v>
      </c>
      <c r="AF1636" t="s">
        <v>6356</v>
      </c>
      <c r="AG1636" t="s">
        <v>322</v>
      </c>
      <c r="AH1636" t="s">
        <v>191</v>
      </c>
      <c r="AI1636" t="s">
        <v>322</v>
      </c>
      <c r="AJ1636" t="s">
        <v>590</v>
      </c>
      <c r="AK1636">
        <v>1</v>
      </c>
      <c r="AL1636" t="s">
        <v>6513</v>
      </c>
      <c r="AM1636" t="s">
        <v>6514</v>
      </c>
      <c r="AN1636" t="s">
        <v>6515</v>
      </c>
      <c r="AO1636" t="s">
        <v>66</v>
      </c>
      <c r="AP1636">
        <v>1</v>
      </c>
      <c r="AQ1636" t="s">
        <v>6598</v>
      </c>
      <c r="AR1636" t="s">
        <v>6517</v>
      </c>
      <c r="AS1636" t="s">
        <v>6599</v>
      </c>
      <c r="AT1636" t="s">
        <v>66</v>
      </c>
    </row>
    <row r="1637" spans="1:46" x14ac:dyDescent="0.15">
      <c r="A1637" t="s">
        <v>6704</v>
      </c>
      <c r="B1637" t="s">
        <v>6346</v>
      </c>
      <c r="C1637" t="s">
        <v>6347</v>
      </c>
      <c r="D1637">
        <v>87</v>
      </c>
      <c r="E1637" t="s">
        <v>6348</v>
      </c>
      <c r="F1637" t="s">
        <v>50</v>
      </c>
      <c r="G1637" t="s">
        <v>51</v>
      </c>
      <c r="H1637" t="s">
        <v>6349</v>
      </c>
      <c r="I1637" t="s">
        <v>53</v>
      </c>
      <c r="J1637" t="s">
        <v>4518</v>
      </c>
      <c r="K1637" t="s">
        <v>55</v>
      </c>
      <c r="L1637" t="s">
        <v>17</v>
      </c>
      <c r="M1637" t="s">
        <v>16</v>
      </c>
      <c r="N1637">
        <v>5327</v>
      </c>
      <c r="O1637">
        <v>302</v>
      </c>
      <c r="P1637">
        <v>0</v>
      </c>
      <c r="Q1637" t="s">
        <v>631</v>
      </c>
      <c r="R1637" t="s">
        <v>6705</v>
      </c>
      <c r="S1637" t="s">
        <v>6706</v>
      </c>
      <c r="T1637" t="s">
        <v>6707</v>
      </c>
      <c r="U1637" t="s">
        <v>60</v>
      </c>
      <c r="V1637" t="s">
        <v>61</v>
      </c>
      <c r="W1637">
        <v>3</v>
      </c>
      <c r="X1637">
        <v>0.11812499999999999</v>
      </c>
      <c r="Y1637" t="s">
        <v>350</v>
      </c>
      <c r="Z1637" t="s">
        <v>635</v>
      </c>
      <c r="AA1637">
        <v>4</v>
      </c>
      <c r="AB1637" t="s">
        <v>6352</v>
      </c>
      <c r="AC1637" t="s">
        <v>6353</v>
      </c>
      <c r="AD1637" t="s">
        <v>6354</v>
      </c>
      <c r="AE1637" t="s">
        <v>6355</v>
      </c>
      <c r="AF1637" t="s">
        <v>6356</v>
      </c>
      <c r="AG1637" t="s">
        <v>322</v>
      </c>
      <c r="AH1637" t="s">
        <v>191</v>
      </c>
      <c r="AI1637" t="s">
        <v>322</v>
      </c>
      <c r="AJ1637" t="s">
        <v>590</v>
      </c>
      <c r="AK1637">
        <v>1</v>
      </c>
      <c r="AL1637" t="s">
        <v>6513</v>
      </c>
      <c r="AM1637" t="s">
        <v>6514</v>
      </c>
      <c r="AN1637" t="s">
        <v>6515</v>
      </c>
      <c r="AO1637" t="s">
        <v>66</v>
      </c>
      <c r="AP1637">
        <v>1</v>
      </c>
      <c r="AQ1637" t="s">
        <v>6598</v>
      </c>
      <c r="AR1637" t="s">
        <v>6517</v>
      </c>
      <c r="AS1637" t="s">
        <v>6599</v>
      </c>
      <c r="AT1637" t="s">
        <v>66</v>
      </c>
    </row>
    <row r="1638" spans="1:46" x14ac:dyDescent="0.15">
      <c r="A1638" t="s">
        <v>6708</v>
      </c>
      <c r="B1638" t="s">
        <v>6346</v>
      </c>
      <c r="C1638" t="s">
        <v>6347</v>
      </c>
      <c r="D1638">
        <v>88</v>
      </c>
      <c r="E1638" t="s">
        <v>6348</v>
      </c>
      <c r="F1638" t="s">
        <v>50</v>
      </c>
      <c r="G1638" t="s">
        <v>51</v>
      </c>
      <c r="H1638" t="s">
        <v>6349</v>
      </c>
      <c r="I1638" t="s">
        <v>53</v>
      </c>
      <c r="J1638" t="s">
        <v>4518</v>
      </c>
      <c r="K1638" t="s">
        <v>55</v>
      </c>
      <c r="L1638" t="s">
        <v>17</v>
      </c>
      <c r="M1638" t="s">
        <v>16</v>
      </c>
      <c r="N1638">
        <v>5383</v>
      </c>
      <c r="O1638">
        <v>305</v>
      </c>
      <c r="P1638">
        <v>0</v>
      </c>
      <c r="Q1638" t="s">
        <v>637</v>
      </c>
      <c r="R1638" t="s">
        <v>6709</v>
      </c>
      <c r="S1638" t="s">
        <v>6710</v>
      </c>
      <c r="T1638" t="s">
        <v>6711</v>
      </c>
      <c r="U1638" t="s">
        <v>60</v>
      </c>
      <c r="V1638" t="s">
        <v>61</v>
      </c>
      <c r="W1638">
        <v>3</v>
      </c>
      <c r="X1638">
        <v>0.11812499999999999</v>
      </c>
      <c r="Y1638" t="s">
        <v>641</v>
      </c>
      <c r="Z1638" t="s">
        <v>642</v>
      </c>
      <c r="AA1638">
        <v>4</v>
      </c>
      <c r="AB1638" t="s">
        <v>6352</v>
      </c>
      <c r="AC1638" t="s">
        <v>6353</v>
      </c>
      <c r="AD1638" t="s">
        <v>6354</v>
      </c>
      <c r="AE1638" t="s">
        <v>6355</v>
      </c>
      <c r="AF1638" t="s">
        <v>6356</v>
      </c>
      <c r="AG1638" t="s">
        <v>322</v>
      </c>
      <c r="AH1638" t="s">
        <v>191</v>
      </c>
      <c r="AI1638" t="s">
        <v>322</v>
      </c>
      <c r="AJ1638" t="s">
        <v>590</v>
      </c>
      <c r="AK1638">
        <v>1</v>
      </c>
      <c r="AL1638" t="s">
        <v>6513</v>
      </c>
      <c r="AM1638" t="s">
        <v>6514</v>
      </c>
      <c r="AN1638" t="s">
        <v>6515</v>
      </c>
      <c r="AO1638" t="s">
        <v>66</v>
      </c>
      <c r="AP1638">
        <v>1</v>
      </c>
      <c r="AQ1638" t="s">
        <v>6598</v>
      </c>
      <c r="AR1638" t="s">
        <v>6517</v>
      </c>
      <c r="AS1638" t="s">
        <v>6599</v>
      </c>
      <c r="AT1638" t="s">
        <v>66</v>
      </c>
    </row>
    <row r="1639" spans="1:46" x14ac:dyDescent="0.15">
      <c r="A1639" t="s">
        <v>6712</v>
      </c>
      <c r="B1639" t="s">
        <v>6346</v>
      </c>
      <c r="C1639" t="s">
        <v>6347</v>
      </c>
      <c r="D1639">
        <v>89</v>
      </c>
      <c r="E1639" t="s">
        <v>6348</v>
      </c>
      <c r="F1639" t="s">
        <v>50</v>
      </c>
      <c r="G1639" t="s">
        <v>51</v>
      </c>
      <c r="H1639" t="s">
        <v>6349</v>
      </c>
      <c r="I1639" t="s">
        <v>53</v>
      </c>
      <c r="J1639" t="s">
        <v>4518</v>
      </c>
      <c r="K1639" t="s">
        <v>55</v>
      </c>
      <c r="L1639" t="s">
        <v>17</v>
      </c>
      <c r="M1639" t="s">
        <v>16</v>
      </c>
      <c r="N1639">
        <v>5439</v>
      </c>
      <c r="O1639">
        <v>309</v>
      </c>
      <c r="P1639">
        <v>0</v>
      </c>
      <c r="Q1639" t="s">
        <v>644</v>
      </c>
      <c r="R1639" t="s">
        <v>6713</v>
      </c>
      <c r="S1639" t="s">
        <v>6714</v>
      </c>
      <c r="T1639" t="s">
        <v>6715</v>
      </c>
      <c r="U1639" t="s">
        <v>60</v>
      </c>
      <c r="V1639" t="s">
        <v>61</v>
      </c>
      <c r="W1639">
        <v>3</v>
      </c>
      <c r="X1639">
        <v>0.11812499999999999</v>
      </c>
      <c r="Y1639" t="s">
        <v>356</v>
      </c>
      <c r="Z1639" t="s">
        <v>648</v>
      </c>
      <c r="AA1639">
        <v>4</v>
      </c>
      <c r="AB1639" t="s">
        <v>6352</v>
      </c>
      <c r="AC1639" t="s">
        <v>6353</v>
      </c>
      <c r="AD1639" t="s">
        <v>6354</v>
      </c>
      <c r="AE1639" t="s">
        <v>6355</v>
      </c>
      <c r="AF1639" t="s">
        <v>6356</v>
      </c>
      <c r="AG1639" t="s">
        <v>322</v>
      </c>
      <c r="AH1639" t="s">
        <v>191</v>
      </c>
      <c r="AI1639" t="s">
        <v>322</v>
      </c>
      <c r="AJ1639" t="s">
        <v>590</v>
      </c>
      <c r="AK1639">
        <v>1</v>
      </c>
      <c r="AL1639" t="s">
        <v>6513</v>
      </c>
      <c r="AM1639" t="s">
        <v>6514</v>
      </c>
      <c r="AN1639" t="s">
        <v>6515</v>
      </c>
      <c r="AO1639" t="s">
        <v>66</v>
      </c>
      <c r="AP1639">
        <v>1</v>
      </c>
      <c r="AQ1639" t="s">
        <v>6598</v>
      </c>
      <c r="AR1639" t="s">
        <v>6517</v>
      </c>
      <c r="AS1639" t="s">
        <v>6599</v>
      </c>
      <c r="AT1639" t="s">
        <v>66</v>
      </c>
    </row>
    <row r="1640" spans="1:46" x14ac:dyDescent="0.15">
      <c r="A1640" t="s">
        <v>6716</v>
      </c>
      <c r="B1640" t="s">
        <v>6346</v>
      </c>
      <c r="C1640" t="s">
        <v>6347</v>
      </c>
      <c r="D1640">
        <v>90</v>
      </c>
      <c r="E1640" t="s">
        <v>6348</v>
      </c>
      <c r="F1640" t="s">
        <v>50</v>
      </c>
      <c r="G1640" t="s">
        <v>51</v>
      </c>
      <c r="H1640" t="s">
        <v>6349</v>
      </c>
      <c r="I1640" t="s">
        <v>53</v>
      </c>
      <c r="J1640" t="s">
        <v>4518</v>
      </c>
      <c r="K1640" t="s">
        <v>55</v>
      </c>
      <c r="L1640" t="s">
        <v>17</v>
      </c>
      <c r="M1640" t="s">
        <v>16</v>
      </c>
      <c r="N1640">
        <v>5495</v>
      </c>
      <c r="O1640">
        <v>312</v>
      </c>
      <c r="P1640">
        <v>0</v>
      </c>
      <c r="Q1640" t="s">
        <v>650</v>
      </c>
      <c r="R1640" t="s">
        <v>6717</v>
      </c>
      <c r="S1640" t="s">
        <v>6718</v>
      </c>
      <c r="T1640" t="s">
        <v>6719</v>
      </c>
      <c r="U1640" t="s">
        <v>60</v>
      </c>
      <c r="V1640" t="s">
        <v>61</v>
      </c>
      <c r="W1640">
        <v>3</v>
      </c>
      <c r="X1640">
        <v>0.11812499999999999</v>
      </c>
      <c r="Y1640" t="s">
        <v>654</v>
      </c>
      <c r="Z1640" t="s">
        <v>655</v>
      </c>
      <c r="AA1640">
        <v>4</v>
      </c>
      <c r="AB1640" t="s">
        <v>6352</v>
      </c>
      <c r="AC1640" t="s">
        <v>6353</v>
      </c>
      <c r="AD1640" t="s">
        <v>6354</v>
      </c>
      <c r="AE1640" t="s">
        <v>6355</v>
      </c>
      <c r="AF1640" t="s">
        <v>6356</v>
      </c>
      <c r="AG1640" t="s">
        <v>322</v>
      </c>
      <c r="AH1640" t="s">
        <v>191</v>
      </c>
      <c r="AI1640" t="s">
        <v>322</v>
      </c>
      <c r="AJ1640" t="s">
        <v>590</v>
      </c>
      <c r="AK1640">
        <v>1</v>
      </c>
      <c r="AL1640" t="s">
        <v>6513</v>
      </c>
      <c r="AM1640" t="s">
        <v>6514</v>
      </c>
      <c r="AN1640" t="s">
        <v>6515</v>
      </c>
      <c r="AO1640" t="s">
        <v>66</v>
      </c>
      <c r="AP1640">
        <v>1</v>
      </c>
      <c r="AQ1640" t="s">
        <v>6598</v>
      </c>
      <c r="AR1640" t="s">
        <v>6517</v>
      </c>
      <c r="AS1640" t="s">
        <v>6599</v>
      </c>
      <c r="AT1640" t="s">
        <v>66</v>
      </c>
    </row>
    <row r="1641" spans="1:46" x14ac:dyDescent="0.15">
      <c r="A1641" t="s">
        <v>6720</v>
      </c>
      <c r="B1641" t="s">
        <v>6346</v>
      </c>
      <c r="C1641" t="s">
        <v>6347</v>
      </c>
      <c r="D1641">
        <v>91</v>
      </c>
      <c r="E1641" t="s">
        <v>6348</v>
      </c>
      <c r="F1641" t="s">
        <v>50</v>
      </c>
      <c r="G1641" t="s">
        <v>51</v>
      </c>
      <c r="H1641" t="s">
        <v>6349</v>
      </c>
      <c r="I1641" t="s">
        <v>53</v>
      </c>
      <c r="J1641" t="s">
        <v>4518</v>
      </c>
      <c r="K1641" t="s">
        <v>55</v>
      </c>
      <c r="L1641" t="s">
        <v>17</v>
      </c>
      <c r="M1641" t="s">
        <v>16</v>
      </c>
      <c r="N1641">
        <v>5551</v>
      </c>
      <c r="O1641">
        <v>315</v>
      </c>
      <c r="P1641">
        <v>0</v>
      </c>
      <c r="Q1641" t="s">
        <v>657</v>
      </c>
      <c r="R1641" t="s">
        <v>6721</v>
      </c>
      <c r="S1641" t="s">
        <v>6722</v>
      </c>
      <c r="T1641" t="s">
        <v>6723</v>
      </c>
      <c r="U1641" t="s">
        <v>60</v>
      </c>
      <c r="V1641" t="s">
        <v>61</v>
      </c>
      <c r="W1641">
        <v>3</v>
      </c>
      <c r="X1641">
        <v>0.11812499999999999</v>
      </c>
      <c r="Y1641" t="s">
        <v>363</v>
      </c>
      <c r="Z1641" t="s">
        <v>661</v>
      </c>
      <c r="AA1641">
        <v>4</v>
      </c>
      <c r="AB1641" t="s">
        <v>6352</v>
      </c>
      <c r="AC1641" t="s">
        <v>6353</v>
      </c>
      <c r="AD1641" t="s">
        <v>6354</v>
      </c>
      <c r="AE1641" t="s">
        <v>6355</v>
      </c>
      <c r="AF1641" t="s">
        <v>6356</v>
      </c>
      <c r="AG1641" t="s">
        <v>322</v>
      </c>
      <c r="AH1641" t="s">
        <v>191</v>
      </c>
      <c r="AI1641" t="s">
        <v>322</v>
      </c>
      <c r="AJ1641" t="s">
        <v>590</v>
      </c>
      <c r="AK1641">
        <v>1</v>
      </c>
      <c r="AL1641" t="s">
        <v>6513</v>
      </c>
      <c r="AM1641" t="s">
        <v>6514</v>
      </c>
      <c r="AN1641" t="s">
        <v>6515</v>
      </c>
      <c r="AO1641" t="s">
        <v>66</v>
      </c>
      <c r="AP1641">
        <v>1</v>
      </c>
      <c r="AQ1641" t="s">
        <v>6598</v>
      </c>
      <c r="AR1641" t="s">
        <v>6517</v>
      </c>
      <c r="AS1641" t="s">
        <v>6599</v>
      </c>
      <c r="AT1641" t="s">
        <v>66</v>
      </c>
    </row>
    <row r="1642" spans="1:46" x14ac:dyDescent="0.15">
      <c r="A1642" t="s">
        <v>6724</v>
      </c>
      <c r="B1642" t="s">
        <v>6346</v>
      </c>
      <c r="C1642" t="s">
        <v>6347</v>
      </c>
      <c r="D1642">
        <v>92</v>
      </c>
      <c r="E1642" t="s">
        <v>6348</v>
      </c>
      <c r="F1642" t="s">
        <v>50</v>
      </c>
      <c r="G1642" t="s">
        <v>51</v>
      </c>
      <c r="H1642" t="s">
        <v>6349</v>
      </c>
      <c r="I1642" t="s">
        <v>53</v>
      </c>
      <c r="J1642" t="s">
        <v>4518</v>
      </c>
      <c r="K1642" t="s">
        <v>55</v>
      </c>
      <c r="L1642" t="s">
        <v>17</v>
      </c>
      <c r="M1642" t="s">
        <v>16</v>
      </c>
      <c r="N1642">
        <v>5607</v>
      </c>
      <c r="O1642">
        <v>318</v>
      </c>
      <c r="P1642">
        <v>0</v>
      </c>
      <c r="Q1642" t="s">
        <v>663</v>
      </c>
      <c r="R1642" t="s">
        <v>6725</v>
      </c>
      <c r="S1642" t="s">
        <v>6726</v>
      </c>
      <c r="T1642" t="s">
        <v>6727</v>
      </c>
      <c r="U1642" t="s">
        <v>60</v>
      </c>
      <c r="V1642" t="s">
        <v>61</v>
      </c>
      <c r="W1642">
        <v>3</v>
      </c>
      <c r="X1642">
        <v>0.11812499999999999</v>
      </c>
      <c r="Y1642" t="s">
        <v>667</v>
      </c>
      <c r="Z1642" t="s">
        <v>668</v>
      </c>
      <c r="AA1642">
        <v>4</v>
      </c>
      <c r="AB1642" t="s">
        <v>6352</v>
      </c>
      <c r="AC1642" t="s">
        <v>6353</v>
      </c>
      <c r="AD1642" t="s">
        <v>6354</v>
      </c>
      <c r="AE1642" t="s">
        <v>6355</v>
      </c>
      <c r="AF1642" t="s">
        <v>6356</v>
      </c>
      <c r="AG1642" t="s">
        <v>322</v>
      </c>
      <c r="AH1642" t="s">
        <v>191</v>
      </c>
      <c r="AI1642" t="s">
        <v>322</v>
      </c>
      <c r="AJ1642" t="s">
        <v>590</v>
      </c>
      <c r="AK1642">
        <v>1</v>
      </c>
      <c r="AL1642" t="s">
        <v>6513</v>
      </c>
      <c r="AM1642" t="s">
        <v>6514</v>
      </c>
      <c r="AN1642" t="s">
        <v>6515</v>
      </c>
      <c r="AO1642" t="s">
        <v>66</v>
      </c>
      <c r="AP1642">
        <v>1</v>
      </c>
      <c r="AQ1642" t="s">
        <v>6598</v>
      </c>
      <c r="AR1642" t="s">
        <v>6517</v>
      </c>
      <c r="AS1642" t="s">
        <v>6599</v>
      </c>
      <c r="AT1642" t="s">
        <v>66</v>
      </c>
    </row>
    <row r="1643" spans="1:46" x14ac:dyDescent="0.15">
      <c r="A1643" t="s">
        <v>6728</v>
      </c>
      <c r="B1643" t="s">
        <v>6346</v>
      </c>
      <c r="C1643" t="s">
        <v>6347</v>
      </c>
      <c r="D1643">
        <v>93</v>
      </c>
      <c r="E1643" t="s">
        <v>6348</v>
      </c>
      <c r="F1643" t="s">
        <v>50</v>
      </c>
      <c r="G1643" t="s">
        <v>51</v>
      </c>
      <c r="H1643" t="s">
        <v>6349</v>
      </c>
      <c r="I1643" t="s">
        <v>53</v>
      </c>
      <c r="J1643" t="s">
        <v>4518</v>
      </c>
      <c r="K1643" t="s">
        <v>55</v>
      </c>
      <c r="L1643" t="s">
        <v>17</v>
      </c>
      <c r="M1643" t="s">
        <v>16</v>
      </c>
      <c r="N1643">
        <v>5663</v>
      </c>
      <c r="O1643">
        <v>321</v>
      </c>
      <c r="P1643">
        <v>0</v>
      </c>
      <c r="Q1643" t="s">
        <v>670</v>
      </c>
      <c r="R1643" t="s">
        <v>6729</v>
      </c>
      <c r="S1643" t="s">
        <v>6730</v>
      </c>
      <c r="T1643" t="s">
        <v>6731</v>
      </c>
      <c r="U1643" t="s">
        <v>60</v>
      </c>
      <c r="V1643" t="s">
        <v>61</v>
      </c>
      <c r="W1643">
        <v>3</v>
      </c>
      <c r="X1643">
        <v>0.11812499999999999</v>
      </c>
      <c r="Y1643" t="s">
        <v>369</v>
      </c>
      <c r="Z1643" t="s">
        <v>674</v>
      </c>
      <c r="AA1643">
        <v>4</v>
      </c>
      <c r="AB1643" t="s">
        <v>6352</v>
      </c>
      <c r="AC1643" t="s">
        <v>6353</v>
      </c>
      <c r="AD1643" t="s">
        <v>6354</v>
      </c>
      <c r="AE1643" t="s">
        <v>6355</v>
      </c>
      <c r="AF1643" t="s">
        <v>6356</v>
      </c>
      <c r="AG1643" t="s">
        <v>322</v>
      </c>
      <c r="AH1643" t="s">
        <v>191</v>
      </c>
      <c r="AI1643" t="s">
        <v>322</v>
      </c>
      <c r="AJ1643" t="s">
        <v>590</v>
      </c>
      <c r="AK1643">
        <v>1</v>
      </c>
      <c r="AL1643" t="s">
        <v>6513</v>
      </c>
      <c r="AM1643" t="s">
        <v>6514</v>
      </c>
      <c r="AN1643" t="s">
        <v>6515</v>
      </c>
      <c r="AO1643" t="s">
        <v>66</v>
      </c>
      <c r="AP1643">
        <v>1</v>
      </c>
      <c r="AQ1643" t="s">
        <v>6598</v>
      </c>
      <c r="AR1643" t="s">
        <v>6517</v>
      </c>
      <c r="AS1643" t="s">
        <v>6599</v>
      </c>
      <c r="AT1643" t="s">
        <v>66</v>
      </c>
    </row>
    <row r="1644" spans="1:46" x14ac:dyDescent="0.15">
      <c r="A1644" t="s">
        <v>6732</v>
      </c>
      <c r="B1644" t="s">
        <v>6346</v>
      </c>
      <c r="C1644" t="s">
        <v>6347</v>
      </c>
      <c r="D1644">
        <v>94</v>
      </c>
      <c r="E1644" t="s">
        <v>6348</v>
      </c>
      <c r="F1644" t="s">
        <v>50</v>
      </c>
      <c r="G1644" t="s">
        <v>51</v>
      </c>
      <c r="H1644" t="s">
        <v>6349</v>
      </c>
      <c r="I1644" t="s">
        <v>53</v>
      </c>
      <c r="J1644" t="s">
        <v>4518</v>
      </c>
      <c r="K1644" t="s">
        <v>55</v>
      </c>
      <c r="L1644" t="s">
        <v>17</v>
      </c>
      <c r="M1644" t="s">
        <v>16</v>
      </c>
      <c r="N1644">
        <v>5719</v>
      </c>
      <c r="O1644">
        <v>324</v>
      </c>
      <c r="P1644">
        <v>0</v>
      </c>
      <c r="Q1644" t="s">
        <v>676</v>
      </c>
      <c r="R1644" t="s">
        <v>6733</v>
      </c>
      <c r="S1644" t="s">
        <v>6734</v>
      </c>
      <c r="T1644" t="s">
        <v>6735</v>
      </c>
      <c r="U1644" t="s">
        <v>60</v>
      </c>
      <c r="V1644" t="s">
        <v>61</v>
      </c>
      <c r="W1644">
        <v>3</v>
      </c>
      <c r="X1644">
        <v>0.11812499999999999</v>
      </c>
      <c r="Y1644" t="s">
        <v>680</v>
      </c>
      <c r="Z1644" t="s">
        <v>681</v>
      </c>
      <c r="AA1644">
        <v>4</v>
      </c>
      <c r="AB1644" t="s">
        <v>6352</v>
      </c>
      <c r="AC1644" t="s">
        <v>6353</v>
      </c>
      <c r="AD1644" t="s">
        <v>6354</v>
      </c>
      <c r="AE1644" t="s">
        <v>6355</v>
      </c>
      <c r="AF1644" t="s">
        <v>6356</v>
      </c>
      <c r="AG1644" t="s">
        <v>322</v>
      </c>
      <c r="AH1644" t="s">
        <v>191</v>
      </c>
      <c r="AI1644" t="s">
        <v>322</v>
      </c>
      <c r="AJ1644" t="s">
        <v>590</v>
      </c>
      <c r="AK1644">
        <v>1</v>
      </c>
      <c r="AL1644" t="s">
        <v>6513</v>
      </c>
      <c r="AM1644" t="s">
        <v>6514</v>
      </c>
      <c r="AN1644" t="s">
        <v>6515</v>
      </c>
      <c r="AO1644" t="s">
        <v>66</v>
      </c>
      <c r="AP1644">
        <v>1</v>
      </c>
      <c r="AQ1644" t="s">
        <v>6598</v>
      </c>
      <c r="AR1644" t="s">
        <v>6517</v>
      </c>
      <c r="AS1644" t="s">
        <v>6599</v>
      </c>
      <c r="AT1644" t="s">
        <v>66</v>
      </c>
    </row>
    <row r="1645" spans="1:46" x14ac:dyDescent="0.15">
      <c r="A1645" t="s">
        <v>6736</v>
      </c>
      <c r="B1645" t="s">
        <v>6346</v>
      </c>
      <c r="C1645" t="s">
        <v>6347</v>
      </c>
      <c r="D1645">
        <v>95</v>
      </c>
      <c r="E1645" t="s">
        <v>6348</v>
      </c>
      <c r="F1645" t="s">
        <v>50</v>
      </c>
      <c r="G1645" t="s">
        <v>51</v>
      </c>
      <c r="H1645" t="s">
        <v>6349</v>
      </c>
      <c r="I1645" t="s">
        <v>53</v>
      </c>
      <c r="J1645" t="s">
        <v>4518</v>
      </c>
      <c r="K1645" t="s">
        <v>55</v>
      </c>
      <c r="L1645" t="s">
        <v>17</v>
      </c>
      <c r="M1645" t="s">
        <v>16</v>
      </c>
      <c r="N1645">
        <v>5776</v>
      </c>
      <c r="O1645">
        <v>328</v>
      </c>
      <c r="P1645">
        <v>0</v>
      </c>
      <c r="Q1645" t="s">
        <v>683</v>
      </c>
      <c r="R1645" t="s">
        <v>6737</v>
      </c>
      <c r="S1645" t="s">
        <v>6738</v>
      </c>
      <c r="T1645" t="s">
        <v>6739</v>
      </c>
      <c r="U1645" t="s">
        <v>60</v>
      </c>
      <c r="V1645" t="s">
        <v>61</v>
      </c>
      <c r="W1645">
        <v>3</v>
      </c>
      <c r="X1645">
        <v>0.11812499999999999</v>
      </c>
      <c r="Y1645" t="s">
        <v>376</v>
      </c>
      <c r="Z1645" t="s">
        <v>687</v>
      </c>
      <c r="AA1645">
        <v>4</v>
      </c>
      <c r="AB1645" t="s">
        <v>6352</v>
      </c>
      <c r="AC1645" t="s">
        <v>6353</v>
      </c>
      <c r="AD1645" t="s">
        <v>6354</v>
      </c>
      <c r="AE1645" t="s">
        <v>6355</v>
      </c>
      <c r="AF1645" t="s">
        <v>6356</v>
      </c>
      <c r="AG1645" t="s">
        <v>322</v>
      </c>
      <c r="AH1645" t="s">
        <v>191</v>
      </c>
      <c r="AI1645" t="s">
        <v>322</v>
      </c>
      <c r="AJ1645" t="s">
        <v>590</v>
      </c>
      <c r="AK1645">
        <v>1</v>
      </c>
      <c r="AL1645" t="s">
        <v>6513</v>
      </c>
      <c r="AM1645" t="s">
        <v>6514</v>
      </c>
      <c r="AN1645" t="s">
        <v>6515</v>
      </c>
      <c r="AO1645" t="s">
        <v>66</v>
      </c>
      <c r="AP1645">
        <v>1</v>
      </c>
      <c r="AQ1645" t="s">
        <v>6598</v>
      </c>
      <c r="AR1645" t="s">
        <v>6517</v>
      </c>
      <c r="AS1645" t="s">
        <v>6599</v>
      </c>
      <c r="AT1645" t="s">
        <v>66</v>
      </c>
    </row>
    <row r="1646" spans="1:46" x14ac:dyDescent="0.15">
      <c r="A1646" t="s">
        <v>6740</v>
      </c>
      <c r="B1646" t="s">
        <v>6346</v>
      </c>
      <c r="C1646" t="s">
        <v>6347</v>
      </c>
      <c r="D1646">
        <v>96</v>
      </c>
      <c r="E1646" t="s">
        <v>6348</v>
      </c>
      <c r="F1646" t="s">
        <v>50</v>
      </c>
      <c r="G1646" t="s">
        <v>51</v>
      </c>
      <c r="H1646" t="s">
        <v>6349</v>
      </c>
      <c r="I1646" t="s">
        <v>53</v>
      </c>
      <c r="J1646" t="s">
        <v>4518</v>
      </c>
      <c r="K1646" t="s">
        <v>55</v>
      </c>
      <c r="L1646" t="s">
        <v>17</v>
      </c>
      <c r="M1646" t="s">
        <v>16</v>
      </c>
      <c r="N1646">
        <v>5832</v>
      </c>
      <c r="O1646">
        <v>331</v>
      </c>
      <c r="P1646">
        <v>0</v>
      </c>
      <c r="Q1646" t="s">
        <v>689</v>
      </c>
      <c r="R1646" t="s">
        <v>6741</v>
      </c>
      <c r="S1646" t="s">
        <v>6742</v>
      </c>
      <c r="T1646" t="s">
        <v>6743</v>
      </c>
      <c r="U1646" t="s">
        <v>60</v>
      </c>
      <c r="V1646" t="s">
        <v>61</v>
      </c>
      <c r="W1646">
        <v>3</v>
      </c>
      <c r="X1646">
        <v>0.11812499999999999</v>
      </c>
      <c r="Y1646" t="s">
        <v>693</v>
      </c>
      <c r="Z1646" t="s">
        <v>694</v>
      </c>
      <c r="AA1646">
        <v>4</v>
      </c>
      <c r="AB1646" t="s">
        <v>6352</v>
      </c>
      <c r="AC1646" t="s">
        <v>6353</v>
      </c>
      <c r="AD1646" t="s">
        <v>6354</v>
      </c>
      <c r="AE1646" t="s">
        <v>6355</v>
      </c>
      <c r="AF1646" t="s">
        <v>6356</v>
      </c>
      <c r="AG1646" t="s">
        <v>322</v>
      </c>
      <c r="AH1646" t="s">
        <v>191</v>
      </c>
      <c r="AI1646" t="s">
        <v>322</v>
      </c>
      <c r="AJ1646" t="s">
        <v>590</v>
      </c>
      <c r="AK1646">
        <v>1</v>
      </c>
      <c r="AL1646" t="s">
        <v>6513</v>
      </c>
      <c r="AM1646" t="s">
        <v>6514</v>
      </c>
      <c r="AN1646" t="s">
        <v>6515</v>
      </c>
      <c r="AO1646" t="s">
        <v>66</v>
      </c>
      <c r="AP1646">
        <v>1</v>
      </c>
      <c r="AQ1646" t="s">
        <v>6598</v>
      </c>
      <c r="AR1646" t="s">
        <v>6517</v>
      </c>
      <c r="AS1646" t="s">
        <v>6599</v>
      </c>
      <c r="AT1646" t="s">
        <v>66</v>
      </c>
    </row>
    <row r="1647" spans="1:46" x14ac:dyDescent="0.15">
      <c r="A1647" t="s">
        <v>6744</v>
      </c>
      <c r="B1647" t="s">
        <v>6346</v>
      </c>
      <c r="C1647" t="s">
        <v>6347</v>
      </c>
      <c r="D1647">
        <v>97</v>
      </c>
      <c r="E1647" t="s">
        <v>6348</v>
      </c>
      <c r="F1647" t="s">
        <v>50</v>
      </c>
      <c r="G1647" t="s">
        <v>51</v>
      </c>
      <c r="H1647" t="s">
        <v>6349</v>
      </c>
      <c r="I1647" t="s">
        <v>53</v>
      </c>
      <c r="J1647" t="s">
        <v>4518</v>
      </c>
      <c r="K1647" t="s">
        <v>55</v>
      </c>
      <c r="L1647" t="s">
        <v>17</v>
      </c>
      <c r="M1647" t="s">
        <v>16</v>
      </c>
      <c r="N1647">
        <v>5888</v>
      </c>
      <c r="O1647">
        <v>334</v>
      </c>
      <c r="P1647">
        <v>0</v>
      </c>
      <c r="Q1647" t="s">
        <v>696</v>
      </c>
      <c r="R1647" t="s">
        <v>6745</v>
      </c>
      <c r="S1647" t="s">
        <v>6746</v>
      </c>
      <c r="T1647" t="s">
        <v>6747</v>
      </c>
      <c r="U1647" t="s">
        <v>60</v>
      </c>
      <c r="V1647" t="s">
        <v>61</v>
      </c>
      <c r="W1647">
        <v>3</v>
      </c>
      <c r="X1647">
        <v>0.11812499999999999</v>
      </c>
      <c r="Y1647" t="s">
        <v>382</v>
      </c>
      <c r="Z1647" t="s">
        <v>700</v>
      </c>
      <c r="AA1647">
        <v>4</v>
      </c>
      <c r="AB1647" t="s">
        <v>6352</v>
      </c>
      <c r="AC1647" t="s">
        <v>6353</v>
      </c>
      <c r="AD1647" t="s">
        <v>6354</v>
      </c>
      <c r="AE1647" t="s">
        <v>6355</v>
      </c>
      <c r="AF1647" t="s">
        <v>6356</v>
      </c>
      <c r="AG1647" t="s">
        <v>322</v>
      </c>
      <c r="AH1647" t="s">
        <v>191</v>
      </c>
      <c r="AI1647" t="s">
        <v>322</v>
      </c>
      <c r="AJ1647" t="s">
        <v>590</v>
      </c>
      <c r="AK1647">
        <v>1</v>
      </c>
      <c r="AL1647" t="s">
        <v>6513</v>
      </c>
      <c r="AM1647" t="s">
        <v>6514</v>
      </c>
      <c r="AN1647" t="s">
        <v>6515</v>
      </c>
      <c r="AO1647" t="s">
        <v>66</v>
      </c>
      <c r="AP1647">
        <v>1</v>
      </c>
      <c r="AQ1647" t="s">
        <v>6598</v>
      </c>
      <c r="AR1647" t="s">
        <v>6517</v>
      </c>
      <c r="AS1647" t="s">
        <v>6599</v>
      </c>
      <c r="AT1647" t="s">
        <v>66</v>
      </c>
    </row>
    <row r="1648" spans="1:46" x14ac:dyDescent="0.15">
      <c r="A1648" t="s">
        <v>6748</v>
      </c>
      <c r="B1648" t="s">
        <v>6346</v>
      </c>
      <c r="C1648" t="s">
        <v>6347</v>
      </c>
      <c r="D1648">
        <v>98</v>
      </c>
      <c r="E1648" t="s">
        <v>6348</v>
      </c>
      <c r="F1648" t="s">
        <v>50</v>
      </c>
      <c r="G1648" t="s">
        <v>51</v>
      </c>
      <c r="H1648" t="s">
        <v>6349</v>
      </c>
      <c r="I1648" t="s">
        <v>53</v>
      </c>
      <c r="J1648" t="s">
        <v>4518</v>
      </c>
      <c r="K1648" t="s">
        <v>55</v>
      </c>
      <c r="L1648" t="s">
        <v>17</v>
      </c>
      <c r="M1648" t="s">
        <v>16</v>
      </c>
      <c r="N1648">
        <v>5944</v>
      </c>
      <c r="O1648">
        <v>337</v>
      </c>
      <c r="P1648">
        <v>0</v>
      </c>
      <c r="Q1648" t="s">
        <v>702</v>
      </c>
      <c r="R1648" t="s">
        <v>6749</v>
      </c>
      <c r="S1648" t="s">
        <v>6750</v>
      </c>
      <c r="T1648" t="s">
        <v>6751</v>
      </c>
      <c r="U1648" t="s">
        <v>60</v>
      </c>
      <c r="V1648" t="s">
        <v>61</v>
      </c>
      <c r="W1648">
        <v>3</v>
      </c>
      <c r="X1648">
        <v>0.11812499999999999</v>
      </c>
      <c r="Y1648" t="s">
        <v>706</v>
      </c>
      <c r="Z1648" t="s">
        <v>707</v>
      </c>
      <c r="AA1648">
        <v>4</v>
      </c>
      <c r="AB1648" t="s">
        <v>6352</v>
      </c>
      <c r="AC1648" t="s">
        <v>6353</v>
      </c>
      <c r="AD1648" t="s">
        <v>6354</v>
      </c>
      <c r="AE1648" t="s">
        <v>6355</v>
      </c>
      <c r="AF1648" t="s">
        <v>6356</v>
      </c>
      <c r="AG1648" t="s">
        <v>322</v>
      </c>
      <c r="AH1648" t="s">
        <v>191</v>
      </c>
      <c r="AI1648" t="s">
        <v>322</v>
      </c>
      <c r="AJ1648" t="s">
        <v>590</v>
      </c>
      <c r="AK1648">
        <v>1</v>
      </c>
      <c r="AL1648" t="s">
        <v>6513</v>
      </c>
      <c r="AM1648" t="s">
        <v>6514</v>
      </c>
      <c r="AN1648" t="s">
        <v>6515</v>
      </c>
      <c r="AO1648" t="s">
        <v>66</v>
      </c>
      <c r="AP1648">
        <v>1</v>
      </c>
      <c r="AQ1648" t="s">
        <v>6598</v>
      </c>
      <c r="AR1648" t="s">
        <v>6517</v>
      </c>
      <c r="AS1648" t="s">
        <v>6599</v>
      </c>
      <c r="AT1648" t="s">
        <v>66</v>
      </c>
    </row>
    <row r="1649" spans="1:46" x14ac:dyDescent="0.15">
      <c r="A1649" t="s">
        <v>6752</v>
      </c>
      <c r="B1649" t="s">
        <v>6346</v>
      </c>
      <c r="C1649" t="s">
        <v>6347</v>
      </c>
      <c r="D1649">
        <v>99</v>
      </c>
      <c r="E1649" t="s">
        <v>6348</v>
      </c>
      <c r="F1649" t="s">
        <v>50</v>
      </c>
      <c r="G1649" t="s">
        <v>51</v>
      </c>
      <c r="H1649" t="s">
        <v>6349</v>
      </c>
      <c r="I1649" t="s">
        <v>53</v>
      </c>
      <c r="J1649" t="s">
        <v>4518</v>
      </c>
      <c r="K1649" t="s">
        <v>55</v>
      </c>
      <c r="L1649" t="s">
        <v>17</v>
      </c>
      <c r="M1649" t="s">
        <v>16</v>
      </c>
      <c r="N1649">
        <v>6000</v>
      </c>
      <c r="O1649">
        <v>340</v>
      </c>
      <c r="P1649">
        <v>0</v>
      </c>
      <c r="Q1649" t="s">
        <v>709</v>
      </c>
      <c r="R1649" t="s">
        <v>6753</v>
      </c>
      <c r="S1649" t="s">
        <v>6754</v>
      </c>
      <c r="T1649" t="s">
        <v>6755</v>
      </c>
      <c r="U1649" t="s">
        <v>60</v>
      </c>
      <c r="V1649" t="s">
        <v>61</v>
      </c>
      <c r="W1649">
        <v>3</v>
      </c>
      <c r="X1649">
        <v>0.11812499999999999</v>
      </c>
      <c r="Y1649" t="s">
        <v>389</v>
      </c>
      <c r="Z1649" t="s">
        <v>713</v>
      </c>
      <c r="AA1649">
        <v>4</v>
      </c>
      <c r="AB1649" t="s">
        <v>6352</v>
      </c>
      <c r="AC1649" t="s">
        <v>6353</v>
      </c>
      <c r="AD1649" t="s">
        <v>6354</v>
      </c>
      <c r="AE1649" t="s">
        <v>6355</v>
      </c>
      <c r="AF1649" t="s">
        <v>6356</v>
      </c>
      <c r="AG1649" t="s">
        <v>322</v>
      </c>
      <c r="AH1649" t="s">
        <v>191</v>
      </c>
      <c r="AI1649" t="s">
        <v>322</v>
      </c>
      <c r="AJ1649" t="s">
        <v>590</v>
      </c>
      <c r="AK1649">
        <v>1</v>
      </c>
      <c r="AL1649" t="s">
        <v>6513</v>
      </c>
      <c r="AM1649" t="s">
        <v>6514</v>
      </c>
      <c r="AN1649" t="s">
        <v>6515</v>
      </c>
      <c r="AO1649" t="s">
        <v>66</v>
      </c>
      <c r="AP1649">
        <v>1</v>
      </c>
      <c r="AQ1649" t="s">
        <v>6598</v>
      </c>
      <c r="AR1649" t="s">
        <v>6517</v>
      </c>
      <c r="AS1649" t="s">
        <v>6599</v>
      </c>
      <c r="AT1649" t="s">
        <v>66</v>
      </c>
    </row>
    <row r="1650" spans="1:46" x14ac:dyDescent="0.15">
      <c r="A1650" t="s">
        <v>6756</v>
      </c>
      <c r="B1650" t="s">
        <v>6757</v>
      </c>
      <c r="C1650" t="s">
        <v>6758</v>
      </c>
      <c r="D1650">
        <v>1</v>
      </c>
      <c r="E1650" t="s">
        <v>6759</v>
      </c>
      <c r="F1650" t="s">
        <v>3083</v>
      </c>
      <c r="G1650" t="s">
        <v>51</v>
      </c>
      <c r="H1650" t="s">
        <v>6760</v>
      </c>
      <c r="I1650" t="s">
        <v>1553</v>
      </c>
      <c r="J1650" t="s">
        <v>54</v>
      </c>
      <c r="K1650" t="s">
        <v>3594</v>
      </c>
      <c r="L1650" t="s">
        <v>16</v>
      </c>
      <c r="M1650" t="s">
        <v>18</v>
      </c>
      <c r="N1650">
        <v>500</v>
      </c>
      <c r="O1650">
        <v>30</v>
      </c>
      <c r="P1650">
        <v>0</v>
      </c>
      <c r="Q1650" t="s">
        <v>6350</v>
      </c>
      <c r="R1650" t="s">
        <v>1557</v>
      </c>
      <c r="S1650" t="s">
        <v>1339</v>
      </c>
      <c r="T1650" t="s">
        <v>59</v>
      </c>
      <c r="U1650" t="s">
        <v>60</v>
      </c>
      <c r="V1650" t="s">
        <v>61</v>
      </c>
      <c r="W1650">
        <v>3</v>
      </c>
      <c r="X1650">
        <v>0.14000000000000001</v>
      </c>
      <c r="Y1650" t="s">
        <v>62</v>
      </c>
      <c r="Z1650" t="s">
        <v>62</v>
      </c>
      <c r="AA1650">
        <v>0</v>
      </c>
      <c r="AB1650" t="s">
        <v>6761</v>
      </c>
      <c r="AC1650" t="s">
        <v>6762</v>
      </c>
      <c r="AD1650" t="s">
        <v>6763</v>
      </c>
      <c r="AE1650" t="s">
        <v>6764</v>
      </c>
      <c r="AF1650" t="s">
        <v>6765</v>
      </c>
      <c r="AG1650" t="s">
        <v>66</v>
      </c>
      <c r="AH1650" t="s">
        <v>66</v>
      </c>
      <c r="AI1650" t="s">
        <v>66</v>
      </c>
      <c r="AJ1650" t="s">
        <v>66</v>
      </c>
      <c r="AK1650">
        <v>1</v>
      </c>
      <c r="AL1650" t="s">
        <v>66</v>
      </c>
      <c r="AM1650" t="s">
        <v>66</v>
      </c>
      <c r="AN1650" t="s">
        <v>66</v>
      </c>
      <c r="AO1650" t="s">
        <v>66</v>
      </c>
      <c r="AP1650">
        <v>1</v>
      </c>
      <c r="AQ1650" t="s">
        <v>66</v>
      </c>
      <c r="AR1650" t="s">
        <v>66</v>
      </c>
      <c r="AS1650" t="s">
        <v>66</v>
      </c>
      <c r="AT1650" t="s">
        <v>66</v>
      </c>
    </row>
    <row r="1651" spans="1:46" x14ac:dyDescent="0.15">
      <c r="A1651" t="s">
        <v>6766</v>
      </c>
      <c r="B1651" t="s">
        <v>6757</v>
      </c>
      <c r="C1651" t="s">
        <v>6758</v>
      </c>
      <c r="D1651">
        <v>2</v>
      </c>
      <c r="E1651" t="s">
        <v>6759</v>
      </c>
      <c r="F1651" t="s">
        <v>3083</v>
      </c>
      <c r="G1651" t="s">
        <v>51</v>
      </c>
      <c r="H1651" t="s">
        <v>6760</v>
      </c>
      <c r="I1651" t="s">
        <v>1553</v>
      </c>
      <c r="J1651" t="s">
        <v>54</v>
      </c>
      <c r="K1651" t="s">
        <v>3594</v>
      </c>
      <c r="L1651" t="s">
        <v>16</v>
      </c>
      <c r="M1651" t="s">
        <v>18</v>
      </c>
      <c r="N1651">
        <v>556</v>
      </c>
      <c r="O1651">
        <v>33</v>
      </c>
      <c r="P1651">
        <v>0</v>
      </c>
      <c r="Q1651" t="s">
        <v>6767</v>
      </c>
      <c r="R1651" t="s">
        <v>6768</v>
      </c>
      <c r="S1651" t="s">
        <v>6769</v>
      </c>
      <c r="T1651" t="s">
        <v>6770</v>
      </c>
      <c r="U1651" t="s">
        <v>60</v>
      </c>
      <c r="V1651" t="s">
        <v>61</v>
      </c>
      <c r="W1651">
        <v>3</v>
      </c>
      <c r="X1651">
        <v>0.14000000000000001</v>
      </c>
      <c r="Y1651" t="s">
        <v>72</v>
      </c>
      <c r="Z1651" t="s">
        <v>73</v>
      </c>
      <c r="AA1651">
        <v>0</v>
      </c>
      <c r="AB1651" t="s">
        <v>6761</v>
      </c>
      <c r="AC1651" t="s">
        <v>6762</v>
      </c>
      <c r="AD1651" t="s">
        <v>6763</v>
      </c>
      <c r="AE1651" t="s">
        <v>6764</v>
      </c>
      <c r="AF1651" t="s">
        <v>6765</v>
      </c>
      <c r="AG1651" t="s">
        <v>66</v>
      </c>
      <c r="AH1651" t="s">
        <v>66</v>
      </c>
      <c r="AI1651" t="s">
        <v>66</v>
      </c>
      <c r="AJ1651" t="s">
        <v>66</v>
      </c>
      <c r="AK1651">
        <v>1</v>
      </c>
      <c r="AL1651" t="s">
        <v>66</v>
      </c>
      <c r="AM1651" t="s">
        <v>66</v>
      </c>
      <c r="AN1651" t="s">
        <v>66</v>
      </c>
      <c r="AO1651" t="s">
        <v>66</v>
      </c>
      <c r="AP1651">
        <v>1</v>
      </c>
      <c r="AQ1651" t="s">
        <v>66</v>
      </c>
      <c r="AR1651" t="s">
        <v>66</v>
      </c>
      <c r="AS1651" t="s">
        <v>66</v>
      </c>
      <c r="AT1651" t="s">
        <v>66</v>
      </c>
    </row>
    <row r="1652" spans="1:46" x14ac:dyDescent="0.15">
      <c r="A1652" t="s">
        <v>6771</v>
      </c>
      <c r="B1652" t="s">
        <v>6757</v>
      </c>
      <c r="C1652" t="s">
        <v>6758</v>
      </c>
      <c r="D1652">
        <v>3</v>
      </c>
      <c r="E1652" t="s">
        <v>6759</v>
      </c>
      <c r="F1652" t="s">
        <v>3083</v>
      </c>
      <c r="G1652" t="s">
        <v>51</v>
      </c>
      <c r="H1652" t="s">
        <v>6760</v>
      </c>
      <c r="I1652" t="s">
        <v>1553</v>
      </c>
      <c r="J1652" t="s">
        <v>54</v>
      </c>
      <c r="K1652" t="s">
        <v>3594</v>
      </c>
      <c r="L1652" t="s">
        <v>16</v>
      </c>
      <c r="M1652" t="s">
        <v>18</v>
      </c>
      <c r="N1652">
        <v>612</v>
      </c>
      <c r="O1652">
        <v>36</v>
      </c>
      <c r="P1652">
        <v>0</v>
      </c>
      <c r="Q1652" t="s">
        <v>6772</v>
      </c>
      <c r="R1652" t="s">
        <v>6773</v>
      </c>
      <c r="S1652" t="s">
        <v>6774</v>
      </c>
      <c r="T1652" t="s">
        <v>6775</v>
      </c>
      <c r="U1652" t="s">
        <v>60</v>
      </c>
      <c r="V1652" t="s">
        <v>61</v>
      </c>
      <c r="W1652">
        <v>3</v>
      </c>
      <c r="X1652">
        <v>0.14000000000000001</v>
      </c>
      <c r="Y1652" t="s">
        <v>73</v>
      </c>
      <c r="Z1652" t="s">
        <v>79</v>
      </c>
      <c r="AA1652">
        <v>0</v>
      </c>
      <c r="AB1652" t="s">
        <v>6761</v>
      </c>
      <c r="AC1652" t="s">
        <v>6762</v>
      </c>
      <c r="AD1652" t="s">
        <v>6763</v>
      </c>
      <c r="AE1652" t="s">
        <v>6764</v>
      </c>
      <c r="AF1652" t="s">
        <v>6765</v>
      </c>
      <c r="AG1652" t="s">
        <v>66</v>
      </c>
      <c r="AH1652" t="s">
        <v>66</v>
      </c>
      <c r="AI1652" t="s">
        <v>66</v>
      </c>
      <c r="AJ1652" t="s">
        <v>66</v>
      </c>
      <c r="AK1652">
        <v>1</v>
      </c>
      <c r="AL1652" t="s">
        <v>66</v>
      </c>
      <c r="AM1652" t="s">
        <v>66</v>
      </c>
      <c r="AN1652" t="s">
        <v>66</v>
      </c>
      <c r="AO1652" t="s">
        <v>66</v>
      </c>
      <c r="AP1652">
        <v>1</v>
      </c>
      <c r="AQ1652" t="s">
        <v>66</v>
      </c>
      <c r="AR1652" t="s">
        <v>66</v>
      </c>
      <c r="AS1652" t="s">
        <v>66</v>
      </c>
      <c r="AT1652" t="s">
        <v>66</v>
      </c>
    </row>
    <row r="1653" spans="1:46" x14ac:dyDescent="0.15">
      <c r="A1653" t="s">
        <v>6776</v>
      </c>
      <c r="B1653" t="s">
        <v>6757</v>
      </c>
      <c r="C1653" t="s">
        <v>6758</v>
      </c>
      <c r="D1653">
        <v>4</v>
      </c>
      <c r="E1653" t="s">
        <v>6759</v>
      </c>
      <c r="F1653" t="s">
        <v>3083</v>
      </c>
      <c r="G1653" t="s">
        <v>51</v>
      </c>
      <c r="H1653" t="s">
        <v>6760</v>
      </c>
      <c r="I1653" t="s">
        <v>1553</v>
      </c>
      <c r="J1653" t="s">
        <v>54</v>
      </c>
      <c r="K1653" t="s">
        <v>3594</v>
      </c>
      <c r="L1653" t="s">
        <v>16</v>
      </c>
      <c r="M1653" t="s">
        <v>18</v>
      </c>
      <c r="N1653">
        <v>668</v>
      </c>
      <c r="O1653">
        <v>39</v>
      </c>
      <c r="P1653">
        <v>0</v>
      </c>
      <c r="Q1653" t="s">
        <v>6777</v>
      </c>
      <c r="R1653" t="s">
        <v>6778</v>
      </c>
      <c r="S1653" t="s">
        <v>6779</v>
      </c>
      <c r="T1653" t="s">
        <v>6780</v>
      </c>
      <c r="U1653" t="s">
        <v>60</v>
      </c>
      <c r="V1653" t="s">
        <v>61</v>
      </c>
      <c r="W1653">
        <v>3</v>
      </c>
      <c r="X1653">
        <v>0.14000000000000001</v>
      </c>
      <c r="Y1653" t="s">
        <v>85</v>
      </c>
      <c r="Z1653" t="s">
        <v>86</v>
      </c>
      <c r="AA1653">
        <v>0</v>
      </c>
      <c r="AB1653" t="s">
        <v>6761</v>
      </c>
      <c r="AC1653" t="s">
        <v>6762</v>
      </c>
      <c r="AD1653" t="s">
        <v>6763</v>
      </c>
      <c r="AE1653" t="s">
        <v>6764</v>
      </c>
      <c r="AF1653" t="s">
        <v>6765</v>
      </c>
      <c r="AG1653" t="s">
        <v>66</v>
      </c>
      <c r="AH1653" t="s">
        <v>66</v>
      </c>
      <c r="AI1653" t="s">
        <v>66</v>
      </c>
      <c r="AJ1653" t="s">
        <v>66</v>
      </c>
      <c r="AK1653">
        <v>1</v>
      </c>
      <c r="AL1653" t="s">
        <v>66</v>
      </c>
      <c r="AM1653" t="s">
        <v>66</v>
      </c>
      <c r="AN1653" t="s">
        <v>66</v>
      </c>
      <c r="AO1653" t="s">
        <v>66</v>
      </c>
      <c r="AP1653">
        <v>1</v>
      </c>
      <c r="AQ1653" t="s">
        <v>66</v>
      </c>
      <c r="AR1653" t="s">
        <v>66</v>
      </c>
      <c r="AS1653" t="s">
        <v>66</v>
      </c>
      <c r="AT1653" t="s">
        <v>66</v>
      </c>
    </row>
    <row r="1654" spans="1:46" x14ac:dyDescent="0.15">
      <c r="A1654" t="s">
        <v>6781</v>
      </c>
      <c r="B1654" t="s">
        <v>6757</v>
      </c>
      <c r="C1654" t="s">
        <v>6758</v>
      </c>
      <c r="D1654">
        <v>5</v>
      </c>
      <c r="E1654" t="s">
        <v>6759</v>
      </c>
      <c r="F1654" t="s">
        <v>3083</v>
      </c>
      <c r="G1654" t="s">
        <v>51</v>
      </c>
      <c r="H1654" t="s">
        <v>6760</v>
      </c>
      <c r="I1654" t="s">
        <v>1553</v>
      </c>
      <c r="J1654" t="s">
        <v>54</v>
      </c>
      <c r="K1654" t="s">
        <v>3594</v>
      </c>
      <c r="L1654" t="s">
        <v>16</v>
      </c>
      <c r="M1654" t="s">
        <v>18</v>
      </c>
      <c r="N1654">
        <v>724</v>
      </c>
      <c r="O1654">
        <v>43</v>
      </c>
      <c r="P1654">
        <v>0</v>
      </c>
      <c r="Q1654" t="s">
        <v>6782</v>
      </c>
      <c r="R1654" t="s">
        <v>6783</v>
      </c>
      <c r="S1654" t="s">
        <v>6784</v>
      </c>
      <c r="T1654" t="s">
        <v>6785</v>
      </c>
      <c r="U1654" t="s">
        <v>60</v>
      </c>
      <c r="V1654" t="s">
        <v>61</v>
      </c>
      <c r="W1654">
        <v>3</v>
      </c>
      <c r="X1654">
        <v>0.14000000000000001</v>
      </c>
      <c r="Y1654" t="s">
        <v>79</v>
      </c>
      <c r="Z1654" t="s">
        <v>92</v>
      </c>
      <c r="AA1654">
        <v>0</v>
      </c>
      <c r="AB1654" t="s">
        <v>6761</v>
      </c>
      <c r="AC1654" t="s">
        <v>6762</v>
      </c>
      <c r="AD1654" t="s">
        <v>6763</v>
      </c>
      <c r="AE1654" t="s">
        <v>6764</v>
      </c>
      <c r="AF1654" t="s">
        <v>6765</v>
      </c>
      <c r="AG1654" t="s">
        <v>66</v>
      </c>
      <c r="AH1654" t="s">
        <v>66</v>
      </c>
      <c r="AI1654" t="s">
        <v>66</v>
      </c>
      <c r="AJ1654" t="s">
        <v>66</v>
      </c>
      <c r="AK1654">
        <v>1</v>
      </c>
      <c r="AL1654" t="s">
        <v>66</v>
      </c>
      <c r="AM1654" t="s">
        <v>66</v>
      </c>
      <c r="AN1654" t="s">
        <v>66</v>
      </c>
      <c r="AO1654" t="s">
        <v>66</v>
      </c>
      <c r="AP1654">
        <v>1</v>
      </c>
      <c r="AQ1654" t="s">
        <v>66</v>
      </c>
      <c r="AR1654" t="s">
        <v>66</v>
      </c>
      <c r="AS1654" t="s">
        <v>66</v>
      </c>
      <c r="AT1654" t="s">
        <v>66</v>
      </c>
    </row>
    <row r="1655" spans="1:46" x14ac:dyDescent="0.15">
      <c r="A1655" t="s">
        <v>6786</v>
      </c>
      <c r="B1655" t="s">
        <v>6757</v>
      </c>
      <c r="C1655" t="s">
        <v>6758</v>
      </c>
      <c r="D1655">
        <v>6</v>
      </c>
      <c r="E1655" t="s">
        <v>6759</v>
      </c>
      <c r="F1655" t="s">
        <v>3083</v>
      </c>
      <c r="G1655" t="s">
        <v>51</v>
      </c>
      <c r="H1655" t="s">
        <v>6760</v>
      </c>
      <c r="I1655" t="s">
        <v>1553</v>
      </c>
      <c r="J1655" t="s">
        <v>54</v>
      </c>
      <c r="K1655" t="s">
        <v>3594</v>
      </c>
      <c r="L1655" t="s">
        <v>16</v>
      </c>
      <c r="M1655" t="s">
        <v>18</v>
      </c>
      <c r="N1655">
        <v>781</v>
      </c>
      <c r="O1655">
        <v>46</v>
      </c>
      <c r="P1655">
        <v>0</v>
      </c>
      <c r="Q1655" t="s">
        <v>6787</v>
      </c>
      <c r="R1655" t="s">
        <v>6788</v>
      </c>
      <c r="S1655" t="s">
        <v>6789</v>
      </c>
      <c r="T1655" t="s">
        <v>6790</v>
      </c>
      <c r="U1655" t="s">
        <v>60</v>
      </c>
      <c r="V1655" t="s">
        <v>61</v>
      </c>
      <c r="W1655">
        <v>3</v>
      </c>
      <c r="X1655">
        <v>0.14000000000000001</v>
      </c>
      <c r="Y1655" t="s">
        <v>98</v>
      </c>
      <c r="Z1655" t="s">
        <v>99</v>
      </c>
      <c r="AA1655">
        <v>0</v>
      </c>
      <c r="AB1655" t="s">
        <v>6761</v>
      </c>
      <c r="AC1655" t="s">
        <v>6762</v>
      </c>
      <c r="AD1655" t="s">
        <v>6763</v>
      </c>
      <c r="AE1655" t="s">
        <v>6764</v>
      </c>
      <c r="AF1655" t="s">
        <v>6765</v>
      </c>
      <c r="AG1655" t="s">
        <v>66</v>
      </c>
      <c r="AH1655" t="s">
        <v>66</v>
      </c>
      <c r="AI1655" t="s">
        <v>66</v>
      </c>
      <c r="AJ1655" t="s">
        <v>66</v>
      </c>
      <c r="AK1655">
        <v>1</v>
      </c>
      <c r="AL1655" t="s">
        <v>66</v>
      </c>
      <c r="AM1655" t="s">
        <v>66</v>
      </c>
      <c r="AN1655" t="s">
        <v>66</v>
      </c>
      <c r="AO1655" t="s">
        <v>66</v>
      </c>
      <c r="AP1655">
        <v>1</v>
      </c>
      <c r="AQ1655" t="s">
        <v>66</v>
      </c>
      <c r="AR1655" t="s">
        <v>66</v>
      </c>
      <c r="AS1655" t="s">
        <v>66</v>
      </c>
      <c r="AT1655" t="s">
        <v>66</v>
      </c>
    </row>
    <row r="1656" spans="1:46" x14ac:dyDescent="0.15">
      <c r="A1656" t="s">
        <v>6791</v>
      </c>
      <c r="B1656" t="s">
        <v>6757</v>
      </c>
      <c r="C1656" t="s">
        <v>6758</v>
      </c>
      <c r="D1656">
        <v>7</v>
      </c>
      <c r="E1656" t="s">
        <v>6759</v>
      </c>
      <c r="F1656" t="s">
        <v>3083</v>
      </c>
      <c r="G1656" t="s">
        <v>51</v>
      </c>
      <c r="H1656" t="s">
        <v>6760</v>
      </c>
      <c r="I1656" t="s">
        <v>1553</v>
      </c>
      <c r="J1656" t="s">
        <v>54</v>
      </c>
      <c r="K1656" t="s">
        <v>3594</v>
      </c>
      <c r="L1656" t="s">
        <v>16</v>
      </c>
      <c r="M1656" t="s">
        <v>18</v>
      </c>
      <c r="N1656">
        <v>837</v>
      </c>
      <c r="O1656">
        <v>49</v>
      </c>
      <c r="P1656">
        <v>0</v>
      </c>
      <c r="Q1656" t="s">
        <v>6792</v>
      </c>
      <c r="R1656" t="s">
        <v>6793</v>
      </c>
      <c r="S1656" t="s">
        <v>6794</v>
      </c>
      <c r="T1656" t="s">
        <v>6795</v>
      </c>
      <c r="U1656" t="s">
        <v>60</v>
      </c>
      <c r="V1656" t="s">
        <v>61</v>
      </c>
      <c r="W1656">
        <v>3</v>
      </c>
      <c r="X1656">
        <v>0.14000000000000001</v>
      </c>
      <c r="Y1656" t="s">
        <v>86</v>
      </c>
      <c r="Z1656" t="s">
        <v>105</v>
      </c>
      <c r="AA1656">
        <v>0</v>
      </c>
      <c r="AB1656" t="s">
        <v>6761</v>
      </c>
      <c r="AC1656" t="s">
        <v>6762</v>
      </c>
      <c r="AD1656" t="s">
        <v>6763</v>
      </c>
      <c r="AE1656" t="s">
        <v>6764</v>
      </c>
      <c r="AF1656" t="s">
        <v>6765</v>
      </c>
      <c r="AG1656" t="s">
        <v>66</v>
      </c>
      <c r="AH1656" t="s">
        <v>66</v>
      </c>
      <c r="AI1656" t="s">
        <v>66</v>
      </c>
      <c r="AJ1656" t="s">
        <v>66</v>
      </c>
      <c r="AK1656">
        <v>1</v>
      </c>
      <c r="AL1656" t="s">
        <v>66</v>
      </c>
      <c r="AM1656" t="s">
        <v>66</v>
      </c>
      <c r="AN1656" t="s">
        <v>66</v>
      </c>
      <c r="AO1656" t="s">
        <v>66</v>
      </c>
      <c r="AP1656">
        <v>1</v>
      </c>
      <c r="AQ1656" t="s">
        <v>66</v>
      </c>
      <c r="AR1656" t="s">
        <v>66</v>
      </c>
      <c r="AS1656" t="s">
        <v>66</v>
      </c>
      <c r="AT1656" t="s">
        <v>66</v>
      </c>
    </row>
    <row r="1657" spans="1:46" x14ac:dyDescent="0.15">
      <c r="A1657" t="s">
        <v>6796</v>
      </c>
      <c r="B1657" t="s">
        <v>6757</v>
      </c>
      <c r="C1657" t="s">
        <v>6758</v>
      </c>
      <c r="D1657">
        <v>8</v>
      </c>
      <c r="E1657" t="s">
        <v>6759</v>
      </c>
      <c r="F1657" t="s">
        <v>3083</v>
      </c>
      <c r="G1657" t="s">
        <v>51</v>
      </c>
      <c r="H1657" t="s">
        <v>6760</v>
      </c>
      <c r="I1657" t="s">
        <v>1553</v>
      </c>
      <c r="J1657" t="s">
        <v>54</v>
      </c>
      <c r="K1657" t="s">
        <v>3594</v>
      </c>
      <c r="L1657" t="s">
        <v>16</v>
      </c>
      <c r="M1657" t="s">
        <v>18</v>
      </c>
      <c r="N1657">
        <v>893</v>
      </c>
      <c r="O1657">
        <v>52</v>
      </c>
      <c r="P1657">
        <v>0</v>
      </c>
      <c r="Q1657" t="s">
        <v>6797</v>
      </c>
      <c r="R1657" t="s">
        <v>6798</v>
      </c>
      <c r="S1657" t="s">
        <v>6799</v>
      </c>
      <c r="T1657" t="s">
        <v>6800</v>
      </c>
      <c r="U1657" t="s">
        <v>60</v>
      </c>
      <c r="V1657" t="s">
        <v>61</v>
      </c>
      <c r="W1657">
        <v>3</v>
      </c>
      <c r="X1657">
        <v>0.14000000000000001</v>
      </c>
      <c r="Y1657" t="s">
        <v>111</v>
      </c>
      <c r="Z1657" t="s">
        <v>112</v>
      </c>
      <c r="AA1657">
        <v>0</v>
      </c>
      <c r="AB1657" t="s">
        <v>6761</v>
      </c>
      <c r="AC1657" t="s">
        <v>6762</v>
      </c>
      <c r="AD1657" t="s">
        <v>6763</v>
      </c>
      <c r="AE1657" t="s">
        <v>6764</v>
      </c>
      <c r="AF1657" t="s">
        <v>6765</v>
      </c>
      <c r="AG1657" t="s">
        <v>66</v>
      </c>
      <c r="AH1657" t="s">
        <v>66</v>
      </c>
      <c r="AI1657" t="s">
        <v>66</v>
      </c>
      <c r="AJ1657" t="s">
        <v>66</v>
      </c>
      <c r="AK1657">
        <v>1</v>
      </c>
      <c r="AL1657" t="s">
        <v>66</v>
      </c>
      <c r="AM1657" t="s">
        <v>66</v>
      </c>
      <c r="AN1657" t="s">
        <v>66</v>
      </c>
      <c r="AO1657" t="s">
        <v>66</v>
      </c>
      <c r="AP1657">
        <v>1</v>
      </c>
      <c r="AQ1657" t="s">
        <v>66</v>
      </c>
      <c r="AR1657" t="s">
        <v>66</v>
      </c>
      <c r="AS1657" t="s">
        <v>66</v>
      </c>
      <c r="AT1657" t="s">
        <v>66</v>
      </c>
    </row>
    <row r="1658" spans="1:46" x14ac:dyDescent="0.15">
      <c r="A1658" t="s">
        <v>6801</v>
      </c>
      <c r="B1658" t="s">
        <v>6757</v>
      </c>
      <c r="C1658" t="s">
        <v>6758</v>
      </c>
      <c r="D1658">
        <v>9</v>
      </c>
      <c r="E1658" t="s">
        <v>6759</v>
      </c>
      <c r="F1658" t="s">
        <v>3083</v>
      </c>
      <c r="G1658" t="s">
        <v>51</v>
      </c>
      <c r="H1658" t="s">
        <v>6760</v>
      </c>
      <c r="I1658" t="s">
        <v>1553</v>
      </c>
      <c r="J1658" t="s">
        <v>54</v>
      </c>
      <c r="K1658" t="s">
        <v>3594</v>
      </c>
      <c r="L1658" t="s">
        <v>16</v>
      </c>
      <c r="M1658" t="s">
        <v>18</v>
      </c>
      <c r="N1658">
        <v>949</v>
      </c>
      <c r="O1658">
        <v>55</v>
      </c>
      <c r="P1658">
        <v>0</v>
      </c>
      <c r="Q1658" t="s">
        <v>6802</v>
      </c>
      <c r="R1658" t="s">
        <v>6803</v>
      </c>
      <c r="S1658" t="s">
        <v>6804</v>
      </c>
      <c r="T1658" t="s">
        <v>6805</v>
      </c>
      <c r="U1658" t="s">
        <v>60</v>
      </c>
      <c r="V1658" t="s">
        <v>61</v>
      </c>
      <c r="W1658">
        <v>3</v>
      </c>
      <c r="X1658">
        <v>0.14000000000000001</v>
      </c>
      <c r="Y1658" t="s">
        <v>92</v>
      </c>
      <c r="Z1658" t="s">
        <v>118</v>
      </c>
      <c r="AA1658">
        <v>0</v>
      </c>
      <c r="AB1658" t="s">
        <v>6761</v>
      </c>
      <c r="AC1658" t="s">
        <v>6762</v>
      </c>
      <c r="AD1658" t="s">
        <v>6763</v>
      </c>
      <c r="AE1658" t="s">
        <v>6764</v>
      </c>
      <c r="AF1658" t="s">
        <v>6765</v>
      </c>
      <c r="AG1658" t="s">
        <v>66</v>
      </c>
      <c r="AH1658" t="s">
        <v>66</v>
      </c>
      <c r="AI1658" t="s">
        <v>66</v>
      </c>
      <c r="AJ1658" t="s">
        <v>66</v>
      </c>
      <c r="AK1658">
        <v>1</v>
      </c>
      <c r="AL1658" t="s">
        <v>66</v>
      </c>
      <c r="AM1658" t="s">
        <v>66</v>
      </c>
      <c r="AN1658" t="s">
        <v>66</v>
      </c>
      <c r="AO1658" t="s">
        <v>66</v>
      </c>
      <c r="AP1658">
        <v>1</v>
      </c>
      <c r="AQ1658" t="s">
        <v>66</v>
      </c>
      <c r="AR1658" t="s">
        <v>66</v>
      </c>
      <c r="AS1658" t="s">
        <v>66</v>
      </c>
      <c r="AT1658" t="s">
        <v>66</v>
      </c>
    </row>
    <row r="1659" spans="1:46" x14ac:dyDescent="0.15">
      <c r="A1659" t="s">
        <v>6806</v>
      </c>
      <c r="B1659" t="s">
        <v>6757</v>
      </c>
      <c r="C1659" t="s">
        <v>6758</v>
      </c>
      <c r="D1659">
        <v>10</v>
      </c>
      <c r="E1659" t="s">
        <v>6759</v>
      </c>
      <c r="F1659" t="s">
        <v>3083</v>
      </c>
      <c r="G1659" t="s">
        <v>51</v>
      </c>
      <c r="H1659" t="s">
        <v>6760</v>
      </c>
      <c r="I1659" t="s">
        <v>1553</v>
      </c>
      <c r="J1659" t="s">
        <v>54</v>
      </c>
      <c r="K1659" t="s">
        <v>3594</v>
      </c>
      <c r="L1659" t="s">
        <v>16</v>
      </c>
      <c r="M1659" t="s">
        <v>18</v>
      </c>
      <c r="N1659">
        <v>1005</v>
      </c>
      <c r="O1659">
        <v>58</v>
      </c>
      <c r="P1659">
        <v>0</v>
      </c>
      <c r="Q1659" t="s">
        <v>6807</v>
      </c>
      <c r="R1659" t="s">
        <v>6808</v>
      </c>
      <c r="S1659" t="s">
        <v>6809</v>
      </c>
      <c r="T1659" t="s">
        <v>6810</v>
      </c>
      <c r="U1659" t="s">
        <v>60</v>
      </c>
      <c r="V1659" t="s">
        <v>61</v>
      </c>
      <c r="W1659">
        <v>3</v>
      </c>
      <c r="X1659">
        <v>0.14000000000000001</v>
      </c>
      <c r="Y1659" t="s">
        <v>124</v>
      </c>
      <c r="Z1659" t="s">
        <v>125</v>
      </c>
      <c r="AA1659">
        <v>0</v>
      </c>
      <c r="AB1659" t="s">
        <v>6761</v>
      </c>
      <c r="AC1659" t="s">
        <v>6762</v>
      </c>
      <c r="AD1659" t="s">
        <v>6763</v>
      </c>
      <c r="AE1659" t="s">
        <v>6764</v>
      </c>
      <c r="AF1659" t="s">
        <v>6765</v>
      </c>
      <c r="AG1659" t="s">
        <v>66</v>
      </c>
      <c r="AH1659" t="s">
        <v>66</v>
      </c>
      <c r="AI1659" t="s">
        <v>66</v>
      </c>
      <c r="AJ1659" t="s">
        <v>66</v>
      </c>
      <c r="AK1659">
        <v>1</v>
      </c>
      <c r="AL1659" t="s">
        <v>66</v>
      </c>
      <c r="AM1659" t="s">
        <v>66</v>
      </c>
      <c r="AN1659" t="s">
        <v>66</v>
      </c>
      <c r="AO1659" t="s">
        <v>66</v>
      </c>
      <c r="AP1659">
        <v>1</v>
      </c>
      <c r="AQ1659" t="s">
        <v>66</v>
      </c>
      <c r="AR1659" t="s">
        <v>66</v>
      </c>
      <c r="AS1659" t="s">
        <v>66</v>
      </c>
      <c r="AT1659" t="s">
        <v>66</v>
      </c>
    </row>
    <row r="1660" spans="1:46" x14ac:dyDescent="0.15">
      <c r="A1660" t="s">
        <v>6811</v>
      </c>
      <c r="B1660" t="s">
        <v>6757</v>
      </c>
      <c r="C1660" t="s">
        <v>6758</v>
      </c>
      <c r="D1660">
        <v>11</v>
      </c>
      <c r="E1660" t="s">
        <v>6759</v>
      </c>
      <c r="F1660" t="s">
        <v>3083</v>
      </c>
      <c r="G1660" t="s">
        <v>51</v>
      </c>
      <c r="H1660" t="s">
        <v>6760</v>
      </c>
      <c r="I1660" t="s">
        <v>1553</v>
      </c>
      <c r="J1660" t="s">
        <v>54</v>
      </c>
      <c r="K1660" t="s">
        <v>3594</v>
      </c>
      <c r="L1660" t="s">
        <v>16</v>
      </c>
      <c r="M1660" t="s">
        <v>18</v>
      </c>
      <c r="N1660">
        <v>1061</v>
      </c>
      <c r="O1660">
        <v>61</v>
      </c>
      <c r="P1660">
        <v>0</v>
      </c>
      <c r="Q1660" t="s">
        <v>6812</v>
      </c>
      <c r="R1660" t="s">
        <v>6813</v>
      </c>
      <c r="S1660" t="s">
        <v>6814</v>
      </c>
      <c r="T1660" t="s">
        <v>6815</v>
      </c>
      <c r="U1660" t="s">
        <v>60</v>
      </c>
      <c r="V1660" t="s">
        <v>61</v>
      </c>
      <c r="W1660">
        <v>3</v>
      </c>
      <c r="X1660">
        <v>0.14000000000000001</v>
      </c>
      <c r="Y1660" t="s">
        <v>99</v>
      </c>
      <c r="Z1660" t="s">
        <v>131</v>
      </c>
      <c r="AA1660">
        <v>0</v>
      </c>
      <c r="AB1660" t="s">
        <v>6761</v>
      </c>
      <c r="AC1660" t="s">
        <v>6762</v>
      </c>
      <c r="AD1660" t="s">
        <v>6763</v>
      </c>
      <c r="AE1660" t="s">
        <v>6764</v>
      </c>
      <c r="AF1660" t="s">
        <v>6765</v>
      </c>
      <c r="AG1660" t="s">
        <v>66</v>
      </c>
      <c r="AH1660" t="s">
        <v>66</v>
      </c>
      <c r="AI1660" t="s">
        <v>66</v>
      </c>
      <c r="AJ1660" t="s">
        <v>66</v>
      </c>
      <c r="AK1660">
        <v>1</v>
      </c>
      <c r="AL1660" t="s">
        <v>66</v>
      </c>
      <c r="AM1660" t="s">
        <v>66</v>
      </c>
      <c r="AN1660" t="s">
        <v>66</v>
      </c>
      <c r="AO1660" t="s">
        <v>66</v>
      </c>
      <c r="AP1660">
        <v>1</v>
      </c>
      <c r="AQ1660" t="s">
        <v>66</v>
      </c>
      <c r="AR1660" t="s">
        <v>66</v>
      </c>
      <c r="AS1660" t="s">
        <v>66</v>
      </c>
      <c r="AT1660" t="s">
        <v>66</v>
      </c>
    </row>
    <row r="1661" spans="1:46" x14ac:dyDescent="0.15">
      <c r="A1661" t="s">
        <v>6816</v>
      </c>
      <c r="B1661" t="s">
        <v>6757</v>
      </c>
      <c r="C1661" t="s">
        <v>6758</v>
      </c>
      <c r="D1661">
        <v>12</v>
      </c>
      <c r="E1661" t="s">
        <v>6759</v>
      </c>
      <c r="F1661" t="s">
        <v>3083</v>
      </c>
      <c r="G1661" t="s">
        <v>51</v>
      </c>
      <c r="H1661" t="s">
        <v>6760</v>
      </c>
      <c r="I1661" t="s">
        <v>1553</v>
      </c>
      <c r="J1661" t="s">
        <v>54</v>
      </c>
      <c r="K1661" t="s">
        <v>3594</v>
      </c>
      <c r="L1661" t="s">
        <v>16</v>
      </c>
      <c r="M1661" t="s">
        <v>18</v>
      </c>
      <c r="N1661">
        <v>1117</v>
      </c>
      <c r="O1661">
        <v>64</v>
      </c>
      <c r="P1661">
        <v>0</v>
      </c>
      <c r="Q1661" t="s">
        <v>6817</v>
      </c>
      <c r="R1661" t="s">
        <v>6818</v>
      </c>
      <c r="S1661" t="s">
        <v>6819</v>
      </c>
      <c r="T1661" t="s">
        <v>6820</v>
      </c>
      <c r="U1661" t="s">
        <v>60</v>
      </c>
      <c r="V1661" t="s">
        <v>61</v>
      </c>
      <c r="W1661">
        <v>3</v>
      </c>
      <c r="X1661">
        <v>0.14000000000000001</v>
      </c>
      <c r="Y1661" t="s">
        <v>137</v>
      </c>
      <c r="Z1661" t="s">
        <v>138</v>
      </c>
      <c r="AA1661">
        <v>0</v>
      </c>
      <c r="AB1661" t="s">
        <v>6761</v>
      </c>
      <c r="AC1661" t="s">
        <v>6762</v>
      </c>
      <c r="AD1661" t="s">
        <v>6763</v>
      </c>
      <c r="AE1661" t="s">
        <v>6764</v>
      </c>
      <c r="AF1661" t="s">
        <v>6765</v>
      </c>
      <c r="AG1661" t="s">
        <v>66</v>
      </c>
      <c r="AH1661" t="s">
        <v>66</v>
      </c>
      <c r="AI1661" t="s">
        <v>66</v>
      </c>
      <c r="AJ1661" t="s">
        <v>66</v>
      </c>
      <c r="AK1661">
        <v>1</v>
      </c>
      <c r="AL1661" t="s">
        <v>66</v>
      </c>
      <c r="AM1661" t="s">
        <v>66</v>
      </c>
      <c r="AN1661" t="s">
        <v>66</v>
      </c>
      <c r="AO1661" t="s">
        <v>66</v>
      </c>
      <c r="AP1661">
        <v>1</v>
      </c>
      <c r="AQ1661" t="s">
        <v>66</v>
      </c>
      <c r="AR1661" t="s">
        <v>66</v>
      </c>
      <c r="AS1661" t="s">
        <v>66</v>
      </c>
      <c r="AT1661" t="s">
        <v>66</v>
      </c>
    </row>
    <row r="1662" spans="1:46" x14ac:dyDescent="0.15">
      <c r="A1662" t="s">
        <v>6821</v>
      </c>
      <c r="B1662" t="s">
        <v>6757</v>
      </c>
      <c r="C1662" t="s">
        <v>6758</v>
      </c>
      <c r="D1662">
        <v>13</v>
      </c>
      <c r="E1662" t="s">
        <v>6759</v>
      </c>
      <c r="F1662" t="s">
        <v>3083</v>
      </c>
      <c r="G1662" t="s">
        <v>51</v>
      </c>
      <c r="H1662" t="s">
        <v>6760</v>
      </c>
      <c r="I1662" t="s">
        <v>1553</v>
      </c>
      <c r="J1662" t="s">
        <v>54</v>
      </c>
      <c r="K1662" t="s">
        <v>3594</v>
      </c>
      <c r="L1662" t="s">
        <v>16</v>
      </c>
      <c r="M1662" t="s">
        <v>18</v>
      </c>
      <c r="N1662">
        <v>1173</v>
      </c>
      <c r="O1662">
        <v>68</v>
      </c>
      <c r="P1662">
        <v>0</v>
      </c>
      <c r="Q1662" t="s">
        <v>6822</v>
      </c>
      <c r="R1662" t="s">
        <v>6823</v>
      </c>
      <c r="S1662" t="s">
        <v>6824</v>
      </c>
      <c r="T1662" t="s">
        <v>6825</v>
      </c>
      <c r="U1662" t="s">
        <v>60</v>
      </c>
      <c r="V1662" t="s">
        <v>61</v>
      </c>
      <c r="W1662">
        <v>3</v>
      </c>
      <c r="X1662">
        <v>0.14000000000000001</v>
      </c>
      <c r="Y1662" t="s">
        <v>105</v>
      </c>
      <c r="Z1662" t="s">
        <v>144</v>
      </c>
      <c r="AA1662">
        <v>0</v>
      </c>
      <c r="AB1662" t="s">
        <v>6761</v>
      </c>
      <c r="AC1662" t="s">
        <v>6762</v>
      </c>
      <c r="AD1662" t="s">
        <v>6763</v>
      </c>
      <c r="AE1662" t="s">
        <v>6764</v>
      </c>
      <c r="AF1662" t="s">
        <v>6765</v>
      </c>
      <c r="AG1662" t="s">
        <v>66</v>
      </c>
      <c r="AH1662" t="s">
        <v>66</v>
      </c>
      <c r="AI1662" t="s">
        <v>66</v>
      </c>
      <c r="AJ1662" t="s">
        <v>66</v>
      </c>
      <c r="AK1662">
        <v>1</v>
      </c>
      <c r="AL1662" t="s">
        <v>66</v>
      </c>
      <c r="AM1662" t="s">
        <v>66</v>
      </c>
      <c r="AN1662" t="s">
        <v>66</v>
      </c>
      <c r="AO1662" t="s">
        <v>66</v>
      </c>
      <c r="AP1662">
        <v>1</v>
      </c>
      <c r="AQ1662" t="s">
        <v>66</v>
      </c>
      <c r="AR1662" t="s">
        <v>66</v>
      </c>
      <c r="AS1662" t="s">
        <v>66</v>
      </c>
      <c r="AT1662" t="s">
        <v>66</v>
      </c>
    </row>
    <row r="1663" spans="1:46" x14ac:dyDescent="0.15">
      <c r="A1663" t="s">
        <v>6826</v>
      </c>
      <c r="B1663" t="s">
        <v>6757</v>
      </c>
      <c r="C1663" t="s">
        <v>6758</v>
      </c>
      <c r="D1663">
        <v>14</v>
      </c>
      <c r="E1663" t="s">
        <v>6759</v>
      </c>
      <c r="F1663" t="s">
        <v>3083</v>
      </c>
      <c r="G1663" t="s">
        <v>51</v>
      </c>
      <c r="H1663" t="s">
        <v>6760</v>
      </c>
      <c r="I1663" t="s">
        <v>1553</v>
      </c>
      <c r="J1663" t="s">
        <v>54</v>
      </c>
      <c r="K1663" t="s">
        <v>3594</v>
      </c>
      <c r="L1663" t="s">
        <v>16</v>
      </c>
      <c r="M1663" t="s">
        <v>18</v>
      </c>
      <c r="N1663">
        <v>1230</v>
      </c>
      <c r="O1663">
        <v>71</v>
      </c>
      <c r="P1663">
        <v>0</v>
      </c>
      <c r="Q1663" t="s">
        <v>6827</v>
      </c>
      <c r="R1663" t="s">
        <v>6828</v>
      </c>
      <c r="S1663" t="s">
        <v>6829</v>
      </c>
      <c r="T1663" t="s">
        <v>6830</v>
      </c>
      <c r="U1663" t="s">
        <v>60</v>
      </c>
      <c r="V1663" t="s">
        <v>61</v>
      </c>
      <c r="W1663">
        <v>3</v>
      </c>
      <c r="X1663">
        <v>0.14000000000000001</v>
      </c>
      <c r="Y1663" t="s">
        <v>150</v>
      </c>
      <c r="Z1663" t="s">
        <v>151</v>
      </c>
      <c r="AA1663">
        <v>0</v>
      </c>
      <c r="AB1663" t="s">
        <v>6761</v>
      </c>
      <c r="AC1663" t="s">
        <v>6762</v>
      </c>
      <c r="AD1663" t="s">
        <v>6763</v>
      </c>
      <c r="AE1663" t="s">
        <v>6764</v>
      </c>
      <c r="AF1663" t="s">
        <v>6765</v>
      </c>
      <c r="AG1663" t="s">
        <v>66</v>
      </c>
      <c r="AH1663" t="s">
        <v>66</v>
      </c>
      <c r="AI1663" t="s">
        <v>66</v>
      </c>
      <c r="AJ1663" t="s">
        <v>66</v>
      </c>
      <c r="AK1663">
        <v>1</v>
      </c>
      <c r="AL1663" t="s">
        <v>66</v>
      </c>
      <c r="AM1663" t="s">
        <v>66</v>
      </c>
      <c r="AN1663" t="s">
        <v>66</v>
      </c>
      <c r="AO1663" t="s">
        <v>66</v>
      </c>
      <c r="AP1663">
        <v>1</v>
      </c>
      <c r="AQ1663" t="s">
        <v>66</v>
      </c>
      <c r="AR1663" t="s">
        <v>66</v>
      </c>
      <c r="AS1663" t="s">
        <v>66</v>
      </c>
      <c r="AT1663" t="s">
        <v>66</v>
      </c>
    </row>
    <row r="1664" spans="1:46" x14ac:dyDescent="0.15">
      <c r="A1664" t="s">
        <v>6831</v>
      </c>
      <c r="B1664" t="s">
        <v>6757</v>
      </c>
      <c r="C1664" t="s">
        <v>6758</v>
      </c>
      <c r="D1664">
        <v>15</v>
      </c>
      <c r="E1664" t="s">
        <v>6759</v>
      </c>
      <c r="F1664" t="s">
        <v>3083</v>
      </c>
      <c r="G1664" t="s">
        <v>51</v>
      </c>
      <c r="H1664" t="s">
        <v>6760</v>
      </c>
      <c r="I1664" t="s">
        <v>1553</v>
      </c>
      <c r="J1664" t="s">
        <v>54</v>
      </c>
      <c r="K1664" t="s">
        <v>3594</v>
      </c>
      <c r="L1664" t="s">
        <v>16</v>
      </c>
      <c r="M1664" t="s">
        <v>18</v>
      </c>
      <c r="N1664">
        <v>1286</v>
      </c>
      <c r="O1664">
        <v>74</v>
      </c>
      <c r="P1664">
        <v>0</v>
      </c>
      <c r="Q1664" t="s">
        <v>6832</v>
      </c>
      <c r="R1664" t="s">
        <v>6833</v>
      </c>
      <c r="S1664" t="s">
        <v>6834</v>
      </c>
      <c r="T1664" t="s">
        <v>6835</v>
      </c>
      <c r="U1664" t="s">
        <v>60</v>
      </c>
      <c r="V1664" t="s">
        <v>61</v>
      </c>
      <c r="W1664">
        <v>3</v>
      </c>
      <c r="X1664">
        <v>0.14000000000000001</v>
      </c>
      <c r="Y1664" t="s">
        <v>112</v>
      </c>
      <c r="Z1664" t="s">
        <v>157</v>
      </c>
      <c r="AA1664">
        <v>0</v>
      </c>
      <c r="AB1664" t="s">
        <v>6761</v>
      </c>
      <c r="AC1664" t="s">
        <v>6762</v>
      </c>
      <c r="AD1664" t="s">
        <v>6763</v>
      </c>
      <c r="AE1664" t="s">
        <v>6764</v>
      </c>
      <c r="AF1664" t="s">
        <v>6765</v>
      </c>
      <c r="AG1664" t="s">
        <v>66</v>
      </c>
      <c r="AH1664" t="s">
        <v>66</v>
      </c>
      <c r="AI1664" t="s">
        <v>66</v>
      </c>
      <c r="AJ1664" t="s">
        <v>66</v>
      </c>
      <c r="AK1664">
        <v>1</v>
      </c>
      <c r="AL1664" t="s">
        <v>66</v>
      </c>
      <c r="AM1664" t="s">
        <v>66</v>
      </c>
      <c r="AN1664" t="s">
        <v>66</v>
      </c>
      <c r="AO1664" t="s">
        <v>66</v>
      </c>
      <c r="AP1664">
        <v>1</v>
      </c>
      <c r="AQ1664" t="s">
        <v>66</v>
      </c>
      <c r="AR1664" t="s">
        <v>66</v>
      </c>
      <c r="AS1664" t="s">
        <v>66</v>
      </c>
      <c r="AT1664" t="s">
        <v>66</v>
      </c>
    </row>
    <row r="1665" spans="1:46" x14ac:dyDescent="0.15">
      <c r="A1665" t="s">
        <v>6836</v>
      </c>
      <c r="B1665" t="s">
        <v>6757</v>
      </c>
      <c r="C1665" t="s">
        <v>6758</v>
      </c>
      <c r="D1665">
        <v>16</v>
      </c>
      <c r="E1665" t="s">
        <v>6759</v>
      </c>
      <c r="F1665" t="s">
        <v>3083</v>
      </c>
      <c r="G1665" t="s">
        <v>51</v>
      </c>
      <c r="H1665" t="s">
        <v>6760</v>
      </c>
      <c r="I1665" t="s">
        <v>1553</v>
      </c>
      <c r="J1665" t="s">
        <v>54</v>
      </c>
      <c r="K1665" t="s">
        <v>3594</v>
      </c>
      <c r="L1665" t="s">
        <v>16</v>
      </c>
      <c r="M1665" t="s">
        <v>18</v>
      </c>
      <c r="N1665">
        <v>1342</v>
      </c>
      <c r="O1665">
        <v>77</v>
      </c>
      <c r="P1665">
        <v>0</v>
      </c>
      <c r="Q1665" t="s">
        <v>6837</v>
      </c>
      <c r="R1665" t="s">
        <v>6838</v>
      </c>
      <c r="S1665" t="s">
        <v>6839</v>
      </c>
      <c r="T1665" t="s">
        <v>6840</v>
      </c>
      <c r="U1665" t="s">
        <v>60</v>
      </c>
      <c r="V1665" t="s">
        <v>61</v>
      </c>
      <c r="W1665">
        <v>3</v>
      </c>
      <c r="X1665">
        <v>0.14000000000000001</v>
      </c>
      <c r="Y1665" t="s">
        <v>163</v>
      </c>
      <c r="Z1665" t="s">
        <v>164</v>
      </c>
      <c r="AA1665">
        <v>0</v>
      </c>
      <c r="AB1665" t="s">
        <v>6761</v>
      </c>
      <c r="AC1665" t="s">
        <v>6762</v>
      </c>
      <c r="AD1665" t="s">
        <v>6763</v>
      </c>
      <c r="AE1665" t="s">
        <v>6764</v>
      </c>
      <c r="AF1665" t="s">
        <v>6765</v>
      </c>
      <c r="AG1665" t="s">
        <v>66</v>
      </c>
      <c r="AH1665" t="s">
        <v>66</v>
      </c>
      <c r="AI1665" t="s">
        <v>66</v>
      </c>
      <c r="AJ1665" t="s">
        <v>66</v>
      </c>
      <c r="AK1665">
        <v>1</v>
      </c>
      <c r="AL1665" t="s">
        <v>66</v>
      </c>
      <c r="AM1665" t="s">
        <v>66</v>
      </c>
      <c r="AN1665" t="s">
        <v>66</v>
      </c>
      <c r="AO1665" t="s">
        <v>66</v>
      </c>
      <c r="AP1665">
        <v>1</v>
      </c>
      <c r="AQ1665" t="s">
        <v>66</v>
      </c>
      <c r="AR1665" t="s">
        <v>66</v>
      </c>
      <c r="AS1665" t="s">
        <v>66</v>
      </c>
      <c r="AT1665" t="s">
        <v>66</v>
      </c>
    </row>
    <row r="1666" spans="1:46" x14ac:dyDescent="0.15">
      <c r="A1666" t="s">
        <v>6841</v>
      </c>
      <c r="B1666" t="s">
        <v>6757</v>
      </c>
      <c r="C1666" t="s">
        <v>6758</v>
      </c>
      <c r="D1666">
        <v>17</v>
      </c>
      <c r="E1666" t="s">
        <v>6759</v>
      </c>
      <c r="F1666" t="s">
        <v>3083</v>
      </c>
      <c r="G1666" t="s">
        <v>51</v>
      </c>
      <c r="H1666" t="s">
        <v>6760</v>
      </c>
      <c r="I1666" t="s">
        <v>1553</v>
      </c>
      <c r="J1666" t="s">
        <v>54</v>
      </c>
      <c r="K1666" t="s">
        <v>3594</v>
      </c>
      <c r="L1666" t="s">
        <v>16</v>
      </c>
      <c r="M1666" t="s">
        <v>18</v>
      </c>
      <c r="N1666">
        <v>1398</v>
      </c>
      <c r="O1666">
        <v>80</v>
      </c>
      <c r="P1666">
        <v>0</v>
      </c>
      <c r="Q1666" t="s">
        <v>6842</v>
      </c>
      <c r="R1666" t="s">
        <v>6843</v>
      </c>
      <c r="S1666" t="s">
        <v>6844</v>
      </c>
      <c r="T1666" t="s">
        <v>6845</v>
      </c>
      <c r="U1666" t="s">
        <v>60</v>
      </c>
      <c r="V1666" t="s">
        <v>61</v>
      </c>
      <c r="W1666">
        <v>3</v>
      </c>
      <c r="X1666">
        <v>0.14000000000000001</v>
      </c>
      <c r="Y1666" t="s">
        <v>118</v>
      </c>
      <c r="Z1666" t="s">
        <v>170</v>
      </c>
      <c r="AA1666">
        <v>0</v>
      </c>
      <c r="AB1666" t="s">
        <v>6761</v>
      </c>
      <c r="AC1666" t="s">
        <v>6762</v>
      </c>
      <c r="AD1666" t="s">
        <v>6763</v>
      </c>
      <c r="AE1666" t="s">
        <v>6764</v>
      </c>
      <c r="AF1666" t="s">
        <v>6765</v>
      </c>
      <c r="AG1666" t="s">
        <v>66</v>
      </c>
      <c r="AH1666" t="s">
        <v>66</v>
      </c>
      <c r="AI1666" t="s">
        <v>66</v>
      </c>
      <c r="AJ1666" t="s">
        <v>66</v>
      </c>
      <c r="AK1666">
        <v>1</v>
      </c>
      <c r="AL1666" t="s">
        <v>66</v>
      </c>
      <c r="AM1666" t="s">
        <v>66</v>
      </c>
      <c r="AN1666" t="s">
        <v>66</v>
      </c>
      <c r="AO1666" t="s">
        <v>66</v>
      </c>
      <c r="AP1666">
        <v>1</v>
      </c>
      <c r="AQ1666" t="s">
        <v>66</v>
      </c>
      <c r="AR1666" t="s">
        <v>66</v>
      </c>
      <c r="AS1666" t="s">
        <v>66</v>
      </c>
      <c r="AT1666" t="s">
        <v>66</v>
      </c>
    </row>
    <row r="1667" spans="1:46" x14ac:dyDescent="0.15">
      <c r="A1667" t="s">
        <v>6846</v>
      </c>
      <c r="B1667" t="s">
        <v>6757</v>
      </c>
      <c r="C1667" t="s">
        <v>6758</v>
      </c>
      <c r="D1667">
        <v>18</v>
      </c>
      <c r="E1667" t="s">
        <v>6759</v>
      </c>
      <c r="F1667" t="s">
        <v>3083</v>
      </c>
      <c r="G1667" t="s">
        <v>51</v>
      </c>
      <c r="H1667" t="s">
        <v>6760</v>
      </c>
      <c r="I1667" t="s">
        <v>1553</v>
      </c>
      <c r="J1667" t="s">
        <v>54</v>
      </c>
      <c r="K1667" t="s">
        <v>3594</v>
      </c>
      <c r="L1667" t="s">
        <v>16</v>
      </c>
      <c r="M1667" t="s">
        <v>18</v>
      </c>
      <c r="N1667">
        <v>1454</v>
      </c>
      <c r="O1667">
        <v>83</v>
      </c>
      <c r="P1667">
        <v>0</v>
      </c>
      <c r="Q1667" t="s">
        <v>6847</v>
      </c>
      <c r="R1667" t="s">
        <v>6848</v>
      </c>
      <c r="S1667" t="s">
        <v>6849</v>
      </c>
      <c r="T1667" t="s">
        <v>6850</v>
      </c>
      <c r="U1667" t="s">
        <v>60</v>
      </c>
      <c r="V1667" t="s">
        <v>61</v>
      </c>
      <c r="W1667">
        <v>3</v>
      </c>
      <c r="X1667">
        <v>0.14000000000000001</v>
      </c>
      <c r="Y1667" t="s">
        <v>176</v>
      </c>
      <c r="Z1667" t="s">
        <v>177</v>
      </c>
      <c r="AA1667">
        <v>0</v>
      </c>
      <c r="AB1667" t="s">
        <v>6761</v>
      </c>
      <c r="AC1667" t="s">
        <v>6762</v>
      </c>
      <c r="AD1667" t="s">
        <v>6763</v>
      </c>
      <c r="AE1667" t="s">
        <v>6764</v>
      </c>
      <c r="AF1667" t="s">
        <v>6765</v>
      </c>
      <c r="AG1667" t="s">
        <v>66</v>
      </c>
      <c r="AH1667" t="s">
        <v>66</v>
      </c>
      <c r="AI1667" t="s">
        <v>66</v>
      </c>
      <c r="AJ1667" t="s">
        <v>66</v>
      </c>
      <c r="AK1667">
        <v>1</v>
      </c>
      <c r="AL1667" t="s">
        <v>66</v>
      </c>
      <c r="AM1667" t="s">
        <v>66</v>
      </c>
      <c r="AN1667" t="s">
        <v>66</v>
      </c>
      <c r="AO1667" t="s">
        <v>66</v>
      </c>
      <c r="AP1667">
        <v>1</v>
      </c>
      <c r="AQ1667" t="s">
        <v>66</v>
      </c>
      <c r="AR1667" t="s">
        <v>66</v>
      </c>
      <c r="AS1667" t="s">
        <v>66</v>
      </c>
      <c r="AT1667" t="s">
        <v>66</v>
      </c>
    </row>
    <row r="1668" spans="1:46" x14ac:dyDescent="0.15">
      <c r="A1668" t="s">
        <v>6851</v>
      </c>
      <c r="B1668" t="s">
        <v>6757</v>
      </c>
      <c r="C1668" t="s">
        <v>6758</v>
      </c>
      <c r="D1668">
        <v>19</v>
      </c>
      <c r="E1668" t="s">
        <v>6759</v>
      </c>
      <c r="F1668" t="s">
        <v>3083</v>
      </c>
      <c r="G1668" t="s">
        <v>51</v>
      </c>
      <c r="H1668" t="s">
        <v>6760</v>
      </c>
      <c r="I1668" t="s">
        <v>1553</v>
      </c>
      <c r="J1668" t="s">
        <v>54</v>
      </c>
      <c r="K1668" t="s">
        <v>3594</v>
      </c>
      <c r="L1668" t="s">
        <v>16</v>
      </c>
      <c r="M1668" t="s">
        <v>18</v>
      </c>
      <c r="N1668">
        <v>1510</v>
      </c>
      <c r="O1668">
        <v>86</v>
      </c>
      <c r="P1668">
        <v>0</v>
      </c>
      <c r="Q1668" t="s">
        <v>6852</v>
      </c>
      <c r="R1668" t="s">
        <v>6853</v>
      </c>
      <c r="S1668" t="s">
        <v>6854</v>
      </c>
      <c r="T1668" t="s">
        <v>6855</v>
      </c>
      <c r="U1668" t="s">
        <v>60</v>
      </c>
      <c r="V1668" t="s">
        <v>61</v>
      </c>
      <c r="W1668">
        <v>3</v>
      </c>
      <c r="X1668">
        <v>0.14000000000000001</v>
      </c>
      <c r="Y1668" t="s">
        <v>125</v>
      </c>
      <c r="Z1668" t="s">
        <v>183</v>
      </c>
      <c r="AA1668">
        <v>0</v>
      </c>
      <c r="AB1668" t="s">
        <v>6761</v>
      </c>
      <c r="AC1668" t="s">
        <v>6762</v>
      </c>
      <c r="AD1668" t="s">
        <v>6763</v>
      </c>
      <c r="AE1668" t="s">
        <v>6764</v>
      </c>
      <c r="AF1668" t="s">
        <v>6765</v>
      </c>
      <c r="AG1668" t="s">
        <v>66</v>
      </c>
      <c r="AH1668" t="s">
        <v>66</v>
      </c>
      <c r="AI1668" t="s">
        <v>66</v>
      </c>
      <c r="AJ1668" t="s">
        <v>66</v>
      </c>
      <c r="AK1668">
        <v>1</v>
      </c>
      <c r="AL1668" t="s">
        <v>66</v>
      </c>
      <c r="AM1668" t="s">
        <v>66</v>
      </c>
      <c r="AN1668" t="s">
        <v>66</v>
      </c>
      <c r="AO1668" t="s">
        <v>66</v>
      </c>
      <c r="AP1668">
        <v>1</v>
      </c>
      <c r="AQ1668" t="s">
        <v>66</v>
      </c>
      <c r="AR1668" t="s">
        <v>66</v>
      </c>
      <c r="AS1668" t="s">
        <v>66</v>
      </c>
      <c r="AT1668" t="s">
        <v>66</v>
      </c>
    </row>
    <row r="1669" spans="1:46" x14ac:dyDescent="0.15">
      <c r="A1669" t="s">
        <v>6856</v>
      </c>
      <c r="B1669" t="s">
        <v>6757</v>
      </c>
      <c r="C1669" t="s">
        <v>6758</v>
      </c>
      <c r="D1669">
        <v>20</v>
      </c>
      <c r="E1669" t="s">
        <v>6759</v>
      </c>
      <c r="F1669" t="s">
        <v>3083</v>
      </c>
      <c r="G1669" t="s">
        <v>51</v>
      </c>
      <c r="H1669" t="s">
        <v>6760</v>
      </c>
      <c r="I1669" t="s">
        <v>1553</v>
      </c>
      <c r="J1669" t="s">
        <v>54</v>
      </c>
      <c r="K1669" t="s">
        <v>3594</v>
      </c>
      <c r="L1669" t="s">
        <v>16</v>
      </c>
      <c r="M1669" t="s">
        <v>18</v>
      </c>
      <c r="N1669">
        <v>1566</v>
      </c>
      <c r="O1669">
        <v>90</v>
      </c>
      <c r="P1669">
        <v>0</v>
      </c>
      <c r="Q1669" t="s">
        <v>6857</v>
      </c>
      <c r="R1669" t="s">
        <v>6858</v>
      </c>
      <c r="S1669" t="s">
        <v>6859</v>
      </c>
      <c r="T1669" t="s">
        <v>6860</v>
      </c>
      <c r="U1669" t="s">
        <v>60</v>
      </c>
      <c r="V1669" t="s">
        <v>61</v>
      </c>
      <c r="W1669">
        <v>3</v>
      </c>
      <c r="X1669">
        <v>0.14000000000000001</v>
      </c>
      <c r="Y1669" t="s">
        <v>189</v>
      </c>
      <c r="Z1669" t="s">
        <v>190</v>
      </c>
      <c r="AA1669">
        <v>0</v>
      </c>
      <c r="AB1669" t="s">
        <v>6761</v>
      </c>
      <c r="AC1669" t="s">
        <v>6762</v>
      </c>
      <c r="AD1669" t="s">
        <v>6763</v>
      </c>
      <c r="AE1669" t="s">
        <v>6764</v>
      </c>
      <c r="AF1669" t="s">
        <v>6765</v>
      </c>
      <c r="AG1669" t="s">
        <v>66</v>
      </c>
      <c r="AH1669" t="s">
        <v>66</v>
      </c>
      <c r="AI1669" t="s">
        <v>66</v>
      </c>
      <c r="AJ1669" t="s">
        <v>66</v>
      </c>
      <c r="AK1669">
        <v>1</v>
      </c>
      <c r="AL1669" t="s">
        <v>66</v>
      </c>
      <c r="AM1669" t="s">
        <v>66</v>
      </c>
      <c r="AN1669" t="s">
        <v>66</v>
      </c>
      <c r="AO1669" t="s">
        <v>66</v>
      </c>
      <c r="AP1669">
        <v>1</v>
      </c>
      <c r="AQ1669" t="s">
        <v>66</v>
      </c>
      <c r="AR1669" t="s">
        <v>66</v>
      </c>
      <c r="AS1669" t="s">
        <v>66</v>
      </c>
      <c r="AT1669" t="s">
        <v>66</v>
      </c>
    </row>
    <row r="1670" spans="1:46" x14ac:dyDescent="0.15">
      <c r="A1670" t="s">
        <v>6856</v>
      </c>
      <c r="B1670" t="s">
        <v>6757</v>
      </c>
      <c r="C1670" t="s">
        <v>6758</v>
      </c>
      <c r="D1670">
        <v>20</v>
      </c>
      <c r="E1670" t="s">
        <v>6759</v>
      </c>
      <c r="F1670" t="s">
        <v>3083</v>
      </c>
      <c r="G1670" t="s">
        <v>51</v>
      </c>
      <c r="H1670" t="s">
        <v>6760</v>
      </c>
      <c r="I1670" t="s">
        <v>1553</v>
      </c>
      <c r="J1670" t="s">
        <v>54</v>
      </c>
      <c r="K1670" t="s">
        <v>3594</v>
      </c>
      <c r="L1670" t="s">
        <v>16</v>
      </c>
      <c r="M1670" t="s">
        <v>18</v>
      </c>
      <c r="N1670">
        <v>1566</v>
      </c>
      <c r="O1670">
        <v>90</v>
      </c>
      <c r="P1670">
        <v>0</v>
      </c>
      <c r="Q1670" t="s">
        <v>6857</v>
      </c>
      <c r="R1670" t="s">
        <v>6858</v>
      </c>
      <c r="S1670" t="s">
        <v>6859</v>
      </c>
      <c r="T1670" t="s">
        <v>6860</v>
      </c>
      <c r="U1670" t="s">
        <v>60</v>
      </c>
      <c r="V1670" t="s">
        <v>61</v>
      </c>
      <c r="W1670">
        <v>3</v>
      </c>
      <c r="X1670">
        <v>0.14000000000000001</v>
      </c>
      <c r="Y1670" t="s">
        <v>189</v>
      </c>
      <c r="Z1670" t="s">
        <v>190</v>
      </c>
      <c r="AA1670">
        <v>1</v>
      </c>
      <c r="AB1670" t="s">
        <v>6761</v>
      </c>
      <c r="AC1670" t="s">
        <v>6762</v>
      </c>
      <c r="AD1670" t="s">
        <v>6763</v>
      </c>
      <c r="AE1670" t="s">
        <v>6764</v>
      </c>
      <c r="AF1670" t="s">
        <v>6765</v>
      </c>
      <c r="AG1670" t="s">
        <v>806</v>
      </c>
      <c r="AH1670" t="s">
        <v>66</v>
      </c>
      <c r="AI1670" t="s">
        <v>66</v>
      </c>
      <c r="AJ1670" t="s">
        <v>66</v>
      </c>
      <c r="AK1670">
        <v>1</v>
      </c>
      <c r="AL1670" t="s">
        <v>6861</v>
      </c>
      <c r="AM1670" t="s">
        <v>6862</v>
      </c>
      <c r="AN1670" t="s">
        <v>66</v>
      </c>
      <c r="AO1670" t="s">
        <v>66</v>
      </c>
      <c r="AP1670">
        <v>1</v>
      </c>
      <c r="AQ1670" t="s">
        <v>66</v>
      </c>
      <c r="AR1670" t="s">
        <v>66</v>
      </c>
      <c r="AS1670" t="s">
        <v>66</v>
      </c>
      <c r="AT1670" t="s">
        <v>66</v>
      </c>
    </row>
    <row r="1671" spans="1:46" x14ac:dyDescent="0.15">
      <c r="A1671" t="s">
        <v>6863</v>
      </c>
      <c r="B1671" t="s">
        <v>6757</v>
      </c>
      <c r="C1671" t="s">
        <v>6758</v>
      </c>
      <c r="D1671">
        <v>21</v>
      </c>
      <c r="E1671" t="s">
        <v>6759</v>
      </c>
      <c r="F1671" t="s">
        <v>3083</v>
      </c>
      <c r="G1671" t="s">
        <v>51</v>
      </c>
      <c r="H1671" t="s">
        <v>6760</v>
      </c>
      <c r="I1671" t="s">
        <v>1553</v>
      </c>
      <c r="J1671" t="s">
        <v>54</v>
      </c>
      <c r="K1671" t="s">
        <v>3594</v>
      </c>
      <c r="L1671" t="s">
        <v>16</v>
      </c>
      <c r="M1671" t="s">
        <v>18</v>
      </c>
      <c r="N1671">
        <v>1622</v>
      </c>
      <c r="O1671">
        <v>93</v>
      </c>
      <c r="P1671">
        <v>0</v>
      </c>
      <c r="Q1671" t="s">
        <v>6864</v>
      </c>
      <c r="R1671" t="s">
        <v>6865</v>
      </c>
      <c r="S1671" t="s">
        <v>6866</v>
      </c>
      <c r="T1671" t="s">
        <v>6867</v>
      </c>
      <c r="U1671" t="s">
        <v>60</v>
      </c>
      <c r="V1671" t="s">
        <v>61</v>
      </c>
      <c r="W1671">
        <v>3</v>
      </c>
      <c r="X1671">
        <v>0.14000000000000001</v>
      </c>
      <c r="Y1671" t="s">
        <v>131</v>
      </c>
      <c r="Z1671" t="s">
        <v>197</v>
      </c>
      <c r="AA1671">
        <v>1</v>
      </c>
      <c r="AB1671" t="s">
        <v>6761</v>
      </c>
      <c r="AC1671" t="s">
        <v>6762</v>
      </c>
      <c r="AD1671" t="s">
        <v>6763</v>
      </c>
      <c r="AE1671" t="s">
        <v>6764</v>
      </c>
      <c r="AF1671" t="s">
        <v>6765</v>
      </c>
      <c r="AG1671" t="s">
        <v>806</v>
      </c>
      <c r="AH1671" t="s">
        <v>66</v>
      </c>
      <c r="AI1671" t="s">
        <v>66</v>
      </c>
      <c r="AJ1671" t="s">
        <v>66</v>
      </c>
      <c r="AK1671">
        <v>1</v>
      </c>
      <c r="AL1671" t="s">
        <v>6861</v>
      </c>
      <c r="AM1671" t="s">
        <v>6862</v>
      </c>
      <c r="AN1671" t="s">
        <v>66</v>
      </c>
      <c r="AO1671" t="s">
        <v>66</v>
      </c>
      <c r="AP1671">
        <v>1</v>
      </c>
      <c r="AQ1671" t="s">
        <v>66</v>
      </c>
      <c r="AR1671" t="s">
        <v>66</v>
      </c>
      <c r="AS1671" t="s">
        <v>66</v>
      </c>
      <c r="AT1671" t="s">
        <v>66</v>
      </c>
    </row>
    <row r="1672" spans="1:46" x14ac:dyDescent="0.15">
      <c r="A1672" t="s">
        <v>6868</v>
      </c>
      <c r="B1672" t="s">
        <v>6757</v>
      </c>
      <c r="C1672" t="s">
        <v>6758</v>
      </c>
      <c r="D1672">
        <v>22</v>
      </c>
      <c r="E1672" t="s">
        <v>6759</v>
      </c>
      <c r="F1672" t="s">
        <v>3083</v>
      </c>
      <c r="G1672" t="s">
        <v>51</v>
      </c>
      <c r="H1672" t="s">
        <v>6760</v>
      </c>
      <c r="I1672" t="s">
        <v>1553</v>
      </c>
      <c r="J1672" t="s">
        <v>54</v>
      </c>
      <c r="K1672" t="s">
        <v>3594</v>
      </c>
      <c r="L1672" t="s">
        <v>16</v>
      </c>
      <c r="M1672" t="s">
        <v>18</v>
      </c>
      <c r="N1672">
        <v>1679</v>
      </c>
      <c r="O1672">
        <v>96</v>
      </c>
      <c r="P1672">
        <v>0</v>
      </c>
      <c r="Q1672" t="s">
        <v>6869</v>
      </c>
      <c r="R1672" t="s">
        <v>6870</v>
      </c>
      <c r="S1672" t="s">
        <v>6871</v>
      </c>
      <c r="T1672" t="s">
        <v>6872</v>
      </c>
      <c r="U1672" t="s">
        <v>60</v>
      </c>
      <c r="V1672" t="s">
        <v>61</v>
      </c>
      <c r="W1672">
        <v>3</v>
      </c>
      <c r="X1672">
        <v>0.14000000000000001</v>
      </c>
      <c r="Y1672" t="s">
        <v>203</v>
      </c>
      <c r="Z1672" t="s">
        <v>204</v>
      </c>
      <c r="AA1672">
        <v>1</v>
      </c>
      <c r="AB1672" t="s">
        <v>6761</v>
      </c>
      <c r="AC1672" t="s">
        <v>6762</v>
      </c>
      <c r="AD1672" t="s">
        <v>6763</v>
      </c>
      <c r="AE1672" t="s">
        <v>6764</v>
      </c>
      <c r="AF1672" t="s">
        <v>6765</v>
      </c>
      <c r="AG1672" t="s">
        <v>806</v>
      </c>
      <c r="AH1672" t="s">
        <v>66</v>
      </c>
      <c r="AI1672" t="s">
        <v>66</v>
      </c>
      <c r="AJ1672" t="s">
        <v>66</v>
      </c>
      <c r="AK1672">
        <v>1</v>
      </c>
      <c r="AL1672" t="s">
        <v>6861</v>
      </c>
      <c r="AM1672" t="s">
        <v>6862</v>
      </c>
      <c r="AN1672" t="s">
        <v>66</v>
      </c>
      <c r="AO1672" t="s">
        <v>66</v>
      </c>
      <c r="AP1672">
        <v>1</v>
      </c>
      <c r="AQ1672" t="s">
        <v>66</v>
      </c>
      <c r="AR1672" t="s">
        <v>66</v>
      </c>
      <c r="AS1672" t="s">
        <v>66</v>
      </c>
      <c r="AT1672" t="s">
        <v>66</v>
      </c>
    </row>
    <row r="1673" spans="1:46" x14ac:dyDescent="0.15">
      <c r="A1673" t="s">
        <v>6873</v>
      </c>
      <c r="B1673" t="s">
        <v>6757</v>
      </c>
      <c r="C1673" t="s">
        <v>6758</v>
      </c>
      <c r="D1673">
        <v>23</v>
      </c>
      <c r="E1673" t="s">
        <v>6759</v>
      </c>
      <c r="F1673" t="s">
        <v>3083</v>
      </c>
      <c r="G1673" t="s">
        <v>51</v>
      </c>
      <c r="H1673" t="s">
        <v>6760</v>
      </c>
      <c r="I1673" t="s">
        <v>1553</v>
      </c>
      <c r="J1673" t="s">
        <v>54</v>
      </c>
      <c r="K1673" t="s">
        <v>3594</v>
      </c>
      <c r="L1673" t="s">
        <v>16</v>
      </c>
      <c r="M1673" t="s">
        <v>18</v>
      </c>
      <c r="N1673">
        <v>1735</v>
      </c>
      <c r="O1673">
        <v>99</v>
      </c>
      <c r="P1673">
        <v>0</v>
      </c>
      <c r="Q1673" t="s">
        <v>6874</v>
      </c>
      <c r="R1673" t="s">
        <v>6875</v>
      </c>
      <c r="S1673" t="s">
        <v>6876</v>
      </c>
      <c r="T1673" t="s">
        <v>6877</v>
      </c>
      <c r="U1673" t="s">
        <v>60</v>
      </c>
      <c r="V1673" t="s">
        <v>61</v>
      </c>
      <c r="W1673">
        <v>3</v>
      </c>
      <c r="X1673">
        <v>0.14000000000000001</v>
      </c>
      <c r="Y1673" t="s">
        <v>138</v>
      </c>
      <c r="Z1673" t="s">
        <v>210</v>
      </c>
      <c r="AA1673">
        <v>1</v>
      </c>
      <c r="AB1673" t="s">
        <v>6761</v>
      </c>
      <c r="AC1673" t="s">
        <v>6762</v>
      </c>
      <c r="AD1673" t="s">
        <v>6763</v>
      </c>
      <c r="AE1673" t="s">
        <v>6764</v>
      </c>
      <c r="AF1673" t="s">
        <v>6765</v>
      </c>
      <c r="AG1673" t="s">
        <v>806</v>
      </c>
      <c r="AH1673" t="s">
        <v>66</v>
      </c>
      <c r="AI1673" t="s">
        <v>66</v>
      </c>
      <c r="AJ1673" t="s">
        <v>66</v>
      </c>
      <c r="AK1673">
        <v>1</v>
      </c>
      <c r="AL1673" t="s">
        <v>6861</v>
      </c>
      <c r="AM1673" t="s">
        <v>6862</v>
      </c>
      <c r="AN1673" t="s">
        <v>66</v>
      </c>
      <c r="AO1673" t="s">
        <v>66</v>
      </c>
      <c r="AP1673">
        <v>1</v>
      </c>
      <c r="AQ1673" t="s">
        <v>66</v>
      </c>
      <c r="AR1673" t="s">
        <v>66</v>
      </c>
      <c r="AS1673" t="s">
        <v>66</v>
      </c>
      <c r="AT1673" t="s">
        <v>66</v>
      </c>
    </row>
    <row r="1674" spans="1:46" x14ac:dyDescent="0.15">
      <c r="A1674" t="s">
        <v>6878</v>
      </c>
      <c r="B1674" t="s">
        <v>6757</v>
      </c>
      <c r="C1674" t="s">
        <v>6758</v>
      </c>
      <c r="D1674">
        <v>24</v>
      </c>
      <c r="E1674" t="s">
        <v>6759</v>
      </c>
      <c r="F1674" t="s">
        <v>3083</v>
      </c>
      <c r="G1674" t="s">
        <v>51</v>
      </c>
      <c r="H1674" t="s">
        <v>6760</v>
      </c>
      <c r="I1674" t="s">
        <v>1553</v>
      </c>
      <c r="J1674" t="s">
        <v>54</v>
      </c>
      <c r="K1674" t="s">
        <v>3594</v>
      </c>
      <c r="L1674" t="s">
        <v>16</v>
      </c>
      <c r="M1674" t="s">
        <v>18</v>
      </c>
      <c r="N1674">
        <v>1791</v>
      </c>
      <c r="O1674">
        <v>102</v>
      </c>
      <c r="P1674">
        <v>0</v>
      </c>
      <c r="Q1674" t="s">
        <v>6879</v>
      </c>
      <c r="R1674" t="s">
        <v>6880</v>
      </c>
      <c r="S1674" t="s">
        <v>6881</v>
      </c>
      <c r="T1674" t="s">
        <v>6882</v>
      </c>
      <c r="U1674" t="s">
        <v>60</v>
      </c>
      <c r="V1674" t="s">
        <v>61</v>
      </c>
      <c r="W1674">
        <v>3</v>
      </c>
      <c r="X1674">
        <v>0.14000000000000001</v>
      </c>
      <c r="Y1674" t="s">
        <v>216</v>
      </c>
      <c r="Z1674" t="s">
        <v>217</v>
      </c>
      <c r="AA1674">
        <v>1</v>
      </c>
      <c r="AB1674" t="s">
        <v>6761</v>
      </c>
      <c r="AC1674" t="s">
        <v>6762</v>
      </c>
      <c r="AD1674" t="s">
        <v>6763</v>
      </c>
      <c r="AE1674" t="s">
        <v>6764</v>
      </c>
      <c r="AF1674" t="s">
        <v>6765</v>
      </c>
      <c r="AG1674" t="s">
        <v>806</v>
      </c>
      <c r="AH1674" t="s">
        <v>66</v>
      </c>
      <c r="AI1674" t="s">
        <v>66</v>
      </c>
      <c r="AJ1674" t="s">
        <v>66</v>
      </c>
      <c r="AK1674">
        <v>1</v>
      </c>
      <c r="AL1674" t="s">
        <v>6861</v>
      </c>
      <c r="AM1674" t="s">
        <v>6862</v>
      </c>
      <c r="AN1674" t="s">
        <v>66</v>
      </c>
      <c r="AO1674" t="s">
        <v>66</v>
      </c>
      <c r="AP1674">
        <v>1</v>
      </c>
      <c r="AQ1674" t="s">
        <v>66</v>
      </c>
      <c r="AR1674" t="s">
        <v>66</v>
      </c>
      <c r="AS1674" t="s">
        <v>66</v>
      </c>
      <c r="AT1674" t="s">
        <v>66</v>
      </c>
    </row>
    <row r="1675" spans="1:46" x14ac:dyDescent="0.15">
      <c r="A1675" t="s">
        <v>6883</v>
      </c>
      <c r="B1675" t="s">
        <v>6757</v>
      </c>
      <c r="C1675" t="s">
        <v>6758</v>
      </c>
      <c r="D1675">
        <v>25</v>
      </c>
      <c r="E1675" t="s">
        <v>6759</v>
      </c>
      <c r="F1675" t="s">
        <v>3083</v>
      </c>
      <c r="G1675" t="s">
        <v>51</v>
      </c>
      <c r="H1675" t="s">
        <v>6760</v>
      </c>
      <c r="I1675" t="s">
        <v>1553</v>
      </c>
      <c r="J1675" t="s">
        <v>54</v>
      </c>
      <c r="K1675" t="s">
        <v>3594</v>
      </c>
      <c r="L1675" t="s">
        <v>16</v>
      </c>
      <c r="M1675" t="s">
        <v>18</v>
      </c>
      <c r="N1675">
        <v>1847</v>
      </c>
      <c r="O1675">
        <v>105</v>
      </c>
      <c r="P1675">
        <v>0</v>
      </c>
      <c r="Q1675" t="s">
        <v>6884</v>
      </c>
      <c r="R1675" t="s">
        <v>6885</v>
      </c>
      <c r="S1675" t="s">
        <v>6886</v>
      </c>
      <c r="T1675" t="s">
        <v>6887</v>
      </c>
      <c r="U1675" t="s">
        <v>60</v>
      </c>
      <c r="V1675" t="s">
        <v>61</v>
      </c>
      <c r="W1675">
        <v>3</v>
      </c>
      <c r="X1675">
        <v>0.14000000000000001</v>
      </c>
      <c r="Y1675" t="s">
        <v>144</v>
      </c>
      <c r="Z1675" t="s">
        <v>223</v>
      </c>
      <c r="AA1675">
        <v>1</v>
      </c>
      <c r="AB1675" t="s">
        <v>6761</v>
      </c>
      <c r="AC1675" t="s">
        <v>6762</v>
      </c>
      <c r="AD1675" t="s">
        <v>6763</v>
      </c>
      <c r="AE1675" t="s">
        <v>6764</v>
      </c>
      <c r="AF1675" t="s">
        <v>6765</v>
      </c>
      <c r="AG1675" t="s">
        <v>806</v>
      </c>
      <c r="AH1675" t="s">
        <v>66</v>
      </c>
      <c r="AI1675" t="s">
        <v>66</v>
      </c>
      <c r="AJ1675" t="s">
        <v>66</v>
      </c>
      <c r="AK1675">
        <v>1</v>
      </c>
      <c r="AL1675" t="s">
        <v>6861</v>
      </c>
      <c r="AM1675" t="s">
        <v>6862</v>
      </c>
      <c r="AN1675" t="s">
        <v>66</v>
      </c>
      <c r="AO1675" t="s">
        <v>66</v>
      </c>
      <c r="AP1675">
        <v>1</v>
      </c>
      <c r="AQ1675" t="s">
        <v>66</v>
      </c>
      <c r="AR1675" t="s">
        <v>66</v>
      </c>
      <c r="AS1675" t="s">
        <v>66</v>
      </c>
      <c r="AT1675" t="s">
        <v>66</v>
      </c>
    </row>
    <row r="1676" spans="1:46" x14ac:dyDescent="0.15">
      <c r="A1676" t="s">
        <v>6888</v>
      </c>
      <c r="B1676" t="s">
        <v>6757</v>
      </c>
      <c r="C1676" t="s">
        <v>6758</v>
      </c>
      <c r="D1676">
        <v>26</v>
      </c>
      <c r="E1676" t="s">
        <v>6759</v>
      </c>
      <c r="F1676" t="s">
        <v>3083</v>
      </c>
      <c r="G1676" t="s">
        <v>51</v>
      </c>
      <c r="H1676" t="s">
        <v>6760</v>
      </c>
      <c r="I1676" t="s">
        <v>1553</v>
      </c>
      <c r="J1676" t="s">
        <v>54</v>
      </c>
      <c r="K1676" t="s">
        <v>3594</v>
      </c>
      <c r="L1676" t="s">
        <v>16</v>
      </c>
      <c r="M1676" t="s">
        <v>18</v>
      </c>
      <c r="N1676">
        <v>1903</v>
      </c>
      <c r="O1676">
        <v>108</v>
      </c>
      <c r="P1676">
        <v>0</v>
      </c>
      <c r="Q1676" t="s">
        <v>6889</v>
      </c>
      <c r="R1676" t="s">
        <v>6890</v>
      </c>
      <c r="S1676" t="s">
        <v>6891</v>
      </c>
      <c r="T1676" t="s">
        <v>6892</v>
      </c>
      <c r="U1676" t="s">
        <v>60</v>
      </c>
      <c r="V1676" t="s">
        <v>61</v>
      </c>
      <c r="W1676">
        <v>3</v>
      </c>
      <c r="X1676">
        <v>0.14000000000000001</v>
      </c>
      <c r="Y1676" t="s">
        <v>229</v>
      </c>
      <c r="Z1676" t="s">
        <v>230</v>
      </c>
      <c r="AA1676">
        <v>1</v>
      </c>
      <c r="AB1676" t="s">
        <v>6761</v>
      </c>
      <c r="AC1676" t="s">
        <v>6762</v>
      </c>
      <c r="AD1676" t="s">
        <v>6763</v>
      </c>
      <c r="AE1676" t="s">
        <v>6764</v>
      </c>
      <c r="AF1676" t="s">
        <v>6765</v>
      </c>
      <c r="AG1676" t="s">
        <v>806</v>
      </c>
      <c r="AH1676" t="s">
        <v>66</v>
      </c>
      <c r="AI1676" t="s">
        <v>66</v>
      </c>
      <c r="AJ1676" t="s">
        <v>66</v>
      </c>
      <c r="AK1676">
        <v>1</v>
      </c>
      <c r="AL1676" t="s">
        <v>6861</v>
      </c>
      <c r="AM1676" t="s">
        <v>6862</v>
      </c>
      <c r="AN1676" t="s">
        <v>66</v>
      </c>
      <c r="AO1676" t="s">
        <v>66</v>
      </c>
      <c r="AP1676">
        <v>1</v>
      </c>
      <c r="AQ1676" t="s">
        <v>66</v>
      </c>
      <c r="AR1676" t="s">
        <v>66</v>
      </c>
      <c r="AS1676" t="s">
        <v>66</v>
      </c>
      <c r="AT1676" t="s">
        <v>66</v>
      </c>
    </row>
    <row r="1677" spans="1:46" x14ac:dyDescent="0.15">
      <c r="A1677" t="s">
        <v>6893</v>
      </c>
      <c r="B1677" t="s">
        <v>6757</v>
      </c>
      <c r="C1677" t="s">
        <v>6758</v>
      </c>
      <c r="D1677">
        <v>27</v>
      </c>
      <c r="E1677" t="s">
        <v>6759</v>
      </c>
      <c r="F1677" t="s">
        <v>3083</v>
      </c>
      <c r="G1677" t="s">
        <v>51</v>
      </c>
      <c r="H1677" t="s">
        <v>6760</v>
      </c>
      <c r="I1677" t="s">
        <v>1553</v>
      </c>
      <c r="J1677" t="s">
        <v>54</v>
      </c>
      <c r="K1677" t="s">
        <v>3594</v>
      </c>
      <c r="L1677" t="s">
        <v>16</v>
      </c>
      <c r="M1677" t="s">
        <v>18</v>
      </c>
      <c r="N1677">
        <v>1959</v>
      </c>
      <c r="O1677">
        <v>111</v>
      </c>
      <c r="P1677">
        <v>0</v>
      </c>
      <c r="Q1677" t="s">
        <v>6894</v>
      </c>
      <c r="R1677" t="s">
        <v>6895</v>
      </c>
      <c r="S1677" t="s">
        <v>6896</v>
      </c>
      <c r="T1677" t="s">
        <v>6897</v>
      </c>
      <c r="U1677" t="s">
        <v>60</v>
      </c>
      <c r="V1677" t="s">
        <v>61</v>
      </c>
      <c r="W1677">
        <v>3</v>
      </c>
      <c r="X1677">
        <v>0.14000000000000001</v>
      </c>
      <c r="Y1677" t="s">
        <v>151</v>
      </c>
      <c r="Z1677" t="s">
        <v>236</v>
      </c>
      <c r="AA1677">
        <v>1</v>
      </c>
      <c r="AB1677" t="s">
        <v>6761</v>
      </c>
      <c r="AC1677" t="s">
        <v>6762</v>
      </c>
      <c r="AD1677" t="s">
        <v>6763</v>
      </c>
      <c r="AE1677" t="s">
        <v>6764</v>
      </c>
      <c r="AF1677" t="s">
        <v>6765</v>
      </c>
      <c r="AG1677" t="s">
        <v>806</v>
      </c>
      <c r="AH1677" t="s">
        <v>66</v>
      </c>
      <c r="AI1677" t="s">
        <v>66</v>
      </c>
      <c r="AJ1677" t="s">
        <v>66</v>
      </c>
      <c r="AK1677">
        <v>1</v>
      </c>
      <c r="AL1677" t="s">
        <v>6861</v>
      </c>
      <c r="AM1677" t="s">
        <v>6862</v>
      </c>
      <c r="AN1677" t="s">
        <v>66</v>
      </c>
      <c r="AO1677" t="s">
        <v>66</v>
      </c>
      <c r="AP1677">
        <v>1</v>
      </c>
      <c r="AQ1677" t="s">
        <v>66</v>
      </c>
      <c r="AR1677" t="s">
        <v>66</v>
      </c>
      <c r="AS1677" t="s">
        <v>66</v>
      </c>
      <c r="AT1677" t="s">
        <v>66</v>
      </c>
    </row>
    <row r="1678" spans="1:46" x14ac:dyDescent="0.15">
      <c r="A1678" t="s">
        <v>6898</v>
      </c>
      <c r="B1678" t="s">
        <v>6757</v>
      </c>
      <c r="C1678" t="s">
        <v>6758</v>
      </c>
      <c r="D1678">
        <v>28</v>
      </c>
      <c r="E1678" t="s">
        <v>6759</v>
      </c>
      <c r="F1678" t="s">
        <v>3083</v>
      </c>
      <c r="G1678" t="s">
        <v>51</v>
      </c>
      <c r="H1678" t="s">
        <v>6760</v>
      </c>
      <c r="I1678" t="s">
        <v>1553</v>
      </c>
      <c r="J1678" t="s">
        <v>54</v>
      </c>
      <c r="K1678" t="s">
        <v>3594</v>
      </c>
      <c r="L1678" t="s">
        <v>16</v>
      </c>
      <c r="M1678" t="s">
        <v>18</v>
      </c>
      <c r="N1678">
        <v>2015</v>
      </c>
      <c r="O1678">
        <v>115</v>
      </c>
      <c r="P1678">
        <v>0</v>
      </c>
      <c r="Q1678" t="s">
        <v>6899</v>
      </c>
      <c r="R1678" t="s">
        <v>6900</v>
      </c>
      <c r="S1678" t="s">
        <v>6901</v>
      </c>
      <c r="T1678" t="s">
        <v>6902</v>
      </c>
      <c r="U1678" t="s">
        <v>60</v>
      </c>
      <c r="V1678" t="s">
        <v>61</v>
      </c>
      <c r="W1678">
        <v>3</v>
      </c>
      <c r="X1678">
        <v>0.14000000000000001</v>
      </c>
      <c r="Y1678" t="s">
        <v>242</v>
      </c>
      <c r="Z1678" t="s">
        <v>243</v>
      </c>
      <c r="AA1678">
        <v>1</v>
      </c>
      <c r="AB1678" t="s">
        <v>6761</v>
      </c>
      <c r="AC1678" t="s">
        <v>6762</v>
      </c>
      <c r="AD1678" t="s">
        <v>6763</v>
      </c>
      <c r="AE1678" t="s">
        <v>6764</v>
      </c>
      <c r="AF1678" t="s">
        <v>6765</v>
      </c>
      <c r="AG1678" t="s">
        <v>806</v>
      </c>
      <c r="AH1678" t="s">
        <v>66</v>
      </c>
      <c r="AI1678" t="s">
        <v>66</v>
      </c>
      <c r="AJ1678" t="s">
        <v>66</v>
      </c>
      <c r="AK1678">
        <v>1</v>
      </c>
      <c r="AL1678" t="s">
        <v>6861</v>
      </c>
      <c r="AM1678" t="s">
        <v>6862</v>
      </c>
      <c r="AN1678" t="s">
        <v>66</v>
      </c>
      <c r="AO1678" t="s">
        <v>66</v>
      </c>
      <c r="AP1678">
        <v>1</v>
      </c>
      <c r="AQ1678" t="s">
        <v>66</v>
      </c>
      <c r="AR1678" t="s">
        <v>66</v>
      </c>
      <c r="AS1678" t="s">
        <v>66</v>
      </c>
      <c r="AT1678" t="s">
        <v>66</v>
      </c>
    </row>
    <row r="1679" spans="1:46" x14ac:dyDescent="0.15">
      <c r="A1679" t="s">
        <v>6903</v>
      </c>
      <c r="B1679" t="s">
        <v>6757</v>
      </c>
      <c r="C1679" t="s">
        <v>6758</v>
      </c>
      <c r="D1679">
        <v>29</v>
      </c>
      <c r="E1679" t="s">
        <v>6759</v>
      </c>
      <c r="F1679" t="s">
        <v>3083</v>
      </c>
      <c r="G1679" t="s">
        <v>51</v>
      </c>
      <c r="H1679" t="s">
        <v>6760</v>
      </c>
      <c r="I1679" t="s">
        <v>1553</v>
      </c>
      <c r="J1679" t="s">
        <v>54</v>
      </c>
      <c r="K1679" t="s">
        <v>3594</v>
      </c>
      <c r="L1679" t="s">
        <v>16</v>
      </c>
      <c r="M1679" t="s">
        <v>18</v>
      </c>
      <c r="N1679">
        <v>2071</v>
      </c>
      <c r="O1679">
        <v>118</v>
      </c>
      <c r="P1679">
        <v>0</v>
      </c>
      <c r="Q1679" t="s">
        <v>6904</v>
      </c>
      <c r="R1679" t="s">
        <v>6905</v>
      </c>
      <c r="S1679" t="s">
        <v>6906</v>
      </c>
      <c r="T1679" t="s">
        <v>6907</v>
      </c>
      <c r="U1679" t="s">
        <v>60</v>
      </c>
      <c r="V1679" t="s">
        <v>61</v>
      </c>
      <c r="W1679">
        <v>3</v>
      </c>
      <c r="X1679">
        <v>0.14000000000000001</v>
      </c>
      <c r="Y1679" t="s">
        <v>157</v>
      </c>
      <c r="Z1679" t="s">
        <v>249</v>
      </c>
      <c r="AA1679">
        <v>1</v>
      </c>
      <c r="AB1679" t="s">
        <v>6761</v>
      </c>
      <c r="AC1679" t="s">
        <v>6762</v>
      </c>
      <c r="AD1679" t="s">
        <v>6763</v>
      </c>
      <c r="AE1679" t="s">
        <v>6764</v>
      </c>
      <c r="AF1679" t="s">
        <v>6765</v>
      </c>
      <c r="AG1679" t="s">
        <v>806</v>
      </c>
      <c r="AH1679" t="s">
        <v>66</v>
      </c>
      <c r="AI1679" t="s">
        <v>66</v>
      </c>
      <c r="AJ1679" t="s">
        <v>66</v>
      </c>
      <c r="AK1679">
        <v>1</v>
      </c>
      <c r="AL1679" t="s">
        <v>6861</v>
      </c>
      <c r="AM1679" t="s">
        <v>6862</v>
      </c>
      <c r="AN1679" t="s">
        <v>66</v>
      </c>
      <c r="AO1679" t="s">
        <v>66</v>
      </c>
      <c r="AP1679">
        <v>1</v>
      </c>
      <c r="AQ1679" t="s">
        <v>66</v>
      </c>
      <c r="AR1679" t="s">
        <v>66</v>
      </c>
      <c r="AS1679" t="s">
        <v>66</v>
      </c>
      <c r="AT1679" t="s">
        <v>66</v>
      </c>
    </row>
    <row r="1680" spans="1:46" x14ac:dyDescent="0.15">
      <c r="A1680" t="s">
        <v>6908</v>
      </c>
      <c r="B1680" t="s">
        <v>6757</v>
      </c>
      <c r="C1680" t="s">
        <v>6758</v>
      </c>
      <c r="D1680">
        <v>30</v>
      </c>
      <c r="E1680" t="s">
        <v>6759</v>
      </c>
      <c r="F1680" t="s">
        <v>3083</v>
      </c>
      <c r="G1680" t="s">
        <v>51</v>
      </c>
      <c r="H1680" t="s">
        <v>6760</v>
      </c>
      <c r="I1680" t="s">
        <v>1553</v>
      </c>
      <c r="J1680" t="s">
        <v>54</v>
      </c>
      <c r="K1680" t="s">
        <v>3594</v>
      </c>
      <c r="L1680" t="s">
        <v>16</v>
      </c>
      <c r="M1680" t="s">
        <v>18</v>
      </c>
      <c r="N1680">
        <v>2128</v>
      </c>
      <c r="O1680">
        <v>121</v>
      </c>
      <c r="P1680">
        <v>0</v>
      </c>
      <c r="Q1680" t="s">
        <v>6909</v>
      </c>
      <c r="R1680" t="s">
        <v>6910</v>
      </c>
      <c r="S1680" t="s">
        <v>6911</v>
      </c>
      <c r="T1680" t="s">
        <v>6912</v>
      </c>
      <c r="U1680" t="s">
        <v>60</v>
      </c>
      <c r="V1680" t="s">
        <v>61</v>
      </c>
      <c r="W1680">
        <v>3</v>
      </c>
      <c r="X1680">
        <v>0.14000000000000001</v>
      </c>
      <c r="Y1680" t="s">
        <v>255</v>
      </c>
      <c r="Z1680" t="s">
        <v>256</v>
      </c>
      <c r="AA1680">
        <v>1</v>
      </c>
      <c r="AB1680" t="s">
        <v>6761</v>
      </c>
      <c r="AC1680" t="s">
        <v>6762</v>
      </c>
      <c r="AD1680" t="s">
        <v>6763</v>
      </c>
      <c r="AE1680" t="s">
        <v>6764</v>
      </c>
      <c r="AF1680" t="s">
        <v>6765</v>
      </c>
      <c r="AG1680" t="s">
        <v>806</v>
      </c>
      <c r="AH1680" t="s">
        <v>66</v>
      </c>
      <c r="AI1680" t="s">
        <v>66</v>
      </c>
      <c r="AJ1680" t="s">
        <v>66</v>
      </c>
      <c r="AK1680">
        <v>1</v>
      </c>
      <c r="AL1680" t="s">
        <v>6861</v>
      </c>
      <c r="AM1680" t="s">
        <v>6862</v>
      </c>
      <c r="AN1680" t="s">
        <v>66</v>
      </c>
      <c r="AO1680" t="s">
        <v>66</v>
      </c>
      <c r="AP1680">
        <v>1</v>
      </c>
      <c r="AQ1680" t="s">
        <v>66</v>
      </c>
      <c r="AR1680" t="s">
        <v>66</v>
      </c>
      <c r="AS1680" t="s">
        <v>66</v>
      </c>
      <c r="AT1680" t="s">
        <v>66</v>
      </c>
    </row>
    <row r="1681" spans="1:46" x14ac:dyDescent="0.15">
      <c r="A1681" t="s">
        <v>6913</v>
      </c>
      <c r="B1681" t="s">
        <v>6757</v>
      </c>
      <c r="C1681" t="s">
        <v>6758</v>
      </c>
      <c r="D1681">
        <v>31</v>
      </c>
      <c r="E1681" t="s">
        <v>6759</v>
      </c>
      <c r="F1681" t="s">
        <v>3083</v>
      </c>
      <c r="G1681" t="s">
        <v>51</v>
      </c>
      <c r="H1681" t="s">
        <v>6760</v>
      </c>
      <c r="I1681" t="s">
        <v>1553</v>
      </c>
      <c r="J1681" t="s">
        <v>54</v>
      </c>
      <c r="K1681" t="s">
        <v>3594</v>
      </c>
      <c r="L1681" t="s">
        <v>16</v>
      </c>
      <c r="M1681" t="s">
        <v>18</v>
      </c>
      <c r="N1681">
        <v>2184</v>
      </c>
      <c r="O1681">
        <v>124</v>
      </c>
      <c r="P1681">
        <v>0</v>
      </c>
      <c r="Q1681" t="s">
        <v>6914</v>
      </c>
      <c r="R1681" t="s">
        <v>6915</v>
      </c>
      <c r="S1681" t="s">
        <v>6916</v>
      </c>
      <c r="T1681" t="s">
        <v>6917</v>
      </c>
      <c r="U1681" t="s">
        <v>60</v>
      </c>
      <c r="V1681" t="s">
        <v>61</v>
      </c>
      <c r="W1681">
        <v>3</v>
      </c>
      <c r="X1681">
        <v>0.14000000000000001</v>
      </c>
      <c r="Y1681" t="s">
        <v>164</v>
      </c>
      <c r="Z1681" t="s">
        <v>262</v>
      </c>
      <c r="AA1681">
        <v>1</v>
      </c>
      <c r="AB1681" t="s">
        <v>6761</v>
      </c>
      <c r="AC1681" t="s">
        <v>6762</v>
      </c>
      <c r="AD1681" t="s">
        <v>6763</v>
      </c>
      <c r="AE1681" t="s">
        <v>6764</v>
      </c>
      <c r="AF1681" t="s">
        <v>6765</v>
      </c>
      <c r="AG1681" t="s">
        <v>806</v>
      </c>
      <c r="AH1681" t="s">
        <v>66</v>
      </c>
      <c r="AI1681" t="s">
        <v>66</v>
      </c>
      <c r="AJ1681" t="s">
        <v>66</v>
      </c>
      <c r="AK1681">
        <v>1</v>
      </c>
      <c r="AL1681" t="s">
        <v>6861</v>
      </c>
      <c r="AM1681" t="s">
        <v>6862</v>
      </c>
      <c r="AN1681" t="s">
        <v>66</v>
      </c>
      <c r="AO1681" t="s">
        <v>66</v>
      </c>
      <c r="AP1681">
        <v>1</v>
      </c>
      <c r="AQ1681" t="s">
        <v>66</v>
      </c>
      <c r="AR1681" t="s">
        <v>66</v>
      </c>
      <c r="AS1681" t="s">
        <v>66</v>
      </c>
      <c r="AT1681" t="s">
        <v>66</v>
      </c>
    </row>
    <row r="1682" spans="1:46" x14ac:dyDescent="0.15">
      <c r="A1682" t="s">
        <v>6918</v>
      </c>
      <c r="B1682" t="s">
        <v>6757</v>
      </c>
      <c r="C1682" t="s">
        <v>6758</v>
      </c>
      <c r="D1682">
        <v>32</v>
      </c>
      <c r="E1682" t="s">
        <v>6759</v>
      </c>
      <c r="F1682" t="s">
        <v>3083</v>
      </c>
      <c r="G1682" t="s">
        <v>51</v>
      </c>
      <c r="H1682" t="s">
        <v>6760</v>
      </c>
      <c r="I1682" t="s">
        <v>1553</v>
      </c>
      <c r="J1682" t="s">
        <v>54</v>
      </c>
      <c r="K1682" t="s">
        <v>3594</v>
      </c>
      <c r="L1682" t="s">
        <v>16</v>
      </c>
      <c r="M1682" t="s">
        <v>18</v>
      </c>
      <c r="N1682">
        <v>2240</v>
      </c>
      <c r="O1682">
        <v>127</v>
      </c>
      <c r="P1682">
        <v>0</v>
      </c>
      <c r="Q1682" t="s">
        <v>6919</v>
      </c>
      <c r="R1682" t="s">
        <v>6920</v>
      </c>
      <c r="S1682" t="s">
        <v>6921</v>
      </c>
      <c r="T1682" t="s">
        <v>6922</v>
      </c>
      <c r="U1682" t="s">
        <v>60</v>
      </c>
      <c r="V1682" t="s">
        <v>61</v>
      </c>
      <c r="W1682">
        <v>3</v>
      </c>
      <c r="X1682">
        <v>0.14000000000000001</v>
      </c>
      <c r="Y1682" t="s">
        <v>268</v>
      </c>
      <c r="Z1682" t="s">
        <v>269</v>
      </c>
      <c r="AA1682">
        <v>1</v>
      </c>
      <c r="AB1682" t="s">
        <v>6761</v>
      </c>
      <c r="AC1682" t="s">
        <v>6762</v>
      </c>
      <c r="AD1682" t="s">
        <v>6763</v>
      </c>
      <c r="AE1682" t="s">
        <v>6764</v>
      </c>
      <c r="AF1682" t="s">
        <v>6765</v>
      </c>
      <c r="AG1682" t="s">
        <v>806</v>
      </c>
      <c r="AH1682" t="s">
        <v>66</v>
      </c>
      <c r="AI1682" t="s">
        <v>66</v>
      </c>
      <c r="AJ1682" t="s">
        <v>66</v>
      </c>
      <c r="AK1682">
        <v>1</v>
      </c>
      <c r="AL1682" t="s">
        <v>6861</v>
      </c>
      <c r="AM1682" t="s">
        <v>6862</v>
      </c>
      <c r="AN1682" t="s">
        <v>66</v>
      </c>
      <c r="AO1682" t="s">
        <v>66</v>
      </c>
      <c r="AP1682">
        <v>1</v>
      </c>
      <c r="AQ1682" t="s">
        <v>66</v>
      </c>
      <c r="AR1682" t="s">
        <v>66</v>
      </c>
      <c r="AS1682" t="s">
        <v>66</v>
      </c>
      <c r="AT1682" t="s">
        <v>66</v>
      </c>
    </row>
    <row r="1683" spans="1:46" x14ac:dyDescent="0.15">
      <c r="A1683" t="s">
        <v>6923</v>
      </c>
      <c r="B1683" t="s">
        <v>6757</v>
      </c>
      <c r="C1683" t="s">
        <v>6758</v>
      </c>
      <c r="D1683">
        <v>33</v>
      </c>
      <c r="E1683" t="s">
        <v>6759</v>
      </c>
      <c r="F1683" t="s">
        <v>3083</v>
      </c>
      <c r="G1683" t="s">
        <v>51</v>
      </c>
      <c r="H1683" t="s">
        <v>6760</v>
      </c>
      <c r="I1683" t="s">
        <v>1553</v>
      </c>
      <c r="J1683" t="s">
        <v>54</v>
      </c>
      <c r="K1683" t="s">
        <v>3594</v>
      </c>
      <c r="L1683" t="s">
        <v>16</v>
      </c>
      <c r="M1683" t="s">
        <v>18</v>
      </c>
      <c r="N1683">
        <v>2296</v>
      </c>
      <c r="O1683">
        <v>130</v>
      </c>
      <c r="P1683">
        <v>0</v>
      </c>
      <c r="Q1683" t="s">
        <v>6924</v>
      </c>
      <c r="R1683" t="s">
        <v>6925</v>
      </c>
      <c r="S1683" t="s">
        <v>6926</v>
      </c>
      <c r="T1683" t="s">
        <v>6927</v>
      </c>
      <c r="U1683" t="s">
        <v>60</v>
      </c>
      <c r="V1683" t="s">
        <v>61</v>
      </c>
      <c r="W1683">
        <v>3</v>
      </c>
      <c r="X1683">
        <v>0.14000000000000001</v>
      </c>
      <c r="Y1683" t="s">
        <v>170</v>
      </c>
      <c r="Z1683" t="s">
        <v>275</v>
      </c>
      <c r="AA1683">
        <v>1</v>
      </c>
      <c r="AB1683" t="s">
        <v>6761</v>
      </c>
      <c r="AC1683" t="s">
        <v>6762</v>
      </c>
      <c r="AD1683" t="s">
        <v>6763</v>
      </c>
      <c r="AE1683" t="s">
        <v>6764</v>
      </c>
      <c r="AF1683" t="s">
        <v>6765</v>
      </c>
      <c r="AG1683" t="s">
        <v>806</v>
      </c>
      <c r="AH1683" t="s">
        <v>66</v>
      </c>
      <c r="AI1683" t="s">
        <v>66</v>
      </c>
      <c r="AJ1683" t="s">
        <v>66</v>
      </c>
      <c r="AK1683">
        <v>1</v>
      </c>
      <c r="AL1683" t="s">
        <v>6861</v>
      </c>
      <c r="AM1683" t="s">
        <v>6862</v>
      </c>
      <c r="AN1683" t="s">
        <v>66</v>
      </c>
      <c r="AO1683" t="s">
        <v>66</v>
      </c>
      <c r="AP1683">
        <v>1</v>
      </c>
      <c r="AQ1683" t="s">
        <v>66</v>
      </c>
      <c r="AR1683" t="s">
        <v>66</v>
      </c>
      <c r="AS1683" t="s">
        <v>66</v>
      </c>
      <c r="AT1683" t="s">
        <v>66</v>
      </c>
    </row>
    <row r="1684" spans="1:46" x14ac:dyDescent="0.15">
      <c r="A1684" t="s">
        <v>6928</v>
      </c>
      <c r="B1684" t="s">
        <v>6757</v>
      </c>
      <c r="C1684" t="s">
        <v>6758</v>
      </c>
      <c r="D1684">
        <v>34</v>
      </c>
      <c r="E1684" t="s">
        <v>6759</v>
      </c>
      <c r="F1684" t="s">
        <v>3083</v>
      </c>
      <c r="G1684" t="s">
        <v>51</v>
      </c>
      <c r="H1684" t="s">
        <v>6760</v>
      </c>
      <c r="I1684" t="s">
        <v>1553</v>
      </c>
      <c r="J1684" t="s">
        <v>54</v>
      </c>
      <c r="K1684" t="s">
        <v>3594</v>
      </c>
      <c r="L1684" t="s">
        <v>16</v>
      </c>
      <c r="M1684" t="s">
        <v>18</v>
      </c>
      <c r="N1684">
        <v>2352</v>
      </c>
      <c r="O1684">
        <v>133</v>
      </c>
      <c r="P1684">
        <v>0</v>
      </c>
      <c r="Q1684" t="s">
        <v>6929</v>
      </c>
      <c r="R1684" t="s">
        <v>6930</v>
      </c>
      <c r="S1684" t="s">
        <v>6931</v>
      </c>
      <c r="T1684" t="s">
        <v>6932</v>
      </c>
      <c r="U1684" t="s">
        <v>60</v>
      </c>
      <c r="V1684" t="s">
        <v>61</v>
      </c>
      <c r="W1684">
        <v>3</v>
      </c>
      <c r="X1684">
        <v>0.14000000000000001</v>
      </c>
      <c r="Y1684" t="s">
        <v>281</v>
      </c>
      <c r="Z1684" t="s">
        <v>282</v>
      </c>
      <c r="AA1684">
        <v>1</v>
      </c>
      <c r="AB1684" t="s">
        <v>6761</v>
      </c>
      <c r="AC1684" t="s">
        <v>6762</v>
      </c>
      <c r="AD1684" t="s">
        <v>6763</v>
      </c>
      <c r="AE1684" t="s">
        <v>6764</v>
      </c>
      <c r="AF1684" t="s">
        <v>6765</v>
      </c>
      <c r="AG1684" t="s">
        <v>806</v>
      </c>
      <c r="AH1684" t="s">
        <v>66</v>
      </c>
      <c r="AI1684" t="s">
        <v>66</v>
      </c>
      <c r="AJ1684" t="s">
        <v>66</v>
      </c>
      <c r="AK1684">
        <v>1</v>
      </c>
      <c r="AL1684" t="s">
        <v>6861</v>
      </c>
      <c r="AM1684" t="s">
        <v>6862</v>
      </c>
      <c r="AN1684" t="s">
        <v>66</v>
      </c>
      <c r="AO1684" t="s">
        <v>66</v>
      </c>
      <c r="AP1684">
        <v>1</v>
      </c>
      <c r="AQ1684" t="s">
        <v>66</v>
      </c>
      <c r="AR1684" t="s">
        <v>66</v>
      </c>
      <c r="AS1684" t="s">
        <v>66</v>
      </c>
      <c r="AT1684" t="s">
        <v>66</v>
      </c>
    </row>
    <row r="1685" spans="1:46" x14ac:dyDescent="0.15">
      <c r="A1685" t="s">
        <v>6933</v>
      </c>
      <c r="B1685" t="s">
        <v>6757</v>
      </c>
      <c r="C1685" t="s">
        <v>6758</v>
      </c>
      <c r="D1685">
        <v>35</v>
      </c>
      <c r="E1685" t="s">
        <v>6759</v>
      </c>
      <c r="F1685" t="s">
        <v>3083</v>
      </c>
      <c r="G1685" t="s">
        <v>51</v>
      </c>
      <c r="H1685" t="s">
        <v>6760</v>
      </c>
      <c r="I1685" t="s">
        <v>1553</v>
      </c>
      <c r="J1685" t="s">
        <v>54</v>
      </c>
      <c r="K1685" t="s">
        <v>3594</v>
      </c>
      <c r="L1685" t="s">
        <v>16</v>
      </c>
      <c r="M1685" t="s">
        <v>18</v>
      </c>
      <c r="N1685">
        <v>2408</v>
      </c>
      <c r="O1685">
        <v>136</v>
      </c>
      <c r="P1685">
        <v>0</v>
      </c>
      <c r="Q1685" t="s">
        <v>6934</v>
      </c>
      <c r="R1685" t="s">
        <v>6935</v>
      </c>
      <c r="S1685" t="s">
        <v>6936</v>
      </c>
      <c r="T1685" t="s">
        <v>6937</v>
      </c>
      <c r="U1685" t="s">
        <v>60</v>
      </c>
      <c r="V1685" t="s">
        <v>61</v>
      </c>
      <c r="W1685">
        <v>3</v>
      </c>
      <c r="X1685">
        <v>0.14000000000000001</v>
      </c>
      <c r="Y1685" t="s">
        <v>177</v>
      </c>
      <c r="Z1685" t="s">
        <v>288</v>
      </c>
      <c r="AA1685">
        <v>1</v>
      </c>
      <c r="AB1685" t="s">
        <v>6761</v>
      </c>
      <c r="AC1685" t="s">
        <v>6762</v>
      </c>
      <c r="AD1685" t="s">
        <v>6763</v>
      </c>
      <c r="AE1685" t="s">
        <v>6764</v>
      </c>
      <c r="AF1685" t="s">
        <v>6765</v>
      </c>
      <c r="AG1685" t="s">
        <v>806</v>
      </c>
      <c r="AH1685" t="s">
        <v>66</v>
      </c>
      <c r="AI1685" t="s">
        <v>66</v>
      </c>
      <c r="AJ1685" t="s">
        <v>66</v>
      </c>
      <c r="AK1685">
        <v>1</v>
      </c>
      <c r="AL1685" t="s">
        <v>6861</v>
      </c>
      <c r="AM1685" t="s">
        <v>6862</v>
      </c>
      <c r="AN1685" t="s">
        <v>66</v>
      </c>
      <c r="AO1685" t="s">
        <v>66</v>
      </c>
      <c r="AP1685">
        <v>1</v>
      </c>
      <c r="AQ1685" t="s">
        <v>66</v>
      </c>
      <c r="AR1685" t="s">
        <v>66</v>
      </c>
      <c r="AS1685" t="s">
        <v>66</v>
      </c>
      <c r="AT1685" t="s">
        <v>66</v>
      </c>
    </row>
    <row r="1686" spans="1:46" x14ac:dyDescent="0.15">
      <c r="A1686" t="s">
        <v>6938</v>
      </c>
      <c r="B1686" t="s">
        <v>6757</v>
      </c>
      <c r="C1686" t="s">
        <v>6758</v>
      </c>
      <c r="D1686">
        <v>36</v>
      </c>
      <c r="E1686" t="s">
        <v>6759</v>
      </c>
      <c r="F1686" t="s">
        <v>3083</v>
      </c>
      <c r="G1686" t="s">
        <v>51</v>
      </c>
      <c r="H1686" t="s">
        <v>6760</v>
      </c>
      <c r="I1686" t="s">
        <v>1553</v>
      </c>
      <c r="J1686" t="s">
        <v>54</v>
      </c>
      <c r="K1686" t="s">
        <v>3594</v>
      </c>
      <c r="L1686" t="s">
        <v>16</v>
      </c>
      <c r="M1686" t="s">
        <v>18</v>
      </c>
      <c r="N1686">
        <v>2464</v>
      </c>
      <c r="O1686">
        <v>140</v>
      </c>
      <c r="P1686">
        <v>0</v>
      </c>
      <c r="Q1686" t="s">
        <v>6939</v>
      </c>
      <c r="R1686" t="s">
        <v>6940</v>
      </c>
      <c r="S1686" t="s">
        <v>6941</v>
      </c>
      <c r="T1686" t="s">
        <v>6942</v>
      </c>
      <c r="U1686" t="s">
        <v>60</v>
      </c>
      <c r="V1686" t="s">
        <v>61</v>
      </c>
      <c r="W1686">
        <v>3</v>
      </c>
      <c r="X1686">
        <v>0.14000000000000001</v>
      </c>
      <c r="Y1686" t="s">
        <v>294</v>
      </c>
      <c r="Z1686" t="s">
        <v>295</v>
      </c>
      <c r="AA1686">
        <v>1</v>
      </c>
      <c r="AB1686" t="s">
        <v>6761</v>
      </c>
      <c r="AC1686" t="s">
        <v>6762</v>
      </c>
      <c r="AD1686" t="s">
        <v>6763</v>
      </c>
      <c r="AE1686" t="s">
        <v>6764</v>
      </c>
      <c r="AF1686" t="s">
        <v>6765</v>
      </c>
      <c r="AG1686" t="s">
        <v>806</v>
      </c>
      <c r="AH1686" t="s">
        <v>66</v>
      </c>
      <c r="AI1686" t="s">
        <v>66</v>
      </c>
      <c r="AJ1686" t="s">
        <v>66</v>
      </c>
      <c r="AK1686">
        <v>1</v>
      </c>
      <c r="AL1686" t="s">
        <v>6861</v>
      </c>
      <c r="AM1686" t="s">
        <v>6862</v>
      </c>
      <c r="AN1686" t="s">
        <v>66</v>
      </c>
      <c r="AO1686" t="s">
        <v>66</v>
      </c>
      <c r="AP1686">
        <v>1</v>
      </c>
      <c r="AQ1686" t="s">
        <v>66</v>
      </c>
      <c r="AR1686" t="s">
        <v>66</v>
      </c>
      <c r="AS1686" t="s">
        <v>66</v>
      </c>
      <c r="AT1686" t="s">
        <v>66</v>
      </c>
    </row>
    <row r="1687" spans="1:46" x14ac:dyDescent="0.15">
      <c r="A1687" t="s">
        <v>6943</v>
      </c>
      <c r="B1687" t="s">
        <v>6757</v>
      </c>
      <c r="C1687" t="s">
        <v>6758</v>
      </c>
      <c r="D1687">
        <v>37</v>
      </c>
      <c r="E1687" t="s">
        <v>6759</v>
      </c>
      <c r="F1687" t="s">
        <v>3083</v>
      </c>
      <c r="G1687" t="s">
        <v>51</v>
      </c>
      <c r="H1687" t="s">
        <v>6760</v>
      </c>
      <c r="I1687" t="s">
        <v>1553</v>
      </c>
      <c r="J1687" t="s">
        <v>54</v>
      </c>
      <c r="K1687" t="s">
        <v>3594</v>
      </c>
      <c r="L1687" t="s">
        <v>16</v>
      </c>
      <c r="M1687" t="s">
        <v>18</v>
      </c>
      <c r="N1687">
        <v>2520</v>
      </c>
      <c r="O1687">
        <v>143</v>
      </c>
      <c r="P1687">
        <v>0</v>
      </c>
      <c r="Q1687" t="s">
        <v>6944</v>
      </c>
      <c r="R1687" t="s">
        <v>6945</v>
      </c>
      <c r="S1687" t="s">
        <v>6946</v>
      </c>
      <c r="T1687" t="s">
        <v>6947</v>
      </c>
      <c r="U1687" t="s">
        <v>60</v>
      </c>
      <c r="V1687" t="s">
        <v>61</v>
      </c>
      <c r="W1687">
        <v>3</v>
      </c>
      <c r="X1687">
        <v>0.14000000000000001</v>
      </c>
      <c r="Y1687" t="s">
        <v>183</v>
      </c>
      <c r="Z1687" t="s">
        <v>301</v>
      </c>
      <c r="AA1687">
        <v>1</v>
      </c>
      <c r="AB1687" t="s">
        <v>6761</v>
      </c>
      <c r="AC1687" t="s">
        <v>6762</v>
      </c>
      <c r="AD1687" t="s">
        <v>6763</v>
      </c>
      <c r="AE1687" t="s">
        <v>6764</v>
      </c>
      <c r="AF1687" t="s">
        <v>6765</v>
      </c>
      <c r="AG1687" t="s">
        <v>806</v>
      </c>
      <c r="AH1687" t="s">
        <v>66</v>
      </c>
      <c r="AI1687" t="s">
        <v>66</v>
      </c>
      <c r="AJ1687" t="s">
        <v>66</v>
      </c>
      <c r="AK1687">
        <v>1</v>
      </c>
      <c r="AL1687" t="s">
        <v>6861</v>
      </c>
      <c r="AM1687" t="s">
        <v>6862</v>
      </c>
      <c r="AN1687" t="s">
        <v>66</v>
      </c>
      <c r="AO1687" t="s">
        <v>66</v>
      </c>
      <c r="AP1687">
        <v>1</v>
      </c>
      <c r="AQ1687" t="s">
        <v>66</v>
      </c>
      <c r="AR1687" t="s">
        <v>66</v>
      </c>
      <c r="AS1687" t="s">
        <v>66</v>
      </c>
      <c r="AT1687" t="s">
        <v>66</v>
      </c>
    </row>
    <row r="1688" spans="1:46" x14ac:dyDescent="0.15">
      <c r="A1688" t="s">
        <v>6948</v>
      </c>
      <c r="B1688" t="s">
        <v>6757</v>
      </c>
      <c r="C1688" t="s">
        <v>6758</v>
      </c>
      <c r="D1688">
        <v>38</v>
      </c>
      <c r="E1688" t="s">
        <v>6759</v>
      </c>
      <c r="F1688" t="s">
        <v>3083</v>
      </c>
      <c r="G1688" t="s">
        <v>51</v>
      </c>
      <c r="H1688" t="s">
        <v>6760</v>
      </c>
      <c r="I1688" t="s">
        <v>1553</v>
      </c>
      <c r="J1688" t="s">
        <v>54</v>
      </c>
      <c r="K1688" t="s">
        <v>3594</v>
      </c>
      <c r="L1688" t="s">
        <v>16</v>
      </c>
      <c r="M1688" t="s">
        <v>18</v>
      </c>
      <c r="N1688">
        <v>2577</v>
      </c>
      <c r="O1688">
        <v>146</v>
      </c>
      <c r="P1688">
        <v>0</v>
      </c>
      <c r="Q1688" t="s">
        <v>6949</v>
      </c>
      <c r="R1688" t="s">
        <v>6950</v>
      </c>
      <c r="S1688" t="s">
        <v>6951</v>
      </c>
      <c r="T1688" t="s">
        <v>6952</v>
      </c>
      <c r="U1688" t="s">
        <v>60</v>
      </c>
      <c r="V1688" t="s">
        <v>61</v>
      </c>
      <c r="W1688">
        <v>3</v>
      </c>
      <c r="X1688">
        <v>0.14000000000000001</v>
      </c>
      <c r="Y1688" t="s">
        <v>307</v>
      </c>
      <c r="Z1688" t="s">
        <v>308</v>
      </c>
      <c r="AA1688">
        <v>1</v>
      </c>
      <c r="AB1688" t="s">
        <v>6761</v>
      </c>
      <c r="AC1688" t="s">
        <v>6762</v>
      </c>
      <c r="AD1688" t="s">
        <v>6763</v>
      </c>
      <c r="AE1688" t="s">
        <v>6764</v>
      </c>
      <c r="AF1688" t="s">
        <v>6765</v>
      </c>
      <c r="AG1688" t="s">
        <v>806</v>
      </c>
      <c r="AH1688" t="s">
        <v>66</v>
      </c>
      <c r="AI1688" t="s">
        <v>66</v>
      </c>
      <c r="AJ1688" t="s">
        <v>66</v>
      </c>
      <c r="AK1688">
        <v>1</v>
      </c>
      <c r="AL1688" t="s">
        <v>6861</v>
      </c>
      <c r="AM1688" t="s">
        <v>6862</v>
      </c>
      <c r="AN1688" t="s">
        <v>66</v>
      </c>
      <c r="AO1688" t="s">
        <v>66</v>
      </c>
      <c r="AP1688">
        <v>1</v>
      </c>
      <c r="AQ1688" t="s">
        <v>66</v>
      </c>
      <c r="AR1688" t="s">
        <v>66</v>
      </c>
      <c r="AS1688" t="s">
        <v>66</v>
      </c>
      <c r="AT1688" t="s">
        <v>66</v>
      </c>
    </row>
    <row r="1689" spans="1:46" x14ac:dyDescent="0.15">
      <c r="A1689" t="s">
        <v>6953</v>
      </c>
      <c r="B1689" t="s">
        <v>6757</v>
      </c>
      <c r="C1689" t="s">
        <v>6758</v>
      </c>
      <c r="D1689">
        <v>39</v>
      </c>
      <c r="E1689" t="s">
        <v>6759</v>
      </c>
      <c r="F1689" t="s">
        <v>3083</v>
      </c>
      <c r="G1689" t="s">
        <v>51</v>
      </c>
      <c r="H1689" t="s">
        <v>6760</v>
      </c>
      <c r="I1689" t="s">
        <v>1553</v>
      </c>
      <c r="J1689" t="s">
        <v>54</v>
      </c>
      <c r="K1689" t="s">
        <v>3594</v>
      </c>
      <c r="L1689" t="s">
        <v>16</v>
      </c>
      <c r="M1689" t="s">
        <v>18</v>
      </c>
      <c r="N1689">
        <v>2633</v>
      </c>
      <c r="O1689">
        <v>149</v>
      </c>
      <c r="P1689">
        <v>0</v>
      </c>
      <c r="Q1689" t="s">
        <v>6954</v>
      </c>
      <c r="R1689" t="s">
        <v>6955</v>
      </c>
      <c r="S1689" t="s">
        <v>6956</v>
      </c>
      <c r="T1689" t="s">
        <v>6957</v>
      </c>
      <c r="U1689" t="s">
        <v>60</v>
      </c>
      <c r="V1689" t="s">
        <v>61</v>
      </c>
      <c r="W1689">
        <v>3</v>
      </c>
      <c r="X1689">
        <v>0.14000000000000001</v>
      </c>
      <c r="Y1689" t="s">
        <v>190</v>
      </c>
      <c r="Z1689" t="s">
        <v>314</v>
      </c>
      <c r="AA1689">
        <v>1</v>
      </c>
      <c r="AB1689" t="s">
        <v>6761</v>
      </c>
      <c r="AC1689" t="s">
        <v>6762</v>
      </c>
      <c r="AD1689" t="s">
        <v>6763</v>
      </c>
      <c r="AE1689" t="s">
        <v>6764</v>
      </c>
      <c r="AF1689" t="s">
        <v>6765</v>
      </c>
      <c r="AG1689" t="s">
        <v>806</v>
      </c>
      <c r="AH1689" t="s">
        <v>66</v>
      </c>
      <c r="AI1689" t="s">
        <v>66</v>
      </c>
      <c r="AJ1689" t="s">
        <v>66</v>
      </c>
      <c r="AK1689">
        <v>1</v>
      </c>
      <c r="AL1689" t="s">
        <v>6861</v>
      </c>
      <c r="AM1689" t="s">
        <v>6862</v>
      </c>
      <c r="AN1689" t="s">
        <v>66</v>
      </c>
      <c r="AO1689" t="s">
        <v>66</v>
      </c>
      <c r="AP1689">
        <v>1</v>
      </c>
      <c r="AQ1689" t="s">
        <v>66</v>
      </c>
      <c r="AR1689" t="s">
        <v>66</v>
      </c>
      <c r="AS1689" t="s">
        <v>66</v>
      </c>
      <c r="AT1689" t="s">
        <v>66</v>
      </c>
    </row>
    <row r="1690" spans="1:46" x14ac:dyDescent="0.15">
      <c r="A1690" t="s">
        <v>6958</v>
      </c>
      <c r="B1690" t="s">
        <v>6757</v>
      </c>
      <c r="C1690" t="s">
        <v>6758</v>
      </c>
      <c r="D1690">
        <v>40</v>
      </c>
      <c r="E1690" t="s">
        <v>6759</v>
      </c>
      <c r="F1690" t="s">
        <v>3083</v>
      </c>
      <c r="G1690" t="s">
        <v>51</v>
      </c>
      <c r="H1690" t="s">
        <v>6760</v>
      </c>
      <c r="I1690" t="s">
        <v>1553</v>
      </c>
      <c r="J1690" t="s">
        <v>54</v>
      </c>
      <c r="K1690" t="s">
        <v>3594</v>
      </c>
      <c r="L1690" t="s">
        <v>16</v>
      </c>
      <c r="M1690" t="s">
        <v>18</v>
      </c>
      <c r="N1690">
        <v>2689</v>
      </c>
      <c r="O1690">
        <v>152</v>
      </c>
      <c r="P1690">
        <v>0</v>
      </c>
      <c r="Q1690" t="s">
        <v>6959</v>
      </c>
      <c r="R1690" t="s">
        <v>6960</v>
      </c>
      <c r="S1690" t="s">
        <v>6961</v>
      </c>
      <c r="T1690" t="s">
        <v>6962</v>
      </c>
      <c r="U1690" t="s">
        <v>60</v>
      </c>
      <c r="V1690" t="s">
        <v>61</v>
      </c>
      <c r="W1690">
        <v>3</v>
      </c>
      <c r="X1690">
        <v>0.14000000000000001</v>
      </c>
      <c r="Y1690" t="s">
        <v>320</v>
      </c>
      <c r="Z1690" t="s">
        <v>321</v>
      </c>
      <c r="AA1690">
        <v>1</v>
      </c>
      <c r="AB1690" t="s">
        <v>6761</v>
      </c>
      <c r="AC1690" t="s">
        <v>6762</v>
      </c>
      <c r="AD1690" t="s">
        <v>6763</v>
      </c>
      <c r="AE1690" t="s">
        <v>6764</v>
      </c>
      <c r="AF1690" t="s">
        <v>6765</v>
      </c>
      <c r="AG1690" t="s">
        <v>806</v>
      </c>
      <c r="AH1690" t="s">
        <v>66</v>
      </c>
      <c r="AI1690" t="s">
        <v>66</v>
      </c>
      <c r="AJ1690" t="s">
        <v>66</v>
      </c>
      <c r="AK1690">
        <v>1</v>
      </c>
      <c r="AL1690" t="s">
        <v>6861</v>
      </c>
      <c r="AM1690" t="s">
        <v>6862</v>
      </c>
      <c r="AN1690" t="s">
        <v>66</v>
      </c>
      <c r="AO1690" t="s">
        <v>66</v>
      </c>
      <c r="AP1690">
        <v>1</v>
      </c>
      <c r="AQ1690" t="s">
        <v>66</v>
      </c>
      <c r="AR1690" t="s">
        <v>66</v>
      </c>
      <c r="AS1690" t="s">
        <v>66</v>
      </c>
      <c r="AT1690" t="s">
        <v>66</v>
      </c>
    </row>
    <row r="1691" spans="1:46" x14ac:dyDescent="0.15">
      <c r="A1691" t="s">
        <v>6958</v>
      </c>
      <c r="B1691" t="s">
        <v>6757</v>
      </c>
      <c r="C1691" t="s">
        <v>6758</v>
      </c>
      <c r="D1691">
        <v>40</v>
      </c>
      <c r="E1691" t="s">
        <v>6759</v>
      </c>
      <c r="F1691" t="s">
        <v>3083</v>
      </c>
      <c r="G1691" t="s">
        <v>51</v>
      </c>
      <c r="H1691" t="s">
        <v>6760</v>
      </c>
      <c r="I1691" t="s">
        <v>1553</v>
      </c>
      <c r="J1691" t="s">
        <v>54</v>
      </c>
      <c r="K1691" t="s">
        <v>3594</v>
      </c>
      <c r="L1691" t="s">
        <v>16</v>
      </c>
      <c r="M1691" t="s">
        <v>18</v>
      </c>
      <c r="N1691">
        <v>2689</v>
      </c>
      <c r="O1691">
        <v>152</v>
      </c>
      <c r="P1691">
        <v>0</v>
      </c>
      <c r="Q1691" t="s">
        <v>6959</v>
      </c>
      <c r="R1691" t="s">
        <v>6960</v>
      </c>
      <c r="S1691" t="s">
        <v>6961</v>
      </c>
      <c r="T1691" t="s">
        <v>6962</v>
      </c>
      <c r="U1691" t="s">
        <v>60</v>
      </c>
      <c r="V1691" t="s">
        <v>61</v>
      </c>
      <c r="W1691">
        <v>3</v>
      </c>
      <c r="X1691">
        <v>0.14000000000000001</v>
      </c>
      <c r="Y1691" t="s">
        <v>320</v>
      </c>
      <c r="Z1691" t="s">
        <v>321</v>
      </c>
      <c r="AA1691">
        <v>2</v>
      </c>
      <c r="AB1691" t="s">
        <v>6761</v>
      </c>
      <c r="AC1691" t="s">
        <v>6762</v>
      </c>
      <c r="AD1691" t="s">
        <v>6763</v>
      </c>
      <c r="AE1691" t="s">
        <v>6764</v>
      </c>
      <c r="AF1691" t="s">
        <v>6765</v>
      </c>
      <c r="AG1691" t="s">
        <v>806</v>
      </c>
      <c r="AH1691" t="s">
        <v>889</v>
      </c>
      <c r="AI1691" t="s">
        <v>66</v>
      </c>
      <c r="AJ1691" t="s">
        <v>66</v>
      </c>
      <c r="AK1691">
        <v>1</v>
      </c>
      <c r="AL1691" t="s">
        <v>6861</v>
      </c>
      <c r="AM1691" t="s">
        <v>6862</v>
      </c>
      <c r="AN1691" t="s">
        <v>6963</v>
      </c>
      <c r="AO1691" t="s">
        <v>66</v>
      </c>
      <c r="AP1691">
        <v>1</v>
      </c>
      <c r="AQ1691" t="s">
        <v>6964</v>
      </c>
      <c r="AR1691" t="s">
        <v>6965</v>
      </c>
      <c r="AS1691" t="s">
        <v>66</v>
      </c>
      <c r="AT1691" t="s">
        <v>66</v>
      </c>
    </row>
    <row r="1692" spans="1:46" x14ac:dyDescent="0.15">
      <c r="A1692" t="s">
        <v>6966</v>
      </c>
      <c r="B1692" t="s">
        <v>6757</v>
      </c>
      <c r="C1692" t="s">
        <v>6758</v>
      </c>
      <c r="D1692">
        <v>41</v>
      </c>
      <c r="E1692" t="s">
        <v>6759</v>
      </c>
      <c r="F1692" t="s">
        <v>3083</v>
      </c>
      <c r="G1692" t="s">
        <v>51</v>
      </c>
      <c r="H1692" t="s">
        <v>6760</v>
      </c>
      <c r="I1692" t="s">
        <v>1553</v>
      </c>
      <c r="J1692" t="s">
        <v>54</v>
      </c>
      <c r="K1692" t="s">
        <v>3594</v>
      </c>
      <c r="L1692" t="s">
        <v>16</v>
      </c>
      <c r="M1692" t="s">
        <v>18</v>
      </c>
      <c r="N1692">
        <v>2745</v>
      </c>
      <c r="O1692">
        <v>155</v>
      </c>
      <c r="P1692">
        <v>0</v>
      </c>
      <c r="Q1692" t="s">
        <v>6967</v>
      </c>
      <c r="R1692" t="s">
        <v>6968</v>
      </c>
      <c r="S1692" t="s">
        <v>6969</v>
      </c>
      <c r="T1692" t="s">
        <v>6970</v>
      </c>
      <c r="U1692" t="s">
        <v>60</v>
      </c>
      <c r="V1692" t="s">
        <v>61</v>
      </c>
      <c r="W1692">
        <v>3</v>
      </c>
      <c r="X1692">
        <v>0.14000000000000001</v>
      </c>
      <c r="Y1692" t="s">
        <v>197</v>
      </c>
      <c r="Z1692" t="s">
        <v>330</v>
      </c>
      <c r="AA1692">
        <v>2</v>
      </c>
      <c r="AB1692" t="s">
        <v>6761</v>
      </c>
      <c r="AC1692" t="s">
        <v>6762</v>
      </c>
      <c r="AD1692" t="s">
        <v>6763</v>
      </c>
      <c r="AE1692" t="s">
        <v>6764</v>
      </c>
      <c r="AF1692" t="s">
        <v>6765</v>
      </c>
      <c r="AG1692" t="s">
        <v>806</v>
      </c>
      <c r="AH1692" t="s">
        <v>889</v>
      </c>
      <c r="AI1692" t="s">
        <v>66</v>
      </c>
      <c r="AJ1692" t="s">
        <v>66</v>
      </c>
      <c r="AK1692">
        <v>1</v>
      </c>
      <c r="AL1692" t="s">
        <v>6861</v>
      </c>
      <c r="AM1692" t="s">
        <v>6862</v>
      </c>
      <c r="AN1692" t="s">
        <v>6963</v>
      </c>
      <c r="AO1692" t="s">
        <v>66</v>
      </c>
      <c r="AP1692">
        <v>1</v>
      </c>
      <c r="AQ1692" t="s">
        <v>6964</v>
      </c>
      <c r="AR1692" t="s">
        <v>6965</v>
      </c>
      <c r="AS1692" t="s">
        <v>66</v>
      </c>
      <c r="AT1692" t="s">
        <v>66</v>
      </c>
    </row>
    <row r="1693" spans="1:46" x14ac:dyDescent="0.15">
      <c r="A1693" t="s">
        <v>6971</v>
      </c>
      <c r="B1693" t="s">
        <v>6757</v>
      </c>
      <c r="C1693" t="s">
        <v>6758</v>
      </c>
      <c r="D1693">
        <v>42</v>
      </c>
      <c r="E1693" t="s">
        <v>6759</v>
      </c>
      <c r="F1693" t="s">
        <v>3083</v>
      </c>
      <c r="G1693" t="s">
        <v>51</v>
      </c>
      <c r="H1693" t="s">
        <v>6760</v>
      </c>
      <c r="I1693" t="s">
        <v>1553</v>
      </c>
      <c r="J1693" t="s">
        <v>54</v>
      </c>
      <c r="K1693" t="s">
        <v>3594</v>
      </c>
      <c r="L1693" t="s">
        <v>16</v>
      </c>
      <c r="M1693" t="s">
        <v>18</v>
      </c>
      <c r="N1693">
        <v>2801</v>
      </c>
      <c r="O1693">
        <v>158</v>
      </c>
      <c r="P1693">
        <v>0</v>
      </c>
      <c r="Q1693" t="s">
        <v>6972</v>
      </c>
      <c r="R1693" t="s">
        <v>6973</v>
      </c>
      <c r="S1693" t="s">
        <v>6974</v>
      </c>
      <c r="T1693" t="s">
        <v>6975</v>
      </c>
      <c r="U1693" t="s">
        <v>60</v>
      </c>
      <c r="V1693" t="s">
        <v>61</v>
      </c>
      <c r="W1693">
        <v>3</v>
      </c>
      <c r="X1693">
        <v>0.14000000000000001</v>
      </c>
      <c r="Y1693" t="s">
        <v>336</v>
      </c>
      <c r="Z1693" t="s">
        <v>337</v>
      </c>
      <c r="AA1693">
        <v>2</v>
      </c>
      <c r="AB1693" t="s">
        <v>6761</v>
      </c>
      <c r="AC1693" t="s">
        <v>6762</v>
      </c>
      <c r="AD1693" t="s">
        <v>6763</v>
      </c>
      <c r="AE1693" t="s">
        <v>6764</v>
      </c>
      <c r="AF1693" t="s">
        <v>6765</v>
      </c>
      <c r="AG1693" t="s">
        <v>806</v>
      </c>
      <c r="AH1693" t="s">
        <v>889</v>
      </c>
      <c r="AI1693" t="s">
        <v>66</v>
      </c>
      <c r="AJ1693" t="s">
        <v>66</v>
      </c>
      <c r="AK1693">
        <v>1</v>
      </c>
      <c r="AL1693" t="s">
        <v>6861</v>
      </c>
      <c r="AM1693" t="s">
        <v>6862</v>
      </c>
      <c r="AN1693" t="s">
        <v>6963</v>
      </c>
      <c r="AO1693" t="s">
        <v>66</v>
      </c>
      <c r="AP1693">
        <v>1</v>
      </c>
      <c r="AQ1693" t="s">
        <v>6964</v>
      </c>
      <c r="AR1693" t="s">
        <v>6965</v>
      </c>
      <c r="AS1693" t="s">
        <v>66</v>
      </c>
      <c r="AT1693" t="s">
        <v>66</v>
      </c>
    </row>
    <row r="1694" spans="1:46" x14ac:dyDescent="0.15">
      <c r="A1694" t="s">
        <v>6976</v>
      </c>
      <c r="B1694" t="s">
        <v>6757</v>
      </c>
      <c r="C1694" t="s">
        <v>6758</v>
      </c>
      <c r="D1694">
        <v>43</v>
      </c>
      <c r="E1694" t="s">
        <v>6759</v>
      </c>
      <c r="F1694" t="s">
        <v>3083</v>
      </c>
      <c r="G1694" t="s">
        <v>51</v>
      </c>
      <c r="H1694" t="s">
        <v>6760</v>
      </c>
      <c r="I1694" t="s">
        <v>1553</v>
      </c>
      <c r="J1694" t="s">
        <v>54</v>
      </c>
      <c r="K1694" t="s">
        <v>3594</v>
      </c>
      <c r="L1694" t="s">
        <v>16</v>
      </c>
      <c r="M1694" t="s">
        <v>18</v>
      </c>
      <c r="N1694">
        <v>2857</v>
      </c>
      <c r="O1694">
        <v>162</v>
      </c>
      <c r="P1694">
        <v>0</v>
      </c>
      <c r="Q1694" t="s">
        <v>6977</v>
      </c>
      <c r="R1694" t="s">
        <v>6978</v>
      </c>
      <c r="S1694" t="s">
        <v>6979</v>
      </c>
      <c r="T1694" t="s">
        <v>6980</v>
      </c>
      <c r="U1694" t="s">
        <v>60</v>
      </c>
      <c r="V1694" t="s">
        <v>61</v>
      </c>
      <c r="W1694">
        <v>3</v>
      </c>
      <c r="X1694">
        <v>0.14000000000000001</v>
      </c>
      <c r="Y1694" t="s">
        <v>204</v>
      </c>
      <c r="Z1694" t="s">
        <v>343</v>
      </c>
      <c r="AA1694">
        <v>2</v>
      </c>
      <c r="AB1694" t="s">
        <v>6761</v>
      </c>
      <c r="AC1694" t="s">
        <v>6762</v>
      </c>
      <c r="AD1694" t="s">
        <v>6763</v>
      </c>
      <c r="AE1694" t="s">
        <v>6764</v>
      </c>
      <c r="AF1694" t="s">
        <v>6765</v>
      </c>
      <c r="AG1694" t="s">
        <v>806</v>
      </c>
      <c r="AH1694" t="s">
        <v>889</v>
      </c>
      <c r="AI1694" t="s">
        <v>66</v>
      </c>
      <c r="AJ1694" t="s">
        <v>66</v>
      </c>
      <c r="AK1694">
        <v>1</v>
      </c>
      <c r="AL1694" t="s">
        <v>6861</v>
      </c>
      <c r="AM1694" t="s">
        <v>6862</v>
      </c>
      <c r="AN1694" t="s">
        <v>6963</v>
      </c>
      <c r="AO1694" t="s">
        <v>66</v>
      </c>
      <c r="AP1694">
        <v>1</v>
      </c>
      <c r="AQ1694" t="s">
        <v>6964</v>
      </c>
      <c r="AR1694" t="s">
        <v>6965</v>
      </c>
      <c r="AS1694" t="s">
        <v>66</v>
      </c>
      <c r="AT1694" t="s">
        <v>66</v>
      </c>
    </row>
    <row r="1695" spans="1:46" x14ac:dyDescent="0.15">
      <c r="A1695" t="s">
        <v>6981</v>
      </c>
      <c r="B1695" t="s">
        <v>6757</v>
      </c>
      <c r="C1695" t="s">
        <v>6758</v>
      </c>
      <c r="D1695">
        <v>44</v>
      </c>
      <c r="E1695" t="s">
        <v>6759</v>
      </c>
      <c r="F1695" t="s">
        <v>3083</v>
      </c>
      <c r="G1695" t="s">
        <v>51</v>
      </c>
      <c r="H1695" t="s">
        <v>6760</v>
      </c>
      <c r="I1695" t="s">
        <v>1553</v>
      </c>
      <c r="J1695" t="s">
        <v>54</v>
      </c>
      <c r="K1695" t="s">
        <v>3594</v>
      </c>
      <c r="L1695" t="s">
        <v>16</v>
      </c>
      <c r="M1695" t="s">
        <v>18</v>
      </c>
      <c r="N1695">
        <v>2913</v>
      </c>
      <c r="O1695">
        <v>165</v>
      </c>
      <c r="P1695">
        <v>0</v>
      </c>
      <c r="Q1695" t="s">
        <v>6982</v>
      </c>
      <c r="R1695" t="s">
        <v>6983</v>
      </c>
      <c r="S1695" t="s">
        <v>6984</v>
      </c>
      <c r="T1695" t="s">
        <v>6985</v>
      </c>
      <c r="U1695" t="s">
        <v>60</v>
      </c>
      <c r="V1695" t="s">
        <v>61</v>
      </c>
      <c r="W1695">
        <v>3</v>
      </c>
      <c r="X1695">
        <v>0.14000000000000001</v>
      </c>
      <c r="Y1695" t="s">
        <v>349</v>
      </c>
      <c r="Z1695" t="s">
        <v>350</v>
      </c>
      <c r="AA1695">
        <v>2</v>
      </c>
      <c r="AB1695" t="s">
        <v>6761</v>
      </c>
      <c r="AC1695" t="s">
        <v>6762</v>
      </c>
      <c r="AD1695" t="s">
        <v>6763</v>
      </c>
      <c r="AE1695" t="s">
        <v>6764</v>
      </c>
      <c r="AF1695" t="s">
        <v>6765</v>
      </c>
      <c r="AG1695" t="s">
        <v>806</v>
      </c>
      <c r="AH1695" t="s">
        <v>889</v>
      </c>
      <c r="AI1695" t="s">
        <v>66</v>
      </c>
      <c r="AJ1695" t="s">
        <v>66</v>
      </c>
      <c r="AK1695">
        <v>1</v>
      </c>
      <c r="AL1695" t="s">
        <v>6861</v>
      </c>
      <c r="AM1695" t="s">
        <v>6862</v>
      </c>
      <c r="AN1695" t="s">
        <v>6963</v>
      </c>
      <c r="AO1695" t="s">
        <v>66</v>
      </c>
      <c r="AP1695">
        <v>1</v>
      </c>
      <c r="AQ1695" t="s">
        <v>6964</v>
      </c>
      <c r="AR1695" t="s">
        <v>6965</v>
      </c>
      <c r="AS1695" t="s">
        <v>66</v>
      </c>
      <c r="AT1695" t="s">
        <v>66</v>
      </c>
    </row>
    <row r="1696" spans="1:46" x14ac:dyDescent="0.15">
      <c r="A1696" t="s">
        <v>6986</v>
      </c>
      <c r="B1696" t="s">
        <v>6757</v>
      </c>
      <c r="C1696" t="s">
        <v>6758</v>
      </c>
      <c r="D1696">
        <v>45</v>
      </c>
      <c r="E1696" t="s">
        <v>6759</v>
      </c>
      <c r="F1696" t="s">
        <v>3083</v>
      </c>
      <c r="G1696" t="s">
        <v>51</v>
      </c>
      <c r="H1696" t="s">
        <v>6760</v>
      </c>
      <c r="I1696" t="s">
        <v>1553</v>
      </c>
      <c r="J1696" t="s">
        <v>54</v>
      </c>
      <c r="K1696" t="s">
        <v>3594</v>
      </c>
      <c r="L1696" t="s">
        <v>16</v>
      </c>
      <c r="M1696" t="s">
        <v>18</v>
      </c>
      <c r="N1696">
        <v>2969</v>
      </c>
      <c r="O1696">
        <v>168</v>
      </c>
      <c r="P1696">
        <v>0</v>
      </c>
      <c r="Q1696" t="s">
        <v>6987</v>
      </c>
      <c r="R1696" t="s">
        <v>6988</v>
      </c>
      <c r="S1696" t="s">
        <v>6989</v>
      </c>
      <c r="T1696" t="s">
        <v>6990</v>
      </c>
      <c r="U1696" t="s">
        <v>60</v>
      </c>
      <c r="V1696" t="s">
        <v>61</v>
      </c>
      <c r="W1696">
        <v>3</v>
      </c>
      <c r="X1696">
        <v>0.14000000000000001</v>
      </c>
      <c r="Y1696" t="s">
        <v>210</v>
      </c>
      <c r="Z1696" t="s">
        <v>356</v>
      </c>
      <c r="AA1696">
        <v>2</v>
      </c>
      <c r="AB1696" t="s">
        <v>6761</v>
      </c>
      <c r="AC1696" t="s">
        <v>6762</v>
      </c>
      <c r="AD1696" t="s">
        <v>6763</v>
      </c>
      <c r="AE1696" t="s">
        <v>6764</v>
      </c>
      <c r="AF1696" t="s">
        <v>6765</v>
      </c>
      <c r="AG1696" t="s">
        <v>806</v>
      </c>
      <c r="AH1696" t="s">
        <v>889</v>
      </c>
      <c r="AI1696" t="s">
        <v>66</v>
      </c>
      <c r="AJ1696" t="s">
        <v>66</v>
      </c>
      <c r="AK1696">
        <v>1</v>
      </c>
      <c r="AL1696" t="s">
        <v>6861</v>
      </c>
      <c r="AM1696" t="s">
        <v>6862</v>
      </c>
      <c r="AN1696" t="s">
        <v>6963</v>
      </c>
      <c r="AO1696" t="s">
        <v>66</v>
      </c>
      <c r="AP1696">
        <v>1</v>
      </c>
      <c r="AQ1696" t="s">
        <v>6964</v>
      </c>
      <c r="AR1696" t="s">
        <v>6965</v>
      </c>
      <c r="AS1696" t="s">
        <v>66</v>
      </c>
      <c r="AT1696" t="s">
        <v>66</v>
      </c>
    </row>
    <row r="1697" spans="1:46" x14ac:dyDescent="0.15">
      <c r="A1697" t="s">
        <v>6991</v>
      </c>
      <c r="B1697" t="s">
        <v>6757</v>
      </c>
      <c r="C1697" t="s">
        <v>6758</v>
      </c>
      <c r="D1697">
        <v>46</v>
      </c>
      <c r="E1697" t="s">
        <v>6759</v>
      </c>
      <c r="F1697" t="s">
        <v>3083</v>
      </c>
      <c r="G1697" t="s">
        <v>51</v>
      </c>
      <c r="H1697" t="s">
        <v>6760</v>
      </c>
      <c r="I1697" t="s">
        <v>1553</v>
      </c>
      <c r="J1697" t="s">
        <v>54</v>
      </c>
      <c r="K1697" t="s">
        <v>3594</v>
      </c>
      <c r="L1697" t="s">
        <v>16</v>
      </c>
      <c r="M1697" t="s">
        <v>18</v>
      </c>
      <c r="N1697">
        <v>3026</v>
      </c>
      <c r="O1697">
        <v>171</v>
      </c>
      <c r="P1697">
        <v>0</v>
      </c>
      <c r="Q1697" t="s">
        <v>6992</v>
      </c>
      <c r="R1697" t="s">
        <v>6993</v>
      </c>
      <c r="S1697" t="s">
        <v>6994</v>
      </c>
      <c r="T1697" t="s">
        <v>6995</v>
      </c>
      <c r="U1697" t="s">
        <v>60</v>
      </c>
      <c r="V1697" t="s">
        <v>61</v>
      </c>
      <c r="W1697">
        <v>3</v>
      </c>
      <c r="X1697">
        <v>0.14000000000000001</v>
      </c>
      <c r="Y1697" t="s">
        <v>362</v>
      </c>
      <c r="Z1697" t="s">
        <v>363</v>
      </c>
      <c r="AA1697">
        <v>2</v>
      </c>
      <c r="AB1697" t="s">
        <v>6761</v>
      </c>
      <c r="AC1697" t="s">
        <v>6762</v>
      </c>
      <c r="AD1697" t="s">
        <v>6763</v>
      </c>
      <c r="AE1697" t="s">
        <v>6764</v>
      </c>
      <c r="AF1697" t="s">
        <v>6765</v>
      </c>
      <c r="AG1697" t="s">
        <v>806</v>
      </c>
      <c r="AH1697" t="s">
        <v>889</v>
      </c>
      <c r="AI1697" t="s">
        <v>66</v>
      </c>
      <c r="AJ1697" t="s">
        <v>66</v>
      </c>
      <c r="AK1697">
        <v>1</v>
      </c>
      <c r="AL1697" t="s">
        <v>6861</v>
      </c>
      <c r="AM1697" t="s">
        <v>6862</v>
      </c>
      <c r="AN1697" t="s">
        <v>6963</v>
      </c>
      <c r="AO1697" t="s">
        <v>66</v>
      </c>
      <c r="AP1697">
        <v>1</v>
      </c>
      <c r="AQ1697" t="s">
        <v>6964</v>
      </c>
      <c r="AR1697" t="s">
        <v>6965</v>
      </c>
      <c r="AS1697" t="s">
        <v>66</v>
      </c>
      <c r="AT1697" t="s">
        <v>66</v>
      </c>
    </row>
    <row r="1698" spans="1:46" x14ac:dyDescent="0.15">
      <c r="A1698" t="s">
        <v>6996</v>
      </c>
      <c r="B1698" t="s">
        <v>6757</v>
      </c>
      <c r="C1698" t="s">
        <v>6758</v>
      </c>
      <c r="D1698">
        <v>47</v>
      </c>
      <c r="E1698" t="s">
        <v>6759</v>
      </c>
      <c r="F1698" t="s">
        <v>3083</v>
      </c>
      <c r="G1698" t="s">
        <v>51</v>
      </c>
      <c r="H1698" t="s">
        <v>6760</v>
      </c>
      <c r="I1698" t="s">
        <v>1553</v>
      </c>
      <c r="J1698" t="s">
        <v>54</v>
      </c>
      <c r="K1698" t="s">
        <v>3594</v>
      </c>
      <c r="L1698" t="s">
        <v>16</v>
      </c>
      <c r="M1698" t="s">
        <v>18</v>
      </c>
      <c r="N1698">
        <v>3082</v>
      </c>
      <c r="O1698">
        <v>174</v>
      </c>
      <c r="P1698">
        <v>0</v>
      </c>
      <c r="Q1698" t="s">
        <v>6997</v>
      </c>
      <c r="R1698" t="s">
        <v>6998</v>
      </c>
      <c r="S1698" t="s">
        <v>6999</v>
      </c>
      <c r="T1698" t="s">
        <v>7000</v>
      </c>
      <c r="U1698" t="s">
        <v>60</v>
      </c>
      <c r="V1698" t="s">
        <v>61</v>
      </c>
      <c r="W1698">
        <v>3</v>
      </c>
      <c r="X1698">
        <v>0.14000000000000001</v>
      </c>
      <c r="Y1698" t="s">
        <v>217</v>
      </c>
      <c r="Z1698" t="s">
        <v>369</v>
      </c>
      <c r="AA1698">
        <v>2</v>
      </c>
      <c r="AB1698" t="s">
        <v>6761</v>
      </c>
      <c r="AC1698" t="s">
        <v>6762</v>
      </c>
      <c r="AD1698" t="s">
        <v>6763</v>
      </c>
      <c r="AE1698" t="s">
        <v>6764</v>
      </c>
      <c r="AF1698" t="s">
        <v>6765</v>
      </c>
      <c r="AG1698" t="s">
        <v>806</v>
      </c>
      <c r="AH1698" t="s">
        <v>889</v>
      </c>
      <c r="AI1698" t="s">
        <v>66</v>
      </c>
      <c r="AJ1698" t="s">
        <v>66</v>
      </c>
      <c r="AK1698">
        <v>1</v>
      </c>
      <c r="AL1698" t="s">
        <v>6861</v>
      </c>
      <c r="AM1698" t="s">
        <v>6862</v>
      </c>
      <c r="AN1698" t="s">
        <v>6963</v>
      </c>
      <c r="AO1698" t="s">
        <v>66</v>
      </c>
      <c r="AP1698">
        <v>1</v>
      </c>
      <c r="AQ1698" t="s">
        <v>6964</v>
      </c>
      <c r="AR1698" t="s">
        <v>6965</v>
      </c>
      <c r="AS1698" t="s">
        <v>66</v>
      </c>
      <c r="AT1698" t="s">
        <v>66</v>
      </c>
    </row>
    <row r="1699" spans="1:46" x14ac:dyDescent="0.15">
      <c r="A1699" t="s">
        <v>7001</v>
      </c>
      <c r="B1699" t="s">
        <v>6757</v>
      </c>
      <c r="C1699" t="s">
        <v>6758</v>
      </c>
      <c r="D1699">
        <v>48</v>
      </c>
      <c r="E1699" t="s">
        <v>6759</v>
      </c>
      <c r="F1699" t="s">
        <v>3083</v>
      </c>
      <c r="G1699" t="s">
        <v>51</v>
      </c>
      <c r="H1699" t="s">
        <v>6760</v>
      </c>
      <c r="I1699" t="s">
        <v>1553</v>
      </c>
      <c r="J1699" t="s">
        <v>54</v>
      </c>
      <c r="K1699" t="s">
        <v>3594</v>
      </c>
      <c r="L1699" t="s">
        <v>16</v>
      </c>
      <c r="M1699" t="s">
        <v>18</v>
      </c>
      <c r="N1699">
        <v>3138</v>
      </c>
      <c r="O1699">
        <v>177</v>
      </c>
      <c r="P1699">
        <v>0</v>
      </c>
      <c r="Q1699" t="s">
        <v>7002</v>
      </c>
      <c r="R1699" t="s">
        <v>7003</v>
      </c>
      <c r="S1699" t="s">
        <v>7004</v>
      </c>
      <c r="T1699" t="s">
        <v>7005</v>
      </c>
      <c r="U1699" t="s">
        <v>60</v>
      </c>
      <c r="V1699" t="s">
        <v>61</v>
      </c>
      <c r="W1699">
        <v>3</v>
      </c>
      <c r="X1699">
        <v>0.14000000000000001</v>
      </c>
      <c r="Y1699" t="s">
        <v>375</v>
      </c>
      <c r="Z1699" t="s">
        <v>376</v>
      </c>
      <c r="AA1699">
        <v>2</v>
      </c>
      <c r="AB1699" t="s">
        <v>6761</v>
      </c>
      <c r="AC1699" t="s">
        <v>6762</v>
      </c>
      <c r="AD1699" t="s">
        <v>6763</v>
      </c>
      <c r="AE1699" t="s">
        <v>6764</v>
      </c>
      <c r="AF1699" t="s">
        <v>6765</v>
      </c>
      <c r="AG1699" t="s">
        <v>806</v>
      </c>
      <c r="AH1699" t="s">
        <v>889</v>
      </c>
      <c r="AI1699" t="s">
        <v>66</v>
      </c>
      <c r="AJ1699" t="s">
        <v>66</v>
      </c>
      <c r="AK1699">
        <v>1</v>
      </c>
      <c r="AL1699" t="s">
        <v>6861</v>
      </c>
      <c r="AM1699" t="s">
        <v>6862</v>
      </c>
      <c r="AN1699" t="s">
        <v>6963</v>
      </c>
      <c r="AO1699" t="s">
        <v>66</v>
      </c>
      <c r="AP1699">
        <v>1</v>
      </c>
      <c r="AQ1699" t="s">
        <v>6964</v>
      </c>
      <c r="AR1699" t="s">
        <v>6965</v>
      </c>
      <c r="AS1699" t="s">
        <v>66</v>
      </c>
      <c r="AT1699" t="s">
        <v>66</v>
      </c>
    </row>
    <row r="1700" spans="1:46" x14ac:dyDescent="0.15">
      <c r="A1700" t="s">
        <v>7006</v>
      </c>
      <c r="B1700" t="s">
        <v>6757</v>
      </c>
      <c r="C1700" t="s">
        <v>6758</v>
      </c>
      <c r="D1700">
        <v>49</v>
      </c>
      <c r="E1700" t="s">
        <v>6759</v>
      </c>
      <c r="F1700" t="s">
        <v>3083</v>
      </c>
      <c r="G1700" t="s">
        <v>51</v>
      </c>
      <c r="H1700" t="s">
        <v>6760</v>
      </c>
      <c r="I1700" t="s">
        <v>1553</v>
      </c>
      <c r="J1700" t="s">
        <v>54</v>
      </c>
      <c r="K1700" t="s">
        <v>3594</v>
      </c>
      <c r="L1700" t="s">
        <v>16</v>
      </c>
      <c r="M1700" t="s">
        <v>18</v>
      </c>
      <c r="N1700">
        <v>3194</v>
      </c>
      <c r="O1700">
        <v>180</v>
      </c>
      <c r="P1700">
        <v>0</v>
      </c>
      <c r="Q1700" t="s">
        <v>7007</v>
      </c>
      <c r="R1700" t="s">
        <v>7008</v>
      </c>
      <c r="S1700" t="s">
        <v>7009</v>
      </c>
      <c r="T1700" t="s">
        <v>7010</v>
      </c>
      <c r="U1700" t="s">
        <v>60</v>
      </c>
      <c r="V1700" t="s">
        <v>61</v>
      </c>
      <c r="W1700">
        <v>3</v>
      </c>
      <c r="X1700">
        <v>0.14000000000000001</v>
      </c>
      <c r="Y1700" t="s">
        <v>223</v>
      </c>
      <c r="Z1700" t="s">
        <v>382</v>
      </c>
      <c r="AA1700">
        <v>2</v>
      </c>
      <c r="AB1700" t="s">
        <v>6761</v>
      </c>
      <c r="AC1700" t="s">
        <v>6762</v>
      </c>
      <c r="AD1700" t="s">
        <v>6763</v>
      </c>
      <c r="AE1700" t="s">
        <v>6764</v>
      </c>
      <c r="AF1700" t="s">
        <v>6765</v>
      </c>
      <c r="AG1700" t="s">
        <v>806</v>
      </c>
      <c r="AH1700" t="s">
        <v>889</v>
      </c>
      <c r="AI1700" t="s">
        <v>66</v>
      </c>
      <c r="AJ1700" t="s">
        <v>66</v>
      </c>
      <c r="AK1700">
        <v>1</v>
      </c>
      <c r="AL1700" t="s">
        <v>6861</v>
      </c>
      <c r="AM1700" t="s">
        <v>6862</v>
      </c>
      <c r="AN1700" t="s">
        <v>6963</v>
      </c>
      <c r="AO1700" t="s">
        <v>66</v>
      </c>
      <c r="AP1700">
        <v>1</v>
      </c>
      <c r="AQ1700" t="s">
        <v>6964</v>
      </c>
      <c r="AR1700" t="s">
        <v>6965</v>
      </c>
      <c r="AS1700" t="s">
        <v>66</v>
      </c>
      <c r="AT1700" t="s">
        <v>66</v>
      </c>
    </row>
    <row r="1701" spans="1:46" x14ac:dyDescent="0.15">
      <c r="A1701" t="s">
        <v>7011</v>
      </c>
      <c r="B1701" t="s">
        <v>6757</v>
      </c>
      <c r="C1701" t="s">
        <v>6758</v>
      </c>
      <c r="D1701">
        <v>50</v>
      </c>
      <c r="E1701" t="s">
        <v>6759</v>
      </c>
      <c r="F1701" t="s">
        <v>3083</v>
      </c>
      <c r="G1701" t="s">
        <v>51</v>
      </c>
      <c r="H1701" t="s">
        <v>6760</v>
      </c>
      <c r="I1701" t="s">
        <v>1553</v>
      </c>
      <c r="J1701" t="s">
        <v>54</v>
      </c>
      <c r="K1701" t="s">
        <v>3594</v>
      </c>
      <c r="L1701" t="s">
        <v>16</v>
      </c>
      <c r="M1701" t="s">
        <v>18</v>
      </c>
      <c r="N1701">
        <v>3250</v>
      </c>
      <c r="O1701">
        <v>183</v>
      </c>
      <c r="P1701">
        <v>0</v>
      </c>
      <c r="Q1701" t="s">
        <v>7012</v>
      </c>
      <c r="R1701" t="s">
        <v>7013</v>
      </c>
      <c r="S1701" t="s">
        <v>7014</v>
      </c>
      <c r="T1701" t="s">
        <v>7015</v>
      </c>
      <c r="U1701" t="s">
        <v>60</v>
      </c>
      <c r="V1701" t="s">
        <v>61</v>
      </c>
      <c r="W1701">
        <v>3</v>
      </c>
      <c r="X1701">
        <v>0.14000000000000001</v>
      </c>
      <c r="Y1701" t="s">
        <v>388</v>
      </c>
      <c r="Z1701" t="s">
        <v>389</v>
      </c>
      <c r="AA1701">
        <v>2</v>
      </c>
      <c r="AB1701" t="s">
        <v>6761</v>
      </c>
      <c r="AC1701" t="s">
        <v>6762</v>
      </c>
      <c r="AD1701" t="s">
        <v>6763</v>
      </c>
      <c r="AE1701" t="s">
        <v>6764</v>
      </c>
      <c r="AF1701" t="s">
        <v>6765</v>
      </c>
      <c r="AG1701" t="s">
        <v>806</v>
      </c>
      <c r="AH1701" t="s">
        <v>889</v>
      </c>
      <c r="AI1701" t="s">
        <v>66</v>
      </c>
      <c r="AJ1701" t="s">
        <v>66</v>
      </c>
      <c r="AK1701">
        <v>1</v>
      </c>
      <c r="AL1701" t="s">
        <v>6861</v>
      </c>
      <c r="AM1701" t="s">
        <v>6862</v>
      </c>
      <c r="AN1701" t="s">
        <v>6963</v>
      </c>
      <c r="AO1701" t="s">
        <v>66</v>
      </c>
      <c r="AP1701">
        <v>1</v>
      </c>
      <c r="AQ1701" t="s">
        <v>6964</v>
      </c>
      <c r="AR1701" t="s">
        <v>6965</v>
      </c>
      <c r="AS1701" t="s">
        <v>66</v>
      </c>
      <c r="AT1701" t="s">
        <v>66</v>
      </c>
    </row>
    <row r="1702" spans="1:46" x14ac:dyDescent="0.15">
      <c r="A1702" t="s">
        <v>7016</v>
      </c>
      <c r="B1702" t="s">
        <v>6757</v>
      </c>
      <c r="C1702" t="s">
        <v>6758</v>
      </c>
      <c r="D1702">
        <v>51</v>
      </c>
      <c r="E1702" t="s">
        <v>6759</v>
      </c>
      <c r="F1702" t="s">
        <v>3083</v>
      </c>
      <c r="G1702" t="s">
        <v>51</v>
      </c>
      <c r="H1702" t="s">
        <v>6760</v>
      </c>
      <c r="I1702" t="s">
        <v>1553</v>
      </c>
      <c r="J1702" t="s">
        <v>54</v>
      </c>
      <c r="K1702" t="s">
        <v>3594</v>
      </c>
      <c r="L1702" t="s">
        <v>16</v>
      </c>
      <c r="M1702" t="s">
        <v>18</v>
      </c>
      <c r="N1702">
        <v>3306</v>
      </c>
      <c r="O1702">
        <v>187</v>
      </c>
      <c r="P1702">
        <v>0</v>
      </c>
      <c r="Q1702" t="s">
        <v>7017</v>
      </c>
      <c r="R1702" t="s">
        <v>7018</v>
      </c>
      <c r="S1702" t="s">
        <v>7019</v>
      </c>
      <c r="T1702" t="s">
        <v>7020</v>
      </c>
      <c r="U1702" t="s">
        <v>60</v>
      </c>
      <c r="V1702" t="s">
        <v>61</v>
      </c>
      <c r="W1702">
        <v>3</v>
      </c>
      <c r="X1702">
        <v>0.14000000000000001</v>
      </c>
      <c r="Y1702" t="s">
        <v>230</v>
      </c>
      <c r="Z1702" t="s">
        <v>395</v>
      </c>
      <c r="AA1702">
        <v>2</v>
      </c>
      <c r="AB1702" t="s">
        <v>6761</v>
      </c>
      <c r="AC1702" t="s">
        <v>6762</v>
      </c>
      <c r="AD1702" t="s">
        <v>6763</v>
      </c>
      <c r="AE1702" t="s">
        <v>6764</v>
      </c>
      <c r="AF1702" t="s">
        <v>6765</v>
      </c>
      <c r="AG1702" t="s">
        <v>806</v>
      </c>
      <c r="AH1702" t="s">
        <v>889</v>
      </c>
      <c r="AI1702" t="s">
        <v>66</v>
      </c>
      <c r="AJ1702" t="s">
        <v>66</v>
      </c>
      <c r="AK1702">
        <v>1</v>
      </c>
      <c r="AL1702" t="s">
        <v>6861</v>
      </c>
      <c r="AM1702" t="s">
        <v>6862</v>
      </c>
      <c r="AN1702" t="s">
        <v>6963</v>
      </c>
      <c r="AO1702" t="s">
        <v>66</v>
      </c>
      <c r="AP1702">
        <v>1</v>
      </c>
      <c r="AQ1702" t="s">
        <v>6964</v>
      </c>
      <c r="AR1702" t="s">
        <v>6965</v>
      </c>
      <c r="AS1702" t="s">
        <v>66</v>
      </c>
      <c r="AT1702" t="s">
        <v>66</v>
      </c>
    </row>
    <row r="1703" spans="1:46" x14ac:dyDescent="0.15">
      <c r="A1703" t="s">
        <v>7021</v>
      </c>
      <c r="B1703" t="s">
        <v>6757</v>
      </c>
      <c r="C1703" t="s">
        <v>6758</v>
      </c>
      <c r="D1703">
        <v>52</v>
      </c>
      <c r="E1703" t="s">
        <v>6759</v>
      </c>
      <c r="F1703" t="s">
        <v>3083</v>
      </c>
      <c r="G1703" t="s">
        <v>51</v>
      </c>
      <c r="H1703" t="s">
        <v>6760</v>
      </c>
      <c r="I1703" t="s">
        <v>1553</v>
      </c>
      <c r="J1703" t="s">
        <v>54</v>
      </c>
      <c r="K1703" t="s">
        <v>3594</v>
      </c>
      <c r="L1703" t="s">
        <v>16</v>
      </c>
      <c r="M1703" t="s">
        <v>18</v>
      </c>
      <c r="N1703">
        <v>3362</v>
      </c>
      <c r="O1703">
        <v>190</v>
      </c>
      <c r="P1703">
        <v>0</v>
      </c>
      <c r="Q1703" t="s">
        <v>7022</v>
      </c>
      <c r="R1703" t="s">
        <v>7023</v>
      </c>
      <c r="S1703" t="s">
        <v>7024</v>
      </c>
      <c r="T1703" t="s">
        <v>7025</v>
      </c>
      <c r="U1703" t="s">
        <v>60</v>
      </c>
      <c r="V1703" t="s">
        <v>61</v>
      </c>
      <c r="W1703">
        <v>3</v>
      </c>
      <c r="X1703">
        <v>0.14000000000000001</v>
      </c>
      <c r="Y1703" t="s">
        <v>401</v>
      </c>
      <c r="Z1703" t="s">
        <v>402</v>
      </c>
      <c r="AA1703">
        <v>2</v>
      </c>
      <c r="AB1703" t="s">
        <v>6761</v>
      </c>
      <c r="AC1703" t="s">
        <v>6762</v>
      </c>
      <c r="AD1703" t="s">
        <v>6763</v>
      </c>
      <c r="AE1703" t="s">
        <v>6764</v>
      </c>
      <c r="AF1703" t="s">
        <v>6765</v>
      </c>
      <c r="AG1703" t="s">
        <v>806</v>
      </c>
      <c r="AH1703" t="s">
        <v>889</v>
      </c>
      <c r="AI1703" t="s">
        <v>66</v>
      </c>
      <c r="AJ1703" t="s">
        <v>66</v>
      </c>
      <c r="AK1703">
        <v>1</v>
      </c>
      <c r="AL1703" t="s">
        <v>6861</v>
      </c>
      <c r="AM1703" t="s">
        <v>6862</v>
      </c>
      <c r="AN1703" t="s">
        <v>6963</v>
      </c>
      <c r="AO1703" t="s">
        <v>66</v>
      </c>
      <c r="AP1703">
        <v>1</v>
      </c>
      <c r="AQ1703" t="s">
        <v>6964</v>
      </c>
      <c r="AR1703" t="s">
        <v>6965</v>
      </c>
      <c r="AS1703" t="s">
        <v>66</v>
      </c>
      <c r="AT1703" t="s">
        <v>66</v>
      </c>
    </row>
    <row r="1704" spans="1:46" x14ac:dyDescent="0.15">
      <c r="A1704" t="s">
        <v>7026</v>
      </c>
      <c r="B1704" t="s">
        <v>6757</v>
      </c>
      <c r="C1704" t="s">
        <v>6758</v>
      </c>
      <c r="D1704">
        <v>53</v>
      </c>
      <c r="E1704" t="s">
        <v>6759</v>
      </c>
      <c r="F1704" t="s">
        <v>3083</v>
      </c>
      <c r="G1704" t="s">
        <v>51</v>
      </c>
      <c r="H1704" t="s">
        <v>6760</v>
      </c>
      <c r="I1704" t="s">
        <v>1553</v>
      </c>
      <c r="J1704" t="s">
        <v>54</v>
      </c>
      <c r="K1704" t="s">
        <v>3594</v>
      </c>
      <c r="L1704" t="s">
        <v>16</v>
      </c>
      <c r="M1704" t="s">
        <v>18</v>
      </c>
      <c r="N1704">
        <v>3418</v>
      </c>
      <c r="O1704">
        <v>193</v>
      </c>
      <c r="P1704">
        <v>0</v>
      </c>
      <c r="Q1704" t="s">
        <v>7027</v>
      </c>
      <c r="R1704" t="s">
        <v>7028</v>
      </c>
      <c r="S1704" t="s">
        <v>7029</v>
      </c>
      <c r="T1704" t="s">
        <v>7030</v>
      </c>
      <c r="U1704" t="s">
        <v>60</v>
      </c>
      <c r="V1704" t="s">
        <v>61</v>
      </c>
      <c r="W1704">
        <v>3</v>
      </c>
      <c r="X1704">
        <v>0.14000000000000001</v>
      </c>
      <c r="Y1704" t="s">
        <v>236</v>
      </c>
      <c r="Z1704" t="s">
        <v>408</v>
      </c>
      <c r="AA1704">
        <v>2</v>
      </c>
      <c r="AB1704" t="s">
        <v>6761</v>
      </c>
      <c r="AC1704" t="s">
        <v>6762</v>
      </c>
      <c r="AD1704" t="s">
        <v>6763</v>
      </c>
      <c r="AE1704" t="s">
        <v>6764</v>
      </c>
      <c r="AF1704" t="s">
        <v>6765</v>
      </c>
      <c r="AG1704" t="s">
        <v>806</v>
      </c>
      <c r="AH1704" t="s">
        <v>889</v>
      </c>
      <c r="AI1704" t="s">
        <v>66</v>
      </c>
      <c r="AJ1704" t="s">
        <v>66</v>
      </c>
      <c r="AK1704">
        <v>1</v>
      </c>
      <c r="AL1704" t="s">
        <v>6861</v>
      </c>
      <c r="AM1704" t="s">
        <v>6862</v>
      </c>
      <c r="AN1704" t="s">
        <v>6963</v>
      </c>
      <c r="AO1704" t="s">
        <v>66</v>
      </c>
      <c r="AP1704">
        <v>1</v>
      </c>
      <c r="AQ1704" t="s">
        <v>6964</v>
      </c>
      <c r="AR1704" t="s">
        <v>6965</v>
      </c>
      <c r="AS1704" t="s">
        <v>66</v>
      </c>
      <c r="AT1704" t="s">
        <v>66</v>
      </c>
    </row>
    <row r="1705" spans="1:46" x14ac:dyDescent="0.15">
      <c r="A1705" t="s">
        <v>7031</v>
      </c>
      <c r="B1705" t="s">
        <v>6757</v>
      </c>
      <c r="C1705" t="s">
        <v>6758</v>
      </c>
      <c r="D1705">
        <v>54</v>
      </c>
      <c r="E1705" t="s">
        <v>6759</v>
      </c>
      <c r="F1705" t="s">
        <v>3083</v>
      </c>
      <c r="G1705" t="s">
        <v>51</v>
      </c>
      <c r="H1705" t="s">
        <v>6760</v>
      </c>
      <c r="I1705" t="s">
        <v>1553</v>
      </c>
      <c r="J1705" t="s">
        <v>54</v>
      </c>
      <c r="K1705" t="s">
        <v>3594</v>
      </c>
      <c r="L1705" t="s">
        <v>16</v>
      </c>
      <c r="M1705" t="s">
        <v>18</v>
      </c>
      <c r="N1705">
        <v>3474</v>
      </c>
      <c r="O1705">
        <v>196</v>
      </c>
      <c r="P1705">
        <v>0</v>
      </c>
      <c r="Q1705" t="s">
        <v>7032</v>
      </c>
      <c r="R1705" t="s">
        <v>7033</v>
      </c>
      <c r="S1705" t="s">
        <v>7034</v>
      </c>
      <c r="T1705" t="s">
        <v>7035</v>
      </c>
      <c r="U1705" t="s">
        <v>60</v>
      </c>
      <c r="V1705" t="s">
        <v>61</v>
      </c>
      <c r="W1705">
        <v>3</v>
      </c>
      <c r="X1705">
        <v>0.14000000000000001</v>
      </c>
      <c r="Y1705" t="s">
        <v>414</v>
      </c>
      <c r="Z1705" t="s">
        <v>415</v>
      </c>
      <c r="AA1705">
        <v>2</v>
      </c>
      <c r="AB1705" t="s">
        <v>6761</v>
      </c>
      <c r="AC1705" t="s">
        <v>6762</v>
      </c>
      <c r="AD1705" t="s">
        <v>6763</v>
      </c>
      <c r="AE1705" t="s">
        <v>6764</v>
      </c>
      <c r="AF1705" t="s">
        <v>6765</v>
      </c>
      <c r="AG1705" t="s">
        <v>806</v>
      </c>
      <c r="AH1705" t="s">
        <v>889</v>
      </c>
      <c r="AI1705" t="s">
        <v>66</v>
      </c>
      <c r="AJ1705" t="s">
        <v>66</v>
      </c>
      <c r="AK1705">
        <v>1</v>
      </c>
      <c r="AL1705" t="s">
        <v>6861</v>
      </c>
      <c r="AM1705" t="s">
        <v>6862</v>
      </c>
      <c r="AN1705" t="s">
        <v>6963</v>
      </c>
      <c r="AO1705" t="s">
        <v>66</v>
      </c>
      <c r="AP1705">
        <v>1</v>
      </c>
      <c r="AQ1705" t="s">
        <v>6964</v>
      </c>
      <c r="AR1705" t="s">
        <v>6965</v>
      </c>
      <c r="AS1705" t="s">
        <v>66</v>
      </c>
      <c r="AT1705" t="s">
        <v>66</v>
      </c>
    </row>
    <row r="1706" spans="1:46" x14ac:dyDescent="0.15">
      <c r="A1706" t="s">
        <v>7036</v>
      </c>
      <c r="B1706" t="s">
        <v>6757</v>
      </c>
      <c r="C1706" t="s">
        <v>6758</v>
      </c>
      <c r="D1706">
        <v>55</v>
      </c>
      <c r="E1706" t="s">
        <v>6759</v>
      </c>
      <c r="F1706" t="s">
        <v>3083</v>
      </c>
      <c r="G1706" t="s">
        <v>51</v>
      </c>
      <c r="H1706" t="s">
        <v>6760</v>
      </c>
      <c r="I1706" t="s">
        <v>1553</v>
      </c>
      <c r="J1706" t="s">
        <v>54</v>
      </c>
      <c r="K1706" t="s">
        <v>3594</v>
      </c>
      <c r="L1706" t="s">
        <v>16</v>
      </c>
      <c r="M1706" t="s">
        <v>18</v>
      </c>
      <c r="N1706">
        <v>3531</v>
      </c>
      <c r="O1706">
        <v>199</v>
      </c>
      <c r="P1706">
        <v>0</v>
      </c>
      <c r="Q1706" t="s">
        <v>7037</v>
      </c>
      <c r="R1706" t="s">
        <v>7038</v>
      </c>
      <c r="S1706" t="s">
        <v>7039</v>
      </c>
      <c r="T1706" t="s">
        <v>7040</v>
      </c>
      <c r="U1706" t="s">
        <v>60</v>
      </c>
      <c r="V1706" t="s">
        <v>61</v>
      </c>
      <c r="W1706">
        <v>3</v>
      </c>
      <c r="X1706">
        <v>0.14000000000000001</v>
      </c>
      <c r="Y1706" t="s">
        <v>243</v>
      </c>
      <c r="Z1706" t="s">
        <v>421</v>
      </c>
      <c r="AA1706">
        <v>2</v>
      </c>
      <c r="AB1706" t="s">
        <v>6761</v>
      </c>
      <c r="AC1706" t="s">
        <v>6762</v>
      </c>
      <c r="AD1706" t="s">
        <v>6763</v>
      </c>
      <c r="AE1706" t="s">
        <v>6764</v>
      </c>
      <c r="AF1706" t="s">
        <v>6765</v>
      </c>
      <c r="AG1706" t="s">
        <v>806</v>
      </c>
      <c r="AH1706" t="s">
        <v>889</v>
      </c>
      <c r="AI1706" t="s">
        <v>66</v>
      </c>
      <c r="AJ1706" t="s">
        <v>66</v>
      </c>
      <c r="AK1706">
        <v>1</v>
      </c>
      <c r="AL1706" t="s">
        <v>6861</v>
      </c>
      <c r="AM1706" t="s">
        <v>6862</v>
      </c>
      <c r="AN1706" t="s">
        <v>6963</v>
      </c>
      <c r="AO1706" t="s">
        <v>66</v>
      </c>
      <c r="AP1706">
        <v>1</v>
      </c>
      <c r="AQ1706" t="s">
        <v>6964</v>
      </c>
      <c r="AR1706" t="s">
        <v>6965</v>
      </c>
      <c r="AS1706" t="s">
        <v>66</v>
      </c>
      <c r="AT1706" t="s">
        <v>66</v>
      </c>
    </row>
    <row r="1707" spans="1:46" x14ac:dyDescent="0.15">
      <c r="A1707" t="s">
        <v>7041</v>
      </c>
      <c r="B1707" t="s">
        <v>6757</v>
      </c>
      <c r="C1707" t="s">
        <v>6758</v>
      </c>
      <c r="D1707">
        <v>56</v>
      </c>
      <c r="E1707" t="s">
        <v>6759</v>
      </c>
      <c r="F1707" t="s">
        <v>3083</v>
      </c>
      <c r="G1707" t="s">
        <v>51</v>
      </c>
      <c r="H1707" t="s">
        <v>6760</v>
      </c>
      <c r="I1707" t="s">
        <v>1553</v>
      </c>
      <c r="J1707" t="s">
        <v>54</v>
      </c>
      <c r="K1707" t="s">
        <v>3594</v>
      </c>
      <c r="L1707" t="s">
        <v>16</v>
      </c>
      <c r="M1707" t="s">
        <v>18</v>
      </c>
      <c r="N1707">
        <v>3587</v>
      </c>
      <c r="O1707">
        <v>202</v>
      </c>
      <c r="P1707">
        <v>0</v>
      </c>
      <c r="Q1707" t="s">
        <v>7042</v>
      </c>
      <c r="R1707" t="s">
        <v>7043</v>
      </c>
      <c r="S1707" t="s">
        <v>7044</v>
      </c>
      <c r="T1707" t="s">
        <v>7045</v>
      </c>
      <c r="U1707" t="s">
        <v>60</v>
      </c>
      <c r="V1707" t="s">
        <v>61</v>
      </c>
      <c r="W1707">
        <v>3</v>
      </c>
      <c r="X1707">
        <v>0.14000000000000001</v>
      </c>
      <c r="Y1707" t="s">
        <v>427</v>
      </c>
      <c r="Z1707" t="s">
        <v>428</v>
      </c>
      <c r="AA1707">
        <v>2</v>
      </c>
      <c r="AB1707" t="s">
        <v>6761</v>
      </c>
      <c r="AC1707" t="s">
        <v>6762</v>
      </c>
      <c r="AD1707" t="s">
        <v>6763</v>
      </c>
      <c r="AE1707" t="s">
        <v>6764</v>
      </c>
      <c r="AF1707" t="s">
        <v>6765</v>
      </c>
      <c r="AG1707" t="s">
        <v>806</v>
      </c>
      <c r="AH1707" t="s">
        <v>889</v>
      </c>
      <c r="AI1707" t="s">
        <v>66</v>
      </c>
      <c r="AJ1707" t="s">
        <v>66</v>
      </c>
      <c r="AK1707">
        <v>1</v>
      </c>
      <c r="AL1707" t="s">
        <v>6861</v>
      </c>
      <c r="AM1707" t="s">
        <v>6862</v>
      </c>
      <c r="AN1707" t="s">
        <v>6963</v>
      </c>
      <c r="AO1707" t="s">
        <v>66</v>
      </c>
      <c r="AP1707">
        <v>1</v>
      </c>
      <c r="AQ1707" t="s">
        <v>6964</v>
      </c>
      <c r="AR1707" t="s">
        <v>6965</v>
      </c>
      <c r="AS1707" t="s">
        <v>66</v>
      </c>
      <c r="AT1707" t="s">
        <v>66</v>
      </c>
    </row>
    <row r="1708" spans="1:46" x14ac:dyDescent="0.15">
      <c r="A1708" t="s">
        <v>7046</v>
      </c>
      <c r="B1708" t="s">
        <v>6757</v>
      </c>
      <c r="C1708" t="s">
        <v>6758</v>
      </c>
      <c r="D1708">
        <v>57</v>
      </c>
      <c r="E1708" t="s">
        <v>6759</v>
      </c>
      <c r="F1708" t="s">
        <v>3083</v>
      </c>
      <c r="G1708" t="s">
        <v>51</v>
      </c>
      <c r="H1708" t="s">
        <v>6760</v>
      </c>
      <c r="I1708" t="s">
        <v>1553</v>
      </c>
      <c r="J1708" t="s">
        <v>54</v>
      </c>
      <c r="K1708" t="s">
        <v>3594</v>
      </c>
      <c r="L1708" t="s">
        <v>16</v>
      </c>
      <c r="M1708" t="s">
        <v>18</v>
      </c>
      <c r="N1708">
        <v>3643</v>
      </c>
      <c r="O1708">
        <v>205</v>
      </c>
      <c r="P1708">
        <v>0</v>
      </c>
      <c r="Q1708" t="s">
        <v>7047</v>
      </c>
      <c r="R1708" t="s">
        <v>7048</v>
      </c>
      <c r="S1708" t="s">
        <v>7049</v>
      </c>
      <c r="T1708" t="s">
        <v>7050</v>
      </c>
      <c r="U1708" t="s">
        <v>60</v>
      </c>
      <c r="V1708" t="s">
        <v>61</v>
      </c>
      <c r="W1708">
        <v>3</v>
      </c>
      <c r="X1708">
        <v>0.14000000000000001</v>
      </c>
      <c r="Y1708" t="s">
        <v>249</v>
      </c>
      <c r="Z1708" t="s">
        <v>434</v>
      </c>
      <c r="AA1708">
        <v>2</v>
      </c>
      <c r="AB1708" t="s">
        <v>6761</v>
      </c>
      <c r="AC1708" t="s">
        <v>6762</v>
      </c>
      <c r="AD1708" t="s">
        <v>6763</v>
      </c>
      <c r="AE1708" t="s">
        <v>6764</v>
      </c>
      <c r="AF1708" t="s">
        <v>6765</v>
      </c>
      <c r="AG1708" t="s">
        <v>806</v>
      </c>
      <c r="AH1708" t="s">
        <v>889</v>
      </c>
      <c r="AI1708" t="s">
        <v>66</v>
      </c>
      <c r="AJ1708" t="s">
        <v>66</v>
      </c>
      <c r="AK1708">
        <v>1</v>
      </c>
      <c r="AL1708" t="s">
        <v>6861</v>
      </c>
      <c r="AM1708" t="s">
        <v>6862</v>
      </c>
      <c r="AN1708" t="s">
        <v>6963</v>
      </c>
      <c r="AO1708" t="s">
        <v>66</v>
      </c>
      <c r="AP1708">
        <v>1</v>
      </c>
      <c r="AQ1708" t="s">
        <v>6964</v>
      </c>
      <c r="AR1708" t="s">
        <v>6965</v>
      </c>
      <c r="AS1708" t="s">
        <v>66</v>
      </c>
      <c r="AT1708" t="s">
        <v>66</v>
      </c>
    </row>
    <row r="1709" spans="1:46" x14ac:dyDescent="0.15">
      <c r="A1709" t="s">
        <v>7051</v>
      </c>
      <c r="B1709" t="s">
        <v>6757</v>
      </c>
      <c r="C1709" t="s">
        <v>6758</v>
      </c>
      <c r="D1709">
        <v>58</v>
      </c>
      <c r="E1709" t="s">
        <v>6759</v>
      </c>
      <c r="F1709" t="s">
        <v>3083</v>
      </c>
      <c r="G1709" t="s">
        <v>51</v>
      </c>
      <c r="H1709" t="s">
        <v>6760</v>
      </c>
      <c r="I1709" t="s">
        <v>1553</v>
      </c>
      <c r="J1709" t="s">
        <v>54</v>
      </c>
      <c r="K1709" t="s">
        <v>3594</v>
      </c>
      <c r="L1709" t="s">
        <v>16</v>
      </c>
      <c r="M1709" t="s">
        <v>18</v>
      </c>
      <c r="N1709">
        <v>3699</v>
      </c>
      <c r="O1709">
        <v>209</v>
      </c>
      <c r="P1709">
        <v>0</v>
      </c>
      <c r="Q1709" t="s">
        <v>7052</v>
      </c>
      <c r="R1709" t="s">
        <v>7053</v>
      </c>
      <c r="S1709" t="s">
        <v>7054</v>
      </c>
      <c r="T1709" t="s">
        <v>7055</v>
      </c>
      <c r="U1709" t="s">
        <v>60</v>
      </c>
      <c r="V1709" t="s">
        <v>61</v>
      </c>
      <c r="W1709">
        <v>3</v>
      </c>
      <c r="X1709">
        <v>0.14000000000000001</v>
      </c>
      <c r="Y1709" t="s">
        <v>440</v>
      </c>
      <c r="Z1709" t="s">
        <v>441</v>
      </c>
      <c r="AA1709">
        <v>2</v>
      </c>
      <c r="AB1709" t="s">
        <v>6761</v>
      </c>
      <c r="AC1709" t="s">
        <v>6762</v>
      </c>
      <c r="AD1709" t="s">
        <v>6763</v>
      </c>
      <c r="AE1709" t="s">
        <v>6764</v>
      </c>
      <c r="AF1709" t="s">
        <v>6765</v>
      </c>
      <c r="AG1709" t="s">
        <v>806</v>
      </c>
      <c r="AH1709" t="s">
        <v>889</v>
      </c>
      <c r="AI1709" t="s">
        <v>66</v>
      </c>
      <c r="AJ1709" t="s">
        <v>66</v>
      </c>
      <c r="AK1709">
        <v>1</v>
      </c>
      <c r="AL1709" t="s">
        <v>6861</v>
      </c>
      <c r="AM1709" t="s">
        <v>6862</v>
      </c>
      <c r="AN1709" t="s">
        <v>6963</v>
      </c>
      <c r="AO1709" t="s">
        <v>66</v>
      </c>
      <c r="AP1709">
        <v>1</v>
      </c>
      <c r="AQ1709" t="s">
        <v>6964</v>
      </c>
      <c r="AR1709" t="s">
        <v>6965</v>
      </c>
      <c r="AS1709" t="s">
        <v>66</v>
      </c>
      <c r="AT1709" t="s">
        <v>66</v>
      </c>
    </row>
    <row r="1710" spans="1:46" x14ac:dyDescent="0.15">
      <c r="A1710" t="s">
        <v>7056</v>
      </c>
      <c r="B1710" t="s">
        <v>6757</v>
      </c>
      <c r="C1710" t="s">
        <v>6758</v>
      </c>
      <c r="D1710">
        <v>59</v>
      </c>
      <c r="E1710" t="s">
        <v>6759</v>
      </c>
      <c r="F1710" t="s">
        <v>3083</v>
      </c>
      <c r="G1710" t="s">
        <v>51</v>
      </c>
      <c r="H1710" t="s">
        <v>6760</v>
      </c>
      <c r="I1710" t="s">
        <v>1553</v>
      </c>
      <c r="J1710" t="s">
        <v>54</v>
      </c>
      <c r="K1710" t="s">
        <v>3594</v>
      </c>
      <c r="L1710" t="s">
        <v>16</v>
      </c>
      <c r="M1710" t="s">
        <v>18</v>
      </c>
      <c r="N1710">
        <v>3755</v>
      </c>
      <c r="O1710">
        <v>212</v>
      </c>
      <c r="P1710">
        <v>0</v>
      </c>
      <c r="Q1710" t="s">
        <v>7057</v>
      </c>
      <c r="R1710" t="s">
        <v>7058</v>
      </c>
      <c r="S1710" t="s">
        <v>7059</v>
      </c>
      <c r="T1710" t="s">
        <v>7060</v>
      </c>
      <c r="U1710" t="s">
        <v>60</v>
      </c>
      <c r="V1710" t="s">
        <v>61</v>
      </c>
      <c r="W1710">
        <v>3</v>
      </c>
      <c r="X1710">
        <v>0.14000000000000001</v>
      </c>
      <c r="Y1710" t="s">
        <v>256</v>
      </c>
      <c r="Z1710" t="s">
        <v>447</v>
      </c>
      <c r="AA1710">
        <v>2</v>
      </c>
      <c r="AB1710" t="s">
        <v>6761</v>
      </c>
      <c r="AC1710" t="s">
        <v>6762</v>
      </c>
      <c r="AD1710" t="s">
        <v>6763</v>
      </c>
      <c r="AE1710" t="s">
        <v>6764</v>
      </c>
      <c r="AF1710" t="s">
        <v>6765</v>
      </c>
      <c r="AG1710" t="s">
        <v>806</v>
      </c>
      <c r="AH1710" t="s">
        <v>889</v>
      </c>
      <c r="AI1710" t="s">
        <v>66</v>
      </c>
      <c r="AJ1710" t="s">
        <v>66</v>
      </c>
      <c r="AK1710">
        <v>1</v>
      </c>
      <c r="AL1710" t="s">
        <v>6861</v>
      </c>
      <c r="AM1710" t="s">
        <v>6862</v>
      </c>
      <c r="AN1710" t="s">
        <v>6963</v>
      </c>
      <c r="AO1710" t="s">
        <v>66</v>
      </c>
      <c r="AP1710">
        <v>1</v>
      </c>
      <c r="AQ1710" t="s">
        <v>6964</v>
      </c>
      <c r="AR1710" t="s">
        <v>6965</v>
      </c>
      <c r="AS1710" t="s">
        <v>66</v>
      </c>
      <c r="AT1710" t="s">
        <v>66</v>
      </c>
    </row>
    <row r="1711" spans="1:46" x14ac:dyDescent="0.15">
      <c r="A1711" t="s">
        <v>7061</v>
      </c>
      <c r="B1711" t="s">
        <v>6757</v>
      </c>
      <c r="C1711" t="s">
        <v>6758</v>
      </c>
      <c r="D1711">
        <v>60</v>
      </c>
      <c r="E1711" t="s">
        <v>6759</v>
      </c>
      <c r="F1711" t="s">
        <v>3083</v>
      </c>
      <c r="G1711" t="s">
        <v>51</v>
      </c>
      <c r="H1711" t="s">
        <v>6760</v>
      </c>
      <c r="I1711" t="s">
        <v>1553</v>
      </c>
      <c r="J1711" t="s">
        <v>54</v>
      </c>
      <c r="K1711" t="s">
        <v>3594</v>
      </c>
      <c r="L1711" t="s">
        <v>16</v>
      </c>
      <c r="M1711" t="s">
        <v>18</v>
      </c>
      <c r="N1711">
        <v>3811</v>
      </c>
      <c r="O1711">
        <v>215</v>
      </c>
      <c r="P1711">
        <v>0</v>
      </c>
      <c r="Q1711" t="s">
        <v>7062</v>
      </c>
      <c r="R1711" t="s">
        <v>7063</v>
      </c>
      <c r="S1711" t="s">
        <v>7064</v>
      </c>
      <c r="T1711" t="s">
        <v>7065</v>
      </c>
      <c r="U1711" t="s">
        <v>60</v>
      </c>
      <c r="V1711" t="s">
        <v>61</v>
      </c>
      <c r="W1711">
        <v>3</v>
      </c>
      <c r="X1711">
        <v>0.14000000000000001</v>
      </c>
      <c r="Y1711" t="s">
        <v>453</v>
      </c>
      <c r="Z1711" t="s">
        <v>454</v>
      </c>
      <c r="AA1711">
        <v>2</v>
      </c>
      <c r="AB1711" t="s">
        <v>6761</v>
      </c>
      <c r="AC1711" t="s">
        <v>6762</v>
      </c>
      <c r="AD1711" t="s">
        <v>6763</v>
      </c>
      <c r="AE1711" t="s">
        <v>6764</v>
      </c>
      <c r="AF1711" t="s">
        <v>6765</v>
      </c>
      <c r="AG1711" t="s">
        <v>806</v>
      </c>
      <c r="AH1711" t="s">
        <v>889</v>
      </c>
      <c r="AI1711" t="s">
        <v>66</v>
      </c>
      <c r="AJ1711" t="s">
        <v>66</v>
      </c>
      <c r="AK1711">
        <v>1</v>
      </c>
      <c r="AL1711" t="s">
        <v>6861</v>
      </c>
      <c r="AM1711" t="s">
        <v>6862</v>
      </c>
      <c r="AN1711" t="s">
        <v>6963</v>
      </c>
      <c r="AO1711" t="s">
        <v>66</v>
      </c>
      <c r="AP1711">
        <v>1</v>
      </c>
      <c r="AQ1711" t="s">
        <v>6964</v>
      </c>
      <c r="AR1711" t="s">
        <v>6965</v>
      </c>
      <c r="AS1711" t="s">
        <v>66</v>
      </c>
      <c r="AT1711" t="s">
        <v>66</v>
      </c>
    </row>
    <row r="1712" spans="1:46" x14ac:dyDescent="0.15">
      <c r="A1712" t="s">
        <v>7061</v>
      </c>
      <c r="B1712" t="s">
        <v>6757</v>
      </c>
      <c r="C1712" t="s">
        <v>6758</v>
      </c>
      <c r="D1712">
        <v>60</v>
      </c>
      <c r="E1712" t="s">
        <v>6759</v>
      </c>
      <c r="F1712" t="s">
        <v>3083</v>
      </c>
      <c r="G1712" t="s">
        <v>51</v>
      </c>
      <c r="H1712" t="s">
        <v>6760</v>
      </c>
      <c r="I1712" t="s">
        <v>1553</v>
      </c>
      <c r="J1712" t="s">
        <v>54</v>
      </c>
      <c r="K1712" t="s">
        <v>3594</v>
      </c>
      <c r="L1712" t="s">
        <v>16</v>
      </c>
      <c r="M1712" t="s">
        <v>18</v>
      </c>
      <c r="N1712">
        <v>3811</v>
      </c>
      <c r="O1712">
        <v>215</v>
      </c>
      <c r="P1712">
        <v>0</v>
      </c>
      <c r="Q1712" t="s">
        <v>7062</v>
      </c>
      <c r="R1712" t="s">
        <v>7063</v>
      </c>
      <c r="S1712" t="s">
        <v>7064</v>
      </c>
      <c r="T1712" t="s">
        <v>7065</v>
      </c>
      <c r="U1712" t="s">
        <v>60</v>
      </c>
      <c r="V1712" t="s">
        <v>61</v>
      </c>
      <c r="W1712">
        <v>3</v>
      </c>
      <c r="X1712">
        <v>0.14000000000000001</v>
      </c>
      <c r="Y1712" t="s">
        <v>453</v>
      </c>
      <c r="Z1712" t="s">
        <v>454</v>
      </c>
      <c r="AA1712">
        <v>3</v>
      </c>
      <c r="AB1712" t="s">
        <v>6761</v>
      </c>
      <c r="AC1712" t="s">
        <v>6762</v>
      </c>
      <c r="AD1712" t="s">
        <v>6763</v>
      </c>
      <c r="AE1712" t="s">
        <v>6764</v>
      </c>
      <c r="AF1712" t="s">
        <v>6765</v>
      </c>
      <c r="AG1712" t="s">
        <v>806</v>
      </c>
      <c r="AH1712" t="s">
        <v>889</v>
      </c>
      <c r="AI1712" t="s">
        <v>889</v>
      </c>
      <c r="AJ1712" t="s">
        <v>66</v>
      </c>
      <c r="AK1712">
        <v>1</v>
      </c>
      <c r="AL1712" t="s">
        <v>6861</v>
      </c>
      <c r="AM1712" t="s">
        <v>6862</v>
      </c>
      <c r="AN1712" t="s">
        <v>6963</v>
      </c>
      <c r="AO1712" t="s">
        <v>66</v>
      </c>
      <c r="AP1712">
        <v>1</v>
      </c>
      <c r="AQ1712" t="s">
        <v>6964</v>
      </c>
      <c r="AR1712" t="s">
        <v>6965</v>
      </c>
      <c r="AS1712" t="s">
        <v>7066</v>
      </c>
      <c r="AT1712" t="s">
        <v>66</v>
      </c>
    </row>
    <row r="1713" spans="1:46" x14ac:dyDescent="0.15">
      <c r="A1713" t="s">
        <v>7067</v>
      </c>
      <c r="B1713" t="s">
        <v>6757</v>
      </c>
      <c r="C1713" t="s">
        <v>6758</v>
      </c>
      <c r="D1713">
        <v>61</v>
      </c>
      <c r="E1713" t="s">
        <v>6759</v>
      </c>
      <c r="F1713" t="s">
        <v>3083</v>
      </c>
      <c r="G1713" t="s">
        <v>51</v>
      </c>
      <c r="H1713" t="s">
        <v>6760</v>
      </c>
      <c r="I1713" t="s">
        <v>1553</v>
      </c>
      <c r="J1713" t="s">
        <v>54</v>
      </c>
      <c r="K1713" t="s">
        <v>3594</v>
      </c>
      <c r="L1713" t="s">
        <v>16</v>
      </c>
      <c r="M1713" t="s">
        <v>18</v>
      </c>
      <c r="N1713">
        <v>3867</v>
      </c>
      <c r="O1713">
        <v>218</v>
      </c>
      <c r="P1713">
        <v>0</v>
      </c>
      <c r="Q1713" t="s">
        <v>7068</v>
      </c>
      <c r="R1713" t="s">
        <v>7069</v>
      </c>
      <c r="S1713" t="s">
        <v>7070</v>
      </c>
      <c r="T1713" t="s">
        <v>7071</v>
      </c>
      <c r="U1713" t="s">
        <v>60</v>
      </c>
      <c r="V1713" t="s">
        <v>61</v>
      </c>
      <c r="W1713">
        <v>3</v>
      </c>
      <c r="X1713">
        <v>0.14000000000000001</v>
      </c>
      <c r="Y1713" t="s">
        <v>262</v>
      </c>
      <c r="Z1713" t="s">
        <v>465</v>
      </c>
      <c r="AA1713">
        <v>3</v>
      </c>
      <c r="AB1713" t="s">
        <v>6761</v>
      </c>
      <c r="AC1713" t="s">
        <v>6762</v>
      </c>
      <c r="AD1713" t="s">
        <v>6763</v>
      </c>
      <c r="AE1713" t="s">
        <v>6764</v>
      </c>
      <c r="AF1713" t="s">
        <v>6765</v>
      </c>
      <c r="AG1713" t="s">
        <v>806</v>
      </c>
      <c r="AH1713" t="s">
        <v>889</v>
      </c>
      <c r="AI1713" t="s">
        <v>889</v>
      </c>
      <c r="AJ1713" t="s">
        <v>66</v>
      </c>
      <c r="AK1713">
        <v>1</v>
      </c>
      <c r="AL1713" t="s">
        <v>6861</v>
      </c>
      <c r="AM1713" t="s">
        <v>6862</v>
      </c>
      <c r="AN1713" t="s">
        <v>6963</v>
      </c>
      <c r="AO1713" t="s">
        <v>66</v>
      </c>
      <c r="AP1713">
        <v>1</v>
      </c>
      <c r="AQ1713" t="s">
        <v>6964</v>
      </c>
      <c r="AR1713" t="s">
        <v>6965</v>
      </c>
      <c r="AS1713" t="s">
        <v>7066</v>
      </c>
      <c r="AT1713" t="s">
        <v>66</v>
      </c>
    </row>
    <row r="1714" spans="1:46" x14ac:dyDescent="0.15">
      <c r="A1714" t="s">
        <v>7072</v>
      </c>
      <c r="B1714" t="s">
        <v>6757</v>
      </c>
      <c r="C1714" t="s">
        <v>6758</v>
      </c>
      <c r="D1714">
        <v>62</v>
      </c>
      <c r="E1714" t="s">
        <v>6759</v>
      </c>
      <c r="F1714" t="s">
        <v>3083</v>
      </c>
      <c r="G1714" t="s">
        <v>51</v>
      </c>
      <c r="H1714" t="s">
        <v>6760</v>
      </c>
      <c r="I1714" t="s">
        <v>1553</v>
      </c>
      <c r="J1714" t="s">
        <v>54</v>
      </c>
      <c r="K1714" t="s">
        <v>3594</v>
      </c>
      <c r="L1714" t="s">
        <v>16</v>
      </c>
      <c r="M1714" t="s">
        <v>18</v>
      </c>
      <c r="N1714">
        <v>3923</v>
      </c>
      <c r="O1714">
        <v>221</v>
      </c>
      <c r="P1714">
        <v>0</v>
      </c>
      <c r="Q1714" t="s">
        <v>7073</v>
      </c>
      <c r="R1714" t="s">
        <v>7074</v>
      </c>
      <c r="S1714" t="s">
        <v>7075</v>
      </c>
      <c r="T1714" t="s">
        <v>7076</v>
      </c>
      <c r="U1714" t="s">
        <v>60</v>
      </c>
      <c r="V1714" t="s">
        <v>61</v>
      </c>
      <c r="W1714">
        <v>3</v>
      </c>
      <c r="X1714">
        <v>0.14000000000000001</v>
      </c>
      <c r="Y1714" t="s">
        <v>471</v>
      </c>
      <c r="Z1714" t="s">
        <v>472</v>
      </c>
      <c r="AA1714">
        <v>3</v>
      </c>
      <c r="AB1714" t="s">
        <v>6761</v>
      </c>
      <c r="AC1714" t="s">
        <v>6762</v>
      </c>
      <c r="AD1714" t="s">
        <v>6763</v>
      </c>
      <c r="AE1714" t="s">
        <v>6764</v>
      </c>
      <c r="AF1714" t="s">
        <v>6765</v>
      </c>
      <c r="AG1714" t="s">
        <v>806</v>
      </c>
      <c r="AH1714" t="s">
        <v>889</v>
      </c>
      <c r="AI1714" t="s">
        <v>889</v>
      </c>
      <c r="AJ1714" t="s">
        <v>66</v>
      </c>
      <c r="AK1714">
        <v>1</v>
      </c>
      <c r="AL1714" t="s">
        <v>6861</v>
      </c>
      <c r="AM1714" t="s">
        <v>6862</v>
      </c>
      <c r="AN1714" t="s">
        <v>6963</v>
      </c>
      <c r="AO1714" t="s">
        <v>66</v>
      </c>
      <c r="AP1714">
        <v>1</v>
      </c>
      <c r="AQ1714" t="s">
        <v>6964</v>
      </c>
      <c r="AR1714" t="s">
        <v>6965</v>
      </c>
      <c r="AS1714" t="s">
        <v>7066</v>
      </c>
      <c r="AT1714" t="s">
        <v>66</v>
      </c>
    </row>
    <row r="1715" spans="1:46" x14ac:dyDescent="0.15">
      <c r="A1715" t="s">
        <v>7077</v>
      </c>
      <c r="B1715" t="s">
        <v>6757</v>
      </c>
      <c r="C1715" t="s">
        <v>6758</v>
      </c>
      <c r="D1715">
        <v>63</v>
      </c>
      <c r="E1715" t="s">
        <v>6759</v>
      </c>
      <c r="F1715" t="s">
        <v>3083</v>
      </c>
      <c r="G1715" t="s">
        <v>51</v>
      </c>
      <c r="H1715" t="s">
        <v>6760</v>
      </c>
      <c r="I1715" t="s">
        <v>1553</v>
      </c>
      <c r="J1715" t="s">
        <v>54</v>
      </c>
      <c r="K1715" t="s">
        <v>3594</v>
      </c>
      <c r="L1715" t="s">
        <v>16</v>
      </c>
      <c r="M1715" t="s">
        <v>18</v>
      </c>
      <c r="N1715">
        <v>3980</v>
      </c>
      <c r="O1715">
        <v>224</v>
      </c>
      <c r="P1715">
        <v>0</v>
      </c>
      <c r="Q1715" t="s">
        <v>7078</v>
      </c>
      <c r="R1715" t="s">
        <v>7079</v>
      </c>
      <c r="S1715" t="s">
        <v>7080</v>
      </c>
      <c r="T1715" t="s">
        <v>7081</v>
      </c>
      <c r="U1715" t="s">
        <v>60</v>
      </c>
      <c r="V1715" t="s">
        <v>61</v>
      </c>
      <c r="W1715">
        <v>3</v>
      </c>
      <c r="X1715">
        <v>0.14000000000000001</v>
      </c>
      <c r="Y1715" t="s">
        <v>269</v>
      </c>
      <c r="Z1715" t="s">
        <v>478</v>
      </c>
      <c r="AA1715">
        <v>3</v>
      </c>
      <c r="AB1715" t="s">
        <v>6761</v>
      </c>
      <c r="AC1715" t="s">
        <v>6762</v>
      </c>
      <c r="AD1715" t="s">
        <v>6763</v>
      </c>
      <c r="AE1715" t="s">
        <v>6764</v>
      </c>
      <c r="AF1715" t="s">
        <v>6765</v>
      </c>
      <c r="AG1715" t="s">
        <v>806</v>
      </c>
      <c r="AH1715" t="s">
        <v>889</v>
      </c>
      <c r="AI1715" t="s">
        <v>889</v>
      </c>
      <c r="AJ1715" t="s">
        <v>66</v>
      </c>
      <c r="AK1715">
        <v>1</v>
      </c>
      <c r="AL1715" t="s">
        <v>6861</v>
      </c>
      <c r="AM1715" t="s">
        <v>6862</v>
      </c>
      <c r="AN1715" t="s">
        <v>6963</v>
      </c>
      <c r="AO1715" t="s">
        <v>66</v>
      </c>
      <c r="AP1715">
        <v>1</v>
      </c>
      <c r="AQ1715" t="s">
        <v>6964</v>
      </c>
      <c r="AR1715" t="s">
        <v>6965</v>
      </c>
      <c r="AS1715" t="s">
        <v>7066</v>
      </c>
      <c r="AT1715" t="s">
        <v>66</v>
      </c>
    </row>
    <row r="1716" spans="1:46" x14ac:dyDescent="0.15">
      <c r="A1716" t="s">
        <v>7082</v>
      </c>
      <c r="B1716" t="s">
        <v>6757</v>
      </c>
      <c r="C1716" t="s">
        <v>6758</v>
      </c>
      <c r="D1716">
        <v>64</v>
      </c>
      <c r="E1716" t="s">
        <v>6759</v>
      </c>
      <c r="F1716" t="s">
        <v>3083</v>
      </c>
      <c r="G1716" t="s">
        <v>51</v>
      </c>
      <c r="H1716" t="s">
        <v>6760</v>
      </c>
      <c r="I1716" t="s">
        <v>1553</v>
      </c>
      <c r="J1716" t="s">
        <v>54</v>
      </c>
      <c r="K1716" t="s">
        <v>3594</v>
      </c>
      <c r="L1716" t="s">
        <v>16</v>
      </c>
      <c r="M1716" t="s">
        <v>18</v>
      </c>
      <c r="N1716">
        <v>4036</v>
      </c>
      <c r="O1716">
        <v>227</v>
      </c>
      <c r="P1716">
        <v>0</v>
      </c>
      <c r="Q1716" t="s">
        <v>7083</v>
      </c>
      <c r="R1716" t="s">
        <v>7084</v>
      </c>
      <c r="S1716" t="s">
        <v>7085</v>
      </c>
      <c r="T1716" t="s">
        <v>7086</v>
      </c>
      <c r="U1716" t="s">
        <v>60</v>
      </c>
      <c r="V1716" t="s">
        <v>61</v>
      </c>
      <c r="W1716">
        <v>3</v>
      </c>
      <c r="X1716">
        <v>0.14000000000000001</v>
      </c>
      <c r="Y1716" t="s">
        <v>484</v>
      </c>
      <c r="Z1716" t="s">
        <v>485</v>
      </c>
      <c r="AA1716">
        <v>3</v>
      </c>
      <c r="AB1716" t="s">
        <v>6761</v>
      </c>
      <c r="AC1716" t="s">
        <v>6762</v>
      </c>
      <c r="AD1716" t="s">
        <v>6763</v>
      </c>
      <c r="AE1716" t="s">
        <v>6764</v>
      </c>
      <c r="AF1716" t="s">
        <v>6765</v>
      </c>
      <c r="AG1716" t="s">
        <v>806</v>
      </c>
      <c r="AH1716" t="s">
        <v>889</v>
      </c>
      <c r="AI1716" t="s">
        <v>889</v>
      </c>
      <c r="AJ1716" t="s">
        <v>66</v>
      </c>
      <c r="AK1716">
        <v>1</v>
      </c>
      <c r="AL1716" t="s">
        <v>6861</v>
      </c>
      <c r="AM1716" t="s">
        <v>6862</v>
      </c>
      <c r="AN1716" t="s">
        <v>6963</v>
      </c>
      <c r="AO1716" t="s">
        <v>66</v>
      </c>
      <c r="AP1716">
        <v>1</v>
      </c>
      <c r="AQ1716" t="s">
        <v>6964</v>
      </c>
      <c r="AR1716" t="s">
        <v>6965</v>
      </c>
      <c r="AS1716" t="s">
        <v>7066</v>
      </c>
      <c r="AT1716" t="s">
        <v>66</v>
      </c>
    </row>
    <row r="1717" spans="1:46" x14ac:dyDescent="0.15">
      <c r="A1717" t="s">
        <v>7087</v>
      </c>
      <c r="B1717" t="s">
        <v>6757</v>
      </c>
      <c r="C1717" t="s">
        <v>6758</v>
      </c>
      <c r="D1717">
        <v>65</v>
      </c>
      <c r="E1717" t="s">
        <v>6759</v>
      </c>
      <c r="F1717" t="s">
        <v>3083</v>
      </c>
      <c r="G1717" t="s">
        <v>51</v>
      </c>
      <c r="H1717" t="s">
        <v>6760</v>
      </c>
      <c r="I1717" t="s">
        <v>1553</v>
      </c>
      <c r="J1717" t="s">
        <v>54</v>
      </c>
      <c r="K1717" t="s">
        <v>3594</v>
      </c>
      <c r="L1717" t="s">
        <v>16</v>
      </c>
      <c r="M1717" t="s">
        <v>18</v>
      </c>
      <c r="N1717">
        <v>4092</v>
      </c>
      <c r="O1717">
        <v>230</v>
      </c>
      <c r="P1717">
        <v>0</v>
      </c>
      <c r="Q1717" t="s">
        <v>7088</v>
      </c>
      <c r="R1717" t="s">
        <v>7089</v>
      </c>
      <c r="S1717" t="s">
        <v>7090</v>
      </c>
      <c r="T1717" t="s">
        <v>7091</v>
      </c>
      <c r="U1717" t="s">
        <v>60</v>
      </c>
      <c r="V1717" t="s">
        <v>61</v>
      </c>
      <c r="W1717">
        <v>3</v>
      </c>
      <c r="X1717">
        <v>0.14000000000000001</v>
      </c>
      <c r="Y1717" t="s">
        <v>275</v>
      </c>
      <c r="Z1717" t="s">
        <v>491</v>
      </c>
      <c r="AA1717">
        <v>3</v>
      </c>
      <c r="AB1717" t="s">
        <v>6761</v>
      </c>
      <c r="AC1717" t="s">
        <v>6762</v>
      </c>
      <c r="AD1717" t="s">
        <v>6763</v>
      </c>
      <c r="AE1717" t="s">
        <v>6764</v>
      </c>
      <c r="AF1717" t="s">
        <v>6765</v>
      </c>
      <c r="AG1717" t="s">
        <v>806</v>
      </c>
      <c r="AH1717" t="s">
        <v>889</v>
      </c>
      <c r="AI1717" t="s">
        <v>889</v>
      </c>
      <c r="AJ1717" t="s">
        <v>66</v>
      </c>
      <c r="AK1717">
        <v>1</v>
      </c>
      <c r="AL1717" t="s">
        <v>6861</v>
      </c>
      <c r="AM1717" t="s">
        <v>6862</v>
      </c>
      <c r="AN1717" t="s">
        <v>6963</v>
      </c>
      <c r="AO1717" t="s">
        <v>66</v>
      </c>
      <c r="AP1717">
        <v>1</v>
      </c>
      <c r="AQ1717" t="s">
        <v>6964</v>
      </c>
      <c r="AR1717" t="s">
        <v>6965</v>
      </c>
      <c r="AS1717" t="s">
        <v>7066</v>
      </c>
      <c r="AT1717" t="s">
        <v>66</v>
      </c>
    </row>
    <row r="1718" spans="1:46" x14ac:dyDescent="0.15">
      <c r="A1718" t="s">
        <v>7092</v>
      </c>
      <c r="B1718" t="s">
        <v>6757</v>
      </c>
      <c r="C1718" t="s">
        <v>6758</v>
      </c>
      <c r="D1718">
        <v>66</v>
      </c>
      <c r="E1718" t="s">
        <v>6759</v>
      </c>
      <c r="F1718" t="s">
        <v>3083</v>
      </c>
      <c r="G1718" t="s">
        <v>51</v>
      </c>
      <c r="H1718" t="s">
        <v>6760</v>
      </c>
      <c r="I1718" t="s">
        <v>1553</v>
      </c>
      <c r="J1718" t="s">
        <v>54</v>
      </c>
      <c r="K1718" t="s">
        <v>3594</v>
      </c>
      <c r="L1718" t="s">
        <v>16</v>
      </c>
      <c r="M1718" t="s">
        <v>18</v>
      </c>
      <c r="N1718">
        <v>4148</v>
      </c>
      <c r="O1718">
        <v>234</v>
      </c>
      <c r="P1718">
        <v>0</v>
      </c>
      <c r="Q1718" t="s">
        <v>7093</v>
      </c>
      <c r="R1718" t="s">
        <v>7094</v>
      </c>
      <c r="S1718" t="s">
        <v>7095</v>
      </c>
      <c r="T1718" t="s">
        <v>7096</v>
      </c>
      <c r="U1718" t="s">
        <v>60</v>
      </c>
      <c r="V1718" t="s">
        <v>61</v>
      </c>
      <c r="W1718">
        <v>3</v>
      </c>
      <c r="X1718">
        <v>0.14000000000000001</v>
      </c>
      <c r="Y1718" t="s">
        <v>497</v>
      </c>
      <c r="Z1718" t="s">
        <v>498</v>
      </c>
      <c r="AA1718">
        <v>3</v>
      </c>
      <c r="AB1718" t="s">
        <v>6761</v>
      </c>
      <c r="AC1718" t="s">
        <v>6762</v>
      </c>
      <c r="AD1718" t="s">
        <v>6763</v>
      </c>
      <c r="AE1718" t="s">
        <v>6764</v>
      </c>
      <c r="AF1718" t="s">
        <v>6765</v>
      </c>
      <c r="AG1718" t="s">
        <v>806</v>
      </c>
      <c r="AH1718" t="s">
        <v>889</v>
      </c>
      <c r="AI1718" t="s">
        <v>889</v>
      </c>
      <c r="AJ1718" t="s">
        <v>66</v>
      </c>
      <c r="AK1718">
        <v>1</v>
      </c>
      <c r="AL1718" t="s">
        <v>6861</v>
      </c>
      <c r="AM1718" t="s">
        <v>6862</v>
      </c>
      <c r="AN1718" t="s">
        <v>6963</v>
      </c>
      <c r="AO1718" t="s">
        <v>66</v>
      </c>
      <c r="AP1718">
        <v>1</v>
      </c>
      <c r="AQ1718" t="s">
        <v>6964</v>
      </c>
      <c r="AR1718" t="s">
        <v>6965</v>
      </c>
      <c r="AS1718" t="s">
        <v>7066</v>
      </c>
      <c r="AT1718" t="s">
        <v>66</v>
      </c>
    </row>
    <row r="1719" spans="1:46" x14ac:dyDescent="0.15">
      <c r="A1719" t="s">
        <v>7097</v>
      </c>
      <c r="B1719" t="s">
        <v>6757</v>
      </c>
      <c r="C1719" t="s">
        <v>6758</v>
      </c>
      <c r="D1719">
        <v>67</v>
      </c>
      <c r="E1719" t="s">
        <v>6759</v>
      </c>
      <c r="F1719" t="s">
        <v>3083</v>
      </c>
      <c r="G1719" t="s">
        <v>51</v>
      </c>
      <c r="H1719" t="s">
        <v>6760</v>
      </c>
      <c r="I1719" t="s">
        <v>1553</v>
      </c>
      <c r="J1719" t="s">
        <v>54</v>
      </c>
      <c r="K1719" t="s">
        <v>3594</v>
      </c>
      <c r="L1719" t="s">
        <v>16</v>
      </c>
      <c r="M1719" t="s">
        <v>18</v>
      </c>
      <c r="N1719">
        <v>4204</v>
      </c>
      <c r="O1719">
        <v>237</v>
      </c>
      <c r="P1719">
        <v>0</v>
      </c>
      <c r="Q1719" t="s">
        <v>7098</v>
      </c>
      <c r="R1719" t="s">
        <v>7099</v>
      </c>
      <c r="S1719" t="s">
        <v>7100</v>
      </c>
      <c r="T1719" t="s">
        <v>7101</v>
      </c>
      <c r="U1719" t="s">
        <v>60</v>
      </c>
      <c r="V1719" t="s">
        <v>61</v>
      </c>
      <c r="W1719">
        <v>3</v>
      </c>
      <c r="X1719">
        <v>0.14000000000000001</v>
      </c>
      <c r="Y1719" t="s">
        <v>282</v>
      </c>
      <c r="Z1719" t="s">
        <v>504</v>
      </c>
      <c r="AA1719">
        <v>3</v>
      </c>
      <c r="AB1719" t="s">
        <v>6761</v>
      </c>
      <c r="AC1719" t="s">
        <v>6762</v>
      </c>
      <c r="AD1719" t="s">
        <v>6763</v>
      </c>
      <c r="AE1719" t="s">
        <v>6764</v>
      </c>
      <c r="AF1719" t="s">
        <v>6765</v>
      </c>
      <c r="AG1719" t="s">
        <v>806</v>
      </c>
      <c r="AH1719" t="s">
        <v>889</v>
      </c>
      <c r="AI1719" t="s">
        <v>889</v>
      </c>
      <c r="AJ1719" t="s">
        <v>66</v>
      </c>
      <c r="AK1719">
        <v>1</v>
      </c>
      <c r="AL1719" t="s">
        <v>6861</v>
      </c>
      <c r="AM1719" t="s">
        <v>6862</v>
      </c>
      <c r="AN1719" t="s">
        <v>6963</v>
      </c>
      <c r="AO1719" t="s">
        <v>66</v>
      </c>
      <c r="AP1719">
        <v>1</v>
      </c>
      <c r="AQ1719" t="s">
        <v>6964</v>
      </c>
      <c r="AR1719" t="s">
        <v>6965</v>
      </c>
      <c r="AS1719" t="s">
        <v>7066</v>
      </c>
      <c r="AT1719" t="s">
        <v>66</v>
      </c>
    </row>
    <row r="1720" spans="1:46" x14ac:dyDescent="0.15">
      <c r="A1720" t="s">
        <v>7102</v>
      </c>
      <c r="B1720" t="s">
        <v>6757</v>
      </c>
      <c r="C1720" t="s">
        <v>6758</v>
      </c>
      <c r="D1720">
        <v>68</v>
      </c>
      <c r="E1720" t="s">
        <v>6759</v>
      </c>
      <c r="F1720" t="s">
        <v>3083</v>
      </c>
      <c r="G1720" t="s">
        <v>51</v>
      </c>
      <c r="H1720" t="s">
        <v>6760</v>
      </c>
      <c r="I1720" t="s">
        <v>1553</v>
      </c>
      <c r="J1720" t="s">
        <v>54</v>
      </c>
      <c r="K1720" t="s">
        <v>3594</v>
      </c>
      <c r="L1720" t="s">
        <v>16</v>
      </c>
      <c r="M1720" t="s">
        <v>18</v>
      </c>
      <c r="N1720">
        <v>4260</v>
      </c>
      <c r="O1720">
        <v>240</v>
      </c>
      <c r="P1720">
        <v>0</v>
      </c>
      <c r="Q1720" t="s">
        <v>7103</v>
      </c>
      <c r="R1720" t="s">
        <v>7104</v>
      </c>
      <c r="S1720" t="s">
        <v>7105</v>
      </c>
      <c r="T1720" t="s">
        <v>7106</v>
      </c>
      <c r="U1720" t="s">
        <v>60</v>
      </c>
      <c r="V1720" t="s">
        <v>61</v>
      </c>
      <c r="W1720">
        <v>3</v>
      </c>
      <c r="X1720">
        <v>0.14000000000000001</v>
      </c>
      <c r="Y1720" t="s">
        <v>510</v>
      </c>
      <c r="Z1720" t="s">
        <v>511</v>
      </c>
      <c r="AA1720">
        <v>3</v>
      </c>
      <c r="AB1720" t="s">
        <v>6761</v>
      </c>
      <c r="AC1720" t="s">
        <v>6762</v>
      </c>
      <c r="AD1720" t="s">
        <v>6763</v>
      </c>
      <c r="AE1720" t="s">
        <v>6764</v>
      </c>
      <c r="AF1720" t="s">
        <v>6765</v>
      </c>
      <c r="AG1720" t="s">
        <v>806</v>
      </c>
      <c r="AH1720" t="s">
        <v>889</v>
      </c>
      <c r="AI1720" t="s">
        <v>889</v>
      </c>
      <c r="AJ1720" t="s">
        <v>66</v>
      </c>
      <c r="AK1720">
        <v>1</v>
      </c>
      <c r="AL1720" t="s">
        <v>6861</v>
      </c>
      <c r="AM1720" t="s">
        <v>6862</v>
      </c>
      <c r="AN1720" t="s">
        <v>6963</v>
      </c>
      <c r="AO1720" t="s">
        <v>66</v>
      </c>
      <c r="AP1720">
        <v>1</v>
      </c>
      <c r="AQ1720" t="s">
        <v>6964</v>
      </c>
      <c r="AR1720" t="s">
        <v>6965</v>
      </c>
      <c r="AS1720" t="s">
        <v>7066</v>
      </c>
      <c r="AT1720" t="s">
        <v>66</v>
      </c>
    </row>
    <row r="1721" spans="1:46" x14ac:dyDescent="0.15">
      <c r="A1721" t="s">
        <v>7107</v>
      </c>
      <c r="B1721" t="s">
        <v>6757</v>
      </c>
      <c r="C1721" t="s">
        <v>6758</v>
      </c>
      <c r="D1721">
        <v>69</v>
      </c>
      <c r="E1721" t="s">
        <v>6759</v>
      </c>
      <c r="F1721" t="s">
        <v>3083</v>
      </c>
      <c r="G1721" t="s">
        <v>51</v>
      </c>
      <c r="H1721" t="s">
        <v>6760</v>
      </c>
      <c r="I1721" t="s">
        <v>1553</v>
      </c>
      <c r="J1721" t="s">
        <v>54</v>
      </c>
      <c r="K1721" t="s">
        <v>3594</v>
      </c>
      <c r="L1721" t="s">
        <v>16</v>
      </c>
      <c r="M1721" t="s">
        <v>18</v>
      </c>
      <c r="N1721">
        <v>4316</v>
      </c>
      <c r="O1721">
        <v>243</v>
      </c>
      <c r="P1721">
        <v>0</v>
      </c>
      <c r="Q1721" t="s">
        <v>7108</v>
      </c>
      <c r="R1721" t="s">
        <v>7109</v>
      </c>
      <c r="S1721" t="s">
        <v>7110</v>
      </c>
      <c r="T1721" t="s">
        <v>7111</v>
      </c>
      <c r="U1721" t="s">
        <v>60</v>
      </c>
      <c r="V1721" t="s">
        <v>61</v>
      </c>
      <c r="W1721">
        <v>3</v>
      </c>
      <c r="X1721">
        <v>0.14000000000000001</v>
      </c>
      <c r="Y1721" t="s">
        <v>288</v>
      </c>
      <c r="Z1721" t="s">
        <v>517</v>
      </c>
      <c r="AA1721">
        <v>3</v>
      </c>
      <c r="AB1721" t="s">
        <v>6761</v>
      </c>
      <c r="AC1721" t="s">
        <v>6762</v>
      </c>
      <c r="AD1721" t="s">
        <v>6763</v>
      </c>
      <c r="AE1721" t="s">
        <v>6764</v>
      </c>
      <c r="AF1721" t="s">
        <v>6765</v>
      </c>
      <c r="AG1721" t="s">
        <v>806</v>
      </c>
      <c r="AH1721" t="s">
        <v>889</v>
      </c>
      <c r="AI1721" t="s">
        <v>889</v>
      </c>
      <c r="AJ1721" t="s">
        <v>66</v>
      </c>
      <c r="AK1721">
        <v>1</v>
      </c>
      <c r="AL1721" t="s">
        <v>6861</v>
      </c>
      <c r="AM1721" t="s">
        <v>6862</v>
      </c>
      <c r="AN1721" t="s">
        <v>6963</v>
      </c>
      <c r="AO1721" t="s">
        <v>66</v>
      </c>
      <c r="AP1721">
        <v>1</v>
      </c>
      <c r="AQ1721" t="s">
        <v>6964</v>
      </c>
      <c r="AR1721" t="s">
        <v>6965</v>
      </c>
      <c r="AS1721" t="s">
        <v>7066</v>
      </c>
      <c r="AT1721" t="s">
        <v>66</v>
      </c>
    </row>
    <row r="1722" spans="1:46" x14ac:dyDescent="0.15">
      <c r="A1722" t="s">
        <v>7112</v>
      </c>
      <c r="B1722" t="s">
        <v>6757</v>
      </c>
      <c r="C1722" t="s">
        <v>6758</v>
      </c>
      <c r="D1722">
        <v>70</v>
      </c>
      <c r="E1722" t="s">
        <v>6759</v>
      </c>
      <c r="F1722" t="s">
        <v>3083</v>
      </c>
      <c r="G1722" t="s">
        <v>51</v>
      </c>
      <c r="H1722" t="s">
        <v>6760</v>
      </c>
      <c r="I1722" t="s">
        <v>1553</v>
      </c>
      <c r="J1722" t="s">
        <v>54</v>
      </c>
      <c r="K1722" t="s">
        <v>3594</v>
      </c>
      <c r="L1722" t="s">
        <v>16</v>
      </c>
      <c r="M1722" t="s">
        <v>18</v>
      </c>
      <c r="N1722">
        <v>4372</v>
      </c>
      <c r="O1722">
        <v>246</v>
      </c>
      <c r="P1722">
        <v>0</v>
      </c>
      <c r="Q1722" t="s">
        <v>7113</v>
      </c>
      <c r="R1722" t="s">
        <v>7114</v>
      </c>
      <c r="S1722" t="s">
        <v>7115</v>
      </c>
      <c r="T1722" t="s">
        <v>7116</v>
      </c>
      <c r="U1722" t="s">
        <v>60</v>
      </c>
      <c r="V1722" t="s">
        <v>61</v>
      </c>
      <c r="W1722">
        <v>3</v>
      </c>
      <c r="X1722">
        <v>0.14000000000000001</v>
      </c>
      <c r="Y1722" t="s">
        <v>523</v>
      </c>
      <c r="Z1722" t="s">
        <v>524</v>
      </c>
      <c r="AA1722">
        <v>3</v>
      </c>
      <c r="AB1722" t="s">
        <v>6761</v>
      </c>
      <c r="AC1722" t="s">
        <v>6762</v>
      </c>
      <c r="AD1722" t="s">
        <v>6763</v>
      </c>
      <c r="AE1722" t="s">
        <v>6764</v>
      </c>
      <c r="AF1722" t="s">
        <v>6765</v>
      </c>
      <c r="AG1722" t="s">
        <v>806</v>
      </c>
      <c r="AH1722" t="s">
        <v>889</v>
      </c>
      <c r="AI1722" t="s">
        <v>889</v>
      </c>
      <c r="AJ1722" t="s">
        <v>66</v>
      </c>
      <c r="AK1722">
        <v>1</v>
      </c>
      <c r="AL1722" t="s">
        <v>6861</v>
      </c>
      <c r="AM1722" t="s">
        <v>6862</v>
      </c>
      <c r="AN1722" t="s">
        <v>6963</v>
      </c>
      <c r="AO1722" t="s">
        <v>66</v>
      </c>
      <c r="AP1722">
        <v>1</v>
      </c>
      <c r="AQ1722" t="s">
        <v>6964</v>
      </c>
      <c r="AR1722" t="s">
        <v>6965</v>
      </c>
      <c r="AS1722" t="s">
        <v>7066</v>
      </c>
      <c r="AT1722" t="s">
        <v>66</v>
      </c>
    </row>
    <row r="1723" spans="1:46" x14ac:dyDescent="0.15">
      <c r="A1723" t="s">
        <v>7117</v>
      </c>
      <c r="B1723" t="s">
        <v>6757</v>
      </c>
      <c r="C1723" t="s">
        <v>6758</v>
      </c>
      <c r="D1723">
        <v>71</v>
      </c>
      <c r="E1723" t="s">
        <v>6759</v>
      </c>
      <c r="F1723" t="s">
        <v>3083</v>
      </c>
      <c r="G1723" t="s">
        <v>51</v>
      </c>
      <c r="H1723" t="s">
        <v>6760</v>
      </c>
      <c r="I1723" t="s">
        <v>1553</v>
      </c>
      <c r="J1723" t="s">
        <v>54</v>
      </c>
      <c r="K1723" t="s">
        <v>3594</v>
      </c>
      <c r="L1723" t="s">
        <v>16</v>
      </c>
      <c r="M1723" t="s">
        <v>18</v>
      </c>
      <c r="N1723">
        <v>4429</v>
      </c>
      <c r="O1723">
        <v>249</v>
      </c>
      <c r="P1723">
        <v>0</v>
      </c>
      <c r="Q1723" t="s">
        <v>7118</v>
      </c>
      <c r="R1723" t="s">
        <v>7119</v>
      </c>
      <c r="S1723" t="s">
        <v>7120</v>
      </c>
      <c r="T1723" t="s">
        <v>7121</v>
      </c>
      <c r="U1723" t="s">
        <v>60</v>
      </c>
      <c r="V1723" t="s">
        <v>61</v>
      </c>
      <c r="W1723">
        <v>3</v>
      </c>
      <c r="X1723">
        <v>0.14000000000000001</v>
      </c>
      <c r="Y1723" t="s">
        <v>295</v>
      </c>
      <c r="Z1723" t="s">
        <v>530</v>
      </c>
      <c r="AA1723">
        <v>3</v>
      </c>
      <c r="AB1723" t="s">
        <v>6761</v>
      </c>
      <c r="AC1723" t="s">
        <v>6762</v>
      </c>
      <c r="AD1723" t="s">
        <v>6763</v>
      </c>
      <c r="AE1723" t="s">
        <v>6764</v>
      </c>
      <c r="AF1723" t="s">
        <v>6765</v>
      </c>
      <c r="AG1723" t="s">
        <v>806</v>
      </c>
      <c r="AH1723" t="s">
        <v>889</v>
      </c>
      <c r="AI1723" t="s">
        <v>889</v>
      </c>
      <c r="AJ1723" t="s">
        <v>66</v>
      </c>
      <c r="AK1723">
        <v>1</v>
      </c>
      <c r="AL1723" t="s">
        <v>6861</v>
      </c>
      <c r="AM1723" t="s">
        <v>6862</v>
      </c>
      <c r="AN1723" t="s">
        <v>6963</v>
      </c>
      <c r="AO1723" t="s">
        <v>66</v>
      </c>
      <c r="AP1723">
        <v>1</v>
      </c>
      <c r="AQ1723" t="s">
        <v>6964</v>
      </c>
      <c r="AR1723" t="s">
        <v>6965</v>
      </c>
      <c r="AS1723" t="s">
        <v>7066</v>
      </c>
      <c r="AT1723" t="s">
        <v>66</v>
      </c>
    </row>
    <row r="1724" spans="1:46" x14ac:dyDescent="0.15">
      <c r="A1724" t="s">
        <v>7122</v>
      </c>
      <c r="B1724" t="s">
        <v>6757</v>
      </c>
      <c r="C1724" t="s">
        <v>6758</v>
      </c>
      <c r="D1724">
        <v>72</v>
      </c>
      <c r="E1724" t="s">
        <v>6759</v>
      </c>
      <c r="F1724" t="s">
        <v>3083</v>
      </c>
      <c r="G1724" t="s">
        <v>51</v>
      </c>
      <c r="H1724" t="s">
        <v>6760</v>
      </c>
      <c r="I1724" t="s">
        <v>1553</v>
      </c>
      <c r="J1724" t="s">
        <v>54</v>
      </c>
      <c r="K1724" t="s">
        <v>3594</v>
      </c>
      <c r="L1724" t="s">
        <v>16</v>
      </c>
      <c r="M1724" t="s">
        <v>18</v>
      </c>
      <c r="N1724">
        <v>4485</v>
      </c>
      <c r="O1724">
        <v>252</v>
      </c>
      <c r="P1724">
        <v>0</v>
      </c>
      <c r="Q1724" t="s">
        <v>7123</v>
      </c>
      <c r="R1724" t="s">
        <v>7124</v>
      </c>
      <c r="S1724" t="s">
        <v>7125</v>
      </c>
      <c r="T1724" t="s">
        <v>7126</v>
      </c>
      <c r="U1724" t="s">
        <v>60</v>
      </c>
      <c r="V1724" t="s">
        <v>61</v>
      </c>
      <c r="W1724">
        <v>3</v>
      </c>
      <c r="X1724">
        <v>0.14000000000000001</v>
      </c>
      <c r="Y1724" t="s">
        <v>536</v>
      </c>
      <c r="Z1724" t="s">
        <v>537</v>
      </c>
      <c r="AA1724">
        <v>3</v>
      </c>
      <c r="AB1724" t="s">
        <v>6761</v>
      </c>
      <c r="AC1724" t="s">
        <v>6762</v>
      </c>
      <c r="AD1724" t="s">
        <v>6763</v>
      </c>
      <c r="AE1724" t="s">
        <v>6764</v>
      </c>
      <c r="AF1724" t="s">
        <v>6765</v>
      </c>
      <c r="AG1724" t="s">
        <v>806</v>
      </c>
      <c r="AH1724" t="s">
        <v>889</v>
      </c>
      <c r="AI1724" t="s">
        <v>889</v>
      </c>
      <c r="AJ1724" t="s">
        <v>66</v>
      </c>
      <c r="AK1724">
        <v>1</v>
      </c>
      <c r="AL1724" t="s">
        <v>6861</v>
      </c>
      <c r="AM1724" t="s">
        <v>6862</v>
      </c>
      <c r="AN1724" t="s">
        <v>6963</v>
      </c>
      <c r="AO1724" t="s">
        <v>66</v>
      </c>
      <c r="AP1724">
        <v>1</v>
      </c>
      <c r="AQ1724" t="s">
        <v>6964</v>
      </c>
      <c r="AR1724" t="s">
        <v>6965</v>
      </c>
      <c r="AS1724" t="s">
        <v>7066</v>
      </c>
      <c r="AT1724" t="s">
        <v>66</v>
      </c>
    </row>
    <row r="1725" spans="1:46" x14ac:dyDescent="0.15">
      <c r="A1725" t="s">
        <v>7127</v>
      </c>
      <c r="B1725" t="s">
        <v>6757</v>
      </c>
      <c r="C1725" t="s">
        <v>6758</v>
      </c>
      <c r="D1725">
        <v>73</v>
      </c>
      <c r="E1725" t="s">
        <v>6759</v>
      </c>
      <c r="F1725" t="s">
        <v>3083</v>
      </c>
      <c r="G1725" t="s">
        <v>51</v>
      </c>
      <c r="H1725" t="s">
        <v>6760</v>
      </c>
      <c r="I1725" t="s">
        <v>1553</v>
      </c>
      <c r="J1725" t="s">
        <v>54</v>
      </c>
      <c r="K1725" t="s">
        <v>3594</v>
      </c>
      <c r="L1725" t="s">
        <v>16</v>
      </c>
      <c r="M1725" t="s">
        <v>18</v>
      </c>
      <c r="N1725">
        <v>4541</v>
      </c>
      <c r="O1725">
        <v>256</v>
      </c>
      <c r="P1725">
        <v>0</v>
      </c>
      <c r="Q1725" t="s">
        <v>7128</v>
      </c>
      <c r="R1725" t="s">
        <v>7129</v>
      </c>
      <c r="S1725" t="s">
        <v>7130</v>
      </c>
      <c r="T1725" t="s">
        <v>7131</v>
      </c>
      <c r="U1725" t="s">
        <v>60</v>
      </c>
      <c r="V1725" t="s">
        <v>61</v>
      </c>
      <c r="W1725">
        <v>3</v>
      </c>
      <c r="X1725">
        <v>0.14000000000000001</v>
      </c>
      <c r="Y1725" t="s">
        <v>301</v>
      </c>
      <c r="Z1725" t="s">
        <v>543</v>
      </c>
      <c r="AA1725">
        <v>3</v>
      </c>
      <c r="AB1725" t="s">
        <v>6761</v>
      </c>
      <c r="AC1725" t="s">
        <v>6762</v>
      </c>
      <c r="AD1725" t="s">
        <v>6763</v>
      </c>
      <c r="AE1725" t="s">
        <v>6764</v>
      </c>
      <c r="AF1725" t="s">
        <v>6765</v>
      </c>
      <c r="AG1725" t="s">
        <v>806</v>
      </c>
      <c r="AH1725" t="s">
        <v>889</v>
      </c>
      <c r="AI1725" t="s">
        <v>889</v>
      </c>
      <c r="AJ1725" t="s">
        <v>66</v>
      </c>
      <c r="AK1725">
        <v>1</v>
      </c>
      <c r="AL1725" t="s">
        <v>6861</v>
      </c>
      <c r="AM1725" t="s">
        <v>6862</v>
      </c>
      <c r="AN1725" t="s">
        <v>6963</v>
      </c>
      <c r="AO1725" t="s">
        <v>66</v>
      </c>
      <c r="AP1725">
        <v>1</v>
      </c>
      <c r="AQ1725" t="s">
        <v>6964</v>
      </c>
      <c r="AR1725" t="s">
        <v>6965</v>
      </c>
      <c r="AS1725" t="s">
        <v>7066</v>
      </c>
      <c r="AT1725" t="s">
        <v>66</v>
      </c>
    </row>
    <row r="1726" spans="1:46" x14ac:dyDescent="0.15">
      <c r="A1726" t="s">
        <v>7132</v>
      </c>
      <c r="B1726" t="s">
        <v>6757</v>
      </c>
      <c r="C1726" t="s">
        <v>6758</v>
      </c>
      <c r="D1726">
        <v>74</v>
      </c>
      <c r="E1726" t="s">
        <v>6759</v>
      </c>
      <c r="F1726" t="s">
        <v>3083</v>
      </c>
      <c r="G1726" t="s">
        <v>51</v>
      </c>
      <c r="H1726" t="s">
        <v>6760</v>
      </c>
      <c r="I1726" t="s">
        <v>1553</v>
      </c>
      <c r="J1726" t="s">
        <v>54</v>
      </c>
      <c r="K1726" t="s">
        <v>3594</v>
      </c>
      <c r="L1726" t="s">
        <v>16</v>
      </c>
      <c r="M1726" t="s">
        <v>18</v>
      </c>
      <c r="N1726">
        <v>4597</v>
      </c>
      <c r="O1726">
        <v>259</v>
      </c>
      <c r="P1726">
        <v>0</v>
      </c>
      <c r="Q1726" t="s">
        <v>7133</v>
      </c>
      <c r="R1726" t="s">
        <v>7134</v>
      </c>
      <c r="S1726" t="s">
        <v>7135</v>
      </c>
      <c r="T1726" t="s">
        <v>7136</v>
      </c>
      <c r="U1726" t="s">
        <v>60</v>
      </c>
      <c r="V1726" t="s">
        <v>61</v>
      </c>
      <c r="W1726">
        <v>3</v>
      </c>
      <c r="X1726">
        <v>0.14000000000000001</v>
      </c>
      <c r="Y1726" t="s">
        <v>549</v>
      </c>
      <c r="Z1726" t="s">
        <v>550</v>
      </c>
      <c r="AA1726">
        <v>3</v>
      </c>
      <c r="AB1726" t="s">
        <v>6761</v>
      </c>
      <c r="AC1726" t="s">
        <v>6762</v>
      </c>
      <c r="AD1726" t="s">
        <v>6763</v>
      </c>
      <c r="AE1726" t="s">
        <v>6764</v>
      </c>
      <c r="AF1726" t="s">
        <v>6765</v>
      </c>
      <c r="AG1726" t="s">
        <v>806</v>
      </c>
      <c r="AH1726" t="s">
        <v>889</v>
      </c>
      <c r="AI1726" t="s">
        <v>889</v>
      </c>
      <c r="AJ1726" t="s">
        <v>66</v>
      </c>
      <c r="AK1726">
        <v>1</v>
      </c>
      <c r="AL1726" t="s">
        <v>6861</v>
      </c>
      <c r="AM1726" t="s">
        <v>6862</v>
      </c>
      <c r="AN1726" t="s">
        <v>6963</v>
      </c>
      <c r="AO1726" t="s">
        <v>66</v>
      </c>
      <c r="AP1726">
        <v>1</v>
      </c>
      <c r="AQ1726" t="s">
        <v>6964</v>
      </c>
      <c r="AR1726" t="s">
        <v>6965</v>
      </c>
      <c r="AS1726" t="s">
        <v>7066</v>
      </c>
      <c r="AT1726" t="s">
        <v>66</v>
      </c>
    </row>
    <row r="1727" spans="1:46" x14ac:dyDescent="0.15">
      <c r="A1727" t="s">
        <v>7137</v>
      </c>
      <c r="B1727" t="s">
        <v>6757</v>
      </c>
      <c r="C1727" t="s">
        <v>6758</v>
      </c>
      <c r="D1727">
        <v>75</v>
      </c>
      <c r="E1727" t="s">
        <v>6759</v>
      </c>
      <c r="F1727" t="s">
        <v>3083</v>
      </c>
      <c r="G1727" t="s">
        <v>51</v>
      </c>
      <c r="H1727" t="s">
        <v>6760</v>
      </c>
      <c r="I1727" t="s">
        <v>1553</v>
      </c>
      <c r="J1727" t="s">
        <v>54</v>
      </c>
      <c r="K1727" t="s">
        <v>3594</v>
      </c>
      <c r="L1727" t="s">
        <v>16</v>
      </c>
      <c r="M1727" t="s">
        <v>18</v>
      </c>
      <c r="N1727">
        <v>4653</v>
      </c>
      <c r="O1727">
        <v>262</v>
      </c>
      <c r="P1727">
        <v>0</v>
      </c>
      <c r="Q1727" t="s">
        <v>7138</v>
      </c>
      <c r="R1727" t="s">
        <v>7139</v>
      </c>
      <c r="S1727" t="s">
        <v>7140</v>
      </c>
      <c r="T1727" t="s">
        <v>7141</v>
      </c>
      <c r="U1727" t="s">
        <v>60</v>
      </c>
      <c r="V1727" t="s">
        <v>61</v>
      </c>
      <c r="W1727">
        <v>3</v>
      </c>
      <c r="X1727">
        <v>0.14000000000000001</v>
      </c>
      <c r="Y1727" t="s">
        <v>308</v>
      </c>
      <c r="Z1727" t="s">
        <v>556</v>
      </c>
      <c r="AA1727">
        <v>3</v>
      </c>
      <c r="AB1727" t="s">
        <v>6761</v>
      </c>
      <c r="AC1727" t="s">
        <v>6762</v>
      </c>
      <c r="AD1727" t="s">
        <v>6763</v>
      </c>
      <c r="AE1727" t="s">
        <v>6764</v>
      </c>
      <c r="AF1727" t="s">
        <v>6765</v>
      </c>
      <c r="AG1727" t="s">
        <v>806</v>
      </c>
      <c r="AH1727" t="s">
        <v>889</v>
      </c>
      <c r="AI1727" t="s">
        <v>889</v>
      </c>
      <c r="AJ1727" t="s">
        <v>66</v>
      </c>
      <c r="AK1727">
        <v>1</v>
      </c>
      <c r="AL1727" t="s">
        <v>6861</v>
      </c>
      <c r="AM1727" t="s">
        <v>6862</v>
      </c>
      <c r="AN1727" t="s">
        <v>6963</v>
      </c>
      <c r="AO1727" t="s">
        <v>66</v>
      </c>
      <c r="AP1727">
        <v>1</v>
      </c>
      <c r="AQ1727" t="s">
        <v>6964</v>
      </c>
      <c r="AR1727" t="s">
        <v>6965</v>
      </c>
      <c r="AS1727" t="s">
        <v>7066</v>
      </c>
      <c r="AT1727" t="s">
        <v>66</v>
      </c>
    </row>
    <row r="1728" spans="1:46" x14ac:dyDescent="0.15">
      <c r="A1728" t="s">
        <v>7142</v>
      </c>
      <c r="B1728" t="s">
        <v>6757</v>
      </c>
      <c r="C1728" t="s">
        <v>6758</v>
      </c>
      <c r="D1728">
        <v>76</v>
      </c>
      <c r="E1728" t="s">
        <v>6759</v>
      </c>
      <c r="F1728" t="s">
        <v>3083</v>
      </c>
      <c r="G1728" t="s">
        <v>51</v>
      </c>
      <c r="H1728" t="s">
        <v>6760</v>
      </c>
      <c r="I1728" t="s">
        <v>1553</v>
      </c>
      <c r="J1728" t="s">
        <v>54</v>
      </c>
      <c r="K1728" t="s">
        <v>3594</v>
      </c>
      <c r="L1728" t="s">
        <v>16</v>
      </c>
      <c r="M1728" t="s">
        <v>18</v>
      </c>
      <c r="N1728">
        <v>4709</v>
      </c>
      <c r="O1728">
        <v>265</v>
      </c>
      <c r="P1728">
        <v>0</v>
      </c>
      <c r="Q1728" t="s">
        <v>7143</v>
      </c>
      <c r="R1728" t="s">
        <v>7144</v>
      </c>
      <c r="S1728" t="s">
        <v>7145</v>
      </c>
      <c r="T1728" t="s">
        <v>7146</v>
      </c>
      <c r="U1728" t="s">
        <v>60</v>
      </c>
      <c r="V1728" t="s">
        <v>61</v>
      </c>
      <c r="W1728">
        <v>3</v>
      </c>
      <c r="X1728">
        <v>0.14000000000000001</v>
      </c>
      <c r="Y1728" t="s">
        <v>562</v>
      </c>
      <c r="Z1728" t="s">
        <v>563</v>
      </c>
      <c r="AA1728">
        <v>3</v>
      </c>
      <c r="AB1728" t="s">
        <v>6761</v>
      </c>
      <c r="AC1728" t="s">
        <v>6762</v>
      </c>
      <c r="AD1728" t="s">
        <v>6763</v>
      </c>
      <c r="AE1728" t="s">
        <v>6764</v>
      </c>
      <c r="AF1728" t="s">
        <v>6765</v>
      </c>
      <c r="AG1728" t="s">
        <v>806</v>
      </c>
      <c r="AH1728" t="s">
        <v>889</v>
      </c>
      <c r="AI1728" t="s">
        <v>889</v>
      </c>
      <c r="AJ1728" t="s">
        <v>66</v>
      </c>
      <c r="AK1728">
        <v>1</v>
      </c>
      <c r="AL1728" t="s">
        <v>6861</v>
      </c>
      <c r="AM1728" t="s">
        <v>6862</v>
      </c>
      <c r="AN1728" t="s">
        <v>6963</v>
      </c>
      <c r="AO1728" t="s">
        <v>66</v>
      </c>
      <c r="AP1728">
        <v>1</v>
      </c>
      <c r="AQ1728" t="s">
        <v>6964</v>
      </c>
      <c r="AR1728" t="s">
        <v>6965</v>
      </c>
      <c r="AS1728" t="s">
        <v>7066</v>
      </c>
      <c r="AT1728" t="s">
        <v>66</v>
      </c>
    </row>
    <row r="1729" spans="1:46" x14ac:dyDescent="0.15">
      <c r="A1729" t="s">
        <v>7147</v>
      </c>
      <c r="B1729" t="s">
        <v>6757</v>
      </c>
      <c r="C1729" t="s">
        <v>6758</v>
      </c>
      <c r="D1729">
        <v>77</v>
      </c>
      <c r="E1729" t="s">
        <v>6759</v>
      </c>
      <c r="F1729" t="s">
        <v>3083</v>
      </c>
      <c r="G1729" t="s">
        <v>51</v>
      </c>
      <c r="H1729" t="s">
        <v>6760</v>
      </c>
      <c r="I1729" t="s">
        <v>1553</v>
      </c>
      <c r="J1729" t="s">
        <v>54</v>
      </c>
      <c r="K1729" t="s">
        <v>3594</v>
      </c>
      <c r="L1729" t="s">
        <v>16</v>
      </c>
      <c r="M1729" t="s">
        <v>18</v>
      </c>
      <c r="N1729">
        <v>4765</v>
      </c>
      <c r="O1729">
        <v>268</v>
      </c>
      <c r="P1729">
        <v>0</v>
      </c>
      <c r="Q1729" t="s">
        <v>7148</v>
      </c>
      <c r="R1729" t="s">
        <v>7149</v>
      </c>
      <c r="S1729" t="s">
        <v>7150</v>
      </c>
      <c r="T1729" t="s">
        <v>7151</v>
      </c>
      <c r="U1729" t="s">
        <v>60</v>
      </c>
      <c r="V1729" t="s">
        <v>61</v>
      </c>
      <c r="W1729">
        <v>3</v>
      </c>
      <c r="X1729">
        <v>0.14000000000000001</v>
      </c>
      <c r="Y1729" t="s">
        <v>314</v>
      </c>
      <c r="Z1729" t="s">
        <v>569</v>
      </c>
      <c r="AA1729">
        <v>3</v>
      </c>
      <c r="AB1729" t="s">
        <v>6761</v>
      </c>
      <c r="AC1729" t="s">
        <v>6762</v>
      </c>
      <c r="AD1729" t="s">
        <v>6763</v>
      </c>
      <c r="AE1729" t="s">
        <v>6764</v>
      </c>
      <c r="AF1729" t="s">
        <v>6765</v>
      </c>
      <c r="AG1729" t="s">
        <v>806</v>
      </c>
      <c r="AH1729" t="s">
        <v>889</v>
      </c>
      <c r="AI1729" t="s">
        <v>889</v>
      </c>
      <c r="AJ1729" t="s">
        <v>66</v>
      </c>
      <c r="AK1729">
        <v>1</v>
      </c>
      <c r="AL1729" t="s">
        <v>6861</v>
      </c>
      <c r="AM1729" t="s">
        <v>6862</v>
      </c>
      <c r="AN1729" t="s">
        <v>6963</v>
      </c>
      <c r="AO1729" t="s">
        <v>66</v>
      </c>
      <c r="AP1729">
        <v>1</v>
      </c>
      <c r="AQ1729" t="s">
        <v>6964</v>
      </c>
      <c r="AR1729" t="s">
        <v>6965</v>
      </c>
      <c r="AS1729" t="s">
        <v>7066</v>
      </c>
      <c r="AT1729" t="s">
        <v>66</v>
      </c>
    </row>
    <row r="1730" spans="1:46" x14ac:dyDescent="0.15">
      <c r="A1730" t="s">
        <v>7152</v>
      </c>
      <c r="B1730" t="s">
        <v>6757</v>
      </c>
      <c r="C1730" t="s">
        <v>6758</v>
      </c>
      <c r="D1730">
        <v>78</v>
      </c>
      <c r="E1730" t="s">
        <v>6759</v>
      </c>
      <c r="F1730" t="s">
        <v>3083</v>
      </c>
      <c r="G1730" t="s">
        <v>51</v>
      </c>
      <c r="H1730" t="s">
        <v>6760</v>
      </c>
      <c r="I1730" t="s">
        <v>1553</v>
      </c>
      <c r="J1730" t="s">
        <v>54</v>
      </c>
      <c r="K1730" t="s">
        <v>3594</v>
      </c>
      <c r="L1730" t="s">
        <v>16</v>
      </c>
      <c r="M1730" t="s">
        <v>18</v>
      </c>
      <c r="N1730">
        <v>4821</v>
      </c>
      <c r="O1730">
        <v>271</v>
      </c>
      <c r="P1730">
        <v>0</v>
      </c>
      <c r="Q1730" t="s">
        <v>7153</v>
      </c>
      <c r="R1730" t="s">
        <v>7154</v>
      </c>
      <c r="S1730" t="s">
        <v>7155</v>
      </c>
      <c r="T1730" t="s">
        <v>7156</v>
      </c>
      <c r="U1730" t="s">
        <v>60</v>
      </c>
      <c r="V1730" t="s">
        <v>61</v>
      </c>
      <c r="W1730">
        <v>3</v>
      </c>
      <c r="X1730">
        <v>0.14000000000000001</v>
      </c>
      <c r="Y1730" t="s">
        <v>575</v>
      </c>
      <c r="Z1730" t="s">
        <v>576</v>
      </c>
      <c r="AA1730">
        <v>3</v>
      </c>
      <c r="AB1730" t="s">
        <v>6761</v>
      </c>
      <c r="AC1730" t="s">
        <v>6762</v>
      </c>
      <c r="AD1730" t="s">
        <v>6763</v>
      </c>
      <c r="AE1730" t="s">
        <v>6764</v>
      </c>
      <c r="AF1730" t="s">
        <v>6765</v>
      </c>
      <c r="AG1730" t="s">
        <v>806</v>
      </c>
      <c r="AH1730" t="s">
        <v>889</v>
      </c>
      <c r="AI1730" t="s">
        <v>889</v>
      </c>
      <c r="AJ1730" t="s">
        <v>66</v>
      </c>
      <c r="AK1730">
        <v>1</v>
      </c>
      <c r="AL1730" t="s">
        <v>6861</v>
      </c>
      <c r="AM1730" t="s">
        <v>6862</v>
      </c>
      <c r="AN1730" t="s">
        <v>6963</v>
      </c>
      <c r="AO1730" t="s">
        <v>66</v>
      </c>
      <c r="AP1730">
        <v>1</v>
      </c>
      <c r="AQ1730" t="s">
        <v>6964</v>
      </c>
      <c r="AR1730" t="s">
        <v>6965</v>
      </c>
      <c r="AS1730" t="s">
        <v>7066</v>
      </c>
      <c r="AT1730" t="s">
        <v>66</v>
      </c>
    </row>
    <row r="1731" spans="1:46" x14ac:dyDescent="0.15">
      <c r="A1731" t="s">
        <v>7157</v>
      </c>
      <c r="B1731" t="s">
        <v>6757</v>
      </c>
      <c r="C1731" t="s">
        <v>6758</v>
      </c>
      <c r="D1731">
        <v>79</v>
      </c>
      <c r="E1731" t="s">
        <v>6759</v>
      </c>
      <c r="F1731" t="s">
        <v>3083</v>
      </c>
      <c r="G1731" t="s">
        <v>51</v>
      </c>
      <c r="H1731" t="s">
        <v>6760</v>
      </c>
      <c r="I1731" t="s">
        <v>1553</v>
      </c>
      <c r="J1731" t="s">
        <v>54</v>
      </c>
      <c r="K1731" t="s">
        <v>3594</v>
      </c>
      <c r="L1731" t="s">
        <v>16</v>
      </c>
      <c r="M1731" t="s">
        <v>18</v>
      </c>
      <c r="N1731">
        <v>4878</v>
      </c>
      <c r="O1731">
        <v>274</v>
      </c>
      <c r="P1731">
        <v>0</v>
      </c>
      <c r="Q1731" t="s">
        <v>7158</v>
      </c>
      <c r="R1731" t="s">
        <v>7159</v>
      </c>
      <c r="S1731" t="s">
        <v>7160</v>
      </c>
      <c r="T1731" t="s">
        <v>7161</v>
      </c>
      <c r="U1731" t="s">
        <v>60</v>
      </c>
      <c r="V1731" t="s">
        <v>61</v>
      </c>
      <c r="W1731">
        <v>3</v>
      </c>
      <c r="X1731">
        <v>0.14000000000000001</v>
      </c>
      <c r="Y1731" t="s">
        <v>321</v>
      </c>
      <c r="Z1731" t="s">
        <v>582</v>
      </c>
      <c r="AA1731">
        <v>3</v>
      </c>
      <c r="AB1731" t="s">
        <v>6761</v>
      </c>
      <c r="AC1731" t="s">
        <v>6762</v>
      </c>
      <c r="AD1731" t="s">
        <v>6763</v>
      </c>
      <c r="AE1731" t="s">
        <v>6764</v>
      </c>
      <c r="AF1731" t="s">
        <v>6765</v>
      </c>
      <c r="AG1731" t="s">
        <v>806</v>
      </c>
      <c r="AH1731" t="s">
        <v>889</v>
      </c>
      <c r="AI1731" t="s">
        <v>889</v>
      </c>
      <c r="AJ1731" t="s">
        <v>66</v>
      </c>
      <c r="AK1731">
        <v>1</v>
      </c>
      <c r="AL1731" t="s">
        <v>6861</v>
      </c>
      <c r="AM1731" t="s">
        <v>6862</v>
      </c>
      <c r="AN1731" t="s">
        <v>6963</v>
      </c>
      <c r="AO1731" t="s">
        <v>66</v>
      </c>
      <c r="AP1731">
        <v>1</v>
      </c>
      <c r="AQ1731" t="s">
        <v>6964</v>
      </c>
      <c r="AR1731" t="s">
        <v>6965</v>
      </c>
      <c r="AS1731" t="s">
        <v>7066</v>
      </c>
      <c r="AT1731" t="s">
        <v>66</v>
      </c>
    </row>
    <row r="1732" spans="1:46" x14ac:dyDescent="0.15">
      <c r="A1732" t="s">
        <v>7162</v>
      </c>
      <c r="B1732" t="s">
        <v>6757</v>
      </c>
      <c r="C1732" t="s">
        <v>6758</v>
      </c>
      <c r="D1732">
        <v>80</v>
      </c>
      <c r="E1732" t="s">
        <v>6759</v>
      </c>
      <c r="F1732" t="s">
        <v>3083</v>
      </c>
      <c r="G1732" t="s">
        <v>51</v>
      </c>
      <c r="H1732" t="s">
        <v>6760</v>
      </c>
      <c r="I1732" t="s">
        <v>1553</v>
      </c>
      <c r="J1732" t="s">
        <v>54</v>
      </c>
      <c r="K1732" t="s">
        <v>3594</v>
      </c>
      <c r="L1732" t="s">
        <v>16</v>
      </c>
      <c r="M1732" t="s">
        <v>18</v>
      </c>
      <c r="N1732">
        <v>4934</v>
      </c>
      <c r="O1732">
        <v>277</v>
      </c>
      <c r="P1732">
        <v>0</v>
      </c>
      <c r="Q1732" t="s">
        <v>7163</v>
      </c>
      <c r="R1732" t="s">
        <v>7164</v>
      </c>
      <c r="S1732" t="s">
        <v>7165</v>
      </c>
      <c r="T1732" t="s">
        <v>7166</v>
      </c>
      <c r="U1732" t="s">
        <v>60</v>
      </c>
      <c r="V1732" t="s">
        <v>61</v>
      </c>
      <c r="W1732">
        <v>3</v>
      </c>
      <c r="X1732">
        <v>0.14000000000000001</v>
      </c>
      <c r="Y1732" t="s">
        <v>588</v>
      </c>
      <c r="Z1732" t="s">
        <v>589</v>
      </c>
      <c r="AA1732">
        <v>3</v>
      </c>
      <c r="AB1732" t="s">
        <v>6761</v>
      </c>
      <c r="AC1732" t="s">
        <v>6762</v>
      </c>
      <c r="AD1732" t="s">
        <v>6763</v>
      </c>
      <c r="AE1732" t="s">
        <v>6764</v>
      </c>
      <c r="AF1732" t="s">
        <v>6765</v>
      </c>
      <c r="AG1732" t="s">
        <v>806</v>
      </c>
      <c r="AH1732" t="s">
        <v>889</v>
      </c>
      <c r="AI1732" t="s">
        <v>889</v>
      </c>
      <c r="AJ1732" t="s">
        <v>66</v>
      </c>
      <c r="AK1732">
        <v>1</v>
      </c>
      <c r="AL1732" t="s">
        <v>6861</v>
      </c>
      <c r="AM1732" t="s">
        <v>6862</v>
      </c>
      <c r="AN1732" t="s">
        <v>6963</v>
      </c>
      <c r="AO1732" t="s">
        <v>66</v>
      </c>
      <c r="AP1732">
        <v>1</v>
      </c>
      <c r="AQ1732" t="s">
        <v>6964</v>
      </c>
      <c r="AR1732" t="s">
        <v>6965</v>
      </c>
      <c r="AS1732" t="s">
        <v>7066</v>
      </c>
      <c r="AT1732" t="s">
        <v>66</v>
      </c>
    </row>
    <row r="1733" spans="1:46" x14ac:dyDescent="0.15">
      <c r="A1733" t="s">
        <v>7162</v>
      </c>
      <c r="B1733" t="s">
        <v>6757</v>
      </c>
      <c r="C1733" t="s">
        <v>6758</v>
      </c>
      <c r="D1733">
        <v>80</v>
      </c>
      <c r="E1733" t="s">
        <v>6759</v>
      </c>
      <c r="F1733" t="s">
        <v>3083</v>
      </c>
      <c r="G1733" t="s">
        <v>51</v>
      </c>
      <c r="H1733" t="s">
        <v>6760</v>
      </c>
      <c r="I1733" t="s">
        <v>1553</v>
      </c>
      <c r="J1733" t="s">
        <v>54</v>
      </c>
      <c r="K1733" t="s">
        <v>3594</v>
      </c>
      <c r="L1733" t="s">
        <v>16</v>
      </c>
      <c r="M1733" t="s">
        <v>18</v>
      </c>
      <c r="N1733">
        <v>4934</v>
      </c>
      <c r="O1733">
        <v>277</v>
      </c>
      <c r="P1733">
        <v>0</v>
      </c>
      <c r="Q1733" t="s">
        <v>7163</v>
      </c>
      <c r="R1733" t="s">
        <v>7164</v>
      </c>
      <c r="S1733" t="s">
        <v>7165</v>
      </c>
      <c r="T1733" t="s">
        <v>7166</v>
      </c>
      <c r="U1733" t="s">
        <v>60</v>
      </c>
      <c r="V1733" t="s">
        <v>61</v>
      </c>
      <c r="W1733">
        <v>3</v>
      </c>
      <c r="X1733">
        <v>0.14000000000000001</v>
      </c>
      <c r="Y1733" t="s">
        <v>588</v>
      </c>
      <c r="Z1733" t="s">
        <v>589</v>
      </c>
      <c r="AA1733">
        <v>4</v>
      </c>
      <c r="AB1733" t="s">
        <v>6761</v>
      </c>
      <c r="AC1733" t="s">
        <v>6762</v>
      </c>
      <c r="AD1733" t="s">
        <v>6763</v>
      </c>
      <c r="AE1733" t="s">
        <v>6764</v>
      </c>
      <c r="AF1733" t="s">
        <v>6765</v>
      </c>
      <c r="AG1733" t="s">
        <v>806</v>
      </c>
      <c r="AH1733" t="s">
        <v>889</v>
      </c>
      <c r="AI1733" t="s">
        <v>889</v>
      </c>
      <c r="AJ1733" t="s">
        <v>1054</v>
      </c>
      <c r="AK1733">
        <v>1</v>
      </c>
      <c r="AL1733" t="s">
        <v>6861</v>
      </c>
      <c r="AM1733" t="s">
        <v>6862</v>
      </c>
      <c r="AN1733" t="s">
        <v>6963</v>
      </c>
      <c r="AO1733" t="s">
        <v>66</v>
      </c>
      <c r="AP1733">
        <v>1</v>
      </c>
      <c r="AQ1733" t="s">
        <v>6964</v>
      </c>
      <c r="AR1733" t="s">
        <v>6965</v>
      </c>
      <c r="AS1733" t="s">
        <v>7066</v>
      </c>
      <c r="AT1733" t="s">
        <v>66</v>
      </c>
    </row>
    <row r="1734" spans="1:46" x14ac:dyDescent="0.15">
      <c r="A1734" t="s">
        <v>7167</v>
      </c>
      <c r="B1734" t="s">
        <v>6757</v>
      </c>
      <c r="C1734" t="s">
        <v>6758</v>
      </c>
      <c r="D1734">
        <v>81</v>
      </c>
      <c r="E1734" t="s">
        <v>6759</v>
      </c>
      <c r="F1734" t="s">
        <v>3083</v>
      </c>
      <c r="G1734" t="s">
        <v>51</v>
      </c>
      <c r="H1734" t="s">
        <v>6760</v>
      </c>
      <c r="I1734" t="s">
        <v>1553</v>
      </c>
      <c r="J1734" t="s">
        <v>54</v>
      </c>
      <c r="K1734" t="s">
        <v>3594</v>
      </c>
      <c r="L1734" t="s">
        <v>16</v>
      </c>
      <c r="M1734" t="s">
        <v>18</v>
      </c>
      <c r="N1734">
        <v>4990</v>
      </c>
      <c r="O1734">
        <v>281</v>
      </c>
      <c r="P1734">
        <v>0</v>
      </c>
      <c r="Q1734" t="s">
        <v>7168</v>
      </c>
      <c r="R1734" t="s">
        <v>7169</v>
      </c>
      <c r="S1734" t="s">
        <v>7170</v>
      </c>
      <c r="T1734" t="s">
        <v>7171</v>
      </c>
      <c r="U1734" t="s">
        <v>60</v>
      </c>
      <c r="V1734" t="s">
        <v>61</v>
      </c>
      <c r="W1734">
        <v>3</v>
      </c>
      <c r="X1734">
        <v>0.14000000000000001</v>
      </c>
      <c r="Y1734" t="s">
        <v>330</v>
      </c>
      <c r="Z1734" t="s">
        <v>596</v>
      </c>
      <c r="AA1734">
        <v>4</v>
      </c>
      <c r="AB1734" t="s">
        <v>6761</v>
      </c>
      <c r="AC1734" t="s">
        <v>6762</v>
      </c>
      <c r="AD1734" t="s">
        <v>6763</v>
      </c>
      <c r="AE1734" t="s">
        <v>6764</v>
      </c>
      <c r="AF1734" t="s">
        <v>6765</v>
      </c>
      <c r="AG1734" t="s">
        <v>806</v>
      </c>
      <c r="AH1734" t="s">
        <v>889</v>
      </c>
      <c r="AI1734" t="s">
        <v>889</v>
      </c>
      <c r="AJ1734" t="s">
        <v>1054</v>
      </c>
      <c r="AK1734">
        <v>1</v>
      </c>
      <c r="AL1734" t="s">
        <v>6861</v>
      </c>
      <c r="AM1734" t="s">
        <v>6862</v>
      </c>
      <c r="AN1734" t="s">
        <v>6963</v>
      </c>
      <c r="AO1734" t="s">
        <v>66</v>
      </c>
      <c r="AP1734">
        <v>1</v>
      </c>
      <c r="AQ1734" t="s">
        <v>6964</v>
      </c>
      <c r="AR1734" t="s">
        <v>6965</v>
      </c>
      <c r="AS1734" t="s">
        <v>7066</v>
      </c>
      <c r="AT1734" t="s">
        <v>66</v>
      </c>
    </row>
    <row r="1735" spans="1:46" x14ac:dyDescent="0.15">
      <c r="A1735" t="s">
        <v>7172</v>
      </c>
      <c r="B1735" t="s">
        <v>6757</v>
      </c>
      <c r="C1735" t="s">
        <v>6758</v>
      </c>
      <c r="D1735">
        <v>82</v>
      </c>
      <c r="E1735" t="s">
        <v>6759</v>
      </c>
      <c r="F1735" t="s">
        <v>3083</v>
      </c>
      <c r="G1735" t="s">
        <v>51</v>
      </c>
      <c r="H1735" t="s">
        <v>6760</v>
      </c>
      <c r="I1735" t="s">
        <v>1553</v>
      </c>
      <c r="J1735" t="s">
        <v>54</v>
      </c>
      <c r="K1735" t="s">
        <v>3594</v>
      </c>
      <c r="L1735" t="s">
        <v>16</v>
      </c>
      <c r="M1735" t="s">
        <v>18</v>
      </c>
      <c r="N1735">
        <v>5046</v>
      </c>
      <c r="O1735">
        <v>284</v>
      </c>
      <c r="P1735">
        <v>0</v>
      </c>
      <c r="Q1735" t="s">
        <v>7173</v>
      </c>
      <c r="R1735" t="s">
        <v>7174</v>
      </c>
      <c r="S1735" t="s">
        <v>7175</v>
      </c>
      <c r="T1735" t="s">
        <v>7176</v>
      </c>
      <c r="U1735" t="s">
        <v>60</v>
      </c>
      <c r="V1735" t="s">
        <v>61</v>
      </c>
      <c r="W1735">
        <v>3</v>
      </c>
      <c r="X1735">
        <v>0.14000000000000001</v>
      </c>
      <c r="Y1735" t="s">
        <v>602</v>
      </c>
      <c r="Z1735" t="s">
        <v>603</v>
      </c>
      <c r="AA1735">
        <v>4</v>
      </c>
      <c r="AB1735" t="s">
        <v>6761</v>
      </c>
      <c r="AC1735" t="s">
        <v>6762</v>
      </c>
      <c r="AD1735" t="s">
        <v>6763</v>
      </c>
      <c r="AE1735" t="s">
        <v>6764</v>
      </c>
      <c r="AF1735" t="s">
        <v>6765</v>
      </c>
      <c r="AG1735" t="s">
        <v>806</v>
      </c>
      <c r="AH1735" t="s">
        <v>889</v>
      </c>
      <c r="AI1735" t="s">
        <v>889</v>
      </c>
      <c r="AJ1735" t="s">
        <v>1054</v>
      </c>
      <c r="AK1735">
        <v>1</v>
      </c>
      <c r="AL1735" t="s">
        <v>6861</v>
      </c>
      <c r="AM1735" t="s">
        <v>6862</v>
      </c>
      <c r="AN1735" t="s">
        <v>6963</v>
      </c>
      <c r="AO1735" t="s">
        <v>66</v>
      </c>
      <c r="AP1735">
        <v>1</v>
      </c>
      <c r="AQ1735" t="s">
        <v>6964</v>
      </c>
      <c r="AR1735" t="s">
        <v>6965</v>
      </c>
      <c r="AS1735" t="s">
        <v>7066</v>
      </c>
      <c r="AT1735" t="s">
        <v>66</v>
      </c>
    </row>
    <row r="1736" spans="1:46" x14ac:dyDescent="0.15">
      <c r="A1736" t="s">
        <v>7177</v>
      </c>
      <c r="B1736" t="s">
        <v>6757</v>
      </c>
      <c r="C1736" t="s">
        <v>6758</v>
      </c>
      <c r="D1736">
        <v>83</v>
      </c>
      <c r="E1736" t="s">
        <v>6759</v>
      </c>
      <c r="F1736" t="s">
        <v>3083</v>
      </c>
      <c r="G1736" t="s">
        <v>51</v>
      </c>
      <c r="H1736" t="s">
        <v>6760</v>
      </c>
      <c r="I1736" t="s">
        <v>1553</v>
      </c>
      <c r="J1736" t="s">
        <v>54</v>
      </c>
      <c r="K1736" t="s">
        <v>3594</v>
      </c>
      <c r="L1736" t="s">
        <v>16</v>
      </c>
      <c r="M1736" t="s">
        <v>18</v>
      </c>
      <c r="N1736">
        <v>5102</v>
      </c>
      <c r="O1736">
        <v>287</v>
      </c>
      <c r="P1736">
        <v>0</v>
      </c>
      <c r="Q1736" t="s">
        <v>7178</v>
      </c>
      <c r="R1736" t="s">
        <v>7179</v>
      </c>
      <c r="S1736" t="s">
        <v>7180</v>
      </c>
      <c r="T1736" t="s">
        <v>7181</v>
      </c>
      <c r="U1736" t="s">
        <v>60</v>
      </c>
      <c r="V1736" t="s">
        <v>61</v>
      </c>
      <c r="W1736">
        <v>3</v>
      </c>
      <c r="X1736">
        <v>0.14000000000000001</v>
      </c>
      <c r="Y1736" t="s">
        <v>337</v>
      </c>
      <c r="Z1736" t="s">
        <v>609</v>
      </c>
      <c r="AA1736">
        <v>4</v>
      </c>
      <c r="AB1736" t="s">
        <v>6761</v>
      </c>
      <c r="AC1736" t="s">
        <v>6762</v>
      </c>
      <c r="AD1736" t="s">
        <v>6763</v>
      </c>
      <c r="AE1736" t="s">
        <v>6764</v>
      </c>
      <c r="AF1736" t="s">
        <v>6765</v>
      </c>
      <c r="AG1736" t="s">
        <v>806</v>
      </c>
      <c r="AH1736" t="s">
        <v>889</v>
      </c>
      <c r="AI1736" t="s">
        <v>889</v>
      </c>
      <c r="AJ1736" t="s">
        <v>1054</v>
      </c>
      <c r="AK1736">
        <v>1</v>
      </c>
      <c r="AL1736" t="s">
        <v>6861</v>
      </c>
      <c r="AM1736" t="s">
        <v>6862</v>
      </c>
      <c r="AN1736" t="s">
        <v>6963</v>
      </c>
      <c r="AO1736" t="s">
        <v>66</v>
      </c>
      <c r="AP1736">
        <v>1</v>
      </c>
      <c r="AQ1736" t="s">
        <v>6964</v>
      </c>
      <c r="AR1736" t="s">
        <v>6965</v>
      </c>
      <c r="AS1736" t="s">
        <v>7066</v>
      </c>
      <c r="AT1736" t="s">
        <v>66</v>
      </c>
    </row>
    <row r="1737" spans="1:46" x14ac:dyDescent="0.15">
      <c r="A1737" t="s">
        <v>7182</v>
      </c>
      <c r="B1737" t="s">
        <v>6757</v>
      </c>
      <c r="C1737" t="s">
        <v>6758</v>
      </c>
      <c r="D1737">
        <v>84</v>
      </c>
      <c r="E1737" t="s">
        <v>6759</v>
      </c>
      <c r="F1737" t="s">
        <v>3083</v>
      </c>
      <c r="G1737" t="s">
        <v>51</v>
      </c>
      <c r="H1737" t="s">
        <v>6760</v>
      </c>
      <c r="I1737" t="s">
        <v>1553</v>
      </c>
      <c r="J1737" t="s">
        <v>54</v>
      </c>
      <c r="K1737" t="s">
        <v>3594</v>
      </c>
      <c r="L1737" t="s">
        <v>16</v>
      </c>
      <c r="M1737" t="s">
        <v>18</v>
      </c>
      <c r="N1737">
        <v>5158</v>
      </c>
      <c r="O1737">
        <v>290</v>
      </c>
      <c r="P1737">
        <v>0</v>
      </c>
      <c r="Q1737" t="s">
        <v>7183</v>
      </c>
      <c r="R1737" t="s">
        <v>7184</v>
      </c>
      <c r="S1737" t="s">
        <v>7185</v>
      </c>
      <c r="T1737" t="s">
        <v>7186</v>
      </c>
      <c r="U1737" t="s">
        <v>60</v>
      </c>
      <c r="V1737" t="s">
        <v>61</v>
      </c>
      <c r="W1737">
        <v>3</v>
      </c>
      <c r="X1737">
        <v>0.14000000000000001</v>
      </c>
      <c r="Y1737" t="s">
        <v>615</v>
      </c>
      <c r="Z1737" t="s">
        <v>616</v>
      </c>
      <c r="AA1737">
        <v>4</v>
      </c>
      <c r="AB1737" t="s">
        <v>6761</v>
      </c>
      <c r="AC1737" t="s">
        <v>6762</v>
      </c>
      <c r="AD1737" t="s">
        <v>6763</v>
      </c>
      <c r="AE1737" t="s">
        <v>6764</v>
      </c>
      <c r="AF1737" t="s">
        <v>6765</v>
      </c>
      <c r="AG1737" t="s">
        <v>806</v>
      </c>
      <c r="AH1737" t="s">
        <v>889</v>
      </c>
      <c r="AI1737" t="s">
        <v>889</v>
      </c>
      <c r="AJ1737" t="s">
        <v>1054</v>
      </c>
      <c r="AK1737">
        <v>1</v>
      </c>
      <c r="AL1737" t="s">
        <v>6861</v>
      </c>
      <c r="AM1737" t="s">
        <v>6862</v>
      </c>
      <c r="AN1737" t="s">
        <v>6963</v>
      </c>
      <c r="AO1737" t="s">
        <v>66</v>
      </c>
      <c r="AP1737">
        <v>1</v>
      </c>
      <c r="AQ1737" t="s">
        <v>6964</v>
      </c>
      <c r="AR1737" t="s">
        <v>6965</v>
      </c>
      <c r="AS1737" t="s">
        <v>7066</v>
      </c>
      <c r="AT1737" t="s">
        <v>66</v>
      </c>
    </row>
    <row r="1738" spans="1:46" x14ac:dyDescent="0.15">
      <c r="A1738" t="s">
        <v>7187</v>
      </c>
      <c r="B1738" t="s">
        <v>6757</v>
      </c>
      <c r="C1738" t="s">
        <v>6758</v>
      </c>
      <c r="D1738">
        <v>85</v>
      </c>
      <c r="E1738" t="s">
        <v>6759</v>
      </c>
      <c r="F1738" t="s">
        <v>3083</v>
      </c>
      <c r="G1738" t="s">
        <v>51</v>
      </c>
      <c r="H1738" t="s">
        <v>6760</v>
      </c>
      <c r="I1738" t="s">
        <v>1553</v>
      </c>
      <c r="J1738" t="s">
        <v>54</v>
      </c>
      <c r="K1738" t="s">
        <v>3594</v>
      </c>
      <c r="L1738" t="s">
        <v>16</v>
      </c>
      <c r="M1738" t="s">
        <v>18</v>
      </c>
      <c r="N1738">
        <v>5214</v>
      </c>
      <c r="O1738">
        <v>293</v>
      </c>
      <c r="P1738">
        <v>0</v>
      </c>
      <c r="Q1738" t="s">
        <v>7188</v>
      </c>
      <c r="R1738" t="s">
        <v>7189</v>
      </c>
      <c r="S1738" t="s">
        <v>7190</v>
      </c>
      <c r="T1738" t="s">
        <v>7191</v>
      </c>
      <c r="U1738" t="s">
        <v>60</v>
      </c>
      <c r="V1738" t="s">
        <v>61</v>
      </c>
      <c r="W1738">
        <v>3</v>
      </c>
      <c r="X1738">
        <v>0.14000000000000001</v>
      </c>
      <c r="Y1738" t="s">
        <v>343</v>
      </c>
      <c r="Z1738" t="s">
        <v>622</v>
      </c>
      <c r="AA1738">
        <v>4</v>
      </c>
      <c r="AB1738" t="s">
        <v>6761</v>
      </c>
      <c r="AC1738" t="s">
        <v>6762</v>
      </c>
      <c r="AD1738" t="s">
        <v>6763</v>
      </c>
      <c r="AE1738" t="s">
        <v>6764</v>
      </c>
      <c r="AF1738" t="s">
        <v>6765</v>
      </c>
      <c r="AG1738" t="s">
        <v>806</v>
      </c>
      <c r="AH1738" t="s">
        <v>889</v>
      </c>
      <c r="AI1738" t="s">
        <v>889</v>
      </c>
      <c r="AJ1738" t="s">
        <v>1054</v>
      </c>
      <c r="AK1738">
        <v>1</v>
      </c>
      <c r="AL1738" t="s">
        <v>6861</v>
      </c>
      <c r="AM1738" t="s">
        <v>6862</v>
      </c>
      <c r="AN1738" t="s">
        <v>6963</v>
      </c>
      <c r="AO1738" t="s">
        <v>66</v>
      </c>
      <c r="AP1738">
        <v>1</v>
      </c>
      <c r="AQ1738" t="s">
        <v>6964</v>
      </c>
      <c r="AR1738" t="s">
        <v>6965</v>
      </c>
      <c r="AS1738" t="s">
        <v>7066</v>
      </c>
      <c r="AT1738" t="s">
        <v>66</v>
      </c>
    </row>
    <row r="1739" spans="1:46" x14ac:dyDescent="0.15">
      <c r="A1739" t="s">
        <v>7192</v>
      </c>
      <c r="B1739" t="s">
        <v>6757</v>
      </c>
      <c r="C1739" t="s">
        <v>6758</v>
      </c>
      <c r="D1739">
        <v>86</v>
      </c>
      <c r="E1739" t="s">
        <v>6759</v>
      </c>
      <c r="F1739" t="s">
        <v>3083</v>
      </c>
      <c r="G1739" t="s">
        <v>51</v>
      </c>
      <c r="H1739" t="s">
        <v>6760</v>
      </c>
      <c r="I1739" t="s">
        <v>1553</v>
      </c>
      <c r="J1739" t="s">
        <v>54</v>
      </c>
      <c r="K1739" t="s">
        <v>3594</v>
      </c>
      <c r="L1739" t="s">
        <v>16</v>
      </c>
      <c r="M1739" t="s">
        <v>18</v>
      </c>
      <c r="N1739">
        <v>5270</v>
      </c>
      <c r="O1739">
        <v>296</v>
      </c>
      <c r="P1739">
        <v>0</v>
      </c>
      <c r="Q1739" t="s">
        <v>7193</v>
      </c>
      <c r="R1739" t="s">
        <v>7194</v>
      </c>
      <c r="S1739" t="s">
        <v>7195</v>
      </c>
      <c r="T1739" t="s">
        <v>7196</v>
      </c>
      <c r="U1739" t="s">
        <v>60</v>
      </c>
      <c r="V1739" t="s">
        <v>61</v>
      </c>
      <c r="W1739">
        <v>3</v>
      </c>
      <c r="X1739">
        <v>0.14000000000000001</v>
      </c>
      <c r="Y1739" t="s">
        <v>628</v>
      </c>
      <c r="Z1739" t="s">
        <v>629</v>
      </c>
      <c r="AA1739">
        <v>4</v>
      </c>
      <c r="AB1739" t="s">
        <v>6761</v>
      </c>
      <c r="AC1739" t="s">
        <v>6762</v>
      </c>
      <c r="AD1739" t="s">
        <v>6763</v>
      </c>
      <c r="AE1739" t="s">
        <v>6764</v>
      </c>
      <c r="AF1739" t="s">
        <v>6765</v>
      </c>
      <c r="AG1739" t="s">
        <v>806</v>
      </c>
      <c r="AH1739" t="s">
        <v>889</v>
      </c>
      <c r="AI1739" t="s">
        <v>889</v>
      </c>
      <c r="AJ1739" t="s">
        <v>1054</v>
      </c>
      <c r="AK1739">
        <v>1</v>
      </c>
      <c r="AL1739" t="s">
        <v>6861</v>
      </c>
      <c r="AM1739" t="s">
        <v>6862</v>
      </c>
      <c r="AN1739" t="s">
        <v>6963</v>
      </c>
      <c r="AO1739" t="s">
        <v>66</v>
      </c>
      <c r="AP1739">
        <v>1</v>
      </c>
      <c r="AQ1739" t="s">
        <v>6964</v>
      </c>
      <c r="AR1739" t="s">
        <v>6965</v>
      </c>
      <c r="AS1739" t="s">
        <v>7066</v>
      </c>
      <c r="AT1739" t="s">
        <v>66</v>
      </c>
    </row>
    <row r="1740" spans="1:46" x14ac:dyDescent="0.15">
      <c r="A1740" t="s">
        <v>7197</v>
      </c>
      <c r="B1740" t="s">
        <v>6757</v>
      </c>
      <c r="C1740" t="s">
        <v>6758</v>
      </c>
      <c r="D1740">
        <v>87</v>
      </c>
      <c r="E1740" t="s">
        <v>6759</v>
      </c>
      <c r="F1740" t="s">
        <v>3083</v>
      </c>
      <c r="G1740" t="s">
        <v>51</v>
      </c>
      <c r="H1740" t="s">
        <v>6760</v>
      </c>
      <c r="I1740" t="s">
        <v>1553</v>
      </c>
      <c r="J1740" t="s">
        <v>54</v>
      </c>
      <c r="K1740" t="s">
        <v>3594</v>
      </c>
      <c r="L1740" t="s">
        <v>16</v>
      </c>
      <c r="M1740" t="s">
        <v>18</v>
      </c>
      <c r="N1740">
        <v>5327</v>
      </c>
      <c r="O1740">
        <v>299</v>
      </c>
      <c r="P1740">
        <v>0</v>
      </c>
      <c r="Q1740" t="s">
        <v>7198</v>
      </c>
      <c r="R1740" t="s">
        <v>7199</v>
      </c>
      <c r="S1740" t="s">
        <v>7200</v>
      </c>
      <c r="T1740" t="s">
        <v>7201</v>
      </c>
      <c r="U1740" t="s">
        <v>60</v>
      </c>
      <c r="V1740" t="s">
        <v>61</v>
      </c>
      <c r="W1740">
        <v>3</v>
      </c>
      <c r="X1740">
        <v>0.14000000000000001</v>
      </c>
      <c r="Y1740" t="s">
        <v>350</v>
      </c>
      <c r="Z1740" t="s">
        <v>635</v>
      </c>
      <c r="AA1740">
        <v>4</v>
      </c>
      <c r="AB1740" t="s">
        <v>6761</v>
      </c>
      <c r="AC1740" t="s">
        <v>6762</v>
      </c>
      <c r="AD1740" t="s">
        <v>6763</v>
      </c>
      <c r="AE1740" t="s">
        <v>6764</v>
      </c>
      <c r="AF1740" t="s">
        <v>6765</v>
      </c>
      <c r="AG1740" t="s">
        <v>806</v>
      </c>
      <c r="AH1740" t="s">
        <v>889</v>
      </c>
      <c r="AI1740" t="s">
        <v>889</v>
      </c>
      <c r="AJ1740" t="s">
        <v>1054</v>
      </c>
      <c r="AK1740">
        <v>1</v>
      </c>
      <c r="AL1740" t="s">
        <v>6861</v>
      </c>
      <c r="AM1740" t="s">
        <v>6862</v>
      </c>
      <c r="AN1740" t="s">
        <v>6963</v>
      </c>
      <c r="AO1740" t="s">
        <v>66</v>
      </c>
      <c r="AP1740">
        <v>1</v>
      </c>
      <c r="AQ1740" t="s">
        <v>6964</v>
      </c>
      <c r="AR1740" t="s">
        <v>6965</v>
      </c>
      <c r="AS1740" t="s">
        <v>7066</v>
      </c>
      <c r="AT1740" t="s">
        <v>66</v>
      </c>
    </row>
    <row r="1741" spans="1:46" x14ac:dyDescent="0.15">
      <c r="A1741" t="s">
        <v>7202</v>
      </c>
      <c r="B1741" t="s">
        <v>6757</v>
      </c>
      <c r="C1741" t="s">
        <v>6758</v>
      </c>
      <c r="D1741">
        <v>88</v>
      </c>
      <c r="E1741" t="s">
        <v>6759</v>
      </c>
      <c r="F1741" t="s">
        <v>3083</v>
      </c>
      <c r="G1741" t="s">
        <v>51</v>
      </c>
      <c r="H1741" t="s">
        <v>6760</v>
      </c>
      <c r="I1741" t="s">
        <v>1553</v>
      </c>
      <c r="J1741" t="s">
        <v>54</v>
      </c>
      <c r="K1741" t="s">
        <v>3594</v>
      </c>
      <c r="L1741" t="s">
        <v>16</v>
      </c>
      <c r="M1741" t="s">
        <v>18</v>
      </c>
      <c r="N1741">
        <v>5383</v>
      </c>
      <c r="O1741">
        <v>303</v>
      </c>
      <c r="P1741">
        <v>0</v>
      </c>
      <c r="Q1741" t="s">
        <v>7203</v>
      </c>
      <c r="R1741" t="s">
        <v>7204</v>
      </c>
      <c r="S1741" t="s">
        <v>7205</v>
      </c>
      <c r="T1741" t="s">
        <v>7206</v>
      </c>
      <c r="U1741" t="s">
        <v>60</v>
      </c>
      <c r="V1741" t="s">
        <v>61</v>
      </c>
      <c r="W1741">
        <v>3</v>
      </c>
      <c r="X1741">
        <v>0.14000000000000001</v>
      </c>
      <c r="Y1741" t="s">
        <v>641</v>
      </c>
      <c r="Z1741" t="s">
        <v>642</v>
      </c>
      <c r="AA1741">
        <v>4</v>
      </c>
      <c r="AB1741" t="s">
        <v>6761</v>
      </c>
      <c r="AC1741" t="s">
        <v>6762</v>
      </c>
      <c r="AD1741" t="s">
        <v>6763</v>
      </c>
      <c r="AE1741" t="s">
        <v>6764</v>
      </c>
      <c r="AF1741" t="s">
        <v>6765</v>
      </c>
      <c r="AG1741" t="s">
        <v>806</v>
      </c>
      <c r="AH1741" t="s">
        <v>889</v>
      </c>
      <c r="AI1741" t="s">
        <v>889</v>
      </c>
      <c r="AJ1741" t="s">
        <v>1054</v>
      </c>
      <c r="AK1741">
        <v>1</v>
      </c>
      <c r="AL1741" t="s">
        <v>6861</v>
      </c>
      <c r="AM1741" t="s">
        <v>6862</v>
      </c>
      <c r="AN1741" t="s">
        <v>6963</v>
      </c>
      <c r="AO1741" t="s">
        <v>66</v>
      </c>
      <c r="AP1741">
        <v>1</v>
      </c>
      <c r="AQ1741" t="s">
        <v>6964</v>
      </c>
      <c r="AR1741" t="s">
        <v>6965</v>
      </c>
      <c r="AS1741" t="s">
        <v>7066</v>
      </c>
      <c r="AT1741" t="s">
        <v>66</v>
      </c>
    </row>
    <row r="1742" spans="1:46" x14ac:dyDescent="0.15">
      <c r="A1742" t="s">
        <v>7207</v>
      </c>
      <c r="B1742" t="s">
        <v>6757</v>
      </c>
      <c r="C1742" t="s">
        <v>6758</v>
      </c>
      <c r="D1742">
        <v>89</v>
      </c>
      <c r="E1742" t="s">
        <v>6759</v>
      </c>
      <c r="F1742" t="s">
        <v>3083</v>
      </c>
      <c r="G1742" t="s">
        <v>51</v>
      </c>
      <c r="H1742" t="s">
        <v>6760</v>
      </c>
      <c r="I1742" t="s">
        <v>1553</v>
      </c>
      <c r="J1742" t="s">
        <v>54</v>
      </c>
      <c r="K1742" t="s">
        <v>3594</v>
      </c>
      <c r="L1742" t="s">
        <v>16</v>
      </c>
      <c r="M1742" t="s">
        <v>18</v>
      </c>
      <c r="N1742">
        <v>5439</v>
      </c>
      <c r="O1742">
        <v>306</v>
      </c>
      <c r="P1742">
        <v>0</v>
      </c>
      <c r="Q1742" t="s">
        <v>7208</v>
      </c>
      <c r="R1742" t="s">
        <v>7209</v>
      </c>
      <c r="S1742" t="s">
        <v>7210</v>
      </c>
      <c r="T1742" t="s">
        <v>7211</v>
      </c>
      <c r="U1742" t="s">
        <v>60</v>
      </c>
      <c r="V1742" t="s">
        <v>61</v>
      </c>
      <c r="W1742">
        <v>3</v>
      </c>
      <c r="X1742">
        <v>0.14000000000000001</v>
      </c>
      <c r="Y1742" t="s">
        <v>356</v>
      </c>
      <c r="Z1742" t="s">
        <v>648</v>
      </c>
      <c r="AA1742">
        <v>4</v>
      </c>
      <c r="AB1742" t="s">
        <v>6761</v>
      </c>
      <c r="AC1742" t="s">
        <v>6762</v>
      </c>
      <c r="AD1742" t="s">
        <v>6763</v>
      </c>
      <c r="AE1742" t="s">
        <v>6764</v>
      </c>
      <c r="AF1742" t="s">
        <v>6765</v>
      </c>
      <c r="AG1742" t="s">
        <v>806</v>
      </c>
      <c r="AH1742" t="s">
        <v>889</v>
      </c>
      <c r="AI1742" t="s">
        <v>889</v>
      </c>
      <c r="AJ1742" t="s">
        <v>1054</v>
      </c>
      <c r="AK1742">
        <v>1</v>
      </c>
      <c r="AL1742" t="s">
        <v>6861</v>
      </c>
      <c r="AM1742" t="s">
        <v>6862</v>
      </c>
      <c r="AN1742" t="s">
        <v>6963</v>
      </c>
      <c r="AO1742" t="s">
        <v>66</v>
      </c>
      <c r="AP1742">
        <v>1</v>
      </c>
      <c r="AQ1742" t="s">
        <v>6964</v>
      </c>
      <c r="AR1742" t="s">
        <v>6965</v>
      </c>
      <c r="AS1742" t="s">
        <v>7066</v>
      </c>
      <c r="AT1742" t="s">
        <v>66</v>
      </c>
    </row>
    <row r="1743" spans="1:46" x14ac:dyDescent="0.15">
      <c r="A1743" t="s">
        <v>7212</v>
      </c>
      <c r="B1743" t="s">
        <v>6757</v>
      </c>
      <c r="C1743" t="s">
        <v>6758</v>
      </c>
      <c r="D1743">
        <v>90</v>
      </c>
      <c r="E1743" t="s">
        <v>6759</v>
      </c>
      <c r="F1743" t="s">
        <v>3083</v>
      </c>
      <c r="G1743" t="s">
        <v>51</v>
      </c>
      <c r="H1743" t="s">
        <v>6760</v>
      </c>
      <c r="I1743" t="s">
        <v>1553</v>
      </c>
      <c r="J1743" t="s">
        <v>54</v>
      </c>
      <c r="K1743" t="s">
        <v>3594</v>
      </c>
      <c r="L1743" t="s">
        <v>16</v>
      </c>
      <c r="M1743" t="s">
        <v>18</v>
      </c>
      <c r="N1743">
        <v>5495</v>
      </c>
      <c r="O1743">
        <v>309</v>
      </c>
      <c r="P1743">
        <v>0</v>
      </c>
      <c r="Q1743" t="s">
        <v>7213</v>
      </c>
      <c r="R1743" t="s">
        <v>7214</v>
      </c>
      <c r="S1743" t="s">
        <v>7215</v>
      </c>
      <c r="T1743" t="s">
        <v>7216</v>
      </c>
      <c r="U1743" t="s">
        <v>60</v>
      </c>
      <c r="V1743" t="s">
        <v>61</v>
      </c>
      <c r="W1743">
        <v>3</v>
      </c>
      <c r="X1743">
        <v>0.14000000000000001</v>
      </c>
      <c r="Y1743" t="s">
        <v>654</v>
      </c>
      <c r="Z1743" t="s">
        <v>655</v>
      </c>
      <c r="AA1743">
        <v>4</v>
      </c>
      <c r="AB1743" t="s">
        <v>6761</v>
      </c>
      <c r="AC1743" t="s">
        <v>6762</v>
      </c>
      <c r="AD1743" t="s">
        <v>6763</v>
      </c>
      <c r="AE1743" t="s">
        <v>6764</v>
      </c>
      <c r="AF1743" t="s">
        <v>6765</v>
      </c>
      <c r="AG1743" t="s">
        <v>806</v>
      </c>
      <c r="AH1743" t="s">
        <v>889</v>
      </c>
      <c r="AI1743" t="s">
        <v>889</v>
      </c>
      <c r="AJ1743" t="s">
        <v>1054</v>
      </c>
      <c r="AK1743">
        <v>1</v>
      </c>
      <c r="AL1743" t="s">
        <v>6861</v>
      </c>
      <c r="AM1743" t="s">
        <v>6862</v>
      </c>
      <c r="AN1743" t="s">
        <v>6963</v>
      </c>
      <c r="AO1743" t="s">
        <v>66</v>
      </c>
      <c r="AP1743">
        <v>1</v>
      </c>
      <c r="AQ1743" t="s">
        <v>6964</v>
      </c>
      <c r="AR1743" t="s">
        <v>6965</v>
      </c>
      <c r="AS1743" t="s">
        <v>7066</v>
      </c>
      <c r="AT1743" t="s">
        <v>66</v>
      </c>
    </row>
    <row r="1744" spans="1:46" x14ac:dyDescent="0.15">
      <c r="A1744" t="s">
        <v>7217</v>
      </c>
      <c r="B1744" t="s">
        <v>6757</v>
      </c>
      <c r="C1744" t="s">
        <v>6758</v>
      </c>
      <c r="D1744">
        <v>91</v>
      </c>
      <c r="E1744" t="s">
        <v>6759</v>
      </c>
      <c r="F1744" t="s">
        <v>3083</v>
      </c>
      <c r="G1744" t="s">
        <v>51</v>
      </c>
      <c r="H1744" t="s">
        <v>6760</v>
      </c>
      <c r="I1744" t="s">
        <v>1553</v>
      </c>
      <c r="J1744" t="s">
        <v>54</v>
      </c>
      <c r="K1744" t="s">
        <v>3594</v>
      </c>
      <c r="L1744" t="s">
        <v>16</v>
      </c>
      <c r="M1744" t="s">
        <v>18</v>
      </c>
      <c r="N1744">
        <v>5551</v>
      </c>
      <c r="O1744">
        <v>312</v>
      </c>
      <c r="P1744">
        <v>0</v>
      </c>
      <c r="Q1744" t="s">
        <v>7218</v>
      </c>
      <c r="R1744" t="s">
        <v>7219</v>
      </c>
      <c r="S1744" t="s">
        <v>7220</v>
      </c>
      <c r="T1744" t="s">
        <v>7221</v>
      </c>
      <c r="U1744" t="s">
        <v>60</v>
      </c>
      <c r="V1744" t="s">
        <v>61</v>
      </c>
      <c r="W1744">
        <v>3</v>
      </c>
      <c r="X1744">
        <v>0.14000000000000001</v>
      </c>
      <c r="Y1744" t="s">
        <v>363</v>
      </c>
      <c r="Z1744" t="s">
        <v>661</v>
      </c>
      <c r="AA1744">
        <v>4</v>
      </c>
      <c r="AB1744" t="s">
        <v>6761</v>
      </c>
      <c r="AC1744" t="s">
        <v>6762</v>
      </c>
      <c r="AD1744" t="s">
        <v>6763</v>
      </c>
      <c r="AE1744" t="s">
        <v>6764</v>
      </c>
      <c r="AF1744" t="s">
        <v>6765</v>
      </c>
      <c r="AG1744" t="s">
        <v>806</v>
      </c>
      <c r="AH1744" t="s">
        <v>889</v>
      </c>
      <c r="AI1744" t="s">
        <v>889</v>
      </c>
      <c r="AJ1744" t="s">
        <v>1054</v>
      </c>
      <c r="AK1744">
        <v>1</v>
      </c>
      <c r="AL1744" t="s">
        <v>6861</v>
      </c>
      <c r="AM1744" t="s">
        <v>6862</v>
      </c>
      <c r="AN1744" t="s">
        <v>6963</v>
      </c>
      <c r="AO1744" t="s">
        <v>66</v>
      </c>
      <c r="AP1744">
        <v>1</v>
      </c>
      <c r="AQ1744" t="s">
        <v>6964</v>
      </c>
      <c r="AR1744" t="s">
        <v>6965</v>
      </c>
      <c r="AS1744" t="s">
        <v>7066</v>
      </c>
      <c r="AT1744" t="s">
        <v>66</v>
      </c>
    </row>
    <row r="1745" spans="1:46" x14ac:dyDescent="0.15">
      <c r="A1745" t="s">
        <v>7222</v>
      </c>
      <c r="B1745" t="s">
        <v>6757</v>
      </c>
      <c r="C1745" t="s">
        <v>6758</v>
      </c>
      <c r="D1745">
        <v>92</v>
      </c>
      <c r="E1745" t="s">
        <v>6759</v>
      </c>
      <c r="F1745" t="s">
        <v>3083</v>
      </c>
      <c r="G1745" t="s">
        <v>51</v>
      </c>
      <c r="H1745" t="s">
        <v>6760</v>
      </c>
      <c r="I1745" t="s">
        <v>1553</v>
      </c>
      <c r="J1745" t="s">
        <v>54</v>
      </c>
      <c r="K1745" t="s">
        <v>3594</v>
      </c>
      <c r="L1745" t="s">
        <v>16</v>
      </c>
      <c r="M1745" t="s">
        <v>18</v>
      </c>
      <c r="N1745">
        <v>5607</v>
      </c>
      <c r="O1745">
        <v>315</v>
      </c>
      <c r="P1745">
        <v>0</v>
      </c>
      <c r="Q1745" t="s">
        <v>7223</v>
      </c>
      <c r="R1745" t="s">
        <v>7224</v>
      </c>
      <c r="S1745" t="s">
        <v>7225</v>
      </c>
      <c r="T1745" t="s">
        <v>7226</v>
      </c>
      <c r="U1745" t="s">
        <v>60</v>
      </c>
      <c r="V1745" t="s">
        <v>61</v>
      </c>
      <c r="W1745">
        <v>3</v>
      </c>
      <c r="X1745">
        <v>0.14000000000000001</v>
      </c>
      <c r="Y1745" t="s">
        <v>667</v>
      </c>
      <c r="Z1745" t="s">
        <v>668</v>
      </c>
      <c r="AA1745">
        <v>4</v>
      </c>
      <c r="AB1745" t="s">
        <v>6761</v>
      </c>
      <c r="AC1745" t="s">
        <v>6762</v>
      </c>
      <c r="AD1745" t="s">
        <v>6763</v>
      </c>
      <c r="AE1745" t="s">
        <v>6764</v>
      </c>
      <c r="AF1745" t="s">
        <v>6765</v>
      </c>
      <c r="AG1745" t="s">
        <v>806</v>
      </c>
      <c r="AH1745" t="s">
        <v>889</v>
      </c>
      <c r="AI1745" t="s">
        <v>889</v>
      </c>
      <c r="AJ1745" t="s">
        <v>1054</v>
      </c>
      <c r="AK1745">
        <v>1</v>
      </c>
      <c r="AL1745" t="s">
        <v>6861</v>
      </c>
      <c r="AM1745" t="s">
        <v>6862</v>
      </c>
      <c r="AN1745" t="s">
        <v>6963</v>
      </c>
      <c r="AO1745" t="s">
        <v>66</v>
      </c>
      <c r="AP1745">
        <v>1</v>
      </c>
      <c r="AQ1745" t="s">
        <v>6964</v>
      </c>
      <c r="AR1745" t="s">
        <v>6965</v>
      </c>
      <c r="AS1745" t="s">
        <v>7066</v>
      </c>
      <c r="AT1745" t="s">
        <v>66</v>
      </c>
    </row>
    <row r="1746" spans="1:46" x14ac:dyDescent="0.15">
      <c r="A1746" t="s">
        <v>7227</v>
      </c>
      <c r="B1746" t="s">
        <v>6757</v>
      </c>
      <c r="C1746" t="s">
        <v>6758</v>
      </c>
      <c r="D1746">
        <v>93</v>
      </c>
      <c r="E1746" t="s">
        <v>6759</v>
      </c>
      <c r="F1746" t="s">
        <v>3083</v>
      </c>
      <c r="G1746" t="s">
        <v>51</v>
      </c>
      <c r="H1746" t="s">
        <v>6760</v>
      </c>
      <c r="I1746" t="s">
        <v>1553</v>
      </c>
      <c r="J1746" t="s">
        <v>54</v>
      </c>
      <c r="K1746" t="s">
        <v>3594</v>
      </c>
      <c r="L1746" t="s">
        <v>16</v>
      </c>
      <c r="M1746" t="s">
        <v>18</v>
      </c>
      <c r="N1746">
        <v>5663</v>
      </c>
      <c r="O1746">
        <v>318</v>
      </c>
      <c r="P1746">
        <v>0</v>
      </c>
      <c r="Q1746" t="s">
        <v>7228</v>
      </c>
      <c r="R1746" t="s">
        <v>7229</v>
      </c>
      <c r="S1746" t="s">
        <v>7230</v>
      </c>
      <c r="T1746" t="s">
        <v>7231</v>
      </c>
      <c r="U1746" t="s">
        <v>60</v>
      </c>
      <c r="V1746" t="s">
        <v>61</v>
      </c>
      <c r="W1746">
        <v>3</v>
      </c>
      <c r="X1746">
        <v>0.14000000000000001</v>
      </c>
      <c r="Y1746" t="s">
        <v>369</v>
      </c>
      <c r="Z1746" t="s">
        <v>674</v>
      </c>
      <c r="AA1746">
        <v>4</v>
      </c>
      <c r="AB1746" t="s">
        <v>6761</v>
      </c>
      <c r="AC1746" t="s">
        <v>6762</v>
      </c>
      <c r="AD1746" t="s">
        <v>6763</v>
      </c>
      <c r="AE1746" t="s">
        <v>6764</v>
      </c>
      <c r="AF1746" t="s">
        <v>6765</v>
      </c>
      <c r="AG1746" t="s">
        <v>806</v>
      </c>
      <c r="AH1746" t="s">
        <v>889</v>
      </c>
      <c r="AI1746" t="s">
        <v>889</v>
      </c>
      <c r="AJ1746" t="s">
        <v>1054</v>
      </c>
      <c r="AK1746">
        <v>1</v>
      </c>
      <c r="AL1746" t="s">
        <v>6861</v>
      </c>
      <c r="AM1746" t="s">
        <v>6862</v>
      </c>
      <c r="AN1746" t="s">
        <v>6963</v>
      </c>
      <c r="AO1746" t="s">
        <v>66</v>
      </c>
      <c r="AP1746">
        <v>1</v>
      </c>
      <c r="AQ1746" t="s">
        <v>6964</v>
      </c>
      <c r="AR1746" t="s">
        <v>6965</v>
      </c>
      <c r="AS1746" t="s">
        <v>7066</v>
      </c>
      <c r="AT1746" t="s">
        <v>66</v>
      </c>
    </row>
    <row r="1747" spans="1:46" x14ac:dyDescent="0.15">
      <c r="A1747" t="s">
        <v>7232</v>
      </c>
      <c r="B1747" t="s">
        <v>6757</v>
      </c>
      <c r="C1747" t="s">
        <v>6758</v>
      </c>
      <c r="D1747">
        <v>94</v>
      </c>
      <c r="E1747" t="s">
        <v>6759</v>
      </c>
      <c r="F1747" t="s">
        <v>3083</v>
      </c>
      <c r="G1747" t="s">
        <v>51</v>
      </c>
      <c r="H1747" t="s">
        <v>6760</v>
      </c>
      <c r="I1747" t="s">
        <v>1553</v>
      </c>
      <c r="J1747" t="s">
        <v>54</v>
      </c>
      <c r="K1747" t="s">
        <v>3594</v>
      </c>
      <c r="L1747" t="s">
        <v>16</v>
      </c>
      <c r="M1747" t="s">
        <v>18</v>
      </c>
      <c r="N1747">
        <v>5719</v>
      </c>
      <c r="O1747">
        <v>321</v>
      </c>
      <c r="P1747">
        <v>0</v>
      </c>
      <c r="Q1747" t="s">
        <v>7233</v>
      </c>
      <c r="R1747" t="s">
        <v>7234</v>
      </c>
      <c r="S1747" t="s">
        <v>7235</v>
      </c>
      <c r="T1747" t="s">
        <v>7236</v>
      </c>
      <c r="U1747" t="s">
        <v>60</v>
      </c>
      <c r="V1747" t="s">
        <v>61</v>
      </c>
      <c r="W1747">
        <v>3</v>
      </c>
      <c r="X1747">
        <v>0.14000000000000001</v>
      </c>
      <c r="Y1747" t="s">
        <v>680</v>
      </c>
      <c r="Z1747" t="s">
        <v>681</v>
      </c>
      <c r="AA1747">
        <v>4</v>
      </c>
      <c r="AB1747" t="s">
        <v>6761</v>
      </c>
      <c r="AC1747" t="s">
        <v>6762</v>
      </c>
      <c r="AD1747" t="s">
        <v>6763</v>
      </c>
      <c r="AE1747" t="s">
        <v>6764</v>
      </c>
      <c r="AF1747" t="s">
        <v>6765</v>
      </c>
      <c r="AG1747" t="s">
        <v>806</v>
      </c>
      <c r="AH1747" t="s">
        <v>889</v>
      </c>
      <c r="AI1747" t="s">
        <v>889</v>
      </c>
      <c r="AJ1747" t="s">
        <v>1054</v>
      </c>
      <c r="AK1747">
        <v>1</v>
      </c>
      <c r="AL1747" t="s">
        <v>6861</v>
      </c>
      <c r="AM1747" t="s">
        <v>6862</v>
      </c>
      <c r="AN1747" t="s">
        <v>6963</v>
      </c>
      <c r="AO1747" t="s">
        <v>66</v>
      </c>
      <c r="AP1747">
        <v>1</v>
      </c>
      <c r="AQ1747" t="s">
        <v>6964</v>
      </c>
      <c r="AR1747" t="s">
        <v>6965</v>
      </c>
      <c r="AS1747" t="s">
        <v>7066</v>
      </c>
      <c r="AT1747" t="s">
        <v>66</v>
      </c>
    </row>
    <row r="1748" spans="1:46" x14ac:dyDescent="0.15">
      <c r="A1748" t="s">
        <v>7237</v>
      </c>
      <c r="B1748" t="s">
        <v>6757</v>
      </c>
      <c r="C1748" t="s">
        <v>6758</v>
      </c>
      <c r="D1748">
        <v>95</v>
      </c>
      <c r="E1748" t="s">
        <v>6759</v>
      </c>
      <c r="F1748" t="s">
        <v>3083</v>
      </c>
      <c r="G1748" t="s">
        <v>51</v>
      </c>
      <c r="H1748" t="s">
        <v>6760</v>
      </c>
      <c r="I1748" t="s">
        <v>1553</v>
      </c>
      <c r="J1748" t="s">
        <v>54</v>
      </c>
      <c r="K1748" t="s">
        <v>3594</v>
      </c>
      <c r="L1748" t="s">
        <v>16</v>
      </c>
      <c r="M1748" t="s">
        <v>18</v>
      </c>
      <c r="N1748">
        <v>5776</v>
      </c>
      <c r="O1748">
        <v>324</v>
      </c>
      <c r="P1748">
        <v>0</v>
      </c>
      <c r="Q1748" t="s">
        <v>7238</v>
      </c>
      <c r="R1748" t="s">
        <v>7239</v>
      </c>
      <c r="S1748" t="s">
        <v>7240</v>
      </c>
      <c r="T1748" t="s">
        <v>7241</v>
      </c>
      <c r="U1748" t="s">
        <v>60</v>
      </c>
      <c r="V1748" t="s">
        <v>61</v>
      </c>
      <c r="W1748">
        <v>3</v>
      </c>
      <c r="X1748">
        <v>0.14000000000000001</v>
      </c>
      <c r="Y1748" t="s">
        <v>376</v>
      </c>
      <c r="Z1748" t="s">
        <v>687</v>
      </c>
      <c r="AA1748">
        <v>4</v>
      </c>
      <c r="AB1748" t="s">
        <v>6761</v>
      </c>
      <c r="AC1748" t="s">
        <v>6762</v>
      </c>
      <c r="AD1748" t="s">
        <v>6763</v>
      </c>
      <c r="AE1748" t="s">
        <v>6764</v>
      </c>
      <c r="AF1748" t="s">
        <v>6765</v>
      </c>
      <c r="AG1748" t="s">
        <v>806</v>
      </c>
      <c r="AH1748" t="s">
        <v>889</v>
      </c>
      <c r="AI1748" t="s">
        <v>889</v>
      </c>
      <c r="AJ1748" t="s">
        <v>1054</v>
      </c>
      <c r="AK1748">
        <v>1</v>
      </c>
      <c r="AL1748" t="s">
        <v>6861</v>
      </c>
      <c r="AM1748" t="s">
        <v>6862</v>
      </c>
      <c r="AN1748" t="s">
        <v>6963</v>
      </c>
      <c r="AO1748" t="s">
        <v>66</v>
      </c>
      <c r="AP1748">
        <v>1</v>
      </c>
      <c r="AQ1748" t="s">
        <v>6964</v>
      </c>
      <c r="AR1748" t="s">
        <v>6965</v>
      </c>
      <c r="AS1748" t="s">
        <v>7066</v>
      </c>
      <c r="AT1748" t="s">
        <v>66</v>
      </c>
    </row>
    <row r="1749" spans="1:46" x14ac:dyDescent="0.15">
      <c r="A1749" t="s">
        <v>7242</v>
      </c>
      <c r="B1749" t="s">
        <v>6757</v>
      </c>
      <c r="C1749" t="s">
        <v>6758</v>
      </c>
      <c r="D1749">
        <v>96</v>
      </c>
      <c r="E1749" t="s">
        <v>6759</v>
      </c>
      <c r="F1749" t="s">
        <v>3083</v>
      </c>
      <c r="G1749" t="s">
        <v>51</v>
      </c>
      <c r="H1749" t="s">
        <v>6760</v>
      </c>
      <c r="I1749" t="s">
        <v>1553</v>
      </c>
      <c r="J1749" t="s">
        <v>54</v>
      </c>
      <c r="K1749" t="s">
        <v>3594</v>
      </c>
      <c r="L1749" t="s">
        <v>16</v>
      </c>
      <c r="M1749" t="s">
        <v>18</v>
      </c>
      <c r="N1749">
        <v>5832</v>
      </c>
      <c r="O1749">
        <v>328</v>
      </c>
      <c r="P1749">
        <v>0</v>
      </c>
      <c r="Q1749" t="s">
        <v>7243</v>
      </c>
      <c r="R1749" t="s">
        <v>7244</v>
      </c>
      <c r="S1749" t="s">
        <v>7245</v>
      </c>
      <c r="T1749" t="s">
        <v>7246</v>
      </c>
      <c r="U1749" t="s">
        <v>60</v>
      </c>
      <c r="V1749" t="s">
        <v>61</v>
      </c>
      <c r="W1749">
        <v>3</v>
      </c>
      <c r="X1749">
        <v>0.14000000000000001</v>
      </c>
      <c r="Y1749" t="s">
        <v>693</v>
      </c>
      <c r="Z1749" t="s">
        <v>694</v>
      </c>
      <c r="AA1749">
        <v>4</v>
      </c>
      <c r="AB1749" t="s">
        <v>6761</v>
      </c>
      <c r="AC1749" t="s">
        <v>6762</v>
      </c>
      <c r="AD1749" t="s">
        <v>6763</v>
      </c>
      <c r="AE1749" t="s">
        <v>6764</v>
      </c>
      <c r="AF1749" t="s">
        <v>6765</v>
      </c>
      <c r="AG1749" t="s">
        <v>806</v>
      </c>
      <c r="AH1749" t="s">
        <v>889</v>
      </c>
      <c r="AI1749" t="s">
        <v>889</v>
      </c>
      <c r="AJ1749" t="s">
        <v>1054</v>
      </c>
      <c r="AK1749">
        <v>1</v>
      </c>
      <c r="AL1749" t="s">
        <v>6861</v>
      </c>
      <c r="AM1749" t="s">
        <v>6862</v>
      </c>
      <c r="AN1749" t="s">
        <v>6963</v>
      </c>
      <c r="AO1749" t="s">
        <v>66</v>
      </c>
      <c r="AP1749">
        <v>1</v>
      </c>
      <c r="AQ1749" t="s">
        <v>6964</v>
      </c>
      <c r="AR1749" t="s">
        <v>6965</v>
      </c>
      <c r="AS1749" t="s">
        <v>7066</v>
      </c>
      <c r="AT1749" t="s">
        <v>66</v>
      </c>
    </row>
    <row r="1750" spans="1:46" x14ac:dyDescent="0.15">
      <c r="A1750" t="s">
        <v>7247</v>
      </c>
      <c r="B1750" t="s">
        <v>6757</v>
      </c>
      <c r="C1750" t="s">
        <v>6758</v>
      </c>
      <c r="D1750">
        <v>97</v>
      </c>
      <c r="E1750" t="s">
        <v>6759</v>
      </c>
      <c r="F1750" t="s">
        <v>3083</v>
      </c>
      <c r="G1750" t="s">
        <v>51</v>
      </c>
      <c r="H1750" t="s">
        <v>6760</v>
      </c>
      <c r="I1750" t="s">
        <v>1553</v>
      </c>
      <c r="J1750" t="s">
        <v>54</v>
      </c>
      <c r="K1750" t="s">
        <v>3594</v>
      </c>
      <c r="L1750" t="s">
        <v>16</v>
      </c>
      <c r="M1750" t="s">
        <v>18</v>
      </c>
      <c r="N1750">
        <v>5888</v>
      </c>
      <c r="O1750">
        <v>331</v>
      </c>
      <c r="P1750">
        <v>0</v>
      </c>
      <c r="Q1750" t="s">
        <v>7248</v>
      </c>
      <c r="R1750" t="s">
        <v>7249</v>
      </c>
      <c r="S1750" t="s">
        <v>7250</v>
      </c>
      <c r="T1750" t="s">
        <v>7251</v>
      </c>
      <c r="U1750" t="s">
        <v>60</v>
      </c>
      <c r="V1750" t="s">
        <v>61</v>
      </c>
      <c r="W1750">
        <v>3</v>
      </c>
      <c r="X1750">
        <v>0.14000000000000001</v>
      </c>
      <c r="Y1750" t="s">
        <v>382</v>
      </c>
      <c r="Z1750" t="s">
        <v>700</v>
      </c>
      <c r="AA1750">
        <v>4</v>
      </c>
      <c r="AB1750" t="s">
        <v>6761</v>
      </c>
      <c r="AC1750" t="s">
        <v>6762</v>
      </c>
      <c r="AD1750" t="s">
        <v>6763</v>
      </c>
      <c r="AE1750" t="s">
        <v>6764</v>
      </c>
      <c r="AF1750" t="s">
        <v>6765</v>
      </c>
      <c r="AG1750" t="s">
        <v>806</v>
      </c>
      <c r="AH1750" t="s">
        <v>889</v>
      </c>
      <c r="AI1750" t="s">
        <v>889</v>
      </c>
      <c r="AJ1750" t="s">
        <v>1054</v>
      </c>
      <c r="AK1750">
        <v>1</v>
      </c>
      <c r="AL1750" t="s">
        <v>6861</v>
      </c>
      <c r="AM1750" t="s">
        <v>6862</v>
      </c>
      <c r="AN1750" t="s">
        <v>6963</v>
      </c>
      <c r="AO1750" t="s">
        <v>66</v>
      </c>
      <c r="AP1750">
        <v>1</v>
      </c>
      <c r="AQ1750" t="s">
        <v>6964</v>
      </c>
      <c r="AR1750" t="s">
        <v>6965</v>
      </c>
      <c r="AS1750" t="s">
        <v>7066</v>
      </c>
      <c r="AT1750" t="s">
        <v>66</v>
      </c>
    </row>
    <row r="1751" spans="1:46" x14ac:dyDescent="0.15">
      <c r="A1751" t="s">
        <v>7252</v>
      </c>
      <c r="B1751" t="s">
        <v>6757</v>
      </c>
      <c r="C1751" t="s">
        <v>6758</v>
      </c>
      <c r="D1751">
        <v>98</v>
      </c>
      <c r="E1751" t="s">
        <v>6759</v>
      </c>
      <c r="F1751" t="s">
        <v>3083</v>
      </c>
      <c r="G1751" t="s">
        <v>51</v>
      </c>
      <c r="H1751" t="s">
        <v>6760</v>
      </c>
      <c r="I1751" t="s">
        <v>1553</v>
      </c>
      <c r="J1751" t="s">
        <v>54</v>
      </c>
      <c r="K1751" t="s">
        <v>3594</v>
      </c>
      <c r="L1751" t="s">
        <v>16</v>
      </c>
      <c r="M1751" t="s">
        <v>18</v>
      </c>
      <c r="N1751">
        <v>5944</v>
      </c>
      <c r="O1751">
        <v>334</v>
      </c>
      <c r="P1751">
        <v>0</v>
      </c>
      <c r="Q1751" t="s">
        <v>7253</v>
      </c>
      <c r="R1751" t="s">
        <v>7254</v>
      </c>
      <c r="S1751" t="s">
        <v>7255</v>
      </c>
      <c r="T1751" t="s">
        <v>7256</v>
      </c>
      <c r="U1751" t="s">
        <v>60</v>
      </c>
      <c r="V1751" t="s">
        <v>61</v>
      </c>
      <c r="W1751">
        <v>3</v>
      </c>
      <c r="X1751">
        <v>0.14000000000000001</v>
      </c>
      <c r="Y1751" t="s">
        <v>706</v>
      </c>
      <c r="Z1751" t="s">
        <v>707</v>
      </c>
      <c r="AA1751">
        <v>4</v>
      </c>
      <c r="AB1751" t="s">
        <v>6761</v>
      </c>
      <c r="AC1751" t="s">
        <v>6762</v>
      </c>
      <c r="AD1751" t="s">
        <v>6763</v>
      </c>
      <c r="AE1751" t="s">
        <v>6764</v>
      </c>
      <c r="AF1751" t="s">
        <v>6765</v>
      </c>
      <c r="AG1751" t="s">
        <v>806</v>
      </c>
      <c r="AH1751" t="s">
        <v>889</v>
      </c>
      <c r="AI1751" t="s">
        <v>889</v>
      </c>
      <c r="AJ1751" t="s">
        <v>1054</v>
      </c>
      <c r="AK1751">
        <v>1</v>
      </c>
      <c r="AL1751" t="s">
        <v>6861</v>
      </c>
      <c r="AM1751" t="s">
        <v>6862</v>
      </c>
      <c r="AN1751" t="s">
        <v>6963</v>
      </c>
      <c r="AO1751" t="s">
        <v>66</v>
      </c>
      <c r="AP1751">
        <v>1</v>
      </c>
      <c r="AQ1751" t="s">
        <v>6964</v>
      </c>
      <c r="AR1751" t="s">
        <v>6965</v>
      </c>
      <c r="AS1751" t="s">
        <v>7066</v>
      </c>
      <c r="AT1751" t="s">
        <v>66</v>
      </c>
    </row>
    <row r="1752" spans="1:46" x14ac:dyDescent="0.15">
      <c r="A1752" t="s">
        <v>7257</v>
      </c>
      <c r="B1752" t="s">
        <v>6757</v>
      </c>
      <c r="C1752" t="s">
        <v>6758</v>
      </c>
      <c r="D1752">
        <v>99</v>
      </c>
      <c r="E1752" t="s">
        <v>6759</v>
      </c>
      <c r="F1752" t="s">
        <v>3083</v>
      </c>
      <c r="G1752" t="s">
        <v>51</v>
      </c>
      <c r="H1752" t="s">
        <v>6760</v>
      </c>
      <c r="I1752" t="s">
        <v>1553</v>
      </c>
      <c r="J1752" t="s">
        <v>54</v>
      </c>
      <c r="K1752" t="s">
        <v>3594</v>
      </c>
      <c r="L1752" t="s">
        <v>16</v>
      </c>
      <c r="M1752" t="s">
        <v>18</v>
      </c>
      <c r="N1752">
        <v>6000</v>
      </c>
      <c r="O1752">
        <v>337</v>
      </c>
      <c r="P1752">
        <v>0</v>
      </c>
      <c r="Q1752" t="s">
        <v>7258</v>
      </c>
      <c r="R1752" t="s">
        <v>7259</v>
      </c>
      <c r="S1752" t="s">
        <v>7260</v>
      </c>
      <c r="T1752" t="s">
        <v>6343</v>
      </c>
      <c r="U1752" t="s">
        <v>60</v>
      </c>
      <c r="V1752" t="s">
        <v>61</v>
      </c>
      <c r="W1752">
        <v>3</v>
      </c>
      <c r="X1752">
        <v>0.14000000000000001</v>
      </c>
      <c r="Y1752" t="s">
        <v>389</v>
      </c>
      <c r="Z1752" t="s">
        <v>713</v>
      </c>
      <c r="AA1752">
        <v>4</v>
      </c>
      <c r="AB1752" t="s">
        <v>6761</v>
      </c>
      <c r="AC1752" t="s">
        <v>6762</v>
      </c>
      <c r="AD1752" t="s">
        <v>6763</v>
      </c>
      <c r="AE1752" t="s">
        <v>6764</v>
      </c>
      <c r="AF1752" t="s">
        <v>6765</v>
      </c>
      <c r="AG1752" t="s">
        <v>806</v>
      </c>
      <c r="AH1752" t="s">
        <v>889</v>
      </c>
      <c r="AI1752" t="s">
        <v>889</v>
      </c>
      <c r="AJ1752" t="s">
        <v>1054</v>
      </c>
      <c r="AK1752">
        <v>1</v>
      </c>
      <c r="AL1752" t="s">
        <v>6861</v>
      </c>
      <c r="AM1752" t="s">
        <v>6862</v>
      </c>
      <c r="AN1752" t="s">
        <v>6963</v>
      </c>
      <c r="AO1752" t="s">
        <v>66</v>
      </c>
      <c r="AP1752">
        <v>1</v>
      </c>
      <c r="AQ1752" t="s">
        <v>6964</v>
      </c>
      <c r="AR1752" t="s">
        <v>6965</v>
      </c>
      <c r="AS1752" t="s">
        <v>7066</v>
      </c>
      <c r="AT1752" t="s">
        <v>66</v>
      </c>
    </row>
    <row r="1753" spans="1:46" x14ac:dyDescent="0.15">
      <c r="A1753" t="s">
        <v>7261</v>
      </c>
      <c r="B1753" t="s">
        <v>7262</v>
      </c>
      <c r="C1753" t="s">
        <v>7263</v>
      </c>
      <c r="D1753">
        <v>1</v>
      </c>
      <c r="E1753" t="s">
        <v>7264</v>
      </c>
      <c r="F1753" t="s">
        <v>4516</v>
      </c>
      <c r="G1753" t="s">
        <v>51</v>
      </c>
      <c r="H1753" t="s">
        <v>7265</v>
      </c>
      <c r="I1753" t="s">
        <v>53</v>
      </c>
      <c r="J1753" t="s">
        <v>54</v>
      </c>
      <c r="K1753" t="s">
        <v>1338</v>
      </c>
      <c r="L1753" t="s">
        <v>18</v>
      </c>
      <c r="M1753" t="s">
        <v>16</v>
      </c>
      <c r="N1753">
        <v>500</v>
      </c>
      <c r="O1753">
        <v>30</v>
      </c>
      <c r="P1753">
        <v>0</v>
      </c>
      <c r="Q1753" t="s">
        <v>1339</v>
      </c>
      <c r="R1753" t="s">
        <v>7266</v>
      </c>
      <c r="S1753" t="s">
        <v>7267</v>
      </c>
      <c r="T1753" t="s">
        <v>5940</v>
      </c>
      <c r="U1753" t="s">
        <v>60</v>
      </c>
      <c r="V1753" t="s">
        <v>61</v>
      </c>
      <c r="W1753">
        <v>5</v>
      </c>
      <c r="X1753">
        <v>9.1874999999999998E-2</v>
      </c>
      <c r="Y1753" t="s">
        <v>62</v>
      </c>
      <c r="Z1753" t="s">
        <v>62</v>
      </c>
      <c r="AA1753">
        <v>0</v>
      </c>
      <c r="AB1753" t="s">
        <v>7268</v>
      </c>
      <c r="AC1753" t="s">
        <v>7269</v>
      </c>
      <c r="AD1753" t="s">
        <v>7270</v>
      </c>
      <c r="AE1753" t="s">
        <v>7271</v>
      </c>
      <c r="AF1753" t="s">
        <v>7272</v>
      </c>
      <c r="AG1753" t="s">
        <v>66</v>
      </c>
      <c r="AH1753" t="s">
        <v>66</v>
      </c>
      <c r="AI1753" t="s">
        <v>66</v>
      </c>
      <c r="AJ1753" t="s">
        <v>66</v>
      </c>
      <c r="AK1753">
        <v>1</v>
      </c>
      <c r="AL1753" t="s">
        <v>66</v>
      </c>
      <c r="AM1753" t="s">
        <v>66</v>
      </c>
      <c r="AN1753" t="s">
        <v>66</v>
      </c>
      <c r="AO1753" t="s">
        <v>66</v>
      </c>
      <c r="AP1753">
        <v>1</v>
      </c>
      <c r="AQ1753" t="s">
        <v>66</v>
      </c>
      <c r="AR1753" t="s">
        <v>66</v>
      </c>
      <c r="AS1753" t="s">
        <v>66</v>
      </c>
      <c r="AT1753" t="s">
        <v>66</v>
      </c>
    </row>
    <row r="1754" spans="1:46" x14ac:dyDescent="0.15">
      <c r="A1754" t="s">
        <v>7273</v>
      </c>
      <c r="B1754" t="s">
        <v>7262</v>
      </c>
      <c r="C1754" t="s">
        <v>7263</v>
      </c>
      <c r="D1754">
        <v>2</v>
      </c>
      <c r="E1754" t="s">
        <v>7264</v>
      </c>
      <c r="F1754" t="s">
        <v>4516</v>
      </c>
      <c r="G1754" t="s">
        <v>51</v>
      </c>
      <c r="H1754" t="s">
        <v>7265</v>
      </c>
      <c r="I1754" t="s">
        <v>53</v>
      </c>
      <c r="J1754" t="s">
        <v>54</v>
      </c>
      <c r="K1754" t="s">
        <v>1338</v>
      </c>
      <c r="L1754" t="s">
        <v>18</v>
      </c>
      <c r="M1754" t="s">
        <v>16</v>
      </c>
      <c r="N1754">
        <v>556</v>
      </c>
      <c r="O1754">
        <v>33</v>
      </c>
      <c r="P1754">
        <v>0</v>
      </c>
      <c r="Q1754" t="s">
        <v>7274</v>
      </c>
      <c r="R1754" t="s">
        <v>7275</v>
      </c>
      <c r="S1754" t="s">
        <v>7276</v>
      </c>
      <c r="T1754" t="s">
        <v>5949</v>
      </c>
      <c r="U1754" t="s">
        <v>60</v>
      </c>
      <c r="V1754" t="s">
        <v>61</v>
      </c>
      <c r="W1754">
        <v>5</v>
      </c>
      <c r="X1754">
        <v>9.1874999999999998E-2</v>
      </c>
      <c r="Y1754" t="s">
        <v>72</v>
      </c>
      <c r="Z1754" t="s">
        <v>73</v>
      </c>
      <c r="AA1754">
        <v>0</v>
      </c>
      <c r="AB1754" t="s">
        <v>7268</v>
      </c>
      <c r="AC1754" t="s">
        <v>7269</v>
      </c>
      <c r="AD1754" t="s">
        <v>7270</v>
      </c>
      <c r="AE1754" t="s">
        <v>7271</v>
      </c>
      <c r="AF1754" t="s">
        <v>7272</v>
      </c>
      <c r="AG1754" t="s">
        <v>66</v>
      </c>
      <c r="AH1754" t="s">
        <v>66</v>
      </c>
      <c r="AI1754" t="s">
        <v>66</v>
      </c>
      <c r="AJ1754" t="s">
        <v>66</v>
      </c>
      <c r="AK1754">
        <v>1</v>
      </c>
      <c r="AL1754" t="s">
        <v>66</v>
      </c>
      <c r="AM1754" t="s">
        <v>66</v>
      </c>
      <c r="AN1754" t="s">
        <v>66</v>
      </c>
      <c r="AO1754" t="s">
        <v>66</v>
      </c>
      <c r="AP1754">
        <v>1</v>
      </c>
      <c r="AQ1754" t="s">
        <v>66</v>
      </c>
      <c r="AR1754" t="s">
        <v>66</v>
      </c>
      <c r="AS1754" t="s">
        <v>66</v>
      </c>
      <c r="AT1754" t="s">
        <v>66</v>
      </c>
    </row>
    <row r="1755" spans="1:46" x14ac:dyDescent="0.15">
      <c r="A1755" t="s">
        <v>7277</v>
      </c>
      <c r="B1755" t="s">
        <v>7262</v>
      </c>
      <c r="C1755" t="s">
        <v>7263</v>
      </c>
      <c r="D1755">
        <v>3</v>
      </c>
      <c r="E1755" t="s">
        <v>7264</v>
      </c>
      <c r="F1755" t="s">
        <v>4516</v>
      </c>
      <c r="G1755" t="s">
        <v>51</v>
      </c>
      <c r="H1755" t="s">
        <v>7265</v>
      </c>
      <c r="I1755" t="s">
        <v>53</v>
      </c>
      <c r="J1755" t="s">
        <v>54</v>
      </c>
      <c r="K1755" t="s">
        <v>1338</v>
      </c>
      <c r="L1755" t="s">
        <v>18</v>
      </c>
      <c r="M1755" t="s">
        <v>16</v>
      </c>
      <c r="N1755">
        <v>612</v>
      </c>
      <c r="O1755">
        <v>36</v>
      </c>
      <c r="P1755">
        <v>0</v>
      </c>
      <c r="Q1755" t="s">
        <v>7278</v>
      </c>
      <c r="R1755" t="s">
        <v>7279</v>
      </c>
      <c r="S1755" t="s">
        <v>7280</v>
      </c>
      <c r="T1755" t="s">
        <v>5953</v>
      </c>
      <c r="U1755" t="s">
        <v>60</v>
      </c>
      <c r="V1755" t="s">
        <v>61</v>
      </c>
      <c r="W1755">
        <v>5</v>
      </c>
      <c r="X1755">
        <v>9.1874999999999998E-2</v>
      </c>
      <c r="Y1755" t="s">
        <v>73</v>
      </c>
      <c r="Z1755" t="s">
        <v>79</v>
      </c>
      <c r="AA1755">
        <v>0</v>
      </c>
      <c r="AB1755" t="s">
        <v>7268</v>
      </c>
      <c r="AC1755" t="s">
        <v>7269</v>
      </c>
      <c r="AD1755" t="s">
        <v>7270</v>
      </c>
      <c r="AE1755" t="s">
        <v>7271</v>
      </c>
      <c r="AF1755" t="s">
        <v>7272</v>
      </c>
      <c r="AG1755" t="s">
        <v>66</v>
      </c>
      <c r="AH1755" t="s">
        <v>66</v>
      </c>
      <c r="AI1755" t="s">
        <v>66</v>
      </c>
      <c r="AJ1755" t="s">
        <v>66</v>
      </c>
      <c r="AK1755">
        <v>1</v>
      </c>
      <c r="AL1755" t="s">
        <v>66</v>
      </c>
      <c r="AM1755" t="s">
        <v>66</v>
      </c>
      <c r="AN1755" t="s">
        <v>66</v>
      </c>
      <c r="AO1755" t="s">
        <v>66</v>
      </c>
      <c r="AP1755">
        <v>1</v>
      </c>
      <c r="AQ1755" t="s">
        <v>66</v>
      </c>
      <c r="AR1755" t="s">
        <v>66</v>
      </c>
      <c r="AS1755" t="s">
        <v>66</v>
      </c>
      <c r="AT1755" t="s">
        <v>66</v>
      </c>
    </row>
    <row r="1756" spans="1:46" x14ac:dyDescent="0.15">
      <c r="A1756" t="s">
        <v>7281</v>
      </c>
      <c r="B1756" t="s">
        <v>7262</v>
      </c>
      <c r="C1756" t="s">
        <v>7263</v>
      </c>
      <c r="D1756">
        <v>4</v>
      </c>
      <c r="E1756" t="s">
        <v>7264</v>
      </c>
      <c r="F1756" t="s">
        <v>4516</v>
      </c>
      <c r="G1756" t="s">
        <v>51</v>
      </c>
      <c r="H1756" t="s">
        <v>7265</v>
      </c>
      <c r="I1756" t="s">
        <v>53</v>
      </c>
      <c r="J1756" t="s">
        <v>54</v>
      </c>
      <c r="K1756" t="s">
        <v>1338</v>
      </c>
      <c r="L1756" t="s">
        <v>18</v>
      </c>
      <c r="M1756" t="s">
        <v>16</v>
      </c>
      <c r="N1756">
        <v>668</v>
      </c>
      <c r="O1756">
        <v>40</v>
      </c>
      <c r="P1756">
        <v>0</v>
      </c>
      <c r="Q1756" t="s">
        <v>7282</v>
      </c>
      <c r="R1756" t="s">
        <v>7283</v>
      </c>
      <c r="S1756" t="s">
        <v>7284</v>
      </c>
      <c r="T1756" t="s">
        <v>5957</v>
      </c>
      <c r="U1756" t="s">
        <v>60</v>
      </c>
      <c r="V1756" t="s">
        <v>61</v>
      </c>
      <c r="W1756">
        <v>5</v>
      </c>
      <c r="X1756">
        <v>9.1874999999999998E-2</v>
      </c>
      <c r="Y1756" t="s">
        <v>85</v>
      </c>
      <c r="Z1756" t="s">
        <v>86</v>
      </c>
      <c r="AA1756">
        <v>0</v>
      </c>
      <c r="AB1756" t="s">
        <v>7268</v>
      </c>
      <c r="AC1756" t="s">
        <v>7269</v>
      </c>
      <c r="AD1756" t="s">
        <v>7270</v>
      </c>
      <c r="AE1756" t="s">
        <v>7271</v>
      </c>
      <c r="AF1756" t="s">
        <v>7272</v>
      </c>
      <c r="AG1756" t="s">
        <v>66</v>
      </c>
      <c r="AH1756" t="s">
        <v>66</v>
      </c>
      <c r="AI1756" t="s">
        <v>66</v>
      </c>
      <c r="AJ1756" t="s">
        <v>66</v>
      </c>
      <c r="AK1756">
        <v>1</v>
      </c>
      <c r="AL1756" t="s">
        <v>66</v>
      </c>
      <c r="AM1756" t="s">
        <v>66</v>
      </c>
      <c r="AN1756" t="s">
        <v>66</v>
      </c>
      <c r="AO1756" t="s">
        <v>66</v>
      </c>
      <c r="AP1756">
        <v>1</v>
      </c>
      <c r="AQ1756" t="s">
        <v>66</v>
      </c>
      <c r="AR1756" t="s">
        <v>66</v>
      </c>
      <c r="AS1756" t="s">
        <v>66</v>
      </c>
      <c r="AT1756" t="s">
        <v>66</v>
      </c>
    </row>
    <row r="1757" spans="1:46" x14ac:dyDescent="0.15">
      <c r="A1757" t="s">
        <v>7285</v>
      </c>
      <c r="B1757" t="s">
        <v>7262</v>
      </c>
      <c r="C1757" t="s">
        <v>7263</v>
      </c>
      <c r="D1757">
        <v>5</v>
      </c>
      <c r="E1757" t="s">
        <v>7264</v>
      </c>
      <c r="F1757" t="s">
        <v>4516</v>
      </c>
      <c r="G1757" t="s">
        <v>51</v>
      </c>
      <c r="H1757" t="s">
        <v>7265</v>
      </c>
      <c r="I1757" t="s">
        <v>53</v>
      </c>
      <c r="J1757" t="s">
        <v>54</v>
      </c>
      <c r="K1757" t="s">
        <v>1338</v>
      </c>
      <c r="L1757" t="s">
        <v>18</v>
      </c>
      <c r="M1757" t="s">
        <v>16</v>
      </c>
      <c r="N1757">
        <v>724</v>
      </c>
      <c r="O1757">
        <v>43</v>
      </c>
      <c r="P1757">
        <v>0</v>
      </c>
      <c r="Q1757" t="s">
        <v>7286</v>
      </c>
      <c r="R1757" t="s">
        <v>7287</v>
      </c>
      <c r="S1757" t="s">
        <v>7288</v>
      </c>
      <c r="T1757" t="s">
        <v>5961</v>
      </c>
      <c r="U1757" t="s">
        <v>60</v>
      </c>
      <c r="V1757" t="s">
        <v>61</v>
      </c>
      <c r="W1757">
        <v>5</v>
      </c>
      <c r="X1757">
        <v>9.1874999999999998E-2</v>
      </c>
      <c r="Y1757" t="s">
        <v>79</v>
      </c>
      <c r="Z1757" t="s">
        <v>92</v>
      </c>
      <c r="AA1757">
        <v>0</v>
      </c>
      <c r="AB1757" t="s">
        <v>7268</v>
      </c>
      <c r="AC1757" t="s">
        <v>7269</v>
      </c>
      <c r="AD1757" t="s">
        <v>7270</v>
      </c>
      <c r="AE1757" t="s">
        <v>7271</v>
      </c>
      <c r="AF1757" t="s">
        <v>7272</v>
      </c>
      <c r="AG1757" t="s">
        <v>66</v>
      </c>
      <c r="AH1757" t="s">
        <v>66</v>
      </c>
      <c r="AI1757" t="s">
        <v>66</v>
      </c>
      <c r="AJ1757" t="s">
        <v>66</v>
      </c>
      <c r="AK1757">
        <v>1</v>
      </c>
      <c r="AL1757" t="s">
        <v>66</v>
      </c>
      <c r="AM1757" t="s">
        <v>66</v>
      </c>
      <c r="AN1757" t="s">
        <v>66</v>
      </c>
      <c r="AO1757" t="s">
        <v>66</v>
      </c>
      <c r="AP1757">
        <v>1</v>
      </c>
      <c r="AQ1757" t="s">
        <v>66</v>
      </c>
      <c r="AR1757" t="s">
        <v>66</v>
      </c>
      <c r="AS1757" t="s">
        <v>66</v>
      </c>
      <c r="AT1757" t="s">
        <v>66</v>
      </c>
    </row>
    <row r="1758" spans="1:46" x14ac:dyDescent="0.15">
      <c r="A1758" t="s">
        <v>7289</v>
      </c>
      <c r="B1758" t="s">
        <v>7262</v>
      </c>
      <c r="C1758" t="s">
        <v>7263</v>
      </c>
      <c r="D1758">
        <v>6</v>
      </c>
      <c r="E1758" t="s">
        <v>7264</v>
      </c>
      <c r="F1758" t="s">
        <v>4516</v>
      </c>
      <c r="G1758" t="s">
        <v>51</v>
      </c>
      <c r="H1758" t="s">
        <v>7265</v>
      </c>
      <c r="I1758" t="s">
        <v>53</v>
      </c>
      <c r="J1758" t="s">
        <v>54</v>
      </c>
      <c r="K1758" t="s">
        <v>1338</v>
      </c>
      <c r="L1758" t="s">
        <v>18</v>
      </c>
      <c r="M1758" t="s">
        <v>16</v>
      </c>
      <c r="N1758">
        <v>781</v>
      </c>
      <c r="O1758">
        <v>46</v>
      </c>
      <c r="P1758">
        <v>0</v>
      </c>
      <c r="Q1758" t="s">
        <v>7290</v>
      </c>
      <c r="R1758" t="s">
        <v>7291</v>
      </c>
      <c r="S1758" t="s">
        <v>7292</v>
      </c>
      <c r="T1758" t="s">
        <v>5965</v>
      </c>
      <c r="U1758" t="s">
        <v>60</v>
      </c>
      <c r="V1758" t="s">
        <v>61</v>
      </c>
      <c r="W1758">
        <v>5</v>
      </c>
      <c r="X1758">
        <v>9.1874999999999998E-2</v>
      </c>
      <c r="Y1758" t="s">
        <v>98</v>
      </c>
      <c r="Z1758" t="s">
        <v>99</v>
      </c>
      <c r="AA1758">
        <v>0</v>
      </c>
      <c r="AB1758" t="s">
        <v>7268</v>
      </c>
      <c r="AC1758" t="s">
        <v>7269</v>
      </c>
      <c r="AD1758" t="s">
        <v>7270</v>
      </c>
      <c r="AE1758" t="s">
        <v>7271</v>
      </c>
      <c r="AF1758" t="s">
        <v>7272</v>
      </c>
      <c r="AG1758" t="s">
        <v>66</v>
      </c>
      <c r="AH1758" t="s">
        <v>66</v>
      </c>
      <c r="AI1758" t="s">
        <v>66</v>
      </c>
      <c r="AJ1758" t="s">
        <v>66</v>
      </c>
      <c r="AK1758">
        <v>1</v>
      </c>
      <c r="AL1758" t="s">
        <v>66</v>
      </c>
      <c r="AM1758" t="s">
        <v>66</v>
      </c>
      <c r="AN1758" t="s">
        <v>66</v>
      </c>
      <c r="AO1758" t="s">
        <v>66</v>
      </c>
      <c r="AP1758">
        <v>1</v>
      </c>
      <c r="AQ1758" t="s">
        <v>66</v>
      </c>
      <c r="AR1758" t="s">
        <v>66</v>
      </c>
      <c r="AS1758" t="s">
        <v>66</v>
      </c>
      <c r="AT1758" t="s">
        <v>66</v>
      </c>
    </row>
    <row r="1759" spans="1:46" x14ac:dyDescent="0.15">
      <c r="A1759" t="s">
        <v>7293</v>
      </c>
      <c r="B1759" t="s">
        <v>7262</v>
      </c>
      <c r="C1759" t="s">
        <v>7263</v>
      </c>
      <c r="D1759">
        <v>7</v>
      </c>
      <c r="E1759" t="s">
        <v>7264</v>
      </c>
      <c r="F1759" t="s">
        <v>4516</v>
      </c>
      <c r="G1759" t="s">
        <v>51</v>
      </c>
      <c r="H1759" t="s">
        <v>7265</v>
      </c>
      <c r="I1759" t="s">
        <v>53</v>
      </c>
      <c r="J1759" t="s">
        <v>54</v>
      </c>
      <c r="K1759" t="s">
        <v>1338</v>
      </c>
      <c r="L1759" t="s">
        <v>18</v>
      </c>
      <c r="M1759" t="s">
        <v>16</v>
      </c>
      <c r="N1759">
        <v>837</v>
      </c>
      <c r="O1759">
        <v>49</v>
      </c>
      <c r="P1759">
        <v>0</v>
      </c>
      <c r="Q1759" t="s">
        <v>7294</v>
      </c>
      <c r="R1759" t="s">
        <v>7295</v>
      </c>
      <c r="S1759" t="s">
        <v>7296</v>
      </c>
      <c r="T1759" t="s">
        <v>5969</v>
      </c>
      <c r="U1759" t="s">
        <v>60</v>
      </c>
      <c r="V1759" t="s">
        <v>61</v>
      </c>
      <c r="W1759">
        <v>5</v>
      </c>
      <c r="X1759">
        <v>9.1874999999999998E-2</v>
      </c>
      <c r="Y1759" t="s">
        <v>86</v>
      </c>
      <c r="Z1759" t="s">
        <v>105</v>
      </c>
      <c r="AA1759">
        <v>0</v>
      </c>
      <c r="AB1759" t="s">
        <v>7268</v>
      </c>
      <c r="AC1759" t="s">
        <v>7269</v>
      </c>
      <c r="AD1759" t="s">
        <v>7270</v>
      </c>
      <c r="AE1759" t="s">
        <v>7271</v>
      </c>
      <c r="AF1759" t="s">
        <v>7272</v>
      </c>
      <c r="AG1759" t="s">
        <v>66</v>
      </c>
      <c r="AH1759" t="s">
        <v>66</v>
      </c>
      <c r="AI1759" t="s">
        <v>66</v>
      </c>
      <c r="AJ1759" t="s">
        <v>66</v>
      </c>
      <c r="AK1759">
        <v>1</v>
      </c>
      <c r="AL1759" t="s">
        <v>66</v>
      </c>
      <c r="AM1759" t="s">
        <v>66</v>
      </c>
      <c r="AN1759" t="s">
        <v>66</v>
      </c>
      <c r="AO1759" t="s">
        <v>66</v>
      </c>
      <c r="AP1759">
        <v>1</v>
      </c>
      <c r="AQ1759" t="s">
        <v>66</v>
      </c>
      <c r="AR1759" t="s">
        <v>66</v>
      </c>
      <c r="AS1759" t="s">
        <v>66</v>
      </c>
      <c r="AT1759" t="s">
        <v>66</v>
      </c>
    </row>
    <row r="1760" spans="1:46" x14ac:dyDescent="0.15">
      <c r="A1760" t="s">
        <v>7297</v>
      </c>
      <c r="B1760" t="s">
        <v>7262</v>
      </c>
      <c r="C1760" t="s">
        <v>7263</v>
      </c>
      <c r="D1760">
        <v>8</v>
      </c>
      <c r="E1760" t="s">
        <v>7264</v>
      </c>
      <c r="F1760" t="s">
        <v>4516</v>
      </c>
      <c r="G1760" t="s">
        <v>51</v>
      </c>
      <c r="H1760" t="s">
        <v>7265</v>
      </c>
      <c r="I1760" t="s">
        <v>53</v>
      </c>
      <c r="J1760" t="s">
        <v>54</v>
      </c>
      <c r="K1760" t="s">
        <v>1338</v>
      </c>
      <c r="L1760" t="s">
        <v>18</v>
      </c>
      <c r="M1760" t="s">
        <v>16</v>
      </c>
      <c r="N1760">
        <v>893</v>
      </c>
      <c r="O1760">
        <v>53</v>
      </c>
      <c r="P1760">
        <v>0</v>
      </c>
      <c r="Q1760" t="s">
        <v>7298</v>
      </c>
      <c r="R1760" t="s">
        <v>7299</v>
      </c>
      <c r="S1760" t="s">
        <v>7300</v>
      </c>
      <c r="T1760" t="s">
        <v>5973</v>
      </c>
      <c r="U1760" t="s">
        <v>60</v>
      </c>
      <c r="V1760" t="s">
        <v>61</v>
      </c>
      <c r="W1760">
        <v>5</v>
      </c>
      <c r="X1760">
        <v>9.1874999999999998E-2</v>
      </c>
      <c r="Y1760" t="s">
        <v>111</v>
      </c>
      <c r="Z1760" t="s">
        <v>112</v>
      </c>
      <c r="AA1760">
        <v>0</v>
      </c>
      <c r="AB1760" t="s">
        <v>7268</v>
      </c>
      <c r="AC1760" t="s">
        <v>7269</v>
      </c>
      <c r="AD1760" t="s">
        <v>7270</v>
      </c>
      <c r="AE1760" t="s">
        <v>7271</v>
      </c>
      <c r="AF1760" t="s">
        <v>7272</v>
      </c>
      <c r="AG1760" t="s">
        <v>66</v>
      </c>
      <c r="AH1760" t="s">
        <v>66</v>
      </c>
      <c r="AI1760" t="s">
        <v>66</v>
      </c>
      <c r="AJ1760" t="s">
        <v>66</v>
      </c>
      <c r="AK1760">
        <v>1</v>
      </c>
      <c r="AL1760" t="s">
        <v>66</v>
      </c>
      <c r="AM1760" t="s">
        <v>66</v>
      </c>
      <c r="AN1760" t="s">
        <v>66</v>
      </c>
      <c r="AO1760" t="s">
        <v>66</v>
      </c>
      <c r="AP1760">
        <v>1</v>
      </c>
      <c r="AQ1760" t="s">
        <v>66</v>
      </c>
      <c r="AR1760" t="s">
        <v>66</v>
      </c>
      <c r="AS1760" t="s">
        <v>66</v>
      </c>
      <c r="AT1760" t="s">
        <v>66</v>
      </c>
    </row>
    <row r="1761" spans="1:46" x14ac:dyDescent="0.15">
      <c r="A1761" t="s">
        <v>7301</v>
      </c>
      <c r="B1761" t="s">
        <v>7262</v>
      </c>
      <c r="C1761" t="s">
        <v>7263</v>
      </c>
      <c r="D1761">
        <v>9</v>
      </c>
      <c r="E1761" t="s">
        <v>7264</v>
      </c>
      <c r="F1761" t="s">
        <v>4516</v>
      </c>
      <c r="G1761" t="s">
        <v>51</v>
      </c>
      <c r="H1761" t="s">
        <v>7265</v>
      </c>
      <c r="I1761" t="s">
        <v>53</v>
      </c>
      <c r="J1761" t="s">
        <v>54</v>
      </c>
      <c r="K1761" t="s">
        <v>1338</v>
      </c>
      <c r="L1761" t="s">
        <v>18</v>
      </c>
      <c r="M1761" t="s">
        <v>16</v>
      </c>
      <c r="N1761">
        <v>949</v>
      </c>
      <c r="O1761">
        <v>56</v>
      </c>
      <c r="P1761">
        <v>0</v>
      </c>
      <c r="Q1761" t="s">
        <v>7302</v>
      </c>
      <c r="R1761" t="s">
        <v>7303</v>
      </c>
      <c r="S1761" t="s">
        <v>7304</v>
      </c>
      <c r="T1761" t="s">
        <v>5977</v>
      </c>
      <c r="U1761" t="s">
        <v>60</v>
      </c>
      <c r="V1761" t="s">
        <v>61</v>
      </c>
      <c r="W1761">
        <v>5</v>
      </c>
      <c r="X1761">
        <v>9.1874999999999998E-2</v>
      </c>
      <c r="Y1761" t="s">
        <v>92</v>
      </c>
      <c r="Z1761" t="s">
        <v>118</v>
      </c>
      <c r="AA1761">
        <v>0</v>
      </c>
      <c r="AB1761" t="s">
        <v>7268</v>
      </c>
      <c r="AC1761" t="s">
        <v>7269</v>
      </c>
      <c r="AD1761" t="s">
        <v>7270</v>
      </c>
      <c r="AE1761" t="s">
        <v>7271</v>
      </c>
      <c r="AF1761" t="s">
        <v>7272</v>
      </c>
      <c r="AG1761" t="s">
        <v>66</v>
      </c>
      <c r="AH1761" t="s">
        <v>66</v>
      </c>
      <c r="AI1761" t="s">
        <v>66</v>
      </c>
      <c r="AJ1761" t="s">
        <v>66</v>
      </c>
      <c r="AK1761">
        <v>1</v>
      </c>
      <c r="AL1761" t="s">
        <v>66</v>
      </c>
      <c r="AM1761" t="s">
        <v>66</v>
      </c>
      <c r="AN1761" t="s">
        <v>66</v>
      </c>
      <c r="AO1761" t="s">
        <v>66</v>
      </c>
      <c r="AP1761">
        <v>1</v>
      </c>
      <c r="AQ1761" t="s">
        <v>66</v>
      </c>
      <c r="AR1761" t="s">
        <v>66</v>
      </c>
      <c r="AS1761" t="s">
        <v>66</v>
      </c>
      <c r="AT1761" t="s">
        <v>66</v>
      </c>
    </row>
    <row r="1762" spans="1:46" x14ac:dyDescent="0.15">
      <c r="A1762" t="s">
        <v>7305</v>
      </c>
      <c r="B1762" t="s">
        <v>7262</v>
      </c>
      <c r="C1762" t="s">
        <v>7263</v>
      </c>
      <c r="D1762">
        <v>10</v>
      </c>
      <c r="E1762" t="s">
        <v>7264</v>
      </c>
      <c r="F1762" t="s">
        <v>4516</v>
      </c>
      <c r="G1762" t="s">
        <v>51</v>
      </c>
      <c r="H1762" t="s">
        <v>7265</v>
      </c>
      <c r="I1762" t="s">
        <v>53</v>
      </c>
      <c r="J1762" t="s">
        <v>54</v>
      </c>
      <c r="K1762" t="s">
        <v>1338</v>
      </c>
      <c r="L1762" t="s">
        <v>18</v>
      </c>
      <c r="M1762" t="s">
        <v>16</v>
      </c>
      <c r="N1762">
        <v>1005</v>
      </c>
      <c r="O1762">
        <v>59</v>
      </c>
      <c r="P1762">
        <v>0</v>
      </c>
      <c r="Q1762" t="s">
        <v>7306</v>
      </c>
      <c r="R1762" t="s">
        <v>7307</v>
      </c>
      <c r="S1762" t="s">
        <v>7308</v>
      </c>
      <c r="T1762" t="s">
        <v>5981</v>
      </c>
      <c r="U1762" t="s">
        <v>60</v>
      </c>
      <c r="V1762" t="s">
        <v>61</v>
      </c>
      <c r="W1762">
        <v>5</v>
      </c>
      <c r="X1762">
        <v>9.1874999999999998E-2</v>
      </c>
      <c r="Y1762" t="s">
        <v>124</v>
      </c>
      <c r="Z1762" t="s">
        <v>125</v>
      </c>
      <c r="AA1762">
        <v>0</v>
      </c>
      <c r="AB1762" t="s">
        <v>7268</v>
      </c>
      <c r="AC1762" t="s">
        <v>7269</v>
      </c>
      <c r="AD1762" t="s">
        <v>7270</v>
      </c>
      <c r="AE1762" t="s">
        <v>7271</v>
      </c>
      <c r="AF1762" t="s">
        <v>7272</v>
      </c>
      <c r="AG1762" t="s">
        <v>66</v>
      </c>
      <c r="AH1762" t="s">
        <v>66</v>
      </c>
      <c r="AI1762" t="s">
        <v>66</v>
      </c>
      <c r="AJ1762" t="s">
        <v>66</v>
      </c>
      <c r="AK1762">
        <v>1</v>
      </c>
      <c r="AL1762" t="s">
        <v>66</v>
      </c>
      <c r="AM1762" t="s">
        <v>66</v>
      </c>
      <c r="AN1762" t="s">
        <v>66</v>
      </c>
      <c r="AO1762" t="s">
        <v>66</v>
      </c>
      <c r="AP1762">
        <v>1</v>
      </c>
      <c r="AQ1762" t="s">
        <v>66</v>
      </c>
      <c r="AR1762" t="s">
        <v>66</v>
      </c>
      <c r="AS1762" t="s">
        <v>66</v>
      </c>
      <c r="AT1762" t="s">
        <v>66</v>
      </c>
    </row>
    <row r="1763" spans="1:46" x14ac:dyDescent="0.15">
      <c r="A1763" t="s">
        <v>7309</v>
      </c>
      <c r="B1763" t="s">
        <v>7262</v>
      </c>
      <c r="C1763" t="s">
        <v>7263</v>
      </c>
      <c r="D1763">
        <v>11</v>
      </c>
      <c r="E1763" t="s">
        <v>7264</v>
      </c>
      <c r="F1763" t="s">
        <v>4516</v>
      </c>
      <c r="G1763" t="s">
        <v>51</v>
      </c>
      <c r="H1763" t="s">
        <v>7265</v>
      </c>
      <c r="I1763" t="s">
        <v>53</v>
      </c>
      <c r="J1763" t="s">
        <v>54</v>
      </c>
      <c r="K1763" t="s">
        <v>1338</v>
      </c>
      <c r="L1763" t="s">
        <v>18</v>
      </c>
      <c r="M1763" t="s">
        <v>16</v>
      </c>
      <c r="N1763">
        <v>1061</v>
      </c>
      <c r="O1763">
        <v>62</v>
      </c>
      <c r="P1763">
        <v>0</v>
      </c>
      <c r="Q1763" t="s">
        <v>7310</v>
      </c>
      <c r="R1763" t="s">
        <v>7311</v>
      </c>
      <c r="S1763" t="s">
        <v>7312</v>
      </c>
      <c r="T1763" t="s">
        <v>5985</v>
      </c>
      <c r="U1763" t="s">
        <v>60</v>
      </c>
      <c r="V1763" t="s">
        <v>61</v>
      </c>
      <c r="W1763">
        <v>5</v>
      </c>
      <c r="X1763">
        <v>9.1874999999999998E-2</v>
      </c>
      <c r="Y1763" t="s">
        <v>99</v>
      </c>
      <c r="Z1763" t="s">
        <v>131</v>
      </c>
      <c r="AA1763">
        <v>0</v>
      </c>
      <c r="AB1763" t="s">
        <v>7268</v>
      </c>
      <c r="AC1763" t="s">
        <v>7269</v>
      </c>
      <c r="AD1763" t="s">
        <v>7270</v>
      </c>
      <c r="AE1763" t="s">
        <v>7271</v>
      </c>
      <c r="AF1763" t="s">
        <v>7272</v>
      </c>
      <c r="AG1763" t="s">
        <v>66</v>
      </c>
      <c r="AH1763" t="s">
        <v>66</v>
      </c>
      <c r="AI1763" t="s">
        <v>66</v>
      </c>
      <c r="AJ1763" t="s">
        <v>66</v>
      </c>
      <c r="AK1763">
        <v>1</v>
      </c>
      <c r="AL1763" t="s">
        <v>66</v>
      </c>
      <c r="AM1763" t="s">
        <v>66</v>
      </c>
      <c r="AN1763" t="s">
        <v>66</v>
      </c>
      <c r="AO1763" t="s">
        <v>66</v>
      </c>
      <c r="AP1763">
        <v>1</v>
      </c>
      <c r="AQ1763" t="s">
        <v>66</v>
      </c>
      <c r="AR1763" t="s">
        <v>66</v>
      </c>
      <c r="AS1763" t="s">
        <v>66</v>
      </c>
      <c r="AT1763" t="s">
        <v>66</v>
      </c>
    </row>
    <row r="1764" spans="1:46" x14ac:dyDescent="0.15">
      <c r="A1764" t="s">
        <v>7313</v>
      </c>
      <c r="B1764" t="s">
        <v>7262</v>
      </c>
      <c r="C1764" t="s">
        <v>7263</v>
      </c>
      <c r="D1764">
        <v>12</v>
      </c>
      <c r="E1764" t="s">
        <v>7264</v>
      </c>
      <c r="F1764" t="s">
        <v>4516</v>
      </c>
      <c r="G1764" t="s">
        <v>51</v>
      </c>
      <c r="H1764" t="s">
        <v>7265</v>
      </c>
      <c r="I1764" t="s">
        <v>53</v>
      </c>
      <c r="J1764" t="s">
        <v>54</v>
      </c>
      <c r="K1764" t="s">
        <v>1338</v>
      </c>
      <c r="L1764" t="s">
        <v>18</v>
      </c>
      <c r="M1764" t="s">
        <v>16</v>
      </c>
      <c r="N1764">
        <v>1117</v>
      </c>
      <c r="O1764">
        <v>66</v>
      </c>
      <c r="P1764">
        <v>0</v>
      </c>
      <c r="Q1764" t="s">
        <v>7314</v>
      </c>
      <c r="R1764" t="s">
        <v>7315</v>
      </c>
      <c r="S1764" t="s">
        <v>7316</v>
      </c>
      <c r="T1764" t="s">
        <v>5989</v>
      </c>
      <c r="U1764" t="s">
        <v>60</v>
      </c>
      <c r="V1764" t="s">
        <v>61</v>
      </c>
      <c r="W1764">
        <v>5</v>
      </c>
      <c r="X1764">
        <v>9.1874999999999998E-2</v>
      </c>
      <c r="Y1764" t="s">
        <v>137</v>
      </c>
      <c r="Z1764" t="s">
        <v>138</v>
      </c>
      <c r="AA1764">
        <v>0</v>
      </c>
      <c r="AB1764" t="s">
        <v>7268</v>
      </c>
      <c r="AC1764" t="s">
        <v>7269</v>
      </c>
      <c r="AD1764" t="s">
        <v>7270</v>
      </c>
      <c r="AE1764" t="s">
        <v>7271</v>
      </c>
      <c r="AF1764" t="s">
        <v>7272</v>
      </c>
      <c r="AG1764" t="s">
        <v>66</v>
      </c>
      <c r="AH1764" t="s">
        <v>66</v>
      </c>
      <c r="AI1764" t="s">
        <v>66</v>
      </c>
      <c r="AJ1764" t="s">
        <v>66</v>
      </c>
      <c r="AK1764">
        <v>1</v>
      </c>
      <c r="AL1764" t="s">
        <v>66</v>
      </c>
      <c r="AM1764" t="s">
        <v>66</v>
      </c>
      <c r="AN1764" t="s">
        <v>66</v>
      </c>
      <c r="AO1764" t="s">
        <v>66</v>
      </c>
      <c r="AP1764">
        <v>1</v>
      </c>
      <c r="AQ1764" t="s">
        <v>66</v>
      </c>
      <c r="AR1764" t="s">
        <v>66</v>
      </c>
      <c r="AS1764" t="s">
        <v>66</v>
      </c>
      <c r="AT1764" t="s">
        <v>66</v>
      </c>
    </row>
    <row r="1765" spans="1:46" x14ac:dyDescent="0.15">
      <c r="A1765" t="s">
        <v>7317</v>
      </c>
      <c r="B1765" t="s">
        <v>7262</v>
      </c>
      <c r="C1765" t="s">
        <v>7263</v>
      </c>
      <c r="D1765">
        <v>13</v>
      </c>
      <c r="E1765" t="s">
        <v>7264</v>
      </c>
      <c r="F1765" t="s">
        <v>4516</v>
      </c>
      <c r="G1765" t="s">
        <v>51</v>
      </c>
      <c r="H1765" t="s">
        <v>7265</v>
      </c>
      <c r="I1765" t="s">
        <v>53</v>
      </c>
      <c r="J1765" t="s">
        <v>54</v>
      </c>
      <c r="K1765" t="s">
        <v>1338</v>
      </c>
      <c r="L1765" t="s">
        <v>18</v>
      </c>
      <c r="M1765" t="s">
        <v>16</v>
      </c>
      <c r="N1765">
        <v>1173</v>
      </c>
      <c r="O1765">
        <v>69</v>
      </c>
      <c r="P1765">
        <v>0</v>
      </c>
      <c r="Q1765" t="s">
        <v>7318</v>
      </c>
      <c r="R1765" t="s">
        <v>7319</v>
      </c>
      <c r="S1765" t="s">
        <v>7320</v>
      </c>
      <c r="T1765" t="s">
        <v>5993</v>
      </c>
      <c r="U1765" t="s">
        <v>60</v>
      </c>
      <c r="V1765" t="s">
        <v>61</v>
      </c>
      <c r="W1765">
        <v>5</v>
      </c>
      <c r="X1765">
        <v>9.1874999999999998E-2</v>
      </c>
      <c r="Y1765" t="s">
        <v>105</v>
      </c>
      <c r="Z1765" t="s">
        <v>144</v>
      </c>
      <c r="AA1765">
        <v>0</v>
      </c>
      <c r="AB1765" t="s">
        <v>7268</v>
      </c>
      <c r="AC1765" t="s">
        <v>7269</v>
      </c>
      <c r="AD1765" t="s">
        <v>7270</v>
      </c>
      <c r="AE1765" t="s">
        <v>7271</v>
      </c>
      <c r="AF1765" t="s">
        <v>7272</v>
      </c>
      <c r="AG1765" t="s">
        <v>66</v>
      </c>
      <c r="AH1765" t="s">
        <v>66</v>
      </c>
      <c r="AI1765" t="s">
        <v>66</v>
      </c>
      <c r="AJ1765" t="s">
        <v>66</v>
      </c>
      <c r="AK1765">
        <v>1</v>
      </c>
      <c r="AL1765" t="s">
        <v>66</v>
      </c>
      <c r="AM1765" t="s">
        <v>66</v>
      </c>
      <c r="AN1765" t="s">
        <v>66</v>
      </c>
      <c r="AO1765" t="s">
        <v>66</v>
      </c>
      <c r="AP1765">
        <v>1</v>
      </c>
      <c r="AQ1765" t="s">
        <v>66</v>
      </c>
      <c r="AR1765" t="s">
        <v>66</v>
      </c>
      <c r="AS1765" t="s">
        <v>66</v>
      </c>
      <c r="AT1765" t="s">
        <v>66</v>
      </c>
    </row>
    <row r="1766" spans="1:46" x14ac:dyDescent="0.15">
      <c r="A1766" t="s">
        <v>7321</v>
      </c>
      <c r="B1766" t="s">
        <v>7262</v>
      </c>
      <c r="C1766" t="s">
        <v>7263</v>
      </c>
      <c r="D1766">
        <v>14</v>
      </c>
      <c r="E1766" t="s">
        <v>7264</v>
      </c>
      <c r="F1766" t="s">
        <v>4516</v>
      </c>
      <c r="G1766" t="s">
        <v>51</v>
      </c>
      <c r="H1766" t="s">
        <v>7265</v>
      </c>
      <c r="I1766" t="s">
        <v>53</v>
      </c>
      <c r="J1766" t="s">
        <v>54</v>
      </c>
      <c r="K1766" t="s">
        <v>1338</v>
      </c>
      <c r="L1766" t="s">
        <v>18</v>
      </c>
      <c r="M1766" t="s">
        <v>16</v>
      </c>
      <c r="N1766">
        <v>1230</v>
      </c>
      <c r="O1766">
        <v>72</v>
      </c>
      <c r="P1766">
        <v>0</v>
      </c>
      <c r="Q1766" t="s">
        <v>7322</v>
      </c>
      <c r="R1766" t="s">
        <v>7323</v>
      </c>
      <c r="S1766" t="s">
        <v>7324</v>
      </c>
      <c r="T1766" t="s">
        <v>5997</v>
      </c>
      <c r="U1766" t="s">
        <v>60</v>
      </c>
      <c r="V1766" t="s">
        <v>61</v>
      </c>
      <c r="W1766">
        <v>5</v>
      </c>
      <c r="X1766">
        <v>9.1874999999999998E-2</v>
      </c>
      <c r="Y1766" t="s">
        <v>150</v>
      </c>
      <c r="Z1766" t="s">
        <v>151</v>
      </c>
      <c r="AA1766">
        <v>0</v>
      </c>
      <c r="AB1766" t="s">
        <v>7268</v>
      </c>
      <c r="AC1766" t="s">
        <v>7269</v>
      </c>
      <c r="AD1766" t="s">
        <v>7270</v>
      </c>
      <c r="AE1766" t="s">
        <v>7271</v>
      </c>
      <c r="AF1766" t="s">
        <v>7272</v>
      </c>
      <c r="AG1766" t="s">
        <v>66</v>
      </c>
      <c r="AH1766" t="s">
        <v>66</v>
      </c>
      <c r="AI1766" t="s">
        <v>66</v>
      </c>
      <c r="AJ1766" t="s">
        <v>66</v>
      </c>
      <c r="AK1766">
        <v>1</v>
      </c>
      <c r="AL1766" t="s">
        <v>66</v>
      </c>
      <c r="AM1766" t="s">
        <v>66</v>
      </c>
      <c r="AN1766" t="s">
        <v>66</v>
      </c>
      <c r="AO1766" t="s">
        <v>66</v>
      </c>
      <c r="AP1766">
        <v>1</v>
      </c>
      <c r="AQ1766" t="s">
        <v>66</v>
      </c>
      <c r="AR1766" t="s">
        <v>66</v>
      </c>
      <c r="AS1766" t="s">
        <v>66</v>
      </c>
      <c r="AT1766" t="s">
        <v>66</v>
      </c>
    </row>
    <row r="1767" spans="1:46" x14ac:dyDescent="0.15">
      <c r="A1767" t="s">
        <v>7325</v>
      </c>
      <c r="B1767" t="s">
        <v>7262</v>
      </c>
      <c r="C1767" t="s">
        <v>7263</v>
      </c>
      <c r="D1767">
        <v>15</v>
      </c>
      <c r="E1767" t="s">
        <v>7264</v>
      </c>
      <c r="F1767" t="s">
        <v>4516</v>
      </c>
      <c r="G1767" t="s">
        <v>51</v>
      </c>
      <c r="H1767" t="s">
        <v>7265</v>
      </c>
      <c r="I1767" t="s">
        <v>53</v>
      </c>
      <c r="J1767" t="s">
        <v>54</v>
      </c>
      <c r="K1767" t="s">
        <v>1338</v>
      </c>
      <c r="L1767" t="s">
        <v>18</v>
      </c>
      <c r="M1767" t="s">
        <v>16</v>
      </c>
      <c r="N1767">
        <v>1286</v>
      </c>
      <c r="O1767">
        <v>75</v>
      </c>
      <c r="P1767">
        <v>0</v>
      </c>
      <c r="Q1767" t="s">
        <v>7326</v>
      </c>
      <c r="R1767" t="s">
        <v>7327</v>
      </c>
      <c r="S1767" t="s">
        <v>7328</v>
      </c>
      <c r="T1767" t="s">
        <v>6001</v>
      </c>
      <c r="U1767" t="s">
        <v>60</v>
      </c>
      <c r="V1767" t="s">
        <v>61</v>
      </c>
      <c r="W1767">
        <v>5</v>
      </c>
      <c r="X1767">
        <v>9.1874999999999998E-2</v>
      </c>
      <c r="Y1767" t="s">
        <v>112</v>
      </c>
      <c r="Z1767" t="s">
        <v>157</v>
      </c>
      <c r="AA1767">
        <v>0</v>
      </c>
      <c r="AB1767" t="s">
        <v>7268</v>
      </c>
      <c r="AC1767" t="s">
        <v>7269</v>
      </c>
      <c r="AD1767" t="s">
        <v>7270</v>
      </c>
      <c r="AE1767" t="s">
        <v>7271</v>
      </c>
      <c r="AF1767" t="s">
        <v>7272</v>
      </c>
      <c r="AG1767" t="s">
        <v>66</v>
      </c>
      <c r="AH1767" t="s">
        <v>66</v>
      </c>
      <c r="AI1767" t="s">
        <v>66</v>
      </c>
      <c r="AJ1767" t="s">
        <v>66</v>
      </c>
      <c r="AK1767">
        <v>1</v>
      </c>
      <c r="AL1767" t="s">
        <v>66</v>
      </c>
      <c r="AM1767" t="s">
        <v>66</v>
      </c>
      <c r="AN1767" t="s">
        <v>66</v>
      </c>
      <c r="AO1767" t="s">
        <v>66</v>
      </c>
      <c r="AP1767">
        <v>1</v>
      </c>
      <c r="AQ1767" t="s">
        <v>66</v>
      </c>
      <c r="AR1767" t="s">
        <v>66</v>
      </c>
      <c r="AS1767" t="s">
        <v>66</v>
      </c>
      <c r="AT1767" t="s">
        <v>66</v>
      </c>
    </row>
    <row r="1768" spans="1:46" x14ac:dyDescent="0.15">
      <c r="A1768" t="s">
        <v>7329</v>
      </c>
      <c r="B1768" t="s">
        <v>7262</v>
      </c>
      <c r="C1768" t="s">
        <v>7263</v>
      </c>
      <c r="D1768">
        <v>16</v>
      </c>
      <c r="E1768" t="s">
        <v>7264</v>
      </c>
      <c r="F1768" t="s">
        <v>4516</v>
      </c>
      <c r="G1768" t="s">
        <v>51</v>
      </c>
      <c r="H1768" t="s">
        <v>7265</v>
      </c>
      <c r="I1768" t="s">
        <v>53</v>
      </c>
      <c r="J1768" t="s">
        <v>54</v>
      </c>
      <c r="K1768" t="s">
        <v>1338</v>
      </c>
      <c r="L1768" t="s">
        <v>18</v>
      </c>
      <c r="M1768" t="s">
        <v>16</v>
      </c>
      <c r="N1768">
        <v>1342</v>
      </c>
      <c r="O1768">
        <v>78</v>
      </c>
      <c r="P1768">
        <v>0</v>
      </c>
      <c r="Q1768" t="s">
        <v>7330</v>
      </c>
      <c r="R1768" t="s">
        <v>7331</v>
      </c>
      <c r="S1768" t="s">
        <v>7332</v>
      </c>
      <c r="T1768" t="s">
        <v>6005</v>
      </c>
      <c r="U1768" t="s">
        <v>60</v>
      </c>
      <c r="V1768" t="s">
        <v>61</v>
      </c>
      <c r="W1768">
        <v>5</v>
      </c>
      <c r="X1768">
        <v>9.1874999999999998E-2</v>
      </c>
      <c r="Y1768" t="s">
        <v>163</v>
      </c>
      <c r="Z1768" t="s">
        <v>164</v>
      </c>
      <c r="AA1768">
        <v>0</v>
      </c>
      <c r="AB1768" t="s">
        <v>7268</v>
      </c>
      <c r="AC1768" t="s">
        <v>7269</v>
      </c>
      <c r="AD1768" t="s">
        <v>7270</v>
      </c>
      <c r="AE1768" t="s">
        <v>7271</v>
      </c>
      <c r="AF1768" t="s">
        <v>7272</v>
      </c>
      <c r="AG1768" t="s">
        <v>66</v>
      </c>
      <c r="AH1768" t="s">
        <v>66</v>
      </c>
      <c r="AI1768" t="s">
        <v>66</v>
      </c>
      <c r="AJ1768" t="s">
        <v>66</v>
      </c>
      <c r="AK1768">
        <v>1</v>
      </c>
      <c r="AL1768" t="s">
        <v>66</v>
      </c>
      <c r="AM1768" t="s">
        <v>66</v>
      </c>
      <c r="AN1768" t="s">
        <v>66</v>
      </c>
      <c r="AO1768" t="s">
        <v>66</v>
      </c>
      <c r="AP1768">
        <v>1</v>
      </c>
      <c r="AQ1768" t="s">
        <v>66</v>
      </c>
      <c r="AR1768" t="s">
        <v>66</v>
      </c>
      <c r="AS1768" t="s">
        <v>66</v>
      </c>
      <c r="AT1768" t="s">
        <v>66</v>
      </c>
    </row>
    <row r="1769" spans="1:46" x14ac:dyDescent="0.15">
      <c r="A1769" t="s">
        <v>7333</v>
      </c>
      <c r="B1769" t="s">
        <v>7262</v>
      </c>
      <c r="C1769" t="s">
        <v>7263</v>
      </c>
      <c r="D1769">
        <v>17</v>
      </c>
      <c r="E1769" t="s">
        <v>7264</v>
      </c>
      <c r="F1769" t="s">
        <v>4516</v>
      </c>
      <c r="G1769" t="s">
        <v>51</v>
      </c>
      <c r="H1769" t="s">
        <v>7265</v>
      </c>
      <c r="I1769" t="s">
        <v>53</v>
      </c>
      <c r="J1769" t="s">
        <v>54</v>
      </c>
      <c r="K1769" t="s">
        <v>1338</v>
      </c>
      <c r="L1769" t="s">
        <v>18</v>
      </c>
      <c r="M1769" t="s">
        <v>16</v>
      </c>
      <c r="N1769">
        <v>1398</v>
      </c>
      <c r="O1769">
        <v>82</v>
      </c>
      <c r="P1769">
        <v>0</v>
      </c>
      <c r="Q1769" t="s">
        <v>7334</v>
      </c>
      <c r="R1769" t="s">
        <v>7335</v>
      </c>
      <c r="S1769" t="s">
        <v>7336</v>
      </c>
      <c r="T1769" t="s">
        <v>6009</v>
      </c>
      <c r="U1769" t="s">
        <v>60</v>
      </c>
      <c r="V1769" t="s">
        <v>61</v>
      </c>
      <c r="W1769">
        <v>5</v>
      </c>
      <c r="X1769">
        <v>9.1874999999999998E-2</v>
      </c>
      <c r="Y1769" t="s">
        <v>118</v>
      </c>
      <c r="Z1769" t="s">
        <v>170</v>
      </c>
      <c r="AA1769">
        <v>0</v>
      </c>
      <c r="AB1769" t="s">
        <v>7268</v>
      </c>
      <c r="AC1769" t="s">
        <v>7269</v>
      </c>
      <c r="AD1769" t="s">
        <v>7270</v>
      </c>
      <c r="AE1769" t="s">
        <v>7271</v>
      </c>
      <c r="AF1769" t="s">
        <v>7272</v>
      </c>
      <c r="AG1769" t="s">
        <v>66</v>
      </c>
      <c r="AH1769" t="s">
        <v>66</v>
      </c>
      <c r="AI1769" t="s">
        <v>66</v>
      </c>
      <c r="AJ1769" t="s">
        <v>66</v>
      </c>
      <c r="AK1769">
        <v>1</v>
      </c>
      <c r="AL1769" t="s">
        <v>66</v>
      </c>
      <c r="AM1769" t="s">
        <v>66</v>
      </c>
      <c r="AN1769" t="s">
        <v>66</v>
      </c>
      <c r="AO1769" t="s">
        <v>66</v>
      </c>
      <c r="AP1769">
        <v>1</v>
      </c>
      <c r="AQ1769" t="s">
        <v>66</v>
      </c>
      <c r="AR1769" t="s">
        <v>66</v>
      </c>
      <c r="AS1769" t="s">
        <v>66</v>
      </c>
      <c r="AT1769" t="s">
        <v>66</v>
      </c>
    </row>
    <row r="1770" spans="1:46" x14ac:dyDescent="0.15">
      <c r="A1770" t="s">
        <v>7337</v>
      </c>
      <c r="B1770" t="s">
        <v>7262</v>
      </c>
      <c r="C1770" t="s">
        <v>7263</v>
      </c>
      <c r="D1770">
        <v>18</v>
      </c>
      <c r="E1770" t="s">
        <v>7264</v>
      </c>
      <c r="F1770" t="s">
        <v>4516</v>
      </c>
      <c r="G1770" t="s">
        <v>51</v>
      </c>
      <c r="H1770" t="s">
        <v>7265</v>
      </c>
      <c r="I1770" t="s">
        <v>53</v>
      </c>
      <c r="J1770" t="s">
        <v>54</v>
      </c>
      <c r="K1770" t="s">
        <v>1338</v>
      </c>
      <c r="L1770" t="s">
        <v>18</v>
      </c>
      <c r="M1770" t="s">
        <v>16</v>
      </c>
      <c r="N1770">
        <v>1454</v>
      </c>
      <c r="O1770">
        <v>85</v>
      </c>
      <c r="P1770">
        <v>0</v>
      </c>
      <c r="Q1770" t="s">
        <v>7338</v>
      </c>
      <c r="R1770" t="s">
        <v>7339</v>
      </c>
      <c r="S1770" t="s">
        <v>7340</v>
      </c>
      <c r="T1770" t="s">
        <v>6013</v>
      </c>
      <c r="U1770" t="s">
        <v>60</v>
      </c>
      <c r="V1770" t="s">
        <v>61</v>
      </c>
      <c r="W1770">
        <v>5</v>
      </c>
      <c r="X1770">
        <v>9.1874999999999998E-2</v>
      </c>
      <c r="Y1770" t="s">
        <v>176</v>
      </c>
      <c r="Z1770" t="s">
        <v>177</v>
      </c>
      <c r="AA1770">
        <v>0</v>
      </c>
      <c r="AB1770" t="s">
        <v>7268</v>
      </c>
      <c r="AC1770" t="s">
        <v>7269</v>
      </c>
      <c r="AD1770" t="s">
        <v>7270</v>
      </c>
      <c r="AE1770" t="s">
        <v>7271</v>
      </c>
      <c r="AF1770" t="s">
        <v>7272</v>
      </c>
      <c r="AG1770" t="s">
        <v>66</v>
      </c>
      <c r="AH1770" t="s">
        <v>66</v>
      </c>
      <c r="AI1770" t="s">
        <v>66</v>
      </c>
      <c r="AJ1770" t="s">
        <v>66</v>
      </c>
      <c r="AK1770">
        <v>1</v>
      </c>
      <c r="AL1770" t="s">
        <v>66</v>
      </c>
      <c r="AM1770" t="s">
        <v>66</v>
      </c>
      <c r="AN1770" t="s">
        <v>66</v>
      </c>
      <c r="AO1770" t="s">
        <v>66</v>
      </c>
      <c r="AP1770">
        <v>1</v>
      </c>
      <c r="AQ1770" t="s">
        <v>66</v>
      </c>
      <c r="AR1770" t="s">
        <v>66</v>
      </c>
      <c r="AS1770" t="s">
        <v>66</v>
      </c>
      <c r="AT1770" t="s">
        <v>66</v>
      </c>
    </row>
    <row r="1771" spans="1:46" x14ac:dyDescent="0.15">
      <c r="A1771" t="s">
        <v>7341</v>
      </c>
      <c r="B1771" t="s">
        <v>7262</v>
      </c>
      <c r="C1771" t="s">
        <v>7263</v>
      </c>
      <c r="D1771">
        <v>19</v>
      </c>
      <c r="E1771" t="s">
        <v>7264</v>
      </c>
      <c r="F1771" t="s">
        <v>4516</v>
      </c>
      <c r="G1771" t="s">
        <v>51</v>
      </c>
      <c r="H1771" t="s">
        <v>7265</v>
      </c>
      <c r="I1771" t="s">
        <v>53</v>
      </c>
      <c r="J1771" t="s">
        <v>54</v>
      </c>
      <c r="K1771" t="s">
        <v>1338</v>
      </c>
      <c r="L1771" t="s">
        <v>18</v>
      </c>
      <c r="M1771" t="s">
        <v>16</v>
      </c>
      <c r="N1771">
        <v>1510</v>
      </c>
      <c r="O1771">
        <v>88</v>
      </c>
      <c r="P1771">
        <v>0</v>
      </c>
      <c r="Q1771" t="s">
        <v>7342</v>
      </c>
      <c r="R1771" t="s">
        <v>7343</v>
      </c>
      <c r="S1771" t="s">
        <v>7344</v>
      </c>
      <c r="T1771" t="s">
        <v>6017</v>
      </c>
      <c r="U1771" t="s">
        <v>60</v>
      </c>
      <c r="V1771" t="s">
        <v>61</v>
      </c>
      <c r="W1771">
        <v>5</v>
      </c>
      <c r="X1771">
        <v>9.1874999999999998E-2</v>
      </c>
      <c r="Y1771" t="s">
        <v>125</v>
      </c>
      <c r="Z1771" t="s">
        <v>183</v>
      </c>
      <c r="AA1771">
        <v>0</v>
      </c>
      <c r="AB1771" t="s">
        <v>7268</v>
      </c>
      <c r="AC1771" t="s">
        <v>7269</v>
      </c>
      <c r="AD1771" t="s">
        <v>7270</v>
      </c>
      <c r="AE1771" t="s">
        <v>7271</v>
      </c>
      <c r="AF1771" t="s">
        <v>7272</v>
      </c>
      <c r="AG1771" t="s">
        <v>66</v>
      </c>
      <c r="AH1771" t="s">
        <v>66</v>
      </c>
      <c r="AI1771" t="s">
        <v>66</v>
      </c>
      <c r="AJ1771" t="s">
        <v>66</v>
      </c>
      <c r="AK1771">
        <v>1</v>
      </c>
      <c r="AL1771" t="s">
        <v>66</v>
      </c>
      <c r="AM1771" t="s">
        <v>66</v>
      </c>
      <c r="AN1771" t="s">
        <v>66</v>
      </c>
      <c r="AO1771" t="s">
        <v>66</v>
      </c>
      <c r="AP1771">
        <v>1</v>
      </c>
      <c r="AQ1771" t="s">
        <v>66</v>
      </c>
      <c r="AR1771" t="s">
        <v>66</v>
      </c>
      <c r="AS1771" t="s">
        <v>66</v>
      </c>
      <c r="AT1771" t="s">
        <v>66</v>
      </c>
    </row>
    <row r="1772" spans="1:46" x14ac:dyDescent="0.15">
      <c r="A1772" t="s">
        <v>7345</v>
      </c>
      <c r="B1772" t="s">
        <v>7262</v>
      </c>
      <c r="C1772" t="s">
        <v>7263</v>
      </c>
      <c r="D1772">
        <v>20</v>
      </c>
      <c r="E1772" t="s">
        <v>7264</v>
      </c>
      <c r="F1772" t="s">
        <v>4516</v>
      </c>
      <c r="G1772" t="s">
        <v>51</v>
      </c>
      <c r="H1772" t="s">
        <v>7265</v>
      </c>
      <c r="I1772" t="s">
        <v>53</v>
      </c>
      <c r="J1772" t="s">
        <v>54</v>
      </c>
      <c r="K1772" t="s">
        <v>1338</v>
      </c>
      <c r="L1772" t="s">
        <v>18</v>
      </c>
      <c r="M1772" t="s">
        <v>16</v>
      </c>
      <c r="N1772">
        <v>1566</v>
      </c>
      <c r="O1772">
        <v>91</v>
      </c>
      <c r="P1772">
        <v>0</v>
      </c>
      <c r="Q1772" t="s">
        <v>7346</v>
      </c>
      <c r="R1772" t="s">
        <v>7347</v>
      </c>
      <c r="S1772" t="s">
        <v>7348</v>
      </c>
      <c r="T1772" t="s">
        <v>6021</v>
      </c>
      <c r="U1772" t="s">
        <v>60</v>
      </c>
      <c r="V1772" t="s">
        <v>61</v>
      </c>
      <c r="W1772">
        <v>5</v>
      </c>
      <c r="X1772">
        <v>9.1874999999999998E-2</v>
      </c>
      <c r="Y1772" t="s">
        <v>189</v>
      </c>
      <c r="Z1772" t="s">
        <v>190</v>
      </c>
      <c r="AA1772">
        <v>0</v>
      </c>
      <c r="AB1772" t="s">
        <v>7268</v>
      </c>
      <c r="AC1772" t="s">
        <v>7269</v>
      </c>
      <c r="AD1772" t="s">
        <v>7270</v>
      </c>
      <c r="AE1772" t="s">
        <v>7271</v>
      </c>
      <c r="AF1772" t="s">
        <v>7272</v>
      </c>
      <c r="AG1772" t="s">
        <v>66</v>
      </c>
      <c r="AH1772" t="s">
        <v>66</v>
      </c>
      <c r="AI1772" t="s">
        <v>66</v>
      </c>
      <c r="AJ1772" t="s">
        <v>66</v>
      </c>
      <c r="AK1772">
        <v>1</v>
      </c>
      <c r="AL1772" t="s">
        <v>66</v>
      </c>
      <c r="AM1772" t="s">
        <v>66</v>
      </c>
      <c r="AN1772" t="s">
        <v>66</v>
      </c>
      <c r="AO1772" t="s">
        <v>66</v>
      </c>
      <c r="AP1772">
        <v>1</v>
      </c>
      <c r="AQ1772" t="s">
        <v>66</v>
      </c>
      <c r="AR1772" t="s">
        <v>66</v>
      </c>
      <c r="AS1772" t="s">
        <v>66</v>
      </c>
      <c r="AT1772" t="s">
        <v>66</v>
      </c>
    </row>
    <row r="1773" spans="1:46" x14ac:dyDescent="0.15">
      <c r="A1773" t="s">
        <v>7345</v>
      </c>
      <c r="B1773" t="s">
        <v>7262</v>
      </c>
      <c r="C1773" t="s">
        <v>7263</v>
      </c>
      <c r="D1773">
        <v>20</v>
      </c>
      <c r="E1773" t="s">
        <v>7264</v>
      </c>
      <c r="F1773" t="s">
        <v>4516</v>
      </c>
      <c r="G1773" t="s">
        <v>51</v>
      </c>
      <c r="H1773" t="s">
        <v>7265</v>
      </c>
      <c r="I1773" t="s">
        <v>53</v>
      </c>
      <c r="J1773" t="s">
        <v>54</v>
      </c>
      <c r="K1773" t="s">
        <v>1338</v>
      </c>
      <c r="L1773" t="s">
        <v>18</v>
      </c>
      <c r="M1773" t="s">
        <v>16</v>
      </c>
      <c r="N1773">
        <v>1566</v>
      </c>
      <c r="O1773">
        <v>91</v>
      </c>
      <c r="P1773">
        <v>0</v>
      </c>
      <c r="Q1773" t="s">
        <v>7346</v>
      </c>
      <c r="R1773" t="s">
        <v>7347</v>
      </c>
      <c r="S1773" t="s">
        <v>7348</v>
      </c>
      <c r="T1773" t="s">
        <v>6021</v>
      </c>
      <c r="U1773" t="s">
        <v>60</v>
      </c>
      <c r="V1773" t="s">
        <v>61</v>
      </c>
      <c r="W1773">
        <v>5</v>
      </c>
      <c r="X1773">
        <v>9.1874999999999998E-2</v>
      </c>
      <c r="Y1773" t="s">
        <v>189</v>
      </c>
      <c r="Z1773" t="s">
        <v>190</v>
      </c>
      <c r="AA1773">
        <v>1</v>
      </c>
      <c r="AB1773" t="s">
        <v>7268</v>
      </c>
      <c r="AC1773" t="s">
        <v>7269</v>
      </c>
      <c r="AD1773" t="s">
        <v>7270</v>
      </c>
      <c r="AE1773" t="s">
        <v>7271</v>
      </c>
      <c r="AF1773" t="s">
        <v>7272</v>
      </c>
      <c r="AG1773" t="s">
        <v>66</v>
      </c>
      <c r="AH1773" t="s">
        <v>66</v>
      </c>
      <c r="AI1773" t="s">
        <v>66</v>
      </c>
      <c r="AJ1773" t="s">
        <v>66</v>
      </c>
      <c r="AK1773">
        <v>1</v>
      </c>
      <c r="AL1773" t="s">
        <v>7349</v>
      </c>
      <c r="AM1773" t="s">
        <v>7350</v>
      </c>
      <c r="AN1773" t="s">
        <v>7351</v>
      </c>
      <c r="AO1773" t="s">
        <v>66</v>
      </c>
      <c r="AP1773">
        <v>1</v>
      </c>
      <c r="AQ1773" t="s">
        <v>66</v>
      </c>
      <c r="AR1773" t="s">
        <v>66</v>
      </c>
      <c r="AS1773" t="s">
        <v>66</v>
      </c>
      <c r="AT1773" t="s">
        <v>66</v>
      </c>
    </row>
    <row r="1774" spans="1:46" x14ac:dyDescent="0.15">
      <c r="A1774" t="s">
        <v>7352</v>
      </c>
      <c r="B1774" t="s">
        <v>7262</v>
      </c>
      <c r="C1774" t="s">
        <v>7263</v>
      </c>
      <c r="D1774">
        <v>21</v>
      </c>
      <c r="E1774" t="s">
        <v>7264</v>
      </c>
      <c r="F1774" t="s">
        <v>4516</v>
      </c>
      <c r="G1774" t="s">
        <v>51</v>
      </c>
      <c r="H1774" t="s">
        <v>7265</v>
      </c>
      <c r="I1774" t="s">
        <v>53</v>
      </c>
      <c r="J1774" t="s">
        <v>54</v>
      </c>
      <c r="K1774" t="s">
        <v>1338</v>
      </c>
      <c r="L1774" t="s">
        <v>18</v>
      </c>
      <c r="M1774" t="s">
        <v>16</v>
      </c>
      <c r="N1774">
        <v>1622</v>
      </c>
      <c r="O1774">
        <v>95</v>
      </c>
      <c r="P1774">
        <v>0</v>
      </c>
      <c r="Q1774" t="s">
        <v>7353</v>
      </c>
      <c r="R1774" t="s">
        <v>7354</v>
      </c>
      <c r="S1774" t="s">
        <v>7355</v>
      </c>
      <c r="T1774" t="s">
        <v>6027</v>
      </c>
      <c r="U1774" t="s">
        <v>60</v>
      </c>
      <c r="V1774" t="s">
        <v>61</v>
      </c>
      <c r="W1774">
        <v>5</v>
      </c>
      <c r="X1774">
        <v>9.1874999999999998E-2</v>
      </c>
      <c r="Y1774" t="s">
        <v>131</v>
      </c>
      <c r="Z1774" t="s">
        <v>197</v>
      </c>
      <c r="AA1774">
        <v>1</v>
      </c>
      <c r="AB1774" t="s">
        <v>7268</v>
      </c>
      <c r="AC1774" t="s">
        <v>7269</v>
      </c>
      <c r="AD1774" t="s">
        <v>7270</v>
      </c>
      <c r="AE1774" t="s">
        <v>7271</v>
      </c>
      <c r="AF1774" t="s">
        <v>7272</v>
      </c>
      <c r="AG1774" t="s">
        <v>66</v>
      </c>
      <c r="AH1774" t="s">
        <v>66</v>
      </c>
      <c r="AI1774" t="s">
        <v>66</v>
      </c>
      <c r="AJ1774" t="s">
        <v>66</v>
      </c>
      <c r="AK1774">
        <v>1</v>
      </c>
      <c r="AL1774" t="s">
        <v>7349</v>
      </c>
      <c r="AM1774" t="s">
        <v>7350</v>
      </c>
      <c r="AN1774" t="s">
        <v>7351</v>
      </c>
      <c r="AO1774" t="s">
        <v>66</v>
      </c>
      <c r="AP1774">
        <v>1</v>
      </c>
      <c r="AQ1774" t="s">
        <v>66</v>
      </c>
      <c r="AR1774" t="s">
        <v>66</v>
      </c>
      <c r="AS1774" t="s">
        <v>66</v>
      </c>
      <c r="AT1774" t="s">
        <v>66</v>
      </c>
    </row>
    <row r="1775" spans="1:46" x14ac:dyDescent="0.15">
      <c r="A1775" t="s">
        <v>7356</v>
      </c>
      <c r="B1775" t="s">
        <v>7262</v>
      </c>
      <c r="C1775" t="s">
        <v>7263</v>
      </c>
      <c r="D1775">
        <v>22</v>
      </c>
      <c r="E1775" t="s">
        <v>7264</v>
      </c>
      <c r="F1775" t="s">
        <v>4516</v>
      </c>
      <c r="G1775" t="s">
        <v>51</v>
      </c>
      <c r="H1775" t="s">
        <v>7265</v>
      </c>
      <c r="I1775" t="s">
        <v>53</v>
      </c>
      <c r="J1775" t="s">
        <v>54</v>
      </c>
      <c r="K1775" t="s">
        <v>1338</v>
      </c>
      <c r="L1775" t="s">
        <v>18</v>
      </c>
      <c r="M1775" t="s">
        <v>16</v>
      </c>
      <c r="N1775">
        <v>1679</v>
      </c>
      <c r="O1775">
        <v>98</v>
      </c>
      <c r="P1775">
        <v>0</v>
      </c>
      <c r="Q1775" t="s">
        <v>7357</v>
      </c>
      <c r="R1775" t="s">
        <v>7358</v>
      </c>
      <c r="S1775" t="s">
        <v>7359</v>
      </c>
      <c r="T1775" t="s">
        <v>6031</v>
      </c>
      <c r="U1775" t="s">
        <v>60</v>
      </c>
      <c r="V1775" t="s">
        <v>61</v>
      </c>
      <c r="W1775">
        <v>5</v>
      </c>
      <c r="X1775">
        <v>9.1874999999999998E-2</v>
      </c>
      <c r="Y1775" t="s">
        <v>203</v>
      </c>
      <c r="Z1775" t="s">
        <v>204</v>
      </c>
      <c r="AA1775">
        <v>1</v>
      </c>
      <c r="AB1775" t="s">
        <v>7268</v>
      </c>
      <c r="AC1775" t="s">
        <v>7269</v>
      </c>
      <c r="AD1775" t="s">
        <v>7270</v>
      </c>
      <c r="AE1775" t="s">
        <v>7271</v>
      </c>
      <c r="AF1775" t="s">
        <v>7272</v>
      </c>
      <c r="AG1775" t="s">
        <v>66</v>
      </c>
      <c r="AH1775" t="s">
        <v>66</v>
      </c>
      <c r="AI1775" t="s">
        <v>66</v>
      </c>
      <c r="AJ1775" t="s">
        <v>66</v>
      </c>
      <c r="AK1775">
        <v>1</v>
      </c>
      <c r="AL1775" t="s">
        <v>7349</v>
      </c>
      <c r="AM1775" t="s">
        <v>7350</v>
      </c>
      <c r="AN1775" t="s">
        <v>7351</v>
      </c>
      <c r="AO1775" t="s">
        <v>66</v>
      </c>
      <c r="AP1775">
        <v>1</v>
      </c>
      <c r="AQ1775" t="s">
        <v>66</v>
      </c>
      <c r="AR1775" t="s">
        <v>66</v>
      </c>
      <c r="AS1775" t="s">
        <v>66</v>
      </c>
      <c r="AT1775" t="s">
        <v>66</v>
      </c>
    </row>
    <row r="1776" spans="1:46" x14ac:dyDescent="0.15">
      <c r="A1776" t="s">
        <v>7360</v>
      </c>
      <c r="B1776" t="s">
        <v>7262</v>
      </c>
      <c r="C1776" t="s">
        <v>7263</v>
      </c>
      <c r="D1776">
        <v>23</v>
      </c>
      <c r="E1776" t="s">
        <v>7264</v>
      </c>
      <c r="F1776" t="s">
        <v>4516</v>
      </c>
      <c r="G1776" t="s">
        <v>51</v>
      </c>
      <c r="H1776" t="s">
        <v>7265</v>
      </c>
      <c r="I1776" t="s">
        <v>53</v>
      </c>
      <c r="J1776" t="s">
        <v>54</v>
      </c>
      <c r="K1776" t="s">
        <v>1338</v>
      </c>
      <c r="L1776" t="s">
        <v>18</v>
      </c>
      <c r="M1776" t="s">
        <v>16</v>
      </c>
      <c r="N1776">
        <v>1735</v>
      </c>
      <c r="O1776">
        <v>101</v>
      </c>
      <c r="P1776">
        <v>0</v>
      </c>
      <c r="Q1776" t="s">
        <v>7361</v>
      </c>
      <c r="R1776" t="s">
        <v>7362</v>
      </c>
      <c r="S1776" t="s">
        <v>7363</v>
      </c>
      <c r="T1776" t="s">
        <v>6035</v>
      </c>
      <c r="U1776" t="s">
        <v>60</v>
      </c>
      <c r="V1776" t="s">
        <v>61</v>
      </c>
      <c r="W1776">
        <v>5</v>
      </c>
      <c r="X1776">
        <v>9.1874999999999998E-2</v>
      </c>
      <c r="Y1776" t="s">
        <v>138</v>
      </c>
      <c r="Z1776" t="s">
        <v>210</v>
      </c>
      <c r="AA1776">
        <v>1</v>
      </c>
      <c r="AB1776" t="s">
        <v>7268</v>
      </c>
      <c r="AC1776" t="s">
        <v>7269</v>
      </c>
      <c r="AD1776" t="s">
        <v>7270</v>
      </c>
      <c r="AE1776" t="s">
        <v>7271</v>
      </c>
      <c r="AF1776" t="s">
        <v>7272</v>
      </c>
      <c r="AG1776" t="s">
        <v>66</v>
      </c>
      <c r="AH1776" t="s">
        <v>66</v>
      </c>
      <c r="AI1776" t="s">
        <v>66</v>
      </c>
      <c r="AJ1776" t="s">
        <v>66</v>
      </c>
      <c r="AK1776">
        <v>1</v>
      </c>
      <c r="AL1776" t="s">
        <v>7349</v>
      </c>
      <c r="AM1776" t="s">
        <v>7350</v>
      </c>
      <c r="AN1776" t="s">
        <v>7351</v>
      </c>
      <c r="AO1776" t="s">
        <v>66</v>
      </c>
      <c r="AP1776">
        <v>1</v>
      </c>
      <c r="AQ1776" t="s">
        <v>66</v>
      </c>
      <c r="AR1776" t="s">
        <v>66</v>
      </c>
      <c r="AS1776" t="s">
        <v>66</v>
      </c>
      <c r="AT1776" t="s">
        <v>66</v>
      </c>
    </row>
    <row r="1777" spans="1:46" x14ac:dyDescent="0.15">
      <c r="A1777" t="s">
        <v>7364</v>
      </c>
      <c r="B1777" t="s">
        <v>7262</v>
      </c>
      <c r="C1777" t="s">
        <v>7263</v>
      </c>
      <c r="D1777">
        <v>24</v>
      </c>
      <c r="E1777" t="s">
        <v>7264</v>
      </c>
      <c r="F1777" t="s">
        <v>4516</v>
      </c>
      <c r="G1777" t="s">
        <v>51</v>
      </c>
      <c r="H1777" t="s">
        <v>7265</v>
      </c>
      <c r="I1777" t="s">
        <v>53</v>
      </c>
      <c r="J1777" t="s">
        <v>54</v>
      </c>
      <c r="K1777" t="s">
        <v>1338</v>
      </c>
      <c r="L1777" t="s">
        <v>18</v>
      </c>
      <c r="M1777" t="s">
        <v>16</v>
      </c>
      <c r="N1777">
        <v>1791</v>
      </c>
      <c r="O1777">
        <v>104</v>
      </c>
      <c r="P1777">
        <v>0</v>
      </c>
      <c r="Q1777" t="s">
        <v>7365</v>
      </c>
      <c r="R1777" t="s">
        <v>7366</v>
      </c>
      <c r="S1777" t="s">
        <v>7367</v>
      </c>
      <c r="T1777" t="s">
        <v>6039</v>
      </c>
      <c r="U1777" t="s">
        <v>60</v>
      </c>
      <c r="V1777" t="s">
        <v>61</v>
      </c>
      <c r="W1777">
        <v>5</v>
      </c>
      <c r="X1777">
        <v>9.1874999999999998E-2</v>
      </c>
      <c r="Y1777" t="s">
        <v>216</v>
      </c>
      <c r="Z1777" t="s">
        <v>217</v>
      </c>
      <c r="AA1777">
        <v>1</v>
      </c>
      <c r="AB1777" t="s">
        <v>7268</v>
      </c>
      <c r="AC1777" t="s">
        <v>7269</v>
      </c>
      <c r="AD1777" t="s">
        <v>7270</v>
      </c>
      <c r="AE1777" t="s">
        <v>7271</v>
      </c>
      <c r="AF1777" t="s">
        <v>7272</v>
      </c>
      <c r="AG1777" t="s">
        <v>66</v>
      </c>
      <c r="AH1777" t="s">
        <v>66</v>
      </c>
      <c r="AI1777" t="s">
        <v>66</v>
      </c>
      <c r="AJ1777" t="s">
        <v>66</v>
      </c>
      <c r="AK1777">
        <v>1</v>
      </c>
      <c r="AL1777" t="s">
        <v>7349</v>
      </c>
      <c r="AM1777" t="s">
        <v>7350</v>
      </c>
      <c r="AN1777" t="s">
        <v>7351</v>
      </c>
      <c r="AO1777" t="s">
        <v>66</v>
      </c>
      <c r="AP1777">
        <v>1</v>
      </c>
      <c r="AQ1777" t="s">
        <v>66</v>
      </c>
      <c r="AR1777" t="s">
        <v>66</v>
      </c>
      <c r="AS1777" t="s">
        <v>66</v>
      </c>
      <c r="AT1777" t="s">
        <v>66</v>
      </c>
    </row>
    <row r="1778" spans="1:46" x14ac:dyDescent="0.15">
      <c r="A1778" t="s">
        <v>7368</v>
      </c>
      <c r="B1778" t="s">
        <v>7262</v>
      </c>
      <c r="C1778" t="s">
        <v>7263</v>
      </c>
      <c r="D1778">
        <v>25</v>
      </c>
      <c r="E1778" t="s">
        <v>7264</v>
      </c>
      <c r="F1778" t="s">
        <v>4516</v>
      </c>
      <c r="G1778" t="s">
        <v>51</v>
      </c>
      <c r="H1778" t="s">
        <v>7265</v>
      </c>
      <c r="I1778" t="s">
        <v>53</v>
      </c>
      <c r="J1778" t="s">
        <v>54</v>
      </c>
      <c r="K1778" t="s">
        <v>1338</v>
      </c>
      <c r="L1778" t="s">
        <v>18</v>
      </c>
      <c r="M1778" t="s">
        <v>16</v>
      </c>
      <c r="N1778">
        <v>1847</v>
      </c>
      <c r="O1778">
        <v>108</v>
      </c>
      <c r="P1778">
        <v>0</v>
      </c>
      <c r="Q1778" t="s">
        <v>7369</v>
      </c>
      <c r="R1778" t="s">
        <v>7370</v>
      </c>
      <c r="S1778" t="s">
        <v>7371</v>
      </c>
      <c r="T1778" t="s">
        <v>6043</v>
      </c>
      <c r="U1778" t="s">
        <v>60</v>
      </c>
      <c r="V1778" t="s">
        <v>61</v>
      </c>
      <c r="W1778">
        <v>5</v>
      </c>
      <c r="X1778">
        <v>9.1874999999999998E-2</v>
      </c>
      <c r="Y1778" t="s">
        <v>144</v>
      </c>
      <c r="Z1778" t="s">
        <v>223</v>
      </c>
      <c r="AA1778">
        <v>1</v>
      </c>
      <c r="AB1778" t="s">
        <v>7268</v>
      </c>
      <c r="AC1778" t="s">
        <v>7269</v>
      </c>
      <c r="AD1778" t="s">
        <v>7270</v>
      </c>
      <c r="AE1778" t="s">
        <v>7271</v>
      </c>
      <c r="AF1778" t="s">
        <v>7272</v>
      </c>
      <c r="AG1778" t="s">
        <v>66</v>
      </c>
      <c r="AH1778" t="s">
        <v>66</v>
      </c>
      <c r="AI1778" t="s">
        <v>66</v>
      </c>
      <c r="AJ1778" t="s">
        <v>66</v>
      </c>
      <c r="AK1778">
        <v>1</v>
      </c>
      <c r="AL1778" t="s">
        <v>7349</v>
      </c>
      <c r="AM1778" t="s">
        <v>7350</v>
      </c>
      <c r="AN1778" t="s">
        <v>7351</v>
      </c>
      <c r="AO1778" t="s">
        <v>66</v>
      </c>
      <c r="AP1778">
        <v>1</v>
      </c>
      <c r="AQ1778" t="s">
        <v>66</v>
      </c>
      <c r="AR1778" t="s">
        <v>66</v>
      </c>
      <c r="AS1778" t="s">
        <v>66</v>
      </c>
      <c r="AT1778" t="s">
        <v>66</v>
      </c>
    </row>
    <row r="1779" spans="1:46" x14ac:dyDescent="0.15">
      <c r="A1779" t="s">
        <v>7372</v>
      </c>
      <c r="B1779" t="s">
        <v>7262</v>
      </c>
      <c r="C1779" t="s">
        <v>7263</v>
      </c>
      <c r="D1779">
        <v>26</v>
      </c>
      <c r="E1779" t="s">
        <v>7264</v>
      </c>
      <c r="F1779" t="s">
        <v>4516</v>
      </c>
      <c r="G1779" t="s">
        <v>51</v>
      </c>
      <c r="H1779" t="s">
        <v>7265</v>
      </c>
      <c r="I1779" t="s">
        <v>53</v>
      </c>
      <c r="J1779" t="s">
        <v>54</v>
      </c>
      <c r="K1779" t="s">
        <v>1338</v>
      </c>
      <c r="L1779" t="s">
        <v>18</v>
      </c>
      <c r="M1779" t="s">
        <v>16</v>
      </c>
      <c r="N1779">
        <v>1903</v>
      </c>
      <c r="O1779">
        <v>111</v>
      </c>
      <c r="P1779">
        <v>0</v>
      </c>
      <c r="Q1779" t="s">
        <v>7373</v>
      </c>
      <c r="R1779" t="s">
        <v>7374</v>
      </c>
      <c r="S1779" t="s">
        <v>7375</v>
      </c>
      <c r="T1779" t="s">
        <v>6047</v>
      </c>
      <c r="U1779" t="s">
        <v>60</v>
      </c>
      <c r="V1779" t="s">
        <v>61</v>
      </c>
      <c r="W1779">
        <v>5</v>
      </c>
      <c r="X1779">
        <v>9.1874999999999998E-2</v>
      </c>
      <c r="Y1779" t="s">
        <v>229</v>
      </c>
      <c r="Z1779" t="s">
        <v>230</v>
      </c>
      <c r="AA1779">
        <v>1</v>
      </c>
      <c r="AB1779" t="s">
        <v>7268</v>
      </c>
      <c r="AC1779" t="s">
        <v>7269</v>
      </c>
      <c r="AD1779" t="s">
        <v>7270</v>
      </c>
      <c r="AE1779" t="s">
        <v>7271</v>
      </c>
      <c r="AF1779" t="s">
        <v>7272</v>
      </c>
      <c r="AG1779" t="s">
        <v>66</v>
      </c>
      <c r="AH1779" t="s">
        <v>66</v>
      </c>
      <c r="AI1779" t="s">
        <v>66</v>
      </c>
      <c r="AJ1779" t="s">
        <v>66</v>
      </c>
      <c r="AK1779">
        <v>1</v>
      </c>
      <c r="AL1779" t="s">
        <v>7349</v>
      </c>
      <c r="AM1779" t="s">
        <v>7350</v>
      </c>
      <c r="AN1779" t="s">
        <v>7351</v>
      </c>
      <c r="AO1779" t="s">
        <v>66</v>
      </c>
      <c r="AP1779">
        <v>1</v>
      </c>
      <c r="AQ1779" t="s">
        <v>66</v>
      </c>
      <c r="AR1779" t="s">
        <v>66</v>
      </c>
      <c r="AS1779" t="s">
        <v>66</v>
      </c>
      <c r="AT1779" t="s">
        <v>66</v>
      </c>
    </row>
    <row r="1780" spans="1:46" x14ac:dyDescent="0.15">
      <c r="A1780" t="s">
        <v>7376</v>
      </c>
      <c r="B1780" t="s">
        <v>7262</v>
      </c>
      <c r="C1780" t="s">
        <v>7263</v>
      </c>
      <c r="D1780">
        <v>27</v>
      </c>
      <c r="E1780" t="s">
        <v>7264</v>
      </c>
      <c r="F1780" t="s">
        <v>4516</v>
      </c>
      <c r="G1780" t="s">
        <v>51</v>
      </c>
      <c r="H1780" t="s">
        <v>7265</v>
      </c>
      <c r="I1780" t="s">
        <v>53</v>
      </c>
      <c r="J1780" t="s">
        <v>54</v>
      </c>
      <c r="K1780" t="s">
        <v>1338</v>
      </c>
      <c r="L1780" t="s">
        <v>18</v>
      </c>
      <c r="M1780" t="s">
        <v>16</v>
      </c>
      <c r="N1780">
        <v>1959</v>
      </c>
      <c r="O1780">
        <v>114</v>
      </c>
      <c r="P1780">
        <v>0</v>
      </c>
      <c r="Q1780" t="s">
        <v>7377</v>
      </c>
      <c r="R1780" t="s">
        <v>7378</v>
      </c>
      <c r="S1780" t="s">
        <v>7379</v>
      </c>
      <c r="T1780" t="s">
        <v>6051</v>
      </c>
      <c r="U1780" t="s">
        <v>60</v>
      </c>
      <c r="V1780" t="s">
        <v>61</v>
      </c>
      <c r="W1780">
        <v>5</v>
      </c>
      <c r="X1780">
        <v>9.1874999999999998E-2</v>
      </c>
      <c r="Y1780" t="s">
        <v>151</v>
      </c>
      <c r="Z1780" t="s">
        <v>236</v>
      </c>
      <c r="AA1780">
        <v>1</v>
      </c>
      <c r="AB1780" t="s">
        <v>7268</v>
      </c>
      <c r="AC1780" t="s">
        <v>7269</v>
      </c>
      <c r="AD1780" t="s">
        <v>7270</v>
      </c>
      <c r="AE1780" t="s">
        <v>7271</v>
      </c>
      <c r="AF1780" t="s">
        <v>7272</v>
      </c>
      <c r="AG1780" t="s">
        <v>66</v>
      </c>
      <c r="AH1780" t="s">
        <v>66</v>
      </c>
      <c r="AI1780" t="s">
        <v>66</v>
      </c>
      <c r="AJ1780" t="s">
        <v>66</v>
      </c>
      <c r="AK1780">
        <v>1</v>
      </c>
      <c r="AL1780" t="s">
        <v>7349</v>
      </c>
      <c r="AM1780" t="s">
        <v>7350</v>
      </c>
      <c r="AN1780" t="s">
        <v>7351</v>
      </c>
      <c r="AO1780" t="s">
        <v>66</v>
      </c>
      <c r="AP1780">
        <v>1</v>
      </c>
      <c r="AQ1780" t="s">
        <v>66</v>
      </c>
      <c r="AR1780" t="s">
        <v>66</v>
      </c>
      <c r="AS1780" t="s">
        <v>66</v>
      </c>
      <c r="AT1780" t="s">
        <v>66</v>
      </c>
    </row>
    <row r="1781" spans="1:46" x14ac:dyDescent="0.15">
      <c r="A1781" t="s">
        <v>7380</v>
      </c>
      <c r="B1781" t="s">
        <v>7262</v>
      </c>
      <c r="C1781" t="s">
        <v>7263</v>
      </c>
      <c r="D1781">
        <v>28</v>
      </c>
      <c r="E1781" t="s">
        <v>7264</v>
      </c>
      <c r="F1781" t="s">
        <v>4516</v>
      </c>
      <c r="G1781" t="s">
        <v>51</v>
      </c>
      <c r="H1781" t="s">
        <v>7265</v>
      </c>
      <c r="I1781" t="s">
        <v>53</v>
      </c>
      <c r="J1781" t="s">
        <v>54</v>
      </c>
      <c r="K1781" t="s">
        <v>1338</v>
      </c>
      <c r="L1781" t="s">
        <v>18</v>
      </c>
      <c r="M1781" t="s">
        <v>16</v>
      </c>
      <c r="N1781">
        <v>2015</v>
      </c>
      <c r="O1781">
        <v>117</v>
      </c>
      <c r="P1781">
        <v>0</v>
      </c>
      <c r="Q1781" t="s">
        <v>7381</v>
      </c>
      <c r="R1781" t="s">
        <v>7382</v>
      </c>
      <c r="S1781" t="s">
        <v>7383</v>
      </c>
      <c r="T1781" t="s">
        <v>6055</v>
      </c>
      <c r="U1781" t="s">
        <v>60</v>
      </c>
      <c r="V1781" t="s">
        <v>61</v>
      </c>
      <c r="W1781">
        <v>5</v>
      </c>
      <c r="X1781">
        <v>9.1874999999999998E-2</v>
      </c>
      <c r="Y1781" t="s">
        <v>242</v>
      </c>
      <c r="Z1781" t="s">
        <v>243</v>
      </c>
      <c r="AA1781">
        <v>1</v>
      </c>
      <c r="AB1781" t="s">
        <v>7268</v>
      </c>
      <c r="AC1781" t="s">
        <v>7269</v>
      </c>
      <c r="AD1781" t="s">
        <v>7270</v>
      </c>
      <c r="AE1781" t="s">
        <v>7271</v>
      </c>
      <c r="AF1781" t="s">
        <v>7272</v>
      </c>
      <c r="AG1781" t="s">
        <v>66</v>
      </c>
      <c r="AH1781" t="s">
        <v>66</v>
      </c>
      <c r="AI1781" t="s">
        <v>66</v>
      </c>
      <c r="AJ1781" t="s">
        <v>66</v>
      </c>
      <c r="AK1781">
        <v>1</v>
      </c>
      <c r="AL1781" t="s">
        <v>7349</v>
      </c>
      <c r="AM1781" t="s">
        <v>7350</v>
      </c>
      <c r="AN1781" t="s">
        <v>7351</v>
      </c>
      <c r="AO1781" t="s">
        <v>66</v>
      </c>
      <c r="AP1781">
        <v>1</v>
      </c>
      <c r="AQ1781" t="s">
        <v>66</v>
      </c>
      <c r="AR1781" t="s">
        <v>66</v>
      </c>
      <c r="AS1781" t="s">
        <v>66</v>
      </c>
      <c r="AT1781" t="s">
        <v>66</v>
      </c>
    </row>
    <row r="1782" spans="1:46" x14ac:dyDescent="0.15">
      <c r="A1782" t="s">
        <v>7384</v>
      </c>
      <c r="B1782" t="s">
        <v>7262</v>
      </c>
      <c r="C1782" t="s">
        <v>7263</v>
      </c>
      <c r="D1782">
        <v>29</v>
      </c>
      <c r="E1782" t="s">
        <v>7264</v>
      </c>
      <c r="F1782" t="s">
        <v>4516</v>
      </c>
      <c r="G1782" t="s">
        <v>51</v>
      </c>
      <c r="H1782" t="s">
        <v>7265</v>
      </c>
      <c r="I1782" t="s">
        <v>53</v>
      </c>
      <c r="J1782" t="s">
        <v>54</v>
      </c>
      <c r="K1782" t="s">
        <v>1338</v>
      </c>
      <c r="L1782" t="s">
        <v>18</v>
      </c>
      <c r="M1782" t="s">
        <v>16</v>
      </c>
      <c r="N1782">
        <v>2071</v>
      </c>
      <c r="O1782">
        <v>120</v>
      </c>
      <c r="P1782">
        <v>0</v>
      </c>
      <c r="Q1782" t="s">
        <v>7385</v>
      </c>
      <c r="R1782" t="s">
        <v>7386</v>
      </c>
      <c r="S1782" t="s">
        <v>7387</v>
      </c>
      <c r="T1782" t="s">
        <v>6059</v>
      </c>
      <c r="U1782" t="s">
        <v>60</v>
      </c>
      <c r="V1782" t="s">
        <v>61</v>
      </c>
      <c r="W1782">
        <v>5</v>
      </c>
      <c r="X1782">
        <v>9.1874999999999998E-2</v>
      </c>
      <c r="Y1782" t="s">
        <v>157</v>
      </c>
      <c r="Z1782" t="s">
        <v>249</v>
      </c>
      <c r="AA1782">
        <v>1</v>
      </c>
      <c r="AB1782" t="s">
        <v>7268</v>
      </c>
      <c r="AC1782" t="s">
        <v>7269</v>
      </c>
      <c r="AD1782" t="s">
        <v>7270</v>
      </c>
      <c r="AE1782" t="s">
        <v>7271</v>
      </c>
      <c r="AF1782" t="s">
        <v>7272</v>
      </c>
      <c r="AG1782" t="s">
        <v>66</v>
      </c>
      <c r="AH1782" t="s">
        <v>66</v>
      </c>
      <c r="AI1782" t="s">
        <v>66</v>
      </c>
      <c r="AJ1782" t="s">
        <v>66</v>
      </c>
      <c r="AK1782">
        <v>1</v>
      </c>
      <c r="AL1782" t="s">
        <v>7349</v>
      </c>
      <c r="AM1782" t="s">
        <v>7350</v>
      </c>
      <c r="AN1782" t="s">
        <v>7351</v>
      </c>
      <c r="AO1782" t="s">
        <v>66</v>
      </c>
      <c r="AP1782">
        <v>1</v>
      </c>
      <c r="AQ1782" t="s">
        <v>66</v>
      </c>
      <c r="AR1782" t="s">
        <v>66</v>
      </c>
      <c r="AS1782" t="s">
        <v>66</v>
      </c>
      <c r="AT1782" t="s">
        <v>66</v>
      </c>
    </row>
    <row r="1783" spans="1:46" x14ac:dyDescent="0.15">
      <c r="A1783" t="s">
        <v>7388</v>
      </c>
      <c r="B1783" t="s">
        <v>7262</v>
      </c>
      <c r="C1783" t="s">
        <v>7263</v>
      </c>
      <c r="D1783">
        <v>30</v>
      </c>
      <c r="E1783" t="s">
        <v>7264</v>
      </c>
      <c r="F1783" t="s">
        <v>4516</v>
      </c>
      <c r="G1783" t="s">
        <v>51</v>
      </c>
      <c r="H1783" t="s">
        <v>7265</v>
      </c>
      <c r="I1783" t="s">
        <v>53</v>
      </c>
      <c r="J1783" t="s">
        <v>54</v>
      </c>
      <c r="K1783" t="s">
        <v>1338</v>
      </c>
      <c r="L1783" t="s">
        <v>18</v>
      </c>
      <c r="M1783" t="s">
        <v>16</v>
      </c>
      <c r="N1783">
        <v>2128</v>
      </c>
      <c r="O1783">
        <v>124</v>
      </c>
      <c r="P1783">
        <v>0</v>
      </c>
      <c r="Q1783" t="s">
        <v>7389</v>
      </c>
      <c r="R1783" t="s">
        <v>7390</v>
      </c>
      <c r="S1783" t="s">
        <v>7391</v>
      </c>
      <c r="T1783" t="s">
        <v>6063</v>
      </c>
      <c r="U1783" t="s">
        <v>60</v>
      </c>
      <c r="V1783" t="s">
        <v>61</v>
      </c>
      <c r="W1783">
        <v>5</v>
      </c>
      <c r="X1783">
        <v>9.1874999999999998E-2</v>
      </c>
      <c r="Y1783" t="s">
        <v>255</v>
      </c>
      <c r="Z1783" t="s">
        <v>256</v>
      </c>
      <c r="AA1783">
        <v>1</v>
      </c>
      <c r="AB1783" t="s">
        <v>7268</v>
      </c>
      <c r="AC1783" t="s">
        <v>7269</v>
      </c>
      <c r="AD1783" t="s">
        <v>7270</v>
      </c>
      <c r="AE1783" t="s">
        <v>7271</v>
      </c>
      <c r="AF1783" t="s">
        <v>7272</v>
      </c>
      <c r="AG1783" t="s">
        <v>66</v>
      </c>
      <c r="AH1783" t="s">
        <v>66</v>
      </c>
      <c r="AI1783" t="s">
        <v>66</v>
      </c>
      <c r="AJ1783" t="s">
        <v>66</v>
      </c>
      <c r="AK1783">
        <v>1</v>
      </c>
      <c r="AL1783" t="s">
        <v>7349</v>
      </c>
      <c r="AM1783" t="s">
        <v>7350</v>
      </c>
      <c r="AN1783" t="s">
        <v>7351</v>
      </c>
      <c r="AO1783" t="s">
        <v>66</v>
      </c>
      <c r="AP1783">
        <v>1</v>
      </c>
      <c r="AQ1783" t="s">
        <v>66</v>
      </c>
      <c r="AR1783" t="s">
        <v>66</v>
      </c>
      <c r="AS1783" t="s">
        <v>66</v>
      </c>
      <c r="AT1783" t="s">
        <v>66</v>
      </c>
    </row>
    <row r="1784" spans="1:46" x14ac:dyDescent="0.15">
      <c r="A1784" t="s">
        <v>7392</v>
      </c>
      <c r="B1784" t="s">
        <v>7262</v>
      </c>
      <c r="C1784" t="s">
        <v>7263</v>
      </c>
      <c r="D1784">
        <v>31</v>
      </c>
      <c r="E1784" t="s">
        <v>7264</v>
      </c>
      <c r="F1784" t="s">
        <v>4516</v>
      </c>
      <c r="G1784" t="s">
        <v>51</v>
      </c>
      <c r="H1784" t="s">
        <v>7265</v>
      </c>
      <c r="I1784" t="s">
        <v>53</v>
      </c>
      <c r="J1784" t="s">
        <v>54</v>
      </c>
      <c r="K1784" t="s">
        <v>1338</v>
      </c>
      <c r="L1784" t="s">
        <v>18</v>
      </c>
      <c r="M1784" t="s">
        <v>16</v>
      </c>
      <c r="N1784">
        <v>2184</v>
      </c>
      <c r="O1784">
        <v>127</v>
      </c>
      <c r="P1784">
        <v>0</v>
      </c>
      <c r="Q1784" t="s">
        <v>7393</v>
      </c>
      <c r="R1784" t="s">
        <v>7394</v>
      </c>
      <c r="S1784" t="s">
        <v>7395</v>
      </c>
      <c r="T1784" t="s">
        <v>6067</v>
      </c>
      <c r="U1784" t="s">
        <v>60</v>
      </c>
      <c r="V1784" t="s">
        <v>61</v>
      </c>
      <c r="W1784">
        <v>5</v>
      </c>
      <c r="X1784">
        <v>9.1874999999999998E-2</v>
      </c>
      <c r="Y1784" t="s">
        <v>164</v>
      </c>
      <c r="Z1784" t="s">
        <v>262</v>
      </c>
      <c r="AA1784">
        <v>1</v>
      </c>
      <c r="AB1784" t="s">
        <v>7268</v>
      </c>
      <c r="AC1784" t="s">
        <v>7269</v>
      </c>
      <c r="AD1784" t="s">
        <v>7270</v>
      </c>
      <c r="AE1784" t="s">
        <v>7271</v>
      </c>
      <c r="AF1784" t="s">
        <v>7272</v>
      </c>
      <c r="AG1784" t="s">
        <v>66</v>
      </c>
      <c r="AH1784" t="s">
        <v>66</v>
      </c>
      <c r="AI1784" t="s">
        <v>66</v>
      </c>
      <c r="AJ1784" t="s">
        <v>66</v>
      </c>
      <c r="AK1784">
        <v>1</v>
      </c>
      <c r="AL1784" t="s">
        <v>7349</v>
      </c>
      <c r="AM1784" t="s">
        <v>7350</v>
      </c>
      <c r="AN1784" t="s">
        <v>7351</v>
      </c>
      <c r="AO1784" t="s">
        <v>66</v>
      </c>
      <c r="AP1784">
        <v>1</v>
      </c>
      <c r="AQ1784" t="s">
        <v>66</v>
      </c>
      <c r="AR1784" t="s">
        <v>66</v>
      </c>
      <c r="AS1784" t="s">
        <v>66</v>
      </c>
      <c r="AT1784" t="s">
        <v>66</v>
      </c>
    </row>
    <row r="1785" spans="1:46" x14ac:dyDescent="0.15">
      <c r="A1785" t="s">
        <v>7396</v>
      </c>
      <c r="B1785" t="s">
        <v>7262</v>
      </c>
      <c r="C1785" t="s">
        <v>7263</v>
      </c>
      <c r="D1785">
        <v>32</v>
      </c>
      <c r="E1785" t="s">
        <v>7264</v>
      </c>
      <c r="F1785" t="s">
        <v>4516</v>
      </c>
      <c r="G1785" t="s">
        <v>51</v>
      </c>
      <c r="H1785" t="s">
        <v>7265</v>
      </c>
      <c r="I1785" t="s">
        <v>53</v>
      </c>
      <c r="J1785" t="s">
        <v>54</v>
      </c>
      <c r="K1785" t="s">
        <v>1338</v>
      </c>
      <c r="L1785" t="s">
        <v>18</v>
      </c>
      <c r="M1785" t="s">
        <v>16</v>
      </c>
      <c r="N1785">
        <v>2240</v>
      </c>
      <c r="O1785">
        <v>130</v>
      </c>
      <c r="P1785">
        <v>0</v>
      </c>
      <c r="Q1785" t="s">
        <v>7397</v>
      </c>
      <c r="R1785" t="s">
        <v>7398</v>
      </c>
      <c r="S1785" t="s">
        <v>7399</v>
      </c>
      <c r="T1785" t="s">
        <v>6071</v>
      </c>
      <c r="U1785" t="s">
        <v>60</v>
      </c>
      <c r="V1785" t="s">
        <v>61</v>
      </c>
      <c r="W1785">
        <v>5</v>
      </c>
      <c r="X1785">
        <v>9.1874999999999998E-2</v>
      </c>
      <c r="Y1785" t="s">
        <v>268</v>
      </c>
      <c r="Z1785" t="s">
        <v>269</v>
      </c>
      <c r="AA1785">
        <v>1</v>
      </c>
      <c r="AB1785" t="s">
        <v>7268</v>
      </c>
      <c r="AC1785" t="s">
        <v>7269</v>
      </c>
      <c r="AD1785" t="s">
        <v>7270</v>
      </c>
      <c r="AE1785" t="s">
        <v>7271</v>
      </c>
      <c r="AF1785" t="s">
        <v>7272</v>
      </c>
      <c r="AG1785" t="s">
        <v>66</v>
      </c>
      <c r="AH1785" t="s">
        <v>66</v>
      </c>
      <c r="AI1785" t="s">
        <v>66</v>
      </c>
      <c r="AJ1785" t="s">
        <v>66</v>
      </c>
      <c r="AK1785">
        <v>1</v>
      </c>
      <c r="AL1785" t="s">
        <v>7349</v>
      </c>
      <c r="AM1785" t="s">
        <v>7350</v>
      </c>
      <c r="AN1785" t="s">
        <v>7351</v>
      </c>
      <c r="AO1785" t="s">
        <v>66</v>
      </c>
      <c r="AP1785">
        <v>1</v>
      </c>
      <c r="AQ1785" t="s">
        <v>66</v>
      </c>
      <c r="AR1785" t="s">
        <v>66</v>
      </c>
      <c r="AS1785" t="s">
        <v>66</v>
      </c>
      <c r="AT1785" t="s">
        <v>66</v>
      </c>
    </row>
    <row r="1786" spans="1:46" x14ac:dyDescent="0.15">
      <c r="A1786" t="s">
        <v>7400</v>
      </c>
      <c r="B1786" t="s">
        <v>7262</v>
      </c>
      <c r="C1786" t="s">
        <v>7263</v>
      </c>
      <c r="D1786">
        <v>33</v>
      </c>
      <c r="E1786" t="s">
        <v>7264</v>
      </c>
      <c r="F1786" t="s">
        <v>4516</v>
      </c>
      <c r="G1786" t="s">
        <v>51</v>
      </c>
      <c r="H1786" t="s">
        <v>7265</v>
      </c>
      <c r="I1786" t="s">
        <v>53</v>
      </c>
      <c r="J1786" t="s">
        <v>54</v>
      </c>
      <c r="K1786" t="s">
        <v>1338</v>
      </c>
      <c r="L1786" t="s">
        <v>18</v>
      </c>
      <c r="M1786" t="s">
        <v>16</v>
      </c>
      <c r="N1786">
        <v>2296</v>
      </c>
      <c r="O1786">
        <v>133</v>
      </c>
      <c r="P1786">
        <v>0</v>
      </c>
      <c r="Q1786" t="s">
        <v>7401</v>
      </c>
      <c r="R1786" t="s">
        <v>7402</v>
      </c>
      <c r="S1786" t="s">
        <v>7403</v>
      </c>
      <c r="T1786" t="s">
        <v>6075</v>
      </c>
      <c r="U1786" t="s">
        <v>60</v>
      </c>
      <c r="V1786" t="s">
        <v>61</v>
      </c>
      <c r="W1786">
        <v>5</v>
      </c>
      <c r="X1786">
        <v>9.1874999999999998E-2</v>
      </c>
      <c r="Y1786" t="s">
        <v>170</v>
      </c>
      <c r="Z1786" t="s">
        <v>275</v>
      </c>
      <c r="AA1786">
        <v>1</v>
      </c>
      <c r="AB1786" t="s">
        <v>7268</v>
      </c>
      <c r="AC1786" t="s">
        <v>7269</v>
      </c>
      <c r="AD1786" t="s">
        <v>7270</v>
      </c>
      <c r="AE1786" t="s">
        <v>7271</v>
      </c>
      <c r="AF1786" t="s">
        <v>7272</v>
      </c>
      <c r="AG1786" t="s">
        <v>66</v>
      </c>
      <c r="AH1786" t="s">
        <v>66</v>
      </c>
      <c r="AI1786" t="s">
        <v>66</v>
      </c>
      <c r="AJ1786" t="s">
        <v>66</v>
      </c>
      <c r="AK1786">
        <v>1</v>
      </c>
      <c r="AL1786" t="s">
        <v>7349</v>
      </c>
      <c r="AM1786" t="s">
        <v>7350</v>
      </c>
      <c r="AN1786" t="s">
        <v>7351</v>
      </c>
      <c r="AO1786" t="s">
        <v>66</v>
      </c>
      <c r="AP1786">
        <v>1</v>
      </c>
      <c r="AQ1786" t="s">
        <v>66</v>
      </c>
      <c r="AR1786" t="s">
        <v>66</v>
      </c>
      <c r="AS1786" t="s">
        <v>66</v>
      </c>
      <c r="AT1786" t="s">
        <v>66</v>
      </c>
    </row>
    <row r="1787" spans="1:46" x14ac:dyDescent="0.15">
      <c r="A1787" t="s">
        <v>7404</v>
      </c>
      <c r="B1787" t="s">
        <v>7262</v>
      </c>
      <c r="C1787" t="s">
        <v>7263</v>
      </c>
      <c r="D1787">
        <v>34</v>
      </c>
      <c r="E1787" t="s">
        <v>7264</v>
      </c>
      <c r="F1787" t="s">
        <v>4516</v>
      </c>
      <c r="G1787" t="s">
        <v>51</v>
      </c>
      <c r="H1787" t="s">
        <v>7265</v>
      </c>
      <c r="I1787" t="s">
        <v>53</v>
      </c>
      <c r="J1787" t="s">
        <v>54</v>
      </c>
      <c r="K1787" t="s">
        <v>1338</v>
      </c>
      <c r="L1787" t="s">
        <v>18</v>
      </c>
      <c r="M1787" t="s">
        <v>16</v>
      </c>
      <c r="N1787">
        <v>2352</v>
      </c>
      <c r="O1787">
        <v>137</v>
      </c>
      <c r="P1787">
        <v>0</v>
      </c>
      <c r="Q1787" t="s">
        <v>7405</v>
      </c>
      <c r="R1787" t="s">
        <v>7406</v>
      </c>
      <c r="S1787" t="s">
        <v>7407</v>
      </c>
      <c r="T1787" t="s">
        <v>6079</v>
      </c>
      <c r="U1787" t="s">
        <v>60</v>
      </c>
      <c r="V1787" t="s">
        <v>61</v>
      </c>
      <c r="W1787">
        <v>5</v>
      </c>
      <c r="X1787">
        <v>9.1874999999999998E-2</v>
      </c>
      <c r="Y1787" t="s">
        <v>281</v>
      </c>
      <c r="Z1787" t="s">
        <v>282</v>
      </c>
      <c r="AA1787">
        <v>1</v>
      </c>
      <c r="AB1787" t="s">
        <v>7268</v>
      </c>
      <c r="AC1787" t="s">
        <v>7269</v>
      </c>
      <c r="AD1787" t="s">
        <v>7270</v>
      </c>
      <c r="AE1787" t="s">
        <v>7271</v>
      </c>
      <c r="AF1787" t="s">
        <v>7272</v>
      </c>
      <c r="AG1787" t="s">
        <v>66</v>
      </c>
      <c r="AH1787" t="s">
        <v>66</v>
      </c>
      <c r="AI1787" t="s">
        <v>66</v>
      </c>
      <c r="AJ1787" t="s">
        <v>66</v>
      </c>
      <c r="AK1787">
        <v>1</v>
      </c>
      <c r="AL1787" t="s">
        <v>7349</v>
      </c>
      <c r="AM1787" t="s">
        <v>7350</v>
      </c>
      <c r="AN1787" t="s">
        <v>7351</v>
      </c>
      <c r="AO1787" t="s">
        <v>66</v>
      </c>
      <c r="AP1787">
        <v>1</v>
      </c>
      <c r="AQ1787" t="s">
        <v>66</v>
      </c>
      <c r="AR1787" t="s">
        <v>66</v>
      </c>
      <c r="AS1787" t="s">
        <v>66</v>
      </c>
      <c r="AT1787" t="s">
        <v>66</v>
      </c>
    </row>
    <row r="1788" spans="1:46" x14ac:dyDescent="0.15">
      <c r="A1788" t="s">
        <v>7408</v>
      </c>
      <c r="B1788" t="s">
        <v>7262</v>
      </c>
      <c r="C1788" t="s">
        <v>7263</v>
      </c>
      <c r="D1788">
        <v>35</v>
      </c>
      <c r="E1788" t="s">
        <v>7264</v>
      </c>
      <c r="F1788" t="s">
        <v>4516</v>
      </c>
      <c r="G1788" t="s">
        <v>51</v>
      </c>
      <c r="H1788" t="s">
        <v>7265</v>
      </c>
      <c r="I1788" t="s">
        <v>53</v>
      </c>
      <c r="J1788" t="s">
        <v>54</v>
      </c>
      <c r="K1788" t="s">
        <v>1338</v>
      </c>
      <c r="L1788" t="s">
        <v>18</v>
      </c>
      <c r="M1788" t="s">
        <v>16</v>
      </c>
      <c r="N1788">
        <v>2408</v>
      </c>
      <c r="O1788">
        <v>140</v>
      </c>
      <c r="P1788">
        <v>0</v>
      </c>
      <c r="Q1788" t="s">
        <v>7409</v>
      </c>
      <c r="R1788" t="s">
        <v>7410</v>
      </c>
      <c r="S1788" t="s">
        <v>7411</v>
      </c>
      <c r="T1788" t="s">
        <v>6083</v>
      </c>
      <c r="U1788" t="s">
        <v>60</v>
      </c>
      <c r="V1788" t="s">
        <v>61</v>
      </c>
      <c r="W1788">
        <v>5</v>
      </c>
      <c r="X1788">
        <v>9.1874999999999998E-2</v>
      </c>
      <c r="Y1788" t="s">
        <v>177</v>
      </c>
      <c r="Z1788" t="s">
        <v>288</v>
      </c>
      <c r="AA1788">
        <v>1</v>
      </c>
      <c r="AB1788" t="s">
        <v>7268</v>
      </c>
      <c r="AC1788" t="s">
        <v>7269</v>
      </c>
      <c r="AD1788" t="s">
        <v>7270</v>
      </c>
      <c r="AE1788" t="s">
        <v>7271</v>
      </c>
      <c r="AF1788" t="s">
        <v>7272</v>
      </c>
      <c r="AG1788" t="s">
        <v>66</v>
      </c>
      <c r="AH1788" t="s">
        <v>66</v>
      </c>
      <c r="AI1788" t="s">
        <v>66</v>
      </c>
      <c r="AJ1788" t="s">
        <v>66</v>
      </c>
      <c r="AK1788">
        <v>1</v>
      </c>
      <c r="AL1788" t="s">
        <v>7349</v>
      </c>
      <c r="AM1788" t="s">
        <v>7350</v>
      </c>
      <c r="AN1788" t="s">
        <v>7351</v>
      </c>
      <c r="AO1788" t="s">
        <v>66</v>
      </c>
      <c r="AP1788">
        <v>1</v>
      </c>
      <c r="AQ1788" t="s">
        <v>66</v>
      </c>
      <c r="AR1788" t="s">
        <v>66</v>
      </c>
      <c r="AS1788" t="s">
        <v>66</v>
      </c>
      <c r="AT1788" t="s">
        <v>66</v>
      </c>
    </row>
    <row r="1789" spans="1:46" x14ac:dyDescent="0.15">
      <c r="A1789" t="s">
        <v>7412</v>
      </c>
      <c r="B1789" t="s">
        <v>7262</v>
      </c>
      <c r="C1789" t="s">
        <v>7263</v>
      </c>
      <c r="D1789">
        <v>36</v>
      </c>
      <c r="E1789" t="s">
        <v>7264</v>
      </c>
      <c r="F1789" t="s">
        <v>4516</v>
      </c>
      <c r="G1789" t="s">
        <v>51</v>
      </c>
      <c r="H1789" t="s">
        <v>7265</v>
      </c>
      <c r="I1789" t="s">
        <v>53</v>
      </c>
      <c r="J1789" t="s">
        <v>54</v>
      </c>
      <c r="K1789" t="s">
        <v>1338</v>
      </c>
      <c r="L1789" t="s">
        <v>18</v>
      </c>
      <c r="M1789" t="s">
        <v>16</v>
      </c>
      <c r="N1789">
        <v>2464</v>
      </c>
      <c r="O1789">
        <v>143</v>
      </c>
      <c r="P1789">
        <v>0</v>
      </c>
      <c r="Q1789" t="s">
        <v>7413</v>
      </c>
      <c r="R1789" t="s">
        <v>7414</v>
      </c>
      <c r="S1789" t="s">
        <v>7415</v>
      </c>
      <c r="T1789" t="s">
        <v>6087</v>
      </c>
      <c r="U1789" t="s">
        <v>60</v>
      </c>
      <c r="V1789" t="s">
        <v>61</v>
      </c>
      <c r="W1789">
        <v>5</v>
      </c>
      <c r="X1789">
        <v>9.1874999999999998E-2</v>
      </c>
      <c r="Y1789" t="s">
        <v>294</v>
      </c>
      <c r="Z1789" t="s">
        <v>295</v>
      </c>
      <c r="AA1789">
        <v>1</v>
      </c>
      <c r="AB1789" t="s">
        <v>7268</v>
      </c>
      <c r="AC1789" t="s">
        <v>7269</v>
      </c>
      <c r="AD1789" t="s">
        <v>7270</v>
      </c>
      <c r="AE1789" t="s">
        <v>7271</v>
      </c>
      <c r="AF1789" t="s">
        <v>7272</v>
      </c>
      <c r="AG1789" t="s">
        <v>66</v>
      </c>
      <c r="AH1789" t="s">
        <v>66</v>
      </c>
      <c r="AI1789" t="s">
        <v>66</v>
      </c>
      <c r="AJ1789" t="s">
        <v>66</v>
      </c>
      <c r="AK1789">
        <v>1</v>
      </c>
      <c r="AL1789" t="s">
        <v>7349</v>
      </c>
      <c r="AM1789" t="s">
        <v>7350</v>
      </c>
      <c r="AN1789" t="s">
        <v>7351</v>
      </c>
      <c r="AO1789" t="s">
        <v>66</v>
      </c>
      <c r="AP1789">
        <v>1</v>
      </c>
      <c r="AQ1789" t="s">
        <v>66</v>
      </c>
      <c r="AR1789" t="s">
        <v>66</v>
      </c>
      <c r="AS1789" t="s">
        <v>66</v>
      </c>
      <c r="AT1789" t="s">
        <v>66</v>
      </c>
    </row>
    <row r="1790" spans="1:46" x14ac:dyDescent="0.15">
      <c r="A1790" t="s">
        <v>7416</v>
      </c>
      <c r="B1790" t="s">
        <v>7262</v>
      </c>
      <c r="C1790" t="s">
        <v>7263</v>
      </c>
      <c r="D1790">
        <v>37</v>
      </c>
      <c r="E1790" t="s">
        <v>7264</v>
      </c>
      <c r="F1790" t="s">
        <v>4516</v>
      </c>
      <c r="G1790" t="s">
        <v>51</v>
      </c>
      <c r="H1790" t="s">
        <v>7265</v>
      </c>
      <c r="I1790" t="s">
        <v>53</v>
      </c>
      <c r="J1790" t="s">
        <v>54</v>
      </c>
      <c r="K1790" t="s">
        <v>1338</v>
      </c>
      <c r="L1790" t="s">
        <v>18</v>
      </c>
      <c r="M1790" t="s">
        <v>16</v>
      </c>
      <c r="N1790">
        <v>2520</v>
      </c>
      <c r="O1790">
        <v>146</v>
      </c>
      <c r="P1790">
        <v>0</v>
      </c>
      <c r="Q1790" t="s">
        <v>7417</v>
      </c>
      <c r="R1790" t="s">
        <v>7418</v>
      </c>
      <c r="S1790" t="s">
        <v>7419</v>
      </c>
      <c r="T1790" t="s">
        <v>6091</v>
      </c>
      <c r="U1790" t="s">
        <v>60</v>
      </c>
      <c r="V1790" t="s">
        <v>61</v>
      </c>
      <c r="W1790">
        <v>5</v>
      </c>
      <c r="X1790">
        <v>9.1874999999999998E-2</v>
      </c>
      <c r="Y1790" t="s">
        <v>183</v>
      </c>
      <c r="Z1790" t="s">
        <v>301</v>
      </c>
      <c r="AA1790">
        <v>1</v>
      </c>
      <c r="AB1790" t="s">
        <v>7268</v>
      </c>
      <c r="AC1790" t="s">
        <v>7269</v>
      </c>
      <c r="AD1790" t="s">
        <v>7270</v>
      </c>
      <c r="AE1790" t="s">
        <v>7271</v>
      </c>
      <c r="AF1790" t="s">
        <v>7272</v>
      </c>
      <c r="AG1790" t="s">
        <v>66</v>
      </c>
      <c r="AH1790" t="s">
        <v>66</v>
      </c>
      <c r="AI1790" t="s">
        <v>66</v>
      </c>
      <c r="AJ1790" t="s">
        <v>66</v>
      </c>
      <c r="AK1790">
        <v>1</v>
      </c>
      <c r="AL1790" t="s">
        <v>7349</v>
      </c>
      <c r="AM1790" t="s">
        <v>7350</v>
      </c>
      <c r="AN1790" t="s">
        <v>7351</v>
      </c>
      <c r="AO1790" t="s">
        <v>66</v>
      </c>
      <c r="AP1790">
        <v>1</v>
      </c>
      <c r="AQ1790" t="s">
        <v>66</v>
      </c>
      <c r="AR1790" t="s">
        <v>66</v>
      </c>
      <c r="AS1790" t="s">
        <v>66</v>
      </c>
      <c r="AT1790" t="s">
        <v>66</v>
      </c>
    </row>
    <row r="1791" spans="1:46" x14ac:dyDescent="0.15">
      <c r="A1791" t="s">
        <v>7420</v>
      </c>
      <c r="B1791" t="s">
        <v>7262</v>
      </c>
      <c r="C1791" t="s">
        <v>7263</v>
      </c>
      <c r="D1791">
        <v>38</v>
      </c>
      <c r="E1791" t="s">
        <v>7264</v>
      </c>
      <c r="F1791" t="s">
        <v>4516</v>
      </c>
      <c r="G1791" t="s">
        <v>51</v>
      </c>
      <c r="H1791" t="s">
        <v>7265</v>
      </c>
      <c r="I1791" t="s">
        <v>53</v>
      </c>
      <c r="J1791" t="s">
        <v>54</v>
      </c>
      <c r="K1791" t="s">
        <v>1338</v>
      </c>
      <c r="L1791" t="s">
        <v>18</v>
      </c>
      <c r="M1791" t="s">
        <v>16</v>
      </c>
      <c r="N1791">
        <v>2577</v>
      </c>
      <c r="O1791">
        <v>150</v>
      </c>
      <c r="P1791">
        <v>0</v>
      </c>
      <c r="Q1791" t="s">
        <v>7421</v>
      </c>
      <c r="R1791" t="s">
        <v>7422</v>
      </c>
      <c r="S1791" t="s">
        <v>7423</v>
      </c>
      <c r="T1791" t="s">
        <v>6095</v>
      </c>
      <c r="U1791" t="s">
        <v>60</v>
      </c>
      <c r="V1791" t="s">
        <v>61</v>
      </c>
      <c r="W1791">
        <v>5</v>
      </c>
      <c r="X1791">
        <v>9.1874999999999998E-2</v>
      </c>
      <c r="Y1791" t="s">
        <v>307</v>
      </c>
      <c r="Z1791" t="s">
        <v>308</v>
      </c>
      <c r="AA1791">
        <v>1</v>
      </c>
      <c r="AB1791" t="s">
        <v>7268</v>
      </c>
      <c r="AC1791" t="s">
        <v>7269</v>
      </c>
      <c r="AD1791" t="s">
        <v>7270</v>
      </c>
      <c r="AE1791" t="s">
        <v>7271</v>
      </c>
      <c r="AF1791" t="s">
        <v>7272</v>
      </c>
      <c r="AG1791" t="s">
        <v>66</v>
      </c>
      <c r="AH1791" t="s">
        <v>66</v>
      </c>
      <c r="AI1791" t="s">
        <v>66</v>
      </c>
      <c r="AJ1791" t="s">
        <v>66</v>
      </c>
      <c r="AK1791">
        <v>1</v>
      </c>
      <c r="AL1791" t="s">
        <v>7349</v>
      </c>
      <c r="AM1791" t="s">
        <v>7350</v>
      </c>
      <c r="AN1791" t="s">
        <v>7351</v>
      </c>
      <c r="AO1791" t="s">
        <v>66</v>
      </c>
      <c r="AP1791">
        <v>1</v>
      </c>
      <c r="AQ1791" t="s">
        <v>66</v>
      </c>
      <c r="AR1791" t="s">
        <v>66</v>
      </c>
      <c r="AS1791" t="s">
        <v>66</v>
      </c>
      <c r="AT1791" t="s">
        <v>66</v>
      </c>
    </row>
    <row r="1792" spans="1:46" x14ac:dyDescent="0.15">
      <c r="A1792" t="s">
        <v>7424</v>
      </c>
      <c r="B1792" t="s">
        <v>7262</v>
      </c>
      <c r="C1792" t="s">
        <v>7263</v>
      </c>
      <c r="D1792">
        <v>39</v>
      </c>
      <c r="E1792" t="s">
        <v>7264</v>
      </c>
      <c r="F1792" t="s">
        <v>4516</v>
      </c>
      <c r="G1792" t="s">
        <v>51</v>
      </c>
      <c r="H1792" t="s">
        <v>7265</v>
      </c>
      <c r="I1792" t="s">
        <v>53</v>
      </c>
      <c r="J1792" t="s">
        <v>54</v>
      </c>
      <c r="K1792" t="s">
        <v>1338</v>
      </c>
      <c r="L1792" t="s">
        <v>18</v>
      </c>
      <c r="M1792" t="s">
        <v>16</v>
      </c>
      <c r="N1792">
        <v>2633</v>
      </c>
      <c r="O1792">
        <v>153</v>
      </c>
      <c r="P1792">
        <v>0</v>
      </c>
      <c r="Q1792" t="s">
        <v>7425</v>
      </c>
      <c r="R1792" t="s">
        <v>7426</v>
      </c>
      <c r="S1792" t="s">
        <v>7427</v>
      </c>
      <c r="T1792" t="s">
        <v>6099</v>
      </c>
      <c r="U1792" t="s">
        <v>60</v>
      </c>
      <c r="V1792" t="s">
        <v>61</v>
      </c>
      <c r="W1792">
        <v>5</v>
      </c>
      <c r="X1792">
        <v>9.1874999999999998E-2</v>
      </c>
      <c r="Y1792" t="s">
        <v>190</v>
      </c>
      <c r="Z1792" t="s">
        <v>314</v>
      </c>
      <c r="AA1792">
        <v>1</v>
      </c>
      <c r="AB1792" t="s">
        <v>7268</v>
      </c>
      <c r="AC1792" t="s">
        <v>7269</v>
      </c>
      <c r="AD1792" t="s">
        <v>7270</v>
      </c>
      <c r="AE1792" t="s">
        <v>7271</v>
      </c>
      <c r="AF1792" t="s">
        <v>7272</v>
      </c>
      <c r="AG1792" t="s">
        <v>66</v>
      </c>
      <c r="AH1792" t="s">
        <v>66</v>
      </c>
      <c r="AI1792" t="s">
        <v>66</v>
      </c>
      <c r="AJ1792" t="s">
        <v>66</v>
      </c>
      <c r="AK1792">
        <v>1</v>
      </c>
      <c r="AL1792" t="s">
        <v>7349</v>
      </c>
      <c r="AM1792" t="s">
        <v>7350</v>
      </c>
      <c r="AN1792" t="s">
        <v>7351</v>
      </c>
      <c r="AO1792" t="s">
        <v>66</v>
      </c>
      <c r="AP1792">
        <v>1</v>
      </c>
      <c r="AQ1792" t="s">
        <v>66</v>
      </c>
      <c r="AR1792" t="s">
        <v>66</v>
      </c>
      <c r="AS1792" t="s">
        <v>66</v>
      </c>
      <c r="AT1792" t="s">
        <v>66</v>
      </c>
    </row>
    <row r="1793" spans="1:46" x14ac:dyDescent="0.15">
      <c r="A1793" t="s">
        <v>7428</v>
      </c>
      <c r="B1793" t="s">
        <v>7262</v>
      </c>
      <c r="C1793" t="s">
        <v>7263</v>
      </c>
      <c r="D1793">
        <v>40</v>
      </c>
      <c r="E1793" t="s">
        <v>7264</v>
      </c>
      <c r="F1793" t="s">
        <v>4516</v>
      </c>
      <c r="G1793" t="s">
        <v>51</v>
      </c>
      <c r="H1793" t="s">
        <v>7265</v>
      </c>
      <c r="I1793" t="s">
        <v>53</v>
      </c>
      <c r="J1793" t="s">
        <v>54</v>
      </c>
      <c r="K1793" t="s">
        <v>1338</v>
      </c>
      <c r="L1793" t="s">
        <v>18</v>
      </c>
      <c r="M1793" t="s">
        <v>16</v>
      </c>
      <c r="N1793">
        <v>2689</v>
      </c>
      <c r="O1793">
        <v>156</v>
      </c>
      <c r="P1793">
        <v>0</v>
      </c>
      <c r="Q1793" t="s">
        <v>7429</v>
      </c>
      <c r="R1793" t="s">
        <v>7430</v>
      </c>
      <c r="S1793" t="s">
        <v>7431</v>
      </c>
      <c r="T1793" t="s">
        <v>6103</v>
      </c>
      <c r="U1793" t="s">
        <v>60</v>
      </c>
      <c r="V1793" t="s">
        <v>61</v>
      </c>
      <c r="W1793">
        <v>5</v>
      </c>
      <c r="X1793">
        <v>9.1874999999999998E-2</v>
      </c>
      <c r="Y1793" t="s">
        <v>320</v>
      </c>
      <c r="Z1793" t="s">
        <v>321</v>
      </c>
      <c r="AA1793">
        <v>1</v>
      </c>
      <c r="AB1793" t="s">
        <v>7268</v>
      </c>
      <c r="AC1793" t="s">
        <v>7269</v>
      </c>
      <c r="AD1793" t="s">
        <v>7270</v>
      </c>
      <c r="AE1793" t="s">
        <v>7271</v>
      </c>
      <c r="AF1793" t="s">
        <v>7272</v>
      </c>
      <c r="AG1793" t="s">
        <v>66</v>
      </c>
      <c r="AH1793" t="s">
        <v>66</v>
      </c>
      <c r="AI1793" t="s">
        <v>66</v>
      </c>
      <c r="AJ1793" t="s">
        <v>66</v>
      </c>
      <c r="AK1793">
        <v>1</v>
      </c>
      <c r="AL1793" t="s">
        <v>7349</v>
      </c>
      <c r="AM1793" t="s">
        <v>7350</v>
      </c>
      <c r="AN1793" t="s">
        <v>7351</v>
      </c>
      <c r="AO1793" t="s">
        <v>66</v>
      </c>
      <c r="AP1793">
        <v>1</v>
      </c>
      <c r="AQ1793" t="s">
        <v>66</v>
      </c>
      <c r="AR1793" t="s">
        <v>66</v>
      </c>
      <c r="AS1793" t="s">
        <v>66</v>
      </c>
      <c r="AT1793" t="s">
        <v>66</v>
      </c>
    </row>
    <row r="1794" spans="1:46" x14ac:dyDescent="0.15">
      <c r="A1794" t="s">
        <v>7428</v>
      </c>
      <c r="B1794" t="s">
        <v>7262</v>
      </c>
      <c r="C1794" t="s">
        <v>7263</v>
      </c>
      <c r="D1794">
        <v>40</v>
      </c>
      <c r="E1794" t="s">
        <v>7264</v>
      </c>
      <c r="F1794" t="s">
        <v>4516</v>
      </c>
      <c r="G1794" t="s">
        <v>51</v>
      </c>
      <c r="H1794" t="s">
        <v>7265</v>
      </c>
      <c r="I1794" t="s">
        <v>53</v>
      </c>
      <c r="J1794" t="s">
        <v>54</v>
      </c>
      <c r="K1794" t="s">
        <v>1338</v>
      </c>
      <c r="L1794" t="s">
        <v>18</v>
      </c>
      <c r="M1794" t="s">
        <v>16</v>
      </c>
      <c r="N1794">
        <v>2689</v>
      </c>
      <c r="O1794">
        <v>156</v>
      </c>
      <c r="P1794">
        <v>0</v>
      </c>
      <c r="Q1794" t="s">
        <v>7429</v>
      </c>
      <c r="R1794" t="s">
        <v>7430</v>
      </c>
      <c r="S1794" t="s">
        <v>7431</v>
      </c>
      <c r="T1794" t="s">
        <v>6103</v>
      </c>
      <c r="U1794" t="s">
        <v>60</v>
      </c>
      <c r="V1794" t="s">
        <v>61</v>
      </c>
      <c r="W1794">
        <v>5</v>
      </c>
      <c r="X1794">
        <v>9.1874999999999998E-2</v>
      </c>
      <c r="Y1794" t="s">
        <v>320</v>
      </c>
      <c r="Z1794" t="s">
        <v>321</v>
      </c>
      <c r="AA1794">
        <v>2</v>
      </c>
      <c r="AB1794" t="s">
        <v>7268</v>
      </c>
      <c r="AC1794" t="s">
        <v>7269</v>
      </c>
      <c r="AD1794" t="s">
        <v>7270</v>
      </c>
      <c r="AE1794" t="s">
        <v>7271</v>
      </c>
      <c r="AF1794" t="s">
        <v>7272</v>
      </c>
      <c r="AG1794" t="s">
        <v>66</v>
      </c>
      <c r="AH1794" t="s">
        <v>66</v>
      </c>
      <c r="AI1794" t="s">
        <v>66</v>
      </c>
      <c r="AJ1794" t="s">
        <v>66</v>
      </c>
      <c r="AK1794">
        <v>1</v>
      </c>
      <c r="AL1794" t="s">
        <v>7349</v>
      </c>
      <c r="AM1794" t="s">
        <v>7350</v>
      </c>
      <c r="AN1794" t="s">
        <v>7351</v>
      </c>
      <c r="AO1794" t="s">
        <v>66</v>
      </c>
      <c r="AP1794">
        <v>1</v>
      </c>
      <c r="AQ1794" t="s">
        <v>66</v>
      </c>
      <c r="AR1794" t="s">
        <v>66</v>
      </c>
      <c r="AS1794" t="s">
        <v>66</v>
      </c>
      <c r="AT1794" t="s">
        <v>66</v>
      </c>
    </row>
    <row r="1795" spans="1:46" x14ac:dyDescent="0.15">
      <c r="A1795" t="s">
        <v>7432</v>
      </c>
      <c r="B1795" t="s">
        <v>7262</v>
      </c>
      <c r="C1795" t="s">
        <v>7263</v>
      </c>
      <c r="D1795">
        <v>41</v>
      </c>
      <c r="E1795" t="s">
        <v>7264</v>
      </c>
      <c r="F1795" t="s">
        <v>4516</v>
      </c>
      <c r="G1795" t="s">
        <v>51</v>
      </c>
      <c r="H1795" t="s">
        <v>7265</v>
      </c>
      <c r="I1795" t="s">
        <v>53</v>
      </c>
      <c r="J1795" t="s">
        <v>54</v>
      </c>
      <c r="K1795" t="s">
        <v>1338</v>
      </c>
      <c r="L1795" t="s">
        <v>18</v>
      </c>
      <c r="M1795" t="s">
        <v>16</v>
      </c>
      <c r="N1795">
        <v>2745</v>
      </c>
      <c r="O1795">
        <v>159</v>
      </c>
      <c r="P1795">
        <v>0</v>
      </c>
      <c r="Q1795" t="s">
        <v>7433</v>
      </c>
      <c r="R1795" t="s">
        <v>7434</v>
      </c>
      <c r="S1795" t="s">
        <v>7435</v>
      </c>
      <c r="T1795" t="s">
        <v>6110</v>
      </c>
      <c r="U1795" t="s">
        <v>60</v>
      </c>
      <c r="V1795" t="s">
        <v>61</v>
      </c>
      <c r="W1795">
        <v>5</v>
      </c>
      <c r="X1795">
        <v>9.1874999999999998E-2</v>
      </c>
      <c r="Y1795" t="s">
        <v>197</v>
      </c>
      <c r="Z1795" t="s">
        <v>330</v>
      </c>
      <c r="AA1795">
        <v>2</v>
      </c>
      <c r="AB1795" t="s">
        <v>7268</v>
      </c>
      <c r="AC1795" t="s">
        <v>7269</v>
      </c>
      <c r="AD1795" t="s">
        <v>7270</v>
      </c>
      <c r="AE1795" t="s">
        <v>7271</v>
      </c>
      <c r="AF1795" t="s">
        <v>7272</v>
      </c>
      <c r="AG1795" t="s">
        <v>66</v>
      </c>
      <c r="AH1795" t="s">
        <v>66</v>
      </c>
      <c r="AI1795" t="s">
        <v>66</v>
      </c>
      <c r="AJ1795" t="s">
        <v>66</v>
      </c>
      <c r="AK1795">
        <v>1</v>
      </c>
      <c r="AL1795" t="s">
        <v>7349</v>
      </c>
      <c r="AM1795" t="s">
        <v>7350</v>
      </c>
      <c r="AN1795" t="s">
        <v>7351</v>
      </c>
      <c r="AO1795" t="s">
        <v>66</v>
      </c>
      <c r="AP1795">
        <v>1</v>
      </c>
      <c r="AQ1795" t="s">
        <v>66</v>
      </c>
      <c r="AR1795" t="s">
        <v>66</v>
      </c>
      <c r="AS1795" t="s">
        <v>66</v>
      </c>
      <c r="AT1795" t="s">
        <v>66</v>
      </c>
    </row>
    <row r="1796" spans="1:46" x14ac:dyDescent="0.15">
      <c r="A1796" t="s">
        <v>7436</v>
      </c>
      <c r="B1796" t="s">
        <v>7262</v>
      </c>
      <c r="C1796" t="s">
        <v>7263</v>
      </c>
      <c r="D1796">
        <v>42</v>
      </c>
      <c r="E1796" t="s">
        <v>7264</v>
      </c>
      <c r="F1796" t="s">
        <v>4516</v>
      </c>
      <c r="G1796" t="s">
        <v>51</v>
      </c>
      <c r="H1796" t="s">
        <v>7265</v>
      </c>
      <c r="I1796" t="s">
        <v>53</v>
      </c>
      <c r="J1796" t="s">
        <v>54</v>
      </c>
      <c r="K1796" t="s">
        <v>1338</v>
      </c>
      <c r="L1796" t="s">
        <v>18</v>
      </c>
      <c r="M1796" t="s">
        <v>16</v>
      </c>
      <c r="N1796">
        <v>2801</v>
      </c>
      <c r="O1796">
        <v>162</v>
      </c>
      <c r="P1796">
        <v>0</v>
      </c>
      <c r="Q1796" t="s">
        <v>7437</v>
      </c>
      <c r="R1796" t="s">
        <v>7438</v>
      </c>
      <c r="S1796" t="s">
        <v>7439</v>
      </c>
      <c r="T1796" t="s">
        <v>6114</v>
      </c>
      <c r="U1796" t="s">
        <v>60</v>
      </c>
      <c r="V1796" t="s">
        <v>61</v>
      </c>
      <c r="W1796">
        <v>5</v>
      </c>
      <c r="X1796">
        <v>9.1874999999999998E-2</v>
      </c>
      <c r="Y1796" t="s">
        <v>336</v>
      </c>
      <c r="Z1796" t="s">
        <v>337</v>
      </c>
      <c r="AA1796">
        <v>2</v>
      </c>
      <c r="AB1796" t="s">
        <v>7268</v>
      </c>
      <c r="AC1796" t="s">
        <v>7269</v>
      </c>
      <c r="AD1796" t="s">
        <v>7270</v>
      </c>
      <c r="AE1796" t="s">
        <v>7271</v>
      </c>
      <c r="AF1796" t="s">
        <v>7272</v>
      </c>
      <c r="AG1796" t="s">
        <v>66</v>
      </c>
      <c r="AH1796" t="s">
        <v>66</v>
      </c>
      <c r="AI1796" t="s">
        <v>66</v>
      </c>
      <c r="AJ1796" t="s">
        <v>66</v>
      </c>
      <c r="AK1796">
        <v>1</v>
      </c>
      <c r="AL1796" t="s">
        <v>7349</v>
      </c>
      <c r="AM1796" t="s">
        <v>7350</v>
      </c>
      <c r="AN1796" t="s">
        <v>7351</v>
      </c>
      <c r="AO1796" t="s">
        <v>66</v>
      </c>
      <c r="AP1796">
        <v>1</v>
      </c>
      <c r="AQ1796" t="s">
        <v>66</v>
      </c>
      <c r="AR1796" t="s">
        <v>66</v>
      </c>
      <c r="AS1796" t="s">
        <v>66</v>
      </c>
      <c r="AT1796" t="s">
        <v>66</v>
      </c>
    </row>
    <row r="1797" spans="1:46" x14ac:dyDescent="0.15">
      <c r="A1797" t="s">
        <v>7440</v>
      </c>
      <c r="B1797" t="s">
        <v>7262</v>
      </c>
      <c r="C1797" t="s">
        <v>7263</v>
      </c>
      <c r="D1797">
        <v>43</v>
      </c>
      <c r="E1797" t="s">
        <v>7264</v>
      </c>
      <c r="F1797" t="s">
        <v>4516</v>
      </c>
      <c r="G1797" t="s">
        <v>51</v>
      </c>
      <c r="H1797" t="s">
        <v>7265</v>
      </c>
      <c r="I1797" t="s">
        <v>53</v>
      </c>
      <c r="J1797" t="s">
        <v>54</v>
      </c>
      <c r="K1797" t="s">
        <v>1338</v>
      </c>
      <c r="L1797" t="s">
        <v>18</v>
      </c>
      <c r="M1797" t="s">
        <v>16</v>
      </c>
      <c r="N1797">
        <v>2857</v>
      </c>
      <c r="O1797">
        <v>166</v>
      </c>
      <c r="P1797">
        <v>0</v>
      </c>
      <c r="Q1797" t="s">
        <v>7441</v>
      </c>
      <c r="R1797" t="s">
        <v>7442</v>
      </c>
      <c r="S1797" t="s">
        <v>7443</v>
      </c>
      <c r="T1797" t="s">
        <v>6118</v>
      </c>
      <c r="U1797" t="s">
        <v>60</v>
      </c>
      <c r="V1797" t="s">
        <v>61</v>
      </c>
      <c r="W1797">
        <v>5</v>
      </c>
      <c r="X1797">
        <v>9.1874999999999998E-2</v>
      </c>
      <c r="Y1797" t="s">
        <v>204</v>
      </c>
      <c r="Z1797" t="s">
        <v>343</v>
      </c>
      <c r="AA1797">
        <v>2</v>
      </c>
      <c r="AB1797" t="s">
        <v>7268</v>
      </c>
      <c r="AC1797" t="s">
        <v>7269</v>
      </c>
      <c r="AD1797" t="s">
        <v>7270</v>
      </c>
      <c r="AE1797" t="s">
        <v>7271</v>
      </c>
      <c r="AF1797" t="s">
        <v>7272</v>
      </c>
      <c r="AG1797" t="s">
        <v>66</v>
      </c>
      <c r="AH1797" t="s">
        <v>66</v>
      </c>
      <c r="AI1797" t="s">
        <v>66</v>
      </c>
      <c r="AJ1797" t="s">
        <v>66</v>
      </c>
      <c r="AK1797">
        <v>1</v>
      </c>
      <c r="AL1797" t="s">
        <v>7349</v>
      </c>
      <c r="AM1797" t="s">
        <v>7350</v>
      </c>
      <c r="AN1797" t="s">
        <v>7351</v>
      </c>
      <c r="AO1797" t="s">
        <v>66</v>
      </c>
      <c r="AP1797">
        <v>1</v>
      </c>
      <c r="AQ1797" t="s">
        <v>66</v>
      </c>
      <c r="AR1797" t="s">
        <v>66</v>
      </c>
      <c r="AS1797" t="s">
        <v>66</v>
      </c>
      <c r="AT1797" t="s">
        <v>66</v>
      </c>
    </row>
    <row r="1798" spans="1:46" x14ac:dyDescent="0.15">
      <c r="A1798" t="s">
        <v>7444</v>
      </c>
      <c r="B1798" t="s">
        <v>7262</v>
      </c>
      <c r="C1798" t="s">
        <v>7263</v>
      </c>
      <c r="D1798">
        <v>44</v>
      </c>
      <c r="E1798" t="s">
        <v>7264</v>
      </c>
      <c r="F1798" t="s">
        <v>4516</v>
      </c>
      <c r="G1798" t="s">
        <v>51</v>
      </c>
      <c r="H1798" t="s">
        <v>7265</v>
      </c>
      <c r="I1798" t="s">
        <v>53</v>
      </c>
      <c r="J1798" t="s">
        <v>54</v>
      </c>
      <c r="K1798" t="s">
        <v>1338</v>
      </c>
      <c r="L1798" t="s">
        <v>18</v>
      </c>
      <c r="M1798" t="s">
        <v>16</v>
      </c>
      <c r="N1798">
        <v>2913</v>
      </c>
      <c r="O1798">
        <v>169</v>
      </c>
      <c r="P1798">
        <v>0</v>
      </c>
      <c r="Q1798" t="s">
        <v>7445</v>
      </c>
      <c r="R1798" t="s">
        <v>7446</v>
      </c>
      <c r="S1798" t="s">
        <v>7447</v>
      </c>
      <c r="T1798" t="s">
        <v>6122</v>
      </c>
      <c r="U1798" t="s">
        <v>60</v>
      </c>
      <c r="V1798" t="s">
        <v>61</v>
      </c>
      <c r="W1798">
        <v>5</v>
      </c>
      <c r="X1798">
        <v>9.1874999999999998E-2</v>
      </c>
      <c r="Y1798" t="s">
        <v>349</v>
      </c>
      <c r="Z1798" t="s">
        <v>350</v>
      </c>
      <c r="AA1798">
        <v>2</v>
      </c>
      <c r="AB1798" t="s">
        <v>7268</v>
      </c>
      <c r="AC1798" t="s">
        <v>7269</v>
      </c>
      <c r="AD1798" t="s">
        <v>7270</v>
      </c>
      <c r="AE1798" t="s">
        <v>7271</v>
      </c>
      <c r="AF1798" t="s">
        <v>7272</v>
      </c>
      <c r="AG1798" t="s">
        <v>66</v>
      </c>
      <c r="AH1798" t="s">
        <v>66</v>
      </c>
      <c r="AI1798" t="s">
        <v>66</v>
      </c>
      <c r="AJ1798" t="s">
        <v>66</v>
      </c>
      <c r="AK1798">
        <v>1</v>
      </c>
      <c r="AL1798" t="s">
        <v>7349</v>
      </c>
      <c r="AM1798" t="s">
        <v>7350</v>
      </c>
      <c r="AN1798" t="s">
        <v>7351</v>
      </c>
      <c r="AO1798" t="s">
        <v>66</v>
      </c>
      <c r="AP1798">
        <v>1</v>
      </c>
      <c r="AQ1798" t="s">
        <v>66</v>
      </c>
      <c r="AR1798" t="s">
        <v>66</v>
      </c>
      <c r="AS1798" t="s">
        <v>66</v>
      </c>
      <c r="AT1798" t="s">
        <v>66</v>
      </c>
    </row>
    <row r="1799" spans="1:46" x14ac:dyDescent="0.15">
      <c r="A1799" t="s">
        <v>7448</v>
      </c>
      <c r="B1799" t="s">
        <v>7262</v>
      </c>
      <c r="C1799" t="s">
        <v>7263</v>
      </c>
      <c r="D1799">
        <v>45</v>
      </c>
      <c r="E1799" t="s">
        <v>7264</v>
      </c>
      <c r="F1799" t="s">
        <v>4516</v>
      </c>
      <c r="G1799" t="s">
        <v>51</v>
      </c>
      <c r="H1799" t="s">
        <v>7265</v>
      </c>
      <c r="I1799" t="s">
        <v>53</v>
      </c>
      <c r="J1799" t="s">
        <v>54</v>
      </c>
      <c r="K1799" t="s">
        <v>1338</v>
      </c>
      <c r="L1799" t="s">
        <v>18</v>
      </c>
      <c r="M1799" t="s">
        <v>16</v>
      </c>
      <c r="N1799">
        <v>2969</v>
      </c>
      <c r="O1799">
        <v>172</v>
      </c>
      <c r="P1799">
        <v>0</v>
      </c>
      <c r="Q1799" t="s">
        <v>7449</v>
      </c>
      <c r="R1799" t="s">
        <v>7450</v>
      </c>
      <c r="S1799" t="s">
        <v>7451</v>
      </c>
      <c r="T1799" t="s">
        <v>6126</v>
      </c>
      <c r="U1799" t="s">
        <v>60</v>
      </c>
      <c r="V1799" t="s">
        <v>61</v>
      </c>
      <c r="W1799">
        <v>5</v>
      </c>
      <c r="X1799">
        <v>9.1874999999999998E-2</v>
      </c>
      <c r="Y1799" t="s">
        <v>210</v>
      </c>
      <c r="Z1799" t="s">
        <v>356</v>
      </c>
      <c r="AA1799">
        <v>2</v>
      </c>
      <c r="AB1799" t="s">
        <v>7268</v>
      </c>
      <c r="AC1799" t="s">
        <v>7269</v>
      </c>
      <c r="AD1799" t="s">
        <v>7270</v>
      </c>
      <c r="AE1799" t="s">
        <v>7271</v>
      </c>
      <c r="AF1799" t="s">
        <v>7272</v>
      </c>
      <c r="AG1799" t="s">
        <v>66</v>
      </c>
      <c r="AH1799" t="s">
        <v>66</v>
      </c>
      <c r="AI1799" t="s">
        <v>66</v>
      </c>
      <c r="AJ1799" t="s">
        <v>66</v>
      </c>
      <c r="AK1799">
        <v>1</v>
      </c>
      <c r="AL1799" t="s">
        <v>7349</v>
      </c>
      <c r="AM1799" t="s">
        <v>7350</v>
      </c>
      <c r="AN1799" t="s">
        <v>7351</v>
      </c>
      <c r="AO1799" t="s">
        <v>66</v>
      </c>
      <c r="AP1799">
        <v>1</v>
      </c>
      <c r="AQ1799" t="s">
        <v>66</v>
      </c>
      <c r="AR1799" t="s">
        <v>66</v>
      </c>
      <c r="AS1799" t="s">
        <v>66</v>
      </c>
      <c r="AT1799" t="s">
        <v>66</v>
      </c>
    </row>
    <row r="1800" spans="1:46" x14ac:dyDescent="0.15">
      <c r="A1800" t="s">
        <v>7452</v>
      </c>
      <c r="B1800" t="s">
        <v>7262</v>
      </c>
      <c r="C1800" t="s">
        <v>7263</v>
      </c>
      <c r="D1800">
        <v>46</v>
      </c>
      <c r="E1800" t="s">
        <v>7264</v>
      </c>
      <c r="F1800" t="s">
        <v>4516</v>
      </c>
      <c r="G1800" t="s">
        <v>51</v>
      </c>
      <c r="H1800" t="s">
        <v>7265</v>
      </c>
      <c r="I1800" t="s">
        <v>53</v>
      </c>
      <c r="J1800" t="s">
        <v>54</v>
      </c>
      <c r="K1800" t="s">
        <v>1338</v>
      </c>
      <c r="L1800" t="s">
        <v>18</v>
      </c>
      <c r="M1800" t="s">
        <v>16</v>
      </c>
      <c r="N1800">
        <v>3026</v>
      </c>
      <c r="O1800">
        <v>175</v>
      </c>
      <c r="P1800">
        <v>0</v>
      </c>
      <c r="Q1800" t="s">
        <v>7453</v>
      </c>
      <c r="R1800" t="s">
        <v>7454</v>
      </c>
      <c r="S1800" t="s">
        <v>7455</v>
      </c>
      <c r="T1800" t="s">
        <v>6130</v>
      </c>
      <c r="U1800" t="s">
        <v>60</v>
      </c>
      <c r="V1800" t="s">
        <v>61</v>
      </c>
      <c r="W1800">
        <v>5</v>
      </c>
      <c r="X1800">
        <v>9.1874999999999998E-2</v>
      </c>
      <c r="Y1800" t="s">
        <v>362</v>
      </c>
      <c r="Z1800" t="s">
        <v>363</v>
      </c>
      <c r="AA1800">
        <v>2</v>
      </c>
      <c r="AB1800" t="s">
        <v>7268</v>
      </c>
      <c r="AC1800" t="s">
        <v>7269</v>
      </c>
      <c r="AD1800" t="s">
        <v>7270</v>
      </c>
      <c r="AE1800" t="s">
        <v>7271</v>
      </c>
      <c r="AF1800" t="s">
        <v>7272</v>
      </c>
      <c r="AG1800" t="s">
        <v>66</v>
      </c>
      <c r="AH1800" t="s">
        <v>66</v>
      </c>
      <c r="AI1800" t="s">
        <v>66</v>
      </c>
      <c r="AJ1800" t="s">
        <v>66</v>
      </c>
      <c r="AK1800">
        <v>1</v>
      </c>
      <c r="AL1800" t="s">
        <v>7349</v>
      </c>
      <c r="AM1800" t="s">
        <v>7350</v>
      </c>
      <c r="AN1800" t="s">
        <v>7351</v>
      </c>
      <c r="AO1800" t="s">
        <v>66</v>
      </c>
      <c r="AP1800">
        <v>1</v>
      </c>
      <c r="AQ1800" t="s">
        <v>66</v>
      </c>
      <c r="AR1800" t="s">
        <v>66</v>
      </c>
      <c r="AS1800" t="s">
        <v>66</v>
      </c>
      <c r="AT1800" t="s">
        <v>66</v>
      </c>
    </row>
    <row r="1801" spans="1:46" x14ac:dyDescent="0.15">
      <c r="A1801" t="s">
        <v>7456</v>
      </c>
      <c r="B1801" t="s">
        <v>7262</v>
      </c>
      <c r="C1801" t="s">
        <v>7263</v>
      </c>
      <c r="D1801">
        <v>47</v>
      </c>
      <c r="E1801" t="s">
        <v>7264</v>
      </c>
      <c r="F1801" t="s">
        <v>4516</v>
      </c>
      <c r="G1801" t="s">
        <v>51</v>
      </c>
      <c r="H1801" t="s">
        <v>7265</v>
      </c>
      <c r="I1801" t="s">
        <v>53</v>
      </c>
      <c r="J1801" t="s">
        <v>54</v>
      </c>
      <c r="K1801" t="s">
        <v>1338</v>
      </c>
      <c r="L1801" t="s">
        <v>18</v>
      </c>
      <c r="M1801" t="s">
        <v>16</v>
      </c>
      <c r="N1801">
        <v>3082</v>
      </c>
      <c r="O1801">
        <v>179</v>
      </c>
      <c r="P1801">
        <v>0</v>
      </c>
      <c r="Q1801" t="s">
        <v>7457</v>
      </c>
      <c r="R1801" t="s">
        <v>7458</v>
      </c>
      <c r="S1801" t="s">
        <v>7459</v>
      </c>
      <c r="T1801" t="s">
        <v>6134</v>
      </c>
      <c r="U1801" t="s">
        <v>60</v>
      </c>
      <c r="V1801" t="s">
        <v>61</v>
      </c>
      <c r="W1801">
        <v>5</v>
      </c>
      <c r="X1801">
        <v>9.1874999999999998E-2</v>
      </c>
      <c r="Y1801" t="s">
        <v>217</v>
      </c>
      <c r="Z1801" t="s">
        <v>369</v>
      </c>
      <c r="AA1801">
        <v>2</v>
      </c>
      <c r="AB1801" t="s">
        <v>7268</v>
      </c>
      <c r="AC1801" t="s">
        <v>7269</v>
      </c>
      <c r="AD1801" t="s">
        <v>7270</v>
      </c>
      <c r="AE1801" t="s">
        <v>7271</v>
      </c>
      <c r="AF1801" t="s">
        <v>7272</v>
      </c>
      <c r="AG1801" t="s">
        <v>66</v>
      </c>
      <c r="AH1801" t="s">
        <v>66</v>
      </c>
      <c r="AI1801" t="s">
        <v>66</v>
      </c>
      <c r="AJ1801" t="s">
        <v>66</v>
      </c>
      <c r="AK1801">
        <v>1</v>
      </c>
      <c r="AL1801" t="s">
        <v>7349</v>
      </c>
      <c r="AM1801" t="s">
        <v>7350</v>
      </c>
      <c r="AN1801" t="s">
        <v>7351</v>
      </c>
      <c r="AO1801" t="s">
        <v>66</v>
      </c>
      <c r="AP1801">
        <v>1</v>
      </c>
      <c r="AQ1801" t="s">
        <v>66</v>
      </c>
      <c r="AR1801" t="s">
        <v>66</v>
      </c>
      <c r="AS1801" t="s">
        <v>66</v>
      </c>
      <c r="AT1801" t="s">
        <v>66</v>
      </c>
    </row>
    <row r="1802" spans="1:46" x14ac:dyDescent="0.15">
      <c r="A1802" t="s">
        <v>7460</v>
      </c>
      <c r="B1802" t="s">
        <v>7262</v>
      </c>
      <c r="C1802" t="s">
        <v>7263</v>
      </c>
      <c r="D1802">
        <v>48</v>
      </c>
      <c r="E1802" t="s">
        <v>7264</v>
      </c>
      <c r="F1802" t="s">
        <v>4516</v>
      </c>
      <c r="G1802" t="s">
        <v>51</v>
      </c>
      <c r="H1802" t="s">
        <v>7265</v>
      </c>
      <c r="I1802" t="s">
        <v>53</v>
      </c>
      <c r="J1802" t="s">
        <v>54</v>
      </c>
      <c r="K1802" t="s">
        <v>1338</v>
      </c>
      <c r="L1802" t="s">
        <v>18</v>
      </c>
      <c r="M1802" t="s">
        <v>16</v>
      </c>
      <c r="N1802">
        <v>3138</v>
      </c>
      <c r="O1802">
        <v>182</v>
      </c>
      <c r="P1802">
        <v>0</v>
      </c>
      <c r="Q1802" t="s">
        <v>7461</v>
      </c>
      <c r="R1802" t="s">
        <v>7462</v>
      </c>
      <c r="S1802" t="s">
        <v>7463</v>
      </c>
      <c r="T1802" t="s">
        <v>6138</v>
      </c>
      <c r="U1802" t="s">
        <v>60</v>
      </c>
      <c r="V1802" t="s">
        <v>61</v>
      </c>
      <c r="W1802">
        <v>5</v>
      </c>
      <c r="X1802">
        <v>9.1874999999999998E-2</v>
      </c>
      <c r="Y1802" t="s">
        <v>375</v>
      </c>
      <c r="Z1802" t="s">
        <v>376</v>
      </c>
      <c r="AA1802">
        <v>2</v>
      </c>
      <c r="AB1802" t="s">
        <v>7268</v>
      </c>
      <c r="AC1802" t="s">
        <v>7269</v>
      </c>
      <c r="AD1802" t="s">
        <v>7270</v>
      </c>
      <c r="AE1802" t="s">
        <v>7271</v>
      </c>
      <c r="AF1802" t="s">
        <v>7272</v>
      </c>
      <c r="AG1802" t="s">
        <v>66</v>
      </c>
      <c r="AH1802" t="s">
        <v>66</v>
      </c>
      <c r="AI1802" t="s">
        <v>66</v>
      </c>
      <c r="AJ1802" t="s">
        <v>66</v>
      </c>
      <c r="AK1802">
        <v>1</v>
      </c>
      <c r="AL1802" t="s">
        <v>7349</v>
      </c>
      <c r="AM1802" t="s">
        <v>7350</v>
      </c>
      <c r="AN1802" t="s">
        <v>7351</v>
      </c>
      <c r="AO1802" t="s">
        <v>66</v>
      </c>
      <c r="AP1802">
        <v>1</v>
      </c>
      <c r="AQ1802" t="s">
        <v>66</v>
      </c>
      <c r="AR1802" t="s">
        <v>66</v>
      </c>
      <c r="AS1802" t="s">
        <v>66</v>
      </c>
      <c r="AT1802" t="s">
        <v>66</v>
      </c>
    </row>
    <row r="1803" spans="1:46" x14ac:dyDescent="0.15">
      <c r="A1803" t="s">
        <v>7464</v>
      </c>
      <c r="B1803" t="s">
        <v>7262</v>
      </c>
      <c r="C1803" t="s">
        <v>7263</v>
      </c>
      <c r="D1803">
        <v>49</v>
      </c>
      <c r="E1803" t="s">
        <v>7264</v>
      </c>
      <c r="F1803" t="s">
        <v>4516</v>
      </c>
      <c r="G1803" t="s">
        <v>51</v>
      </c>
      <c r="H1803" t="s">
        <v>7265</v>
      </c>
      <c r="I1803" t="s">
        <v>53</v>
      </c>
      <c r="J1803" t="s">
        <v>54</v>
      </c>
      <c r="K1803" t="s">
        <v>1338</v>
      </c>
      <c r="L1803" t="s">
        <v>18</v>
      </c>
      <c r="M1803" t="s">
        <v>16</v>
      </c>
      <c r="N1803">
        <v>3194</v>
      </c>
      <c r="O1803">
        <v>185</v>
      </c>
      <c r="P1803">
        <v>0</v>
      </c>
      <c r="Q1803" t="s">
        <v>7465</v>
      </c>
      <c r="R1803" t="s">
        <v>7466</v>
      </c>
      <c r="S1803" t="s">
        <v>7467</v>
      </c>
      <c r="T1803" t="s">
        <v>6142</v>
      </c>
      <c r="U1803" t="s">
        <v>60</v>
      </c>
      <c r="V1803" t="s">
        <v>61</v>
      </c>
      <c r="W1803">
        <v>5</v>
      </c>
      <c r="X1803">
        <v>9.1874999999999998E-2</v>
      </c>
      <c r="Y1803" t="s">
        <v>223</v>
      </c>
      <c r="Z1803" t="s">
        <v>382</v>
      </c>
      <c r="AA1803">
        <v>2</v>
      </c>
      <c r="AB1803" t="s">
        <v>7268</v>
      </c>
      <c r="AC1803" t="s">
        <v>7269</v>
      </c>
      <c r="AD1803" t="s">
        <v>7270</v>
      </c>
      <c r="AE1803" t="s">
        <v>7271</v>
      </c>
      <c r="AF1803" t="s">
        <v>7272</v>
      </c>
      <c r="AG1803" t="s">
        <v>66</v>
      </c>
      <c r="AH1803" t="s">
        <v>66</v>
      </c>
      <c r="AI1803" t="s">
        <v>66</v>
      </c>
      <c r="AJ1803" t="s">
        <v>66</v>
      </c>
      <c r="AK1803">
        <v>1</v>
      </c>
      <c r="AL1803" t="s">
        <v>7349</v>
      </c>
      <c r="AM1803" t="s">
        <v>7350</v>
      </c>
      <c r="AN1803" t="s">
        <v>7351</v>
      </c>
      <c r="AO1803" t="s">
        <v>66</v>
      </c>
      <c r="AP1803">
        <v>1</v>
      </c>
      <c r="AQ1803" t="s">
        <v>66</v>
      </c>
      <c r="AR1803" t="s">
        <v>66</v>
      </c>
      <c r="AS1803" t="s">
        <v>66</v>
      </c>
      <c r="AT1803" t="s">
        <v>66</v>
      </c>
    </row>
    <row r="1804" spans="1:46" x14ac:dyDescent="0.15">
      <c r="A1804" t="s">
        <v>7468</v>
      </c>
      <c r="B1804" t="s">
        <v>7262</v>
      </c>
      <c r="C1804" t="s">
        <v>7263</v>
      </c>
      <c r="D1804">
        <v>50</v>
      </c>
      <c r="E1804" t="s">
        <v>7264</v>
      </c>
      <c r="F1804" t="s">
        <v>4516</v>
      </c>
      <c r="G1804" t="s">
        <v>51</v>
      </c>
      <c r="H1804" t="s">
        <v>7265</v>
      </c>
      <c r="I1804" t="s">
        <v>53</v>
      </c>
      <c r="J1804" t="s">
        <v>54</v>
      </c>
      <c r="K1804" t="s">
        <v>1338</v>
      </c>
      <c r="L1804" t="s">
        <v>18</v>
      </c>
      <c r="M1804" t="s">
        <v>16</v>
      </c>
      <c r="N1804">
        <v>3250</v>
      </c>
      <c r="O1804">
        <v>188</v>
      </c>
      <c r="P1804">
        <v>0</v>
      </c>
      <c r="Q1804" t="s">
        <v>7469</v>
      </c>
      <c r="R1804" t="s">
        <v>7470</v>
      </c>
      <c r="S1804" t="s">
        <v>7471</v>
      </c>
      <c r="T1804" t="s">
        <v>6146</v>
      </c>
      <c r="U1804" t="s">
        <v>60</v>
      </c>
      <c r="V1804" t="s">
        <v>61</v>
      </c>
      <c r="W1804">
        <v>5</v>
      </c>
      <c r="X1804">
        <v>9.1874999999999998E-2</v>
      </c>
      <c r="Y1804" t="s">
        <v>388</v>
      </c>
      <c r="Z1804" t="s">
        <v>389</v>
      </c>
      <c r="AA1804">
        <v>2</v>
      </c>
      <c r="AB1804" t="s">
        <v>7268</v>
      </c>
      <c r="AC1804" t="s">
        <v>7269</v>
      </c>
      <c r="AD1804" t="s">
        <v>7270</v>
      </c>
      <c r="AE1804" t="s">
        <v>7271</v>
      </c>
      <c r="AF1804" t="s">
        <v>7272</v>
      </c>
      <c r="AG1804" t="s">
        <v>66</v>
      </c>
      <c r="AH1804" t="s">
        <v>66</v>
      </c>
      <c r="AI1804" t="s">
        <v>66</v>
      </c>
      <c r="AJ1804" t="s">
        <v>66</v>
      </c>
      <c r="AK1804">
        <v>1</v>
      </c>
      <c r="AL1804" t="s">
        <v>7349</v>
      </c>
      <c r="AM1804" t="s">
        <v>7350</v>
      </c>
      <c r="AN1804" t="s">
        <v>7351</v>
      </c>
      <c r="AO1804" t="s">
        <v>66</v>
      </c>
      <c r="AP1804">
        <v>1</v>
      </c>
      <c r="AQ1804" t="s">
        <v>66</v>
      </c>
      <c r="AR1804" t="s">
        <v>66</v>
      </c>
      <c r="AS1804" t="s">
        <v>66</v>
      </c>
      <c r="AT1804" t="s">
        <v>66</v>
      </c>
    </row>
    <row r="1805" spans="1:46" x14ac:dyDescent="0.15">
      <c r="A1805" t="s">
        <v>7472</v>
      </c>
      <c r="B1805" t="s">
        <v>7262</v>
      </c>
      <c r="C1805" t="s">
        <v>7263</v>
      </c>
      <c r="D1805">
        <v>51</v>
      </c>
      <c r="E1805" t="s">
        <v>7264</v>
      </c>
      <c r="F1805" t="s">
        <v>4516</v>
      </c>
      <c r="G1805" t="s">
        <v>51</v>
      </c>
      <c r="H1805" t="s">
        <v>7265</v>
      </c>
      <c r="I1805" t="s">
        <v>53</v>
      </c>
      <c r="J1805" t="s">
        <v>54</v>
      </c>
      <c r="K1805" t="s">
        <v>1338</v>
      </c>
      <c r="L1805" t="s">
        <v>18</v>
      </c>
      <c r="M1805" t="s">
        <v>16</v>
      </c>
      <c r="N1805">
        <v>3306</v>
      </c>
      <c r="O1805">
        <v>192</v>
      </c>
      <c r="P1805">
        <v>0</v>
      </c>
      <c r="Q1805" t="s">
        <v>7473</v>
      </c>
      <c r="R1805" t="s">
        <v>7474</v>
      </c>
      <c r="S1805" t="s">
        <v>7475</v>
      </c>
      <c r="T1805" t="s">
        <v>6150</v>
      </c>
      <c r="U1805" t="s">
        <v>60</v>
      </c>
      <c r="V1805" t="s">
        <v>61</v>
      </c>
      <c r="W1805">
        <v>5</v>
      </c>
      <c r="X1805">
        <v>9.1874999999999998E-2</v>
      </c>
      <c r="Y1805" t="s">
        <v>230</v>
      </c>
      <c r="Z1805" t="s">
        <v>395</v>
      </c>
      <c r="AA1805">
        <v>2</v>
      </c>
      <c r="AB1805" t="s">
        <v>7268</v>
      </c>
      <c r="AC1805" t="s">
        <v>7269</v>
      </c>
      <c r="AD1805" t="s">
        <v>7270</v>
      </c>
      <c r="AE1805" t="s">
        <v>7271</v>
      </c>
      <c r="AF1805" t="s">
        <v>7272</v>
      </c>
      <c r="AG1805" t="s">
        <v>66</v>
      </c>
      <c r="AH1805" t="s">
        <v>66</v>
      </c>
      <c r="AI1805" t="s">
        <v>66</v>
      </c>
      <c r="AJ1805" t="s">
        <v>66</v>
      </c>
      <c r="AK1805">
        <v>1</v>
      </c>
      <c r="AL1805" t="s">
        <v>7349</v>
      </c>
      <c r="AM1805" t="s">
        <v>7350</v>
      </c>
      <c r="AN1805" t="s">
        <v>7351</v>
      </c>
      <c r="AO1805" t="s">
        <v>66</v>
      </c>
      <c r="AP1805">
        <v>1</v>
      </c>
      <c r="AQ1805" t="s">
        <v>66</v>
      </c>
      <c r="AR1805" t="s">
        <v>66</v>
      </c>
      <c r="AS1805" t="s">
        <v>66</v>
      </c>
      <c r="AT1805" t="s">
        <v>66</v>
      </c>
    </row>
    <row r="1806" spans="1:46" x14ac:dyDescent="0.15">
      <c r="A1806" t="s">
        <v>7476</v>
      </c>
      <c r="B1806" t="s">
        <v>7262</v>
      </c>
      <c r="C1806" t="s">
        <v>7263</v>
      </c>
      <c r="D1806">
        <v>52</v>
      </c>
      <c r="E1806" t="s">
        <v>7264</v>
      </c>
      <c r="F1806" t="s">
        <v>4516</v>
      </c>
      <c r="G1806" t="s">
        <v>51</v>
      </c>
      <c r="H1806" t="s">
        <v>7265</v>
      </c>
      <c r="I1806" t="s">
        <v>53</v>
      </c>
      <c r="J1806" t="s">
        <v>54</v>
      </c>
      <c r="K1806" t="s">
        <v>1338</v>
      </c>
      <c r="L1806" t="s">
        <v>18</v>
      </c>
      <c r="M1806" t="s">
        <v>16</v>
      </c>
      <c r="N1806">
        <v>3362</v>
      </c>
      <c r="O1806">
        <v>195</v>
      </c>
      <c r="P1806">
        <v>0</v>
      </c>
      <c r="Q1806" t="s">
        <v>7477</v>
      </c>
      <c r="R1806" t="s">
        <v>7478</v>
      </c>
      <c r="S1806" t="s">
        <v>7479</v>
      </c>
      <c r="T1806" t="s">
        <v>6154</v>
      </c>
      <c r="U1806" t="s">
        <v>60</v>
      </c>
      <c r="V1806" t="s">
        <v>61</v>
      </c>
      <c r="W1806">
        <v>5</v>
      </c>
      <c r="X1806">
        <v>9.1874999999999998E-2</v>
      </c>
      <c r="Y1806" t="s">
        <v>401</v>
      </c>
      <c r="Z1806" t="s">
        <v>402</v>
      </c>
      <c r="AA1806">
        <v>2</v>
      </c>
      <c r="AB1806" t="s">
        <v>7268</v>
      </c>
      <c r="AC1806" t="s">
        <v>7269</v>
      </c>
      <c r="AD1806" t="s">
        <v>7270</v>
      </c>
      <c r="AE1806" t="s">
        <v>7271</v>
      </c>
      <c r="AF1806" t="s">
        <v>7272</v>
      </c>
      <c r="AG1806" t="s">
        <v>66</v>
      </c>
      <c r="AH1806" t="s">
        <v>66</v>
      </c>
      <c r="AI1806" t="s">
        <v>66</v>
      </c>
      <c r="AJ1806" t="s">
        <v>66</v>
      </c>
      <c r="AK1806">
        <v>1</v>
      </c>
      <c r="AL1806" t="s">
        <v>7349</v>
      </c>
      <c r="AM1806" t="s">
        <v>7350</v>
      </c>
      <c r="AN1806" t="s">
        <v>7351</v>
      </c>
      <c r="AO1806" t="s">
        <v>66</v>
      </c>
      <c r="AP1806">
        <v>1</v>
      </c>
      <c r="AQ1806" t="s">
        <v>66</v>
      </c>
      <c r="AR1806" t="s">
        <v>66</v>
      </c>
      <c r="AS1806" t="s">
        <v>66</v>
      </c>
      <c r="AT1806" t="s">
        <v>66</v>
      </c>
    </row>
    <row r="1807" spans="1:46" x14ac:dyDescent="0.15">
      <c r="A1807" t="s">
        <v>7480</v>
      </c>
      <c r="B1807" t="s">
        <v>7262</v>
      </c>
      <c r="C1807" t="s">
        <v>7263</v>
      </c>
      <c r="D1807">
        <v>53</v>
      </c>
      <c r="E1807" t="s">
        <v>7264</v>
      </c>
      <c r="F1807" t="s">
        <v>4516</v>
      </c>
      <c r="G1807" t="s">
        <v>51</v>
      </c>
      <c r="H1807" t="s">
        <v>7265</v>
      </c>
      <c r="I1807" t="s">
        <v>53</v>
      </c>
      <c r="J1807" t="s">
        <v>54</v>
      </c>
      <c r="K1807" t="s">
        <v>1338</v>
      </c>
      <c r="L1807" t="s">
        <v>18</v>
      </c>
      <c r="M1807" t="s">
        <v>16</v>
      </c>
      <c r="N1807">
        <v>3418</v>
      </c>
      <c r="O1807">
        <v>198</v>
      </c>
      <c r="P1807">
        <v>0</v>
      </c>
      <c r="Q1807" t="s">
        <v>7481</v>
      </c>
      <c r="R1807" t="s">
        <v>7482</v>
      </c>
      <c r="S1807" t="s">
        <v>7483</v>
      </c>
      <c r="T1807" t="s">
        <v>6158</v>
      </c>
      <c r="U1807" t="s">
        <v>60</v>
      </c>
      <c r="V1807" t="s">
        <v>61</v>
      </c>
      <c r="W1807">
        <v>5</v>
      </c>
      <c r="X1807">
        <v>9.1874999999999998E-2</v>
      </c>
      <c r="Y1807" t="s">
        <v>236</v>
      </c>
      <c r="Z1807" t="s">
        <v>408</v>
      </c>
      <c r="AA1807">
        <v>2</v>
      </c>
      <c r="AB1807" t="s">
        <v>7268</v>
      </c>
      <c r="AC1807" t="s">
        <v>7269</v>
      </c>
      <c r="AD1807" t="s">
        <v>7270</v>
      </c>
      <c r="AE1807" t="s">
        <v>7271</v>
      </c>
      <c r="AF1807" t="s">
        <v>7272</v>
      </c>
      <c r="AG1807" t="s">
        <v>66</v>
      </c>
      <c r="AH1807" t="s">
        <v>66</v>
      </c>
      <c r="AI1807" t="s">
        <v>66</v>
      </c>
      <c r="AJ1807" t="s">
        <v>66</v>
      </c>
      <c r="AK1807">
        <v>1</v>
      </c>
      <c r="AL1807" t="s">
        <v>7349</v>
      </c>
      <c r="AM1807" t="s">
        <v>7350</v>
      </c>
      <c r="AN1807" t="s">
        <v>7351</v>
      </c>
      <c r="AO1807" t="s">
        <v>66</v>
      </c>
      <c r="AP1807">
        <v>1</v>
      </c>
      <c r="AQ1807" t="s">
        <v>66</v>
      </c>
      <c r="AR1807" t="s">
        <v>66</v>
      </c>
      <c r="AS1807" t="s">
        <v>66</v>
      </c>
      <c r="AT1807" t="s">
        <v>66</v>
      </c>
    </row>
    <row r="1808" spans="1:46" x14ac:dyDescent="0.15">
      <c r="A1808" t="s">
        <v>7484</v>
      </c>
      <c r="B1808" t="s">
        <v>7262</v>
      </c>
      <c r="C1808" t="s">
        <v>7263</v>
      </c>
      <c r="D1808">
        <v>54</v>
      </c>
      <c r="E1808" t="s">
        <v>7264</v>
      </c>
      <c r="F1808" t="s">
        <v>4516</v>
      </c>
      <c r="G1808" t="s">
        <v>51</v>
      </c>
      <c r="H1808" t="s">
        <v>7265</v>
      </c>
      <c r="I1808" t="s">
        <v>53</v>
      </c>
      <c r="J1808" t="s">
        <v>54</v>
      </c>
      <c r="K1808" t="s">
        <v>1338</v>
      </c>
      <c r="L1808" t="s">
        <v>18</v>
      </c>
      <c r="M1808" t="s">
        <v>16</v>
      </c>
      <c r="N1808">
        <v>3474</v>
      </c>
      <c r="O1808">
        <v>201</v>
      </c>
      <c r="P1808">
        <v>0</v>
      </c>
      <c r="Q1808" t="s">
        <v>7485</v>
      </c>
      <c r="R1808" t="s">
        <v>7486</v>
      </c>
      <c r="S1808" t="s">
        <v>7487</v>
      </c>
      <c r="T1808" t="s">
        <v>6162</v>
      </c>
      <c r="U1808" t="s">
        <v>60</v>
      </c>
      <c r="V1808" t="s">
        <v>61</v>
      </c>
      <c r="W1808">
        <v>5</v>
      </c>
      <c r="X1808">
        <v>9.1874999999999998E-2</v>
      </c>
      <c r="Y1808" t="s">
        <v>414</v>
      </c>
      <c r="Z1808" t="s">
        <v>415</v>
      </c>
      <c r="AA1808">
        <v>2</v>
      </c>
      <c r="AB1808" t="s">
        <v>7268</v>
      </c>
      <c r="AC1808" t="s">
        <v>7269</v>
      </c>
      <c r="AD1808" t="s">
        <v>7270</v>
      </c>
      <c r="AE1808" t="s">
        <v>7271</v>
      </c>
      <c r="AF1808" t="s">
        <v>7272</v>
      </c>
      <c r="AG1808" t="s">
        <v>66</v>
      </c>
      <c r="AH1808" t="s">
        <v>66</v>
      </c>
      <c r="AI1808" t="s">
        <v>66</v>
      </c>
      <c r="AJ1808" t="s">
        <v>66</v>
      </c>
      <c r="AK1808">
        <v>1</v>
      </c>
      <c r="AL1808" t="s">
        <v>7349</v>
      </c>
      <c r="AM1808" t="s">
        <v>7350</v>
      </c>
      <c r="AN1808" t="s">
        <v>7351</v>
      </c>
      <c r="AO1808" t="s">
        <v>66</v>
      </c>
      <c r="AP1808">
        <v>1</v>
      </c>
      <c r="AQ1808" t="s">
        <v>66</v>
      </c>
      <c r="AR1808" t="s">
        <v>66</v>
      </c>
      <c r="AS1808" t="s">
        <v>66</v>
      </c>
      <c r="AT1808" t="s">
        <v>66</v>
      </c>
    </row>
    <row r="1809" spans="1:46" x14ac:dyDescent="0.15">
      <c r="A1809" t="s">
        <v>7488</v>
      </c>
      <c r="B1809" t="s">
        <v>7262</v>
      </c>
      <c r="C1809" t="s">
        <v>7263</v>
      </c>
      <c r="D1809">
        <v>55</v>
      </c>
      <c r="E1809" t="s">
        <v>7264</v>
      </c>
      <c r="F1809" t="s">
        <v>4516</v>
      </c>
      <c r="G1809" t="s">
        <v>51</v>
      </c>
      <c r="H1809" t="s">
        <v>7265</v>
      </c>
      <c r="I1809" t="s">
        <v>53</v>
      </c>
      <c r="J1809" t="s">
        <v>54</v>
      </c>
      <c r="K1809" t="s">
        <v>1338</v>
      </c>
      <c r="L1809" t="s">
        <v>18</v>
      </c>
      <c r="M1809" t="s">
        <v>16</v>
      </c>
      <c r="N1809">
        <v>3531</v>
      </c>
      <c r="O1809">
        <v>204</v>
      </c>
      <c r="P1809">
        <v>0</v>
      </c>
      <c r="Q1809" t="s">
        <v>7489</v>
      </c>
      <c r="R1809" t="s">
        <v>7490</v>
      </c>
      <c r="S1809" t="s">
        <v>7491</v>
      </c>
      <c r="T1809" t="s">
        <v>6166</v>
      </c>
      <c r="U1809" t="s">
        <v>60</v>
      </c>
      <c r="V1809" t="s">
        <v>61</v>
      </c>
      <c r="W1809">
        <v>5</v>
      </c>
      <c r="X1809">
        <v>9.1874999999999998E-2</v>
      </c>
      <c r="Y1809" t="s">
        <v>243</v>
      </c>
      <c r="Z1809" t="s">
        <v>421</v>
      </c>
      <c r="AA1809">
        <v>2</v>
      </c>
      <c r="AB1809" t="s">
        <v>7268</v>
      </c>
      <c r="AC1809" t="s">
        <v>7269</v>
      </c>
      <c r="AD1809" t="s">
        <v>7270</v>
      </c>
      <c r="AE1809" t="s">
        <v>7271</v>
      </c>
      <c r="AF1809" t="s">
        <v>7272</v>
      </c>
      <c r="AG1809" t="s">
        <v>66</v>
      </c>
      <c r="AH1809" t="s">
        <v>66</v>
      </c>
      <c r="AI1809" t="s">
        <v>66</v>
      </c>
      <c r="AJ1809" t="s">
        <v>66</v>
      </c>
      <c r="AK1809">
        <v>1</v>
      </c>
      <c r="AL1809" t="s">
        <v>7349</v>
      </c>
      <c r="AM1809" t="s">
        <v>7350</v>
      </c>
      <c r="AN1809" t="s">
        <v>7351</v>
      </c>
      <c r="AO1809" t="s">
        <v>66</v>
      </c>
      <c r="AP1809">
        <v>1</v>
      </c>
      <c r="AQ1809" t="s">
        <v>66</v>
      </c>
      <c r="AR1809" t="s">
        <v>66</v>
      </c>
      <c r="AS1809" t="s">
        <v>66</v>
      </c>
      <c r="AT1809" t="s">
        <v>66</v>
      </c>
    </row>
    <row r="1810" spans="1:46" x14ac:dyDescent="0.15">
      <c r="A1810" t="s">
        <v>7492</v>
      </c>
      <c r="B1810" t="s">
        <v>7262</v>
      </c>
      <c r="C1810" t="s">
        <v>7263</v>
      </c>
      <c r="D1810">
        <v>56</v>
      </c>
      <c r="E1810" t="s">
        <v>7264</v>
      </c>
      <c r="F1810" t="s">
        <v>4516</v>
      </c>
      <c r="G1810" t="s">
        <v>51</v>
      </c>
      <c r="H1810" t="s">
        <v>7265</v>
      </c>
      <c r="I1810" t="s">
        <v>53</v>
      </c>
      <c r="J1810" t="s">
        <v>54</v>
      </c>
      <c r="K1810" t="s">
        <v>1338</v>
      </c>
      <c r="L1810" t="s">
        <v>18</v>
      </c>
      <c r="M1810" t="s">
        <v>16</v>
      </c>
      <c r="N1810">
        <v>3587</v>
      </c>
      <c r="O1810">
        <v>208</v>
      </c>
      <c r="P1810">
        <v>0</v>
      </c>
      <c r="Q1810" t="s">
        <v>7493</v>
      </c>
      <c r="R1810" t="s">
        <v>7494</v>
      </c>
      <c r="S1810" t="s">
        <v>7495</v>
      </c>
      <c r="T1810" t="s">
        <v>6170</v>
      </c>
      <c r="U1810" t="s">
        <v>60</v>
      </c>
      <c r="V1810" t="s">
        <v>61</v>
      </c>
      <c r="W1810">
        <v>5</v>
      </c>
      <c r="X1810">
        <v>9.1874999999999998E-2</v>
      </c>
      <c r="Y1810" t="s">
        <v>427</v>
      </c>
      <c r="Z1810" t="s">
        <v>428</v>
      </c>
      <c r="AA1810">
        <v>2</v>
      </c>
      <c r="AB1810" t="s">
        <v>7268</v>
      </c>
      <c r="AC1810" t="s">
        <v>7269</v>
      </c>
      <c r="AD1810" t="s">
        <v>7270</v>
      </c>
      <c r="AE1810" t="s">
        <v>7271</v>
      </c>
      <c r="AF1810" t="s">
        <v>7272</v>
      </c>
      <c r="AG1810" t="s">
        <v>66</v>
      </c>
      <c r="AH1810" t="s">
        <v>66</v>
      </c>
      <c r="AI1810" t="s">
        <v>66</v>
      </c>
      <c r="AJ1810" t="s">
        <v>66</v>
      </c>
      <c r="AK1810">
        <v>1</v>
      </c>
      <c r="AL1810" t="s">
        <v>7349</v>
      </c>
      <c r="AM1810" t="s">
        <v>7350</v>
      </c>
      <c r="AN1810" t="s">
        <v>7351</v>
      </c>
      <c r="AO1810" t="s">
        <v>66</v>
      </c>
      <c r="AP1810">
        <v>1</v>
      </c>
      <c r="AQ1810" t="s">
        <v>66</v>
      </c>
      <c r="AR1810" t="s">
        <v>66</v>
      </c>
      <c r="AS1810" t="s">
        <v>66</v>
      </c>
      <c r="AT1810" t="s">
        <v>66</v>
      </c>
    </row>
    <row r="1811" spans="1:46" x14ac:dyDescent="0.15">
      <c r="A1811" t="s">
        <v>7496</v>
      </c>
      <c r="B1811" t="s">
        <v>7262</v>
      </c>
      <c r="C1811" t="s">
        <v>7263</v>
      </c>
      <c r="D1811">
        <v>57</v>
      </c>
      <c r="E1811" t="s">
        <v>7264</v>
      </c>
      <c r="F1811" t="s">
        <v>4516</v>
      </c>
      <c r="G1811" t="s">
        <v>51</v>
      </c>
      <c r="H1811" t="s">
        <v>7265</v>
      </c>
      <c r="I1811" t="s">
        <v>53</v>
      </c>
      <c r="J1811" t="s">
        <v>54</v>
      </c>
      <c r="K1811" t="s">
        <v>1338</v>
      </c>
      <c r="L1811" t="s">
        <v>18</v>
      </c>
      <c r="M1811" t="s">
        <v>16</v>
      </c>
      <c r="N1811">
        <v>3643</v>
      </c>
      <c r="O1811">
        <v>211</v>
      </c>
      <c r="P1811">
        <v>0</v>
      </c>
      <c r="Q1811" t="s">
        <v>7497</v>
      </c>
      <c r="R1811" t="s">
        <v>7498</v>
      </c>
      <c r="S1811" t="s">
        <v>7499</v>
      </c>
      <c r="T1811" t="s">
        <v>6174</v>
      </c>
      <c r="U1811" t="s">
        <v>60</v>
      </c>
      <c r="V1811" t="s">
        <v>61</v>
      </c>
      <c r="W1811">
        <v>5</v>
      </c>
      <c r="X1811">
        <v>9.1874999999999998E-2</v>
      </c>
      <c r="Y1811" t="s">
        <v>249</v>
      </c>
      <c r="Z1811" t="s">
        <v>434</v>
      </c>
      <c r="AA1811">
        <v>2</v>
      </c>
      <c r="AB1811" t="s">
        <v>7268</v>
      </c>
      <c r="AC1811" t="s">
        <v>7269</v>
      </c>
      <c r="AD1811" t="s">
        <v>7270</v>
      </c>
      <c r="AE1811" t="s">
        <v>7271</v>
      </c>
      <c r="AF1811" t="s">
        <v>7272</v>
      </c>
      <c r="AG1811" t="s">
        <v>66</v>
      </c>
      <c r="AH1811" t="s">
        <v>66</v>
      </c>
      <c r="AI1811" t="s">
        <v>66</v>
      </c>
      <c r="AJ1811" t="s">
        <v>66</v>
      </c>
      <c r="AK1811">
        <v>1</v>
      </c>
      <c r="AL1811" t="s">
        <v>7349</v>
      </c>
      <c r="AM1811" t="s">
        <v>7350</v>
      </c>
      <c r="AN1811" t="s">
        <v>7351</v>
      </c>
      <c r="AO1811" t="s">
        <v>66</v>
      </c>
      <c r="AP1811">
        <v>1</v>
      </c>
      <c r="AQ1811" t="s">
        <v>66</v>
      </c>
      <c r="AR1811" t="s">
        <v>66</v>
      </c>
      <c r="AS1811" t="s">
        <v>66</v>
      </c>
      <c r="AT1811" t="s">
        <v>66</v>
      </c>
    </row>
    <row r="1812" spans="1:46" x14ac:dyDescent="0.15">
      <c r="A1812" t="s">
        <v>7500</v>
      </c>
      <c r="B1812" t="s">
        <v>7262</v>
      </c>
      <c r="C1812" t="s">
        <v>7263</v>
      </c>
      <c r="D1812">
        <v>58</v>
      </c>
      <c r="E1812" t="s">
        <v>7264</v>
      </c>
      <c r="F1812" t="s">
        <v>4516</v>
      </c>
      <c r="G1812" t="s">
        <v>51</v>
      </c>
      <c r="H1812" t="s">
        <v>7265</v>
      </c>
      <c r="I1812" t="s">
        <v>53</v>
      </c>
      <c r="J1812" t="s">
        <v>54</v>
      </c>
      <c r="K1812" t="s">
        <v>1338</v>
      </c>
      <c r="L1812" t="s">
        <v>18</v>
      </c>
      <c r="M1812" t="s">
        <v>16</v>
      </c>
      <c r="N1812">
        <v>3699</v>
      </c>
      <c r="O1812">
        <v>214</v>
      </c>
      <c r="P1812">
        <v>0</v>
      </c>
      <c r="Q1812" t="s">
        <v>7501</v>
      </c>
      <c r="R1812" t="s">
        <v>7502</v>
      </c>
      <c r="S1812" t="s">
        <v>7503</v>
      </c>
      <c r="T1812" t="s">
        <v>6178</v>
      </c>
      <c r="U1812" t="s">
        <v>60</v>
      </c>
      <c r="V1812" t="s">
        <v>61</v>
      </c>
      <c r="W1812">
        <v>5</v>
      </c>
      <c r="X1812">
        <v>9.1874999999999998E-2</v>
      </c>
      <c r="Y1812" t="s">
        <v>440</v>
      </c>
      <c r="Z1812" t="s">
        <v>441</v>
      </c>
      <c r="AA1812">
        <v>2</v>
      </c>
      <c r="AB1812" t="s">
        <v>7268</v>
      </c>
      <c r="AC1812" t="s">
        <v>7269</v>
      </c>
      <c r="AD1812" t="s">
        <v>7270</v>
      </c>
      <c r="AE1812" t="s">
        <v>7271</v>
      </c>
      <c r="AF1812" t="s">
        <v>7272</v>
      </c>
      <c r="AG1812" t="s">
        <v>66</v>
      </c>
      <c r="AH1812" t="s">
        <v>66</v>
      </c>
      <c r="AI1812" t="s">
        <v>66</v>
      </c>
      <c r="AJ1812" t="s">
        <v>66</v>
      </c>
      <c r="AK1812">
        <v>1</v>
      </c>
      <c r="AL1812" t="s">
        <v>7349</v>
      </c>
      <c r="AM1812" t="s">
        <v>7350</v>
      </c>
      <c r="AN1812" t="s">
        <v>7351</v>
      </c>
      <c r="AO1812" t="s">
        <v>66</v>
      </c>
      <c r="AP1812">
        <v>1</v>
      </c>
      <c r="AQ1812" t="s">
        <v>66</v>
      </c>
      <c r="AR1812" t="s">
        <v>66</v>
      </c>
      <c r="AS1812" t="s">
        <v>66</v>
      </c>
      <c r="AT1812" t="s">
        <v>66</v>
      </c>
    </row>
    <row r="1813" spans="1:46" x14ac:dyDescent="0.15">
      <c r="A1813" t="s">
        <v>7504</v>
      </c>
      <c r="B1813" t="s">
        <v>7262</v>
      </c>
      <c r="C1813" t="s">
        <v>7263</v>
      </c>
      <c r="D1813">
        <v>59</v>
      </c>
      <c r="E1813" t="s">
        <v>7264</v>
      </c>
      <c r="F1813" t="s">
        <v>4516</v>
      </c>
      <c r="G1813" t="s">
        <v>51</v>
      </c>
      <c r="H1813" t="s">
        <v>7265</v>
      </c>
      <c r="I1813" t="s">
        <v>53</v>
      </c>
      <c r="J1813" t="s">
        <v>54</v>
      </c>
      <c r="K1813" t="s">
        <v>1338</v>
      </c>
      <c r="L1813" t="s">
        <v>18</v>
      </c>
      <c r="M1813" t="s">
        <v>16</v>
      </c>
      <c r="N1813">
        <v>3755</v>
      </c>
      <c r="O1813">
        <v>217</v>
      </c>
      <c r="P1813">
        <v>0</v>
      </c>
      <c r="Q1813" t="s">
        <v>7505</v>
      </c>
      <c r="R1813" t="s">
        <v>7506</v>
      </c>
      <c r="S1813" t="s">
        <v>7507</v>
      </c>
      <c r="T1813" t="s">
        <v>6182</v>
      </c>
      <c r="U1813" t="s">
        <v>60</v>
      </c>
      <c r="V1813" t="s">
        <v>61</v>
      </c>
      <c r="W1813">
        <v>5</v>
      </c>
      <c r="X1813">
        <v>9.1874999999999998E-2</v>
      </c>
      <c r="Y1813" t="s">
        <v>256</v>
      </c>
      <c r="Z1813" t="s">
        <v>447</v>
      </c>
      <c r="AA1813">
        <v>2</v>
      </c>
      <c r="AB1813" t="s">
        <v>7268</v>
      </c>
      <c r="AC1813" t="s">
        <v>7269</v>
      </c>
      <c r="AD1813" t="s">
        <v>7270</v>
      </c>
      <c r="AE1813" t="s">
        <v>7271</v>
      </c>
      <c r="AF1813" t="s">
        <v>7272</v>
      </c>
      <c r="AG1813" t="s">
        <v>66</v>
      </c>
      <c r="AH1813" t="s">
        <v>66</v>
      </c>
      <c r="AI1813" t="s">
        <v>66</v>
      </c>
      <c r="AJ1813" t="s">
        <v>66</v>
      </c>
      <c r="AK1813">
        <v>1</v>
      </c>
      <c r="AL1813" t="s">
        <v>7349</v>
      </c>
      <c r="AM1813" t="s">
        <v>7350</v>
      </c>
      <c r="AN1813" t="s">
        <v>7351</v>
      </c>
      <c r="AO1813" t="s">
        <v>66</v>
      </c>
      <c r="AP1813">
        <v>1</v>
      </c>
      <c r="AQ1813" t="s">
        <v>66</v>
      </c>
      <c r="AR1813" t="s">
        <v>66</v>
      </c>
      <c r="AS1813" t="s">
        <v>66</v>
      </c>
      <c r="AT1813" t="s">
        <v>66</v>
      </c>
    </row>
    <row r="1814" spans="1:46" x14ac:dyDescent="0.15">
      <c r="A1814" t="s">
        <v>7508</v>
      </c>
      <c r="B1814" t="s">
        <v>7262</v>
      </c>
      <c r="C1814" t="s">
        <v>7263</v>
      </c>
      <c r="D1814">
        <v>60</v>
      </c>
      <c r="E1814" t="s">
        <v>7264</v>
      </c>
      <c r="F1814" t="s">
        <v>4516</v>
      </c>
      <c r="G1814" t="s">
        <v>51</v>
      </c>
      <c r="H1814" t="s">
        <v>7265</v>
      </c>
      <c r="I1814" t="s">
        <v>53</v>
      </c>
      <c r="J1814" t="s">
        <v>54</v>
      </c>
      <c r="K1814" t="s">
        <v>1338</v>
      </c>
      <c r="L1814" t="s">
        <v>18</v>
      </c>
      <c r="M1814" t="s">
        <v>16</v>
      </c>
      <c r="N1814">
        <v>3811</v>
      </c>
      <c r="O1814">
        <v>221</v>
      </c>
      <c r="P1814">
        <v>0</v>
      </c>
      <c r="Q1814" t="s">
        <v>7509</v>
      </c>
      <c r="R1814" t="s">
        <v>7510</v>
      </c>
      <c r="S1814" t="s">
        <v>7511</v>
      </c>
      <c r="T1814" t="s">
        <v>6186</v>
      </c>
      <c r="U1814" t="s">
        <v>60</v>
      </c>
      <c r="V1814" t="s">
        <v>61</v>
      </c>
      <c r="W1814">
        <v>5</v>
      </c>
      <c r="X1814">
        <v>9.1874999999999998E-2</v>
      </c>
      <c r="Y1814" t="s">
        <v>453</v>
      </c>
      <c r="Z1814" t="s">
        <v>454</v>
      </c>
      <c r="AA1814">
        <v>2</v>
      </c>
      <c r="AB1814" t="s">
        <v>7268</v>
      </c>
      <c r="AC1814" t="s">
        <v>7269</v>
      </c>
      <c r="AD1814" t="s">
        <v>7270</v>
      </c>
      <c r="AE1814" t="s">
        <v>7271</v>
      </c>
      <c r="AF1814" t="s">
        <v>7272</v>
      </c>
      <c r="AG1814" t="s">
        <v>66</v>
      </c>
      <c r="AH1814" t="s">
        <v>66</v>
      </c>
      <c r="AI1814" t="s">
        <v>66</v>
      </c>
      <c r="AJ1814" t="s">
        <v>66</v>
      </c>
      <c r="AK1814">
        <v>1</v>
      </c>
      <c r="AL1814" t="s">
        <v>7349</v>
      </c>
      <c r="AM1814" t="s">
        <v>7350</v>
      </c>
      <c r="AN1814" t="s">
        <v>7351</v>
      </c>
      <c r="AO1814" t="s">
        <v>66</v>
      </c>
      <c r="AP1814">
        <v>1</v>
      </c>
      <c r="AQ1814" t="s">
        <v>66</v>
      </c>
      <c r="AR1814" t="s">
        <v>66</v>
      </c>
      <c r="AS1814" t="s">
        <v>66</v>
      </c>
      <c r="AT1814" t="s">
        <v>66</v>
      </c>
    </row>
    <row r="1815" spans="1:46" x14ac:dyDescent="0.15">
      <c r="A1815" t="s">
        <v>7508</v>
      </c>
      <c r="B1815" t="s">
        <v>7262</v>
      </c>
      <c r="C1815" t="s">
        <v>7263</v>
      </c>
      <c r="D1815">
        <v>60</v>
      </c>
      <c r="E1815" t="s">
        <v>7264</v>
      </c>
      <c r="F1815" t="s">
        <v>4516</v>
      </c>
      <c r="G1815" t="s">
        <v>51</v>
      </c>
      <c r="H1815" t="s">
        <v>7265</v>
      </c>
      <c r="I1815" t="s">
        <v>53</v>
      </c>
      <c r="J1815" t="s">
        <v>54</v>
      </c>
      <c r="K1815" t="s">
        <v>1338</v>
      </c>
      <c r="L1815" t="s">
        <v>18</v>
      </c>
      <c r="M1815" t="s">
        <v>16</v>
      </c>
      <c r="N1815">
        <v>3811</v>
      </c>
      <c r="O1815">
        <v>221</v>
      </c>
      <c r="P1815">
        <v>0</v>
      </c>
      <c r="Q1815" t="s">
        <v>7509</v>
      </c>
      <c r="R1815" t="s">
        <v>7510</v>
      </c>
      <c r="S1815" t="s">
        <v>7511</v>
      </c>
      <c r="T1815" t="s">
        <v>6186</v>
      </c>
      <c r="U1815" t="s">
        <v>60</v>
      </c>
      <c r="V1815" t="s">
        <v>61</v>
      </c>
      <c r="W1815">
        <v>5</v>
      </c>
      <c r="X1815">
        <v>9.1874999999999998E-2</v>
      </c>
      <c r="Y1815" t="s">
        <v>453</v>
      </c>
      <c r="Z1815" t="s">
        <v>454</v>
      </c>
      <c r="AA1815">
        <v>3</v>
      </c>
      <c r="AB1815" t="s">
        <v>7268</v>
      </c>
      <c r="AC1815" t="s">
        <v>7269</v>
      </c>
      <c r="AD1815" t="s">
        <v>7270</v>
      </c>
      <c r="AE1815" t="s">
        <v>7271</v>
      </c>
      <c r="AF1815" t="s">
        <v>7272</v>
      </c>
      <c r="AG1815" t="s">
        <v>66</v>
      </c>
      <c r="AH1815" t="s">
        <v>66</v>
      </c>
      <c r="AI1815" t="s">
        <v>66</v>
      </c>
      <c r="AJ1815" t="s">
        <v>66</v>
      </c>
      <c r="AK1815">
        <v>1</v>
      </c>
      <c r="AL1815" t="s">
        <v>7349</v>
      </c>
      <c r="AM1815" t="s">
        <v>7350</v>
      </c>
      <c r="AN1815" t="s">
        <v>7351</v>
      </c>
      <c r="AO1815" t="s">
        <v>7512</v>
      </c>
      <c r="AP1815">
        <v>1</v>
      </c>
      <c r="AQ1815" t="s">
        <v>7513</v>
      </c>
      <c r="AR1815" t="s">
        <v>7514</v>
      </c>
      <c r="AS1815" t="s">
        <v>7515</v>
      </c>
      <c r="AT1815" t="s">
        <v>66</v>
      </c>
    </row>
    <row r="1816" spans="1:46" x14ac:dyDescent="0.15">
      <c r="A1816" t="s">
        <v>7516</v>
      </c>
      <c r="B1816" t="s">
        <v>7262</v>
      </c>
      <c r="C1816" t="s">
        <v>7263</v>
      </c>
      <c r="D1816">
        <v>61</v>
      </c>
      <c r="E1816" t="s">
        <v>7264</v>
      </c>
      <c r="F1816" t="s">
        <v>4516</v>
      </c>
      <c r="G1816" t="s">
        <v>51</v>
      </c>
      <c r="H1816" t="s">
        <v>7265</v>
      </c>
      <c r="I1816" t="s">
        <v>53</v>
      </c>
      <c r="J1816" t="s">
        <v>54</v>
      </c>
      <c r="K1816" t="s">
        <v>1338</v>
      </c>
      <c r="L1816" t="s">
        <v>18</v>
      </c>
      <c r="M1816" t="s">
        <v>16</v>
      </c>
      <c r="N1816">
        <v>3867</v>
      </c>
      <c r="O1816">
        <v>224</v>
      </c>
      <c r="P1816">
        <v>0</v>
      </c>
      <c r="Q1816" t="s">
        <v>7517</v>
      </c>
      <c r="R1816" t="s">
        <v>7518</v>
      </c>
      <c r="S1816" t="s">
        <v>7519</v>
      </c>
      <c r="T1816" t="s">
        <v>6192</v>
      </c>
      <c r="U1816" t="s">
        <v>60</v>
      </c>
      <c r="V1816" t="s">
        <v>61</v>
      </c>
      <c r="W1816">
        <v>5</v>
      </c>
      <c r="X1816">
        <v>9.1874999999999998E-2</v>
      </c>
      <c r="Y1816" t="s">
        <v>262</v>
      </c>
      <c r="Z1816" t="s">
        <v>465</v>
      </c>
      <c r="AA1816">
        <v>3</v>
      </c>
      <c r="AB1816" t="s">
        <v>7268</v>
      </c>
      <c r="AC1816" t="s">
        <v>7269</v>
      </c>
      <c r="AD1816" t="s">
        <v>7270</v>
      </c>
      <c r="AE1816" t="s">
        <v>7271</v>
      </c>
      <c r="AF1816" t="s">
        <v>7272</v>
      </c>
      <c r="AG1816" t="s">
        <v>66</v>
      </c>
      <c r="AH1816" t="s">
        <v>66</v>
      </c>
      <c r="AI1816" t="s">
        <v>66</v>
      </c>
      <c r="AJ1816" t="s">
        <v>66</v>
      </c>
      <c r="AK1816">
        <v>1</v>
      </c>
      <c r="AL1816" t="s">
        <v>7349</v>
      </c>
      <c r="AM1816" t="s">
        <v>7350</v>
      </c>
      <c r="AN1816" t="s">
        <v>7351</v>
      </c>
      <c r="AO1816" t="s">
        <v>7512</v>
      </c>
      <c r="AP1816">
        <v>1</v>
      </c>
      <c r="AQ1816" t="s">
        <v>7513</v>
      </c>
      <c r="AR1816" t="s">
        <v>7514</v>
      </c>
      <c r="AS1816" t="s">
        <v>7515</v>
      </c>
      <c r="AT1816" t="s">
        <v>66</v>
      </c>
    </row>
    <row r="1817" spans="1:46" x14ac:dyDescent="0.15">
      <c r="A1817" t="s">
        <v>7520</v>
      </c>
      <c r="B1817" t="s">
        <v>7262</v>
      </c>
      <c r="C1817" t="s">
        <v>7263</v>
      </c>
      <c r="D1817">
        <v>62</v>
      </c>
      <c r="E1817" t="s">
        <v>7264</v>
      </c>
      <c r="F1817" t="s">
        <v>4516</v>
      </c>
      <c r="G1817" t="s">
        <v>51</v>
      </c>
      <c r="H1817" t="s">
        <v>7265</v>
      </c>
      <c r="I1817" t="s">
        <v>53</v>
      </c>
      <c r="J1817" t="s">
        <v>54</v>
      </c>
      <c r="K1817" t="s">
        <v>1338</v>
      </c>
      <c r="L1817" t="s">
        <v>18</v>
      </c>
      <c r="M1817" t="s">
        <v>16</v>
      </c>
      <c r="N1817">
        <v>3923</v>
      </c>
      <c r="O1817">
        <v>227</v>
      </c>
      <c r="P1817">
        <v>0</v>
      </c>
      <c r="Q1817" t="s">
        <v>7521</v>
      </c>
      <c r="R1817" t="s">
        <v>7522</v>
      </c>
      <c r="S1817" t="s">
        <v>7523</v>
      </c>
      <c r="T1817" t="s">
        <v>6196</v>
      </c>
      <c r="U1817" t="s">
        <v>60</v>
      </c>
      <c r="V1817" t="s">
        <v>61</v>
      </c>
      <c r="W1817">
        <v>5</v>
      </c>
      <c r="X1817">
        <v>9.1874999999999998E-2</v>
      </c>
      <c r="Y1817" t="s">
        <v>471</v>
      </c>
      <c r="Z1817" t="s">
        <v>472</v>
      </c>
      <c r="AA1817">
        <v>3</v>
      </c>
      <c r="AB1817" t="s">
        <v>7268</v>
      </c>
      <c r="AC1817" t="s">
        <v>7269</v>
      </c>
      <c r="AD1817" t="s">
        <v>7270</v>
      </c>
      <c r="AE1817" t="s">
        <v>7271</v>
      </c>
      <c r="AF1817" t="s">
        <v>7272</v>
      </c>
      <c r="AG1817" t="s">
        <v>66</v>
      </c>
      <c r="AH1817" t="s">
        <v>66</v>
      </c>
      <c r="AI1817" t="s">
        <v>66</v>
      </c>
      <c r="AJ1817" t="s">
        <v>66</v>
      </c>
      <c r="AK1817">
        <v>1</v>
      </c>
      <c r="AL1817" t="s">
        <v>7349</v>
      </c>
      <c r="AM1817" t="s">
        <v>7350</v>
      </c>
      <c r="AN1817" t="s">
        <v>7351</v>
      </c>
      <c r="AO1817" t="s">
        <v>7512</v>
      </c>
      <c r="AP1817">
        <v>1</v>
      </c>
      <c r="AQ1817" t="s">
        <v>7513</v>
      </c>
      <c r="AR1817" t="s">
        <v>7514</v>
      </c>
      <c r="AS1817" t="s">
        <v>7515</v>
      </c>
      <c r="AT1817" t="s">
        <v>66</v>
      </c>
    </row>
    <row r="1818" spans="1:46" x14ac:dyDescent="0.15">
      <c r="A1818" t="s">
        <v>7524</v>
      </c>
      <c r="B1818" t="s">
        <v>7262</v>
      </c>
      <c r="C1818" t="s">
        <v>7263</v>
      </c>
      <c r="D1818">
        <v>63</v>
      </c>
      <c r="E1818" t="s">
        <v>7264</v>
      </c>
      <c r="F1818" t="s">
        <v>4516</v>
      </c>
      <c r="G1818" t="s">
        <v>51</v>
      </c>
      <c r="H1818" t="s">
        <v>7265</v>
      </c>
      <c r="I1818" t="s">
        <v>53</v>
      </c>
      <c r="J1818" t="s">
        <v>54</v>
      </c>
      <c r="K1818" t="s">
        <v>1338</v>
      </c>
      <c r="L1818" t="s">
        <v>18</v>
      </c>
      <c r="M1818" t="s">
        <v>16</v>
      </c>
      <c r="N1818">
        <v>3980</v>
      </c>
      <c r="O1818">
        <v>230</v>
      </c>
      <c r="P1818">
        <v>0</v>
      </c>
      <c r="Q1818" t="s">
        <v>7525</v>
      </c>
      <c r="R1818" t="s">
        <v>7526</v>
      </c>
      <c r="S1818" t="s">
        <v>7527</v>
      </c>
      <c r="T1818" t="s">
        <v>6200</v>
      </c>
      <c r="U1818" t="s">
        <v>60</v>
      </c>
      <c r="V1818" t="s">
        <v>61</v>
      </c>
      <c r="W1818">
        <v>5</v>
      </c>
      <c r="X1818">
        <v>9.1874999999999998E-2</v>
      </c>
      <c r="Y1818" t="s">
        <v>269</v>
      </c>
      <c r="Z1818" t="s">
        <v>478</v>
      </c>
      <c r="AA1818">
        <v>3</v>
      </c>
      <c r="AB1818" t="s">
        <v>7268</v>
      </c>
      <c r="AC1818" t="s">
        <v>7269</v>
      </c>
      <c r="AD1818" t="s">
        <v>7270</v>
      </c>
      <c r="AE1818" t="s">
        <v>7271</v>
      </c>
      <c r="AF1818" t="s">
        <v>7272</v>
      </c>
      <c r="AG1818" t="s">
        <v>66</v>
      </c>
      <c r="AH1818" t="s">
        <v>66</v>
      </c>
      <c r="AI1818" t="s">
        <v>66</v>
      </c>
      <c r="AJ1818" t="s">
        <v>66</v>
      </c>
      <c r="AK1818">
        <v>1</v>
      </c>
      <c r="AL1818" t="s">
        <v>7349</v>
      </c>
      <c r="AM1818" t="s">
        <v>7350</v>
      </c>
      <c r="AN1818" t="s">
        <v>7351</v>
      </c>
      <c r="AO1818" t="s">
        <v>7512</v>
      </c>
      <c r="AP1818">
        <v>1</v>
      </c>
      <c r="AQ1818" t="s">
        <v>7513</v>
      </c>
      <c r="AR1818" t="s">
        <v>7514</v>
      </c>
      <c r="AS1818" t="s">
        <v>7515</v>
      </c>
      <c r="AT1818" t="s">
        <v>66</v>
      </c>
    </row>
    <row r="1819" spans="1:46" x14ac:dyDescent="0.15">
      <c r="A1819" t="s">
        <v>7528</v>
      </c>
      <c r="B1819" t="s">
        <v>7262</v>
      </c>
      <c r="C1819" t="s">
        <v>7263</v>
      </c>
      <c r="D1819">
        <v>64</v>
      </c>
      <c r="E1819" t="s">
        <v>7264</v>
      </c>
      <c r="F1819" t="s">
        <v>4516</v>
      </c>
      <c r="G1819" t="s">
        <v>51</v>
      </c>
      <c r="H1819" t="s">
        <v>7265</v>
      </c>
      <c r="I1819" t="s">
        <v>53</v>
      </c>
      <c r="J1819" t="s">
        <v>54</v>
      </c>
      <c r="K1819" t="s">
        <v>1338</v>
      </c>
      <c r="L1819" t="s">
        <v>18</v>
      </c>
      <c r="M1819" t="s">
        <v>16</v>
      </c>
      <c r="N1819">
        <v>4036</v>
      </c>
      <c r="O1819">
        <v>234</v>
      </c>
      <c r="P1819">
        <v>0</v>
      </c>
      <c r="Q1819" t="s">
        <v>7529</v>
      </c>
      <c r="R1819" t="s">
        <v>7530</v>
      </c>
      <c r="S1819" t="s">
        <v>7531</v>
      </c>
      <c r="T1819" t="s">
        <v>6204</v>
      </c>
      <c r="U1819" t="s">
        <v>60</v>
      </c>
      <c r="V1819" t="s">
        <v>61</v>
      </c>
      <c r="W1819">
        <v>5</v>
      </c>
      <c r="X1819">
        <v>9.1874999999999998E-2</v>
      </c>
      <c r="Y1819" t="s">
        <v>484</v>
      </c>
      <c r="Z1819" t="s">
        <v>485</v>
      </c>
      <c r="AA1819">
        <v>3</v>
      </c>
      <c r="AB1819" t="s">
        <v>7268</v>
      </c>
      <c r="AC1819" t="s">
        <v>7269</v>
      </c>
      <c r="AD1819" t="s">
        <v>7270</v>
      </c>
      <c r="AE1819" t="s">
        <v>7271</v>
      </c>
      <c r="AF1819" t="s">
        <v>7272</v>
      </c>
      <c r="AG1819" t="s">
        <v>66</v>
      </c>
      <c r="AH1819" t="s">
        <v>66</v>
      </c>
      <c r="AI1819" t="s">
        <v>66</v>
      </c>
      <c r="AJ1819" t="s">
        <v>66</v>
      </c>
      <c r="AK1819">
        <v>1</v>
      </c>
      <c r="AL1819" t="s">
        <v>7349</v>
      </c>
      <c r="AM1819" t="s">
        <v>7350</v>
      </c>
      <c r="AN1819" t="s">
        <v>7351</v>
      </c>
      <c r="AO1819" t="s">
        <v>7512</v>
      </c>
      <c r="AP1819">
        <v>1</v>
      </c>
      <c r="AQ1819" t="s">
        <v>7513</v>
      </c>
      <c r="AR1819" t="s">
        <v>7514</v>
      </c>
      <c r="AS1819" t="s">
        <v>7515</v>
      </c>
      <c r="AT1819" t="s">
        <v>66</v>
      </c>
    </row>
    <row r="1820" spans="1:46" x14ac:dyDescent="0.15">
      <c r="A1820" t="s">
        <v>7532</v>
      </c>
      <c r="B1820" t="s">
        <v>7262</v>
      </c>
      <c r="C1820" t="s">
        <v>7263</v>
      </c>
      <c r="D1820">
        <v>65</v>
      </c>
      <c r="E1820" t="s">
        <v>7264</v>
      </c>
      <c r="F1820" t="s">
        <v>4516</v>
      </c>
      <c r="G1820" t="s">
        <v>51</v>
      </c>
      <c r="H1820" t="s">
        <v>7265</v>
      </c>
      <c r="I1820" t="s">
        <v>53</v>
      </c>
      <c r="J1820" t="s">
        <v>54</v>
      </c>
      <c r="K1820" t="s">
        <v>1338</v>
      </c>
      <c r="L1820" t="s">
        <v>18</v>
      </c>
      <c r="M1820" t="s">
        <v>16</v>
      </c>
      <c r="N1820">
        <v>4092</v>
      </c>
      <c r="O1820">
        <v>237</v>
      </c>
      <c r="P1820">
        <v>0</v>
      </c>
      <c r="Q1820" t="s">
        <v>7533</v>
      </c>
      <c r="R1820" t="s">
        <v>7534</v>
      </c>
      <c r="S1820" t="s">
        <v>7535</v>
      </c>
      <c r="T1820" t="s">
        <v>6208</v>
      </c>
      <c r="U1820" t="s">
        <v>60</v>
      </c>
      <c r="V1820" t="s">
        <v>61</v>
      </c>
      <c r="W1820">
        <v>5</v>
      </c>
      <c r="X1820">
        <v>9.1874999999999998E-2</v>
      </c>
      <c r="Y1820" t="s">
        <v>275</v>
      </c>
      <c r="Z1820" t="s">
        <v>491</v>
      </c>
      <c r="AA1820">
        <v>3</v>
      </c>
      <c r="AB1820" t="s">
        <v>7268</v>
      </c>
      <c r="AC1820" t="s">
        <v>7269</v>
      </c>
      <c r="AD1820" t="s">
        <v>7270</v>
      </c>
      <c r="AE1820" t="s">
        <v>7271</v>
      </c>
      <c r="AF1820" t="s">
        <v>7272</v>
      </c>
      <c r="AG1820" t="s">
        <v>66</v>
      </c>
      <c r="AH1820" t="s">
        <v>66</v>
      </c>
      <c r="AI1820" t="s">
        <v>66</v>
      </c>
      <c r="AJ1820" t="s">
        <v>66</v>
      </c>
      <c r="AK1820">
        <v>1</v>
      </c>
      <c r="AL1820" t="s">
        <v>7349</v>
      </c>
      <c r="AM1820" t="s">
        <v>7350</v>
      </c>
      <c r="AN1820" t="s">
        <v>7351</v>
      </c>
      <c r="AO1820" t="s">
        <v>7512</v>
      </c>
      <c r="AP1820">
        <v>1</v>
      </c>
      <c r="AQ1820" t="s">
        <v>7513</v>
      </c>
      <c r="AR1820" t="s">
        <v>7514</v>
      </c>
      <c r="AS1820" t="s">
        <v>7515</v>
      </c>
      <c r="AT1820" t="s">
        <v>66</v>
      </c>
    </row>
    <row r="1821" spans="1:46" x14ac:dyDescent="0.15">
      <c r="A1821" t="s">
        <v>7536</v>
      </c>
      <c r="B1821" t="s">
        <v>7262</v>
      </c>
      <c r="C1821" t="s">
        <v>7263</v>
      </c>
      <c r="D1821">
        <v>66</v>
      </c>
      <c r="E1821" t="s">
        <v>7264</v>
      </c>
      <c r="F1821" t="s">
        <v>4516</v>
      </c>
      <c r="G1821" t="s">
        <v>51</v>
      </c>
      <c r="H1821" t="s">
        <v>7265</v>
      </c>
      <c r="I1821" t="s">
        <v>53</v>
      </c>
      <c r="J1821" t="s">
        <v>54</v>
      </c>
      <c r="K1821" t="s">
        <v>1338</v>
      </c>
      <c r="L1821" t="s">
        <v>18</v>
      </c>
      <c r="M1821" t="s">
        <v>16</v>
      </c>
      <c r="N1821">
        <v>4148</v>
      </c>
      <c r="O1821">
        <v>240</v>
      </c>
      <c r="P1821">
        <v>0</v>
      </c>
      <c r="Q1821" t="s">
        <v>7537</v>
      </c>
      <c r="R1821" t="s">
        <v>7538</v>
      </c>
      <c r="S1821" t="s">
        <v>7539</v>
      </c>
      <c r="T1821" t="s">
        <v>6212</v>
      </c>
      <c r="U1821" t="s">
        <v>60</v>
      </c>
      <c r="V1821" t="s">
        <v>61</v>
      </c>
      <c r="W1821">
        <v>5</v>
      </c>
      <c r="X1821">
        <v>9.1874999999999998E-2</v>
      </c>
      <c r="Y1821" t="s">
        <v>497</v>
      </c>
      <c r="Z1821" t="s">
        <v>498</v>
      </c>
      <c r="AA1821">
        <v>3</v>
      </c>
      <c r="AB1821" t="s">
        <v>7268</v>
      </c>
      <c r="AC1821" t="s">
        <v>7269</v>
      </c>
      <c r="AD1821" t="s">
        <v>7270</v>
      </c>
      <c r="AE1821" t="s">
        <v>7271</v>
      </c>
      <c r="AF1821" t="s">
        <v>7272</v>
      </c>
      <c r="AG1821" t="s">
        <v>66</v>
      </c>
      <c r="AH1821" t="s">
        <v>66</v>
      </c>
      <c r="AI1821" t="s">
        <v>66</v>
      </c>
      <c r="AJ1821" t="s">
        <v>66</v>
      </c>
      <c r="AK1821">
        <v>1</v>
      </c>
      <c r="AL1821" t="s">
        <v>7349</v>
      </c>
      <c r="AM1821" t="s">
        <v>7350</v>
      </c>
      <c r="AN1821" t="s">
        <v>7351</v>
      </c>
      <c r="AO1821" t="s">
        <v>7512</v>
      </c>
      <c r="AP1821">
        <v>1</v>
      </c>
      <c r="AQ1821" t="s">
        <v>7513</v>
      </c>
      <c r="AR1821" t="s">
        <v>7514</v>
      </c>
      <c r="AS1821" t="s">
        <v>7515</v>
      </c>
      <c r="AT1821" t="s">
        <v>66</v>
      </c>
    </row>
    <row r="1822" spans="1:46" x14ac:dyDescent="0.15">
      <c r="A1822" t="s">
        <v>7540</v>
      </c>
      <c r="B1822" t="s">
        <v>7262</v>
      </c>
      <c r="C1822" t="s">
        <v>7263</v>
      </c>
      <c r="D1822">
        <v>67</v>
      </c>
      <c r="E1822" t="s">
        <v>7264</v>
      </c>
      <c r="F1822" t="s">
        <v>4516</v>
      </c>
      <c r="G1822" t="s">
        <v>51</v>
      </c>
      <c r="H1822" t="s">
        <v>7265</v>
      </c>
      <c r="I1822" t="s">
        <v>53</v>
      </c>
      <c r="J1822" t="s">
        <v>54</v>
      </c>
      <c r="K1822" t="s">
        <v>1338</v>
      </c>
      <c r="L1822" t="s">
        <v>18</v>
      </c>
      <c r="M1822" t="s">
        <v>16</v>
      </c>
      <c r="N1822">
        <v>4204</v>
      </c>
      <c r="O1822">
        <v>243</v>
      </c>
      <c r="P1822">
        <v>0</v>
      </c>
      <c r="Q1822" t="s">
        <v>7541</v>
      </c>
      <c r="R1822" t="s">
        <v>7542</v>
      </c>
      <c r="S1822" t="s">
        <v>7543</v>
      </c>
      <c r="T1822" t="s">
        <v>6216</v>
      </c>
      <c r="U1822" t="s">
        <v>60</v>
      </c>
      <c r="V1822" t="s">
        <v>61</v>
      </c>
      <c r="W1822">
        <v>5</v>
      </c>
      <c r="X1822">
        <v>9.1874999999999998E-2</v>
      </c>
      <c r="Y1822" t="s">
        <v>282</v>
      </c>
      <c r="Z1822" t="s">
        <v>504</v>
      </c>
      <c r="AA1822">
        <v>3</v>
      </c>
      <c r="AB1822" t="s">
        <v>7268</v>
      </c>
      <c r="AC1822" t="s">
        <v>7269</v>
      </c>
      <c r="AD1822" t="s">
        <v>7270</v>
      </c>
      <c r="AE1822" t="s">
        <v>7271</v>
      </c>
      <c r="AF1822" t="s">
        <v>7272</v>
      </c>
      <c r="AG1822" t="s">
        <v>66</v>
      </c>
      <c r="AH1822" t="s">
        <v>66</v>
      </c>
      <c r="AI1822" t="s">
        <v>66</v>
      </c>
      <c r="AJ1822" t="s">
        <v>66</v>
      </c>
      <c r="AK1822">
        <v>1</v>
      </c>
      <c r="AL1822" t="s">
        <v>7349</v>
      </c>
      <c r="AM1822" t="s">
        <v>7350</v>
      </c>
      <c r="AN1822" t="s">
        <v>7351</v>
      </c>
      <c r="AO1822" t="s">
        <v>7512</v>
      </c>
      <c r="AP1822">
        <v>1</v>
      </c>
      <c r="AQ1822" t="s">
        <v>7513</v>
      </c>
      <c r="AR1822" t="s">
        <v>7514</v>
      </c>
      <c r="AS1822" t="s">
        <v>7515</v>
      </c>
      <c r="AT1822" t="s">
        <v>66</v>
      </c>
    </row>
    <row r="1823" spans="1:46" x14ac:dyDescent="0.15">
      <c r="A1823" t="s">
        <v>7544</v>
      </c>
      <c r="B1823" t="s">
        <v>7262</v>
      </c>
      <c r="C1823" t="s">
        <v>7263</v>
      </c>
      <c r="D1823">
        <v>68</v>
      </c>
      <c r="E1823" t="s">
        <v>7264</v>
      </c>
      <c r="F1823" t="s">
        <v>4516</v>
      </c>
      <c r="G1823" t="s">
        <v>51</v>
      </c>
      <c r="H1823" t="s">
        <v>7265</v>
      </c>
      <c r="I1823" t="s">
        <v>53</v>
      </c>
      <c r="J1823" t="s">
        <v>54</v>
      </c>
      <c r="K1823" t="s">
        <v>1338</v>
      </c>
      <c r="L1823" t="s">
        <v>18</v>
      </c>
      <c r="M1823" t="s">
        <v>16</v>
      </c>
      <c r="N1823">
        <v>4260</v>
      </c>
      <c r="O1823">
        <v>247</v>
      </c>
      <c r="P1823">
        <v>0</v>
      </c>
      <c r="Q1823" t="s">
        <v>7545</v>
      </c>
      <c r="R1823" t="s">
        <v>7546</v>
      </c>
      <c r="S1823" t="s">
        <v>7547</v>
      </c>
      <c r="T1823" t="s">
        <v>6220</v>
      </c>
      <c r="U1823" t="s">
        <v>60</v>
      </c>
      <c r="V1823" t="s">
        <v>61</v>
      </c>
      <c r="W1823">
        <v>5</v>
      </c>
      <c r="X1823">
        <v>9.1874999999999998E-2</v>
      </c>
      <c r="Y1823" t="s">
        <v>510</v>
      </c>
      <c r="Z1823" t="s">
        <v>511</v>
      </c>
      <c r="AA1823">
        <v>3</v>
      </c>
      <c r="AB1823" t="s">
        <v>7268</v>
      </c>
      <c r="AC1823" t="s">
        <v>7269</v>
      </c>
      <c r="AD1823" t="s">
        <v>7270</v>
      </c>
      <c r="AE1823" t="s">
        <v>7271</v>
      </c>
      <c r="AF1823" t="s">
        <v>7272</v>
      </c>
      <c r="AG1823" t="s">
        <v>66</v>
      </c>
      <c r="AH1823" t="s">
        <v>66</v>
      </c>
      <c r="AI1823" t="s">
        <v>66</v>
      </c>
      <c r="AJ1823" t="s">
        <v>66</v>
      </c>
      <c r="AK1823">
        <v>1</v>
      </c>
      <c r="AL1823" t="s">
        <v>7349</v>
      </c>
      <c r="AM1823" t="s">
        <v>7350</v>
      </c>
      <c r="AN1823" t="s">
        <v>7351</v>
      </c>
      <c r="AO1823" t="s">
        <v>7512</v>
      </c>
      <c r="AP1823">
        <v>1</v>
      </c>
      <c r="AQ1823" t="s">
        <v>7513</v>
      </c>
      <c r="AR1823" t="s">
        <v>7514</v>
      </c>
      <c r="AS1823" t="s">
        <v>7515</v>
      </c>
      <c r="AT1823" t="s">
        <v>66</v>
      </c>
    </row>
    <row r="1824" spans="1:46" x14ac:dyDescent="0.15">
      <c r="A1824" t="s">
        <v>7548</v>
      </c>
      <c r="B1824" t="s">
        <v>7262</v>
      </c>
      <c r="C1824" t="s">
        <v>7263</v>
      </c>
      <c r="D1824">
        <v>69</v>
      </c>
      <c r="E1824" t="s">
        <v>7264</v>
      </c>
      <c r="F1824" t="s">
        <v>4516</v>
      </c>
      <c r="G1824" t="s">
        <v>51</v>
      </c>
      <c r="H1824" t="s">
        <v>7265</v>
      </c>
      <c r="I1824" t="s">
        <v>53</v>
      </c>
      <c r="J1824" t="s">
        <v>54</v>
      </c>
      <c r="K1824" t="s">
        <v>1338</v>
      </c>
      <c r="L1824" t="s">
        <v>18</v>
      </c>
      <c r="M1824" t="s">
        <v>16</v>
      </c>
      <c r="N1824">
        <v>4316</v>
      </c>
      <c r="O1824">
        <v>250</v>
      </c>
      <c r="P1824">
        <v>0</v>
      </c>
      <c r="Q1824" t="s">
        <v>7549</v>
      </c>
      <c r="R1824" t="s">
        <v>7550</v>
      </c>
      <c r="S1824" t="s">
        <v>7551</v>
      </c>
      <c r="T1824" t="s">
        <v>6224</v>
      </c>
      <c r="U1824" t="s">
        <v>60</v>
      </c>
      <c r="V1824" t="s">
        <v>61</v>
      </c>
      <c r="W1824">
        <v>5</v>
      </c>
      <c r="X1824">
        <v>9.1874999999999998E-2</v>
      </c>
      <c r="Y1824" t="s">
        <v>288</v>
      </c>
      <c r="Z1824" t="s">
        <v>517</v>
      </c>
      <c r="AA1824">
        <v>3</v>
      </c>
      <c r="AB1824" t="s">
        <v>7268</v>
      </c>
      <c r="AC1824" t="s">
        <v>7269</v>
      </c>
      <c r="AD1824" t="s">
        <v>7270</v>
      </c>
      <c r="AE1824" t="s">
        <v>7271</v>
      </c>
      <c r="AF1824" t="s">
        <v>7272</v>
      </c>
      <c r="AG1824" t="s">
        <v>66</v>
      </c>
      <c r="AH1824" t="s">
        <v>66</v>
      </c>
      <c r="AI1824" t="s">
        <v>66</v>
      </c>
      <c r="AJ1824" t="s">
        <v>66</v>
      </c>
      <c r="AK1824">
        <v>1</v>
      </c>
      <c r="AL1824" t="s">
        <v>7349</v>
      </c>
      <c r="AM1824" t="s">
        <v>7350</v>
      </c>
      <c r="AN1824" t="s">
        <v>7351</v>
      </c>
      <c r="AO1824" t="s">
        <v>7512</v>
      </c>
      <c r="AP1824">
        <v>1</v>
      </c>
      <c r="AQ1824" t="s">
        <v>7513</v>
      </c>
      <c r="AR1824" t="s">
        <v>7514</v>
      </c>
      <c r="AS1824" t="s">
        <v>7515</v>
      </c>
      <c r="AT1824" t="s">
        <v>66</v>
      </c>
    </row>
    <row r="1825" spans="1:46" x14ac:dyDescent="0.15">
      <c r="A1825" t="s">
        <v>7552</v>
      </c>
      <c r="B1825" t="s">
        <v>7262</v>
      </c>
      <c r="C1825" t="s">
        <v>7263</v>
      </c>
      <c r="D1825">
        <v>70</v>
      </c>
      <c r="E1825" t="s">
        <v>7264</v>
      </c>
      <c r="F1825" t="s">
        <v>4516</v>
      </c>
      <c r="G1825" t="s">
        <v>51</v>
      </c>
      <c r="H1825" t="s">
        <v>7265</v>
      </c>
      <c r="I1825" t="s">
        <v>53</v>
      </c>
      <c r="J1825" t="s">
        <v>54</v>
      </c>
      <c r="K1825" t="s">
        <v>1338</v>
      </c>
      <c r="L1825" t="s">
        <v>18</v>
      </c>
      <c r="M1825" t="s">
        <v>16</v>
      </c>
      <c r="N1825">
        <v>4372</v>
      </c>
      <c r="O1825">
        <v>253</v>
      </c>
      <c r="P1825">
        <v>0</v>
      </c>
      <c r="Q1825" t="s">
        <v>7553</v>
      </c>
      <c r="R1825" t="s">
        <v>7554</v>
      </c>
      <c r="S1825" t="s">
        <v>7555</v>
      </c>
      <c r="T1825" t="s">
        <v>6228</v>
      </c>
      <c r="U1825" t="s">
        <v>60</v>
      </c>
      <c r="V1825" t="s">
        <v>61</v>
      </c>
      <c r="W1825">
        <v>5</v>
      </c>
      <c r="X1825">
        <v>9.1874999999999998E-2</v>
      </c>
      <c r="Y1825" t="s">
        <v>523</v>
      </c>
      <c r="Z1825" t="s">
        <v>524</v>
      </c>
      <c r="AA1825">
        <v>3</v>
      </c>
      <c r="AB1825" t="s">
        <v>7268</v>
      </c>
      <c r="AC1825" t="s">
        <v>7269</v>
      </c>
      <c r="AD1825" t="s">
        <v>7270</v>
      </c>
      <c r="AE1825" t="s">
        <v>7271</v>
      </c>
      <c r="AF1825" t="s">
        <v>7272</v>
      </c>
      <c r="AG1825" t="s">
        <v>66</v>
      </c>
      <c r="AH1825" t="s">
        <v>66</v>
      </c>
      <c r="AI1825" t="s">
        <v>66</v>
      </c>
      <c r="AJ1825" t="s">
        <v>66</v>
      </c>
      <c r="AK1825">
        <v>1</v>
      </c>
      <c r="AL1825" t="s">
        <v>7349</v>
      </c>
      <c r="AM1825" t="s">
        <v>7350</v>
      </c>
      <c r="AN1825" t="s">
        <v>7351</v>
      </c>
      <c r="AO1825" t="s">
        <v>7512</v>
      </c>
      <c r="AP1825">
        <v>1</v>
      </c>
      <c r="AQ1825" t="s">
        <v>7513</v>
      </c>
      <c r="AR1825" t="s">
        <v>7514</v>
      </c>
      <c r="AS1825" t="s">
        <v>7515</v>
      </c>
      <c r="AT1825" t="s">
        <v>66</v>
      </c>
    </row>
    <row r="1826" spans="1:46" x14ac:dyDescent="0.15">
      <c r="A1826" t="s">
        <v>7556</v>
      </c>
      <c r="B1826" t="s">
        <v>7262</v>
      </c>
      <c r="C1826" t="s">
        <v>7263</v>
      </c>
      <c r="D1826">
        <v>71</v>
      </c>
      <c r="E1826" t="s">
        <v>7264</v>
      </c>
      <c r="F1826" t="s">
        <v>4516</v>
      </c>
      <c r="G1826" t="s">
        <v>51</v>
      </c>
      <c r="H1826" t="s">
        <v>7265</v>
      </c>
      <c r="I1826" t="s">
        <v>53</v>
      </c>
      <c r="J1826" t="s">
        <v>54</v>
      </c>
      <c r="K1826" t="s">
        <v>1338</v>
      </c>
      <c r="L1826" t="s">
        <v>18</v>
      </c>
      <c r="M1826" t="s">
        <v>16</v>
      </c>
      <c r="N1826">
        <v>4429</v>
      </c>
      <c r="O1826">
        <v>256</v>
      </c>
      <c r="P1826">
        <v>0</v>
      </c>
      <c r="Q1826" t="s">
        <v>7557</v>
      </c>
      <c r="R1826" t="s">
        <v>7558</v>
      </c>
      <c r="S1826" t="s">
        <v>7559</v>
      </c>
      <c r="T1826" t="s">
        <v>6232</v>
      </c>
      <c r="U1826" t="s">
        <v>60</v>
      </c>
      <c r="V1826" t="s">
        <v>61</v>
      </c>
      <c r="W1826">
        <v>5</v>
      </c>
      <c r="X1826">
        <v>9.1874999999999998E-2</v>
      </c>
      <c r="Y1826" t="s">
        <v>295</v>
      </c>
      <c r="Z1826" t="s">
        <v>530</v>
      </c>
      <c r="AA1826">
        <v>3</v>
      </c>
      <c r="AB1826" t="s">
        <v>7268</v>
      </c>
      <c r="AC1826" t="s">
        <v>7269</v>
      </c>
      <c r="AD1826" t="s">
        <v>7270</v>
      </c>
      <c r="AE1826" t="s">
        <v>7271</v>
      </c>
      <c r="AF1826" t="s">
        <v>7272</v>
      </c>
      <c r="AG1826" t="s">
        <v>66</v>
      </c>
      <c r="AH1826" t="s">
        <v>66</v>
      </c>
      <c r="AI1826" t="s">
        <v>66</v>
      </c>
      <c r="AJ1826" t="s">
        <v>66</v>
      </c>
      <c r="AK1826">
        <v>1</v>
      </c>
      <c r="AL1826" t="s">
        <v>7349</v>
      </c>
      <c r="AM1826" t="s">
        <v>7350</v>
      </c>
      <c r="AN1826" t="s">
        <v>7351</v>
      </c>
      <c r="AO1826" t="s">
        <v>7512</v>
      </c>
      <c r="AP1826">
        <v>1</v>
      </c>
      <c r="AQ1826" t="s">
        <v>7513</v>
      </c>
      <c r="AR1826" t="s">
        <v>7514</v>
      </c>
      <c r="AS1826" t="s">
        <v>7515</v>
      </c>
      <c r="AT1826" t="s">
        <v>66</v>
      </c>
    </row>
    <row r="1827" spans="1:46" x14ac:dyDescent="0.15">
      <c r="A1827" t="s">
        <v>7560</v>
      </c>
      <c r="B1827" t="s">
        <v>7262</v>
      </c>
      <c r="C1827" t="s">
        <v>7263</v>
      </c>
      <c r="D1827">
        <v>72</v>
      </c>
      <c r="E1827" t="s">
        <v>7264</v>
      </c>
      <c r="F1827" t="s">
        <v>4516</v>
      </c>
      <c r="G1827" t="s">
        <v>51</v>
      </c>
      <c r="H1827" t="s">
        <v>7265</v>
      </c>
      <c r="I1827" t="s">
        <v>53</v>
      </c>
      <c r="J1827" t="s">
        <v>54</v>
      </c>
      <c r="K1827" t="s">
        <v>1338</v>
      </c>
      <c r="L1827" t="s">
        <v>18</v>
      </c>
      <c r="M1827" t="s">
        <v>16</v>
      </c>
      <c r="N1827">
        <v>4485</v>
      </c>
      <c r="O1827">
        <v>259</v>
      </c>
      <c r="P1827">
        <v>0</v>
      </c>
      <c r="Q1827" t="s">
        <v>7561</v>
      </c>
      <c r="R1827" t="s">
        <v>7562</v>
      </c>
      <c r="S1827" t="s">
        <v>7563</v>
      </c>
      <c r="T1827" t="s">
        <v>5326</v>
      </c>
      <c r="U1827" t="s">
        <v>60</v>
      </c>
      <c r="V1827" t="s">
        <v>61</v>
      </c>
      <c r="W1827">
        <v>5</v>
      </c>
      <c r="X1827">
        <v>9.1874999999999998E-2</v>
      </c>
      <c r="Y1827" t="s">
        <v>536</v>
      </c>
      <c r="Z1827" t="s">
        <v>537</v>
      </c>
      <c r="AA1827">
        <v>3</v>
      </c>
      <c r="AB1827" t="s">
        <v>7268</v>
      </c>
      <c r="AC1827" t="s">
        <v>7269</v>
      </c>
      <c r="AD1827" t="s">
        <v>7270</v>
      </c>
      <c r="AE1827" t="s">
        <v>7271</v>
      </c>
      <c r="AF1827" t="s">
        <v>7272</v>
      </c>
      <c r="AG1827" t="s">
        <v>66</v>
      </c>
      <c r="AH1827" t="s">
        <v>66</v>
      </c>
      <c r="AI1827" t="s">
        <v>66</v>
      </c>
      <c r="AJ1827" t="s">
        <v>66</v>
      </c>
      <c r="AK1827">
        <v>1</v>
      </c>
      <c r="AL1827" t="s">
        <v>7349</v>
      </c>
      <c r="AM1827" t="s">
        <v>7350</v>
      </c>
      <c r="AN1827" t="s">
        <v>7351</v>
      </c>
      <c r="AO1827" t="s">
        <v>7512</v>
      </c>
      <c r="AP1827">
        <v>1</v>
      </c>
      <c r="AQ1827" t="s">
        <v>7513</v>
      </c>
      <c r="AR1827" t="s">
        <v>7514</v>
      </c>
      <c r="AS1827" t="s">
        <v>7515</v>
      </c>
      <c r="AT1827" t="s">
        <v>66</v>
      </c>
    </row>
    <row r="1828" spans="1:46" x14ac:dyDescent="0.15">
      <c r="A1828" t="s">
        <v>7564</v>
      </c>
      <c r="B1828" t="s">
        <v>7262</v>
      </c>
      <c r="C1828" t="s">
        <v>7263</v>
      </c>
      <c r="D1828">
        <v>73</v>
      </c>
      <c r="E1828" t="s">
        <v>7264</v>
      </c>
      <c r="F1828" t="s">
        <v>4516</v>
      </c>
      <c r="G1828" t="s">
        <v>51</v>
      </c>
      <c r="H1828" t="s">
        <v>7265</v>
      </c>
      <c r="I1828" t="s">
        <v>53</v>
      </c>
      <c r="J1828" t="s">
        <v>54</v>
      </c>
      <c r="K1828" t="s">
        <v>1338</v>
      </c>
      <c r="L1828" t="s">
        <v>18</v>
      </c>
      <c r="M1828" t="s">
        <v>16</v>
      </c>
      <c r="N1828">
        <v>4541</v>
      </c>
      <c r="O1828">
        <v>263</v>
      </c>
      <c r="P1828">
        <v>0</v>
      </c>
      <c r="Q1828" t="s">
        <v>7565</v>
      </c>
      <c r="R1828" t="s">
        <v>7566</v>
      </c>
      <c r="S1828" t="s">
        <v>7567</v>
      </c>
      <c r="T1828" t="s">
        <v>6239</v>
      </c>
      <c r="U1828" t="s">
        <v>60</v>
      </c>
      <c r="V1828" t="s">
        <v>61</v>
      </c>
      <c r="W1828">
        <v>5</v>
      </c>
      <c r="X1828">
        <v>9.1874999999999998E-2</v>
      </c>
      <c r="Y1828" t="s">
        <v>301</v>
      </c>
      <c r="Z1828" t="s">
        <v>543</v>
      </c>
      <c r="AA1828">
        <v>3</v>
      </c>
      <c r="AB1828" t="s">
        <v>7268</v>
      </c>
      <c r="AC1828" t="s">
        <v>7269</v>
      </c>
      <c r="AD1828" t="s">
        <v>7270</v>
      </c>
      <c r="AE1828" t="s">
        <v>7271</v>
      </c>
      <c r="AF1828" t="s">
        <v>7272</v>
      </c>
      <c r="AG1828" t="s">
        <v>66</v>
      </c>
      <c r="AH1828" t="s">
        <v>66</v>
      </c>
      <c r="AI1828" t="s">
        <v>66</v>
      </c>
      <c r="AJ1828" t="s">
        <v>66</v>
      </c>
      <c r="AK1828">
        <v>1</v>
      </c>
      <c r="AL1828" t="s">
        <v>7349</v>
      </c>
      <c r="AM1828" t="s">
        <v>7350</v>
      </c>
      <c r="AN1828" t="s">
        <v>7351</v>
      </c>
      <c r="AO1828" t="s">
        <v>7512</v>
      </c>
      <c r="AP1828">
        <v>1</v>
      </c>
      <c r="AQ1828" t="s">
        <v>7513</v>
      </c>
      <c r="AR1828" t="s">
        <v>7514</v>
      </c>
      <c r="AS1828" t="s">
        <v>7515</v>
      </c>
      <c r="AT1828" t="s">
        <v>66</v>
      </c>
    </row>
    <row r="1829" spans="1:46" x14ac:dyDescent="0.15">
      <c r="A1829" t="s">
        <v>7568</v>
      </c>
      <c r="B1829" t="s">
        <v>7262</v>
      </c>
      <c r="C1829" t="s">
        <v>7263</v>
      </c>
      <c r="D1829">
        <v>74</v>
      </c>
      <c r="E1829" t="s">
        <v>7264</v>
      </c>
      <c r="F1829" t="s">
        <v>4516</v>
      </c>
      <c r="G1829" t="s">
        <v>51</v>
      </c>
      <c r="H1829" t="s">
        <v>7265</v>
      </c>
      <c r="I1829" t="s">
        <v>53</v>
      </c>
      <c r="J1829" t="s">
        <v>54</v>
      </c>
      <c r="K1829" t="s">
        <v>1338</v>
      </c>
      <c r="L1829" t="s">
        <v>18</v>
      </c>
      <c r="M1829" t="s">
        <v>16</v>
      </c>
      <c r="N1829">
        <v>4597</v>
      </c>
      <c r="O1829">
        <v>266</v>
      </c>
      <c r="P1829">
        <v>0</v>
      </c>
      <c r="Q1829" t="s">
        <v>7569</v>
      </c>
      <c r="R1829" t="s">
        <v>7570</v>
      </c>
      <c r="S1829" t="s">
        <v>7571</v>
      </c>
      <c r="T1829" t="s">
        <v>6243</v>
      </c>
      <c r="U1829" t="s">
        <v>60</v>
      </c>
      <c r="V1829" t="s">
        <v>61</v>
      </c>
      <c r="W1829">
        <v>5</v>
      </c>
      <c r="X1829">
        <v>9.1874999999999998E-2</v>
      </c>
      <c r="Y1829" t="s">
        <v>549</v>
      </c>
      <c r="Z1829" t="s">
        <v>550</v>
      </c>
      <c r="AA1829">
        <v>3</v>
      </c>
      <c r="AB1829" t="s">
        <v>7268</v>
      </c>
      <c r="AC1829" t="s">
        <v>7269</v>
      </c>
      <c r="AD1829" t="s">
        <v>7270</v>
      </c>
      <c r="AE1829" t="s">
        <v>7271</v>
      </c>
      <c r="AF1829" t="s">
        <v>7272</v>
      </c>
      <c r="AG1829" t="s">
        <v>66</v>
      </c>
      <c r="AH1829" t="s">
        <v>66</v>
      </c>
      <c r="AI1829" t="s">
        <v>66</v>
      </c>
      <c r="AJ1829" t="s">
        <v>66</v>
      </c>
      <c r="AK1829">
        <v>1</v>
      </c>
      <c r="AL1829" t="s">
        <v>7349</v>
      </c>
      <c r="AM1829" t="s">
        <v>7350</v>
      </c>
      <c r="AN1829" t="s">
        <v>7351</v>
      </c>
      <c r="AO1829" t="s">
        <v>7512</v>
      </c>
      <c r="AP1829">
        <v>1</v>
      </c>
      <c r="AQ1829" t="s">
        <v>7513</v>
      </c>
      <c r="AR1829" t="s">
        <v>7514</v>
      </c>
      <c r="AS1829" t="s">
        <v>7515</v>
      </c>
      <c r="AT1829" t="s">
        <v>66</v>
      </c>
    </row>
    <row r="1830" spans="1:46" x14ac:dyDescent="0.15">
      <c r="A1830" t="s">
        <v>7572</v>
      </c>
      <c r="B1830" t="s">
        <v>7262</v>
      </c>
      <c r="C1830" t="s">
        <v>7263</v>
      </c>
      <c r="D1830">
        <v>75</v>
      </c>
      <c r="E1830" t="s">
        <v>7264</v>
      </c>
      <c r="F1830" t="s">
        <v>4516</v>
      </c>
      <c r="G1830" t="s">
        <v>51</v>
      </c>
      <c r="H1830" t="s">
        <v>7265</v>
      </c>
      <c r="I1830" t="s">
        <v>53</v>
      </c>
      <c r="J1830" t="s">
        <v>54</v>
      </c>
      <c r="K1830" t="s">
        <v>1338</v>
      </c>
      <c r="L1830" t="s">
        <v>18</v>
      </c>
      <c r="M1830" t="s">
        <v>16</v>
      </c>
      <c r="N1830">
        <v>4653</v>
      </c>
      <c r="O1830">
        <v>269</v>
      </c>
      <c r="P1830">
        <v>0</v>
      </c>
      <c r="Q1830" t="s">
        <v>7573</v>
      </c>
      <c r="R1830" t="s">
        <v>7574</v>
      </c>
      <c r="S1830" t="s">
        <v>7575</v>
      </c>
      <c r="T1830" t="s">
        <v>6247</v>
      </c>
      <c r="U1830" t="s">
        <v>60</v>
      </c>
      <c r="V1830" t="s">
        <v>61</v>
      </c>
      <c r="W1830">
        <v>5</v>
      </c>
      <c r="X1830">
        <v>9.1874999999999998E-2</v>
      </c>
      <c r="Y1830" t="s">
        <v>308</v>
      </c>
      <c r="Z1830" t="s">
        <v>556</v>
      </c>
      <c r="AA1830">
        <v>3</v>
      </c>
      <c r="AB1830" t="s">
        <v>7268</v>
      </c>
      <c r="AC1830" t="s">
        <v>7269</v>
      </c>
      <c r="AD1830" t="s">
        <v>7270</v>
      </c>
      <c r="AE1830" t="s">
        <v>7271</v>
      </c>
      <c r="AF1830" t="s">
        <v>7272</v>
      </c>
      <c r="AG1830" t="s">
        <v>66</v>
      </c>
      <c r="AH1830" t="s">
        <v>66</v>
      </c>
      <c r="AI1830" t="s">
        <v>66</v>
      </c>
      <c r="AJ1830" t="s">
        <v>66</v>
      </c>
      <c r="AK1830">
        <v>1</v>
      </c>
      <c r="AL1830" t="s">
        <v>7349</v>
      </c>
      <c r="AM1830" t="s">
        <v>7350</v>
      </c>
      <c r="AN1830" t="s">
        <v>7351</v>
      </c>
      <c r="AO1830" t="s">
        <v>7512</v>
      </c>
      <c r="AP1830">
        <v>1</v>
      </c>
      <c r="AQ1830" t="s">
        <v>7513</v>
      </c>
      <c r="AR1830" t="s">
        <v>7514</v>
      </c>
      <c r="AS1830" t="s">
        <v>7515</v>
      </c>
      <c r="AT1830" t="s">
        <v>66</v>
      </c>
    </row>
    <row r="1831" spans="1:46" x14ac:dyDescent="0.15">
      <c r="A1831" t="s">
        <v>7576</v>
      </c>
      <c r="B1831" t="s">
        <v>7262</v>
      </c>
      <c r="C1831" t="s">
        <v>7263</v>
      </c>
      <c r="D1831">
        <v>76</v>
      </c>
      <c r="E1831" t="s">
        <v>7264</v>
      </c>
      <c r="F1831" t="s">
        <v>4516</v>
      </c>
      <c r="G1831" t="s">
        <v>51</v>
      </c>
      <c r="H1831" t="s">
        <v>7265</v>
      </c>
      <c r="I1831" t="s">
        <v>53</v>
      </c>
      <c r="J1831" t="s">
        <v>54</v>
      </c>
      <c r="K1831" t="s">
        <v>1338</v>
      </c>
      <c r="L1831" t="s">
        <v>18</v>
      </c>
      <c r="M1831" t="s">
        <v>16</v>
      </c>
      <c r="N1831">
        <v>4709</v>
      </c>
      <c r="O1831">
        <v>272</v>
      </c>
      <c r="P1831">
        <v>0</v>
      </c>
      <c r="Q1831" t="s">
        <v>7577</v>
      </c>
      <c r="R1831" t="s">
        <v>7578</v>
      </c>
      <c r="S1831" t="s">
        <v>7579</v>
      </c>
      <c r="T1831" t="s">
        <v>6251</v>
      </c>
      <c r="U1831" t="s">
        <v>60</v>
      </c>
      <c r="V1831" t="s">
        <v>61</v>
      </c>
      <c r="W1831">
        <v>5</v>
      </c>
      <c r="X1831">
        <v>9.1874999999999998E-2</v>
      </c>
      <c r="Y1831" t="s">
        <v>562</v>
      </c>
      <c r="Z1831" t="s">
        <v>563</v>
      </c>
      <c r="AA1831">
        <v>3</v>
      </c>
      <c r="AB1831" t="s">
        <v>7268</v>
      </c>
      <c r="AC1831" t="s">
        <v>7269</v>
      </c>
      <c r="AD1831" t="s">
        <v>7270</v>
      </c>
      <c r="AE1831" t="s">
        <v>7271</v>
      </c>
      <c r="AF1831" t="s">
        <v>7272</v>
      </c>
      <c r="AG1831" t="s">
        <v>66</v>
      </c>
      <c r="AH1831" t="s">
        <v>66</v>
      </c>
      <c r="AI1831" t="s">
        <v>66</v>
      </c>
      <c r="AJ1831" t="s">
        <v>66</v>
      </c>
      <c r="AK1831">
        <v>1</v>
      </c>
      <c r="AL1831" t="s">
        <v>7349</v>
      </c>
      <c r="AM1831" t="s">
        <v>7350</v>
      </c>
      <c r="AN1831" t="s">
        <v>7351</v>
      </c>
      <c r="AO1831" t="s">
        <v>7512</v>
      </c>
      <c r="AP1831">
        <v>1</v>
      </c>
      <c r="AQ1831" t="s">
        <v>7513</v>
      </c>
      <c r="AR1831" t="s">
        <v>7514</v>
      </c>
      <c r="AS1831" t="s">
        <v>7515</v>
      </c>
      <c r="AT1831" t="s">
        <v>66</v>
      </c>
    </row>
    <row r="1832" spans="1:46" x14ac:dyDescent="0.15">
      <c r="A1832" t="s">
        <v>7580</v>
      </c>
      <c r="B1832" t="s">
        <v>7262</v>
      </c>
      <c r="C1832" t="s">
        <v>7263</v>
      </c>
      <c r="D1832">
        <v>77</v>
      </c>
      <c r="E1832" t="s">
        <v>7264</v>
      </c>
      <c r="F1832" t="s">
        <v>4516</v>
      </c>
      <c r="G1832" t="s">
        <v>51</v>
      </c>
      <c r="H1832" t="s">
        <v>7265</v>
      </c>
      <c r="I1832" t="s">
        <v>53</v>
      </c>
      <c r="J1832" t="s">
        <v>54</v>
      </c>
      <c r="K1832" t="s">
        <v>1338</v>
      </c>
      <c r="L1832" t="s">
        <v>18</v>
      </c>
      <c r="M1832" t="s">
        <v>16</v>
      </c>
      <c r="N1832">
        <v>4765</v>
      </c>
      <c r="O1832">
        <v>276</v>
      </c>
      <c r="P1832">
        <v>0</v>
      </c>
      <c r="Q1832" t="s">
        <v>7581</v>
      </c>
      <c r="R1832" t="s">
        <v>7582</v>
      </c>
      <c r="S1832" t="s">
        <v>7583</v>
      </c>
      <c r="T1832" t="s">
        <v>6255</v>
      </c>
      <c r="U1832" t="s">
        <v>60</v>
      </c>
      <c r="V1832" t="s">
        <v>61</v>
      </c>
      <c r="W1832">
        <v>5</v>
      </c>
      <c r="X1832">
        <v>9.1874999999999998E-2</v>
      </c>
      <c r="Y1832" t="s">
        <v>314</v>
      </c>
      <c r="Z1832" t="s">
        <v>569</v>
      </c>
      <c r="AA1832">
        <v>3</v>
      </c>
      <c r="AB1832" t="s">
        <v>7268</v>
      </c>
      <c r="AC1832" t="s">
        <v>7269</v>
      </c>
      <c r="AD1832" t="s">
        <v>7270</v>
      </c>
      <c r="AE1832" t="s">
        <v>7271</v>
      </c>
      <c r="AF1832" t="s">
        <v>7272</v>
      </c>
      <c r="AG1832" t="s">
        <v>66</v>
      </c>
      <c r="AH1832" t="s">
        <v>66</v>
      </c>
      <c r="AI1832" t="s">
        <v>66</v>
      </c>
      <c r="AJ1832" t="s">
        <v>66</v>
      </c>
      <c r="AK1832">
        <v>1</v>
      </c>
      <c r="AL1832" t="s">
        <v>7349</v>
      </c>
      <c r="AM1832" t="s">
        <v>7350</v>
      </c>
      <c r="AN1832" t="s">
        <v>7351</v>
      </c>
      <c r="AO1832" t="s">
        <v>7512</v>
      </c>
      <c r="AP1832">
        <v>1</v>
      </c>
      <c r="AQ1832" t="s">
        <v>7513</v>
      </c>
      <c r="AR1832" t="s">
        <v>7514</v>
      </c>
      <c r="AS1832" t="s">
        <v>7515</v>
      </c>
      <c r="AT1832" t="s">
        <v>66</v>
      </c>
    </row>
    <row r="1833" spans="1:46" x14ac:dyDescent="0.15">
      <c r="A1833" t="s">
        <v>7584</v>
      </c>
      <c r="B1833" t="s">
        <v>7262</v>
      </c>
      <c r="C1833" t="s">
        <v>7263</v>
      </c>
      <c r="D1833">
        <v>78</v>
      </c>
      <c r="E1833" t="s">
        <v>7264</v>
      </c>
      <c r="F1833" t="s">
        <v>4516</v>
      </c>
      <c r="G1833" t="s">
        <v>51</v>
      </c>
      <c r="H1833" t="s">
        <v>7265</v>
      </c>
      <c r="I1833" t="s">
        <v>53</v>
      </c>
      <c r="J1833" t="s">
        <v>54</v>
      </c>
      <c r="K1833" t="s">
        <v>1338</v>
      </c>
      <c r="L1833" t="s">
        <v>18</v>
      </c>
      <c r="M1833" t="s">
        <v>16</v>
      </c>
      <c r="N1833">
        <v>4821</v>
      </c>
      <c r="O1833">
        <v>279</v>
      </c>
      <c r="P1833">
        <v>0</v>
      </c>
      <c r="Q1833" t="s">
        <v>7585</v>
      </c>
      <c r="R1833" t="s">
        <v>7586</v>
      </c>
      <c r="S1833" t="s">
        <v>7587</v>
      </c>
      <c r="T1833" t="s">
        <v>6259</v>
      </c>
      <c r="U1833" t="s">
        <v>60</v>
      </c>
      <c r="V1833" t="s">
        <v>61</v>
      </c>
      <c r="W1833">
        <v>5</v>
      </c>
      <c r="X1833">
        <v>9.1874999999999998E-2</v>
      </c>
      <c r="Y1833" t="s">
        <v>575</v>
      </c>
      <c r="Z1833" t="s">
        <v>576</v>
      </c>
      <c r="AA1833">
        <v>3</v>
      </c>
      <c r="AB1833" t="s">
        <v>7268</v>
      </c>
      <c r="AC1833" t="s">
        <v>7269</v>
      </c>
      <c r="AD1833" t="s">
        <v>7270</v>
      </c>
      <c r="AE1833" t="s">
        <v>7271</v>
      </c>
      <c r="AF1833" t="s">
        <v>7272</v>
      </c>
      <c r="AG1833" t="s">
        <v>66</v>
      </c>
      <c r="AH1833" t="s">
        <v>66</v>
      </c>
      <c r="AI1833" t="s">
        <v>66</v>
      </c>
      <c r="AJ1833" t="s">
        <v>66</v>
      </c>
      <c r="AK1833">
        <v>1</v>
      </c>
      <c r="AL1833" t="s">
        <v>7349</v>
      </c>
      <c r="AM1833" t="s">
        <v>7350</v>
      </c>
      <c r="AN1833" t="s">
        <v>7351</v>
      </c>
      <c r="AO1833" t="s">
        <v>7512</v>
      </c>
      <c r="AP1833">
        <v>1</v>
      </c>
      <c r="AQ1833" t="s">
        <v>7513</v>
      </c>
      <c r="AR1833" t="s">
        <v>7514</v>
      </c>
      <c r="AS1833" t="s">
        <v>7515</v>
      </c>
      <c r="AT1833" t="s">
        <v>66</v>
      </c>
    </row>
    <row r="1834" spans="1:46" x14ac:dyDescent="0.15">
      <c r="A1834" t="s">
        <v>7588</v>
      </c>
      <c r="B1834" t="s">
        <v>7262</v>
      </c>
      <c r="C1834" t="s">
        <v>7263</v>
      </c>
      <c r="D1834">
        <v>79</v>
      </c>
      <c r="E1834" t="s">
        <v>7264</v>
      </c>
      <c r="F1834" t="s">
        <v>4516</v>
      </c>
      <c r="G1834" t="s">
        <v>51</v>
      </c>
      <c r="H1834" t="s">
        <v>7265</v>
      </c>
      <c r="I1834" t="s">
        <v>53</v>
      </c>
      <c r="J1834" t="s">
        <v>54</v>
      </c>
      <c r="K1834" t="s">
        <v>1338</v>
      </c>
      <c r="L1834" t="s">
        <v>18</v>
      </c>
      <c r="M1834" t="s">
        <v>16</v>
      </c>
      <c r="N1834">
        <v>4878</v>
      </c>
      <c r="O1834">
        <v>282</v>
      </c>
      <c r="P1834">
        <v>0</v>
      </c>
      <c r="Q1834" t="s">
        <v>7589</v>
      </c>
      <c r="R1834" t="s">
        <v>7590</v>
      </c>
      <c r="S1834" t="s">
        <v>7591</v>
      </c>
      <c r="T1834" t="s">
        <v>6263</v>
      </c>
      <c r="U1834" t="s">
        <v>60</v>
      </c>
      <c r="V1834" t="s">
        <v>61</v>
      </c>
      <c r="W1834">
        <v>5</v>
      </c>
      <c r="X1834">
        <v>9.1874999999999998E-2</v>
      </c>
      <c r="Y1834" t="s">
        <v>321</v>
      </c>
      <c r="Z1834" t="s">
        <v>582</v>
      </c>
      <c r="AA1834">
        <v>3</v>
      </c>
      <c r="AB1834" t="s">
        <v>7268</v>
      </c>
      <c r="AC1834" t="s">
        <v>7269</v>
      </c>
      <c r="AD1834" t="s">
        <v>7270</v>
      </c>
      <c r="AE1834" t="s">
        <v>7271</v>
      </c>
      <c r="AF1834" t="s">
        <v>7272</v>
      </c>
      <c r="AG1834" t="s">
        <v>66</v>
      </c>
      <c r="AH1834" t="s">
        <v>66</v>
      </c>
      <c r="AI1834" t="s">
        <v>66</v>
      </c>
      <c r="AJ1834" t="s">
        <v>66</v>
      </c>
      <c r="AK1834">
        <v>1</v>
      </c>
      <c r="AL1834" t="s">
        <v>7349</v>
      </c>
      <c r="AM1834" t="s">
        <v>7350</v>
      </c>
      <c r="AN1834" t="s">
        <v>7351</v>
      </c>
      <c r="AO1834" t="s">
        <v>7512</v>
      </c>
      <c r="AP1834">
        <v>1</v>
      </c>
      <c r="AQ1834" t="s">
        <v>7513</v>
      </c>
      <c r="AR1834" t="s">
        <v>7514</v>
      </c>
      <c r="AS1834" t="s">
        <v>7515</v>
      </c>
      <c r="AT1834" t="s">
        <v>66</v>
      </c>
    </row>
    <row r="1835" spans="1:46" x14ac:dyDescent="0.15">
      <c r="A1835" t="s">
        <v>7592</v>
      </c>
      <c r="B1835" t="s">
        <v>7262</v>
      </c>
      <c r="C1835" t="s">
        <v>7263</v>
      </c>
      <c r="D1835">
        <v>80</v>
      </c>
      <c r="E1835" t="s">
        <v>7264</v>
      </c>
      <c r="F1835" t="s">
        <v>4516</v>
      </c>
      <c r="G1835" t="s">
        <v>51</v>
      </c>
      <c r="H1835" t="s">
        <v>7265</v>
      </c>
      <c r="I1835" t="s">
        <v>53</v>
      </c>
      <c r="J1835" t="s">
        <v>54</v>
      </c>
      <c r="K1835" t="s">
        <v>1338</v>
      </c>
      <c r="L1835" t="s">
        <v>18</v>
      </c>
      <c r="M1835" t="s">
        <v>16</v>
      </c>
      <c r="N1835">
        <v>4934</v>
      </c>
      <c r="O1835">
        <v>285</v>
      </c>
      <c r="P1835">
        <v>0</v>
      </c>
      <c r="Q1835" t="s">
        <v>7593</v>
      </c>
      <c r="R1835" t="s">
        <v>7594</v>
      </c>
      <c r="S1835" t="s">
        <v>7595</v>
      </c>
      <c r="T1835" t="s">
        <v>6267</v>
      </c>
      <c r="U1835" t="s">
        <v>60</v>
      </c>
      <c r="V1835" t="s">
        <v>61</v>
      </c>
      <c r="W1835">
        <v>5</v>
      </c>
      <c r="X1835">
        <v>9.1874999999999998E-2</v>
      </c>
      <c r="Y1835" t="s">
        <v>588</v>
      </c>
      <c r="Z1835" t="s">
        <v>589</v>
      </c>
      <c r="AA1835">
        <v>3</v>
      </c>
      <c r="AB1835" t="s">
        <v>7268</v>
      </c>
      <c r="AC1835" t="s">
        <v>7269</v>
      </c>
      <c r="AD1835" t="s">
        <v>7270</v>
      </c>
      <c r="AE1835" t="s">
        <v>7271</v>
      </c>
      <c r="AF1835" t="s">
        <v>7272</v>
      </c>
      <c r="AG1835" t="s">
        <v>66</v>
      </c>
      <c r="AH1835" t="s">
        <v>66</v>
      </c>
      <c r="AI1835" t="s">
        <v>66</v>
      </c>
      <c r="AJ1835" t="s">
        <v>66</v>
      </c>
      <c r="AK1835">
        <v>1</v>
      </c>
      <c r="AL1835" t="s">
        <v>7349</v>
      </c>
      <c r="AM1835" t="s">
        <v>7350</v>
      </c>
      <c r="AN1835" t="s">
        <v>7351</v>
      </c>
      <c r="AO1835" t="s">
        <v>7512</v>
      </c>
      <c r="AP1835">
        <v>1</v>
      </c>
      <c r="AQ1835" t="s">
        <v>7513</v>
      </c>
      <c r="AR1835" t="s">
        <v>7514</v>
      </c>
      <c r="AS1835" t="s">
        <v>7515</v>
      </c>
      <c r="AT1835" t="s">
        <v>66</v>
      </c>
    </row>
    <row r="1836" spans="1:46" x14ac:dyDescent="0.15">
      <c r="A1836" t="s">
        <v>7592</v>
      </c>
      <c r="B1836" t="s">
        <v>7262</v>
      </c>
      <c r="C1836" t="s">
        <v>7263</v>
      </c>
      <c r="D1836">
        <v>80</v>
      </c>
      <c r="E1836" t="s">
        <v>7264</v>
      </c>
      <c r="F1836" t="s">
        <v>4516</v>
      </c>
      <c r="G1836" t="s">
        <v>51</v>
      </c>
      <c r="H1836" t="s">
        <v>7265</v>
      </c>
      <c r="I1836" t="s">
        <v>53</v>
      </c>
      <c r="J1836" t="s">
        <v>54</v>
      </c>
      <c r="K1836" t="s">
        <v>1338</v>
      </c>
      <c r="L1836" t="s">
        <v>18</v>
      </c>
      <c r="M1836" t="s">
        <v>16</v>
      </c>
      <c r="N1836">
        <v>4934</v>
      </c>
      <c r="O1836">
        <v>285</v>
      </c>
      <c r="P1836">
        <v>0</v>
      </c>
      <c r="Q1836" t="s">
        <v>7593</v>
      </c>
      <c r="R1836" t="s">
        <v>7594</v>
      </c>
      <c r="S1836" t="s">
        <v>7595</v>
      </c>
      <c r="T1836" t="s">
        <v>6267</v>
      </c>
      <c r="U1836" t="s">
        <v>60</v>
      </c>
      <c r="V1836" t="s">
        <v>61</v>
      </c>
      <c r="W1836">
        <v>5</v>
      </c>
      <c r="X1836">
        <v>9.1874999999999998E-2</v>
      </c>
      <c r="Y1836" t="s">
        <v>588</v>
      </c>
      <c r="Z1836" t="s">
        <v>589</v>
      </c>
      <c r="AA1836">
        <v>4</v>
      </c>
      <c r="AB1836" t="s">
        <v>7268</v>
      </c>
      <c r="AC1836" t="s">
        <v>7269</v>
      </c>
      <c r="AD1836" t="s">
        <v>7270</v>
      </c>
      <c r="AE1836" t="s">
        <v>7271</v>
      </c>
      <c r="AF1836" t="s">
        <v>7272</v>
      </c>
      <c r="AG1836" t="s">
        <v>1962</v>
      </c>
      <c r="AH1836" t="s">
        <v>1963</v>
      </c>
      <c r="AI1836" t="s">
        <v>1857</v>
      </c>
      <c r="AJ1836" t="s">
        <v>1857</v>
      </c>
      <c r="AK1836">
        <v>1</v>
      </c>
      <c r="AL1836" t="s">
        <v>7349</v>
      </c>
      <c r="AM1836" t="s">
        <v>7350</v>
      </c>
      <c r="AN1836" t="s">
        <v>7351</v>
      </c>
      <c r="AO1836" t="s">
        <v>7512</v>
      </c>
      <c r="AP1836">
        <v>1</v>
      </c>
      <c r="AQ1836" t="s">
        <v>7513</v>
      </c>
      <c r="AR1836" t="s">
        <v>7514</v>
      </c>
      <c r="AS1836" t="s">
        <v>7515</v>
      </c>
      <c r="AT1836" t="s">
        <v>66</v>
      </c>
    </row>
    <row r="1837" spans="1:46" x14ac:dyDescent="0.15">
      <c r="A1837" t="s">
        <v>7596</v>
      </c>
      <c r="B1837" t="s">
        <v>7262</v>
      </c>
      <c r="C1837" t="s">
        <v>7263</v>
      </c>
      <c r="D1837">
        <v>81</v>
      </c>
      <c r="E1837" t="s">
        <v>7264</v>
      </c>
      <c r="F1837" t="s">
        <v>4516</v>
      </c>
      <c r="G1837" t="s">
        <v>51</v>
      </c>
      <c r="H1837" t="s">
        <v>7265</v>
      </c>
      <c r="I1837" t="s">
        <v>53</v>
      </c>
      <c r="J1837" t="s">
        <v>54</v>
      </c>
      <c r="K1837" t="s">
        <v>1338</v>
      </c>
      <c r="L1837" t="s">
        <v>18</v>
      </c>
      <c r="M1837" t="s">
        <v>16</v>
      </c>
      <c r="N1837">
        <v>4990</v>
      </c>
      <c r="O1837">
        <v>289</v>
      </c>
      <c r="P1837">
        <v>0</v>
      </c>
      <c r="Q1837" t="s">
        <v>7597</v>
      </c>
      <c r="R1837" t="s">
        <v>7598</v>
      </c>
      <c r="S1837" t="s">
        <v>7599</v>
      </c>
      <c r="T1837" t="s">
        <v>6271</v>
      </c>
      <c r="U1837" t="s">
        <v>60</v>
      </c>
      <c r="V1837" t="s">
        <v>61</v>
      </c>
      <c r="W1837">
        <v>5</v>
      </c>
      <c r="X1837">
        <v>9.1874999999999998E-2</v>
      </c>
      <c r="Y1837" t="s">
        <v>330</v>
      </c>
      <c r="Z1837" t="s">
        <v>596</v>
      </c>
      <c r="AA1837">
        <v>4</v>
      </c>
      <c r="AB1837" t="s">
        <v>7268</v>
      </c>
      <c r="AC1837" t="s">
        <v>7269</v>
      </c>
      <c r="AD1837" t="s">
        <v>7270</v>
      </c>
      <c r="AE1837" t="s">
        <v>7271</v>
      </c>
      <c r="AF1837" t="s">
        <v>7272</v>
      </c>
      <c r="AG1837" t="s">
        <v>1962</v>
      </c>
      <c r="AH1837" t="s">
        <v>1963</v>
      </c>
      <c r="AI1837" t="s">
        <v>1857</v>
      </c>
      <c r="AJ1837" t="s">
        <v>1857</v>
      </c>
      <c r="AK1837">
        <v>1</v>
      </c>
      <c r="AL1837" t="s">
        <v>7349</v>
      </c>
      <c r="AM1837" t="s">
        <v>7350</v>
      </c>
      <c r="AN1837" t="s">
        <v>7351</v>
      </c>
      <c r="AO1837" t="s">
        <v>7512</v>
      </c>
      <c r="AP1837">
        <v>1</v>
      </c>
      <c r="AQ1837" t="s">
        <v>7513</v>
      </c>
      <c r="AR1837" t="s">
        <v>7514</v>
      </c>
      <c r="AS1837" t="s">
        <v>7515</v>
      </c>
      <c r="AT1837" t="s">
        <v>66</v>
      </c>
    </row>
    <row r="1838" spans="1:46" x14ac:dyDescent="0.15">
      <c r="A1838" t="s">
        <v>7600</v>
      </c>
      <c r="B1838" t="s">
        <v>7262</v>
      </c>
      <c r="C1838" t="s">
        <v>7263</v>
      </c>
      <c r="D1838">
        <v>82</v>
      </c>
      <c r="E1838" t="s">
        <v>7264</v>
      </c>
      <c r="F1838" t="s">
        <v>4516</v>
      </c>
      <c r="G1838" t="s">
        <v>51</v>
      </c>
      <c r="H1838" t="s">
        <v>7265</v>
      </c>
      <c r="I1838" t="s">
        <v>53</v>
      </c>
      <c r="J1838" t="s">
        <v>54</v>
      </c>
      <c r="K1838" t="s">
        <v>1338</v>
      </c>
      <c r="L1838" t="s">
        <v>18</v>
      </c>
      <c r="M1838" t="s">
        <v>16</v>
      </c>
      <c r="N1838">
        <v>5046</v>
      </c>
      <c r="O1838">
        <v>292</v>
      </c>
      <c r="P1838">
        <v>0</v>
      </c>
      <c r="Q1838" t="s">
        <v>7601</v>
      </c>
      <c r="R1838" t="s">
        <v>7602</v>
      </c>
      <c r="S1838" t="s">
        <v>7603</v>
      </c>
      <c r="T1838" t="s">
        <v>6275</v>
      </c>
      <c r="U1838" t="s">
        <v>60</v>
      </c>
      <c r="V1838" t="s">
        <v>61</v>
      </c>
      <c r="W1838">
        <v>5</v>
      </c>
      <c r="X1838">
        <v>9.1874999999999998E-2</v>
      </c>
      <c r="Y1838" t="s">
        <v>602</v>
      </c>
      <c r="Z1838" t="s">
        <v>603</v>
      </c>
      <c r="AA1838">
        <v>4</v>
      </c>
      <c r="AB1838" t="s">
        <v>7268</v>
      </c>
      <c r="AC1838" t="s">
        <v>7269</v>
      </c>
      <c r="AD1838" t="s">
        <v>7270</v>
      </c>
      <c r="AE1838" t="s">
        <v>7271</v>
      </c>
      <c r="AF1838" t="s">
        <v>7272</v>
      </c>
      <c r="AG1838" t="s">
        <v>1962</v>
      </c>
      <c r="AH1838" t="s">
        <v>1963</v>
      </c>
      <c r="AI1838" t="s">
        <v>1857</v>
      </c>
      <c r="AJ1838" t="s">
        <v>1857</v>
      </c>
      <c r="AK1838">
        <v>1</v>
      </c>
      <c r="AL1838" t="s">
        <v>7349</v>
      </c>
      <c r="AM1838" t="s">
        <v>7350</v>
      </c>
      <c r="AN1838" t="s">
        <v>7351</v>
      </c>
      <c r="AO1838" t="s">
        <v>7512</v>
      </c>
      <c r="AP1838">
        <v>1</v>
      </c>
      <c r="AQ1838" t="s">
        <v>7513</v>
      </c>
      <c r="AR1838" t="s">
        <v>7514</v>
      </c>
      <c r="AS1838" t="s">
        <v>7515</v>
      </c>
      <c r="AT1838" t="s">
        <v>66</v>
      </c>
    </row>
    <row r="1839" spans="1:46" x14ac:dyDescent="0.15">
      <c r="A1839" t="s">
        <v>7604</v>
      </c>
      <c r="B1839" t="s">
        <v>7262</v>
      </c>
      <c r="C1839" t="s">
        <v>7263</v>
      </c>
      <c r="D1839">
        <v>83</v>
      </c>
      <c r="E1839" t="s">
        <v>7264</v>
      </c>
      <c r="F1839" t="s">
        <v>4516</v>
      </c>
      <c r="G1839" t="s">
        <v>51</v>
      </c>
      <c r="H1839" t="s">
        <v>7265</v>
      </c>
      <c r="I1839" t="s">
        <v>53</v>
      </c>
      <c r="J1839" t="s">
        <v>54</v>
      </c>
      <c r="K1839" t="s">
        <v>1338</v>
      </c>
      <c r="L1839" t="s">
        <v>18</v>
      </c>
      <c r="M1839" t="s">
        <v>16</v>
      </c>
      <c r="N1839">
        <v>5102</v>
      </c>
      <c r="O1839">
        <v>295</v>
      </c>
      <c r="P1839">
        <v>0</v>
      </c>
      <c r="Q1839" t="s">
        <v>7605</v>
      </c>
      <c r="R1839" t="s">
        <v>7606</v>
      </c>
      <c r="S1839" t="s">
        <v>7607</v>
      </c>
      <c r="T1839" t="s">
        <v>6279</v>
      </c>
      <c r="U1839" t="s">
        <v>60</v>
      </c>
      <c r="V1839" t="s">
        <v>61</v>
      </c>
      <c r="W1839">
        <v>5</v>
      </c>
      <c r="X1839">
        <v>9.1874999999999998E-2</v>
      </c>
      <c r="Y1839" t="s">
        <v>337</v>
      </c>
      <c r="Z1839" t="s">
        <v>609</v>
      </c>
      <c r="AA1839">
        <v>4</v>
      </c>
      <c r="AB1839" t="s">
        <v>7268</v>
      </c>
      <c r="AC1839" t="s">
        <v>7269</v>
      </c>
      <c r="AD1839" t="s">
        <v>7270</v>
      </c>
      <c r="AE1839" t="s">
        <v>7271</v>
      </c>
      <c r="AF1839" t="s">
        <v>7272</v>
      </c>
      <c r="AG1839" t="s">
        <v>1962</v>
      </c>
      <c r="AH1839" t="s">
        <v>1963</v>
      </c>
      <c r="AI1839" t="s">
        <v>1857</v>
      </c>
      <c r="AJ1839" t="s">
        <v>1857</v>
      </c>
      <c r="AK1839">
        <v>1</v>
      </c>
      <c r="AL1839" t="s">
        <v>7349</v>
      </c>
      <c r="AM1839" t="s">
        <v>7350</v>
      </c>
      <c r="AN1839" t="s">
        <v>7351</v>
      </c>
      <c r="AO1839" t="s">
        <v>7512</v>
      </c>
      <c r="AP1839">
        <v>1</v>
      </c>
      <c r="AQ1839" t="s">
        <v>7513</v>
      </c>
      <c r="AR1839" t="s">
        <v>7514</v>
      </c>
      <c r="AS1839" t="s">
        <v>7515</v>
      </c>
      <c r="AT1839" t="s">
        <v>66</v>
      </c>
    </row>
    <row r="1840" spans="1:46" x14ac:dyDescent="0.15">
      <c r="A1840" t="s">
        <v>7608</v>
      </c>
      <c r="B1840" t="s">
        <v>7262</v>
      </c>
      <c r="C1840" t="s">
        <v>7263</v>
      </c>
      <c r="D1840">
        <v>84</v>
      </c>
      <c r="E1840" t="s">
        <v>7264</v>
      </c>
      <c r="F1840" t="s">
        <v>4516</v>
      </c>
      <c r="G1840" t="s">
        <v>51</v>
      </c>
      <c r="H1840" t="s">
        <v>7265</v>
      </c>
      <c r="I1840" t="s">
        <v>53</v>
      </c>
      <c r="J1840" t="s">
        <v>54</v>
      </c>
      <c r="K1840" t="s">
        <v>1338</v>
      </c>
      <c r="L1840" t="s">
        <v>18</v>
      </c>
      <c r="M1840" t="s">
        <v>16</v>
      </c>
      <c r="N1840">
        <v>5158</v>
      </c>
      <c r="O1840">
        <v>298</v>
      </c>
      <c r="P1840">
        <v>0</v>
      </c>
      <c r="Q1840" t="s">
        <v>7609</v>
      </c>
      <c r="R1840" t="s">
        <v>7610</v>
      </c>
      <c r="S1840" t="s">
        <v>7611</v>
      </c>
      <c r="T1840" t="s">
        <v>6283</v>
      </c>
      <c r="U1840" t="s">
        <v>60</v>
      </c>
      <c r="V1840" t="s">
        <v>61</v>
      </c>
      <c r="W1840">
        <v>5</v>
      </c>
      <c r="X1840">
        <v>9.1874999999999998E-2</v>
      </c>
      <c r="Y1840" t="s">
        <v>615</v>
      </c>
      <c r="Z1840" t="s">
        <v>616</v>
      </c>
      <c r="AA1840">
        <v>4</v>
      </c>
      <c r="AB1840" t="s">
        <v>7268</v>
      </c>
      <c r="AC1840" t="s">
        <v>7269</v>
      </c>
      <c r="AD1840" t="s">
        <v>7270</v>
      </c>
      <c r="AE1840" t="s">
        <v>7271</v>
      </c>
      <c r="AF1840" t="s">
        <v>7272</v>
      </c>
      <c r="AG1840" t="s">
        <v>1962</v>
      </c>
      <c r="AH1840" t="s">
        <v>1963</v>
      </c>
      <c r="AI1840" t="s">
        <v>1857</v>
      </c>
      <c r="AJ1840" t="s">
        <v>1857</v>
      </c>
      <c r="AK1840">
        <v>1</v>
      </c>
      <c r="AL1840" t="s">
        <v>7349</v>
      </c>
      <c r="AM1840" t="s">
        <v>7350</v>
      </c>
      <c r="AN1840" t="s">
        <v>7351</v>
      </c>
      <c r="AO1840" t="s">
        <v>7512</v>
      </c>
      <c r="AP1840">
        <v>1</v>
      </c>
      <c r="AQ1840" t="s">
        <v>7513</v>
      </c>
      <c r="AR1840" t="s">
        <v>7514</v>
      </c>
      <c r="AS1840" t="s">
        <v>7515</v>
      </c>
      <c r="AT1840" t="s">
        <v>66</v>
      </c>
    </row>
    <row r="1841" spans="1:46" x14ac:dyDescent="0.15">
      <c r="A1841" t="s">
        <v>7612</v>
      </c>
      <c r="B1841" t="s">
        <v>7262</v>
      </c>
      <c r="C1841" t="s">
        <v>7263</v>
      </c>
      <c r="D1841">
        <v>85</v>
      </c>
      <c r="E1841" t="s">
        <v>7264</v>
      </c>
      <c r="F1841" t="s">
        <v>4516</v>
      </c>
      <c r="G1841" t="s">
        <v>51</v>
      </c>
      <c r="H1841" t="s">
        <v>7265</v>
      </c>
      <c r="I1841" t="s">
        <v>53</v>
      </c>
      <c r="J1841" t="s">
        <v>54</v>
      </c>
      <c r="K1841" t="s">
        <v>1338</v>
      </c>
      <c r="L1841" t="s">
        <v>18</v>
      </c>
      <c r="M1841" t="s">
        <v>16</v>
      </c>
      <c r="N1841">
        <v>5214</v>
      </c>
      <c r="O1841">
        <v>301</v>
      </c>
      <c r="P1841">
        <v>0</v>
      </c>
      <c r="Q1841" t="s">
        <v>7613</v>
      </c>
      <c r="R1841" t="s">
        <v>7614</v>
      </c>
      <c r="S1841" t="s">
        <v>7615</v>
      </c>
      <c r="T1841" t="s">
        <v>6287</v>
      </c>
      <c r="U1841" t="s">
        <v>60</v>
      </c>
      <c r="V1841" t="s">
        <v>61</v>
      </c>
      <c r="W1841">
        <v>5</v>
      </c>
      <c r="X1841">
        <v>9.1874999999999998E-2</v>
      </c>
      <c r="Y1841" t="s">
        <v>343</v>
      </c>
      <c r="Z1841" t="s">
        <v>622</v>
      </c>
      <c r="AA1841">
        <v>4</v>
      </c>
      <c r="AB1841" t="s">
        <v>7268</v>
      </c>
      <c r="AC1841" t="s">
        <v>7269</v>
      </c>
      <c r="AD1841" t="s">
        <v>7270</v>
      </c>
      <c r="AE1841" t="s">
        <v>7271</v>
      </c>
      <c r="AF1841" t="s">
        <v>7272</v>
      </c>
      <c r="AG1841" t="s">
        <v>1962</v>
      </c>
      <c r="AH1841" t="s">
        <v>1963</v>
      </c>
      <c r="AI1841" t="s">
        <v>1857</v>
      </c>
      <c r="AJ1841" t="s">
        <v>1857</v>
      </c>
      <c r="AK1841">
        <v>1</v>
      </c>
      <c r="AL1841" t="s">
        <v>7349</v>
      </c>
      <c r="AM1841" t="s">
        <v>7350</v>
      </c>
      <c r="AN1841" t="s">
        <v>7351</v>
      </c>
      <c r="AO1841" t="s">
        <v>7512</v>
      </c>
      <c r="AP1841">
        <v>1</v>
      </c>
      <c r="AQ1841" t="s">
        <v>7513</v>
      </c>
      <c r="AR1841" t="s">
        <v>7514</v>
      </c>
      <c r="AS1841" t="s">
        <v>7515</v>
      </c>
      <c r="AT1841" t="s">
        <v>66</v>
      </c>
    </row>
    <row r="1842" spans="1:46" x14ac:dyDescent="0.15">
      <c r="A1842" t="s">
        <v>7616</v>
      </c>
      <c r="B1842" t="s">
        <v>7262</v>
      </c>
      <c r="C1842" t="s">
        <v>7263</v>
      </c>
      <c r="D1842">
        <v>86</v>
      </c>
      <c r="E1842" t="s">
        <v>7264</v>
      </c>
      <c r="F1842" t="s">
        <v>4516</v>
      </c>
      <c r="G1842" t="s">
        <v>51</v>
      </c>
      <c r="H1842" t="s">
        <v>7265</v>
      </c>
      <c r="I1842" t="s">
        <v>53</v>
      </c>
      <c r="J1842" t="s">
        <v>54</v>
      </c>
      <c r="K1842" t="s">
        <v>1338</v>
      </c>
      <c r="L1842" t="s">
        <v>18</v>
      </c>
      <c r="M1842" t="s">
        <v>16</v>
      </c>
      <c r="N1842">
        <v>5270</v>
      </c>
      <c r="O1842">
        <v>305</v>
      </c>
      <c r="P1842">
        <v>0</v>
      </c>
      <c r="Q1842" t="s">
        <v>7617</v>
      </c>
      <c r="R1842" t="s">
        <v>7618</v>
      </c>
      <c r="S1842" t="s">
        <v>7619</v>
      </c>
      <c r="T1842" t="s">
        <v>6291</v>
      </c>
      <c r="U1842" t="s">
        <v>60</v>
      </c>
      <c r="V1842" t="s">
        <v>61</v>
      </c>
      <c r="W1842">
        <v>5</v>
      </c>
      <c r="X1842">
        <v>9.1874999999999998E-2</v>
      </c>
      <c r="Y1842" t="s">
        <v>628</v>
      </c>
      <c r="Z1842" t="s">
        <v>629</v>
      </c>
      <c r="AA1842">
        <v>4</v>
      </c>
      <c r="AB1842" t="s">
        <v>7268</v>
      </c>
      <c r="AC1842" t="s">
        <v>7269</v>
      </c>
      <c r="AD1842" t="s">
        <v>7270</v>
      </c>
      <c r="AE1842" t="s">
        <v>7271</v>
      </c>
      <c r="AF1842" t="s">
        <v>7272</v>
      </c>
      <c r="AG1842" t="s">
        <v>1962</v>
      </c>
      <c r="AH1842" t="s">
        <v>1963</v>
      </c>
      <c r="AI1842" t="s">
        <v>1857</v>
      </c>
      <c r="AJ1842" t="s">
        <v>1857</v>
      </c>
      <c r="AK1842">
        <v>1</v>
      </c>
      <c r="AL1842" t="s">
        <v>7349</v>
      </c>
      <c r="AM1842" t="s">
        <v>7350</v>
      </c>
      <c r="AN1842" t="s">
        <v>7351</v>
      </c>
      <c r="AO1842" t="s">
        <v>7512</v>
      </c>
      <c r="AP1842">
        <v>1</v>
      </c>
      <c r="AQ1842" t="s">
        <v>7513</v>
      </c>
      <c r="AR1842" t="s">
        <v>7514</v>
      </c>
      <c r="AS1842" t="s">
        <v>7515</v>
      </c>
      <c r="AT1842" t="s">
        <v>66</v>
      </c>
    </row>
    <row r="1843" spans="1:46" x14ac:dyDescent="0.15">
      <c r="A1843" t="s">
        <v>7620</v>
      </c>
      <c r="B1843" t="s">
        <v>7262</v>
      </c>
      <c r="C1843" t="s">
        <v>7263</v>
      </c>
      <c r="D1843">
        <v>87</v>
      </c>
      <c r="E1843" t="s">
        <v>7264</v>
      </c>
      <c r="F1843" t="s">
        <v>4516</v>
      </c>
      <c r="G1843" t="s">
        <v>51</v>
      </c>
      <c r="H1843" t="s">
        <v>7265</v>
      </c>
      <c r="I1843" t="s">
        <v>53</v>
      </c>
      <c r="J1843" t="s">
        <v>54</v>
      </c>
      <c r="K1843" t="s">
        <v>1338</v>
      </c>
      <c r="L1843" t="s">
        <v>18</v>
      </c>
      <c r="M1843" t="s">
        <v>16</v>
      </c>
      <c r="N1843">
        <v>5327</v>
      </c>
      <c r="O1843">
        <v>308</v>
      </c>
      <c r="P1843">
        <v>0</v>
      </c>
      <c r="Q1843" t="s">
        <v>7621</v>
      </c>
      <c r="R1843" t="s">
        <v>7622</v>
      </c>
      <c r="S1843" t="s">
        <v>7623</v>
      </c>
      <c r="T1843" t="s">
        <v>6295</v>
      </c>
      <c r="U1843" t="s">
        <v>60</v>
      </c>
      <c r="V1843" t="s">
        <v>61</v>
      </c>
      <c r="W1843">
        <v>5</v>
      </c>
      <c r="X1843">
        <v>9.1874999999999998E-2</v>
      </c>
      <c r="Y1843" t="s">
        <v>350</v>
      </c>
      <c r="Z1843" t="s">
        <v>635</v>
      </c>
      <c r="AA1843">
        <v>4</v>
      </c>
      <c r="AB1843" t="s">
        <v>7268</v>
      </c>
      <c r="AC1843" t="s">
        <v>7269</v>
      </c>
      <c r="AD1843" t="s">
        <v>7270</v>
      </c>
      <c r="AE1843" t="s">
        <v>7271</v>
      </c>
      <c r="AF1843" t="s">
        <v>7272</v>
      </c>
      <c r="AG1843" t="s">
        <v>1962</v>
      </c>
      <c r="AH1843" t="s">
        <v>1963</v>
      </c>
      <c r="AI1843" t="s">
        <v>1857</v>
      </c>
      <c r="AJ1843" t="s">
        <v>1857</v>
      </c>
      <c r="AK1843">
        <v>1</v>
      </c>
      <c r="AL1843" t="s">
        <v>7349</v>
      </c>
      <c r="AM1843" t="s">
        <v>7350</v>
      </c>
      <c r="AN1843" t="s">
        <v>7351</v>
      </c>
      <c r="AO1843" t="s">
        <v>7512</v>
      </c>
      <c r="AP1843">
        <v>1</v>
      </c>
      <c r="AQ1843" t="s">
        <v>7513</v>
      </c>
      <c r="AR1843" t="s">
        <v>7514</v>
      </c>
      <c r="AS1843" t="s">
        <v>7515</v>
      </c>
      <c r="AT1843" t="s">
        <v>66</v>
      </c>
    </row>
    <row r="1844" spans="1:46" x14ac:dyDescent="0.15">
      <c r="A1844" t="s">
        <v>7624</v>
      </c>
      <c r="B1844" t="s">
        <v>7262</v>
      </c>
      <c r="C1844" t="s">
        <v>7263</v>
      </c>
      <c r="D1844">
        <v>88</v>
      </c>
      <c r="E1844" t="s">
        <v>7264</v>
      </c>
      <c r="F1844" t="s">
        <v>4516</v>
      </c>
      <c r="G1844" t="s">
        <v>51</v>
      </c>
      <c r="H1844" t="s">
        <v>7265</v>
      </c>
      <c r="I1844" t="s">
        <v>53</v>
      </c>
      <c r="J1844" t="s">
        <v>54</v>
      </c>
      <c r="K1844" t="s">
        <v>1338</v>
      </c>
      <c r="L1844" t="s">
        <v>18</v>
      </c>
      <c r="M1844" t="s">
        <v>16</v>
      </c>
      <c r="N1844">
        <v>5383</v>
      </c>
      <c r="O1844">
        <v>311</v>
      </c>
      <c r="P1844">
        <v>0</v>
      </c>
      <c r="Q1844" t="s">
        <v>7625</v>
      </c>
      <c r="R1844" t="s">
        <v>7626</v>
      </c>
      <c r="S1844" t="s">
        <v>7627</v>
      </c>
      <c r="T1844" t="s">
        <v>6299</v>
      </c>
      <c r="U1844" t="s">
        <v>60</v>
      </c>
      <c r="V1844" t="s">
        <v>61</v>
      </c>
      <c r="W1844">
        <v>5</v>
      </c>
      <c r="X1844">
        <v>9.1874999999999998E-2</v>
      </c>
      <c r="Y1844" t="s">
        <v>641</v>
      </c>
      <c r="Z1844" t="s">
        <v>642</v>
      </c>
      <c r="AA1844">
        <v>4</v>
      </c>
      <c r="AB1844" t="s">
        <v>7268</v>
      </c>
      <c r="AC1844" t="s">
        <v>7269</v>
      </c>
      <c r="AD1844" t="s">
        <v>7270</v>
      </c>
      <c r="AE1844" t="s">
        <v>7271</v>
      </c>
      <c r="AF1844" t="s">
        <v>7272</v>
      </c>
      <c r="AG1844" t="s">
        <v>1962</v>
      </c>
      <c r="AH1844" t="s">
        <v>1963</v>
      </c>
      <c r="AI1844" t="s">
        <v>1857</v>
      </c>
      <c r="AJ1844" t="s">
        <v>1857</v>
      </c>
      <c r="AK1844">
        <v>1</v>
      </c>
      <c r="AL1844" t="s">
        <v>7349</v>
      </c>
      <c r="AM1844" t="s">
        <v>7350</v>
      </c>
      <c r="AN1844" t="s">
        <v>7351</v>
      </c>
      <c r="AO1844" t="s">
        <v>7512</v>
      </c>
      <c r="AP1844">
        <v>1</v>
      </c>
      <c r="AQ1844" t="s">
        <v>7513</v>
      </c>
      <c r="AR1844" t="s">
        <v>7514</v>
      </c>
      <c r="AS1844" t="s">
        <v>7515</v>
      </c>
      <c r="AT1844" t="s">
        <v>66</v>
      </c>
    </row>
    <row r="1845" spans="1:46" x14ac:dyDescent="0.15">
      <c r="A1845" t="s">
        <v>7628</v>
      </c>
      <c r="B1845" t="s">
        <v>7262</v>
      </c>
      <c r="C1845" t="s">
        <v>7263</v>
      </c>
      <c r="D1845">
        <v>89</v>
      </c>
      <c r="E1845" t="s">
        <v>7264</v>
      </c>
      <c r="F1845" t="s">
        <v>4516</v>
      </c>
      <c r="G1845" t="s">
        <v>51</v>
      </c>
      <c r="H1845" t="s">
        <v>7265</v>
      </c>
      <c r="I1845" t="s">
        <v>53</v>
      </c>
      <c r="J1845" t="s">
        <v>54</v>
      </c>
      <c r="K1845" t="s">
        <v>1338</v>
      </c>
      <c r="L1845" t="s">
        <v>18</v>
      </c>
      <c r="M1845" t="s">
        <v>16</v>
      </c>
      <c r="N1845">
        <v>5439</v>
      </c>
      <c r="O1845">
        <v>314</v>
      </c>
      <c r="P1845">
        <v>0</v>
      </c>
      <c r="Q1845" t="s">
        <v>7629</v>
      </c>
      <c r="R1845" t="s">
        <v>7630</v>
      </c>
      <c r="S1845" t="s">
        <v>7631</v>
      </c>
      <c r="T1845" t="s">
        <v>6303</v>
      </c>
      <c r="U1845" t="s">
        <v>60</v>
      </c>
      <c r="V1845" t="s">
        <v>61</v>
      </c>
      <c r="W1845">
        <v>5</v>
      </c>
      <c r="X1845">
        <v>9.1874999999999998E-2</v>
      </c>
      <c r="Y1845" t="s">
        <v>356</v>
      </c>
      <c r="Z1845" t="s">
        <v>648</v>
      </c>
      <c r="AA1845">
        <v>4</v>
      </c>
      <c r="AB1845" t="s">
        <v>7268</v>
      </c>
      <c r="AC1845" t="s">
        <v>7269</v>
      </c>
      <c r="AD1845" t="s">
        <v>7270</v>
      </c>
      <c r="AE1845" t="s">
        <v>7271</v>
      </c>
      <c r="AF1845" t="s">
        <v>7272</v>
      </c>
      <c r="AG1845" t="s">
        <v>1962</v>
      </c>
      <c r="AH1845" t="s">
        <v>1963</v>
      </c>
      <c r="AI1845" t="s">
        <v>1857</v>
      </c>
      <c r="AJ1845" t="s">
        <v>1857</v>
      </c>
      <c r="AK1845">
        <v>1</v>
      </c>
      <c r="AL1845" t="s">
        <v>7349</v>
      </c>
      <c r="AM1845" t="s">
        <v>7350</v>
      </c>
      <c r="AN1845" t="s">
        <v>7351</v>
      </c>
      <c r="AO1845" t="s">
        <v>7512</v>
      </c>
      <c r="AP1845">
        <v>1</v>
      </c>
      <c r="AQ1845" t="s">
        <v>7513</v>
      </c>
      <c r="AR1845" t="s">
        <v>7514</v>
      </c>
      <c r="AS1845" t="s">
        <v>7515</v>
      </c>
      <c r="AT1845" t="s">
        <v>66</v>
      </c>
    </row>
    <row r="1846" spans="1:46" x14ac:dyDescent="0.15">
      <c r="A1846" t="s">
        <v>7632</v>
      </c>
      <c r="B1846" t="s">
        <v>7262</v>
      </c>
      <c r="C1846" t="s">
        <v>7263</v>
      </c>
      <c r="D1846">
        <v>90</v>
      </c>
      <c r="E1846" t="s">
        <v>7264</v>
      </c>
      <c r="F1846" t="s">
        <v>4516</v>
      </c>
      <c r="G1846" t="s">
        <v>51</v>
      </c>
      <c r="H1846" t="s">
        <v>7265</v>
      </c>
      <c r="I1846" t="s">
        <v>53</v>
      </c>
      <c r="J1846" t="s">
        <v>54</v>
      </c>
      <c r="K1846" t="s">
        <v>1338</v>
      </c>
      <c r="L1846" t="s">
        <v>18</v>
      </c>
      <c r="M1846" t="s">
        <v>16</v>
      </c>
      <c r="N1846">
        <v>5495</v>
      </c>
      <c r="O1846">
        <v>318</v>
      </c>
      <c r="P1846">
        <v>0</v>
      </c>
      <c r="Q1846" t="s">
        <v>7633</v>
      </c>
      <c r="R1846" t="s">
        <v>7634</v>
      </c>
      <c r="S1846" t="s">
        <v>7635</v>
      </c>
      <c r="T1846" t="s">
        <v>6307</v>
      </c>
      <c r="U1846" t="s">
        <v>60</v>
      </c>
      <c r="V1846" t="s">
        <v>61</v>
      </c>
      <c r="W1846">
        <v>5</v>
      </c>
      <c r="X1846">
        <v>9.1874999999999998E-2</v>
      </c>
      <c r="Y1846" t="s">
        <v>654</v>
      </c>
      <c r="Z1846" t="s">
        <v>655</v>
      </c>
      <c r="AA1846">
        <v>4</v>
      </c>
      <c r="AB1846" t="s">
        <v>7268</v>
      </c>
      <c r="AC1846" t="s">
        <v>7269</v>
      </c>
      <c r="AD1846" t="s">
        <v>7270</v>
      </c>
      <c r="AE1846" t="s">
        <v>7271</v>
      </c>
      <c r="AF1846" t="s">
        <v>7272</v>
      </c>
      <c r="AG1846" t="s">
        <v>1962</v>
      </c>
      <c r="AH1846" t="s">
        <v>1963</v>
      </c>
      <c r="AI1846" t="s">
        <v>1857</v>
      </c>
      <c r="AJ1846" t="s">
        <v>1857</v>
      </c>
      <c r="AK1846">
        <v>1</v>
      </c>
      <c r="AL1846" t="s">
        <v>7349</v>
      </c>
      <c r="AM1846" t="s">
        <v>7350</v>
      </c>
      <c r="AN1846" t="s">
        <v>7351</v>
      </c>
      <c r="AO1846" t="s">
        <v>7512</v>
      </c>
      <c r="AP1846">
        <v>1</v>
      </c>
      <c r="AQ1846" t="s">
        <v>7513</v>
      </c>
      <c r="AR1846" t="s">
        <v>7514</v>
      </c>
      <c r="AS1846" t="s">
        <v>7515</v>
      </c>
      <c r="AT1846" t="s">
        <v>66</v>
      </c>
    </row>
    <row r="1847" spans="1:46" x14ac:dyDescent="0.15">
      <c r="A1847" t="s">
        <v>7636</v>
      </c>
      <c r="B1847" t="s">
        <v>7262</v>
      </c>
      <c r="C1847" t="s">
        <v>7263</v>
      </c>
      <c r="D1847">
        <v>91</v>
      </c>
      <c r="E1847" t="s">
        <v>7264</v>
      </c>
      <c r="F1847" t="s">
        <v>4516</v>
      </c>
      <c r="G1847" t="s">
        <v>51</v>
      </c>
      <c r="H1847" t="s">
        <v>7265</v>
      </c>
      <c r="I1847" t="s">
        <v>53</v>
      </c>
      <c r="J1847" t="s">
        <v>54</v>
      </c>
      <c r="K1847" t="s">
        <v>1338</v>
      </c>
      <c r="L1847" t="s">
        <v>18</v>
      </c>
      <c r="M1847" t="s">
        <v>16</v>
      </c>
      <c r="N1847">
        <v>5551</v>
      </c>
      <c r="O1847">
        <v>321</v>
      </c>
      <c r="P1847">
        <v>0</v>
      </c>
      <c r="Q1847" t="s">
        <v>7637</v>
      </c>
      <c r="R1847" t="s">
        <v>7638</v>
      </c>
      <c r="S1847" t="s">
        <v>7639</v>
      </c>
      <c r="T1847" t="s">
        <v>6311</v>
      </c>
      <c r="U1847" t="s">
        <v>60</v>
      </c>
      <c r="V1847" t="s">
        <v>61</v>
      </c>
      <c r="W1847">
        <v>5</v>
      </c>
      <c r="X1847">
        <v>9.1874999999999998E-2</v>
      </c>
      <c r="Y1847" t="s">
        <v>363</v>
      </c>
      <c r="Z1847" t="s">
        <v>661</v>
      </c>
      <c r="AA1847">
        <v>4</v>
      </c>
      <c r="AB1847" t="s">
        <v>7268</v>
      </c>
      <c r="AC1847" t="s">
        <v>7269</v>
      </c>
      <c r="AD1847" t="s">
        <v>7270</v>
      </c>
      <c r="AE1847" t="s">
        <v>7271</v>
      </c>
      <c r="AF1847" t="s">
        <v>7272</v>
      </c>
      <c r="AG1847" t="s">
        <v>1962</v>
      </c>
      <c r="AH1847" t="s">
        <v>1963</v>
      </c>
      <c r="AI1847" t="s">
        <v>1857</v>
      </c>
      <c r="AJ1847" t="s">
        <v>1857</v>
      </c>
      <c r="AK1847">
        <v>1</v>
      </c>
      <c r="AL1847" t="s">
        <v>7349</v>
      </c>
      <c r="AM1847" t="s">
        <v>7350</v>
      </c>
      <c r="AN1847" t="s">
        <v>7351</v>
      </c>
      <c r="AO1847" t="s">
        <v>7512</v>
      </c>
      <c r="AP1847">
        <v>1</v>
      </c>
      <c r="AQ1847" t="s">
        <v>7513</v>
      </c>
      <c r="AR1847" t="s">
        <v>7514</v>
      </c>
      <c r="AS1847" t="s">
        <v>7515</v>
      </c>
      <c r="AT1847" t="s">
        <v>66</v>
      </c>
    </row>
    <row r="1848" spans="1:46" x14ac:dyDescent="0.15">
      <c r="A1848" t="s">
        <v>7640</v>
      </c>
      <c r="B1848" t="s">
        <v>7262</v>
      </c>
      <c r="C1848" t="s">
        <v>7263</v>
      </c>
      <c r="D1848">
        <v>92</v>
      </c>
      <c r="E1848" t="s">
        <v>7264</v>
      </c>
      <c r="F1848" t="s">
        <v>4516</v>
      </c>
      <c r="G1848" t="s">
        <v>51</v>
      </c>
      <c r="H1848" t="s">
        <v>7265</v>
      </c>
      <c r="I1848" t="s">
        <v>53</v>
      </c>
      <c r="J1848" t="s">
        <v>54</v>
      </c>
      <c r="K1848" t="s">
        <v>1338</v>
      </c>
      <c r="L1848" t="s">
        <v>18</v>
      </c>
      <c r="M1848" t="s">
        <v>16</v>
      </c>
      <c r="N1848">
        <v>5607</v>
      </c>
      <c r="O1848">
        <v>324</v>
      </c>
      <c r="P1848">
        <v>0</v>
      </c>
      <c r="Q1848" t="s">
        <v>7641</v>
      </c>
      <c r="R1848" t="s">
        <v>7642</v>
      </c>
      <c r="S1848" t="s">
        <v>7643</v>
      </c>
      <c r="T1848" t="s">
        <v>6315</v>
      </c>
      <c r="U1848" t="s">
        <v>60</v>
      </c>
      <c r="V1848" t="s">
        <v>61</v>
      </c>
      <c r="W1848">
        <v>5</v>
      </c>
      <c r="X1848">
        <v>9.1874999999999998E-2</v>
      </c>
      <c r="Y1848" t="s">
        <v>667</v>
      </c>
      <c r="Z1848" t="s">
        <v>668</v>
      </c>
      <c r="AA1848">
        <v>4</v>
      </c>
      <c r="AB1848" t="s">
        <v>7268</v>
      </c>
      <c r="AC1848" t="s">
        <v>7269</v>
      </c>
      <c r="AD1848" t="s">
        <v>7270</v>
      </c>
      <c r="AE1848" t="s">
        <v>7271</v>
      </c>
      <c r="AF1848" t="s">
        <v>7272</v>
      </c>
      <c r="AG1848" t="s">
        <v>1962</v>
      </c>
      <c r="AH1848" t="s">
        <v>1963</v>
      </c>
      <c r="AI1848" t="s">
        <v>1857</v>
      </c>
      <c r="AJ1848" t="s">
        <v>1857</v>
      </c>
      <c r="AK1848">
        <v>1</v>
      </c>
      <c r="AL1848" t="s">
        <v>7349</v>
      </c>
      <c r="AM1848" t="s">
        <v>7350</v>
      </c>
      <c r="AN1848" t="s">
        <v>7351</v>
      </c>
      <c r="AO1848" t="s">
        <v>7512</v>
      </c>
      <c r="AP1848">
        <v>1</v>
      </c>
      <c r="AQ1848" t="s">
        <v>7513</v>
      </c>
      <c r="AR1848" t="s">
        <v>7514</v>
      </c>
      <c r="AS1848" t="s">
        <v>7515</v>
      </c>
      <c r="AT1848" t="s">
        <v>66</v>
      </c>
    </row>
    <row r="1849" spans="1:46" x14ac:dyDescent="0.15">
      <c r="A1849" t="s">
        <v>7644</v>
      </c>
      <c r="B1849" t="s">
        <v>7262</v>
      </c>
      <c r="C1849" t="s">
        <v>7263</v>
      </c>
      <c r="D1849">
        <v>93</v>
      </c>
      <c r="E1849" t="s">
        <v>7264</v>
      </c>
      <c r="F1849" t="s">
        <v>4516</v>
      </c>
      <c r="G1849" t="s">
        <v>51</v>
      </c>
      <c r="H1849" t="s">
        <v>7265</v>
      </c>
      <c r="I1849" t="s">
        <v>53</v>
      </c>
      <c r="J1849" t="s">
        <v>54</v>
      </c>
      <c r="K1849" t="s">
        <v>1338</v>
      </c>
      <c r="L1849" t="s">
        <v>18</v>
      </c>
      <c r="M1849" t="s">
        <v>16</v>
      </c>
      <c r="N1849">
        <v>5663</v>
      </c>
      <c r="O1849">
        <v>327</v>
      </c>
      <c r="P1849">
        <v>0</v>
      </c>
      <c r="Q1849" t="s">
        <v>7645</v>
      </c>
      <c r="R1849" t="s">
        <v>7646</v>
      </c>
      <c r="S1849" t="s">
        <v>7647</v>
      </c>
      <c r="T1849" t="s">
        <v>6319</v>
      </c>
      <c r="U1849" t="s">
        <v>60</v>
      </c>
      <c r="V1849" t="s">
        <v>61</v>
      </c>
      <c r="W1849">
        <v>5</v>
      </c>
      <c r="X1849">
        <v>9.1874999999999998E-2</v>
      </c>
      <c r="Y1849" t="s">
        <v>369</v>
      </c>
      <c r="Z1849" t="s">
        <v>674</v>
      </c>
      <c r="AA1849">
        <v>4</v>
      </c>
      <c r="AB1849" t="s">
        <v>7268</v>
      </c>
      <c r="AC1849" t="s">
        <v>7269</v>
      </c>
      <c r="AD1849" t="s">
        <v>7270</v>
      </c>
      <c r="AE1849" t="s">
        <v>7271</v>
      </c>
      <c r="AF1849" t="s">
        <v>7272</v>
      </c>
      <c r="AG1849" t="s">
        <v>1962</v>
      </c>
      <c r="AH1849" t="s">
        <v>1963</v>
      </c>
      <c r="AI1849" t="s">
        <v>1857</v>
      </c>
      <c r="AJ1849" t="s">
        <v>1857</v>
      </c>
      <c r="AK1849">
        <v>1</v>
      </c>
      <c r="AL1849" t="s">
        <v>7349</v>
      </c>
      <c r="AM1849" t="s">
        <v>7350</v>
      </c>
      <c r="AN1849" t="s">
        <v>7351</v>
      </c>
      <c r="AO1849" t="s">
        <v>7512</v>
      </c>
      <c r="AP1849">
        <v>1</v>
      </c>
      <c r="AQ1849" t="s">
        <v>7513</v>
      </c>
      <c r="AR1849" t="s">
        <v>7514</v>
      </c>
      <c r="AS1849" t="s">
        <v>7515</v>
      </c>
      <c r="AT1849" t="s">
        <v>66</v>
      </c>
    </row>
    <row r="1850" spans="1:46" x14ac:dyDescent="0.15">
      <c r="A1850" t="s">
        <v>7648</v>
      </c>
      <c r="B1850" t="s">
        <v>7262</v>
      </c>
      <c r="C1850" t="s">
        <v>7263</v>
      </c>
      <c r="D1850">
        <v>94</v>
      </c>
      <c r="E1850" t="s">
        <v>7264</v>
      </c>
      <c r="F1850" t="s">
        <v>4516</v>
      </c>
      <c r="G1850" t="s">
        <v>51</v>
      </c>
      <c r="H1850" t="s">
        <v>7265</v>
      </c>
      <c r="I1850" t="s">
        <v>53</v>
      </c>
      <c r="J1850" t="s">
        <v>54</v>
      </c>
      <c r="K1850" t="s">
        <v>1338</v>
      </c>
      <c r="L1850" t="s">
        <v>18</v>
      </c>
      <c r="M1850" t="s">
        <v>16</v>
      </c>
      <c r="N1850">
        <v>5719</v>
      </c>
      <c r="O1850">
        <v>331</v>
      </c>
      <c r="P1850">
        <v>0</v>
      </c>
      <c r="Q1850" t="s">
        <v>7649</v>
      </c>
      <c r="R1850" t="s">
        <v>7650</v>
      </c>
      <c r="S1850" t="s">
        <v>7651</v>
      </c>
      <c r="T1850" t="s">
        <v>6323</v>
      </c>
      <c r="U1850" t="s">
        <v>60</v>
      </c>
      <c r="V1850" t="s">
        <v>61</v>
      </c>
      <c r="W1850">
        <v>5</v>
      </c>
      <c r="X1850">
        <v>9.1874999999999998E-2</v>
      </c>
      <c r="Y1850" t="s">
        <v>680</v>
      </c>
      <c r="Z1850" t="s">
        <v>681</v>
      </c>
      <c r="AA1850">
        <v>4</v>
      </c>
      <c r="AB1850" t="s">
        <v>7268</v>
      </c>
      <c r="AC1850" t="s">
        <v>7269</v>
      </c>
      <c r="AD1850" t="s">
        <v>7270</v>
      </c>
      <c r="AE1850" t="s">
        <v>7271</v>
      </c>
      <c r="AF1850" t="s">
        <v>7272</v>
      </c>
      <c r="AG1850" t="s">
        <v>1962</v>
      </c>
      <c r="AH1850" t="s">
        <v>1963</v>
      </c>
      <c r="AI1850" t="s">
        <v>1857</v>
      </c>
      <c r="AJ1850" t="s">
        <v>1857</v>
      </c>
      <c r="AK1850">
        <v>1</v>
      </c>
      <c r="AL1850" t="s">
        <v>7349</v>
      </c>
      <c r="AM1850" t="s">
        <v>7350</v>
      </c>
      <c r="AN1850" t="s">
        <v>7351</v>
      </c>
      <c r="AO1850" t="s">
        <v>7512</v>
      </c>
      <c r="AP1850">
        <v>1</v>
      </c>
      <c r="AQ1850" t="s">
        <v>7513</v>
      </c>
      <c r="AR1850" t="s">
        <v>7514</v>
      </c>
      <c r="AS1850" t="s">
        <v>7515</v>
      </c>
      <c r="AT1850" t="s">
        <v>66</v>
      </c>
    </row>
    <row r="1851" spans="1:46" x14ac:dyDescent="0.15">
      <c r="A1851" t="s">
        <v>7652</v>
      </c>
      <c r="B1851" t="s">
        <v>7262</v>
      </c>
      <c r="C1851" t="s">
        <v>7263</v>
      </c>
      <c r="D1851">
        <v>95</v>
      </c>
      <c r="E1851" t="s">
        <v>7264</v>
      </c>
      <c r="F1851" t="s">
        <v>4516</v>
      </c>
      <c r="G1851" t="s">
        <v>51</v>
      </c>
      <c r="H1851" t="s">
        <v>7265</v>
      </c>
      <c r="I1851" t="s">
        <v>53</v>
      </c>
      <c r="J1851" t="s">
        <v>54</v>
      </c>
      <c r="K1851" t="s">
        <v>1338</v>
      </c>
      <c r="L1851" t="s">
        <v>18</v>
      </c>
      <c r="M1851" t="s">
        <v>16</v>
      </c>
      <c r="N1851">
        <v>5776</v>
      </c>
      <c r="O1851">
        <v>334</v>
      </c>
      <c r="P1851">
        <v>0</v>
      </c>
      <c r="Q1851" t="s">
        <v>7653</v>
      </c>
      <c r="R1851" t="s">
        <v>7654</v>
      </c>
      <c r="S1851" t="s">
        <v>7655</v>
      </c>
      <c r="T1851" t="s">
        <v>6327</v>
      </c>
      <c r="U1851" t="s">
        <v>60</v>
      </c>
      <c r="V1851" t="s">
        <v>61</v>
      </c>
      <c r="W1851">
        <v>5</v>
      </c>
      <c r="X1851">
        <v>9.1874999999999998E-2</v>
      </c>
      <c r="Y1851" t="s">
        <v>376</v>
      </c>
      <c r="Z1851" t="s">
        <v>687</v>
      </c>
      <c r="AA1851">
        <v>4</v>
      </c>
      <c r="AB1851" t="s">
        <v>7268</v>
      </c>
      <c r="AC1851" t="s">
        <v>7269</v>
      </c>
      <c r="AD1851" t="s">
        <v>7270</v>
      </c>
      <c r="AE1851" t="s">
        <v>7271</v>
      </c>
      <c r="AF1851" t="s">
        <v>7272</v>
      </c>
      <c r="AG1851" t="s">
        <v>1962</v>
      </c>
      <c r="AH1851" t="s">
        <v>1963</v>
      </c>
      <c r="AI1851" t="s">
        <v>1857</v>
      </c>
      <c r="AJ1851" t="s">
        <v>1857</v>
      </c>
      <c r="AK1851">
        <v>1</v>
      </c>
      <c r="AL1851" t="s">
        <v>7349</v>
      </c>
      <c r="AM1851" t="s">
        <v>7350</v>
      </c>
      <c r="AN1851" t="s">
        <v>7351</v>
      </c>
      <c r="AO1851" t="s">
        <v>7512</v>
      </c>
      <c r="AP1851">
        <v>1</v>
      </c>
      <c r="AQ1851" t="s">
        <v>7513</v>
      </c>
      <c r="AR1851" t="s">
        <v>7514</v>
      </c>
      <c r="AS1851" t="s">
        <v>7515</v>
      </c>
      <c r="AT1851" t="s">
        <v>66</v>
      </c>
    </row>
    <row r="1852" spans="1:46" x14ac:dyDescent="0.15">
      <c r="A1852" t="s">
        <v>7656</v>
      </c>
      <c r="B1852" t="s">
        <v>7262</v>
      </c>
      <c r="C1852" t="s">
        <v>7263</v>
      </c>
      <c r="D1852">
        <v>96</v>
      </c>
      <c r="E1852" t="s">
        <v>7264</v>
      </c>
      <c r="F1852" t="s">
        <v>4516</v>
      </c>
      <c r="G1852" t="s">
        <v>51</v>
      </c>
      <c r="H1852" t="s">
        <v>7265</v>
      </c>
      <c r="I1852" t="s">
        <v>53</v>
      </c>
      <c r="J1852" t="s">
        <v>54</v>
      </c>
      <c r="K1852" t="s">
        <v>1338</v>
      </c>
      <c r="L1852" t="s">
        <v>18</v>
      </c>
      <c r="M1852" t="s">
        <v>16</v>
      </c>
      <c r="N1852">
        <v>5832</v>
      </c>
      <c r="O1852">
        <v>337</v>
      </c>
      <c r="P1852">
        <v>0</v>
      </c>
      <c r="Q1852" t="s">
        <v>7657</v>
      </c>
      <c r="R1852" t="s">
        <v>7658</v>
      </c>
      <c r="S1852" t="s">
        <v>7659</v>
      </c>
      <c r="T1852" t="s">
        <v>6331</v>
      </c>
      <c r="U1852" t="s">
        <v>60</v>
      </c>
      <c r="V1852" t="s">
        <v>61</v>
      </c>
      <c r="W1852">
        <v>5</v>
      </c>
      <c r="X1852">
        <v>9.1874999999999998E-2</v>
      </c>
      <c r="Y1852" t="s">
        <v>693</v>
      </c>
      <c r="Z1852" t="s">
        <v>694</v>
      </c>
      <c r="AA1852">
        <v>4</v>
      </c>
      <c r="AB1852" t="s">
        <v>7268</v>
      </c>
      <c r="AC1852" t="s">
        <v>7269</v>
      </c>
      <c r="AD1852" t="s">
        <v>7270</v>
      </c>
      <c r="AE1852" t="s">
        <v>7271</v>
      </c>
      <c r="AF1852" t="s">
        <v>7272</v>
      </c>
      <c r="AG1852" t="s">
        <v>1962</v>
      </c>
      <c r="AH1852" t="s">
        <v>1963</v>
      </c>
      <c r="AI1852" t="s">
        <v>1857</v>
      </c>
      <c r="AJ1852" t="s">
        <v>1857</v>
      </c>
      <c r="AK1852">
        <v>1</v>
      </c>
      <c r="AL1852" t="s">
        <v>7349</v>
      </c>
      <c r="AM1852" t="s">
        <v>7350</v>
      </c>
      <c r="AN1852" t="s">
        <v>7351</v>
      </c>
      <c r="AO1852" t="s">
        <v>7512</v>
      </c>
      <c r="AP1852">
        <v>1</v>
      </c>
      <c r="AQ1852" t="s">
        <v>7513</v>
      </c>
      <c r="AR1852" t="s">
        <v>7514</v>
      </c>
      <c r="AS1852" t="s">
        <v>7515</v>
      </c>
      <c r="AT1852" t="s">
        <v>66</v>
      </c>
    </row>
    <row r="1853" spans="1:46" x14ac:dyDescent="0.15">
      <c r="A1853" t="s">
        <v>7660</v>
      </c>
      <c r="B1853" t="s">
        <v>7262</v>
      </c>
      <c r="C1853" t="s">
        <v>7263</v>
      </c>
      <c r="D1853">
        <v>97</v>
      </c>
      <c r="E1853" t="s">
        <v>7264</v>
      </c>
      <c r="F1853" t="s">
        <v>4516</v>
      </c>
      <c r="G1853" t="s">
        <v>51</v>
      </c>
      <c r="H1853" t="s">
        <v>7265</v>
      </c>
      <c r="I1853" t="s">
        <v>53</v>
      </c>
      <c r="J1853" t="s">
        <v>54</v>
      </c>
      <c r="K1853" t="s">
        <v>1338</v>
      </c>
      <c r="L1853" t="s">
        <v>18</v>
      </c>
      <c r="M1853" t="s">
        <v>16</v>
      </c>
      <c r="N1853">
        <v>5888</v>
      </c>
      <c r="O1853">
        <v>340</v>
      </c>
      <c r="P1853">
        <v>0</v>
      </c>
      <c r="Q1853" t="s">
        <v>7661</v>
      </c>
      <c r="R1853" t="s">
        <v>7662</v>
      </c>
      <c r="S1853" t="s">
        <v>7663</v>
      </c>
      <c r="T1853" t="s">
        <v>6335</v>
      </c>
      <c r="U1853" t="s">
        <v>60</v>
      </c>
      <c r="V1853" t="s">
        <v>61</v>
      </c>
      <c r="W1853">
        <v>5</v>
      </c>
      <c r="X1853">
        <v>9.1874999999999998E-2</v>
      </c>
      <c r="Y1853" t="s">
        <v>382</v>
      </c>
      <c r="Z1853" t="s">
        <v>700</v>
      </c>
      <c r="AA1853">
        <v>4</v>
      </c>
      <c r="AB1853" t="s">
        <v>7268</v>
      </c>
      <c r="AC1853" t="s">
        <v>7269</v>
      </c>
      <c r="AD1853" t="s">
        <v>7270</v>
      </c>
      <c r="AE1853" t="s">
        <v>7271</v>
      </c>
      <c r="AF1853" t="s">
        <v>7272</v>
      </c>
      <c r="AG1853" t="s">
        <v>1962</v>
      </c>
      <c r="AH1853" t="s">
        <v>1963</v>
      </c>
      <c r="AI1853" t="s">
        <v>1857</v>
      </c>
      <c r="AJ1853" t="s">
        <v>1857</v>
      </c>
      <c r="AK1853">
        <v>1</v>
      </c>
      <c r="AL1853" t="s">
        <v>7349</v>
      </c>
      <c r="AM1853" t="s">
        <v>7350</v>
      </c>
      <c r="AN1853" t="s">
        <v>7351</v>
      </c>
      <c r="AO1853" t="s">
        <v>7512</v>
      </c>
      <c r="AP1853">
        <v>1</v>
      </c>
      <c r="AQ1853" t="s">
        <v>7513</v>
      </c>
      <c r="AR1853" t="s">
        <v>7514</v>
      </c>
      <c r="AS1853" t="s">
        <v>7515</v>
      </c>
      <c r="AT1853" t="s">
        <v>66</v>
      </c>
    </row>
    <row r="1854" spans="1:46" x14ac:dyDescent="0.15">
      <c r="A1854" t="s">
        <v>7664</v>
      </c>
      <c r="B1854" t="s">
        <v>7262</v>
      </c>
      <c r="C1854" t="s">
        <v>7263</v>
      </c>
      <c r="D1854">
        <v>98</v>
      </c>
      <c r="E1854" t="s">
        <v>7264</v>
      </c>
      <c r="F1854" t="s">
        <v>4516</v>
      </c>
      <c r="G1854" t="s">
        <v>51</v>
      </c>
      <c r="H1854" t="s">
        <v>7265</v>
      </c>
      <c r="I1854" t="s">
        <v>53</v>
      </c>
      <c r="J1854" t="s">
        <v>54</v>
      </c>
      <c r="K1854" t="s">
        <v>1338</v>
      </c>
      <c r="L1854" t="s">
        <v>18</v>
      </c>
      <c r="M1854" t="s">
        <v>16</v>
      </c>
      <c r="N1854">
        <v>5944</v>
      </c>
      <c r="O1854">
        <v>343</v>
      </c>
      <c r="P1854">
        <v>0</v>
      </c>
      <c r="Q1854" t="s">
        <v>7665</v>
      </c>
      <c r="R1854" t="s">
        <v>7666</v>
      </c>
      <c r="S1854" t="s">
        <v>7667</v>
      </c>
      <c r="T1854" t="s">
        <v>6339</v>
      </c>
      <c r="U1854" t="s">
        <v>60</v>
      </c>
      <c r="V1854" t="s">
        <v>61</v>
      </c>
      <c r="W1854">
        <v>5</v>
      </c>
      <c r="X1854">
        <v>9.1874999999999998E-2</v>
      </c>
      <c r="Y1854" t="s">
        <v>706</v>
      </c>
      <c r="Z1854" t="s">
        <v>707</v>
      </c>
      <c r="AA1854">
        <v>4</v>
      </c>
      <c r="AB1854" t="s">
        <v>7268</v>
      </c>
      <c r="AC1854" t="s">
        <v>7269</v>
      </c>
      <c r="AD1854" t="s">
        <v>7270</v>
      </c>
      <c r="AE1854" t="s">
        <v>7271</v>
      </c>
      <c r="AF1854" t="s">
        <v>7272</v>
      </c>
      <c r="AG1854" t="s">
        <v>1962</v>
      </c>
      <c r="AH1854" t="s">
        <v>1963</v>
      </c>
      <c r="AI1854" t="s">
        <v>1857</v>
      </c>
      <c r="AJ1854" t="s">
        <v>1857</v>
      </c>
      <c r="AK1854">
        <v>1</v>
      </c>
      <c r="AL1854" t="s">
        <v>7349</v>
      </c>
      <c r="AM1854" t="s">
        <v>7350</v>
      </c>
      <c r="AN1854" t="s">
        <v>7351</v>
      </c>
      <c r="AO1854" t="s">
        <v>7512</v>
      </c>
      <c r="AP1854">
        <v>1</v>
      </c>
      <c r="AQ1854" t="s">
        <v>7513</v>
      </c>
      <c r="AR1854" t="s">
        <v>7514</v>
      </c>
      <c r="AS1854" t="s">
        <v>7515</v>
      </c>
      <c r="AT1854" t="s">
        <v>66</v>
      </c>
    </row>
    <row r="1855" spans="1:46" x14ac:dyDescent="0.15">
      <c r="A1855" t="s">
        <v>7668</v>
      </c>
      <c r="B1855" t="s">
        <v>7262</v>
      </c>
      <c r="C1855" t="s">
        <v>7263</v>
      </c>
      <c r="D1855">
        <v>99</v>
      </c>
      <c r="E1855" t="s">
        <v>7264</v>
      </c>
      <c r="F1855" t="s">
        <v>4516</v>
      </c>
      <c r="G1855" t="s">
        <v>51</v>
      </c>
      <c r="H1855" t="s">
        <v>7265</v>
      </c>
      <c r="I1855" t="s">
        <v>53</v>
      </c>
      <c r="J1855" t="s">
        <v>54</v>
      </c>
      <c r="K1855" t="s">
        <v>1338</v>
      </c>
      <c r="L1855" t="s">
        <v>18</v>
      </c>
      <c r="M1855" t="s">
        <v>16</v>
      </c>
      <c r="N1855">
        <v>6000</v>
      </c>
      <c r="O1855">
        <v>347</v>
      </c>
      <c r="P1855">
        <v>0</v>
      </c>
      <c r="Q1855" t="s">
        <v>7669</v>
      </c>
      <c r="R1855" t="s">
        <v>3587</v>
      </c>
      <c r="S1855" t="s">
        <v>7670</v>
      </c>
      <c r="T1855" t="s">
        <v>6343</v>
      </c>
      <c r="U1855" t="s">
        <v>60</v>
      </c>
      <c r="V1855" t="s">
        <v>61</v>
      </c>
      <c r="W1855">
        <v>5</v>
      </c>
      <c r="X1855">
        <v>9.1874999999999998E-2</v>
      </c>
      <c r="Y1855" t="s">
        <v>389</v>
      </c>
      <c r="Z1855" t="s">
        <v>713</v>
      </c>
      <c r="AA1855">
        <v>4</v>
      </c>
      <c r="AB1855" t="s">
        <v>7268</v>
      </c>
      <c r="AC1855" t="s">
        <v>7269</v>
      </c>
      <c r="AD1855" t="s">
        <v>7270</v>
      </c>
      <c r="AE1855" t="s">
        <v>7271</v>
      </c>
      <c r="AF1855" t="s">
        <v>7272</v>
      </c>
      <c r="AG1855" t="s">
        <v>1962</v>
      </c>
      <c r="AH1855" t="s">
        <v>1963</v>
      </c>
      <c r="AI1855" t="s">
        <v>1857</v>
      </c>
      <c r="AJ1855" t="s">
        <v>1857</v>
      </c>
      <c r="AK1855">
        <v>1</v>
      </c>
      <c r="AL1855" t="s">
        <v>7349</v>
      </c>
      <c r="AM1855" t="s">
        <v>7350</v>
      </c>
      <c r="AN1855" t="s">
        <v>7351</v>
      </c>
      <c r="AO1855" t="s">
        <v>7512</v>
      </c>
      <c r="AP1855">
        <v>1</v>
      </c>
      <c r="AQ1855" t="s">
        <v>7513</v>
      </c>
      <c r="AR1855" t="s">
        <v>7514</v>
      </c>
      <c r="AS1855" t="s">
        <v>7515</v>
      </c>
      <c r="AT1855" t="s">
        <v>66</v>
      </c>
    </row>
    <row r="1856" spans="1:46" x14ac:dyDescent="0.15">
      <c r="A1856" t="s">
        <v>7671</v>
      </c>
      <c r="B1856" t="s">
        <v>7672</v>
      </c>
      <c r="C1856" t="s">
        <v>7673</v>
      </c>
      <c r="D1856">
        <v>1</v>
      </c>
      <c r="E1856" t="s">
        <v>7674</v>
      </c>
      <c r="F1856" t="s">
        <v>4516</v>
      </c>
      <c r="G1856" t="s">
        <v>51</v>
      </c>
      <c r="H1856" t="s">
        <v>7675</v>
      </c>
      <c r="I1856" t="s">
        <v>1553</v>
      </c>
      <c r="J1856" t="s">
        <v>721</v>
      </c>
      <c r="K1856" t="s">
        <v>55</v>
      </c>
      <c r="L1856" t="s">
        <v>16</v>
      </c>
      <c r="M1856" t="s">
        <v>19</v>
      </c>
      <c r="N1856">
        <v>500</v>
      </c>
      <c r="O1856">
        <v>30</v>
      </c>
      <c r="P1856">
        <v>0</v>
      </c>
      <c r="Q1856" t="s">
        <v>7676</v>
      </c>
      <c r="R1856" t="s">
        <v>58</v>
      </c>
      <c r="S1856" t="s">
        <v>3088</v>
      </c>
      <c r="T1856" t="s">
        <v>7677</v>
      </c>
      <c r="U1856" t="s">
        <v>60</v>
      </c>
      <c r="V1856" t="s">
        <v>61</v>
      </c>
      <c r="W1856">
        <v>3</v>
      </c>
      <c r="X1856">
        <v>0.109375</v>
      </c>
      <c r="Y1856" t="s">
        <v>62</v>
      </c>
      <c r="Z1856" t="s">
        <v>62</v>
      </c>
      <c r="AA1856">
        <v>0</v>
      </c>
      <c r="AB1856" t="s">
        <v>7678</v>
      </c>
      <c r="AC1856" t="s">
        <v>7679</v>
      </c>
      <c r="AD1856" t="s">
        <v>7680</v>
      </c>
      <c r="AE1856" t="s">
        <v>7681</v>
      </c>
      <c r="AF1856" t="s">
        <v>7682</v>
      </c>
      <c r="AG1856" t="s">
        <v>66</v>
      </c>
      <c r="AH1856" t="s">
        <v>66</v>
      </c>
      <c r="AI1856" t="s">
        <v>66</v>
      </c>
      <c r="AJ1856" t="s">
        <v>66</v>
      </c>
      <c r="AK1856">
        <v>1</v>
      </c>
      <c r="AL1856" t="s">
        <v>66</v>
      </c>
      <c r="AM1856" t="s">
        <v>66</v>
      </c>
      <c r="AN1856" t="s">
        <v>66</v>
      </c>
      <c r="AO1856" t="s">
        <v>66</v>
      </c>
      <c r="AP1856">
        <v>1</v>
      </c>
      <c r="AQ1856" t="s">
        <v>66</v>
      </c>
      <c r="AR1856" t="s">
        <v>66</v>
      </c>
      <c r="AS1856" t="s">
        <v>66</v>
      </c>
      <c r="AT1856" t="s">
        <v>66</v>
      </c>
    </row>
    <row r="1857" spans="1:46" x14ac:dyDescent="0.15">
      <c r="A1857" t="s">
        <v>7683</v>
      </c>
      <c r="B1857" t="s">
        <v>7672</v>
      </c>
      <c r="C1857" t="s">
        <v>7673</v>
      </c>
      <c r="D1857">
        <v>2</v>
      </c>
      <c r="E1857" t="s">
        <v>7674</v>
      </c>
      <c r="F1857" t="s">
        <v>4516</v>
      </c>
      <c r="G1857" t="s">
        <v>51</v>
      </c>
      <c r="H1857" t="s">
        <v>7675</v>
      </c>
      <c r="I1857" t="s">
        <v>1553</v>
      </c>
      <c r="J1857" t="s">
        <v>721</v>
      </c>
      <c r="K1857" t="s">
        <v>55</v>
      </c>
      <c r="L1857" t="s">
        <v>16</v>
      </c>
      <c r="M1857" t="s">
        <v>19</v>
      </c>
      <c r="N1857">
        <v>556</v>
      </c>
      <c r="O1857">
        <v>33</v>
      </c>
      <c r="P1857">
        <v>0</v>
      </c>
      <c r="Q1857" t="s">
        <v>7684</v>
      </c>
      <c r="R1857" t="s">
        <v>70</v>
      </c>
      <c r="S1857" t="s">
        <v>7685</v>
      </c>
      <c r="T1857" t="s">
        <v>7686</v>
      </c>
      <c r="U1857" t="s">
        <v>60</v>
      </c>
      <c r="V1857" t="s">
        <v>61</v>
      </c>
      <c r="W1857">
        <v>3</v>
      </c>
      <c r="X1857">
        <v>0.109375</v>
      </c>
      <c r="Y1857" t="s">
        <v>72</v>
      </c>
      <c r="Z1857" t="s">
        <v>73</v>
      </c>
      <c r="AA1857">
        <v>0</v>
      </c>
      <c r="AB1857" t="s">
        <v>7678</v>
      </c>
      <c r="AC1857" t="s">
        <v>7679</v>
      </c>
      <c r="AD1857" t="s">
        <v>7680</v>
      </c>
      <c r="AE1857" t="s">
        <v>7681</v>
      </c>
      <c r="AF1857" t="s">
        <v>7682</v>
      </c>
      <c r="AG1857" t="s">
        <v>66</v>
      </c>
      <c r="AH1857" t="s">
        <v>66</v>
      </c>
      <c r="AI1857" t="s">
        <v>66</v>
      </c>
      <c r="AJ1857" t="s">
        <v>66</v>
      </c>
      <c r="AK1857">
        <v>1</v>
      </c>
      <c r="AL1857" t="s">
        <v>66</v>
      </c>
      <c r="AM1857" t="s">
        <v>66</v>
      </c>
      <c r="AN1857" t="s">
        <v>66</v>
      </c>
      <c r="AO1857" t="s">
        <v>66</v>
      </c>
      <c r="AP1857">
        <v>1</v>
      </c>
      <c r="AQ1857" t="s">
        <v>66</v>
      </c>
      <c r="AR1857" t="s">
        <v>66</v>
      </c>
      <c r="AS1857" t="s">
        <v>66</v>
      </c>
      <c r="AT1857" t="s">
        <v>66</v>
      </c>
    </row>
    <row r="1858" spans="1:46" x14ac:dyDescent="0.15">
      <c r="A1858" t="s">
        <v>7687</v>
      </c>
      <c r="B1858" t="s">
        <v>7672</v>
      </c>
      <c r="C1858" t="s">
        <v>7673</v>
      </c>
      <c r="D1858">
        <v>3</v>
      </c>
      <c r="E1858" t="s">
        <v>7674</v>
      </c>
      <c r="F1858" t="s">
        <v>4516</v>
      </c>
      <c r="G1858" t="s">
        <v>51</v>
      </c>
      <c r="H1858" t="s">
        <v>7675</v>
      </c>
      <c r="I1858" t="s">
        <v>1553</v>
      </c>
      <c r="J1858" t="s">
        <v>721</v>
      </c>
      <c r="K1858" t="s">
        <v>55</v>
      </c>
      <c r="L1858" t="s">
        <v>16</v>
      </c>
      <c r="M1858" t="s">
        <v>19</v>
      </c>
      <c r="N1858">
        <v>612</v>
      </c>
      <c r="O1858">
        <v>36</v>
      </c>
      <c r="P1858">
        <v>0</v>
      </c>
      <c r="Q1858" t="s">
        <v>7688</v>
      </c>
      <c r="R1858" t="s">
        <v>77</v>
      </c>
      <c r="S1858" t="s">
        <v>7689</v>
      </c>
      <c r="T1858" t="s">
        <v>7690</v>
      </c>
      <c r="U1858" t="s">
        <v>60</v>
      </c>
      <c r="V1858" t="s">
        <v>61</v>
      </c>
      <c r="W1858">
        <v>3</v>
      </c>
      <c r="X1858">
        <v>0.109375</v>
      </c>
      <c r="Y1858" t="s">
        <v>73</v>
      </c>
      <c r="Z1858" t="s">
        <v>79</v>
      </c>
      <c r="AA1858">
        <v>0</v>
      </c>
      <c r="AB1858" t="s">
        <v>7678</v>
      </c>
      <c r="AC1858" t="s">
        <v>7679</v>
      </c>
      <c r="AD1858" t="s">
        <v>7680</v>
      </c>
      <c r="AE1858" t="s">
        <v>7681</v>
      </c>
      <c r="AF1858" t="s">
        <v>7682</v>
      </c>
      <c r="AG1858" t="s">
        <v>66</v>
      </c>
      <c r="AH1858" t="s">
        <v>66</v>
      </c>
      <c r="AI1858" t="s">
        <v>66</v>
      </c>
      <c r="AJ1858" t="s">
        <v>66</v>
      </c>
      <c r="AK1858">
        <v>1</v>
      </c>
      <c r="AL1858" t="s">
        <v>66</v>
      </c>
      <c r="AM1858" t="s">
        <v>66</v>
      </c>
      <c r="AN1858" t="s">
        <v>66</v>
      </c>
      <c r="AO1858" t="s">
        <v>66</v>
      </c>
      <c r="AP1858">
        <v>1</v>
      </c>
      <c r="AQ1858" t="s">
        <v>66</v>
      </c>
      <c r="AR1858" t="s">
        <v>66</v>
      </c>
      <c r="AS1858" t="s">
        <v>66</v>
      </c>
      <c r="AT1858" t="s">
        <v>66</v>
      </c>
    </row>
    <row r="1859" spans="1:46" x14ac:dyDescent="0.15">
      <c r="A1859" t="s">
        <v>7691</v>
      </c>
      <c r="B1859" t="s">
        <v>7672</v>
      </c>
      <c r="C1859" t="s">
        <v>7673</v>
      </c>
      <c r="D1859">
        <v>4</v>
      </c>
      <c r="E1859" t="s">
        <v>7674</v>
      </c>
      <c r="F1859" t="s">
        <v>4516</v>
      </c>
      <c r="G1859" t="s">
        <v>51</v>
      </c>
      <c r="H1859" t="s">
        <v>7675</v>
      </c>
      <c r="I1859" t="s">
        <v>1553</v>
      </c>
      <c r="J1859" t="s">
        <v>721</v>
      </c>
      <c r="K1859" t="s">
        <v>55</v>
      </c>
      <c r="L1859" t="s">
        <v>16</v>
      </c>
      <c r="M1859" t="s">
        <v>19</v>
      </c>
      <c r="N1859">
        <v>668</v>
      </c>
      <c r="O1859">
        <v>39</v>
      </c>
      <c r="P1859">
        <v>0</v>
      </c>
      <c r="Q1859" t="s">
        <v>7692</v>
      </c>
      <c r="R1859" t="s">
        <v>83</v>
      </c>
      <c r="S1859" t="s">
        <v>7693</v>
      </c>
      <c r="T1859" t="s">
        <v>7694</v>
      </c>
      <c r="U1859" t="s">
        <v>60</v>
      </c>
      <c r="V1859" t="s">
        <v>61</v>
      </c>
      <c r="W1859">
        <v>3</v>
      </c>
      <c r="X1859">
        <v>0.109375</v>
      </c>
      <c r="Y1859" t="s">
        <v>85</v>
      </c>
      <c r="Z1859" t="s">
        <v>86</v>
      </c>
      <c r="AA1859">
        <v>0</v>
      </c>
      <c r="AB1859" t="s">
        <v>7678</v>
      </c>
      <c r="AC1859" t="s">
        <v>7679</v>
      </c>
      <c r="AD1859" t="s">
        <v>7680</v>
      </c>
      <c r="AE1859" t="s">
        <v>7681</v>
      </c>
      <c r="AF1859" t="s">
        <v>7682</v>
      </c>
      <c r="AG1859" t="s">
        <v>66</v>
      </c>
      <c r="AH1859" t="s">
        <v>66</v>
      </c>
      <c r="AI1859" t="s">
        <v>66</v>
      </c>
      <c r="AJ1859" t="s">
        <v>66</v>
      </c>
      <c r="AK1859">
        <v>1</v>
      </c>
      <c r="AL1859" t="s">
        <v>66</v>
      </c>
      <c r="AM1859" t="s">
        <v>66</v>
      </c>
      <c r="AN1859" t="s">
        <v>66</v>
      </c>
      <c r="AO1859" t="s">
        <v>66</v>
      </c>
      <c r="AP1859">
        <v>1</v>
      </c>
      <c r="AQ1859" t="s">
        <v>66</v>
      </c>
      <c r="AR1859" t="s">
        <v>66</v>
      </c>
      <c r="AS1859" t="s">
        <v>66</v>
      </c>
      <c r="AT1859" t="s">
        <v>66</v>
      </c>
    </row>
    <row r="1860" spans="1:46" x14ac:dyDescent="0.15">
      <c r="A1860" t="s">
        <v>7695</v>
      </c>
      <c r="B1860" t="s">
        <v>7672</v>
      </c>
      <c r="C1860" t="s">
        <v>7673</v>
      </c>
      <c r="D1860">
        <v>5</v>
      </c>
      <c r="E1860" t="s">
        <v>7674</v>
      </c>
      <c r="F1860" t="s">
        <v>4516</v>
      </c>
      <c r="G1860" t="s">
        <v>51</v>
      </c>
      <c r="H1860" t="s">
        <v>7675</v>
      </c>
      <c r="I1860" t="s">
        <v>1553</v>
      </c>
      <c r="J1860" t="s">
        <v>721</v>
      </c>
      <c r="K1860" t="s">
        <v>55</v>
      </c>
      <c r="L1860" t="s">
        <v>16</v>
      </c>
      <c r="M1860" t="s">
        <v>19</v>
      </c>
      <c r="N1860">
        <v>724</v>
      </c>
      <c r="O1860">
        <v>42</v>
      </c>
      <c r="P1860">
        <v>0</v>
      </c>
      <c r="Q1860" t="s">
        <v>7696</v>
      </c>
      <c r="R1860" t="s">
        <v>90</v>
      </c>
      <c r="S1860" t="s">
        <v>7697</v>
      </c>
      <c r="T1860" t="s">
        <v>7698</v>
      </c>
      <c r="U1860" t="s">
        <v>60</v>
      </c>
      <c r="V1860" t="s">
        <v>61</v>
      </c>
      <c r="W1860">
        <v>3</v>
      </c>
      <c r="X1860">
        <v>0.109375</v>
      </c>
      <c r="Y1860" t="s">
        <v>79</v>
      </c>
      <c r="Z1860" t="s">
        <v>92</v>
      </c>
      <c r="AA1860">
        <v>0</v>
      </c>
      <c r="AB1860" t="s">
        <v>7678</v>
      </c>
      <c r="AC1860" t="s">
        <v>7679</v>
      </c>
      <c r="AD1860" t="s">
        <v>7680</v>
      </c>
      <c r="AE1860" t="s">
        <v>7681</v>
      </c>
      <c r="AF1860" t="s">
        <v>7682</v>
      </c>
      <c r="AG1860" t="s">
        <v>66</v>
      </c>
      <c r="AH1860" t="s">
        <v>66</v>
      </c>
      <c r="AI1860" t="s">
        <v>66</v>
      </c>
      <c r="AJ1860" t="s">
        <v>66</v>
      </c>
      <c r="AK1860">
        <v>1</v>
      </c>
      <c r="AL1860" t="s">
        <v>66</v>
      </c>
      <c r="AM1860" t="s">
        <v>66</v>
      </c>
      <c r="AN1860" t="s">
        <v>66</v>
      </c>
      <c r="AO1860" t="s">
        <v>66</v>
      </c>
      <c r="AP1860">
        <v>1</v>
      </c>
      <c r="AQ1860" t="s">
        <v>66</v>
      </c>
      <c r="AR1860" t="s">
        <v>66</v>
      </c>
      <c r="AS1860" t="s">
        <v>66</v>
      </c>
      <c r="AT1860" t="s">
        <v>66</v>
      </c>
    </row>
    <row r="1861" spans="1:46" x14ac:dyDescent="0.15">
      <c r="A1861" t="s">
        <v>7699</v>
      </c>
      <c r="B1861" t="s">
        <v>7672</v>
      </c>
      <c r="C1861" t="s">
        <v>7673</v>
      </c>
      <c r="D1861">
        <v>6</v>
      </c>
      <c r="E1861" t="s">
        <v>7674</v>
      </c>
      <c r="F1861" t="s">
        <v>4516</v>
      </c>
      <c r="G1861" t="s">
        <v>51</v>
      </c>
      <c r="H1861" t="s">
        <v>7675</v>
      </c>
      <c r="I1861" t="s">
        <v>1553</v>
      </c>
      <c r="J1861" t="s">
        <v>721</v>
      </c>
      <c r="K1861" t="s">
        <v>55</v>
      </c>
      <c r="L1861" t="s">
        <v>16</v>
      </c>
      <c r="M1861" t="s">
        <v>19</v>
      </c>
      <c r="N1861">
        <v>781</v>
      </c>
      <c r="O1861">
        <v>45</v>
      </c>
      <c r="P1861">
        <v>0</v>
      </c>
      <c r="Q1861" t="s">
        <v>7700</v>
      </c>
      <c r="R1861" t="s">
        <v>96</v>
      </c>
      <c r="S1861" t="s">
        <v>7701</v>
      </c>
      <c r="T1861" t="s">
        <v>7702</v>
      </c>
      <c r="U1861" t="s">
        <v>60</v>
      </c>
      <c r="V1861" t="s">
        <v>61</v>
      </c>
      <c r="W1861">
        <v>3</v>
      </c>
      <c r="X1861">
        <v>0.109375</v>
      </c>
      <c r="Y1861" t="s">
        <v>98</v>
      </c>
      <c r="Z1861" t="s">
        <v>99</v>
      </c>
      <c r="AA1861">
        <v>0</v>
      </c>
      <c r="AB1861" t="s">
        <v>7678</v>
      </c>
      <c r="AC1861" t="s">
        <v>7679</v>
      </c>
      <c r="AD1861" t="s">
        <v>7680</v>
      </c>
      <c r="AE1861" t="s">
        <v>7681</v>
      </c>
      <c r="AF1861" t="s">
        <v>7682</v>
      </c>
      <c r="AG1861" t="s">
        <v>66</v>
      </c>
      <c r="AH1861" t="s">
        <v>66</v>
      </c>
      <c r="AI1861" t="s">
        <v>66</v>
      </c>
      <c r="AJ1861" t="s">
        <v>66</v>
      </c>
      <c r="AK1861">
        <v>1</v>
      </c>
      <c r="AL1861" t="s">
        <v>66</v>
      </c>
      <c r="AM1861" t="s">
        <v>66</v>
      </c>
      <c r="AN1861" t="s">
        <v>66</v>
      </c>
      <c r="AO1861" t="s">
        <v>66</v>
      </c>
      <c r="AP1861">
        <v>1</v>
      </c>
      <c r="AQ1861" t="s">
        <v>66</v>
      </c>
      <c r="AR1861" t="s">
        <v>66</v>
      </c>
      <c r="AS1861" t="s">
        <v>66</v>
      </c>
      <c r="AT1861" t="s">
        <v>66</v>
      </c>
    </row>
    <row r="1862" spans="1:46" x14ac:dyDescent="0.15">
      <c r="A1862" t="s">
        <v>7703</v>
      </c>
      <c r="B1862" t="s">
        <v>7672</v>
      </c>
      <c r="C1862" t="s">
        <v>7673</v>
      </c>
      <c r="D1862">
        <v>7</v>
      </c>
      <c r="E1862" t="s">
        <v>7674</v>
      </c>
      <c r="F1862" t="s">
        <v>4516</v>
      </c>
      <c r="G1862" t="s">
        <v>51</v>
      </c>
      <c r="H1862" t="s">
        <v>7675</v>
      </c>
      <c r="I1862" t="s">
        <v>1553</v>
      </c>
      <c r="J1862" t="s">
        <v>721</v>
      </c>
      <c r="K1862" t="s">
        <v>55</v>
      </c>
      <c r="L1862" t="s">
        <v>16</v>
      </c>
      <c r="M1862" t="s">
        <v>19</v>
      </c>
      <c r="N1862">
        <v>837</v>
      </c>
      <c r="O1862">
        <v>48</v>
      </c>
      <c r="P1862">
        <v>0</v>
      </c>
      <c r="Q1862" t="s">
        <v>7704</v>
      </c>
      <c r="R1862" t="s">
        <v>103</v>
      </c>
      <c r="S1862" t="s">
        <v>7705</v>
      </c>
      <c r="T1862" t="s">
        <v>7706</v>
      </c>
      <c r="U1862" t="s">
        <v>60</v>
      </c>
      <c r="V1862" t="s">
        <v>61</v>
      </c>
      <c r="W1862">
        <v>3</v>
      </c>
      <c r="X1862">
        <v>0.109375</v>
      </c>
      <c r="Y1862" t="s">
        <v>86</v>
      </c>
      <c r="Z1862" t="s">
        <v>105</v>
      </c>
      <c r="AA1862">
        <v>0</v>
      </c>
      <c r="AB1862" t="s">
        <v>7678</v>
      </c>
      <c r="AC1862" t="s">
        <v>7679</v>
      </c>
      <c r="AD1862" t="s">
        <v>7680</v>
      </c>
      <c r="AE1862" t="s">
        <v>7681</v>
      </c>
      <c r="AF1862" t="s">
        <v>7682</v>
      </c>
      <c r="AG1862" t="s">
        <v>66</v>
      </c>
      <c r="AH1862" t="s">
        <v>66</v>
      </c>
      <c r="AI1862" t="s">
        <v>66</v>
      </c>
      <c r="AJ1862" t="s">
        <v>66</v>
      </c>
      <c r="AK1862">
        <v>1</v>
      </c>
      <c r="AL1862" t="s">
        <v>66</v>
      </c>
      <c r="AM1862" t="s">
        <v>66</v>
      </c>
      <c r="AN1862" t="s">
        <v>66</v>
      </c>
      <c r="AO1862" t="s">
        <v>66</v>
      </c>
      <c r="AP1862">
        <v>1</v>
      </c>
      <c r="AQ1862" t="s">
        <v>66</v>
      </c>
      <c r="AR1862" t="s">
        <v>66</v>
      </c>
      <c r="AS1862" t="s">
        <v>66</v>
      </c>
      <c r="AT1862" t="s">
        <v>66</v>
      </c>
    </row>
    <row r="1863" spans="1:46" x14ac:dyDescent="0.15">
      <c r="A1863" t="s">
        <v>7707</v>
      </c>
      <c r="B1863" t="s">
        <v>7672</v>
      </c>
      <c r="C1863" t="s">
        <v>7673</v>
      </c>
      <c r="D1863">
        <v>8</v>
      </c>
      <c r="E1863" t="s">
        <v>7674</v>
      </c>
      <c r="F1863" t="s">
        <v>4516</v>
      </c>
      <c r="G1863" t="s">
        <v>51</v>
      </c>
      <c r="H1863" t="s">
        <v>7675</v>
      </c>
      <c r="I1863" t="s">
        <v>1553</v>
      </c>
      <c r="J1863" t="s">
        <v>721</v>
      </c>
      <c r="K1863" t="s">
        <v>55</v>
      </c>
      <c r="L1863" t="s">
        <v>16</v>
      </c>
      <c r="M1863" t="s">
        <v>19</v>
      </c>
      <c r="N1863">
        <v>893</v>
      </c>
      <c r="O1863">
        <v>51</v>
      </c>
      <c r="P1863">
        <v>0</v>
      </c>
      <c r="Q1863" t="s">
        <v>7708</v>
      </c>
      <c r="R1863" t="s">
        <v>109</v>
      </c>
      <c r="S1863" t="s">
        <v>7709</v>
      </c>
      <c r="T1863" t="s">
        <v>7710</v>
      </c>
      <c r="U1863" t="s">
        <v>60</v>
      </c>
      <c r="V1863" t="s">
        <v>61</v>
      </c>
      <c r="W1863">
        <v>3</v>
      </c>
      <c r="X1863">
        <v>0.109375</v>
      </c>
      <c r="Y1863" t="s">
        <v>111</v>
      </c>
      <c r="Z1863" t="s">
        <v>112</v>
      </c>
      <c r="AA1863">
        <v>0</v>
      </c>
      <c r="AB1863" t="s">
        <v>7678</v>
      </c>
      <c r="AC1863" t="s">
        <v>7679</v>
      </c>
      <c r="AD1863" t="s">
        <v>7680</v>
      </c>
      <c r="AE1863" t="s">
        <v>7681</v>
      </c>
      <c r="AF1863" t="s">
        <v>7682</v>
      </c>
      <c r="AG1863" t="s">
        <v>66</v>
      </c>
      <c r="AH1863" t="s">
        <v>66</v>
      </c>
      <c r="AI1863" t="s">
        <v>66</v>
      </c>
      <c r="AJ1863" t="s">
        <v>66</v>
      </c>
      <c r="AK1863">
        <v>1</v>
      </c>
      <c r="AL1863" t="s">
        <v>66</v>
      </c>
      <c r="AM1863" t="s">
        <v>66</v>
      </c>
      <c r="AN1863" t="s">
        <v>66</v>
      </c>
      <c r="AO1863" t="s">
        <v>66</v>
      </c>
      <c r="AP1863">
        <v>1</v>
      </c>
      <c r="AQ1863" t="s">
        <v>66</v>
      </c>
      <c r="AR1863" t="s">
        <v>66</v>
      </c>
      <c r="AS1863" t="s">
        <v>66</v>
      </c>
      <c r="AT1863" t="s">
        <v>66</v>
      </c>
    </row>
    <row r="1864" spans="1:46" x14ac:dyDescent="0.15">
      <c r="A1864" t="s">
        <v>7711</v>
      </c>
      <c r="B1864" t="s">
        <v>7672</v>
      </c>
      <c r="C1864" t="s">
        <v>7673</v>
      </c>
      <c r="D1864">
        <v>9</v>
      </c>
      <c r="E1864" t="s">
        <v>7674</v>
      </c>
      <c r="F1864" t="s">
        <v>4516</v>
      </c>
      <c r="G1864" t="s">
        <v>51</v>
      </c>
      <c r="H1864" t="s">
        <v>7675</v>
      </c>
      <c r="I1864" t="s">
        <v>1553</v>
      </c>
      <c r="J1864" t="s">
        <v>721</v>
      </c>
      <c r="K1864" t="s">
        <v>55</v>
      </c>
      <c r="L1864" t="s">
        <v>16</v>
      </c>
      <c r="M1864" t="s">
        <v>19</v>
      </c>
      <c r="N1864">
        <v>949</v>
      </c>
      <c r="O1864">
        <v>55</v>
      </c>
      <c r="P1864">
        <v>0</v>
      </c>
      <c r="Q1864" t="s">
        <v>7712</v>
      </c>
      <c r="R1864" t="s">
        <v>116</v>
      </c>
      <c r="S1864" t="s">
        <v>7713</v>
      </c>
      <c r="T1864" t="s">
        <v>7714</v>
      </c>
      <c r="U1864" t="s">
        <v>60</v>
      </c>
      <c r="V1864" t="s">
        <v>61</v>
      </c>
      <c r="W1864">
        <v>3</v>
      </c>
      <c r="X1864">
        <v>0.109375</v>
      </c>
      <c r="Y1864" t="s">
        <v>92</v>
      </c>
      <c r="Z1864" t="s">
        <v>118</v>
      </c>
      <c r="AA1864">
        <v>0</v>
      </c>
      <c r="AB1864" t="s">
        <v>7678</v>
      </c>
      <c r="AC1864" t="s">
        <v>7679</v>
      </c>
      <c r="AD1864" t="s">
        <v>7680</v>
      </c>
      <c r="AE1864" t="s">
        <v>7681</v>
      </c>
      <c r="AF1864" t="s">
        <v>7682</v>
      </c>
      <c r="AG1864" t="s">
        <v>66</v>
      </c>
      <c r="AH1864" t="s">
        <v>66</v>
      </c>
      <c r="AI1864" t="s">
        <v>66</v>
      </c>
      <c r="AJ1864" t="s">
        <v>66</v>
      </c>
      <c r="AK1864">
        <v>1</v>
      </c>
      <c r="AL1864" t="s">
        <v>66</v>
      </c>
      <c r="AM1864" t="s">
        <v>66</v>
      </c>
      <c r="AN1864" t="s">
        <v>66</v>
      </c>
      <c r="AO1864" t="s">
        <v>66</v>
      </c>
      <c r="AP1864">
        <v>1</v>
      </c>
      <c r="AQ1864" t="s">
        <v>66</v>
      </c>
      <c r="AR1864" t="s">
        <v>66</v>
      </c>
      <c r="AS1864" t="s">
        <v>66</v>
      </c>
      <c r="AT1864" t="s">
        <v>66</v>
      </c>
    </row>
    <row r="1865" spans="1:46" x14ac:dyDescent="0.15">
      <c r="A1865" t="s">
        <v>7715</v>
      </c>
      <c r="B1865" t="s">
        <v>7672</v>
      </c>
      <c r="C1865" t="s">
        <v>7673</v>
      </c>
      <c r="D1865">
        <v>10</v>
      </c>
      <c r="E1865" t="s">
        <v>7674</v>
      </c>
      <c r="F1865" t="s">
        <v>4516</v>
      </c>
      <c r="G1865" t="s">
        <v>51</v>
      </c>
      <c r="H1865" t="s">
        <v>7675</v>
      </c>
      <c r="I1865" t="s">
        <v>1553</v>
      </c>
      <c r="J1865" t="s">
        <v>721</v>
      </c>
      <c r="K1865" t="s">
        <v>55</v>
      </c>
      <c r="L1865" t="s">
        <v>16</v>
      </c>
      <c r="M1865" t="s">
        <v>19</v>
      </c>
      <c r="N1865">
        <v>1005</v>
      </c>
      <c r="O1865">
        <v>58</v>
      </c>
      <c r="P1865">
        <v>0</v>
      </c>
      <c r="Q1865" t="s">
        <v>7716</v>
      </c>
      <c r="R1865" t="s">
        <v>122</v>
      </c>
      <c r="S1865" t="s">
        <v>7717</v>
      </c>
      <c r="T1865" t="s">
        <v>7718</v>
      </c>
      <c r="U1865" t="s">
        <v>60</v>
      </c>
      <c r="V1865" t="s">
        <v>61</v>
      </c>
      <c r="W1865">
        <v>3</v>
      </c>
      <c r="X1865">
        <v>0.109375</v>
      </c>
      <c r="Y1865" t="s">
        <v>124</v>
      </c>
      <c r="Z1865" t="s">
        <v>125</v>
      </c>
      <c r="AA1865">
        <v>0</v>
      </c>
      <c r="AB1865" t="s">
        <v>7678</v>
      </c>
      <c r="AC1865" t="s">
        <v>7679</v>
      </c>
      <c r="AD1865" t="s">
        <v>7680</v>
      </c>
      <c r="AE1865" t="s">
        <v>7681</v>
      </c>
      <c r="AF1865" t="s">
        <v>7682</v>
      </c>
      <c r="AG1865" t="s">
        <v>66</v>
      </c>
      <c r="AH1865" t="s">
        <v>66</v>
      </c>
      <c r="AI1865" t="s">
        <v>66</v>
      </c>
      <c r="AJ1865" t="s">
        <v>66</v>
      </c>
      <c r="AK1865">
        <v>1</v>
      </c>
      <c r="AL1865" t="s">
        <v>66</v>
      </c>
      <c r="AM1865" t="s">
        <v>66</v>
      </c>
      <c r="AN1865" t="s">
        <v>66</v>
      </c>
      <c r="AO1865" t="s">
        <v>66</v>
      </c>
      <c r="AP1865">
        <v>1</v>
      </c>
      <c r="AQ1865" t="s">
        <v>66</v>
      </c>
      <c r="AR1865" t="s">
        <v>66</v>
      </c>
      <c r="AS1865" t="s">
        <v>66</v>
      </c>
      <c r="AT1865" t="s">
        <v>66</v>
      </c>
    </row>
    <row r="1866" spans="1:46" x14ac:dyDescent="0.15">
      <c r="A1866" t="s">
        <v>7719</v>
      </c>
      <c r="B1866" t="s">
        <v>7672</v>
      </c>
      <c r="C1866" t="s">
        <v>7673</v>
      </c>
      <c r="D1866">
        <v>11</v>
      </c>
      <c r="E1866" t="s">
        <v>7674</v>
      </c>
      <c r="F1866" t="s">
        <v>4516</v>
      </c>
      <c r="G1866" t="s">
        <v>51</v>
      </c>
      <c r="H1866" t="s">
        <v>7675</v>
      </c>
      <c r="I1866" t="s">
        <v>1553</v>
      </c>
      <c r="J1866" t="s">
        <v>721</v>
      </c>
      <c r="K1866" t="s">
        <v>55</v>
      </c>
      <c r="L1866" t="s">
        <v>16</v>
      </c>
      <c r="M1866" t="s">
        <v>19</v>
      </c>
      <c r="N1866">
        <v>1061</v>
      </c>
      <c r="O1866">
        <v>61</v>
      </c>
      <c r="P1866">
        <v>0</v>
      </c>
      <c r="Q1866" t="s">
        <v>7720</v>
      </c>
      <c r="R1866" t="s">
        <v>129</v>
      </c>
      <c r="S1866" t="s">
        <v>7721</v>
      </c>
      <c r="T1866" t="s">
        <v>7722</v>
      </c>
      <c r="U1866" t="s">
        <v>60</v>
      </c>
      <c r="V1866" t="s">
        <v>61</v>
      </c>
      <c r="W1866">
        <v>3</v>
      </c>
      <c r="X1866">
        <v>0.109375</v>
      </c>
      <c r="Y1866" t="s">
        <v>99</v>
      </c>
      <c r="Z1866" t="s">
        <v>131</v>
      </c>
      <c r="AA1866">
        <v>0</v>
      </c>
      <c r="AB1866" t="s">
        <v>7678</v>
      </c>
      <c r="AC1866" t="s">
        <v>7679</v>
      </c>
      <c r="AD1866" t="s">
        <v>7680</v>
      </c>
      <c r="AE1866" t="s">
        <v>7681</v>
      </c>
      <c r="AF1866" t="s">
        <v>7682</v>
      </c>
      <c r="AG1866" t="s">
        <v>66</v>
      </c>
      <c r="AH1866" t="s">
        <v>66</v>
      </c>
      <c r="AI1866" t="s">
        <v>66</v>
      </c>
      <c r="AJ1866" t="s">
        <v>66</v>
      </c>
      <c r="AK1866">
        <v>1</v>
      </c>
      <c r="AL1866" t="s">
        <v>66</v>
      </c>
      <c r="AM1866" t="s">
        <v>66</v>
      </c>
      <c r="AN1866" t="s">
        <v>66</v>
      </c>
      <c r="AO1866" t="s">
        <v>66</v>
      </c>
      <c r="AP1866">
        <v>1</v>
      </c>
      <c r="AQ1866" t="s">
        <v>66</v>
      </c>
      <c r="AR1866" t="s">
        <v>66</v>
      </c>
      <c r="AS1866" t="s">
        <v>66</v>
      </c>
      <c r="AT1866" t="s">
        <v>66</v>
      </c>
    </row>
    <row r="1867" spans="1:46" x14ac:dyDescent="0.15">
      <c r="A1867" t="s">
        <v>7723</v>
      </c>
      <c r="B1867" t="s">
        <v>7672</v>
      </c>
      <c r="C1867" t="s">
        <v>7673</v>
      </c>
      <c r="D1867">
        <v>12</v>
      </c>
      <c r="E1867" t="s">
        <v>7674</v>
      </c>
      <c r="F1867" t="s">
        <v>4516</v>
      </c>
      <c r="G1867" t="s">
        <v>51</v>
      </c>
      <c r="H1867" t="s">
        <v>7675</v>
      </c>
      <c r="I1867" t="s">
        <v>1553</v>
      </c>
      <c r="J1867" t="s">
        <v>721</v>
      </c>
      <c r="K1867" t="s">
        <v>55</v>
      </c>
      <c r="L1867" t="s">
        <v>16</v>
      </c>
      <c r="M1867" t="s">
        <v>19</v>
      </c>
      <c r="N1867">
        <v>1117</v>
      </c>
      <c r="O1867">
        <v>64</v>
      </c>
      <c r="P1867">
        <v>0</v>
      </c>
      <c r="Q1867" t="s">
        <v>7724</v>
      </c>
      <c r="R1867" t="s">
        <v>135</v>
      </c>
      <c r="S1867" t="s">
        <v>7725</v>
      </c>
      <c r="T1867" t="s">
        <v>7726</v>
      </c>
      <c r="U1867" t="s">
        <v>60</v>
      </c>
      <c r="V1867" t="s">
        <v>61</v>
      </c>
      <c r="W1867">
        <v>3</v>
      </c>
      <c r="X1867">
        <v>0.109375</v>
      </c>
      <c r="Y1867" t="s">
        <v>137</v>
      </c>
      <c r="Z1867" t="s">
        <v>138</v>
      </c>
      <c r="AA1867">
        <v>0</v>
      </c>
      <c r="AB1867" t="s">
        <v>7678</v>
      </c>
      <c r="AC1867" t="s">
        <v>7679</v>
      </c>
      <c r="AD1867" t="s">
        <v>7680</v>
      </c>
      <c r="AE1867" t="s">
        <v>7681</v>
      </c>
      <c r="AF1867" t="s">
        <v>7682</v>
      </c>
      <c r="AG1867" t="s">
        <v>66</v>
      </c>
      <c r="AH1867" t="s">
        <v>66</v>
      </c>
      <c r="AI1867" t="s">
        <v>66</v>
      </c>
      <c r="AJ1867" t="s">
        <v>66</v>
      </c>
      <c r="AK1867">
        <v>1</v>
      </c>
      <c r="AL1867" t="s">
        <v>66</v>
      </c>
      <c r="AM1867" t="s">
        <v>66</v>
      </c>
      <c r="AN1867" t="s">
        <v>66</v>
      </c>
      <c r="AO1867" t="s">
        <v>66</v>
      </c>
      <c r="AP1867">
        <v>1</v>
      </c>
      <c r="AQ1867" t="s">
        <v>66</v>
      </c>
      <c r="AR1867" t="s">
        <v>66</v>
      </c>
      <c r="AS1867" t="s">
        <v>66</v>
      </c>
      <c r="AT1867" t="s">
        <v>66</v>
      </c>
    </row>
    <row r="1868" spans="1:46" x14ac:dyDescent="0.15">
      <c r="A1868" t="s">
        <v>7727</v>
      </c>
      <c r="B1868" t="s">
        <v>7672</v>
      </c>
      <c r="C1868" t="s">
        <v>7673</v>
      </c>
      <c r="D1868">
        <v>13</v>
      </c>
      <c r="E1868" t="s">
        <v>7674</v>
      </c>
      <c r="F1868" t="s">
        <v>4516</v>
      </c>
      <c r="G1868" t="s">
        <v>51</v>
      </c>
      <c r="H1868" t="s">
        <v>7675</v>
      </c>
      <c r="I1868" t="s">
        <v>1553</v>
      </c>
      <c r="J1868" t="s">
        <v>721</v>
      </c>
      <c r="K1868" t="s">
        <v>55</v>
      </c>
      <c r="L1868" t="s">
        <v>16</v>
      </c>
      <c r="M1868" t="s">
        <v>19</v>
      </c>
      <c r="N1868">
        <v>1173</v>
      </c>
      <c r="O1868">
        <v>67</v>
      </c>
      <c r="P1868">
        <v>0</v>
      </c>
      <c r="Q1868" t="s">
        <v>7728</v>
      </c>
      <c r="R1868" t="s">
        <v>142</v>
      </c>
      <c r="S1868" t="s">
        <v>7729</v>
      </c>
      <c r="T1868" t="s">
        <v>7730</v>
      </c>
      <c r="U1868" t="s">
        <v>60</v>
      </c>
      <c r="V1868" t="s">
        <v>61</v>
      </c>
      <c r="W1868">
        <v>3</v>
      </c>
      <c r="X1868">
        <v>0.109375</v>
      </c>
      <c r="Y1868" t="s">
        <v>105</v>
      </c>
      <c r="Z1868" t="s">
        <v>144</v>
      </c>
      <c r="AA1868">
        <v>0</v>
      </c>
      <c r="AB1868" t="s">
        <v>7678</v>
      </c>
      <c r="AC1868" t="s">
        <v>7679</v>
      </c>
      <c r="AD1868" t="s">
        <v>7680</v>
      </c>
      <c r="AE1868" t="s">
        <v>7681</v>
      </c>
      <c r="AF1868" t="s">
        <v>7682</v>
      </c>
      <c r="AG1868" t="s">
        <v>66</v>
      </c>
      <c r="AH1868" t="s">
        <v>66</v>
      </c>
      <c r="AI1868" t="s">
        <v>66</v>
      </c>
      <c r="AJ1868" t="s">
        <v>66</v>
      </c>
      <c r="AK1868">
        <v>1</v>
      </c>
      <c r="AL1868" t="s">
        <v>66</v>
      </c>
      <c r="AM1868" t="s">
        <v>66</v>
      </c>
      <c r="AN1868" t="s">
        <v>66</v>
      </c>
      <c r="AO1868" t="s">
        <v>66</v>
      </c>
      <c r="AP1868">
        <v>1</v>
      </c>
      <c r="AQ1868" t="s">
        <v>66</v>
      </c>
      <c r="AR1868" t="s">
        <v>66</v>
      </c>
      <c r="AS1868" t="s">
        <v>66</v>
      </c>
      <c r="AT1868" t="s">
        <v>66</v>
      </c>
    </row>
    <row r="1869" spans="1:46" x14ac:dyDescent="0.15">
      <c r="A1869" t="s">
        <v>7731</v>
      </c>
      <c r="B1869" t="s">
        <v>7672</v>
      </c>
      <c r="C1869" t="s">
        <v>7673</v>
      </c>
      <c r="D1869">
        <v>14</v>
      </c>
      <c r="E1869" t="s">
        <v>7674</v>
      </c>
      <c r="F1869" t="s">
        <v>4516</v>
      </c>
      <c r="G1869" t="s">
        <v>51</v>
      </c>
      <c r="H1869" t="s">
        <v>7675</v>
      </c>
      <c r="I1869" t="s">
        <v>1553</v>
      </c>
      <c r="J1869" t="s">
        <v>721</v>
      </c>
      <c r="K1869" t="s">
        <v>55</v>
      </c>
      <c r="L1869" t="s">
        <v>16</v>
      </c>
      <c r="M1869" t="s">
        <v>19</v>
      </c>
      <c r="N1869">
        <v>1230</v>
      </c>
      <c r="O1869">
        <v>70</v>
      </c>
      <c r="P1869">
        <v>0</v>
      </c>
      <c r="Q1869" t="s">
        <v>7732</v>
      </c>
      <c r="R1869" t="s">
        <v>148</v>
      </c>
      <c r="S1869" t="s">
        <v>7733</v>
      </c>
      <c r="T1869" t="s">
        <v>7734</v>
      </c>
      <c r="U1869" t="s">
        <v>60</v>
      </c>
      <c r="V1869" t="s">
        <v>61</v>
      </c>
      <c r="W1869">
        <v>3</v>
      </c>
      <c r="X1869">
        <v>0.109375</v>
      </c>
      <c r="Y1869" t="s">
        <v>150</v>
      </c>
      <c r="Z1869" t="s">
        <v>151</v>
      </c>
      <c r="AA1869">
        <v>0</v>
      </c>
      <c r="AB1869" t="s">
        <v>7678</v>
      </c>
      <c r="AC1869" t="s">
        <v>7679</v>
      </c>
      <c r="AD1869" t="s">
        <v>7680</v>
      </c>
      <c r="AE1869" t="s">
        <v>7681</v>
      </c>
      <c r="AF1869" t="s">
        <v>7682</v>
      </c>
      <c r="AG1869" t="s">
        <v>66</v>
      </c>
      <c r="AH1869" t="s">
        <v>66</v>
      </c>
      <c r="AI1869" t="s">
        <v>66</v>
      </c>
      <c r="AJ1869" t="s">
        <v>66</v>
      </c>
      <c r="AK1869">
        <v>1</v>
      </c>
      <c r="AL1869" t="s">
        <v>66</v>
      </c>
      <c r="AM1869" t="s">
        <v>66</v>
      </c>
      <c r="AN1869" t="s">
        <v>66</v>
      </c>
      <c r="AO1869" t="s">
        <v>66</v>
      </c>
      <c r="AP1869">
        <v>1</v>
      </c>
      <c r="AQ1869" t="s">
        <v>66</v>
      </c>
      <c r="AR1869" t="s">
        <v>66</v>
      </c>
      <c r="AS1869" t="s">
        <v>66</v>
      </c>
      <c r="AT1869" t="s">
        <v>66</v>
      </c>
    </row>
    <row r="1870" spans="1:46" x14ac:dyDescent="0.15">
      <c r="A1870" t="s">
        <v>7735</v>
      </c>
      <c r="B1870" t="s">
        <v>7672</v>
      </c>
      <c r="C1870" t="s">
        <v>7673</v>
      </c>
      <c r="D1870">
        <v>15</v>
      </c>
      <c r="E1870" t="s">
        <v>7674</v>
      </c>
      <c r="F1870" t="s">
        <v>4516</v>
      </c>
      <c r="G1870" t="s">
        <v>51</v>
      </c>
      <c r="H1870" t="s">
        <v>7675</v>
      </c>
      <c r="I1870" t="s">
        <v>1553</v>
      </c>
      <c r="J1870" t="s">
        <v>721</v>
      </c>
      <c r="K1870" t="s">
        <v>55</v>
      </c>
      <c r="L1870" t="s">
        <v>16</v>
      </c>
      <c r="M1870" t="s">
        <v>19</v>
      </c>
      <c r="N1870">
        <v>1286</v>
      </c>
      <c r="O1870">
        <v>73</v>
      </c>
      <c r="P1870">
        <v>0</v>
      </c>
      <c r="Q1870" t="s">
        <v>7736</v>
      </c>
      <c r="R1870" t="s">
        <v>155</v>
      </c>
      <c r="S1870" t="s">
        <v>7737</v>
      </c>
      <c r="T1870" t="s">
        <v>7738</v>
      </c>
      <c r="U1870" t="s">
        <v>60</v>
      </c>
      <c r="V1870" t="s">
        <v>61</v>
      </c>
      <c r="W1870">
        <v>3</v>
      </c>
      <c r="X1870">
        <v>0.109375</v>
      </c>
      <c r="Y1870" t="s">
        <v>112</v>
      </c>
      <c r="Z1870" t="s">
        <v>157</v>
      </c>
      <c r="AA1870">
        <v>0</v>
      </c>
      <c r="AB1870" t="s">
        <v>7678</v>
      </c>
      <c r="AC1870" t="s">
        <v>7679</v>
      </c>
      <c r="AD1870" t="s">
        <v>7680</v>
      </c>
      <c r="AE1870" t="s">
        <v>7681</v>
      </c>
      <c r="AF1870" t="s">
        <v>7682</v>
      </c>
      <c r="AG1870" t="s">
        <v>66</v>
      </c>
      <c r="AH1870" t="s">
        <v>66</v>
      </c>
      <c r="AI1870" t="s">
        <v>66</v>
      </c>
      <c r="AJ1870" t="s">
        <v>66</v>
      </c>
      <c r="AK1870">
        <v>1</v>
      </c>
      <c r="AL1870" t="s">
        <v>66</v>
      </c>
      <c r="AM1870" t="s">
        <v>66</v>
      </c>
      <c r="AN1870" t="s">
        <v>66</v>
      </c>
      <c r="AO1870" t="s">
        <v>66</v>
      </c>
      <c r="AP1870">
        <v>1</v>
      </c>
      <c r="AQ1870" t="s">
        <v>66</v>
      </c>
      <c r="AR1870" t="s">
        <v>66</v>
      </c>
      <c r="AS1870" t="s">
        <v>66</v>
      </c>
      <c r="AT1870" t="s">
        <v>66</v>
      </c>
    </row>
    <row r="1871" spans="1:46" x14ac:dyDescent="0.15">
      <c r="A1871" t="s">
        <v>7739</v>
      </c>
      <c r="B1871" t="s">
        <v>7672</v>
      </c>
      <c r="C1871" t="s">
        <v>7673</v>
      </c>
      <c r="D1871">
        <v>16</v>
      </c>
      <c r="E1871" t="s">
        <v>7674</v>
      </c>
      <c r="F1871" t="s">
        <v>4516</v>
      </c>
      <c r="G1871" t="s">
        <v>51</v>
      </c>
      <c r="H1871" t="s">
        <v>7675</v>
      </c>
      <c r="I1871" t="s">
        <v>1553</v>
      </c>
      <c r="J1871" t="s">
        <v>721</v>
      </c>
      <c r="K1871" t="s">
        <v>55</v>
      </c>
      <c r="L1871" t="s">
        <v>16</v>
      </c>
      <c r="M1871" t="s">
        <v>19</v>
      </c>
      <c r="N1871">
        <v>1342</v>
      </c>
      <c r="O1871">
        <v>76</v>
      </c>
      <c r="P1871">
        <v>0</v>
      </c>
      <c r="Q1871" t="s">
        <v>7740</v>
      </c>
      <c r="R1871" t="s">
        <v>161</v>
      </c>
      <c r="S1871" t="s">
        <v>7741</v>
      </c>
      <c r="T1871" t="s">
        <v>7742</v>
      </c>
      <c r="U1871" t="s">
        <v>60</v>
      </c>
      <c r="V1871" t="s">
        <v>61</v>
      </c>
      <c r="W1871">
        <v>3</v>
      </c>
      <c r="X1871">
        <v>0.109375</v>
      </c>
      <c r="Y1871" t="s">
        <v>163</v>
      </c>
      <c r="Z1871" t="s">
        <v>164</v>
      </c>
      <c r="AA1871">
        <v>0</v>
      </c>
      <c r="AB1871" t="s">
        <v>7678</v>
      </c>
      <c r="AC1871" t="s">
        <v>7679</v>
      </c>
      <c r="AD1871" t="s">
        <v>7680</v>
      </c>
      <c r="AE1871" t="s">
        <v>7681</v>
      </c>
      <c r="AF1871" t="s">
        <v>7682</v>
      </c>
      <c r="AG1871" t="s">
        <v>66</v>
      </c>
      <c r="AH1871" t="s">
        <v>66</v>
      </c>
      <c r="AI1871" t="s">
        <v>66</v>
      </c>
      <c r="AJ1871" t="s">
        <v>66</v>
      </c>
      <c r="AK1871">
        <v>1</v>
      </c>
      <c r="AL1871" t="s">
        <v>66</v>
      </c>
      <c r="AM1871" t="s">
        <v>66</v>
      </c>
      <c r="AN1871" t="s">
        <v>66</v>
      </c>
      <c r="AO1871" t="s">
        <v>66</v>
      </c>
      <c r="AP1871">
        <v>1</v>
      </c>
      <c r="AQ1871" t="s">
        <v>66</v>
      </c>
      <c r="AR1871" t="s">
        <v>66</v>
      </c>
      <c r="AS1871" t="s">
        <v>66</v>
      </c>
      <c r="AT1871" t="s">
        <v>66</v>
      </c>
    </row>
    <row r="1872" spans="1:46" x14ac:dyDescent="0.15">
      <c r="A1872" t="s">
        <v>7743</v>
      </c>
      <c r="B1872" t="s">
        <v>7672</v>
      </c>
      <c r="C1872" t="s">
        <v>7673</v>
      </c>
      <c r="D1872">
        <v>17</v>
      </c>
      <c r="E1872" t="s">
        <v>7674</v>
      </c>
      <c r="F1872" t="s">
        <v>4516</v>
      </c>
      <c r="G1872" t="s">
        <v>51</v>
      </c>
      <c r="H1872" t="s">
        <v>7675</v>
      </c>
      <c r="I1872" t="s">
        <v>1553</v>
      </c>
      <c r="J1872" t="s">
        <v>721</v>
      </c>
      <c r="K1872" t="s">
        <v>55</v>
      </c>
      <c r="L1872" t="s">
        <v>16</v>
      </c>
      <c r="M1872" t="s">
        <v>19</v>
      </c>
      <c r="N1872">
        <v>1398</v>
      </c>
      <c r="O1872">
        <v>79</v>
      </c>
      <c r="P1872">
        <v>0</v>
      </c>
      <c r="Q1872" t="s">
        <v>7744</v>
      </c>
      <c r="R1872" t="s">
        <v>168</v>
      </c>
      <c r="S1872" t="s">
        <v>7745</v>
      </c>
      <c r="T1872" t="s">
        <v>7746</v>
      </c>
      <c r="U1872" t="s">
        <v>60</v>
      </c>
      <c r="V1872" t="s">
        <v>61</v>
      </c>
      <c r="W1872">
        <v>3</v>
      </c>
      <c r="X1872">
        <v>0.109375</v>
      </c>
      <c r="Y1872" t="s">
        <v>118</v>
      </c>
      <c r="Z1872" t="s">
        <v>170</v>
      </c>
      <c r="AA1872">
        <v>0</v>
      </c>
      <c r="AB1872" t="s">
        <v>7678</v>
      </c>
      <c r="AC1872" t="s">
        <v>7679</v>
      </c>
      <c r="AD1872" t="s">
        <v>7680</v>
      </c>
      <c r="AE1872" t="s">
        <v>7681</v>
      </c>
      <c r="AF1872" t="s">
        <v>7682</v>
      </c>
      <c r="AG1872" t="s">
        <v>66</v>
      </c>
      <c r="AH1872" t="s">
        <v>66</v>
      </c>
      <c r="AI1872" t="s">
        <v>66</v>
      </c>
      <c r="AJ1872" t="s">
        <v>66</v>
      </c>
      <c r="AK1872">
        <v>1</v>
      </c>
      <c r="AL1872" t="s">
        <v>66</v>
      </c>
      <c r="AM1872" t="s">
        <v>66</v>
      </c>
      <c r="AN1872" t="s">
        <v>66</v>
      </c>
      <c r="AO1872" t="s">
        <v>66</v>
      </c>
      <c r="AP1872">
        <v>1</v>
      </c>
      <c r="AQ1872" t="s">
        <v>66</v>
      </c>
      <c r="AR1872" t="s">
        <v>66</v>
      </c>
      <c r="AS1872" t="s">
        <v>66</v>
      </c>
      <c r="AT1872" t="s">
        <v>66</v>
      </c>
    </row>
    <row r="1873" spans="1:46" x14ac:dyDescent="0.15">
      <c r="A1873" t="s">
        <v>7747</v>
      </c>
      <c r="B1873" t="s">
        <v>7672</v>
      </c>
      <c r="C1873" t="s">
        <v>7673</v>
      </c>
      <c r="D1873">
        <v>18</v>
      </c>
      <c r="E1873" t="s">
        <v>7674</v>
      </c>
      <c r="F1873" t="s">
        <v>4516</v>
      </c>
      <c r="G1873" t="s">
        <v>51</v>
      </c>
      <c r="H1873" t="s">
        <v>7675</v>
      </c>
      <c r="I1873" t="s">
        <v>1553</v>
      </c>
      <c r="J1873" t="s">
        <v>721</v>
      </c>
      <c r="K1873" t="s">
        <v>55</v>
      </c>
      <c r="L1873" t="s">
        <v>16</v>
      </c>
      <c r="M1873" t="s">
        <v>19</v>
      </c>
      <c r="N1873">
        <v>1454</v>
      </c>
      <c r="O1873">
        <v>82</v>
      </c>
      <c r="P1873">
        <v>0</v>
      </c>
      <c r="Q1873" t="s">
        <v>7748</v>
      </c>
      <c r="R1873" t="s">
        <v>174</v>
      </c>
      <c r="S1873" t="s">
        <v>7749</v>
      </c>
      <c r="T1873" t="s">
        <v>7750</v>
      </c>
      <c r="U1873" t="s">
        <v>60</v>
      </c>
      <c r="V1873" t="s">
        <v>61</v>
      </c>
      <c r="W1873">
        <v>3</v>
      </c>
      <c r="X1873">
        <v>0.109375</v>
      </c>
      <c r="Y1873" t="s">
        <v>176</v>
      </c>
      <c r="Z1873" t="s">
        <v>177</v>
      </c>
      <c r="AA1873">
        <v>0</v>
      </c>
      <c r="AB1873" t="s">
        <v>7678</v>
      </c>
      <c r="AC1873" t="s">
        <v>7679</v>
      </c>
      <c r="AD1873" t="s">
        <v>7680</v>
      </c>
      <c r="AE1873" t="s">
        <v>7681</v>
      </c>
      <c r="AF1873" t="s">
        <v>7682</v>
      </c>
      <c r="AG1873" t="s">
        <v>66</v>
      </c>
      <c r="AH1873" t="s">
        <v>66</v>
      </c>
      <c r="AI1873" t="s">
        <v>66</v>
      </c>
      <c r="AJ1873" t="s">
        <v>66</v>
      </c>
      <c r="AK1873">
        <v>1</v>
      </c>
      <c r="AL1873" t="s">
        <v>66</v>
      </c>
      <c r="AM1873" t="s">
        <v>66</v>
      </c>
      <c r="AN1873" t="s">
        <v>66</v>
      </c>
      <c r="AO1873" t="s">
        <v>66</v>
      </c>
      <c r="AP1873">
        <v>1</v>
      </c>
      <c r="AQ1873" t="s">
        <v>66</v>
      </c>
      <c r="AR1873" t="s">
        <v>66</v>
      </c>
      <c r="AS1873" t="s">
        <v>66</v>
      </c>
      <c r="AT1873" t="s">
        <v>66</v>
      </c>
    </row>
    <row r="1874" spans="1:46" x14ac:dyDescent="0.15">
      <c r="A1874" t="s">
        <v>7751</v>
      </c>
      <c r="B1874" t="s">
        <v>7672</v>
      </c>
      <c r="C1874" t="s">
        <v>7673</v>
      </c>
      <c r="D1874">
        <v>19</v>
      </c>
      <c r="E1874" t="s">
        <v>7674</v>
      </c>
      <c r="F1874" t="s">
        <v>4516</v>
      </c>
      <c r="G1874" t="s">
        <v>51</v>
      </c>
      <c r="H1874" t="s">
        <v>7675</v>
      </c>
      <c r="I1874" t="s">
        <v>1553</v>
      </c>
      <c r="J1874" t="s">
        <v>721</v>
      </c>
      <c r="K1874" t="s">
        <v>55</v>
      </c>
      <c r="L1874" t="s">
        <v>16</v>
      </c>
      <c r="M1874" t="s">
        <v>19</v>
      </c>
      <c r="N1874">
        <v>1510</v>
      </c>
      <c r="O1874">
        <v>85</v>
      </c>
      <c r="P1874">
        <v>0</v>
      </c>
      <c r="Q1874" t="s">
        <v>7752</v>
      </c>
      <c r="R1874" t="s">
        <v>181</v>
      </c>
      <c r="S1874" t="s">
        <v>7753</v>
      </c>
      <c r="T1874" t="s">
        <v>7754</v>
      </c>
      <c r="U1874" t="s">
        <v>60</v>
      </c>
      <c r="V1874" t="s">
        <v>61</v>
      </c>
      <c r="W1874">
        <v>3</v>
      </c>
      <c r="X1874">
        <v>0.109375</v>
      </c>
      <c r="Y1874" t="s">
        <v>125</v>
      </c>
      <c r="Z1874" t="s">
        <v>183</v>
      </c>
      <c r="AA1874">
        <v>0</v>
      </c>
      <c r="AB1874" t="s">
        <v>7678</v>
      </c>
      <c r="AC1874" t="s">
        <v>7679</v>
      </c>
      <c r="AD1874" t="s">
        <v>7680</v>
      </c>
      <c r="AE1874" t="s">
        <v>7681</v>
      </c>
      <c r="AF1874" t="s">
        <v>7682</v>
      </c>
      <c r="AG1874" t="s">
        <v>66</v>
      </c>
      <c r="AH1874" t="s">
        <v>66</v>
      </c>
      <c r="AI1874" t="s">
        <v>66</v>
      </c>
      <c r="AJ1874" t="s">
        <v>66</v>
      </c>
      <c r="AK1874">
        <v>1</v>
      </c>
      <c r="AL1874" t="s">
        <v>66</v>
      </c>
      <c r="AM1874" t="s">
        <v>66</v>
      </c>
      <c r="AN1874" t="s">
        <v>66</v>
      </c>
      <c r="AO1874" t="s">
        <v>66</v>
      </c>
      <c r="AP1874">
        <v>1</v>
      </c>
      <c r="AQ1874" t="s">
        <v>66</v>
      </c>
      <c r="AR1874" t="s">
        <v>66</v>
      </c>
      <c r="AS1874" t="s">
        <v>66</v>
      </c>
      <c r="AT1874" t="s">
        <v>66</v>
      </c>
    </row>
    <row r="1875" spans="1:46" x14ac:dyDescent="0.15">
      <c r="A1875" t="s">
        <v>7755</v>
      </c>
      <c r="B1875" t="s">
        <v>7672</v>
      </c>
      <c r="C1875" t="s">
        <v>7673</v>
      </c>
      <c r="D1875">
        <v>20</v>
      </c>
      <c r="E1875" t="s">
        <v>7674</v>
      </c>
      <c r="F1875" t="s">
        <v>4516</v>
      </c>
      <c r="G1875" t="s">
        <v>51</v>
      </c>
      <c r="H1875" t="s">
        <v>7675</v>
      </c>
      <c r="I1875" t="s">
        <v>1553</v>
      </c>
      <c r="J1875" t="s">
        <v>721</v>
      </c>
      <c r="K1875" t="s">
        <v>55</v>
      </c>
      <c r="L1875" t="s">
        <v>16</v>
      </c>
      <c r="M1875" t="s">
        <v>19</v>
      </c>
      <c r="N1875">
        <v>1566</v>
      </c>
      <c r="O1875">
        <v>88</v>
      </c>
      <c r="P1875">
        <v>0</v>
      </c>
      <c r="Q1875" t="s">
        <v>7756</v>
      </c>
      <c r="R1875" t="s">
        <v>187</v>
      </c>
      <c r="S1875" t="s">
        <v>7757</v>
      </c>
      <c r="T1875" t="s">
        <v>7758</v>
      </c>
      <c r="U1875" t="s">
        <v>60</v>
      </c>
      <c r="V1875" t="s">
        <v>61</v>
      </c>
      <c r="W1875">
        <v>3</v>
      </c>
      <c r="X1875">
        <v>0.109375</v>
      </c>
      <c r="Y1875" t="s">
        <v>189</v>
      </c>
      <c r="Z1875" t="s">
        <v>190</v>
      </c>
      <c r="AA1875">
        <v>0</v>
      </c>
      <c r="AB1875" t="s">
        <v>7678</v>
      </c>
      <c r="AC1875" t="s">
        <v>7679</v>
      </c>
      <c r="AD1875" t="s">
        <v>7680</v>
      </c>
      <c r="AE1875" t="s">
        <v>7681</v>
      </c>
      <c r="AF1875" t="s">
        <v>7682</v>
      </c>
      <c r="AG1875" t="s">
        <v>66</v>
      </c>
      <c r="AH1875" t="s">
        <v>66</v>
      </c>
      <c r="AI1875" t="s">
        <v>66</v>
      </c>
      <c r="AJ1875" t="s">
        <v>66</v>
      </c>
      <c r="AK1875">
        <v>1</v>
      </c>
      <c r="AL1875" t="s">
        <v>66</v>
      </c>
      <c r="AM1875" t="s">
        <v>66</v>
      </c>
      <c r="AN1875" t="s">
        <v>66</v>
      </c>
      <c r="AO1875" t="s">
        <v>66</v>
      </c>
      <c r="AP1875">
        <v>1</v>
      </c>
      <c r="AQ1875" t="s">
        <v>66</v>
      </c>
      <c r="AR1875" t="s">
        <v>66</v>
      </c>
      <c r="AS1875" t="s">
        <v>66</v>
      </c>
      <c r="AT1875" t="s">
        <v>66</v>
      </c>
    </row>
    <row r="1876" spans="1:46" x14ac:dyDescent="0.15">
      <c r="A1876" t="s">
        <v>7755</v>
      </c>
      <c r="B1876" t="s">
        <v>7672</v>
      </c>
      <c r="C1876" t="s">
        <v>7673</v>
      </c>
      <c r="D1876">
        <v>20</v>
      </c>
      <c r="E1876" t="s">
        <v>7674</v>
      </c>
      <c r="F1876" t="s">
        <v>4516</v>
      </c>
      <c r="G1876" t="s">
        <v>51</v>
      </c>
      <c r="H1876" t="s">
        <v>7675</v>
      </c>
      <c r="I1876" t="s">
        <v>1553</v>
      </c>
      <c r="J1876" t="s">
        <v>721</v>
      </c>
      <c r="K1876" t="s">
        <v>55</v>
      </c>
      <c r="L1876" t="s">
        <v>16</v>
      </c>
      <c r="M1876" t="s">
        <v>19</v>
      </c>
      <c r="N1876">
        <v>1566</v>
      </c>
      <c r="O1876">
        <v>88</v>
      </c>
      <c r="P1876">
        <v>0</v>
      </c>
      <c r="Q1876" t="s">
        <v>7756</v>
      </c>
      <c r="R1876" t="s">
        <v>187</v>
      </c>
      <c r="S1876" t="s">
        <v>7757</v>
      </c>
      <c r="T1876" t="s">
        <v>7758</v>
      </c>
      <c r="U1876" t="s">
        <v>60</v>
      </c>
      <c r="V1876" t="s">
        <v>61</v>
      </c>
      <c r="W1876">
        <v>3</v>
      </c>
      <c r="X1876">
        <v>0.109375</v>
      </c>
      <c r="Y1876" t="s">
        <v>189</v>
      </c>
      <c r="Z1876" t="s">
        <v>190</v>
      </c>
      <c r="AA1876">
        <v>1</v>
      </c>
      <c r="AB1876" t="s">
        <v>7678</v>
      </c>
      <c r="AC1876" t="s">
        <v>7679</v>
      </c>
      <c r="AD1876" t="s">
        <v>7680</v>
      </c>
      <c r="AE1876" t="s">
        <v>7681</v>
      </c>
      <c r="AF1876" t="s">
        <v>7682</v>
      </c>
      <c r="AG1876" t="s">
        <v>806</v>
      </c>
      <c r="AH1876" t="s">
        <v>66</v>
      </c>
      <c r="AI1876" t="s">
        <v>66</v>
      </c>
      <c r="AJ1876" t="s">
        <v>66</v>
      </c>
      <c r="AK1876">
        <v>1</v>
      </c>
      <c r="AL1876" t="s">
        <v>66</v>
      </c>
      <c r="AM1876" t="s">
        <v>66</v>
      </c>
      <c r="AN1876" t="s">
        <v>66</v>
      </c>
      <c r="AO1876" t="s">
        <v>66</v>
      </c>
      <c r="AP1876">
        <v>1</v>
      </c>
      <c r="AQ1876" t="s">
        <v>66</v>
      </c>
      <c r="AR1876" t="s">
        <v>66</v>
      </c>
      <c r="AS1876" t="s">
        <v>66</v>
      </c>
      <c r="AT1876" t="s">
        <v>66</v>
      </c>
    </row>
    <row r="1877" spans="1:46" x14ac:dyDescent="0.15">
      <c r="A1877" t="s">
        <v>7759</v>
      </c>
      <c r="B1877" t="s">
        <v>7672</v>
      </c>
      <c r="C1877" t="s">
        <v>7673</v>
      </c>
      <c r="D1877">
        <v>21</v>
      </c>
      <c r="E1877" t="s">
        <v>7674</v>
      </c>
      <c r="F1877" t="s">
        <v>4516</v>
      </c>
      <c r="G1877" t="s">
        <v>51</v>
      </c>
      <c r="H1877" t="s">
        <v>7675</v>
      </c>
      <c r="I1877" t="s">
        <v>1553</v>
      </c>
      <c r="J1877" t="s">
        <v>721</v>
      </c>
      <c r="K1877" t="s">
        <v>55</v>
      </c>
      <c r="L1877" t="s">
        <v>16</v>
      </c>
      <c r="M1877" t="s">
        <v>19</v>
      </c>
      <c r="N1877">
        <v>1622</v>
      </c>
      <c r="O1877">
        <v>91</v>
      </c>
      <c r="P1877">
        <v>0</v>
      </c>
      <c r="Q1877" t="s">
        <v>7760</v>
      </c>
      <c r="R1877" t="s">
        <v>195</v>
      </c>
      <c r="S1877" t="s">
        <v>7761</v>
      </c>
      <c r="T1877" t="s">
        <v>7762</v>
      </c>
      <c r="U1877" t="s">
        <v>60</v>
      </c>
      <c r="V1877" t="s">
        <v>61</v>
      </c>
      <c r="W1877">
        <v>3</v>
      </c>
      <c r="X1877">
        <v>0.109375</v>
      </c>
      <c r="Y1877" t="s">
        <v>131</v>
      </c>
      <c r="Z1877" t="s">
        <v>197</v>
      </c>
      <c r="AA1877">
        <v>1</v>
      </c>
      <c r="AB1877" t="s">
        <v>7678</v>
      </c>
      <c r="AC1877" t="s">
        <v>7679</v>
      </c>
      <c r="AD1877" t="s">
        <v>7680</v>
      </c>
      <c r="AE1877" t="s">
        <v>7681</v>
      </c>
      <c r="AF1877" t="s">
        <v>7682</v>
      </c>
      <c r="AG1877" t="s">
        <v>806</v>
      </c>
      <c r="AH1877" t="s">
        <v>66</v>
      </c>
      <c r="AI1877" t="s">
        <v>66</v>
      </c>
      <c r="AJ1877" t="s">
        <v>66</v>
      </c>
      <c r="AK1877">
        <v>1</v>
      </c>
      <c r="AL1877" t="s">
        <v>66</v>
      </c>
      <c r="AM1877" t="s">
        <v>66</v>
      </c>
      <c r="AN1877" t="s">
        <v>66</v>
      </c>
      <c r="AO1877" t="s">
        <v>66</v>
      </c>
      <c r="AP1877">
        <v>1</v>
      </c>
      <c r="AQ1877" t="s">
        <v>66</v>
      </c>
      <c r="AR1877" t="s">
        <v>66</v>
      </c>
      <c r="AS1877" t="s">
        <v>66</v>
      </c>
      <c r="AT1877" t="s">
        <v>66</v>
      </c>
    </row>
    <row r="1878" spans="1:46" x14ac:dyDescent="0.15">
      <c r="A1878" t="s">
        <v>7763</v>
      </c>
      <c r="B1878" t="s">
        <v>7672</v>
      </c>
      <c r="C1878" t="s">
        <v>7673</v>
      </c>
      <c r="D1878">
        <v>22</v>
      </c>
      <c r="E1878" t="s">
        <v>7674</v>
      </c>
      <c r="F1878" t="s">
        <v>4516</v>
      </c>
      <c r="G1878" t="s">
        <v>51</v>
      </c>
      <c r="H1878" t="s">
        <v>7675</v>
      </c>
      <c r="I1878" t="s">
        <v>1553</v>
      </c>
      <c r="J1878" t="s">
        <v>721</v>
      </c>
      <c r="K1878" t="s">
        <v>55</v>
      </c>
      <c r="L1878" t="s">
        <v>16</v>
      </c>
      <c r="M1878" t="s">
        <v>19</v>
      </c>
      <c r="N1878">
        <v>1679</v>
      </c>
      <c r="O1878">
        <v>94</v>
      </c>
      <c r="P1878">
        <v>0</v>
      </c>
      <c r="Q1878" t="s">
        <v>7764</v>
      </c>
      <c r="R1878" t="s">
        <v>201</v>
      </c>
      <c r="S1878" t="s">
        <v>7765</v>
      </c>
      <c r="T1878" t="s">
        <v>7766</v>
      </c>
      <c r="U1878" t="s">
        <v>60</v>
      </c>
      <c r="V1878" t="s">
        <v>61</v>
      </c>
      <c r="W1878">
        <v>3</v>
      </c>
      <c r="X1878">
        <v>0.109375</v>
      </c>
      <c r="Y1878" t="s">
        <v>203</v>
      </c>
      <c r="Z1878" t="s">
        <v>204</v>
      </c>
      <c r="AA1878">
        <v>1</v>
      </c>
      <c r="AB1878" t="s">
        <v>7678</v>
      </c>
      <c r="AC1878" t="s">
        <v>7679</v>
      </c>
      <c r="AD1878" t="s">
        <v>7680</v>
      </c>
      <c r="AE1878" t="s">
        <v>7681</v>
      </c>
      <c r="AF1878" t="s">
        <v>7682</v>
      </c>
      <c r="AG1878" t="s">
        <v>806</v>
      </c>
      <c r="AH1878" t="s">
        <v>66</v>
      </c>
      <c r="AI1878" t="s">
        <v>66</v>
      </c>
      <c r="AJ1878" t="s">
        <v>66</v>
      </c>
      <c r="AK1878">
        <v>1</v>
      </c>
      <c r="AL1878" t="s">
        <v>66</v>
      </c>
      <c r="AM1878" t="s">
        <v>66</v>
      </c>
      <c r="AN1878" t="s">
        <v>66</v>
      </c>
      <c r="AO1878" t="s">
        <v>66</v>
      </c>
      <c r="AP1878">
        <v>1</v>
      </c>
      <c r="AQ1878" t="s">
        <v>66</v>
      </c>
      <c r="AR1878" t="s">
        <v>66</v>
      </c>
      <c r="AS1878" t="s">
        <v>66</v>
      </c>
      <c r="AT1878" t="s">
        <v>66</v>
      </c>
    </row>
    <row r="1879" spans="1:46" x14ac:dyDescent="0.15">
      <c r="A1879" t="s">
        <v>7767</v>
      </c>
      <c r="B1879" t="s">
        <v>7672</v>
      </c>
      <c r="C1879" t="s">
        <v>7673</v>
      </c>
      <c r="D1879">
        <v>23</v>
      </c>
      <c r="E1879" t="s">
        <v>7674</v>
      </c>
      <c r="F1879" t="s">
        <v>4516</v>
      </c>
      <c r="G1879" t="s">
        <v>51</v>
      </c>
      <c r="H1879" t="s">
        <v>7675</v>
      </c>
      <c r="I1879" t="s">
        <v>1553</v>
      </c>
      <c r="J1879" t="s">
        <v>721</v>
      </c>
      <c r="K1879" t="s">
        <v>55</v>
      </c>
      <c r="L1879" t="s">
        <v>16</v>
      </c>
      <c r="M1879" t="s">
        <v>19</v>
      </c>
      <c r="N1879">
        <v>1735</v>
      </c>
      <c r="O1879">
        <v>97</v>
      </c>
      <c r="P1879">
        <v>0</v>
      </c>
      <c r="Q1879" t="s">
        <v>7768</v>
      </c>
      <c r="R1879" t="s">
        <v>208</v>
      </c>
      <c r="S1879" t="s">
        <v>7769</v>
      </c>
      <c r="T1879" t="s">
        <v>7770</v>
      </c>
      <c r="U1879" t="s">
        <v>60</v>
      </c>
      <c r="V1879" t="s">
        <v>61</v>
      </c>
      <c r="W1879">
        <v>3</v>
      </c>
      <c r="X1879">
        <v>0.109375</v>
      </c>
      <c r="Y1879" t="s">
        <v>138</v>
      </c>
      <c r="Z1879" t="s">
        <v>210</v>
      </c>
      <c r="AA1879">
        <v>1</v>
      </c>
      <c r="AB1879" t="s">
        <v>7678</v>
      </c>
      <c r="AC1879" t="s">
        <v>7679</v>
      </c>
      <c r="AD1879" t="s">
        <v>7680</v>
      </c>
      <c r="AE1879" t="s">
        <v>7681</v>
      </c>
      <c r="AF1879" t="s">
        <v>7682</v>
      </c>
      <c r="AG1879" t="s">
        <v>806</v>
      </c>
      <c r="AH1879" t="s">
        <v>66</v>
      </c>
      <c r="AI1879" t="s">
        <v>66</v>
      </c>
      <c r="AJ1879" t="s">
        <v>66</v>
      </c>
      <c r="AK1879">
        <v>1</v>
      </c>
      <c r="AL1879" t="s">
        <v>66</v>
      </c>
      <c r="AM1879" t="s">
        <v>66</v>
      </c>
      <c r="AN1879" t="s">
        <v>66</v>
      </c>
      <c r="AO1879" t="s">
        <v>66</v>
      </c>
      <c r="AP1879">
        <v>1</v>
      </c>
      <c r="AQ1879" t="s">
        <v>66</v>
      </c>
      <c r="AR1879" t="s">
        <v>66</v>
      </c>
      <c r="AS1879" t="s">
        <v>66</v>
      </c>
      <c r="AT1879" t="s">
        <v>66</v>
      </c>
    </row>
    <row r="1880" spans="1:46" x14ac:dyDescent="0.15">
      <c r="A1880" t="s">
        <v>7771</v>
      </c>
      <c r="B1880" t="s">
        <v>7672</v>
      </c>
      <c r="C1880" t="s">
        <v>7673</v>
      </c>
      <c r="D1880">
        <v>24</v>
      </c>
      <c r="E1880" t="s">
        <v>7674</v>
      </c>
      <c r="F1880" t="s">
        <v>4516</v>
      </c>
      <c r="G1880" t="s">
        <v>51</v>
      </c>
      <c r="H1880" t="s">
        <v>7675</v>
      </c>
      <c r="I1880" t="s">
        <v>1553</v>
      </c>
      <c r="J1880" t="s">
        <v>721</v>
      </c>
      <c r="K1880" t="s">
        <v>55</v>
      </c>
      <c r="L1880" t="s">
        <v>16</v>
      </c>
      <c r="M1880" t="s">
        <v>19</v>
      </c>
      <c r="N1880">
        <v>1791</v>
      </c>
      <c r="O1880">
        <v>101</v>
      </c>
      <c r="P1880">
        <v>0</v>
      </c>
      <c r="Q1880" t="s">
        <v>7772</v>
      </c>
      <c r="R1880" t="s">
        <v>214</v>
      </c>
      <c r="S1880" t="s">
        <v>7773</v>
      </c>
      <c r="T1880" t="s">
        <v>7774</v>
      </c>
      <c r="U1880" t="s">
        <v>60</v>
      </c>
      <c r="V1880" t="s">
        <v>61</v>
      </c>
      <c r="W1880">
        <v>3</v>
      </c>
      <c r="X1880">
        <v>0.109375</v>
      </c>
      <c r="Y1880" t="s">
        <v>216</v>
      </c>
      <c r="Z1880" t="s">
        <v>217</v>
      </c>
      <c r="AA1880">
        <v>1</v>
      </c>
      <c r="AB1880" t="s">
        <v>7678</v>
      </c>
      <c r="AC1880" t="s">
        <v>7679</v>
      </c>
      <c r="AD1880" t="s">
        <v>7680</v>
      </c>
      <c r="AE1880" t="s">
        <v>7681</v>
      </c>
      <c r="AF1880" t="s">
        <v>7682</v>
      </c>
      <c r="AG1880" t="s">
        <v>806</v>
      </c>
      <c r="AH1880" t="s">
        <v>66</v>
      </c>
      <c r="AI1880" t="s">
        <v>66</v>
      </c>
      <c r="AJ1880" t="s">
        <v>66</v>
      </c>
      <c r="AK1880">
        <v>1</v>
      </c>
      <c r="AL1880" t="s">
        <v>66</v>
      </c>
      <c r="AM1880" t="s">
        <v>66</v>
      </c>
      <c r="AN1880" t="s">
        <v>66</v>
      </c>
      <c r="AO1880" t="s">
        <v>66</v>
      </c>
      <c r="AP1880">
        <v>1</v>
      </c>
      <c r="AQ1880" t="s">
        <v>66</v>
      </c>
      <c r="AR1880" t="s">
        <v>66</v>
      </c>
      <c r="AS1880" t="s">
        <v>66</v>
      </c>
      <c r="AT1880" t="s">
        <v>66</v>
      </c>
    </row>
    <row r="1881" spans="1:46" x14ac:dyDescent="0.15">
      <c r="A1881" t="s">
        <v>7775</v>
      </c>
      <c r="B1881" t="s">
        <v>7672</v>
      </c>
      <c r="C1881" t="s">
        <v>7673</v>
      </c>
      <c r="D1881">
        <v>25</v>
      </c>
      <c r="E1881" t="s">
        <v>7674</v>
      </c>
      <c r="F1881" t="s">
        <v>4516</v>
      </c>
      <c r="G1881" t="s">
        <v>51</v>
      </c>
      <c r="H1881" t="s">
        <v>7675</v>
      </c>
      <c r="I1881" t="s">
        <v>1553</v>
      </c>
      <c r="J1881" t="s">
        <v>721</v>
      </c>
      <c r="K1881" t="s">
        <v>55</v>
      </c>
      <c r="L1881" t="s">
        <v>16</v>
      </c>
      <c r="M1881" t="s">
        <v>19</v>
      </c>
      <c r="N1881">
        <v>1847</v>
      </c>
      <c r="O1881">
        <v>104</v>
      </c>
      <c r="P1881">
        <v>0</v>
      </c>
      <c r="Q1881" t="s">
        <v>7776</v>
      </c>
      <c r="R1881" t="s">
        <v>221</v>
      </c>
      <c r="S1881" t="s">
        <v>7777</v>
      </c>
      <c r="T1881" t="s">
        <v>7778</v>
      </c>
      <c r="U1881" t="s">
        <v>60</v>
      </c>
      <c r="V1881" t="s">
        <v>61</v>
      </c>
      <c r="W1881">
        <v>3</v>
      </c>
      <c r="X1881">
        <v>0.109375</v>
      </c>
      <c r="Y1881" t="s">
        <v>144</v>
      </c>
      <c r="Z1881" t="s">
        <v>223</v>
      </c>
      <c r="AA1881">
        <v>1</v>
      </c>
      <c r="AB1881" t="s">
        <v>7678</v>
      </c>
      <c r="AC1881" t="s">
        <v>7679</v>
      </c>
      <c r="AD1881" t="s">
        <v>7680</v>
      </c>
      <c r="AE1881" t="s">
        <v>7681</v>
      </c>
      <c r="AF1881" t="s">
        <v>7682</v>
      </c>
      <c r="AG1881" t="s">
        <v>806</v>
      </c>
      <c r="AH1881" t="s">
        <v>66</v>
      </c>
      <c r="AI1881" t="s">
        <v>66</v>
      </c>
      <c r="AJ1881" t="s">
        <v>66</v>
      </c>
      <c r="AK1881">
        <v>1</v>
      </c>
      <c r="AL1881" t="s">
        <v>66</v>
      </c>
      <c r="AM1881" t="s">
        <v>66</v>
      </c>
      <c r="AN1881" t="s">
        <v>66</v>
      </c>
      <c r="AO1881" t="s">
        <v>66</v>
      </c>
      <c r="AP1881">
        <v>1</v>
      </c>
      <c r="AQ1881" t="s">
        <v>66</v>
      </c>
      <c r="AR1881" t="s">
        <v>66</v>
      </c>
      <c r="AS1881" t="s">
        <v>66</v>
      </c>
      <c r="AT1881" t="s">
        <v>66</v>
      </c>
    </row>
    <row r="1882" spans="1:46" x14ac:dyDescent="0.15">
      <c r="A1882" t="s">
        <v>7779</v>
      </c>
      <c r="B1882" t="s">
        <v>7672</v>
      </c>
      <c r="C1882" t="s">
        <v>7673</v>
      </c>
      <c r="D1882">
        <v>26</v>
      </c>
      <c r="E1882" t="s">
        <v>7674</v>
      </c>
      <c r="F1882" t="s">
        <v>4516</v>
      </c>
      <c r="G1882" t="s">
        <v>51</v>
      </c>
      <c r="H1882" t="s">
        <v>7675</v>
      </c>
      <c r="I1882" t="s">
        <v>1553</v>
      </c>
      <c r="J1882" t="s">
        <v>721</v>
      </c>
      <c r="K1882" t="s">
        <v>55</v>
      </c>
      <c r="L1882" t="s">
        <v>16</v>
      </c>
      <c r="M1882" t="s">
        <v>19</v>
      </c>
      <c r="N1882">
        <v>1903</v>
      </c>
      <c r="O1882">
        <v>107</v>
      </c>
      <c r="P1882">
        <v>0</v>
      </c>
      <c r="Q1882" t="s">
        <v>7780</v>
      </c>
      <c r="R1882" t="s">
        <v>227</v>
      </c>
      <c r="S1882" t="s">
        <v>7781</v>
      </c>
      <c r="T1882" t="s">
        <v>7782</v>
      </c>
      <c r="U1882" t="s">
        <v>60</v>
      </c>
      <c r="V1882" t="s">
        <v>61</v>
      </c>
      <c r="W1882">
        <v>3</v>
      </c>
      <c r="X1882">
        <v>0.109375</v>
      </c>
      <c r="Y1882" t="s">
        <v>229</v>
      </c>
      <c r="Z1882" t="s">
        <v>230</v>
      </c>
      <c r="AA1882">
        <v>1</v>
      </c>
      <c r="AB1882" t="s">
        <v>7678</v>
      </c>
      <c r="AC1882" t="s">
        <v>7679</v>
      </c>
      <c r="AD1882" t="s">
        <v>7680</v>
      </c>
      <c r="AE1882" t="s">
        <v>7681</v>
      </c>
      <c r="AF1882" t="s">
        <v>7682</v>
      </c>
      <c r="AG1882" t="s">
        <v>806</v>
      </c>
      <c r="AH1882" t="s">
        <v>66</v>
      </c>
      <c r="AI1882" t="s">
        <v>66</v>
      </c>
      <c r="AJ1882" t="s">
        <v>66</v>
      </c>
      <c r="AK1882">
        <v>1</v>
      </c>
      <c r="AL1882" t="s">
        <v>66</v>
      </c>
      <c r="AM1882" t="s">
        <v>66</v>
      </c>
      <c r="AN1882" t="s">
        <v>66</v>
      </c>
      <c r="AO1882" t="s">
        <v>66</v>
      </c>
      <c r="AP1882">
        <v>1</v>
      </c>
      <c r="AQ1882" t="s">
        <v>66</v>
      </c>
      <c r="AR1882" t="s">
        <v>66</v>
      </c>
      <c r="AS1882" t="s">
        <v>66</v>
      </c>
      <c r="AT1882" t="s">
        <v>66</v>
      </c>
    </row>
    <row r="1883" spans="1:46" x14ac:dyDescent="0.15">
      <c r="A1883" t="s">
        <v>7783</v>
      </c>
      <c r="B1883" t="s">
        <v>7672</v>
      </c>
      <c r="C1883" t="s">
        <v>7673</v>
      </c>
      <c r="D1883">
        <v>27</v>
      </c>
      <c r="E1883" t="s">
        <v>7674</v>
      </c>
      <c r="F1883" t="s">
        <v>4516</v>
      </c>
      <c r="G1883" t="s">
        <v>51</v>
      </c>
      <c r="H1883" t="s">
        <v>7675</v>
      </c>
      <c r="I1883" t="s">
        <v>1553</v>
      </c>
      <c r="J1883" t="s">
        <v>721</v>
      </c>
      <c r="K1883" t="s">
        <v>55</v>
      </c>
      <c r="L1883" t="s">
        <v>16</v>
      </c>
      <c r="M1883" t="s">
        <v>19</v>
      </c>
      <c r="N1883">
        <v>1959</v>
      </c>
      <c r="O1883">
        <v>110</v>
      </c>
      <c r="P1883">
        <v>0</v>
      </c>
      <c r="Q1883" t="s">
        <v>7784</v>
      </c>
      <c r="R1883" t="s">
        <v>234</v>
      </c>
      <c r="S1883" t="s">
        <v>7785</v>
      </c>
      <c r="T1883" t="s">
        <v>7786</v>
      </c>
      <c r="U1883" t="s">
        <v>60</v>
      </c>
      <c r="V1883" t="s">
        <v>61</v>
      </c>
      <c r="W1883">
        <v>3</v>
      </c>
      <c r="X1883">
        <v>0.109375</v>
      </c>
      <c r="Y1883" t="s">
        <v>151</v>
      </c>
      <c r="Z1883" t="s">
        <v>236</v>
      </c>
      <c r="AA1883">
        <v>1</v>
      </c>
      <c r="AB1883" t="s">
        <v>7678</v>
      </c>
      <c r="AC1883" t="s">
        <v>7679</v>
      </c>
      <c r="AD1883" t="s">
        <v>7680</v>
      </c>
      <c r="AE1883" t="s">
        <v>7681</v>
      </c>
      <c r="AF1883" t="s">
        <v>7682</v>
      </c>
      <c r="AG1883" t="s">
        <v>806</v>
      </c>
      <c r="AH1883" t="s">
        <v>66</v>
      </c>
      <c r="AI1883" t="s">
        <v>66</v>
      </c>
      <c r="AJ1883" t="s">
        <v>66</v>
      </c>
      <c r="AK1883">
        <v>1</v>
      </c>
      <c r="AL1883" t="s">
        <v>66</v>
      </c>
      <c r="AM1883" t="s">
        <v>66</v>
      </c>
      <c r="AN1883" t="s">
        <v>66</v>
      </c>
      <c r="AO1883" t="s">
        <v>66</v>
      </c>
      <c r="AP1883">
        <v>1</v>
      </c>
      <c r="AQ1883" t="s">
        <v>66</v>
      </c>
      <c r="AR1883" t="s">
        <v>66</v>
      </c>
      <c r="AS1883" t="s">
        <v>66</v>
      </c>
      <c r="AT1883" t="s">
        <v>66</v>
      </c>
    </row>
    <row r="1884" spans="1:46" x14ac:dyDescent="0.15">
      <c r="A1884" t="s">
        <v>7787</v>
      </c>
      <c r="B1884" t="s">
        <v>7672</v>
      </c>
      <c r="C1884" t="s">
        <v>7673</v>
      </c>
      <c r="D1884">
        <v>28</v>
      </c>
      <c r="E1884" t="s">
        <v>7674</v>
      </c>
      <c r="F1884" t="s">
        <v>4516</v>
      </c>
      <c r="G1884" t="s">
        <v>51</v>
      </c>
      <c r="H1884" t="s">
        <v>7675</v>
      </c>
      <c r="I1884" t="s">
        <v>1553</v>
      </c>
      <c r="J1884" t="s">
        <v>721</v>
      </c>
      <c r="K1884" t="s">
        <v>55</v>
      </c>
      <c r="L1884" t="s">
        <v>16</v>
      </c>
      <c r="M1884" t="s">
        <v>19</v>
      </c>
      <c r="N1884">
        <v>2015</v>
      </c>
      <c r="O1884">
        <v>113</v>
      </c>
      <c r="P1884">
        <v>0</v>
      </c>
      <c r="Q1884" t="s">
        <v>7788</v>
      </c>
      <c r="R1884" t="s">
        <v>240</v>
      </c>
      <c r="S1884" t="s">
        <v>7789</v>
      </c>
      <c r="T1884" t="s">
        <v>7790</v>
      </c>
      <c r="U1884" t="s">
        <v>60</v>
      </c>
      <c r="V1884" t="s">
        <v>61</v>
      </c>
      <c r="W1884">
        <v>3</v>
      </c>
      <c r="X1884">
        <v>0.109375</v>
      </c>
      <c r="Y1884" t="s">
        <v>242</v>
      </c>
      <c r="Z1884" t="s">
        <v>243</v>
      </c>
      <c r="AA1884">
        <v>1</v>
      </c>
      <c r="AB1884" t="s">
        <v>7678</v>
      </c>
      <c r="AC1884" t="s">
        <v>7679</v>
      </c>
      <c r="AD1884" t="s">
        <v>7680</v>
      </c>
      <c r="AE1884" t="s">
        <v>7681</v>
      </c>
      <c r="AF1884" t="s">
        <v>7682</v>
      </c>
      <c r="AG1884" t="s">
        <v>806</v>
      </c>
      <c r="AH1884" t="s">
        <v>66</v>
      </c>
      <c r="AI1884" t="s">
        <v>66</v>
      </c>
      <c r="AJ1884" t="s">
        <v>66</v>
      </c>
      <c r="AK1884">
        <v>1</v>
      </c>
      <c r="AL1884" t="s">
        <v>66</v>
      </c>
      <c r="AM1884" t="s">
        <v>66</v>
      </c>
      <c r="AN1884" t="s">
        <v>66</v>
      </c>
      <c r="AO1884" t="s">
        <v>66</v>
      </c>
      <c r="AP1884">
        <v>1</v>
      </c>
      <c r="AQ1884" t="s">
        <v>66</v>
      </c>
      <c r="AR1884" t="s">
        <v>66</v>
      </c>
      <c r="AS1884" t="s">
        <v>66</v>
      </c>
      <c r="AT1884" t="s">
        <v>66</v>
      </c>
    </row>
    <row r="1885" spans="1:46" x14ac:dyDescent="0.15">
      <c r="A1885" t="s">
        <v>7791</v>
      </c>
      <c r="B1885" t="s">
        <v>7672</v>
      </c>
      <c r="C1885" t="s">
        <v>7673</v>
      </c>
      <c r="D1885">
        <v>29</v>
      </c>
      <c r="E1885" t="s">
        <v>7674</v>
      </c>
      <c r="F1885" t="s">
        <v>4516</v>
      </c>
      <c r="G1885" t="s">
        <v>51</v>
      </c>
      <c r="H1885" t="s">
        <v>7675</v>
      </c>
      <c r="I1885" t="s">
        <v>1553</v>
      </c>
      <c r="J1885" t="s">
        <v>721</v>
      </c>
      <c r="K1885" t="s">
        <v>55</v>
      </c>
      <c r="L1885" t="s">
        <v>16</v>
      </c>
      <c r="M1885" t="s">
        <v>19</v>
      </c>
      <c r="N1885">
        <v>2071</v>
      </c>
      <c r="O1885">
        <v>116</v>
      </c>
      <c r="P1885">
        <v>0</v>
      </c>
      <c r="Q1885" t="s">
        <v>7792</v>
      </c>
      <c r="R1885" t="s">
        <v>247</v>
      </c>
      <c r="S1885" t="s">
        <v>7793</v>
      </c>
      <c r="T1885" t="s">
        <v>7794</v>
      </c>
      <c r="U1885" t="s">
        <v>60</v>
      </c>
      <c r="V1885" t="s">
        <v>61</v>
      </c>
      <c r="W1885">
        <v>3</v>
      </c>
      <c r="X1885">
        <v>0.109375</v>
      </c>
      <c r="Y1885" t="s">
        <v>157</v>
      </c>
      <c r="Z1885" t="s">
        <v>249</v>
      </c>
      <c r="AA1885">
        <v>1</v>
      </c>
      <c r="AB1885" t="s">
        <v>7678</v>
      </c>
      <c r="AC1885" t="s">
        <v>7679</v>
      </c>
      <c r="AD1885" t="s">
        <v>7680</v>
      </c>
      <c r="AE1885" t="s">
        <v>7681</v>
      </c>
      <c r="AF1885" t="s">
        <v>7682</v>
      </c>
      <c r="AG1885" t="s">
        <v>806</v>
      </c>
      <c r="AH1885" t="s">
        <v>66</v>
      </c>
      <c r="AI1885" t="s">
        <v>66</v>
      </c>
      <c r="AJ1885" t="s">
        <v>66</v>
      </c>
      <c r="AK1885">
        <v>1</v>
      </c>
      <c r="AL1885" t="s">
        <v>66</v>
      </c>
      <c r="AM1885" t="s">
        <v>66</v>
      </c>
      <c r="AN1885" t="s">
        <v>66</v>
      </c>
      <c r="AO1885" t="s">
        <v>66</v>
      </c>
      <c r="AP1885">
        <v>1</v>
      </c>
      <c r="AQ1885" t="s">
        <v>66</v>
      </c>
      <c r="AR1885" t="s">
        <v>66</v>
      </c>
      <c r="AS1885" t="s">
        <v>66</v>
      </c>
      <c r="AT1885" t="s">
        <v>66</v>
      </c>
    </row>
    <row r="1886" spans="1:46" x14ac:dyDescent="0.15">
      <c r="A1886" t="s">
        <v>7795</v>
      </c>
      <c r="B1886" t="s">
        <v>7672</v>
      </c>
      <c r="C1886" t="s">
        <v>7673</v>
      </c>
      <c r="D1886">
        <v>30</v>
      </c>
      <c r="E1886" t="s">
        <v>7674</v>
      </c>
      <c r="F1886" t="s">
        <v>4516</v>
      </c>
      <c r="G1886" t="s">
        <v>51</v>
      </c>
      <c r="H1886" t="s">
        <v>7675</v>
      </c>
      <c r="I1886" t="s">
        <v>1553</v>
      </c>
      <c r="J1886" t="s">
        <v>721</v>
      </c>
      <c r="K1886" t="s">
        <v>55</v>
      </c>
      <c r="L1886" t="s">
        <v>16</v>
      </c>
      <c r="M1886" t="s">
        <v>19</v>
      </c>
      <c r="N1886">
        <v>2128</v>
      </c>
      <c r="O1886">
        <v>119</v>
      </c>
      <c r="P1886">
        <v>0</v>
      </c>
      <c r="Q1886" t="s">
        <v>7796</v>
      </c>
      <c r="R1886" t="s">
        <v>253</v>
      </c>
      <c r="S1886" t="s">
        <v>7797</v>
      </c>
      <c r="T1886" t="s">
        <v>7798</v>
      </c>
      <c r="U1886" t="s">
        <v>60</v>
      </c>
      <c r="V1886" t="s">
        <v>61</v>
      </c>
      <c r="W1886">
        <v>3</v>
      </c>
      <c r="X1886">
        <v>0.109375</v>
      </c>
      <c r="Y1886" t="s">
        <v>255</v>
      </c>
      <c r="Z1886" t="s">
        <v>256</v>
      </c>
      <c r="AA1886">
        <v>1</v>
      </c>
      <c r="AB1886" t="s">
        <v>7678</v>
      </c>
      <c r="AC1886" t="s">
        <v>7679</v>
      </c>
      <c r="AD1886" t="s">
        <v>7680</v>
      </c>
      <c r="AE1886" t="s">
        <v>7681</v>
      </c>
      <c r="AF1886" t="s">
        <v>7682</v>
      </c>
      <c r="AG1886" t="s">
        <v>806</v>
      </c>
      <c r="AH1886" t="s">
        <v>66</v>
      </c>
      <c r="AI1886" t="s">
        <v>66</v>
      </c>
      <c r="AJ1886" t="s">
        <v>66</v>
      </c>
      <c r="AK1886">
        <v>1</v>
      </c>
      <c r="AL1886" t="s">
        <v>66</v>
      </c>
      <c r="AM1886" t="s">
        <v>66</v>
      </c>
      <c r="AN1886" t="s">
        <v>66</v>
      </c>
      <c r="AO1886" t="s">
        <v>66</v>
      </c>
      <c r="AP1886">
        <v>1</v>
      </c>
      <c r="AQ1886" t="s">
        <v>66</v>
      </c>
      <c r="AR1886" t="s">
        <v>66</v>
      </c>
      <c r="AS1886" t="s">
        <v>66</v>
      </c>
      <c r="AT1886" t="s">
        <v>66</v>
      </c>
    </row>
    <row r="1887" spans="1:46" x14ac:dyDescent="0.15">
      <c r="A1887" t="s">
        <v>7799</v>
      </c>
      <c r="B1887" t="s">
        <v>7672</v>
      </c>
      <c r="C1887" t="s">
        <v>7673</v>
      </c>
      <c r="D1887">
        <v>31</v>
      </c>
      <c r="E1887" t="s">
        <v>7674</v>
      </c>
      <c r="F1887" t="s">
        <v>4516</v>
      </c>
      <c r="G1887" t="s">
        <v>51</v>
      </c>
      <c r="H1887" t="s">
        <v>7675</v>
      </c>
      <c r="I1887" t="s">
        <v>1553</v>
      </c>
      <c r="J1887" t="s">
        <v>721</v>
      </c>
      <c r="K1887" t="s">
        <v>55</v>
      </c>
      <c r="L1887" t="s">
        <v>16</v>
      </c>
      <c r="M1887" t="s">
        <v>19</v>
      </c>
      <c r="N1887">
        <v>2184</v>
      </c>
      <c r="O1887">
        <v>122</v>
      </c>
      <c r="P1887">
        <v>0</v>
      </c>
      <c r="Q1887" t="s">
        <v>7800</v>
      </c>
      <c r="R1887" t="s">
        <v>260</v>
      </c>
      <c r="S1887" t="s">
        <v>7801</v>
      </c>
      <c r="T1887" t="s">
        <v>7802</v>
      </c>
      <c r="U1887" t="s">
        <v>60</v>
      </c>
      <c r="V1887" t="s">
        <v>61</v>
      </c>
      <c r="W1887">
        <v>3</v>
      </c>
      <c r="X1887">
        <v>0.109375</v>
      </c>
      <c r="Y1887" t="s">
        <v>164</v>
      </c>
      <c r="Z1887" t="s">
        <v>262</v>
      </c>
      <c r="AA1887">
        <v>1</v>
      </c>
      <c r="AB1887" t="s">
        <v>7678</v>
      </c>
      <c r="AC1887" t="s">
        <v>7679</v>
      </c>
      <c r="AD1887" t="s">
        <v>7680</v>
      </c>
      <c r="AE1887" t="s">
        <v>7681</v>
      </c>
      <c r="AF1887" t="s">
        <v>7682</v>
      </c>
      <c r="AG1887" t="s">
        <v>806</v>
      </c>
      <c r="AH1887" t="s">
        <v>66</v>
      </c>
      <c r="AI1887" t="s">
        <v>66</v>
      </c>
      <c r="AJ1887" t="s">
        <v>66</v>
      </c>
      <c r="AK1887">
        <v>1</v>
      </c>
      <c r="AL1887" t="s">
        <v>66</v>
      </c>
      <c r="AM1887" t="s">
        <v>66</v>
      </c>
      <c r="AN1887" t="s">
        <v>66</v>
      </c>
      <c r="AO1887" t="s">
        <v>66</v>
      </c>
      <c r="AP1887">
        <v>1</v>
      </c>
      <c r="AQ1887" t="s">
        <v>66</v>
      </c>
      <c r="AR1887" t="s">
        <v>66</v>
      </c>
      <c r="AS1887" t="s">
        <v>66</v>
      </c>
      <c r="AT1887" t="s">
        <v>66</v>
      </c>
    </row>
    <row r="1888" spans="1:46" x14ac:dyDescent="0.15">
      <c r="A1888" t="s">
        <v>7803</v>
      </c>
      <c r="B1888" t="s">
        <v>7672</v>
      </c>
      <c r="C1888" t="s">
        <v>7673</v>
      </c>
      <c r="D1888">
        <v>32</v>
      </c>
      <c r="E1888" t="s">
        <v>7674</v>
      </c>
      <c r="F1888" t="s">
        <v>4516</v>
      </c>
      <c r="G1888" t="s">
        <v>51</v>
      </c>
      <c r="H1888" t="s">
        <v>7675</v>
      </c>
      <c r="I1888" t="s">
        <v>1553</v>
      </c>
      <c r="J1888" t="s">
        <v>721</v>
      </c>
      <c r="K1888" t="s">
        <v>55</v>
      </c>
      <c r="L1888" t="s">
        <v>16</v>
      </c>
      <c r="M1888" t="s">
        <v>19</v>
      </c>
      <c r="N1888">
        <v>2240</v>
      </c>
      <c r="O1888">
        <v>125</v>
      </c>
      <c r="P1888">
        <v>0</v>
      </c>
      <c r="Q1888" t="s">
        <v>7804</v>
      </c>
      <c r="R1888" t="s">
        <v>266</v>
      </c>
      <c r="S1888" t="s">
        <v>7805</v>
      </c>
      <c r="T1888" t="s">
        <v>7806</v>
      </c>
      <c r="U1888" t="s">
        <v>60</v>
      </c>
      <c r="V1888" t="s">
        <v>61</v>
      </c>
      <c r="W1888">
        <v>3</v>
      </c>
      <c r="X1888">
        <v>0.109375</v>
      </c>
      <c r="Y1888" t="s">
        <v>268</v>
      </c>
      <c r="Z1888" t="s">
        <v>269</v>
      </c>
      <c r="AA1888">
        <v>1</v>
      </c>
      <c r="AB1888" t="s">
        <v>7678</v>
      </c>
      <c r="AC1888" t="s">
        <v>7679</v>
      </c>
      <c r="AD1888" t="s">
        <v>7680</v>
      </c>
      <c r="AE1888" t="s">
        <v>7681</v>
      </c>
      <c r="AF1888" t="s">
        <v>7682</v>
      </c>
      <c r="AG1888" t="s">
        <v>806</v>
      </c>
      <c r="AH1888" t="s">
        <v>66</v>
      </c>
      <c r="AI1888" t="s">
        <v>66</v>
      </c>
      <c r="AJ1888" t="s">
        <v>66</v>
      </c>
      <c r="AK1888">
        <v>1</v>
      </c>
      <c r="AL1888" t="s">
        <v>66</v>
      </c>
      <c r="AM1888" t="s">
        <v>66</v>
      </c>
      <c r="AN1888" t="s">
        <v>66</v>
      </c>
      <c r="AO1888" t="s">
        <v>66</v>
      </c>
      <c r="AP1888">
        <v>1</v>
      </c>
      <c r="AQ1888" t="s">
        <v>66</v>
      </c>
      <c r="AR1888" t="s">
        <v>66</v>
      </c>
      <c r="AS1888" t="s">
        <v>66</v>
      </c>
      <c r="AT1888" t="s">
        <v>66</v>
      </c>
    </row>
    <row r="1889" spans="1:46" x14ac:dyDescent="0.15">
      <c r="A1889" t="s">
        <v>7807</v>
      </c>
      <c r="B1889" t="s">
        <v>7672</v>
      </c>
      <c r="C1889" t="s">
        <v>7673</v>
      </c>
      <c r="D1889">
        <v>33</v>
      </c>
      <c r="E1889" t="s">
        <v>7674</v>
      </c>
      <c r="F1889" t="s">
        <v>4516</v>
      </c>
      <c r="G1889" t="s">
        <v>51</v>
      </c>
      <c r="H1889" t="s">
        <v>7675</v>
      </c>
      <c r="I1889" t="s">
        <v>1553</v>
      </c>
      <c r="J1889" t="s">
        <v>721</v>
      </c>
      <c r="K1889" t="s">
        <v>55</v>
      </c>
      <c r="L1889" t="s">
        <v>16</v>
      </c>
      <c r="M1889" t="s">
        <v>19</v>
      </c>
      <c r="N1889">
        <v>2296</v>
      </c>
      <c r="O1889">
        <v>128</v>
      </c>
      <c r="P1889">
        <v>0</v>
      </c>
      <c r="Q1889" t="s">
        <v>7808</v>
      </c>
      <c r="R1889" t="s">
        <v>273</v>
      </c>
      <c r="S1889" t="s">
        <v>7809</v>
      </c>
      <c r="T1889" t="s">
        <v>7810</v>
      </c>
      <c r="U1889" t="s">
        <v>60</v>
      </c>
      <c r="V1889" t="s">
        <v>61</v>
      </c>
      <c r="W1889">
        <v>3</v>
      </c>
      <c r="X1889">
        <v>0.109375</v>
      </c>
      <c r="Y1889" t="s">
        <v>170</v>
      </c>
      <c r="Z1889" t="s">
        <v>275</v>
      </c>
      <c r="AA1889">
        <v>1</v>
      </c>
      <c r="AB1889" t="s">
        <v>7678</v>
      </c>
      <c r="AC1889" t="s">
        <v>7679</v>
      </c>
      <c r="AD1889" t="s">
        <v>7680</v>
      </c>
      <c r="AE1889" t="s">
        <v>7681</v>
      </c>
      <c r="AF1889" t="s">
        <v>7682</v>
      </c>
      <c r="AG1889" t="s">
        <v>806</v>
      </c>
      <c r="AH1889" t="s">
        <v>66</v>
      </c>
      <c r="AI1889" t="s">
        <v>66</v>
      </c>
      <c r="AJ1889" t="s">
        <v>66</v>
      </c>
      <c r="AK1889">
        <v>1</v>
      </c>
      <c r="AL1889" t="s">
        <v>66</v>
      </c>
      <c r="AM1889" t="s">
        <v>66</v>
      </c>
      <c r="AN1889" t="s">
        <v>66</v>
      </c>
      <c r="AO1889" t="s">
        <v>66</v>
      </c>
      <c r="AP1889">
        <v>1</v>
      </c>
      <c r="AQ1889" t="s">
        <v>66</v>
      </c>
      <c r="AR1889" t="s">
        <v>66</v>
      </c>
      <c r="AS1889" t="s">
        <v>66</v>
      </c>
      <c r="AT1889" t="s">
        <v>66</v>
      </c>
    </row>
    <row r="1890" spans="1:46" x14ac:dyDescent="0.15">
      <c r="A1890" t="s">
        <v>7811</v>
      </c>
      <c r="B1890" t="s">
        <v>7672</v>
      </c>
      <c r="C1890" t="s">
        <v>7673</v>
      </c>
      <c r="D1890">
        <v>34</v>
      </c>
      <c r="E1890" t="s">
        <v>7674</v>
      </c>
      <c r="F1890" t="s">
        <v>4516</v>
      </c>
      <c r="G1890" t="s">
        <v>51</v>
      </c>
      <c r="H1890" t="s">
        <v>7675</v>
      </c>
      <c r="I1890" t="s">
        <v>1553</v>
      </c>
      <c r="J1890" t="s">
        <v>721</v>
      </c>
      <c r="K1890" t="s">
        <v>55</v>
      </c>
      <c r="L1890" t="s">
        <v>16</v>
      </c>
      <c r="M1890" t="s">
        <v>19</v>
      </c>
      <c r="N1890">
        <v>2352</v>
      </c>
      <c r="O1890">
        <v>131</v>
      </c>
      <c r="P1890">
        <v>0</v>
      </c>
      <c r="Q1890" t="s">
        <v>7812</v>
      </c>
      <c r="R1890" t="s">
        <v>279</v>
      </c>
      <c r="S1890" t="s">
        <v>7813</v>
      </c>
      <c r="T1890" t="s">
        <v>7814</v>
      </c>
      <c r="U1890" t="s">
        <v>60</v>
      </c>
      <c r="V1890" t="s">
        <v>61</v>
      </c>
      <c r="W1890">
        <v>3</v>
      </c>
      <c r="X1890">
        <v>0.109375</v>
      </c>
      <c r="Y1890" t="s">
        <v>281</v>
      </c>
      <c r="Z1890" t="s">
        <v>282</v>
      </c>
      <c r="AA1890">
        <v>1</v>
      </c>
      <c r="AB1890" t="s">
        <v>7678</v>
      </c>
      <c r="AC1890" t="s">
        <v>7679</v>
      </c>
      <c r="AD1890" t="s">
        <v>7680</v>
      </c>
      <c r="AE1890" t="s">
        <v>7681</v>
      </c>
      <c r="AF1890" t="s">
        <v>7682</v>
      </c>
      <c r="AG1890" t="s">
        <v>806</v>
      </c>
      <c r="AH1890" t="s">
        <v>66</v>
      </c>
      <c r="AI1890" t="s">
        <v>66</v>
      </c>
      <c r="AJ1890" t="s">
        <v>66</v>
      </c>
      <c r="AK1890">
        <v>1</v>
      </c>
      <c r="AL1890" t="s">
        <v>66</v>
      </c>
      <c r="AM1890" t="s">
        <v>66</v>
      </c>
      <c r="AN1890" t="s">
        <v>66</v>
      </c>
      <c r="AO1890" t="s">
        <v>66</v>
      </c>
      <c r="AP1890">
        <v>1</v>
      </c>
      <c r="AQ1890" t="s">
        <v>66</v>
      </c>
      <c r="AR1890" t="s">
        <v>66</v>
      </c>
      <c r="AS1890" t="s">
        <v>66</v>
      </c>
      <c r="AT1890" t="s">
        <v>66</v>
      </c>
    </row>
    <row r="1891" spans="1:46" x14ac:dyDescent="0.15">
      <c r="A1891" t="s">
        <v>7815</v>
      </c>
      <c r="B1891" t="s">
        <v>7672</v>
      </c>
      <c r="C1891" t="s">
        <v>7673</v>
      </c>
      <c r="D1891">
        <v>35</v>
      </c>
      <c r="E1891" t="s">
        <v>7674</v>
      </c>
      <c r="F1891" t="s">
        <v>4516</v>
      </c>
      <c r="G1891" t="s">
        <v>51</v>
      </c>
      <c r="H1891" t="s">
        <v>7675</v>
      </c>
      <c r="I1891" t="s">
        <v>1553</v>
      </c>
      <c r="J1891" t="s">
        <v>721</v>
      </c>
      <c r="K1891" t="s">
        <v>55</v>
      </c>
      <c r="L1891" t="s">
        <v>16</v>
      </c>
      <c r="M1891" t="s">
        <v>19</v>
      </c>
      <c r="N1891">
        <v>2408</v>
      </c>
      <c r="O1891">
        <v>134</v>
      </c>
      <c r="P1891">
        <v>0</v>
      </c>
      <c r="Q1891" t="s">
        <v>7816</v>
      </c>
      <c r="R1891" t="s">
        <v>286</v>
      </c>
      <c r="S1891" t="s">
        <v>7817</v>
      </c>
      <c r="T1891" t="s">
        <v>7818</v>
      </c>
      <c r="U1891" t="s">
        <v>60</v>
      </c>
      <c r="V1891" t="s">
        <v>61</v>
      </c>
      <c r="W1891">
        <v>3</v>
      </c>
      <c r="X1891">
        <v>0.109375</v>
      </c>
      <c r="Y1891" t="s">
        <v>177</v>
      </c>
      <c r="Z1891" t="s">
        <v>288</v>
      </c>
      <c r="AA1891">
        <v>1</v>
      </c>
      <c r="AB1891" t="s">
        <v>7678</v>
      </c>
      <c r="AC1891" t="s">
        <v>7679</v>
      </c>
      <c r="AD1891" t="s">
        <v>7680</v>
      </c>
      <c r="AE1891" t="s">
        <v>7681</v>
      </c>
      <c r="AF1891" t="s">
        <v>7682</v>
      </c>
      <c r="AG1891" t="s">
        <v>806</v>
      </c>
      <c r="AH1891" t="s">
        <v>66</v>
      </c>
      <c r="AI1891" t="s">
        <v>66</v>
      </c>
      <c r="AJ1891" t="s">
        <v>66</v>
      </c>
      <c r="AK1891">
        <v>1</v>
      </c>
      <c r="AL1891" t="s">
        <v>66</v>
      </c>
      <c r="AM1891" t="s">
        <v>66</v>
      </c>
      <c r="AN1891" t="s">
        <v>66</v>
      </c>
      <c r="AO1891" t="s">
        <v>66</v>
      </c>
      <c r="AP1891">
        <v>1</v>
      </c>
      <c r="AQ1891" t="s">
        <v>66</v>
      </c>
      <c r="AR1891" t="s">
        <v>66</v>
      </c>
      <c r="AS1891" t="s">
        <v>66</v>
      </c>
      <c r="AT1891" t="s">
        <v>66</v>
      </c>
    </row>
    <row r="1892" spans="1:46" x14ac:dyDescent="0.15">
      <c r="A1892" t="s">
        <v>7819</v>
      </c>
      <c r="B1892" t="s">
        <v>7672</v>
      </c>
      <c r="C1892" t="s">
        <v>7673</v>
      </c>
      <c r="D1892">
        <v>36</v>
      </c>
      <c r="E1892" t="s">
        <v>7674</v>
      </c>
      <c r="F1892" t="s">
        <v>4516</v>
      </c>
      <c r="G1892" t="s">
        <v>51</v>
      </c>
      <c r="H1892" t="s">
        <v>7675</v>
      </c>
      <c r="I1892" t="s">
        <v>1553</v>
      </c>
      <c r="J1892" t="s">
        <v>721</v>
      </c>
      <c r="K1892" t="s">
        <v>55</v>
      </c>
      <c r="L1892" t="s">
        <v>16</v>
      </c>
      <c r="M1892" t="s">
        <v>19</v>
      </c>
      <c r="N1892">
        <v>2464</v>
      </c>
      <c r="O1892">
        <v>137</v>
      </c>
      <c r="P1892">
        <v>0</v>
      </c>
      <c r="Q1892" t="s">
        <v>7820</v>
      </c>
      <c r="R1892" t="s">
        <v>292</v>
      </c>
      <c r="S1892" t="s">
        <v>7821</v>
      </c>
      <c r="T1892" t="s">
        <v>7822</v>
      </c>
      <c r="U1892" t="s">
        <v>60</v>
      </c>
      <c r="V1892" t="s">
        <v>61</v>
      </c>
      <c r="W1892">
        <v>3</v>
      </c>
      <c r="X1892">
        <v>0.109375</v>
      </c>
      <c r="Y1892" t="s">
        <v>294</v>
      </c>
      <c r="Z1892" t="s">
        <v>295</v>
      </c>
      <c r="AA1892">
        <v>1</v>
      </c>
      <c r="AB1892" t="s">
        <v>7678</v>
      </c>
      <c r="AC1892" t="s">
        <v>7679</v>
      </c>
      <c r="AD1892" t="s">
        <v>7680</v>
      </c>
      <c r="AE1892" t="s">
        <v>7681</v>
      </c>
      <c r="AF1892" t="s">
        <v>7682</v>
      </c>
      <c r="AG1892" t="s">
        <v>806</v>
      </c>
      <c r="AH1892" t="s">
        <v>66</v>
      </c>
      <c r="AI1892" t="s">
        <v>66</v>
      </c>
      <c r="AJ1892" t="s">
        <v>66</v>
      </c>
      <c r="AK1892">
        <v>1</v>
      </c>
      <c r="AL1892" t="s">
        <v>66</v>
      </c>
      <c r="AM1892" t="s">
        <v>66</v>
      </c>
      <c r="AN1892" t="s">
        <v>66</v>
      </c>
      <c r="AO1892" t="s">
        <v>66</v>
      </c>
      <c r="AP1892">
        <v>1</v>
      </c>
      <c r="AQ1892" t="s">
        <v>66</v>
      </c>
      <c r="AR1892" t="s">
        <v>66</v>
      </c>
      <c r="AS1892" t="s">
        <v>66</v>
      </c>
      <c r="AT1892" t="s">
        <v>66</v>
      </c>
    </row>
    <row r="1893" spans="1:46" x14ac:dyDescent="0.15">
      <c r="A1893" t="s">
        <v>7823</v>
      </c>
      <c r="B1893" t="s">
        <v>7672</v>
      </c>
      <c r="C1893" t="s">
        <v>7673</v>
      </c>
      <c r="D1893">
        <v>37</v>
      </c>
      <c r="E1893" t="s">
        <v>7674</v>
      </c>
      <c r="F1893" t="s">
        <v>4516</v>
      </c>
      <c r="G1893" t="s">
        <v>51</v>
      </c>
      <c r="H1893" t="s">
        <v>7675</v>
      </c>
      <c r="I1893" t="s">
        <v>1553</v>
      </c>
      <c r="J1893" t="s">
        <v>721</v>
      </c>
      <c r="K1893" t="s">
        <v>55</v>
      </c>
      <c r="L1893" t="s">
        <v>16</v>
      </c>
      <c r="M1893" t="s">
        <v>19</v>
      </c>
      <c r="N1893">
        <v>2520</v>
      </c>
      <c r="O1893">
        <v>140</v>
      </c>
      <c r="P1893">
        <v>0</v>
      </c>
      <c r="Q1893" t="s">
        <v>7824</v>
      </c>
      <c r="R1893" t="s">
        <v>299</v>
      </c>
      <c r="S1893" t="s">
        <v>7825</v>
      </c>
      <c r="T1893" t="s">
        <v>7826</v>
      </c>
      <c r="U1893" t="s">
        <v>60</v>
      </c>
      <c r="V1893" t="s">
        <v>61</v>
      </c>
      <c r="W1893">
        <v>3</v>
      </c>
      <c r="X1893">
        <v>0.109375</v>
      </c>
      <c r="Y1893" t="s">
        <v>183</v>
      </c>
      <c r="Z1893" t="s">
        <v>301</v>
      </c>
      <c r="AA1893">
        <v>1</v>
      </c>
      <c r="AB1893" t="s">
        <v>7678</v>
      </c>
      <c r="AC1893" t="s">
        <v>7679</v>
      </c>
      <c r="AD1893" t="s">
        <v>7680</v>
      </c>
      <c r="AE1893" t="s">
        <v>7681</v>
      </c>
      <c r="AF1893" t="s">
        <v>7682</v>
      </c>
      <c r="AG1893" t="s">
        <v>806</v>
      </c>
      <c r="AH1893" t="s">
        <v>66</v>
      </c>
      <c r="AI1893" t="s">
        <v>66</v>
      </c>
      <c r="AJ1893" t="s">
        <v>66</v>
      </c>
      <c r="AK1893">
        <v>1</v>
      </c>
      <c r="AL1893" t="s">
        <v>66</v>
      </c>
      <c r="AM1893" t="s">
        <v>66</v>
      </c>
      <c r="AN1893" t="s">
        <v>66</v>
      </c>
      <c r="AO1893" t="s">
        <v>66</v>
      </c>
      <c r="AP1893">
        <v>1</v>
      </c>
      <c r="AQ1893" t="s">
        <v>66</v>
      </c>
      <c r="AR1893" t="s">
        <v>66</v>
      </c>
      <c r="AS1893" t="s">
        <v>66</v>
      </c>
      <c r="AT1893" t="s">
        <v>66</v>
      </c>
    </row>
    <row r="1894" spans="1:46" x14ac:dyDescent="0.15">
      <c r="A1894" t="s">
        <v>7827</v>
      </c>
      <c r="B1894" t="s">
        <v>7672</v>
      </c>
      <c r="C1894" t="s">
        <v>7673</v>
      </c>
      <c r="D1894">
        <v>38</v>
      </c>
      <c r="E1894" t="s">
        <v>7674</v>
      </c>
      <c r="F1894" t="s">
        <v>4516</v>
      </c>
      <c r="G1894" t="s">
        <v>51</v>
      </c>
      <c r="H1894" t="s">
        <v>7675</v>
      </c>
      <c r="I1894" t="s">
        <v>1553</v>
      </c>
      <c r="J1894" t="s">
        <v>721</v>
      </c>
      <c r="K1894" t="s">
        <v>55</v>
      </c>
      <c r="L1894" t="s">
        <v>16</v>
      </c>
      <c r="M1894" t="s">
        <v>19</v>
      </c>
      <c r="N1894">
        <v>2577</v>
      </c>
      <c r="O1894">
        <v>143</v>
      </c>
      <c r="P1894">
        <v>0</v>
      </c>
      <c r="Q1894" t="s">
        <v>7828</v>
      </c>
      <c r="R1894" t="s">
        <v>305</v>
      </c>
      <c r="S1894" t="s">
        <v>7829</v>
      </c>
      <c r="T1894" t="s">
        <v>7830</v>
      </c>
      <c r="U1894" t="s">
        <v>60</v>
      </c>
      <c r="V1894" t="s">
        <v>61</v>
      </c>
      <c r="W1894">
        <v>3</v>
      </c>
      <c r="X1894">
        <v>0.109375</v>
      </c>
      <c r="Y1894" t="s">
        <v>307</v>
      </c>
      <c r="Z1894" t="s">
        <v>308</v>
      </c>
      <c r="AA1894">
        <v>1</v>
      </c>
      <c r="AB1894" t="s">
        <v>7678</v>
      </c>
      <c r="AC1894" t="s">
        <v>7679</v>
      </c>
      <c r="AD1894" t="s">
        <v>7680</v>
      </c>
      <c r="AE1894" t="s">
        <v>7681</v>
      </c>
      <c r="AF1894" t="s">
        <v>7682</v>
      </c>
      <c r="AG1894" t="s">
        <v>806</v>
      </c>
      <c r="AH1894" t="s">
        <v>66</v>
      </c>
      <c r="AI1894" t="s">
        <v>66</v>
      </c>
      <c r="AJ1894" t="s">
        <v>66</v>
      </c>
      <c r="AK1894">
        <v>1</v>
      </c>
      <c r="AL1894" t="s">
        <v>66</v>
      </c>
      <c r="AM1894" t="s">
        <v>66</v>
      </c>
      <c r="AN1894" t="s">
        <v>66</v>
      </c>
      <c r="AO1894" t="s">
        <v>66</v>
      </c>
      <c r="AP1894">
        <v>1</v>
      </c>
      <c r="AQ1894" t="s">
        <v>66</v>
      </c>
      <c r="AR1894" t="s">
        <v>66</v>
      </c>
      <c r="AS1894" t="s">
        <v>66</v>
      </c>
      <c r="AT1894" t="s">
        <v>66</v>
      </c>
    </row>
    <row r="1895" spans="1:46" x14ac:dyDescent="0.15">
      <c r="A1895" t="s">
        <v>7831</v>
      </c>
      <c r="B1895" t="s">
        <v>7672</v>
      </c>
      <c r="C1895" t="s">
        <v>7673</v>
      </c>
      <c r="D1895">
        <v>39</v>
      </c>
      <c r="E1895" t="s">
        <v>7674</v>
      </c>
      <c r="F1895" t="s">
        <v>4516</v>
      </c>
      <c r="G1895" t="s">
        <v>51</v>
      </c>
      <c r="H1895" t="s">
        <v>7675</v>
      </c>
      <c r="I1895" t="s">
        <v>1553</v>
      </c>
      <c r="J1895" t="s">
        <v>721</v>
      </c>
      <c r="K1895" t="s">
        <v>55</v>
      </c>
      <c r="L1895" t="s">
        <v>16</v>
      </c>
      <c r="M1895" t="s">
        <v>19</v>
      </c>
      <c r="N1895">
        <v>2633</v>
      </c>
      <c r="O1895">
        <v>147</v>
      </c>
      <c r="P1895">
        <v>0</v>
      </c>
      <c r="Q1895" t="s">
        <v>7832</v>
      </c>
      <c r="R1895" t="s">
        <v>312</v>
      </c>
      <c r="S1895" t="s">
        <v>7833</v>
      </c>
      <c r="T1895" t="s">
        <v>7834</v>
      </c>
      <c r="U1895" t="s">
        <v>60</v>
      </c>
      <c r="V1895" t="s">
        <v>61</v>
      </c>
      <c r="W1895">
        <v>3</v>
      </c>
      <c r="X1895">
        <v>0.109375</v>
      </c>
      <c r="Y1895" t="s">
        <v>190</v>
      </c>
      <c r="Z1895" t="s">
        <v>314</v>
      </c>
      <c r="AA1895">
        <v>1</v>
      </c>
      <c r="AB1895" t="s">
        <v>7678</v>
      </c>
      <c r="AC1895" t="s">
        <v>7679</v>
      </c>
      <c r="AD1895" t="s">
        <v>7680</v>
      </c>
      <c r="AE1895" t="s">
        <v>7681</v>
      </c>
      <c r="AF1895" t="s">
        <v>7682</v>
      </c>
      <c r="AG1895" t="s">
        <v>806</v>
      </c>
      <c r="AH1895" t="s">
        <v>66</v>
      </c>
      <c r="AI1895" t="s">
        <v>66</v>
      </c>
      <c r="AJ1895" t="s">
        <v>66</v>
      </c>
      <c r="AK1895">
        <v>1</v>
      </c>
      <c r="AL1895" t="s">
        <v>66</v>
      </c>
      <c r="AM1895" t="s">
        <v>66</v>
      </c>
      <c r="AN1895" t="s">
        <v>66</v>
      </c>
      <c r="AO1895" t="s">
        <v>66</v>
      </c>
      <c r="AP1895">
        <v>1</v>
      </c>
      <c r="AQ1895" t="s">
        <v>66</v>
      </c>
      <c r="AR1895" t="s">
        <v>66</v>
      </c>
      <c r="AS1895" t="s">
        <v>66</v>
      </c>
      <c r="AT1895" t="s">
        <v>66</v>
      </c>
    </row>
    <row r="1896" spans="1:46" x14ac:dyDescent="0.15">
      <c r="A1896" t="s">
        <v>7835</v>
      </c>
      <c r="B1896" t="s">
        <v>7672</v>
      </c>
      <c r="C1896" t="s">
        <v>7673</v>
      </c>
      <c r="D1896">
        <v>40</v>
      </c>
      <c r="E1896" t="s">
        <v>7674</v>
      </c>
      <c r="F1896" t="s">
        <v>4516</v>
      </c>
      <c r="G1896" t="s">
        <v>51</v>
      </c>
      <c r="H1896" t="s">
        <v>7675</v>
      </c>
      <c r="I1896" t="s">
        <v>1553</v>
      </c>
      <c r="J1896" t="s">
        <v>721</v>
      </c>
      <c r="K1896" t="s">
        <v>55</v>
      </c>
      <c r="L1896" t="s">
        <v>16</v>
      </c>
      <c r="M1896" t="s">
        <v>19</v>
      </c>
      <c r="N1896">
        <v>2689</v>
      </c>
      <c r="O1896">
        <v>150</v>
      </c>
      <c r="P1896">
        <v>0</v>
      </c>
      <c r="Q1896" t="s">
        <v>7836</v>
      </c>
      <c r="R1896" t="s">
        <v>318</v>
      </c>
      <c r="S1896" t="s">
        <v>7837</v>
      </c>
      <c r="T1896" t="s">
        <v>7838</v>
      </c>
      <c r="U1896" t="s">
        <v>60</v>
      </c>
      <c r="V1896" t="s">
        <v>61</v>
      </c>
      <c r="W1896">
        <v>3</v>
      </c>
      <c r="X1896">
        <v>0.109375</v>
      </c>
      <c r="Y1896" t="s">
        <v>320</v>
      </c>
      <c r="Z1896" t="s">
        <v>321</v>
      </c>
      <c r="AA1896">
        <v>1</v>
      </c>
      <c r="AB1896" t="s">
        <v>7678</v>
      </c>
      <c r="AC1896" t="s">
        <v>7679</v>
      </c>
      <c r="AD1896" t="s">
        <v>7680</v>
      </c>
      <c r="AE1896" t="s">
        <v>7681</v>
      </c>
      <c r="AF1896" t="s">
        <v>7682</v>
      </c>
      <c r="AG1896" t="s">
        <v>806</v>
      </c>
      <c r="AH1896" t="s">
        <v>66</v>
      </c>
      <c r="AI1896" t="s">
        <v>66</v>
      </c>
      <c r="AJ1896" t="s">
        <v>66</v>
      </c>
      <c r="AK1896">
        <v>1</v>
      </c>
      <c r="AL1896" t="s">
        <v>66</v>
      </c>
      <c r="AM1896" t="s">
        <v>66</v>
      </c>
      <c r="AN1896" t="s">
        <v>66</v>
      </c>
      <c r="AO1896" t="s">
        <v>66</v>
      </c>
      <c r="AP1896">
        <v>1</v>
      </c>
      <c r="AQ1896" t="s">
        <v>66</v>
      </c>
      <c r="AR1896" t="s">
        <v>66</v>
      </c>
      <c r="AS1896" t="s">
        <v>66</v>
      </c>
      <c r="AT1896" t="s">
        <v>66</v>
      </c>
    </row>
    <row r="1897" spans="1:46" x14ac:dyDescent="0.15">
      <c r="A1897" t="s">
        <v>7835</v>
      </c>
      <c r="B1897" t="s">
        <v>7672</v>
      </c>
      <c r="C1897" t="s">
        <v>7673</v>
      </c>
      <c r="D1897">
        <v>40</v>
      </c>
      <c r="E1897" t="s">
        <v>7674</v>
      </c>
      <c r="F1897" t="s">
        <v>4516</v>
      </c>
      <c r="G1897" t="s">
        <v>51</v>
      </c>
      <c r="H1897" t="s">
        <v>7675</v>
      </c>
      <c r="I1897" t="s">
        <v>1553</v>
      </c>
      <c r="J1897" t="s">
        <v>721</v>
      </c>
      <c r="K1897" t="s">
        <v>55</v>
      </c>
      <c r="L1897" t="s">
        <v>16</v>
      </c>
      <c r="M1897" t="s">
        <v>19</v>
      </c>
      <c r="N1897">
        <v>2689</v>
      </c>
      <c r="O1897">
        <v>150</v>
      </c>
      <c r="P1897">
        <v>0</v>
      </c>
      <c r="Q1897" t="s">
        <v>7836</v>
      </c>
      <c r="R1897" t="s">
        <v>318</v>
      </c>
      <c r="S1897" t="s">
        <v>7837</v>
      </c>
      <c r="T1897" t="s">
        <v>7838</v>
      </c>
      <c r="U1897" t="s">
        <v>60</v>
      </c>
      <c r="V1897" t="s">
        <v>61</v>
      </c>
      <c r="W1897">
        <v>3</v>
      </c>
      <c r="X1897">
        <v>0.109375</v>
      </c>
      <c r="Y1897" t="s">
        <v>320</v>
      </c>
      <c r="Z1897" t="s">
        <v>321</v>
      </c>
      <c r="AA1897">
        <v>2</v>
      </c>
      <c r="AB1897" t="s">
        <v>7678</v>
      </c>
      <c r="AC1897" t="s">
        <v>7679</v>
      </c>
      <c r="AD1897" t="s">
        <v>7680</v>
      </c>
      <c r="AE1897" t="s">
        <v>7681</v>
      </c>
      <c r="AF1897" t="s">
        <v>7682</v>
      </c>
      <c r="AG1897" t="s">
        <v>806</v>
      </c>
      <c r="AH1897" t="s">
        <v>889</v>
      </c>
      <c r="AI1897" t="s">
        <v>66</v>
      </c>
      <c r="AJ1897" t="s">
        <v>66</v>
      </c>
      <c r="AK1897">
        <v>1</v>
      </c>
      <c r="AL1897" t="s">
        <v>66</v>
      </c>
      <c r="AM1897" t="s">
        <v>66</v>
      </c>
      <c r="AN1897" t="s">
        <v>66</v>
      </c>
      <c r="AO1897" t="s">
        <v>66</v>
      </c>
      <c r="AP1897">
        <v>1</v>
      </c>
      <c r="AQ1897" t="s">
        <v>66</v>
      </c>
      <c r="AR1897" t="s">
        <v>66</v>
      </c>
      <c r="AS1897" t="s">
        <v>66</v>
      </c>
      <c r="AT1897" t="s">
        <v>66</v>
      </c>
    </row>
    <row r="1898" spans="1:46" x14ac:dyDescent="0.15">
      <c r="A1898" t="s">
        <v>7839</v>
      </c>
      <c r="B1898" t="s">
        <v>7672</v>
      </c>
      <c r="C1898" t="s">
        <v>7673</v>
      </c>
      <c r="D1898">
        <v>41</v>
      </c>
      <c r="E1898" t="s">
        <v>7674</v>
      </c>
      <c r="F1898" t="s">
        <v>4516</v>
      </c>
      <c r="G1898" t="s">
        <v>51</v>
      </c>
      <c r="H1898" t="s">
        <v>7675</v>
      </c>
      <c r="I1898" t="s">
        <v>1553</v>
      </c>
      <c r="J1898" t="s">
        <v>721</v>
      </c>
      <c r="K1898" t="s">
        <v>55</v>
      </c>
      <c r="L1898" t="s">
        <v>16</v>
      </c>
      <c r="M1898" t="s">
        <v>19</v>
      </c>
      <c r="N1898">
        <v>2745</v>
      </c>
      <c r="O1898">
        <v>153</v>
      </c>
      <c r="P1898">
        <v>0</v>
      </c>
      <c r="Q1898" t="s">
        <v>7840</v>
      </c>
      <c r="R1898" t="s">
        <v>328</v>
      </c>
      <c r="S1898" t="s">
        <v>7841</v>
      </c>
      <c r="T1898" t="s">
        <v>7842</v>
      </c>
      <c r="U1898" t="s">
        <v>60</v>
      </c>
      <c r="V1898" t="s">
        <v>61</v>
      </c>
      <c r="W1898">
        <v>3</v>
      </c>
      <c r="X1898">
        <v>0.109375</v>
      </c>
      <c r="Y1898" t="s">
        <v>197</v>
      </c>
      <c r="Z1898" t="s">
        <v>330</v>
      </c>
      <c r="AA1898">
        <v>2</v>
      </c>
      <c r="AB1898" t="s">
        <v>7678</v>
      </c>
      <c r="AC1898" t="s">
        <v>7679</v>
      </c>
      <c r="AD1898" t="s">
        <v>7680</v>
      </c>
      <c r="AE1898" t="s">
        <v>7681</v>
      </c>
      <c r="AF1898" t="s">
        <v>7682</v>
      </c>
      <c r="AG1898" t="s">
        <v>806</v>
      </c>
      <c r="AH1898" t="s">
        <v>889</v>
      </c>
      <c r="AI1898" t="s">
        <v>66</v>
      </c>
      <c r="AJ1898" t="s">
        <v>66</v>
      </c>
      <c r="AK1898">
        <v>1</v>
      </c>
      <c r="AL1898" t="s">
        <v>66</v>
      </c>
      <c r="AM1898" t="s">
        <v>66</v>
      </c>
      <c r="AN1898" t="s">
        <v>66</v>
      </c>
      <c r="AO1898" t="s">
        <v>66</v>
      </c>
      <c r="AP1898">
        <v>1</v>
      </c>
      <c r="AQ1898" t="s">
        <v>66</v>
      </c>
      <c r="AR1898" t="s">
        <v>66</v>
      </c>
      <c r="AS1898" t="s">
        <v>66</v>
      </c>
      <c r="AT1898" t="s">
        <v>66</v>
      </c>
    </row>
    <row r="1899" spans="1:46" x14ac:dyDescent="0.15">
      <c r="A1899" t="s">
        <v>7843</v>
      </c>
      <c r="B1899" t="s">
        <v>7672</v>
      </c>
      <c r="C1899" t="s">
        <v>7673</v>
      </c>
      <c r="D1899">
        <v>42</v>
      </c>
      <c r="E1899" t="s">
        <v>7674</v>
      </c>
      <c r="F1899" t="s">
        <v>4516</v>
      </c>
      <c r="G1899" t="s">
        <v>51</v>
      </c>
      <c r="H1899" t="s">
        <v>7675</v>
      </c>
      <c r="I1899" t="s">
        <v>1553</v>
      </c>
      <c r="J1899" t="s">
        <v>721</v>
      </c>
      <c r="K1899" t="s">
        <v>55</v>
      </c>
      <c r="L1899" t="s">
        <v>16</v>
      </c>
      <c r="M1899" t="s">
        <v>19</v>
      </c>
      <c r="N1899">
        <v>2801</v>
      </c>
      <c r="O1899">
        <v>156</v>
      </c>
      <c r="P1899">
        <v>0</v>
      </c>
      <c r="Q1899" t="s">
        <v>7844</v>
      </c>
      <c r="R1899" t="s">
        <v>334</v>
      </c>
      <c r="S1899" t="s">
        <v>7845</v>
      </c>
      <c r="T1899" t="s">
        <v>7846</v>
      </c>
      <c r="U1899" t="s">
        <v>60</v>
      </c>
      <c r="V1899" t="s">
        <v>61</v>
      </c>
      <c r="W1899">
        <v>3</v>
      </c>
      <c r="X1899">
        <v>0.109375</v>
      </c>
      <c r="Y1899" t="s">
        <v>336</v>
      </c>
      <c r="Z1899" t="s">
        <v>337</v>
      </c>
      <c r="AA1899">
        <v>2</v>
      </c>
      <c r="AB1899" t="s">
        <v>7678</v>
      </c>
      <c r="AC1899" t="s">
        <v>7679</v>
      </c>
      <c r="AD1899" t="s">
        <v>7680</v>
      </c>
      <c r="AE1899" t="s">
        <v>7681</v>
      </c>
      <c r="AF1899" t="s">
        <v>7682</v>
      </c>
      <c r="AG1899" t="s">
        <v>806</v>
      </c>
      <c r="AH1899" t="s">
        <v>889</v>
      </c>
      <c r="AI1899" t="s">
        <v>66</v>
      </c>
      <c r="AJ1899" t="s">
        <v>66</v>
      </c>
      <c r="AK1899">
        <v>1</v>
      </c>
      <c r="AL1899" t="s">
        <v>66</v>
      </c>
      <c r="AM1899" t="s">
        <v>66</v>
      </c>
      <c r="AN1899" t="s">
        <v>66</v>
      </c>
      <c r="AO1899" t="s">
        <v>66</v>
      </c>
      <c r="AP1899">
        <v>1</v>
      </c>
      <c r="AQ1899" t="s">
        <v>66</v>
      </c>
      <c r="AR1899" t="s">
        <v>66</v>
      </c>
      <c r="AS1899" t="s">
        <v>66</v>
      </c>
      <c r="AT1899" t="s">
        <v>66</v>
      </c>
    </row>
    <row r="1900" spans="1:46" x14ac:dyDescent="0.15">
      <c r="A1900" t="s">
        <v>7847</v>
      </c>
      <c r="B1900" t="s">
        <v>7672</v>
      </c>
      <c r="C1900" t="s">
        <v>7673</v>
      </c>
      <c r="D1900">
        <v>43</v>
      </c>
      <c r="E1900" t="s">
        <v>7674</v>
      </c>
      <c r="F1900" t="s">
        <v>4516</v>
      </c>
      <c r="G1900" t="s">
        <v>51</v>
      </c>
      <c r="H1900" t="s">
        <v>7675</v>
      </c>
      <c r="I1900" t="s">
        <v>1553</v>
      </c>
      <c r="J1900" t="s">
        <v>721</v>
      </c>
      <c r="K1900" t="s">
        <v>55</v>
      </c>
      <c r="L1900" t="s">
        <v>16</v>
      </c>
      <c r="M1900" t="s">
        <v>19</v>
      </c>
      <c r="N1900">
        <v>2857</v>
      </c>
      <c r="O1900">
        <v>159</v>
      </c>
      <c r="P1900">
        <v>0</v>
      </c>
      <c r="Q1900" t="s">
        <v>7848</v>
      </c>
      <c r="R1900" t="s">
        <v>341</v>
      </c>
      <c r="S1900" t="s">
        <v>7849</v>
      </c>
      <c r="T1900" t="s">
        <v>7850</v>
      </c>
      <c r="U1900" t="s">
        <v>60</v>
      </c>
      <c r="V1900" t="s">
        <v>61</v>
      </c>
      <c r="W1900">
        <v>3</v>
      </c>
      <c r="X1900">
        <v>0.109375</v>
      </c>
      <c r="Y1900" t="s">
        <v>204</v>
      </c>
      <c r="Z1900" t="s">
        <v>343</v>
      </c>
      <c r="AA1900">
        <v>2</v>
      </c>
      <c r="AB1900" t="s">
        <v>7678</v>
      </c>
      <c r="AC1900" t="s">
        <v>7679</v>
      </c>
      <c r="AD1900" t="s">
        <v>7680</v>
      </c>
      <c r="AE1900" t="s">
        <v>7681</v>
      </c>
      <c r="AF1900" t="s">
        <v>7682</v>
      </c>
      <c r="AG1900" t="s">
        <v>806</v>
      </c>
      <c r="AH1900" t="s">
        <v>889</v>
      </c>
      <c r="AI1900" t="s">
        <v>66</v>
      </c>
      <c r="AJ1900" t="s">
        <v>66</v>
      </c>
      <c r="AK1900">
        <v>1</v>
      </c>
      <c r="AL1900" t="s">
        <v>66</v>
      </c>
      <c r="AM1900" t="s">
        <v>66</v>
      </c>
      <c r="AN1900" t="s">
        <v>66</v>
      </c>
      <c r="AO1900" t="s">
        <v>66</v>
      </c>
      <c r="AP1900">
        <v>1</v>
      </c>
      <c r="AQ1900" t="s">
        <v>66</v>
      </c>
      <c r="AR1900" t="s">
        <v>66</v>
      </c>
      <c r="AS1900" t="s">
        <v>66</v>
      </c>
      <c r="AT1900" t="s">
        <v>66</v>
      </c>
    </row>
    <row r="1901" spans="1:46" x14ac:dyDescent="0.15">
      <c r="A1901" t="s">
        <v>7851</v>
      </c>
      <c r="B1901" t="s">
        <v>7672</v>
      </c>
      <c r="C1901" t="s">
        <v>7673</v>
      </c>
      <c r="D1901">
        <v>44</v>
      </c>
      <c r="E1901" t="s">
        <v>7674</v>
      </c>
      <c r="F1901" t="s">
        <v>4516</v>
      </c>
      <c r="G1901" t="s">
        <v>51</v>
      </c>
      <c r="H1901" t="s">
        <v>7675</v>
      </c>
      <c r="I1901" t="s">
        <v>1553</v>
      </c>
      <c r="J1901" t="s">
        <v>721</v>
      </c>
      <c r="K1901" t="s">
        <v>55</v>
      </c>
      <c r="L1901" t="s">
        <v>16</v>
      </c>
      <c r="M1901" t="s">
        <v>19</v>
      </c>
      <c r="N1901">
        <v>2913</v>
      </c>
      <c r="O1901">
        <v>162</v>
      </c>
      <c r="P1901">
        <v>0</v>
      </c>
      <c r="Q1901" t="s">
        <v>7852</v>
      </c>
      <c r="R1901" t="s">
        <v>347</v>
      </c>
      <c r="S1901" t="s">
        <v>7853</v>
      </c>
      <c r="T1901" t="s">
        <v>7854</v>
      </c>
      <c r="U1901" t="s">
        <v>60</v>
      </c>
      <c r="V1901" t="s">
        <v>61</v>
      </c>
      <c r="W1901">
        <v>3</v>
      </c>
      <c r="X1901">
        <v>0.109375</v>
      </c>
      <c r="Y1901" t="s">
        <v>349</v>
      </c>
      <c r="Z1901" t="s">
        <v>350</v>
      </c>
      <c r="AA1901">
        <v>2</v>
      </c>
      <c r="AB1901" t="s">
        <v>7678</v>
      </c>
      <c r="AC1901" t="s">
        <v>7679</v>
      </c>
      <c r="AD1901" t="s">
        <v>7680</v>
      </c>
      <c r="AE1901" t="s">
        <v>7681</v>
      </c>
      <c r="AF1901" t="s">
        <v>7682</v>
      </c>
      <c r="AG1901" t="s">
        <v>806</v>
      </c>
      <c r="AH1901" t="s">
        <v>889</v>
      </c>
      <c r="AI1901" t="s">
        <v>66</v>
      </c>
      <c r="AJ1901" t="s">
        <v>66</v>
      </c>
      <c r="AK1901">
        <v>1</v>
      </c>
      <c r="AL1901" t="s">
        <v>66</v>
      </c>
      <c r="AM1901" t="s">
        <v>66</v>
      </c>
      <c r="AN1901" t="s">
        <v>66</v>
      </c>
      <c r="AO1901" t="s">
        <v>66</v>
      </c>
      <c r="AP1901">
        <v>1</v>
      </c>
      <c r="AQ1901" t="s">
        <v>66</v>
      </c>
      <c r="AR1901" t="s">
        <v>66</v>
      </c>
      <c r="AS1901" t="s">
        <v>66</v>
      </c>
      <c r="AT1901" t="s">
        <v>66</v>
      </c>
    </row>
    <row r="1902" spans="1:46" x14ac:dyDescent="0.15">
      <c r="A1902" t="s">
        <v>7855</v>
      </c>
      <c r="B1902" t="s">
        <v>7672</v>
      </c>
      <c r="C1902" t="s">
        <v>7673</v>
      </c>
      <c r="D1902">
        <v>45</v>
      </c>
      <c r="E1902" t="s">
        <v>7674</v>
      </c>
      <c r="F1902" t="s">
        <v>4516</v>
      </c>
      <c r="G1902" t="s">
        <v>51</v>
      </c>
      <c r="H1902" t="s">
        <v>7675</v>
      </c>
      <c r="I1902" t="s">
        <v>1553</v>
      </c>
      <c r="J1902" t="s">
        <v>721</v>
      </c>
      <c r="K1902" t="s">
        <v>55</v>
      </c>
      <c r="L1902" t="s">
        <v>16</v>
      </c>
      <c r="M1902" t="s">
        <v>19</v>
      </c>
      <c r="N1902">
        <v>2969</v>
      </c>
      <c r="O1902">
        <v>165</v>
      </c>
      <c r="P1902">
        <v>0</v>
      </c>
      <c r="Q1902" t="s">
        <v>7856</v>
      </c>
      <c r="R1902" t="s">
        <v>354</v>
      </c>
      <c r="S1902" t="s">
        <v>7857</v>
      </c>
      <c r="T1902" t="s">
        <v>7858</v>
      </c>
      <c r="U1902" t="s">
        <v>60</v>
      </c>
      <c r="V1902" t="s">
        <v>61</v>
      </c>
      <c r="W1902">
        <v>3</v>
      </c>
      <c r="X1902">
        <v>0.109375</v>
      </c>
      <c r="Y1902" t="s">
        <v>210</v>
      </c>
      <c r="Z1902" t="s">
        <v>356</v>
      </c>
      <c r="AA1902">
        <v>2</v>
      </c>
      <c r="AB1902" t="s">
        <v>7678</v>
      </c>
      <c r="AC1902" t="s">
        <v>7679</v>
      </c>
      <c r="AD1902" t="s">
        <v>7680</v>
      </c>
      <c r="AE1902" t="s">
        <v>7681</v>
      </c>
      <c r="AF1902" t="s">
        <v>7682</v>
      </c>
      <c r="AG1902" t="s">
        <v>806</v>
      </c>
      <c r="AH1902" t="s">
        <v>889</v>
      </c>
      <c r="AI1902" t="s">
        <v>66</v>
      </c>
      <c r="AJ1902" t="s">
        <v>66</v>
      </c>
      <c r="AK1902">
        <v>1</v>
      </c>
      <c r="AL1902" t="s">
        <v>66</v>
      </c>
      <c r="AM1902" t="s">
        <v>66</v>
      </c>
      <c r="AN1902" t="s">
        <v>66</v>
      </c>
      <c r="AO1902" t="s">
        <v>66</v>
      </c>
      <c r="AP1902">
        <v>1</v>
      </c>
      <c r="AQ1902" t="s">
        <v>66</v>
      </c>
      <c r="AR1902" t="s">
        <v>66</v>
      </c>
      <c r="AS1902" t="s">
        <v>66</v>
      </c>
      <c r="AT1902" t="s">
        <v>66</v>
      </c>
    </row>
    <row r="1903" spans="1:46" x14ac:dyDescent="0.15">
      <c r="A1903" t="s">
        <v>7859</v>
      </c>
      <c r="B1903" t="s">
        <v>7672</v>
      </c>
      <c r="C1903" t="s">
        <v>7673</v>
      </c>
      <c r="D1903">
        <v>46</v>
      </c>
      <c r="E1903" t="s">
        <v>7674</v>
      </c>
      <c r="F1903" t="s">
        <v>4516</v>
      </c>
      <c r="G1903" t="s">
        <v>51</v>
      </c>
      <c r="H1903" t="s">
        <v>7675</v>
      </c>
      <c r="I1903" t="s">
        <v>1553</v>
      </c>
      <c r="J1903" t="s">
        <v>721</v>
      </c>
      <c r="K1903" t="s">
        <v>55</v>
      </c>
      <c r="L1903" t="s">
        <v>16</v>
      </c>
      <c r="M1903" t="s">
        <v>19</v>
      </c>
      <c r="N1903">
        <v>3026</v>
      </c>
      <c r="O1903">
        <v>168</v>
      </c>
      <c r="P1903">
        <v>0</v>
      </c>
      <c r="Q1903" t="s">
        <v>7860</v>
      </c>
      <c r="R1903" t="s">
        <v>360</v>
      </c>
      <c r="S1903" t="s">
        <v>7861</v>
      </c>
      <c r="T1903" t="s">
        <v>7862</v>
      </c>
      <c r="U1903" t="s">
        <v>60</v>
      </c>
      <c r="V1903" t="s">
        <v>61</v>
      </c>
      <c r="W1903">
        <v>3</v>
      </c>
      <c r="X1903">
        <v>0.109375</v>
      </c>
      <c r="Y1903" t="s">
        <v>362</v>
      </c>
      <c r="Z1903" t="s">
        <v>363</v>
      </c>
      <c r="AA1903">
        <v>2</v>
      </c>
      <c r="AB1903" t="s">
        <v>7678</v>
      </c>
      <c r="AC1903" t="s">
        <v>7679</v>
      </c>
      <c r="AD1903" t="s">
        <v>7680</v>
      </c>
      <c r="AE1903" t="s">
        <v>7681</v>
      </c>
      <c r="AF1903" t="s">
        <v>7682</v>
      </c>
      <c r="AG1903" t="s">
        <v>806</v>
      </c>
      <c r="AH1903" t="s">
        <v>889</v>
      </c>
      <c r="AI1903" t="s">
        <v>66</v>
      </c>
      <c r="AJ1903" t="s">
        <v>66</v>
      </c>
      <c r="AK1903">
        <v>1</v>
      </c>
      <c r="AL1903" t="s">
        <v>66</v>
      </c>
      <c r="AM1903" t="s">
        <v>66</v>
      </c>
      <c r="AN1903" t="s">
        <v>66</v>
      </c>
      <c r="AO1903" t="s">
        <v>66</v>
      </c>
      <c r="AP1903">
        <v>1</v>
      </c>
      <c r="AQ1903" t="s">
        <v>66</v>
      </c>
      <c r="AR1903" t="s">
        <v>66</v>
      </c>
      <c r="AS1903" t="s">
        <v>66</v>
      </c>
      <c r="AT1903" t="s">
        <v>66</v>
      </c>
    </row>
    <row r="1904" spans="1:46" x14ac:dyDescent="0.15">
      <c r="A1904" t="s">
        <v>7863</v>
      </c>
      <c r="B1904" t="s">
        <v>7672</v>
      </c>
      <c r="C1904" t="s">
        <v>7673</v>
      </c>
      <c r="D1904">
        <v>47</v>
      </c>
      <c r="E1904" t="s">
        <v>7674</v>
      </c>
      <c r="F1904" t="s">
        <v>4516</v>
      </c>
      <c r="G1904" t="s">
        <v>51</v>
      </c>
      <c r="H1904" t="s">
        <v>7675</v>
      </c>
      <c r="I1904" t="s">
        <v>1553</v>
      </c>
      <c r="J1904" t="s">
        <v>721</v>
      </c>
      <c r="K1904" t="s">
        <v>55</v>
      </c>
      <c r="L1904" t="s">
        <v>16</v>
      </c>
      <c r="M1904" t="s">
        <v>19</v>
      </c>
      <c r="N1904">
        <v>3082</v>
      </c>
      <c r="O1904">
        <v>171</v>
      </c>
      <c r="P1904">
        <v>0</v>
      </c>
      <c r="Q1904" t="s">
        <v>7864</v>
      </c>
      <c r="R1904" t="s">
        <v>367</v>
      </c>
      <c r="S1904" t="s">
        <v>7865</v>
      </c>
      <c r="T1904" t="s">
        <v>7866</v>
      </c>
      <c r="U1904" t="s">
        <v>60</v>
      </c>
      <c r="V1904" t="s">
        <v>61</v>
      </c>
      <c r="W1904">
        <v>3</v>
      </c>
      <c r="X1904">
        <v>0.109375</v>
      </c>
      <c r="Y1904" t="s">
        <v>217</v>
      </c>
      <c r="Z1904" t="s">
        <v>369</v>
      </c>
      <c r="AA1904">
        <v>2</v>
      </c>
      <c r="AB1904" t="s">
        <v>7678</v>
      </c>
      <c r="AC1904" t="s">
        <v>7679</v>
      </c>
      <c r="AD1904" t="s">
        <v>7680</v>
      </c>
      <c r="AE1904" t="s">
        <v>7681</v>
      </c>
      <c r="AF1904" t="s">
        <v>7682</v>
      </c>
      <c r="AG1904" t="s">
        <v>806</v>
      </c>
      <c r="AH1904" t="s">
        <v>889</v>
      </c>
      <c r="AI1904" t="s">
        <v>66</v>
      </c>
      <c r="AJ1904" t="s">
        <v>66</v>
      </c>
      <c r="AK1904">
        <v>1</v>
      </c>
      <c r="AL1904" t="s">
        <v>66</v>
      </c>
      <c r="AM1904" t="s">
        <v>66</v>
      </c>
      <c r="AN1904" t="s">
        <v>66</v>
      </c>
      <c r="AO1904" t="s">
        <v>66</v>
      </c>
      <c r="AP1904">
        <v>1</v>
      </c>
      <c r="AQ1904" t="s">
        <v>66</v>
      </c>
      <c r="AR1904" t="s">
        <v>66</v>
      </c>
      <c r="AS1904" t="s">
        <v>66</v>
      </c>
      <c r="AT1904" t="s">
        <v>66</v>
      </c>
    </row>
    <row r="1905" spans="1:46" x14ac:dyDescent="0.15">
      <c r="A1905" t="s">
        <v>7867</v>
      </c>
      <c r="B1905" t="s">
        <v>7672</v>
      </c>
      <c r="C1905" t="s">
        <v>7673</v>
      </c>
      <c r="D1905">
        <v>48</v>
      </c>
      <c r="E1905" t="s">
        <v>7674</v>
      </c>
      <c r="F1905" t="s">
        <v>4516</v>
      </c>
      <c r="G1905" t="s">
        <v>51</v>
      </c>
      <c r="H1905" t="s">
        <v>7675</v>
      </c>
      <c r="I1905" t="s">
        <v>1553</v>
      </c>
      <c r="J1905" t="s">
        <v>721</v>
      </c>
      <c r="K1905" t="s">
        <v>55</v>
      </c>
      <c r="L1905" t="s">
        <v>16</v>
      </c>
      <c r="M1905" t="s">
        <v>19</v>
      </c>
      <c r="N1905">
        <v>3138</v>
      </c>
      <c r="O1905">
        <v>174</v>
      </c>
      <c r="P1905">
        <v>0</v>
      </c>
      <c r="Q1905" t="s">
        <v>7868</v>
      </c>
      <c r="R1905" t="s">
        <v>373</v>
      </c>
      <c r="S1905" t="s">
        <v>7869</v>
      </c>
      <c r="T1905" t="s">
        <v>7870</v>
      </c>
      <c r="U1905" t="s">
        <v>60</v>
      </c>
      <c r="V1905" t="s">
        <v>61</v>
      </c>
      <c r="W1905">
        <v>3</v>
      </c>
      <c r="X1905">
        <v>0.109375</v>
      </c>
      <c r="Y1905" t="s">
        <v>375</v>
      </c>
      <c r="Z1905" t="s">
        <v>376</v>
      </c>
      <c r="AA1905">
        <v>2</v>
      </c>
      <c r="AB1905" t="s">
        <v>7678</v>
      </c>
      <c r="AC1905" t="s">
        <v>7679</v>
      </c>
      <c r="AD1905" t="s">
        <v>7680</v>
      </c>
      <c r="AE1905" t="s">
        <v>7681</v>
      </c>
      <c r="AF1905" t="s">
        <v>7682</v>
      </c>
      <c r="AG1905" t="s">
        <v>806</v>
      </c>
      <c r="AH1905" t="s">
        <v>889</v>
      </c>
      <c r="AI1905" t="s">
        <v>66</v>
      </c>
      <c r="AJ1905" t="s">
        <v>66</v>
      </c>
      <c r="AK1905">
        <v>1</v>
      </c>
      <c r="AL1905" t="s">
        <v>66</v>
      </c>
      <c r="AM1905" t="s">
        <v>66</v>
      </c>
      <c r="AN1905" t="s">
        <v>66</v>
      </c>
      <c r="AO1905" t="s">
        <v>66</v>
      </c>
      <c r="AP1905">
        <v>1</v>
      </c>
      <c r="AQ1905" t="s">
        <v>66</v>
      </c>
      <c r="AR1905" t="s">
        <v>66</v>
      </c>
      <c r="AS1905" t="s">
        <v>66</v>
      </c>
      <c r="AT1905" t="s">
        <v>66</v>
      </c>
    </row>
    <row r="1906" spans="1:46" x14ac:dyDescent="0.15">
      <c r="A1906" t="s">
        <v>7871</v>
      </c>
      <c r="B1906" t="s">
        <v>7672</v>
      </c>
      <c r="C1906" t="s">
        <v>7673</v>
      </c>
      <c r="D1906">
        <v>49</v>
      </c>
      <c r="E1906" t="s">
        <v>7674</v>
      </c>
      <c r="F1906" t="s">
        <v>4516</v>
      </c>
      <c r="G1906" t="s">
        <v>51</v>
      </c>
      <c r="H1906" t="s">
        <v>7675</v>
      </c>
      <c r="I1906" t="s">
        <v>1553</v>
      </c>
      <c r="J1906" t="s">
        <v>721</v>
      </c>
      <c r="K1906" t="s">
        <v>55</v>
      </c>
      <c r="L1906" t="s">
        <v>16</v>
      </c>
      <c r="M1906" t="s">
        <v>19</v>
      </c>
      <c r="N1906">
        <v>3194</v>
      </c>
      <c r="O1906">
        <v>177</v>
      </c>
      <c r="P1906">
        <v>0</v>
      </c>
      <c r="Q1906" t="s">
        <v>7872</v>
      </c>
      <c r="R1906" t="s">
        <v>380</v>
      </c>
      <c r="S1906" t="s">
        <v>7873</v>
      </c>
      <c r="T1906" t="s">
        <v>7874</v>
      </c>
      <c r="U1906" t="s">
        <v>60</v>
      </c>
      <c r="V1906" t="s">
        <v>61</v>
      </c>
      <c r="W1906">
        <v>3</v>
      </c>
      <c r="X1906">
        <v>0.109375</v>
      </c>
      <c r="Y1906" t="s">
        <v>223</v>
      </c>
      <c r="Z1906" t="s">
        <v>382</v>
      </c>
      <c r="AA1906">
        <v>2</v>
      </c>
      <c r="AB1906" t="s">
        <v>7678</v>
      </c>
      <c r="AC1906" t="s">
        <v>7679</v>
      </c>
      <c r="AD1906" t="s">
        <v>7680</v>
      </c>
      <c r="AE1906" t="s">
        <v>7681</v>
      </c>
      <c r="AF1906" t="s">
        <v>7682</v>
      </c>
      <c r="AG1906" t="s">
        <v>806</v>
      </c>
      <c r="AH1906" t="s">
        <v>889</v>
      </c>
      <c r="AI1906" t="s">
        <v>66</v>
      </c>
      <c r="AJ1906" t="s">
        <v>66</v>
      </c>
      <c r="AK1906">
        <v>1</v>
      </c>
      <c r="AL1906" t="s">
        <v>66</v>
      </c>
      <c r="AM1906" t="s">
        <v>66</v>
      </c>
      <c r="AN1906" t="s">
        <v>66</v>
      </c>
      <c r="AO1906" t="s">
        <v>66</v>
      </c>
      <c r="AP1906">
        <v>1</v>
      </c>
      <c r="AQ1906" t="s">
        <v>66</v>
      </c>
      <c r="AR1906" t="s">
        <v>66</v>
      </c>
      <c r="AS1906" t="s">
        <v>66</v>
      </c>
      <c r="AT1906" t="s">
        <v>66</v>
      </c>
    </row>
    <row r="1907" spans="1:46" x14ac:dyDescent="0.15">
      <c r="A1907" t="s">
        <v>7875</v>
      </c>
      <c r="B1907" t="s">
        <v>7672</v>
      </c>
      <c r="C1907" t="s">
        <v>7673</v>
      </c>
      <c r="D1907">
        <v>50</v>
      </c>
      <c r="E1907" t="s">
        <v>7674</v>
      </c>
      <c r="F1907" t="s">
        <v>4516</v>
      </c>
      <c r="G1907" t="s">
        <v>51</v>
      </c>
      <c r="H1907" t="s">
        <v>7675</v>
      </c>
      <c r="I1907" t="s">
        <v>1553</v>
      </c>
      <c r="J1907" t="s">
        <v>721</v>
      </c>
      <c r="K1907" t="s">
        <v>55</v>
      </c>
      <c r="L1907" t="s">
        <v>16</v>
      </c>
      <c r="M1907" t="s">
        <v>19</v>
      </c>
      <c r="N1907">
        <v>3250</v>
      </c>
      <c r="O1907">
        <v>180</v>
      </c>
      <c r="P1907">
        <v>0</v>
      </c>
      <c r="Q1907" t="s">
        <v>7876</v>
      </c>
      <c r="R1907" t="s">
        <v>386</v>
      </c>
      <c r="S1907" t="s">
        <v>7877</v>
      </c>
      <c r="T1907" t="s">
        <v>7878</v>
      </c>
      <c r="U1907" t="s">
        <v>60</v>
      </c>
      <c r="V1907" t="s">
        <v>61</v>
      </c>
      <c r="W1907">
        <v>3</v>
      </c>
      <c r="X1907">
        <v>0.109375</v>
      </c>
      <c r="Y1907" t="s">
        <v>388</v>
      </c>
      <c r="Z1907" t="s">
        <v>389</v>
      </c>
      <c r="AA1907">
        <v>2</v>
      </c>
      <c r="AB1907" t="s">
        <v>7678</v>
      </c>
      <c r="AC1907" t="s">
        <v>7679</v>
      </c>
      <c r="AD1907" t="s">
        <v>7680</v>
      </c>
      <c r="AE1907" t="s">
        <v>7681</v>
      </c>
      <c r="AF1907" t="s">
        <v>7682</v>
      </c>
      <c r="AG1907" t="s">
        <v>806</v>
      </c>
      <c r="AH1907" t="s">
        <v>889</v>
      </c>
      <c r="AI1907" t="s">
        <v>66</v>
      </c>
      <c r="AJ1907" t="s">
        <v>66</v>
      </c>
      <c r="AK1907">
        <v>1</v>
      </c>
      <c r="AL1907" t="s">
        <v>66</v>
      </c>
      <c r="AM1907" t="s">
        <v>66</v>
      </c>
      <c r="AN1907" t="s">
        <v>66</v>
      </c>
      <c r="AO1907" t="s">
        <v>66</v>
      </c>
      <c r="AP1907">
        <v>1</v>
      </c>
      <c r="AQ1907" t="s">
        <v>66</v>
      </c>
      <c r="AR1907" t="s">
        <v>66</v>
      </c>
      <c r="AS1907" t="s">
        <v>66</v>
      </c>
      <c r="AT1907" t="s">
        <v>66</v>
      </c>
    </row>
    <row r="1908" spans="1:46" x14ac:dyDescent="0.15">
      <c r="A1908" t="s">
        <v>7879</v>
      </c>
      <c r="B1908" t="s">
        <v>7672</v>
      </c>
      <c r="C1908" t="s">
        <v>7673</v>
      </c>
      <c r="D1908">
        <v>51</v>
      </c>
      <c r="E1908" t="s">
        <v>7674</v>
      </c>
      <c r="F1908" t="s">
        <v>4516</v>
      </c>
      <c r="G1908" t="s">
        <v>51</v>
      </c>
      <c r="H1908" t="s">
        <v>7675</v>
      </c>
      <c r="I1908" t="s">
        <v>1553</v>
      </c>
      <c r="J1908" t="s">
        <v>721</v>
      </c>
      <c r="K1908" t="s">
        <v>55</v>
      </c>
      <c r="L1908" t="s">
        <v>16</v>
      </c>
      <c r="M1908" t="s">
        <v>19</v>
      </c>
      <c r="N1908">
        <v>3306</v>
      </c>
      <c r="O1908">
        <v>183</v>
      </c>
      <c r="P1908">
        <v>0</v>
      </c>
      <c r="Q1908" t="s">
        <v>7880</v>
      </c>
      <c r="R1908" t="s">
        <v>393</v>
      </c>
      <c r="S1908" t="s">
        <v>7881</v>
      </c>
      <c r="T1908" t="s">
        <v>7882</v>
      </c>
      <c r="U1908" t="s">
        <v>60</v>
      </c>
      <c r="V1908" t="s">
        <v>61</v>
      </c>
      <c r="W1908">
        <v>3</v>
      </c>
      <c r="X1908">
        <v>0.109375</v>
      </c>
      <c r="Y1908" t="s">
        <v>230</v>
      </c>
      <c r="Z1908" t="s">
        <v>395</v>
      </c>
      <c r="AA1908">
        <v>2</v>
      </c>
      <c r="AB1908" t="s">
        <v>7678</v>
      </c>
      <c r="AC1908" t="s">
        <v>7679</v>
      </c>
      <c r="AD1908" t="s">
        <v>7680</v>
      </c>
      <c r="AE1908" t="s">
        <v>7681</v>
      </c>
      <c r="AF1908" t="s">
        <v>7682</v>
      </c>
      <c r="AG1908" t="s">
        <v>806</v>
      </c>
      <c r="AH1908" t="s">
        <v>889</v>
      </c>
      <c r="AI1908" t="s">
        <v>66</v>
      </c>
      <c r="AJ1908" t="s">
        <v>66</v>
      </c>
      <c r="AK1908">
        <v>1</v>
      </c>
      <c r="AL1908" t="s">
        <v>66</v>
      </c>
      <c r="AM1908" t="s">
        <v>66</v>
      </c>
      <c r="AN1908" t="s">
        <v>66</v>
      </c>
      <c r="AO1908" t="s">
        <v>66</v>
      </c>
      <c r="AP1908">
        <v>1</v>
      </c>
      <c r="AQ1908" t="s">
        <v>66</v>
      </c>
      <c r="AR1908" t="s">
        <v>66</v>
      </c>
      <c r="AS1908" t="s">
        <v>66</v>
      </c>
      <c r="AT1908" t="s">
        <v>66</v>
      </c>
    </row>
    <row r="1909" spans="1:46" x14ac:dyDescent="0.15">
      <c r="A1909" t="s">
        <v>7883</v>
      </c>
      <c r="B1909" t="s">
        <v>7672</v>
      </c>
      <c r="C1909" t="s">
        <v>7673</v>
      </c>
      <c r="D1909">
        <v>52</v>
      </c>
      <c r="E1909" t="s">
        <v>7674</v>
      </c>
      <c r="F1909" t="s">
        <v>4516</v>
      </c>
      <c r="G1909" t="s">
        <v>51</v>
      </c>
      <c r="H1909" t="s">
        <v>7675</v>
      </c>
      <c r="I1909" t="s">
        <v>1553</v>
      </c>
      <c r="J1909" t="s">
        <v>721</v>
      </c>
      <c r="K1909" t="s">
        <v>55</v>
      </c>
      <c r="L1909" t="s">
        <v>16</v>
      </c>
      <c r="M1909" t="s">
        <v>19</v>
      </c>
      <c r="N1909">
        <v>3362</v>
      </c>
      <c r="O1909">
        <v>186</v>
      </c>
      <c r="P1909">
        <v>0</v>
      </c>
      <c r="Q1909" t="s">
        <v>7884</v>
      </c>
      <c r="R1909" t="s">
        <v>399</v>
      </c>
      <c r="S1909" t="s">
        <v>7885</v>
      </c>
      <c r="T1909" t="s">
        <v>7886</v>
      </c>
      <c r="U1909" t="s">
        <v>60</v>
      </c>
      <c r="V1909" t="s">
        <v>61</v>
      </c>
      <c r="W1909">
        <v>3</v>
      </c>
      <c r="X1909">
        <v>0.109375</v>
      </c>
      <c r="Y1909" t="s">
        <v>401</v>
      </c>
      <c r="Z1909" t="s">
        <v>402</v>
      </c>
      <c r="AA1909">
        <v>2</v>
      </c>
      <c r="AB1909" t="s">
        <v>7678</v>
      </c>
      <c r="AC1909" t="s">
        <v>7679</v>
      </c>
      <c r="AD1909" t="s">
        <v>7680</v>
      </c>
      <c r="AE1909" t="s">
        <v>7681</v>
      </c>
      <c r="AF1909" t="s">
        <v>7682</v>
      </c>
      <c r="AG1909" t="s">
        <v>806</v>
      </c>
      <c r="AH1909" t="s">
        <v>889</v>
      </c>
      <c r="AI1909" t="s">
        <v>66</v>
      </c>
      <c r="AJ1909" t="s">
        <v>66</v>
      </c>
      <c r="AK1909">
        <v>1</v>
      </c>
      <c r="AL1909" t="s">
        <v>66</v>
      </c>
      <c r="AM1909" t="s">
        <v>66</v>
      </c>
      <c r="AN1909" t="s">
        <v>66</v>
      </c>
      <c r="AO1909" t="s">
        <v>66</v>
      </c>
      <c r="AP1909">
        <v>1</v>
      </c>
      <c r="AQ1909" t="s">
        <v>66</v>
      </c>
      <c r="AR1909" t="s">
        <v>66</v>
      </c>
      <c r="AS1909" t="s">
        <v>66</v>
      </c>
      <c r="AT1909" t="s">
        <v>66</v>
      </c>
    </row>
    <row r="1910" spans="1:46" x14ac:dyDescent="0.15">
      <c r="A1910" t="s">
        <v>7887</v>
      </c>
      <c r="B1910" t="s">
        <v>7672</v>
      </c>
      <c r="C1910" t="s">
        <v>7673</v>
      </c>
      <c r="D1910">
        <v>53</v>
      </c>
      <c r="E1910" t="s">
        <v>7674</v>
      </c>
      <c r="F1910" t="s">
        <v>4516</v>
      </c>
      <c r="G1910" t="s">
        <v>51</v>
      </c>
      <c r="H1910" t="s">
        <v>7675</v>
      </c>
      <c r="I1910" t="s">
        <v>1553</v>
      </c>
      <c r="J1910" t="s">
        <v>721</v>
      </c>
      <c r="K1910" t="s">
        <v>55</v>
      </c>
      <c r="L1910" t="s">
        <v>16</v>
      </c>
      <c r="M1910" t="s">
        <v>19</v>
      </c>
      <c r="N1910">
        <v>3418</v>
      </c>
      <c r="O1910">
        <v>189</v>
      </c>
      <c r="P1910">
        <v>0</v>
      </c>
      <c r="Q1910" t="s">
        <v>7888</v>
      </c>
      <c r="R1910" t="s">
        <v>406</v>
      </c>
      <c r="S1910" t="s">
        <v>7889</v>
      </c>
      <c r="T1910" t="s">
        <v>7890</v>
      </c>
      <c r="U1910" t="s">
        <v>60</v>
      </c>
      <c r="V1910" t="s">
        <v>61</v>
      </c>
      <c r="W1910">
        <v>3</v>
      </c>
      <c r="X1910">
        <v>0.109375</v>
      </c>
      <c r="Y1910" t="s">
        <v>236</v>
      </c>
      <c r="Z1910" t="s">
        <v>408</v>
      </c>
      <c r="AA1910">
        <v>2</v>
      </c>
      <c r="AB1910" t="s">
        <v>7678</v>
      </c>
      <c r="AC1910" t="s">
        <v>7679</v>
      </c>
      <c r="AD1910" t="s">
        <v>7680</v>
      </c>
      <c r="AE1910" t="s">
        <v>7681</v>
      </c>
      <c r="AF1910" t="s">
        <v>7682</v>
      </c>
      <c r="AG1910" t="s">
        <v>806</v>
      </c>
      <c r="AH1910" t="s">
        <v>889</v>
      </c>
      <c r="AI1910" t="s">
        <v>66</v>
      </c>
      <c r="AJ1910" t="s">
        <v>66</v>
      </c>
      <c r="AK1910">
        <v>1</v>
      </c>
      <c r="AL1910" t="s">
        <v>66</v>
      </c>
      <c r="AM1910" t="s">
        <v>66</v>
      </c>
      <c r="AN1910" t="s">
        <v>66</v>
      </c>
      <c r="AO1910" t="s">
        <v>66</v>
      </c>
      <c r="AP1910">
        <v>1</v>
      </c>
      <c r="AQ1910" t="s">
        <v>66</v>
      </c>
      <c r="AR1910" t="s">
        <v>66</v>
      </c>
      <c r="AS1910" t="s">
        <v>66</v>
      </c>
      <c r="AT1910" t="s">
        <v>66</v>
      </c>
    </row>
    <row r="1911" spans="1:46" x14ac:dyDescent="0.15">
      <c r="A1911" t="s">
        <v>7891</v>
      </c>
      <c r="B1911" t="s">
        <v>7672</v>
      </c>
      <c r="C1911" t="s">
        <v>7673</v>
      </c>
      <c r="D1911">
        <v>54</v>
      </c>
      <c r="E1911" t="s">
        <v>7674</v>
      </c>
      <c r="F1911" t="s">
        <v>4516</v>
      </c>
      <c r="G1911" t="s">
        <v>51</v>
      </c>
      <c r="H1911" t="s">
        <v>7675</v>
      </c>
      <c r="I1911" t="s">
        <v>1553</v>
      </c>
      <c r="J1911" t="s">
        <v>721</v>
      </c>
      <c r="K1911" t="s">
        <v>55</v>
      </c>
      <c r="L1911" t="s">
        <v>16</v>
      </c>
      <c r="M1911" t="s">
        <v>19</v>
      </c>
      <c r="N1911">
        <v>3474</v>
      </c>
      <c r="O1911">
        <v>193</v>
      </c>
      <c r="P1911">
        <v>0</v>
      </c>
      <c r="Q1911" t="s">
        <v>7892</v>
      </c>
      <c r="R1911" t="s">
        <v>412</v>
      </c>
      <c r="S1911" t="s">
        <v>7893</v>
      </c>
      <c r="T1911" t="s">
        <v>7894</v>
      </c>
      <c r="U1911" t="s">
        <v>60</v>
      </c>
      <c r="V1911" t="s">
        <v>61</v>
      </c>
      <c r="W1911">
        <v>3</v>
      </c>
      <c r="X1911">
        <v>0.109375</v>
      </c>
      <c r="Y1911" t="s">
        <v>414</v>
      </c>
      <c r="Z1911" t="s">
        <v>415</v>
      </c>
      <c r="AA1911">
        <v>2</v>
      </c>
      <c r="AB1911" t="s">
        <v>7678</v>
      </c>
      <c r="AC1911" t="s">
        <v>7679</v>
      </c>
      <c r="AD1911" t="s">
        <v>7680</v>
      </c>
      <c r="AE1911" t="s">
        <v>7681</v>
      </c>
      <c r="AF1911" t="s">
        <v>7682</v>
      </c>
      <c r="AG1911" t="s">
        <v>806</v>
      </c>
      <c r="AH1911" t="s">
        <v>889</v>
      </c>
      <c r="AI1911" t="s">
        <v>66</v>
      </c>
      <c r="AJ1911" t="s">
        <v>66</v>
      </c>
      <c r="AK1911">
        <v>1</v>
      </c>
      <c r="AL1911" t="s">
        <v>66</v>
      </c>
      <c r="AM1911" t="s">
        <v>66</v>
      </c>
      <c r="AN1911" t="s">
        <v>66</v>
      </c>
      <c r="AO1911" t="s">
        <v>66</v>
      </c>
      <c r="AP1911">
        <v>1</v>
      </c>
      <c r="AQ1911" t="s">
        <v>66</v>
      </c>
      <c r="AR1911" t="s">
        <v>66</v>
      </c>
      <c r="AS1911" t="s">
        <v>66</v>
      </c>
      <c r="AT1911" t="s">
        <v>66</v>
      </c>
    </row>
    <row r="1912" spans="1:46" x14ac:dyDescent="0.15">
      <c r="A1912" t="s">
        <v>7895</v>
      </c>
      <c r="B1912" t="s">
        <v>7672</v>
      </c>
      <c r="C1912" t="s">
        <v>7673</v>
      </c>
      <c r="D1912">
        <v>55</v>
      </c>
      <c r="E1912" t="s">
        <v>7674</v>
      </c>
      <c r="F1912" t="s">
        <v>4516</v>
      </c>
      <c r="G1912" t="s">
        <v>51</v>
      </c>
      <c r="H1912" t="s">
        <v>7675</v>
      </c>
      <c r="I1912" t="s">
        <v>1553</v>
      </c>
      <c r="J1912" t="s">
        <v>721</v>
      </c>
      <c r="K1912" t="s">
        <v>55</v>
      </c>
      <c r="L1912" t="s">
        <v>16</v>
      </c>
      <c r="M1912" t="s">
        <v>19</v>
      </c>
      <c r="N1912">
        <v>3531</v>
      </c>
      <c r="O1912">
        <v>196</v>
      </c>
      <c r="P1912">
        <v>0</v>
      </c>
      <c r="Q1912" t="s">
        <v>7896</v>
      </c>
      <c r="R1912" t="s">
        <v>419</v>
      </c>
      <c r="S1912" t="s">
        <v>7897</v>
      </c>
      <c r="T1912" t="s">
        <v>7898</v>
      </c>
      <c r="U1912" t="s">
        <v>60</v>
      </c>
      <c r="V1912" t="s">
        <v>61</v>
      </c>
      <c r="W1912">
        <v>3</v>
      </c>
      <c r="X1912">
        <v>0.109375</v>
      </c>
      <c r="Y1912" t="s">
        <v>243</v>
      </c>
      <c r="Z1912" t="s">
        <v>421</v>
      </c>
      <c r="AA1912">
        <v>2</v>
      </c>
      <c r="AB1912" t="s">
        <v>7678</v>
      </c>
      <c r="AC1912" t="s">
        <v>7679</v>
      </c>
      <c r="AD1912" t="s">
        <v>7680</v>
      </c>
      <c r="AE1912" t="s">
        <v>7681</v>
      </c>
      <c r="AF1912" t="s">
        <v>7682</v>
      </c>
      <c r="AG1912" t="s">
        <v>806</v>
      </c>
      <c r="AH1912" t="s">
        <v>889</v>
      </c>
      <c r="AI1912" t="s">
        <v>66</v>
      </c>
      <c r="AJ1912" t="s">
        <v>66</v>
      </c>
      <c r="AK1912">
        <v>1</v>
      </c>
      <c r="AL1912" t="s">
        <v>66</v>
      </c>
      <c r="AM1912" t="s">
        <v>66</v>
      </c>
      <c r="AN1912" t="s">
        <v>66</v>
      </c>
      <c r="AO1912" t="s">
        <v>66</v>
      </c>
      <c r="AP1912">
        <v>1</v>
      </c>
      <c r="AQ1912" t="s">
        <v>66</v>
      </c>
      <c r="AR1912" t="s">
        <v>66</v>
      </c>
      <c r="AS1912" t="s">
        <v>66</v>
      </c>
      <c r="AT1912" t="s">
        <v>66</v>
      </c>
    </row>
    <row r="1913" spans="1:46" x14ac:dyDescent="0.15">
      <c r="A1913" t="s">
        <v>7899</v>
      </c>
      <c r="B1913" t="s">
        <v>7672</v>
      </c>
      <c r="C1913" t="s">
        <v>7673</v>
      </c>
      <c r="D1913">
        <v>56</v>
      </c>
      <c r="E1913" t="s">
        <v>7674</v>
      </c>
      <c r="F1913" t="s">
        <v>4516</v>
      </c>
      <c r="G1913" t="s">
        <v>51</v>
      </c>
      <c r="H1913" t="s">
        <v>7675</v>
      </c>
      <c r="I1913" t="s">
        <v>1553</v>
      </c>
      <c r="J1913" t="s">
        <v>721</v>
      </c>
      <c r="K1913" t="s">
        <v>55</v>
      </c>
      <c r="L1913" t="s">
        <v>16</v>
      </c>
      <c r="M1913" t="s">
        <v>19</v>
      </c>
      <c r="N1913">
        <v>3587</v>
      </c>
      <c r="O1913">
        <v>199</v>
      </c>
      <c r="P1913">
        <v>0</v>
      </c>
      <c r="Q1913" t="s">
        <v>7900</v>
      </c>
      <c r="R1913" t="s">
        <v>425</v>
      </c>
      <c r="S1913" t="s">
        <v>7901</v>
      </c>
      <c r="T1913" t="s">
        <v>7902</v>
      </c>
      <c r="U1913" t="s">
        <v>60</v>
      </c>
      <c r="V1913" t="s">
        <v>61</v>
      </c>
      <c r="W1913">
        <v>3</v>
      </c>
      <c r="X1913">
        <v>0.109375</v>
      </c>
      <c r="Y1913" t="s">
        <v>427</v>
      </c>
      <c r="Z1913" t="s">
        <v>428</v>
      </c>
      <c r="AA1913">
        <v>2</v>
      </c>
      <c r="AB1913" t="s">
        <v>7678</v>
      </c>
      <c r="AC1913" t="s">
        <v>7679</v>
      </c>
      <c r="AD1913" t="s">
        <v>7680</v>
      </c>
      <c r="AE1913" t="s">
        <v>7681</v>
      </c>
      <c r="AF1913" t="s">
        <v>7682</v>
      </c>
      <c r="AG1913" t="s">
        <v>806</v>
      </c>
      <c r="AH1913" t="s">
        <v>889</v>
      </c>
      <c r="AI1913" t="s">
        <v>66</v>
      </c>
      <c r="AJ1913" t="s">
        <v>66</v>
      </c>
      <c r="AK1913">
        <v>1</v>
      </c>
      <c r="AL1913" t="s">
        <v>66</v>
      </c>
      <c r="AM1913" t="s">
        <v>66</v>
      </c>
      <c r="AN1913" t="s">
        <v>66</v>
      </c>
      <c r="AO1913" t="s">
        <v>66</v>
      </c>
      <c r="AP1913">
        <v>1</v>
      </c>
      <c r="AQ1913" t="s">
        <v>66</v>
      </c>
      <c r="AR1913" t="s">
        <v>66</v>
      </c>
      <c r="AS1913" t="s">
        <v>66</v>
      </c>
      <c r="AT1913" t="s">
        <v>66</v>
      </c>
    </row>
    <row r="1914" spans="1:46" x14ac:dyDescent="0.15">
      <c r="A1914" t="s">
        <v>7903</v>
      </c>
      <c r="B1914" t="s">
        <v>7672</v>
      </c>
      <c r="C1914" t="s">
        <v>7673</v>
      </c>
      <c r="D1914">
        <v>57</v>
      </c>
      <c r="E1914" t="s">
        <v>7674</v>
      </c>
      <c r="F1914" t="s">
        <v>4516</v>
      </c>
      <c r="G1914" t="s">
        <v>51</v>
      </c>
      <c r="H1914" t="s">
        <v>7675</v>
      </c>
      <c r="I1914" t="s">
        <v>1553</v>
      </c>
      <c r="J1914" t="s">
        <v>721</v>
      </c>
      <c r="K1914" t="s">
        <v>55</v>
      </c>
      <c r="L1914" t="s">
        <v>16</v>
      </c>
      <c r="M1914" t="s">
        <v>19</v>
      </c>
      <c r="N1914">
        <v>3643</v>
      </c>
      <c r="O1914">
        <v>202</v>
      </c>
      <c r="P1914">
        <v>0</v>
      </c>
      <c r="Q1914" t="s">
        <v>7904</v>
      </c>
      <c r="R1914" t="s">
        <v>432</v>
      </c>
      <c r="S1914" t="s">
        <v>7905</v>
      </c>
      <c r="T1914" t="s">
        <v>7906</v>
      </c>
      <c r="U1914" t="s">
        <v>60</v>
      </c>
      <c r="V1914" t="s">
        <v>61</v>
      </c>
      <c r="W1914">
        <v>3</v>
      </c>
      <c r="X1914">
        <v>0.109375</v>
      </c>
      <c r="Y1914" t="s">
        <v>249</v>
      </c>
      <c r="Z1914" t="s">
        <v>434</v>
      </c>
      <c r="AA1914">
        <v>2</v>
      </c>
      <c r="AB1914" t="s">
        <v>7678</v>
      </c>
      <c r="AC1914" t="s">
        <v>7679</v>
      </c>
      <c r="AD1914" t="s">
        <v>7680</v>
      </c>
      <c r="AE1914" t="s">
        <v>7681</v>
      </c>
      <c r="AF1914" t="s">
        <v>7682</v>
      </c>
      <c r="AG1914" t="s">
        <v>806</v>
      </c>
      <c r="AH1914" t="s">
        <v>889</v>
      </c>
      <c r="AI1914" t="s">
        <v>66</v>
      </c>
      <c r="AJ1914" t="s">
        <v>66</v>
      </c>
      <c r="AK1914">
        <v>1</v>
      </c>
      <c r="AL1914" t="s">
        <v>66</v>
      </c>
      <c r="AM1914" t="s">
        <v>66</v>
      </c>
      <c r="AN1914" t="s">
        <v>66</v>
      </c>
      <c r="AO1914" t="s">
        <v>66</v>
      </c>
      <c r="AP1914">
        <v>1</v>
      </c>
      <c r="AQ1914" t="s">
        <v>66</v>
      </c>
      <c r="AR1914" t="s">
        <v>66</v>
      </c>
      <c r="AS1914" t="s">
        <v>66</v>
      </c>
      <c r="AT1914" t="s">
        <v>66</v>
      </c>
    </row>
    <row r="1915" spans="1:46" x14ac:dyDescent="0.15">
      <c r="A1915" t="s">
        <v>7907</v>
      </c>
      <c r="B1915" t="s">
        <v>7672</v>
      </c>
      <c r="C1915" t="s">
        <v>7673</v>
      </c>
      <c r="D1915">
        <v>58</v>
      </c>
      <c r="E1915" t="s">
        <v>7674</v>
      </c>
      <c r="F1915" t="s">
        <v>4516</v>
      </c>
      <c r="G1915" t="s">
        <v>51</v>
      </c>
      <c r="H1915" t="s">
        <v>7675</v>
      </c>
      <c r="I1915" t="s">
        <v>1553</v>
      </c>
      <c r="J1915" t="s">
        <v>721</v>
      </c>
      <c r="K1915" t="s">
        <v>55</v>
      </c>
      <c r="L1915" t="s">
        <v>16</v>
      </c>
      <c r="M1915" t="s">
        <v>19</v>
      </c>
      <c r="N1915">
        <v>3699</v>
      </c>
      <c r="O1915">
        <v>205</v>
      </c>
      <c r="P1915">
        <v>0</v>
      </c>
      <c r="Q1915" t="s">
        <v>7908</v>
      </c>
      <c r="R1915" t="s">
        <v>438</v>
      </c>
      <c r="S1915" t="s">
        <v>7909</v>
      </c>
      <c r="T1915" t="s">
        <v>7910</v>
      </c>
      <c r="U1915" t="s">
        <v>60</v>
      </c>
      <c r="V1915" t="s">
        <v>61</v>
      </c>
      <c r="W1915">
        <v>3</v>
      </c>
      <c r="X1915">
        <v>0.109375</v>
      </c>
      <c r="Y1915" t="s">
        <v>440</v>
      </c>
      <c r="Z1915" t="s">
        <v>441</v>
      </c>
      <c r="AA1915">
        <v>2</v>
      </c>
      <c r="AB1915" t="s">
        <v>7678</v>
      </c>
      <c r="AC1915" t="s">
        <v>7679</v>
      </c>
      <c r="AD1915" t="s">
        <v>7680</v>
      </c>
      <c r="AE1915" t="s">
        <v>7681</v>
      </c>
      <c r="AF1915" t="s">
        <v>7682</v>
      </c>
      <c r="AG1915" t="s">
        <v>806</v>
      </c>
      <c r="AH1915" t="s">
        <v>889</v>
      </c>
      <c r="AI1915" t="s">
        <v>66</v>
      </c>
      <c r="AJ1915" t="s">
        <v>66</v>
      </c>
      <c r="AK1915">
        <v>1</v>
      </c>
      <c r="AL1915" t="s">
        <v>66</v>
      </c>
      <c r="AM1915" t="s">
        <v>66</v>
      </c>
      <c r="AN1915" t="s">
        <v>66</v>
      </c>
      <c r="AO1915" t="s">
        <v>66</v>
      </c>
      <c r="AP1915">
        <v>1</v>
      </c>
      <c r="AQ1915" t="s">
        <v>66</v>
      </c>
      <c r="AR1915" t="s">
        <v>66</v>
      </c>
      <c r="AS1915" t="s">
        <v>66</v>
      </c>
      <c r="AT1915" t="s">
        <v>66</v>
      </c>
    </row>
    <row r="1916" spans="1:46" x14ac:dyDescent="0.15">
      <c r="A1916" t="s">
        <v>7911</v>
      </c>
      <c r="B1916" t="s">
        <v>7672</v>
      </c>
      <c r="C1916" t="s">
        <v>7673</v>
      </c>
      <c r="D1916">
        <v>59</v>
      </c>
      <c r="E1916" t="s">
        <v>7674</v>
      </c>
      <c r="F1916" t="s">
        <v>4516</v>
      </c>
      <c r="G1916" t="s">
        <v>51</v>
      </c>
      <c r="H1916" t="s">
        <v>7675</v>
      </c>
      <c r="I1916" t="s">
        <v>1553</v>
      </c>
      <c r="J1916" t="s">
        <v>721</v>
      </c>
      <c r="K1916" t="s">
        <v>55</v>
      </c>
      <c r="L1916" t="s">
        <v>16</v>
      </c>
      <c r="M1916" t="s">
        <v>19</v>
      </c>
      <c r="N1916">
        <v>3755</v>
      </c>
      <c r="O1916">
        <v>208</v>
      </c>
      <c r="P1916">
        <v>0</v>
      </c>
      <c r="Q1916" t="s">
        <v>7912</v>
      </c>
      <c r="R1916" t="s">
        <v>445</v>
      </c>
      <c r="S1916" t="s">
        <v>7913</v>
      </c>
      <c r="T1916" t="s">
        <v>7914</v>
      </c>
      <c r="U1916" t="s">
        <v>60</v>
      </c>
      <c r="V1916" t="s">
        <v>61</v>
      </c>
      <c r="W1916">
        <v>3</v>
      </c>
      <c r="X1916">
        <v>0.109375</v>
      </c>
      <c r="Y1916" t="s">
        <v>256</v>
      </c>
      <c r="Z1916" t="s">
        <v>447</v>
      </c>
      <c r="AA1916">
        <v>2</v>
      </c>
      <c r="AB1916" t="s">
        <v>7678</v>
      </c>
      <c r="AC1916" t="s">
        <v>7679</v>
      </c>
      <c r="AD1916" t="s">
        <v>7680</v>
      </c>
      <c r="AE1916" t="s">
        <v>7681</v>
      </c>
      <c r="AF1916" t="s">
        <v>7682</v>
      </c>
      <c r="AG1916" t="s">
        <v>806</v>
      </c>
      <c r="AH1916" t="s">
        <v>889</v>
      </c>
      <c r="AI1916" t="s">
        <v>66</v>
      </c>
      <c r="AJ1916" t="s">
        <v>66</v>
      </c>
      <c r="AK1916">
        <v>1</v>
      </c>
      <c r="AL1916" t="s">
        <v>66</v>
      </c>
      <c r="AM1916" t="s">
        <v>66</v>
      </c>
      <c r="AN1916" t="s">
        <v>66</v>
      </c>
      <c r="AO1916" t="s">
        <v>66</v>
      </c>
      <c r="AP1916">
        <v>1</v>
      </c>
      <c r="AQ1916" t="s">
        <v>66</v>
      </c>
      <c r="AR1916" t="s">
        <v>66</v>
      </c>
      <c r="AS1916" t="s">
        <v>66</v>
      </c>
      <c r="AT1916" t="s">
        <v>66</v>
      </c>
    </row>
    <row r="1917" spans="1:46" x14ac:dyDescent="0.15">
      <c r="A1917" t="s">
        <v>7915</v>
      </c>
      <c r="B1917" t="s">
        <v>7672</v>
      </c>
      <c r="C1917" t="s">
        <v>7673</v>
      </c>
      <c r="D1917">
        <v>60</v>
      </c>
      <c r="E1917" t="s">
        <v>7674</v>
      </c>
      <c r="F1917" t="s">
        <v>4516</v>
      </c>
      <c r="G1917" t="s">
        <v>51</v>
      </c>
      <c r="H1917" t="s">
        <v>7675</v>
      </c>
      <c r="I1917" t="s">
        <v>1553</v>
      </c>
      <c r="J1917" t="s">
        <v>721</v>
      </c>
      <c r="K1917" t="s">
        <v>55</v>
      </c>
      <c r="L1917" t="s">
        <v>16</v>
      </c>
      <c r="M1917" t="s">
        <v>19</v>
      </c>
      <c r="N1917">
        <v>3811</v>
      </c>
      <c r="O1917">
        <v>211</v>
      </c>
      <c r="P1917">
        <v>0</v>
      </c>
      <c r="Q1917" t="s">
        <v>7916</v>
      </c>
      <c r="R1917" t="s">
        <v>451</v>
      </c>
      <c r="S1917" t="s">
        <v>7917</v>
      </c>
      <c r="T1917" t="s">
        <v>7918</v>
      </c>
      <c r="U1917" t="s">
        <v>60</v>
      </c>
      <c r="V1917" t="s">
        <v>61</v>
      </c>
      <c r="W1917">
        <v>3</v>
      </c>
      <c r="X1917">
        <v>0.109375</v>
      </c>
      <c r="Y1917" t="s">
        <v>453</v>
      </c>
      <c r="Z1917" t="s">
        <v>454</v>
      </c>
      <c r="AA1917">
        <v>2</v>
      </c>
      <c r="AB1917" t="s">
        <v>7678</v>
      </c>
      <c r="AC1917" t="s">
        <v>7679</v>
      </c>
      <c r="AD1917" t="s">
        <v>7680</v>
      </c>
      <c r="AE1917" t="s">
        <v>7681</v>
      </c>
      <c r="AF1917" t="s">
        <v>7682</v>
      </c>
      <c r="AG1917" t="s">
        <v>806</v>
      </c>
      <c r="AH1917" t="s">
        <v>889</v>
      </c>
      <c r="AI1917" t="s">
        <v>66</v>
      </c>
      <c r="AJ1917" t="s">
        <v>66</v>
      </c>
      <c r="AK1917">
        <v>1</v>
      </c>
      <c r="AL1917" t="s">
        <v>66</v>
      </c>
      <c r="AM1917" t="s">
        <v>66</v>
      </c>
      <c r="AN1917" t="s">
        <v>66</v>
      </c>
      <c r="AO1917" t="s">
        <v>66</v>
      </c>
      <c r="AP1917">
        <v>1</v>
      </c>
      <c r="AQ1917" t="s">
        <v>66</v>
      </c>
      <c r="AR1917" t="s">
        <v>66</v>
      </c>
      <c r="AS1917" t="s">
        <v>66</v>
      </c>
      <c r="AT1917" t="s">
        <v>66</v>
      </c>
    </row>
    <row r="1918" spans="1:46" x14ac:dyDescent="0.15">
      <c r="A1918" t="s">
        <v>7915</v>
      </c>
      <c r="B1918" t="s">
        <v>7672</v>
      </c>
      <c r="C1918" t="s">
        <v>7673</v>
      </c>
      <c r="D1918">
        <v>60</v>
      </c>
      <c r="E1918" t="s">
        <v>7674</v>
      </c>
      <c r="F1918" t="s">
        <v>4516</v>
      </c>
      <c r="G1918" t="s">
        <v>51</v>
      </c>
      <c r="H1918" t="s">
        <v>7675</v>
      </c>
      <c r="I1918" t="s">
        <v>1553</v>
      </c>
      <c r="J1918" t="s">
        <v>721</v>
      </c>
      <c r="K1918" t="s">
        <v>55</v>
      </c>
      <c r="L1918" t="s">
        <v>16</v>
      </c>
      <c r="M1918" t="s">
        <v>19</v>
      </c>
      <c r="N1918">
        <v>3811</v>
      </c>
      <c r="O1918">
        <v>211</v>
      </c>
      <c r="P1918">
        <v>0</v>
      </c>
      <c r="Q1918" t="s">
        <v>7916</v>
      </c>
      <c r="R1918" t="s">
        <v>451</v>
      </c>
      <c r="S1918" t="s">
        <v>7917</v>
      </c>
      <c r="T1918" t="s">
        <v>7918</v>
      </c>
      <c r="U1918" t="s">
        <v>60</v>
      </c>
      <c r="V1918" t="s">
        <v>61</v>
      </c>
      <c r="W1918">
        <v>3</v>
      </c>
      <c r="X1918">
        <v>0.109375</v>
      </c>
      <c r="Y1918" t="s">
        <v>453</v>
      </c>
      <c r="Z1918" t="s">
        <v>454</v>
      </c>
      <c r="AA1918">
        <v>3</v>
      </c>
      <c r="AB1918" t="s">
        <v>7678</v>
      </c>
      <c r="AC1918" t="s">
        <v>7679</v>
      </c>
      <c r="AD1918" t="s">
        <v>7680</v>
      </c>
      <c r="AE1918" t="s">
        <v>7681</v>
      </c>
      <c r="AF1918" t="s">
        <v>7682</v>
      </c>
      <c r="AG1918" t="s">
        <v>806</v>
      </c>
      <c r="AH1918" t="s">
        <v>889</v>
      </c>
      <c r="AI1918" t="s">
        <v>889</v>
      </c>
      <c r="AJ1918" t="s">
        <v>66</v>
      </c>
      <c r="AK1918">
        <v>1</v>
      </c>
      <c r="AL1918" t="s">
        <v>7919</v>
      </c>
      <c r="AM1918" t="s">
        <v>7920</v>
      </c>
      <c r="AN1918" t="s">
        <v>7921</v>
      </c>
      <c r="AO1918" t="s">
        <v>66</v>
      </c>
      <c r="AP1918">
        <v>1</v>
      </c>
      <c r="AQ1918" t="s">
        <v>7922</v>
      </c>
      <c r="AR1918" t="s">
        <v>7923</v>
      </c>
      <c r="AS1918" t="s">
        <v>7924</v>
      </c>
      <c r="AT1918" t="s">
        <v>66</v>
      </c>
    </row>
    <row r="1919" spans="1:46" x14ac:dyDescent="0.15">
      <c r="A1919" t="s">
        <v>7925</v>
      </c>
      <c r="B1919" t="s">
        <v>7672</v>
      </c>
      <c r="C1919" t="s">
        <v>7673</v>
      </c>
      <c r="D1919">
        <v>61</v>
      </c>
      <c r="E1919" t="s">
        <v>7674</v>
      </c>
      <c r="F1919" t="s">
        <v>4516</v>
      </c>
      <c r="G1919" t="s">
        <v>51</v>
      </c>
      <c r="H1919" t="s">
        <v>7675</v>
      </c>
      <c r="I1919" t="s">
        <v>1553</v>
      </c>
      <c r="J1919" t="s">
        <v>721</v>
      </c>
      <c r="K1919" t="s">
        <v>55</v>
      </c>
      <c r="L1919" t="s">
        <v>16</v>
      </c>
      <c r="M1919" t="s">
        <v>19</v>
      </c>
      <c r="N1919">
        <v>3867</v>
      </c>
      <c r="O1919">
        <v>214</v>
      </c>
      <c r="P1919">
        <v>0</v>
      </c>
      <c r="Q1919" t="s">
        <v>7926</v>
      </c>
      <c r="R1919" t="s">
        <v>463</v>
      </c>
      <c r="S1919" t="s">
        <v>7927</v>
      </c>
      <c r="T1919" t="s">
        <v>7928</v>
      </c>
      <c r="U1919" t="s">
        <v>60</v>
      </c>
      <c r="V1919" t="s">
        <v>61</v>
      </c>
      <c r="W1919">
        <v>3</v>
      </c>
      <c r="X1919">
        <v>0.109375</v>
      </c>
      <c r="Y1919" t="s">
        <v>262</v>
      </c>
      <c r="Z1919" t="s">
        <v>465</v>
      </c>
      <c r="AA1919">
        <v>3</v>
      </c>
      <c r="AB1919" t="s">
        <v>7678</v>
      </c>
      <c r="AC1919" t="s">
        <v>7679</v>
      </c>
      <c r="AD1919" t="s">
        <v>7680</v>
      </c>
      <c r="AE1919" t="s">
        <v>7681</v>
      </c>
      <c r="AF1919" t="s">
        <v>7682</v>
      </c>
      <c r="AG1919" t="s">
        <v>806</v>
      </c>
      <c r="AH1919" t="s">
        <v>889</v>
      </c>
      <c r="AI1919" t="s">
        <v>889</v>
      </c>
      <c r="AJ1919" t="s">
        <v>66</v>
      </c>
      <c r="AK1919">
        <v>1</v>
      </c>
      <c r="AL1919" t="s">
        <v>7919</v>
      </c>
      <c r="AM1919" t="s">
        <v>7920</v>
      </c>
      <c r="AN1919" t="s">
        <v>7921</v>
      </c>
      <c r="AO1919" t="s">
        <v>66</v>
      </c>
      <c r="AP1919">
        <v>1</v>
      </c>
      <c r="AQ1919" t="s">
        <v>7922</v>
      </c>
      <c r="AR1919" t="s">
        <v>7923</v>
      </c>
      <c r="AS1919" t="s">
        <v>7924</v>
      </c>
      <c r="AT1919" t="s">
        <v>66</v>
      </c>
    </row>
    <row r="1920" spans="1:46" x14ac:dyDescent="0.15">
      <c r="A1920" t="s">
        <v>7929</v>
      </c>
      <c r="B1920" t="s">
        <v>7672</v>
      </c>
      <c r="C1920" t="s">
        <v>7673</v>
      </c>
      <c r="D1920">
        <v>62</v>
      </c>
      <c r="E1920" t="s">
        <v>7674</v>
      </c>
      <c r="F1920" t="s">
        <v>4516</v>
      </c>
      <c r="G1920" t="s">
        <v>51</v>
      </c>
      <c r="H1920" t="s">
        <v>7675</v>
      </c>
      <c r="I1920" t="s">
        <v>1553</v>
      </c>
      <c r="J1920" t="s">
        <v>721</v>
      </c>
      <c r="K1920" t="s">
        <v>55</v>
      </c>
      <c r="L1920" t="s">
        <v>16</v>
      </c>
      <c r="M1920" t="s">
        <v>19</v>
      </c>
      <c r="N1920">
        <v>3923</v>
      </c>
      <c r="O1920">
        <v>217</v>
      </c>
      <c r="P1920">
        <v>0</v>
      </c>
      <c r="Q1920" t="s">
        <v>7930</v>
      </c>
      <c r="R1920" t="s">
        <v>469</v>
      </c>
      <c r="S1920" t="s">
        <v>7931</v>
      </c>
      <c r="T1920" t="s">
        <v>7932</v>
      </c>
      <c r="U1920" t="s">
        <v>60</v>
      </c>
      <c r="V1920" t="s">
        <v>61</v>
      </c>
      <c r="W1920">
        <v>3</v>
      </c>
      <c r="X1920">
        <v>0.109375</v>
      </c>
      <c r="Y1920" t="s">
        <v>471</v>
      </c>
      <c r="Z1920" t="s">
        <v>472</v>
      </c>
      <c r="AA1920">
        <v>3</v>
      </c>
      <c r="AB1920" t="s">
        <v>7678</v>
      </c>
      <c r="AC1920" t="s">
        <v>7679</v>
      </c>
      <c r="AD1920" t="s">
        <v>7680</v>
      </c>
      <c r="AE1920" t="s">
        <v>7681</v>
      </c>
      <c r="AF1920" t="s">
        <v>7682</v>
      </c>
      <c r="AG1920" t="s">
        <v>806</v>
      </c>
      <c r="AH1920" t="s">
        <v>889</v>
      </c>
      <c r="AI1920" t="s">
        <v>889</v>
      </c>
      <c r="AJ1920" t="s">
        <v>66</v>
      </c>
      <c r="AK1920">
        <v>1</v>
      </c>
      <c r="AL1920" t="s">
        <v>7919</v>
      </c>
      <c r="AM1920" t="s">
        <v>7920</v>
      </c>
      <c r="AN1920" t="s">
        <v>7921</v>
      </c>
      <c r="AO1920" t="s">
        <v>66</v>
      </c>
      <c r="AP1920">
        <v>1</v>
      </c>
      <c r="AQ1920" t="s">
        <v>7922</v>
      </c>
      <c r="AR1920" t="s">
        <v>7923</v>
      </c>
      <c r="AS1920" t="s">
        <v>7924</v>
      </c>
      <c r="AT1920" t="s">
        <v>66</v>
      </c>
    </row>
    <row r="1921" spans="1:46" x14ac:dyDescent="0.15">
      <c r="A1921" t="s">
        <v>7933</v>
      </c>
      <c r="B1921" t="s">
        <v>7672</v>
      </c>
      <c r="C1921" t="s">
        <v>7673</v>
      </c>
      <c r="D1921">
        <v>63</v>
      </c>
      <c r="E1921" t="s">
        <v>7674</v>
      </c>
      <c r="F1921" t="s">
        <v>4516</v>
      </c>
      <c r="G1921" t="s">
        <v>51</v>
      </c>
      <c r="H1921" t="s">
        <v>7675</v>
      </c>
      <c r="I1921" t="s">
        <v>1553</v>
      </c>
      <c r="J1921" t="s">
        <v>721</v>
      </c>
      <c r="K1921" t="s">
        <v>55</v>
      </c>
      <c r="L1921" t="s">
        <v>16</v>
      </c>
      <c r="M1921" t="s">
        <v>19</v>
      </c>
      <c r="N1921">
        <v>3980</v>
      </c>
      <c r="O1921">
        <v>220</v>
      </c>
      <c r="P1921">
        <v>0</v>
      </c>
      <c r="Q1921" t="s">
        <v>7934</v>
      </c>
      <c r="R1921" t="s">
        <v>476</v>
      </c>
      <c r="S1921" t="s">
        <v>7935</v>
      </c>
      <c r="T1921" t="s">
        <v>7936</v>
      </c>
      <c r="U1921" t="s">
        <v>60</v>
      </c>
      <c r="V1921" t="s">
        <v>61</v>
      </c>
      <c r="W1921">
        <v>3</v>
      </c>
      <c r="X1921">
        <v>0.109375</v>
      </c>
      <c r="Y1921" t="s">
        <v>269</v>
      </c>
      <c r="Z1921" t="s">
        <v>478</v>
      </c>
      <c r="AA1921">
        <v>3</v>
      </c>
      <c r="AB1921" t="s">
        <v>7678</v>
      </c>
      <c r="AC1921" t="s">
        <v>7679</v>
      </c>
      <c r="AD1921" t="s">
        <v>7680</v>
      </c>
      <c r="AE1921" t="s">
        <v>7681</v>
      </c>
      <c r="AF1921" t="s">
        <v>7682</v>
      </c>
      <c r="AG1921" t="s">
        <v>806</v>
      </c>
      <c r="AH1921" t="s">
        <v>889</v>
      </c>
      <c r="AI1921" t="s">
        <v>889</v>
      </c>
      <c r="AJ1921" t="s">
        <v>66</v>
      </c>
      <c r="AK1921">
        <v>1</v>
      </c>
      <c r="AL1921" t="s">
        <v>7919</v>
      </c>
      <c r="AM1921" t="s">
        <v>7920</v>
      </c>
      <c r="AN1921" t="s">
        <v>7921</v>
      </c>
      <c r="AO1921" t="s">
        <v>66</v>
      </c>
      <c r="AP1921">
        <v>1</v>
      </c>
      <c r="AQ1921" t="s">
        <v>7922</v>
      </c>
      <c r="AR1921" t="s">
        <v>7923</v>
      </c>
      <c r="AS1921" t="s">
        <v>7924</v>
      </c>
      <c r="AT1921" t="s">
        <v>66</v>
      </c>
    </row>
    <row r="1922" spans="1:46" x14ac:dyDescent="0.15">
      <c r="A1922" t="s">
        <v>7937</v>
      </c>
      <c r="B1922" t="s">
        <v>7672</v>
      </c>
      <c r="C1922" t="s">
        <v>7673</v>
      </c>
      <c r="D1922">
        <v>64</v>
      </c>
      <c r="E1922" t="s">
        <v>7674</v>
      </c>
      <c r="F1922" t="s">
        <v>4516</v>
      </c>
      <c r="G1922" t="s">
        <v>51</v>
      </c>
      <c r="H1922" t="s">
        <v>7675</v>
      </c>
      <c r="I1922" t="s">
        <v>1553</v>
      </c>
      <c r="J1922" t="s">
        <v>721</v>
      </c>
      <c r="K1922" t="s">
        <v>55</v>
      </c>
      <c r="L1922" t="s">
        <v>16</v>
      </c>
      <c r="M1922" t="s">
        <v>19</v>
      </c>
      <c r="N1922">
        <v>4036</v>
      </c>
      <c r="O1922">
        <v>223</v>
      </c>
      <c r="P1922">
        <v>0</v>
      </c>
      <c r="Q1922" t="s">
        <v>7938</v>
      </c>
      <c r="R1922" t="s">
        <v>482</v>
      </c>
      <c r="S1922" t="s">
        <v>7939</v>
      </c>
      <c r="T1922" t="s">
        <v>7940</v>
      </c>
      <c r="U1922" t="s">
        <v>60</v>
      </c>
      <c r="V1922" t="s">
        <v>61</v>
      </c>
      <c r="W1922">
        <v>3</v>
      </c>
      <c r="X1922">
        <v>0.109375</v>
      </c>
      <c r="Y1922" t="s">
        <v>484</v>
      </c>
      <c r="Z1922" t="s">
        <v>485</v>
      </c>
      <c r="AA1922">
        <v>3</v>
      </c>
      <c r="AB1922" t="s">
        <v>7678</v>
      </c>
      <c r="AC1922" t="s">
        <v>7679</v>
      </c>
      <c r="AD1922" t="s">
        <v>7680</v>
      </c>
      <c r="AE1922" t="s">
        <v>7681</v>
      </c>
      <c r="AF1922" t="s">
        <v>7682</v>
      </c>
      <c r="AG1922" t="s">
        <v>806</v>
      </c>
      <c r="AH1922" t="s">
        <v>889</v>
      </c>
      <c r="AI1922" t="s">
        <v>889</v>
      </c>
      <c r="AJ1922" t="s">
        <v>66</v>
      </c>
      <c r="AK1922">
        <v>1</v>
      </c>
      <c r="AL1922" t="s">
        <v>7919</v>
      </c>
      <c r="AM1922" t="s">
        <v>7920</v>
      </c>
      <c r="AN1922" t="s">
        <v>7921</v>
      </c>
      <c r="AO1922" t="s">
        <v>66</v>
      </c>
      <c r="AP1922">
        <v>1</v>
      </c>
      <c r="AQ1922" t="s">
        <v>7922</v>
      </c>
      <c r="AR1922" t="s">
        <v>7923</v>
      </c>
      <c r="AS1922" t="s">
        <v>7924</v>
      </c>
      <c r="AT1922" t="s">
        <v>66</v>
      </c>
    </row>
    <row r="1923" spans="1:46" x14ac:dyDescent="0.15">
      <c r="A1923" t="s">
        <v>7941</v>
      </c>
      <c r="B1923" t="s">
        <v>7672</v>
      </c>
      <c r="C1923" t="s">
        <v>7673</v>
      </c>
      <c r="D1923">
        <v>65</v>
      </c>
      <c r="E1923" t="s">
        <v>7674</v>
      </c>
      <c r="F1923" t="s">
        <v>4516</v>
      </c>
      <c r="G1923" t="s">
        <v>51</v>
      </c>
      <c r="H1923" t="s">
        <v>7675</v>
      </c>
      <c r="I1923" t="s">
        <v>1553</v>
      </c>
      <c r="J1923" t="s">
        <v>721</v>
      </c>
      <c r="K1923" t="s">
        <v>55</v>
      </c>
      <c r="L1923" t="s">
        <v>16</v>
      </c>
      <c r="M1923" t="s">
        <v>19</v>
      </c>
      <c r="N1923">
        <v>4092</v>
      </c>
      <c r="O1923">
        <v>226</v>
      </c>
      <c r="P1923">
        <v>0</v>
      </c>
      <c r="Q1923" t="s">
        <v>7942</v>
      </c>
      <c r="R1923" t="s">
        <v>489</v>
      </c>
      <c r="S1923" t="s">
        <v>7943</v>
      </c>
      <c r="T1923" t="s">
        <v>7944</v>
      </c>
      <c r="U1923" t="s">
        <v>60</v>
      </c>
      <c r="V1923" t="s">
        <v>61</v>
      </c>
      <c r="W1923">
        <v>3</v>
      </c>
      <c r="X1923">
        <v>0.109375</v>
      </c>
      <c r="Y1923" t="s">
        <v>275</v>
      </c>
      <c r="Z1923" t="s">
        <v>491</v>
      </c>
      <c r="AA1923">
        <v>3</v>
      </c>
      <c r="AB1923" t="s">
        <v>7678</v>
      </c>
      <c r="AC1923" t="s">
        <v>7679</v>
      </c>
      <c r="AD1923" t="s">
        <v>7680</v>
      </c>
      <c r="AE1923" t="s">
        <v>7681</v>
      </c>
      <c r="AF1923" t="s">
        <v>7682</v>
      </c>
      <c r="AG1923" t="s">
        <v>806</v>
      </c>
      <c r="AH1923" t="s">
        <v>889</v>
      </c>
      <c r="AI1923" t="s">
        <v>889</v>
      </c>
      <c r="AJ1923" t="s">
        <v>66</v>
      </c>
      <c r="AK1923">
        <v>1</v>
      </c>
      <c r="AL1923" t="s">
        <v>7919</v>
      </c>
      <c r="AM1923" t="s">
        <v>7920</v>
      </c>
      <c r="AN1923" t="s">
        <v>7921</v>
      </c>
      <c r="AO1923" t="s">
        <v>66</v>
      </c>
      <c r="AP1923">
        <v>1</v>
      </c>
      <c r="AQ1923" t="s">
        <v>7922</v>
      </c>
      <c r="AR1923" t="s">
        <v>7923</v>
      </c>
      <c r="AS1923" t="s">
        <v>7924</v>
      </c>
      <c r="AT1923" t="s">
        <v>66</v>
      </c>
    </row>
    <row r="1924" spans="1:46" x14ac:dyDescent="0.15">
      <c r="A1924" t="s">
        <v>7945</v>
      </c>
      <c r="B1924" t="s">
        <v>7672</v>
      </c>
      <c r="C1924" t="s">
        <v>7673</v>
      </c>
      <c r="D1924">
        <v>66</v>
      </c>
      <c r="E1924" t="s">
        <v>7674</v>
      </c>
      <c r="F1924" t="s">
        <v>4516</v>
      </c>
      <c r="G1924" t="s">
        <v>51</v>
      </c>
      <c r="H1924" t="s">
        <v>7675</v>
      </c>
      <c r="I1924" t="s">
        <v>1553</v>
      </c>
      <c r="J1924" t="s">
        <v>721</v>
      </c>
      <c r="K1924" t="s">
        <v>55</v>
      </c>
      <c r="L1924" t="s">
        <v>16</v>
      </c>
      <c r="M1924" t="s">
        <v>19</v>
      </c>
      <c r="N1924">
        <v>4148</v>
      </c>
      <c r="O1924">
        <v>229</v>
      </c>
      <c r="P1924">
        <v>0</v>
      </c>
      <c r="Q1924" t="s">
        <v>7946</v>
      </c>
      <c r="R1924" t="s">
        <v>495</v>
      </c>
      <c r="S1924" t="s">
        <v>7947</v>
      </c>
      <c r="T1924" t="s">
        <v>7948</v>
      </c>
      <c r="U1924" t="s">
        <v>60</v>
      </c>
      <c r="V1924" t="s">
        <v>61</v>
      </c>
      <c r="W1924">
        <v>3</v>
      </c>
      <c r="X1924">
        <v>0.109375</v>
      </c>
      <c r="Y1924" t="s">
        <v>497</v>
      </c>
      <c r="Z1924" t="s">
        <v>498</v>
      </c>
      <c r="AA1924">
        <v>3</v>
      </c>
      <c r="AB1924" t="s">
        <v>7678</v>
      </c>
      <c r="AC1924" t="s">
        <v>7679</v>
      </c>
      <c r="AD1924" t="s">
        <v>7680</v>
      </c>
      <c r="AE1924" t="s">
        <v>7681</v>
      </c>
      <c r="AF1924" t="s">
        <v>7682</v>
      </c>
      <c r="AG1924" t="s">
        <v>806</v>
      </c>
      <c r="AH1924" t="s">
        <v>889</v>
      </c>
      <c r="AI1924" t="s">
        <v>889</v>
      </c>
      <c r="AJ1924" t="s">
        <v>66</v>
      </c>
      <c r="AK1924">
        <v>1</v>
      </c>
      <c r="AL1924" t="s">
        <v>7919</v>
      </c>
      <c r="AM1924" t="s">
        <v>7920</v>
      </c>
      <c r="AN1924" t="s">
        <v>7921</v>
      </c>
      <c r="AO1924" t="s">
        <v>66</v>
      </c>
      <c r="AP1924">
        <v>1</v>
      </c>
      <c r="AQ1924" t="s">
        <v>7922</v>
      </c>
      <c r="AR1924" t="s">
        <v>7923</v>
      </c>
      <c r="AS1924" t="s">
        <v>7924</v>
      </c>
      <c r="AT1924" t="s">
        <v>66</v>
      </c>
    </row>
    <row r="1925" spans="1:46" x14ac:dyDescent="0.15">
      <c r="A1925" t="s">
        <v>7949</v>
      </c>
      <c r="B1925" t="s">
        <v>7672</v>
      </c>
      <c r="C1925" t="s">
        <v>7673</v>
      </c>
      <c r="D1925">
        <v>67</v>
      </c>
      <c r="E1925" t="s">
        <v>7674</v>
      </c>
      <c r="F1925" t="s">
        <v>4516</v>
      </c>
      <c r="G1925" t="s">
        <v>51</v>
      </c>
      <c r="H1925" t="s">
        <v>7675</v>
      </c>
      <c r="I1925" t="s">
        <v>1553</v>
      </c>
      <c r="J1925" t="s">
        <v>721</v>
      </c>
      <c r="K1925" t="s">
        <v>55</v>
      </c>
      <c r="L1925" t="s">
        <v>16</v>
      </c>
      <c r="M1925" t="s">
        <v>19</v>
      </c>
      <c r="N1925">
        <v>4204</v>
      </c>
      <c r="O1925">
        <v>232</v>
      </c>
      <c r="P1925">
        <v>0</v>
      </c>
      <c r="Q1925" t="s">
        <v>7950</v>
      </c>
      <c r="R1925" t="s">
        <v>502</v>
      </c>
      <c r="S1925" t="s">
        <v>7951</v>
      </c>
      <c r="T1925" t="s">
        <v>7952</v>
      </c>
      <c r="U1925" t="s">
        <v>60</v>
      </c>
      <c r="V1925" t="s">
        <v>61</v>
      </c>
      <c r="W1925">
        <v>3</v>
      </c>
      <c r="X1925">
        <v>0.109375</v>
      </c>
      <c r="Y1925" t="s">
        <v>282</v>
      </c>
      <c r="Z1925" t="s">
        <v>504</v>
      </c>
      <c r="AA1925">
        <v>3</v>
      </c>
      <c r="AB1925" t="s">
        <v>7678</v>
      </c>
      <c r="AC1925" t="s">
        <v>7679</v>
      </c>
      <c r="AD1925" t="s">
        <v>7680</v>
      </c>
      <c r="AE1925" t="s">
        <v>7681</v>
      </c>
      <c r="AF1925" t="s">
        <v>7682</v>
      </c>
      <c r="AG1925" t="s">
        <v>806</v>
      </c>
      <c r="AH1925" t="s">
        <v>889</v>
      </c>
      <c r="AI1925" t="s">
        <v>889</v>
      </c>
      <c r="AJ1925" t="s">
        <v>66</v>
      </c>
      <c r="AK1925">
        <v>1</v>
      </c>
      <c r="AL1925" t="s">
        <v>7919</v>
      </c>
      <c r="AM1925" t="s">
        <v>7920</v>
      </c>
      <c r="AN1925" t="s">
        <v>7921</v>
      </c>
      <c r="AO1925" t="s">
        <v>66</v>
      </c>
      <c r="AP1925">
        <v>1</v>
      </c>
      <c r="AQ1925" t="s">
        <v>7922</v>
      </c>
      <c r="AR1925" t="s">
        <v>7923</v>
      </c>
      <c r="AS1925" t="s">
        <v>7924</v>
      </c>
      <c r="AT1925" t="s">
        <v>66</v>
      </c>
    </row>
    <row r="1926" spans="1:46" x14ac:dyDescent="0.15">
      <c r="A1926" t="s">
        <v>7953</v>
      </c>
      <c r="B1926" t="s">
        <v>7672</v>
      </c>
      <c r="C1926" t="s">
        <v>7673</v>
      </c>
      <c r="D1926">
        <v>68</v>
      </c>
      <c r="E1926" t="s">
        <v>7674</v>
      </c>
      <c r="F1926" t="s">
        <v>4516</v>
      </c>
      <c r="G1926" t="s">
        <v>51</v>
      </c>
      <c r="H1926" t="s">
        <v>7675</v>
      </c>
      <c r="I1926" t="s">
        <v>1553</v>
      </c>
      <c r="J1926" t="s">
        <v>721</v>
      </c>
      <c r="K1926" t="s">
        <v>55</v>
      </c>
      <c r="L1926" t="s">
        <v>16</v>
      </c>
      <c r="M1926" t="s">
        <v>19</v>
      </c>
      <c r="N1926">
        <v>4260</v>
      </c>
      <c r="O1926">
        <v>235</v>
      </c>
      <c r="P1926">
        <v>0</v>
      </c>
      <c r="Q1926" t="s">
        <v>7954</v>
      </c>
      <c r="R1926" t="s">
        <v>508</v>
      </c>
      <c r="S1926" t="s">
        <v>7955</v>
      </c>
      <c r="T1926" t="s">
        <v>7956</v>
      </c>
      <c r="U1926" t="s">
        <v>60</v>
      </c>
      <c r="V1926" t="s">
        <v>61</v>
      </c>
      <c r="W1926">
        <v>3</v>
      </c>
      <c r="X1926">
        <v>0.109375</v>
      </c>
      <c r="Y1926" t="s">
        <v>510</v>
      </c>
      <c r="Z1926" t="s">
        <v>511</v>
      </c>
      <c r="AA1926">
        <v>3</v>
      </c>
      <c r="AB1926" t="s">
        <v>7678</v>
      </c>
      <c r="AC1926" t="s">
        <v>7679</v>
      </c>
      <c r="AD1926" t="s">
        <v>7680</v>
      </c>
      <c r="AE1926" t="s">
        <v>7681</v>
      </c>
      <c r="AF1926" t="s">
        <v>7682</v>
      </c>
      <c r="AG1926" t="s">
        <v>806</v>
      </c>
      <c r="AH1926" t="s">
        <v>889</v>
      </c>
      <c r="AI1926" t="s">
        <v>889</v>
      </c>
      <c r="AJ1926" t="s">
        <v>66</v>
      </c>
      <c r="AK1926">
        <v>1</v>
      </c>
      <c r="AL1926" t="s">
        <v>7919</v>
      </c>
      <c r="AM1926" t="s">
        <v>7920</v>
      </c>
      <c r="AN1926" t="s">
        <v>7921</v>
      </c>
      <c r="AO1926" t="s">
        <v>66</v>
      </c>
      <c r="AP1926">
        <v>1</v>
      </c>
      <c r="AQ1926" t="s">
        <v>7922</v>
      </c>
      <c r="AR1926" t="s">
        <v>7923</v>
      </c>
      <c r="AS1926" t="s">
        <v>7924</v>
      </c>
      <c r="AT1926" t="s">
        <v>66</v>
      </c>
    </row>
    <row r="1927" spans="1:46" x14ac:dyDescent="0.15">
      <c r="A1927" t="s">
        <v>7957</v>
      </c>
      <c r="B1927" t="s">
        <v>7672</v>
      </c>
      <c r="C1927" t="s">
        <v>7673</v>
      </c>
      <c r="D1927">
        <v>69</v>
      </c>
      <c r="E1927" t="s">
        <v>7674</v>
      </c>
      <c r="F1927" t="s">
        <v>4516</v>
      </c>
      <c r="G1927" t="s">
        <v>51</v>
      </c>
      <c r="H1927" t="s">
        <v>7675</v>
      </c>
      <c r="I1927" t="s">
        <v>1553</v>
      </c>
      <c r="J1927" t="s">
        <v>721</v>
      </c>
      <c r="K1927" t="s">
        <v>55</v>
      </c>
      <c r="L1927" t="s">
        <v>16</v>
      </c>
      <c r="M1927" t="s">
        <v>19</v>
      </c>
      <c r="N1927">
        <v>4316</v>
      </c>
      <c r="O1927">
        <v>238</v>
      </c>
      <c r="P1927">
        <v>0</v>
      </c>
      <c r="Q1927" t="s">
        <v>7958</v>
      </c>
      <c r="R1927" t="s">
        <v>515</v>
      </c>
      <c r="S1927" t="s">
        <v>7959</v>
      </c>
      <c r="T1927" t="s">
        <v>7960</v>
      </c>
      <c r="U1927" t="s">
        <v>60</v>
      </c>
      <c r="V1927" t="s">
        <v>61</v>
      </c>
      <c r="W1927">
        <v>3</v>
      </c>
      <c r="X1927">
        <v>0.109375</v>
      </c>
      <c r="Y1927" t="s">
        <v>288</v>
      </c>
      <c r="Z1927" t="s">
        <v>517</v>
      </c>
      <c r="AA1927">
        <v>3</v>
      </c>
      <c r="AB1927" t="s">
        <v>7678</v>
      </c>
      <c r="AC1927" t="s">
        <v>7679</v>
      </c>
      <c r="AD1927" t="s">
        <v>7680</v>
      </c>
      <c r="AE1927" t="s">
        <v>7681</v>
      </c>
      <c r="AF1927" t="s">
        <v>7682</v>
      </c>
      <c r="AG1927" t="s">
        <v>806</v>
      </c>
      <c r="AH1927" t="s">
        <v>889</v>
      </c>
      <c r="AI1927" t="s">
        <v>889</v>
      </c>
      <c r="AJ1927" t="s">
        <v>66</v>
      </c>
      <c r="AK1927">
        <v>1</v>
      </c>
      <c r="AL1927" t="s">
        <v>7919</v>
      </c>
      <c r="AM1927" t="s">
        <v>7920</v>
      </c>
      <c r="AN1927" t="s">
        <v>7921</v>
      </c>
      <c r="AO1927" t="s">
        <v>66</v>
      </c>
      <c r="AP1927">
        <v>1</v>
      </c>
      <c r="AQ1927" t="s">
        <v>7922</v>
      </c>
      <c r="AR1927" t="s">
        <v>7923</v>
      </c>
      <c r="AS1927" t="s">
        <v>7924</v>
      </c>
      <c r="AT1927" t="s">
        <v>66</v>
      </c>
    </row>
    <row r="1928" spans="1:46" x14ac:dyDescent="0.15">
      <c r="A1928" t="s">
        <v>7961</v>
      </c>
      <c r="B1928" t="s">
        <v>7672</v>
      </c>
      <c r="C1928" t="s">
        <v>7673</v>
      </c>
      <c r="D1928">
        <v>70</v>
      </c>
      <c r="E1928" t="s">
        <v>7674</v>
      </c>
      <c r="F1928" t="s">
        <v>4516</v>
      </c>
      <c r="G1928" t="s">
        <v>51</v>
      </c>
      <c r="H1928" t="s">
        <v>7675</v>
      </c>
      <c r="I1928" t="s">
        <v>1553</v>
      </c>
      <c r="J1928" t="s">
        <v>721</v>
      </c>
      <c r="K1928" t="s">
        <v>55</v>
      </c>
      <c r="L1928" t="s">
        <v>16</v>
      </c>
      <c r="M1928" t="s">
        <v>19</v>
      </c>
      <c r="N1928">
        <v>4372</v>
      </c>
      <c r="O1928">
        <v>242</v>
      </c>
      <c r="P1928">
        <v>0</v>
      </c>
      <c r="Q1928" t="s">
        <v>7962</v>
      </c>
      <c r="R1928" t="s">
        <v>521</v>
      </c>
      <c r="S1928" t="s">
        <v>7963</v>
      </c>
      <c r="T1928" t="s">
        <v>7964</v>
      </c>
      <c r="U1928" t="s">
        <v>60</v>
      </c>
      <c r="V1928" t="s">
        <v>61</v>
      </c>
      <c r="W1928">
        <v>3</v>
      </c>
      <c r="X1928">
        <v>0.109375</v>
      </c>
      <c r="Y1928" t="s">
        <v>523</v>
      </c>
      <c r="Z1928" t="s">
        <v>524</v>
      </c>
      <c r="AA1928">
        <v>3</v>
      </c>
      <c r="AB1928" t="s">
        <v>7678</v>
      </c>
      <c r="AC1928" t="s">
        <v>7679</v>
      </c>
      <c r="AD1928" t="s">
        <v>7680</v>
      </c>
      <c r="AE1928" t="s">
        <v>7681</v>
      </c>
      <c r="AF1928" t="s">
        <v>7682</v>
      </c>
      <c r="AG1928" t="s">
        <v>806</v>
      </c>
      <c r="AH1928" t="s">
        <v>889</v>
      </c>
      <c r="AI1928" t="s">
        <v>889</v>
      </c>
      <c r="AJ1928" t="s">
        <v>66</v>
      </c>
      <c r="AK1928">
        <v>1</v>
      </c>
      <c r="AL1928" t="s">
        <v>7919</v>
      </c>
      <c r="AM1928" t="s">
        <v>7920</v>
      </c>
      <c r="AN1928" t="s">
        <v>7921</v>
      </c>
      <c r="AO1928" t="s">
        <v>66</v>
      </c>
      <c r="AP1928">
        <v>1</v>
      </c>
      <c r="AQ1928" t="s">
        <v>7922</v>
      </c>
      <c r="AR1928" t="s">
        <v>7923</v>
      </c>
      <c r="AS1928" t="s">
        <v>7924</v>
      </c>
      <c r="AT1928" t="s">
        <v>66</v>
      </c>
    </row>
    <row r="1929" spans="1:46" x14ac:dyDescent="0.15">
      <c r="A1929" t="s">
        <v>7965</v>
      </c>
      <c r="B1929" t="s">
        <v>7672</v>
      </c>
      <c r="C1929" t="s">
        <v>7673</v>
      </c>
      <c r="D1929">
        <v>71</v>
      </c>
      <c r="E1929" t="s">
        <v>7674</v>
      </c>
      <c r="F1929" t="s">
        <v>4516</v>
      </c>
      <c r="G1929" t="s">
        <v>51</v>
      </c>
      <c r="H1929" t="s">
        <v>7675</v>
      </c>
      <c r="I1929" t="s">
        <v>1553</v>
      </c>
      <c r="J1929" t="s">
        <v>721</v>
      </c>
      <c r="K1929" t="s">
        <v>55</v>
      </c>
      <c r="L1929" t="s">
        <v>16</v>
      </c>
      <c r="M1929" t="s">
        <v>19</v>
      </c>
      <c r="N1929">
        <v>4429</v>
      </c>
      <c r="O1929">
        <v>245</v>
      </c>
      <c r="P1929">
        <v>0</v>
      </c>
      <c r="Q1929" t="s">
        <v>7966</v>
      </c>
      <c r="R1929" t="s">
        <v>528</v>
      </c>
      <c r="S1929" t="s">
        <v>7967</v>
      </c>
      <c r="T1929" t="s">
        <v>7968</v>
      </c>
      <c r="U1929" t="s">
        <v>60</v>
      </c>
      <c r="V1929" t="s">
        <v>61</v>
      </c>
      <c r="W1929">
        <v>3</v>
      </c>
      <c r="X1929">
        <v>0.109375</v>
      </c>
      <c r="Y1929" t="s">
        <v>295</v>
      </c>
      <c r="Z1929" t="s">
        <v>530</v>
      </c>
      <c r="AA1929">
        <v>3</v>
      </c>
      <c r="AB1929" t="s">
        <v>7678</v>
      </c>
      <c r="AC1929" t="s">
        <v>7679</v>
      </c>
      <c r="AD1929" t="s">
        <v>7680</v>
      </c>
      <c r="AE1929" t="s">
        <v>7681</v>
      </c>
      <c r="AF1929" t="s">
        <v>7682</v>
      </c>
      <c r="AG1929" t="s">
        <v>806</v>
      </c>
      <c r="AH1929" t="s">
        <v>889</v>
      </c>
      <c r="AI1929" t="s">
        <v>889</v>
      </c>
      <c r="AJ1929" t="s">
        <v>66</v>
      </c>
      <c r="AK1929">
        <v>1</v>
      </c>
      <c r="AL1929" t="s">
        <v>7919</v>
      </c>
      <c r="AM1929" t="s">
        <v>7920</v>
      </c>
      <c r="AN1929" t="s">
        <v>7921</v>
      </c>
      <c r="AO1929" t="s">
        <v>66</v>
      </c>
      <c r="AP1929">
        <v>1</v>
      </c>
      <c r="AQ1929" t="s">
        <v>7922</v>
      </c>
      <c r="AR1929" t="s">
        <v>7923</v>
      </c>
      <c r="AS1929" t="s">
        <v>7924</v>
      </c>
      <c r="AT1929" t="s">
        <v>66</v>
      </c>
    </row>
    <row r="1930" spans="1:46" x14ac:dyDescent="0.15">
      <c r="A1930" t="s">
        <v>7969</v>
      </c>
      <c r="B1930" t="s">
        <v>7672</v>
      </c>
      <c r="C1930" t="s">
        <v>7673</v>
      </c>
      <c r="D1930">
        <v>72</v>
      </c>
      <c r="E1930" t="s">
        <v>7674</v>
      </c>
      <c r="F1930" t="s">
        <v>4516</v>
      </c>
      <c r="G1930" t="s">
        <v>51</v>
      </c>
      <c r="H1930" t="s">
        <v>7675</v>
      </c>
      <c r="I1930" t="s">
        <v>1553</v>
      </c>
      <c r="J1930" t="s">
        <v>721</v>
      </c>
      <c r="K1930" t="s">
        <v>55</v>
      </c>
      <c r="L1930" t="s">
        <v>16</v>
      </c>
      <c r="M1930" t="s">
        <v>19</v>
      </c>
      <c r="N1930">
        <v>4485</v>
      </c>
      <c r="O1930">
        <v>248</v>
      </c>
      <c r="P1930">
        <v>0</v>
      </c>
      <c r="Q1930" t="s">
        <v>7970</v>
      </c>
      <c r="R1930" t="s">
        <v>534</v>
      </c>
      <c r="S1930" t="s">
        <v>7971</v>
      </c>
      <c r="T1930" t="s">
        <v>7972</v>
      </c>
      <c r="U1930" t="s">
        <v>60</v>
      </c>
      <c r="V1930" t="s">
        <v>61</v>
      </c>
      <c r="W1930">
        <v>3</v>
      </c>
      <c r="X1930">
        <v>0.109375</v>
      </c>
      <c r="Y1930" t="s">
        <v>536</v>
      </c>
      <c r="Z1930" t="s">
        <v>537</v>
      </c>
      <c r="AA1930">
        <v>3</v>
      </c>
      <c r="AB1930" t="s">
        <v>7678</v>
      </c>
      <c r="AC1930" t="s">
        <v>7679</v>
      </c>
      <c r="AD1930" t="s">
        <v>7680</v>
      </c>
      <c r="AE1930" t="s">
        <v>7681</v>
      </c>
      <c r="AF1930" t="s">
        <v>7682</v>
      </c>
      <c r="AG1930" t="s">
        <v>806</v>
      </c>
      <c r="AH1930" t="s">
        <v>889</v>
      </c>
      <c r="AI1930" t="s">
        <v>889</v>
      </c>
      <c r="AJ1930" t="s">
        <v>66</v>
      </c>
      <c r="AK1930">
        <v>1</v>
      </c>
      <c r="AL1930" t="s">
        <v>7919</v>
      </c>
      <c r="AM1930" t="s">
        <v>7920</v>
      </c>
      <c r="AN1930" t="s">
        <v>7921</v>
      </c>
      <c r="AO1930" t="s">
        <v>66</v>
      </c>
      <c r="AP1930">
        <v>1</v>
      </c>
      <c r="AQ1930" t="s">
        <v>7922</v>
      </c>
      <c r="AR1930" t="s">
        <v>7923</v>
      </c>
      <c r="AS1930" t="s">
        <v>7924</v>
      </c>
      <c r="AT1930" t="s">
        <v>66</v>
      </c>
    </row>
    <row r="1931" spans="1:46" x14ac:dyDescent="0.15">
      <c r="A1931" t="s">
        <v>7973</v>
      </c>
      <c r="B1931" t="s">
        <v>7672</v>
      </c>
      <c r="C1931" t="s">
        <v>7673</v>
      </c>
      <c r="D1931">
        <v>73</v>
      </c>
      <c r="E1931" t="s">
        <v>7674</v>
      </c>
      <c r="F1931" t="s">
        <v>4516</v>
      </c>
      <c r="G1931" t="s">
        <v>51</v>
      </c>
      <c r="H1931" t="s">
        <v>7675</v>
      </c>
      <c r="I1931" t="s">
        <v>1553</v>
      </c>
      <c r="J1931" t="s">
        <v>721</v>
      </c>
      <c r="K1931" t="s">
        <v>55</v>
      </c>
      <c r="L1931" t="s">
        <v>16</v>
      </c>
      <c r="M1931" t="s">
        <v>19</v>
      </c>
      <c r="N1931">
        <v>4541</v>
      </c>
      <c r="O1931">
        <v>251</v>
      </c>
      <c r="P1931">
        <v>0</v>
      </c>
      <c r="Q1931" t="s">
        <v>7974</v>
      </c>
      <c r="R1931" t="s">
        <v>541</v>
      </c>
      <c r="S1931" t="s">
        <v>7975</v>
      </c>
      <c r="T1931" t="s">
        <v>7976</v>
      </c>
      <c r="U1931" t="s">
        <v>60</v>
      </c>
      <c r="V1931" t="s">
        <v>61</v>
      </c>
      <c r="W1931">
        <v>3</v>
      </c>
      <c r="X1931">
        <v>0.109375</v>
      </c>
      <c r="Y1931" t="s">
        <v>301</v>
      </c>
      <c r="Z1931" t="s">
        <v>543</v>
      </c>
      <c r="AA1931">
        <v>3</v>
      </c>
      <c r="AB1931" t="s">
        <v>7678</v>
      </c>
      <c r="AC1931" t="s">
        <v>7679</v>
      </c>
      <c r="AD1931" t="s">
        <v>7680</v>
      </c>
      <c r="AE1931" t="s">
        <v>7681</v>
      </c>
      <c r="AF1931" t="s">
        <v>7682</v>
      </c>
      <c r="AG1931" t="s">
        <v>806</v>
      </c>
      <c r="AH1931" t="s">
        <v>889</v>
      </c>
      <c r="AI1931" t="s">
        <v>889</v>
      </c>
      <c r="AJ1931" t="s">
        <v>66</v>
      </c>
      <c r="AK1931">
        <v>1</v>
      </c>
      <c r="AL1931" t="s">
        <v>7919</v>
      </c>
      <c r="AM1931" t="s">
        <v>7920</v>
      </c>
      <c r="AN1931" t="s">
        <v>7921</v>
      </c>
      <c r="AO1931" t="s">
        <v>66</v>
      </c>
      <c r="AP1931">
        <v>1</v>
      </c>
      <c r="AQ1931" t="s">
        <v>7922</v>
      </c>
      <c r="AR1931" t="s">
        <v>7923</v>
      </c>
      <c r="AS1931" t="s">
        <v>7924</v>
      </c>
      <c r="AT1931" t="s">
        <v>66</v>
      </c>
    </row>
    <row r="1932" spans="1:46" x14ac:dyDescent="0.15">
      <c r="A1932" t="s">
        <v>7977</v>
      </c>
      <c r="B1932" t="s">
        <v>7672</v>
      </c>
      <c r="C1932" t="s">
        <v>7673</v>
      </c>
      <c r="D1932">
        <v>74</v>
      </c>
      <c r="E1932" t="s">
        <v>7674</v>
      </c>
      <c r="F1932" t="s">
        <v>4516</v>
      </c>
      <c r="G1932" t="s">
        <v>51</v>
      </c>
      <c r="H1932" t="s">
        <v>7675</v>
      </c>
      <c r="I1932" t="s">
        <v>1553</v>
      </c>
      <c r="J1932" t="s">
        <v>721</v>
      </c>
      <c r="K1932" t="s">
        <v>55</v>
      </c>
      <c r="L1932" t="s">
        <v>16</v>
      </c>
      <c r="M1932" t="s">
        <v>19</v>
      </c>
      <c r="N1932">
        <v>4597</v>
      </c>
      <c r="O1932">
        <v>254</v>
      </c>
      <c r="P1932">
        <v>0</v>
      </c>
      <c r="Q1932" t="s">
        <v>7978</v>
      </c>
      <c r="R1932" t="s">
        <v>547</v>
      </c>
      <c r="S1932" t="s">
        <v>7979</v>
      </c>
      <c r="T1932" t="s">
        <v>7980</v>
      </c>
      <c r="U1932" t="s">
        <v>60</v>
      </c>
      <c r="V1932" t="s">
        <v>61</v>
      </c>
      <c r="W1932">
        <v>3</v>
      </c>
      <c r="X1932">
        <v>0.109375</v>
      </c>
      <c r="Y1932" t="s">
        <v>549</v>
      </c>
      <c r="Z1932" t="s">
        <v>550</v>
      </c>
      <c r="AA1932">
        <v>3</v>
      </c>
      <c r="AB1932" t="s">
        <v>7678</v>
      </c>
      <c r="AC1932" t="s">
        <v>7679</v>
      </c>
      <c r="AD1932" t="s">
        <v>7680</v>
      </c>
      <c r="AE1932" t="s">
        <v>7681</v>
      </c>
      <c r="AF1932" t="s">
        <v>7682</v>
      </c>
      <c r="AG1932" t="s">
        <v>806</v>
      </c>
      <c r="AH1932" t="s">
        <v>889</v>
      </c>
      <c r="AI1932" t="s">
        <v>889</v>
      </c>
      <c r="AJ1932" t="s">
        <v>66</v>
      </c>
      <c r="AK1932">
        <v>1</v>
      </c>
      <c r="AL1932" t="s">
        <v>7919</v>
      </c>
      <c r="AM1932" t="s">
        <v>7920</v>
      </c>
      <c r="AN1932" t="s">
        <v>7921</v>
      </c>
      <c r="AO1932" t="s">
        <v>66</v>
      </c>
      <c r="AP1932">
        <v>1</v>
      </c>
      <c r="AQ1932" t="s">
        <v>7922</v>
      </c>
      <c r="AR1932" t="s">
        <v>7923</v>
      </c>
      <c r="AS1932" t="s">
        <v>7924</v>
      </c>
      <c r="AT1932" t="s">
        <v>66</v>
      </c>
    </row>
    <row r="1933" spans="1:46" x14ac:dyDescent="0.15">
      <c r="A1933" t="s">
        <v>7981</v>
      </c>
      <c r="B1933" t="s">
        <v>7672</v>
      </c>
      <c r="C1933" t="s">
        <v>7673</v>
      </c>
      <c r="D1933">
        <v>75</v>
      </c>
      <c r="E1933" t="s">
        <v>7674</v>
      </c>
      <c r="F1933" t="s">
        <v>4516</v>
      </c>
      <c r="G1933" t="s">
        <v>51</v>
      </c>
      <c r="H1933" t="s">
        <v>7675</v>
      </c>
      <c r="I1933" t="s">
        <v>1553</v>
      </c>
      <c r="J1933" t="s">
        <v>721</v>
      </c>
      <c r="K1933" t="s">
        <v>55</v>
      </c>
      <c r="L1933" t="s">
        <v>16</v>
      </c>
      <c r="M1933" t="s">
        <v>19</v>
      </c>
      <c r="N1933">
        <v>4653</v>
      </c>
      <c r="O1933">
        <v>257</v>
      </c>
      <c r="P1933">
        <v>0</v>
      </c>
      <c r="Q1933" t="s">
        <v>7982</v>
      </c>
      <c r="R1933" t="s">
        <v>554</v>
      </c>
      <c r="S1933" t="s">
        <v>7983</v>
      </c>
      <c r="T1933" t="s">
        <v>7984</v>
      </c>
      <c r="U1933" t="s">
        <v>60</v>
      </c>
      <c r="V1933" t="s">
        <v>61</v>
      </c>
      <c r="W1933">
        <v>3</v>
      </c>
      <c r="X1933">
        <v>0.109375</v>
      </c>
      <c r="Y1933" t="s">
        <v>308</v>
      </c>
      <c r="Z1933" t="s">
        <v>556</v>
      </c>
      <c r="AA1933">
        <v>3</v>
      </c>
      <c r="AB1933" t="s">
        <v>7678</v>
      </c>
      <c r="AC1933" t="s">
        <v>7679</v>
      </c>
      <c r="AD1933" t="s">
        <v>7680</v>
      </c>
      <c r="AE1933" t="s">
        <v>7681</v>
      </c>
      <c r="AF1933" t="s">
        <v>7682</v>
      </c>
      <c r="AG1933" t="s">
        <v>806</v>
      </c>
      <c r="AH1933" t="s">
        <v>889</v>
      </c>
      <c r="AI1933" t="s">
        <v>889</v>
      </c>
      <c r="AJ1933" t="s">
        <v>66</v>
      </c>
      <c r="AK1933">
        <v>1</v>
      </c>
      <c r="AL1933" t="s">
        <v>7919</v>
      </c>
      <c r="AM1933" t="s">
        <v>7920</v>
      </c>
      <c r="AN1933" t="s">
        <v>7921</v>
      </c>
      <c r="AO1933" t="s">
        <v>66</v>
      </c>
      <c r="AP1933">
        <v>1</v>
      </c>
      <c r="AQ1933" t="s">
        <v>7922</v>
      </c>
      <c r="AR1933" t="s">
        <v>7923</v>
      </c>
      <c r="AS1933" t="s">
        <v>7924</v>
      </c>
      <c r="AT1933" t="s">
        <v>66</v>
      </c>
    </row>
    <row r="1934" spans="1:46" x14ac:dyDescent="0.15">
      <c r="A1934" t="s">
        <v>7985</v>
      </c>
      <c r="B1934" t="s">
        <v>7672</v>
      </c>
      <c r="C1934" t="s">
        <v>7673</v>
      </c>
      <c r="D1934">
        <v>76</v>
      </c>
      <c r="E1934" t="s">
        <v>7674</v>
      </c>
      <c r="F1934" t="s">
        <v>4516</v>
      </c>
      <c r="G1934" t="s">
        <v>51</v>
      </c>
      <c r="H1934" t="s">
        <v>7675</v>
      </c>
      <c r="I1934" t="s">
        <v>1553</v>
      </c>
      <c r="J1934" t="s">
        <v>721</v>
      </c>
      <c r="K1934" t="s">
        <v>55</v>
      </c>
      <c r="L1934" t="s">
        <v>16</v>
      </c>
      <c r="M1934" t="s">
        <v>19</v>
      </c>
      <c r="N1934">
        <v>4709</v>
      </c>
      <c r="O1934">
        <v>260</v>
      </c>
      <c r="P1934">
        <v>0</v>
      </c>
      <c r="Q1934" t="s">
        <v>7986</v>
      </c>
      <c r="R1934" t="s">
        <v>560</v>
      </c>
      <c r="S1934" t="s">
        <v>7987</v>
      </c>
      <c r="T1934" t="s">
        <v>7988</v>
      </c>
      <c r="U1934" t="s">
        <v>60</v>
      </c>
      <c r="V1934" t="s">
        <v>61</v>
      </c>
      <c r="W1934">
        <v>3</v>
      </c>
      <c r="X1934">
        <v>0.109375</v>
      </c>
      <c r="Y1934" t="s">
        <v>562</v>
      </c>
      <c r="Z1934" t="s">
        <v>563</v>
      </c>
      <c r="AA1934">
        <v>3</v>
      </c>
      <c r="AB1934" t="s">
        <v>7678</v>
      </c>
      <c r="AC1934" t="s">
        <v>7679</v>
      </c>
      <c r="AD1934" t="s">
        <v>7680</v>
      </c>
      <c r="AE1934" t="s">
        <v>7681</v>
      </c>
      <c r="AF1934" t="s">
        <v>7682</v>
      </c>
      <c r="AG1934" t="s">
        <v>806</v>
      </c>
      <c r="AH1934" t="s">
        <v>889</v>
      </c>
      <c r="AI1934" t="s">
        <v>889</v>
      </c>
      <c r="AJ1934" t="s">
        <v>66</v>
      </c>
      <c r="AK1934">
        <v>1</v>
      </c>
      <c r="AL1934" t="s">
        <v>7919</v>
      </c>
      <c r="AM1934" t="s">
        <v>7920</v>
      </c>
      <c r="AN1934" t="s">
        <v>7921</v>
      </c>
      <c r="AO1934" t="s">
        <v>66</v>
      </c>
      <c r="AP1934">
        <v>1</v>
      </c>
      <c r="AQ1934" t="s">
        <v>7922</v>
      </c>
      <c r="AR1934" t="s">
        <v>7923</v>
      </c>
      <c r="AS1934" t="s">
        <v>7924</v>
      </c>
      <c r="AT1934" t="s">
        <v>66</v>
      </c>
    </row>
    <row r="1935" spans="1:46" x14ac:dyDescent="0.15">
      <c r="A1935" t="s">
        <v>7989</v>
      </c>
      <c r="B1935" t="s">
        <v>7672</v>
      </c>
      <c r="C1935" t="s">
        <v>7673</v>
      </c>
      <c r="D1935">
        <v>77</v>
      </c>
      <c r="E1935" t="s">
        <v>7674</v>
      </c>
      <c r="F1935" t="s">
        <v>4516</v>
      </c>
      <c r="G1935" t="s">
        <v>51</v>
      </c>
      <c r="H1935" t="s">
        <v>7675</v>
      </c>
      <c r="I1935" t="s">
        <v>1553</v>
      </c>
      <c r="J1935" t="s">
        <v>721</v>
      </c>
      <c r="K1935" t="s">
        <v>55</v>
      </c>
      <c r="L1935" t="s">
        <v>16</v>
      </c>
      <c r="M1935" t="s">
        <v>19</v>
      </c>
      <c r="N1935">
        <v>4765</v>
      </c>
      <c r="O1935">
        <v>263</v>
      </c>
      <c r="P1935">
        <v>0</v>
      </c>
      <c r="Q1935" t="s">
        <v>7990</v>
      </c>
      <c r="R1935" t="s">
        <v>567</v>
      </c>
      <c r="S1935" t="s">
        <v>7991</v>
      </c>
      <c r="T1935" t="s">
        <v>7992</v>
      </c>
      <c r="U1935" t="s">
        <v>60</v>
      </c>
      <c r="V1935" t="s">
        <v>61</v>
      </c>
      <c r="W1935">
        <v>3</v>
      </c>
      <c r="X1935">
        <v>0.109375</v>
      </c>
      <c r="Y1935" t="s">
        <v>314</v>
      </c>
      <c r="Z1935" t="s">
        <v>569</v>
      </c>
      <c r="AA1935">
        <v>3</v>
      </c>
      <c r="AB1935" t="s">
        <v>7678</v>
      </c>
      <c r="AC1935" t="s">
        <v>7679</v>
      </c>
      <c r="AD1935" t="s">
        <v>7680</v>
      </c>
      <c r="AE1935" t="s">
        <v>7681</v>
      </c>
      <c r="AF1935" t="s">
        <v>7682</v>
      </c>
      <c r="AG1935" t="s">
        <v>806</v>
      </c>
      <c r="AH1935" t="s">
        <v>889</v>
      </c>
      <c r="AI1935" t="s">
        <v>889</v>
      </c>
      <c r="AJ1935" t="s">
        <v>66</v>
      </c>
      <c r="AK1935">
        <v>1</v>
      </c>
      <c r="AL1935" t="s">
        <v>7919</v>
      </c>
      <c r="AM1935" t="s">
        <v>7920</v>
      </c>
      <c r="AN1935" t="s">
        <v>7921</v>
      </c>
      <c r="AO1935" t="s">
        <v>66</v>
      </c>
      <c r="AP1935">
        <v>1</v>
      </c>
      <c r="AQ1935" t="s">
        <v>7922</v>
      </c>
      <c r="AR1935" t="s">
        <v>7923</v>
      </c>
      <c r="AS1935" t="s">
        <v>7924</v>
      </c>
      <c r="AT1935" t="s">
        <v>66</v>
      </c>
    </row>
    <row r="1936" spans="1:46" x14ac:dyDescent="0.15">
      <c r="A1936" t="s">
        <v>7993</v>
      </c>
      <c r="B1936" t="s">
        <v>7672</v>
      </c>
      <c r="C1936" t="s">
        <v>7673</v>
      </c>
      <c r="D1936">
        <v>78</v>
      </c>
      <c r="E1936" t="s">
        <v>7674</v>
      </c>
      <c r="F1936" t="s">
        <v>4516</v>
      </c>
      <c r="G1936" t="s">
        <v>51</v>
      </c>
      <c r="H1936" t="s">
        <v>7675</v>
      </c>
      <c r="I1936" t="s">
        <v>1553</v>
      </c>
      <c r="J1936" t="s">
        <v>721</v>
      </c>
      <c r="K1936" t="s">
        <v>55</v>
      </c>
      <c r="L1936" t="s">
        <v>16</v>
      </c>
      <c r="M1936" t="s">
        <v>19</v>
      </c>
      <c r="N1936">
        <v>4821</v>
      </c>
      <c r="O1936">
        <v>266</v>
      </c>
      <c r="P1936">
        <v>0</v>
      </c>
      <c r="Q1936" t="s">
        <v>7994</v>
      </c>
      <c r="R1936" t="s">
        <v>573</v>
      </c>
      <c r="S1936" t="s">
        <v>7995</v>
      </c>
      <c r="T1936" t="s">
        <v>7996</v>
      </c>
      <c r="U1936" t="s">
        <v>60</v>
      </c>
      <c r="V1936" t="s">
        <v>61</v>
      </c>
      <c r="W1936">
        <v>3</v>
      </c>
      <c r="X1936">
        <v>0.109375</v>
      </c>
      <c r="Y1936" t="s">
        <v>575</v>
      </c>
      <c r="Z1936" t="s">
        <v>576</v>
      </c>
      <c r="AA1936">
        <v>3</v>
      </c>
      <c r="AB1936" t="s">
        <v>7678</v>
      </c>
      <c r="AC1936" t="s">
        <v>7679</v>
      </c>
      <c r="AD1936" t="s">
        <v>7680</v>
      </c>
      <c r="AE1936" t="s">
        <v>7681</v>
      </c>
      <c r="AF1936" t="s">
        <v>7682</v>
      </c>
      <c r="AG1936" t="s">
        <v>806</v>
      </c>
      <c r="AH1936" t="s">
        <v>889</v>
      </c>
      <c r="AI1936" t="s">
        <v>889</v>
      </c>
      <c r="AJ1936" t="s">
        <v>66</v>
      </c>
      <c r="AK1936">
        <v>1</v>
      </c>
      <c r="AL1936" t="s">
        <v>7919</v>
      </c>
      <c r="AM1936" t="s">
        <v>7920</v>
      </c>
      <c r="AN1936" t="s">
        <v>7921</v>
      </c>
      <c r="AO1936" t="s">
        <v>66</v>
      </c>
      <c r="AP1936">
        <v>1</v>
      </c>
      <c r="AQ1936" t="s">
        <v>7922</v>
      </c>
      <c r="AR1936" t="s">
        <v>7923</v>
      </c>
      <c r="AS1936" t="s">
        <v>7924</v>
      </c>
      <c r="AT1936" t="s">
        <v>66</v>
      </c>
    </row>
    <row r="1937" spans="1:46" x14ac:dyDescent="0.15">
      <c r="A1937" t="s">
        <v>7997</v>
      </c>
      <c r="B1937" t="s">
        <v>7672</v>
      </c>
      <c r="C1937" t="s">
        <v>7673</v>
      </c>
      <c r="D1937">
        <v>79</v>
      </c>
      <c r="E1937" t="s">
        <v>7674</v>
      </c>
      <c r="F1937" t="s">
        <v>4516</v>
      </c>
      <c r="G1937" t="s">
        <v>51</v>
      </c>
      <c r="H1937" t="s">
        <v>7675</v>
      </c>
      <c r="I1937" t="s">
        <v>1553</v>
      </c>
      <c r="J1937" t="s">
        <v>721</v>
      </c>
      <c r="K1937" t="s">
        <v>55</v>
      </c>
      <c r="L1937" t="s">
        <v>16</v>
      </c>
      <c r="M1937" t="s">
        <v>19</v>
      </c>
      <c r="N1937">
        <v>4878</v>
      </c>
      <c r="O1937">
        <v>269</v>
      </c>
      <c r="P1937">
        <v>0</v>
      </c>
      <c r="Q1937" t="s">
        <v>7998</v>
      </c>
      <c r="R1937" t="s">
        <v>580</v>
      </c>
      <c r="S1937" t="s">
        <v>7999</v>
      </c>
      <c r="T1937" t="s">
        <v>8000</v>
      </c>
      <c r="U1937" t="s">
        <v>60</v>
      </c>
      <c r="V1937" t="s">
        <v>61</v>
      </c>
      <c r="W1937">
        <v>3</v>
      </c>
      <c r="X1937">
        <v>0.109375</v>
      </c>
      <c r="Y1937" t="s">
        <v>321</v>
      </c>
      <c r="Z1937" t="s">
        <v>582</v>
      </c>
      <c r="AA1937">
        <v>3</v>
      </c>
      <c r="AB1937" t="s">
        <v>7678</v>
      </c>
      <c r="AC1937" t="s">
        <v>7679</v>
      </c>
      <c r="AD1937" t="s">
        <v>7680</v>
      </c>
      <c r="AE1937" t="s">
        <v>7681</v>
      </c>
      <c r="AF1937" t="s">
        <v>7682</v>
      </c>
      <c r="AG1937" t="s">
        <v>806</v>
      </c>
      <c r="AH1937" t="s">
        <v>889</v>
      </c>
      <c r="AI1937" t="s">
        <v>889</v>
      </c>
      <c r="AJ1937" t="s">
        <v>66</v>
      </c>
      <c r="AK1937">
        <v>1</v>
      </c>
      <c r="AL1937" t="s">
        <v>7919</v>
      </c>
      <c r="AM1937" t="s">
        <v>7920</v>
      </c>
      <c r="AN1937" t="s">
        <v>7921</v>
      </c>
      <c r="AO1937" t="s">
        <v>66</v>
      </c>
      <c r="AP1937">
        <v>1</v>
      </c>
      <c r="AQ1937" t="s">
        <v>7922</v>
      </c>
      <c r="AR1937" t="s">
        <v>7923</v>
      </c>
      <c r="AS1937" t="s">
        <v>7924</v>
      </c>
      <c r="AT1937" t="s">
        <v>66</v>
      </c>
    </row>
    <row r="1938" spans="1:46" x14ac:dyDescent="0.15">
      <c r="A1938" t="s">
        <v>8001</v>
      </c>
      <c r="B1938" t="s">
        <v>7672</v>
      </c>
      <c r="C1938" t="s">
        <v>7673</v>
      </c>
      <c r="D1938">
        <v>80</v>
      </c>
      <c r="E1938" t="s">
        <v>7674</v>
      </c>
      <c r="F1938" t="s">
        <v>4516</v>
      </c>
      <c r="G1938" t="s">
        <v>51</v>
      </c>
      <c r="H1938" t="s">
        <v>7675</v>
      </c>
      <c r="I1938" t="s">
        <v>1553</v>
      </c>
      <c r="J1938" t="s">
        <v>721</v>
      </c>
      <c r="K1938" t="s">
        <v>55</v>
      </c>
      <c r="L1938" t="s">
        <v>16</v>
      </c>
      <c r="M1938" t="s">
        <v>19</v>
      </c>
      <c r="N1938">
        <v>4934</v>
      </c>
      <c r="O1938">
        <v>272</v>
      </c>
      <c r="P1938">
        <v>0</v>
      </c>
      <c r="Q1938" t="s">
        <v>8002</v>
      </c>
      <c r="R1938" t="s">
        <v>586</v>
      </c>
      <c r="S1938" t="s">
        <v>8003</v>
      </c>
      <c r="T1938" t="s">
        <v>8004</v>
      </c>
      <c r="U1938" t="s">
        <v>60</v>
      </c>
      <c r="V1938" t="s">
        <v>61</v>
      </c>
      <c r="W1938">
        <v>3</v>
      </c>
      <c r="X1938">
        <v>0.109375</v>
      </c>
      <c r="Y1938" t="s">
        <v>588</v>
      </c>
      <c r="Z1938" t="s">
        <v>589</v>
      </c>
      <c r="AA1938">
        <v>3</v>
      </c>
      <c r="AB1938" t="s">
        <v>7678</v>
      </c>
      <c r="AC1938" t="s">
        <v>7679</v>
      </c>
      <c r="AD1938" t="s">
        <v>7680</v>
      </c>
      <c r="AE1938" t="s">
        <v>7681</v>
      </c>
      <c r="AF1938" t="s">
        <v>7682</v>
      </c>
      <c r="AG1938" t="s">
        <v>806</v>
      </c>
      <c r="AH1938" t="s">
        <v>889</v>
      </c>
      <c r="AI1938" t="s">
        <v>889</v>
      </c>
      <c r="AJ1938" t="s">
        <v>66</v>
      </c>
      <c r="AK1938">
        <v>1</v>
      </c>
      <c r="AL1938" t="s">
        <v>7919</v>
      </c>
      <c r="AM1938" t="s">
        <v>7920</v>
      </c>
      <c r="AN1938" t="s">
        <v>7921</v>
      </c>
      <c r="AO1938" t="s">
        <v>66</v>
      </c>
      <c r="AP1938">
        <v>1</v>
      </c>
      <c r="AQ1938" t="s">
        <v>7922</v>
      </c>
      <c r="AR1938" t="s">
        <v>7923</v>
      </c>
      <c r="AS1938" t="s">
        <v>7924</v>
      </c>
      <c r="AT1938" t="s">
        <v>66</v>
      </c>
    </row>
    <row r="1939" spans="1:46" x14ac:dyDescent="0.15">
      <c r="A1939" t="s">
        <v>8001</v>
      </c>
      <c r="B1939" t="s">
        <v>7672</v>
      </c>
      <c r="C1939" t="s">
        <v>7673</v>
      </c>
      <c r="D1939">
        <v>80</v>
      </c>
      <c r="E1939" t="s">
        <v>7674</v>
      </c>
      <c r="F1939" t="s">
        <v>4516</v>
      </c>
      <c r="G1939" t="s">
        <v>51</v>
      </c>
      <c r="H1939" t="s">
        <v>7675</v>
      </c>
      <c r="I1939" t="s">
        <v>1553</v>
      </c>
      <c r="J1939" t="s">
        <v>721</v>
      </c>
      <c r="K1939" t="s">
        <v>55</v>
      </c>
      <c r="L1939" t="s">
        <v>16</v>
      </c>
      <c r="M1939" t="s">
        <v>19</v>
      </c>
      <c r="N1939">
        <v>4934</v>
      </c>
      <c r="O1939">
        <v>272</v>
      </c>
      <c r="P1939">
        <v>0</v>
      </c>
      <c r="Q1939" t="s">
        <v>8002</v>
      </c>
      <c r="R1939" t="s">
        <v>586</v>
      </c>
      <c r="S1939" t="s">
        <v>8003</v>
      </c>
      <c r="T1939" t="s">
        <v>8004</v>
      </c>
      <c r="U1939" t="s">
        <v>60</v>
      </c>
      <c r="V1939" t="s">
        <v>61</v>
      </c>
      <c r="W1939">
        <v>3</v>
      </c>
      <c r="X1939">
        <v>0.109375</v>
      </c>
      <c r="Y1939" t="s">
        <v>588</v>
      </c>
      <c r="Z1939" t="s">
        <v>589</v>
      </c>
      <c r="AA1939">
        <v>4</v>
      </c>
      <c r="AB1939" t="s">
        <v>7678</v>
      </c>
      <c r="AC1939" t="s">
        <v>7679</v>
      </c>
      <c r="AD1939" t="s">
        <v>7680</v>
      </c>
      <c r="AE1939" t="s">
        <v>7681</v>
      </c>
      <c r="AF1939" t="s">
        <v>7682</v>
      </c>
      <c r="AG1939" t="s">
        <v>806</v>
      </c>
      <c r="AH1939" t="s">
        <v>889</v>
      </c>
      <c r="AI1939" t="s">
        <v>889</v>
      </c>
      <c r="AJ1939" t="s">
        <v>1054</v>
      </c>
      <c r="AK1939">
        <v>1</v>
      </c>
      <c r="AL1939" t="s">
        <v>7919</v>
      </c>
      <c r="AM1939" t="s">
        <v>7920</v>
      </c>
      <c r="AN1939" t="s">
        <v>7921</v>
      </c>
      <c r="AO1939" t="s">
        <v>66</v>
      </c>
      <c r="AP1939">
        <v>1</v>
      </c>
      <c r="AQ1939" t="s">
        <v>7922</v>
      </c>
      <c r="AR1939" t="s">
        <v>7923</v>
      </c>
      <c r="AS1939" t="s">
        <v>7924</v>
      </c>
      <c r="AT1939" t="s">
        <v>66</v>
      </c>
    </row>
    <row r="1940" spans="1:46" x14ac:dyDescent="0.15">
      <c r="A1940" t="s">
        <v>8005</v>
      </c>
      <c r="B1940" t="s">
        <v>7672</v>
      </c>
      <c r="C1940" t="s">
        <v>7673</v>
      </c>
      <c r="D1940">
        <v>81</v>
      </c>
      <c r="E1940" t="s">
        <v>7674</v>
      </c>
      <c r="F1940" t="s">
        <v>4516</v>
      </c>
      <c r="G1940" t="s">
        <v>51</v>
      </c>
      <c r="H1940" t="s">
        <v>7675</v>
      </c>
      <c r="I1940" t="s">
        <v>1553</v>
      </c>
      <c r="J1940" t="s">
        <v>721</v>
      </c>
      <c r="K1940" t="s">
        <v>55</v>
      </c>
      <c r="L1940" t="s">
        <v>16</v>
      </c>
      <c r="M1940" t="s">
        <v>19</v>
      </c>
      <c r="N1940">
        <v>4990</v>
      </c>
      <c r="O1940">
        <v>275</v>
      </c>
      <c r="P1940">
        <v>0</v>
      </c>
      <c r="Q1940" t="s">
        <v>8006</v>
      </c>
      <c r="R1940" t="s">
        <v>594</v>
      </c>
      <c r="S1940" t="s">
        <v>8007</v>
      </c>
      <c r="T1940" t="s">
        <v>8008</v>
      </c>
      <c r="U1940" t="s">
        <v>60</v>
      </c>
      <c r="V1940" t="s">
        <v>61</v>
      </c>
      <c r="W1940">
        <v>3</v>
      </c>
      <c r="X1940">
        <v>0.109375</v>
      </c>
      <c r="Y1940" t="s">
        <v>330</v>
      </c>
      <c r="Z1940" t="s">
        <v>596</v>
      </c>
      <c r="AA1940">
        <v>4</v>
      </c>
      <c r="AB1940" t="s">
        <v>7678</v>
      </c>
      <c r="AC1940" t="s">
        <v>7679</v>
      </c>
      <c r="AD1940" t="s">
        <v>7680</v>
      </c>
      <c r="AE1940" t="s">
        <v>7681</v>
      </c>
      <c r="AF1940" t="s">
        <v>7682</v>
      </c>
      <c r="AG1940" t="s">
        <v>806</v>
      </c>
      <c r="AH1940" t="s">
        <v>889</v>
      </c>
      <c r="AI1940" t="s">
        <v>889</v>
      </c>
      <c r="AJ1940" t="s">
        <v>1054</v>
      </c>
      <c r="AK1940">
        <v>1</v>
      </c>
      <c r="AL1940" t="s">
        <v>7919</v>
      </c>
      <c r="AM1940" t="s">
        <v>7920</v>
      </c>
      <c r="AN1940" t="s">
        <v>7921</v>
      </c>
      <c r="AO1940" t="s">
        <v>66</v>
      </c>
      <c r="AP1940">
        <v>1</v>
      </c>
      <c r="AQ1940" t="s">
        <v>7922</v>
      </c>
      <c r="AR1940" t="s">
        <v>7923</v>
      </c>
      <c r="AS1940" t="s">
        <v>7924</v>
      </c>
      <c r="AT1940" t="s">
        <v>66</v>
      </c>
    </row>
    <row r="1941" spans="1:46" x14ac:dyDescent="0.15">
      <c r="A1941" t="s">
        <v>8009</v>
      </c>
      <c r="B1941" t="s">
        <v>7672</v>
      </c>
      <c r="C1941" t="s">
        <v>7673</v>
      </c>
      <c r="D1941">
        <v>82</v>
      </c>
      <c r="E1941" t="s">
        <v>7674</v>
      </c>
      <c r="F1941" t="s">
        <v>4516</v>
      </c>
      <c r="G1941" t="s">
        <v>51</v>
      </c>
      <c r="H1941" t="s">
        <v>7675</v>
      </c>
      <c r="I1941" t="s">
        <v>1553</v>
      </c>
      <c r="J1941" t="s">
        <v>721</v>
      </c>
      <c r="K1941" t="s">
        <v>55</v>
      </c>
      <c r="L1941" t="s">
        <v>16</v>
      </c>
      <c r="M1941" t="s">
        <v>19</v>
      </c>
      <c r="N1941">
        <v>5046</v>
      </c>
      <c r="O1941">
        <v>278</v>
      </c>
      <c r="P1941">
        <v>0</v>
      </c>
      <c r="Q1941" t="s">
        <v>8010</v>
      </c>
      <c r="R1941" t="s">
        <v>600</v>
      </c>
      <c r="S1941" t="s">
        <v>8011</v>
      </c>
      <c r="T1941" t="s">
        <v>8012</v>
      </c>
      <c r="U1941" t="s">
        <v>60</v>
      </c>
      <c r="V1941" t="s">
        <v>61</v>
      </c>
      <c r="W1941">
        <v>3</v>
      </c>
      <c r="X1941">
        <v>0.109375</v>
      </c>
      <c r="Y1941" t="s">
        <v>602</v>
      </c>
      <c r="Z1941" t="s">
        <v>603</v>
      </c>
      <c r="AA1941">
        <v>4</v>
      </c>
      <c r="AB1941" t="s">
        <v>7678</v>
      </c>
      <c r="AC1941" t="s">
        <v>7679</v>
      </c>
      <c r="AD1941" t="s">
        <v>7680</v>
      </c>
      <c r="AE1941" t="s">
        <v>7681</v>
      </c>
      <c r="AF1941" t="s">
        <v>7682</v>
      </c>
      <c r="AG1941" t="s">
        <v>806</v>
      </c>
      <c r="AH1941" t="s">
        <v>889</v>
      </c>
      <c r="AI1941" t="s">
        <v>889</v>
      </c>
      <c r="AJ1941" t="s">
        <v>1054</v>
      </c>
      <c r="AK1941">
        <v>1</v>
      </c>
      <c r="AL1941" t="s">
        <v>7919</v>
      </c>
      <c r="AM1941" t="s">
        <v>7920</v>
      </c>
      <c r="AN1941" t="s">
        <v>7921</v>
      </c>
      <c r="AO1941" t="s">
        <v>66</v>
      </c>
      <c r="AP1941">
        <v>1</v>
      </c>
      <c r="AQ1941" t="s">
        <v>7922</v>
      </c>
      <c r="AR1941" t="s">
        <v>7923</v>
      </c>
      <c r="AS1941" t="s">
        <v>7924</v>
      </c>
      <c r="AT1941" t="s">
        <v>66</v>
      </c>
    </row>
    <row r="1942" spans="1:46" x14ac:dyDescent="0.15">
      <c r="A1942" t="s">
        <v>8013</v>
      </c>
      <c r="B1942" t="s">
        <v>7672</v>
      </c>
      <c r="C1942" t="s">
        <v>7673</v>
      </c>
      <c r="D1942">
        <v>83</v>
      </c>
      <c r="E1942" t="s">
        <v>7674</v>
      </c>
      <c r="F1942" t="s">
        <v>4516</v>
      </c>
      <c r="G1942" t="s">
        <v>51</v>
      </c>
      <c r="H1942" t="s">
        <v>7675</v>
      </c>
      <c r="I1942" t="s">
        <v>1553</v>
      </c>
      <c r="J1942" t="s">
        <v>721</v>
      </c>
      <c r="K1942" t="s">
        <v>55</v>
      </c>
      <c r="L1942" t="s">
        <v>16</v>
      </c>
      <c r="M1942" t="s">
        <v>19</v>
      </c>
      <c r="N1942">
        <v>5102</v>
      </c>
      <c r="O1942">
        <v>281</v>
      </c>
      <c r="P1942">
        <v>0</v>
      </c>
      <c r="Q1942" t="s">
        <v>8014</v>
      </c>
      <c r="R1942" t="s">
        <v>607</v>
      </c>
      <c r="S1942" t="s">
        <v>8015</v>
      </c>
      <c r="T1942" t="s">
        <v>8016</v>
      </c>
      <c r="U1942" t="s">
        <v>60</v>
      </c>
      <c r="V1942" t="s">
        <v>61</v>
      </c>
      <c r="W1942">
        <v>3</v>
      </c>
      <c r="X1942">
        <v>0.109375</v>
      </c>
      <c r="Y1942" t="s">
        <v>337</v>
      </c>
      <c r="Z1942" t="s">
        <v>609</v>
      </c>
      <c r="AA1942">
        <v>4</v>
      </c>
      <c r="AB1942" t="s">
        <v>7678</v>
      </c>
      <c r="AC1942" t="s">
        <v>7679</v>
      </c>
      <c r="AD1942" t="s">
        <v>7680</v>
      </c>
      <c r="AE1942" t="s">
        <v>7681</v>
      </c>
      <c r="AF1942" t="s">
        <v>7682</v>
      </c>
      <c r="AG1942" t="s">
        <v>806</v>
      </c>
      <c r="AH1942" t="s">
        <v>889</v>
      </c>
      <c r="AI1942" t="s">
        <v>889</v>
      </c>
      <c r="AJ1942" t="s">
        <v>1054</v>
      </c>
      <c r="AK1942">
        <v>1</v>
      </c>
      <c r="AL1942" t="s">
        <v>7919</v>
      </c>
      <c r="AM1942" t="s">
        <v>7920</v>
      </c>
      <c r="AN1942" t="s">
        <v>7921</v>
      </c>
      <c r="AO1942" t="s">
        <v>66</v>
      </c>
      <c r="AP1942">
        <v>1</v>
      </c>
      <c r="AQ1942" t="s">
        <v>7922</v>
      </c>
      <c r="AR1942" t="s">
        <v>7923</v>
      </c>
      <c r="AS1942" t="s">
        <v>7924</v>
      </c>
      <c r="AT1942" t="s">
        <v>66</v>
      </c>
    </row>
    <row r="1943" spans="1:46" x14ac:dyDescent="0.15">
      <c r="A1943" t="s">
        <v>8017</v>
      </c>
      <c r="B1943" t="s">
        <v>7672</v>
      </c>
      <c r="C1943" t="s">
        <v>7673</v>
      </c>
      <c r="D1943">
        <v>84</v>
      </c>
      <c r="E1943" t="s">
        <v>7674</v>
      </c>
      <c r="F1943" t="s">
        <v>4516</v>
      </c>
      <c r="G1943" t="s">
        <v>51</v>
      </c>
      <c r="H1943" t="s">
        <v>7675</v>
      </c>
      <c r="I1943" t="s">
        <v>1553</v>
      </c>
      <c r="J1943" t="s">
        <v>721</v>
      </c>
      <c r="K1943" t="s">
        <v>55</v>
      </c>
      <c r="L1943" t="s">
        <v>16</v>
      </c>
      <c r="M1943" t="s">
        <v>19</v>
      </c>
      <c r="N1943">
        <v>5158</v>
      </c>
      <c r="O1943">
        <v>284</v>
      </c>
      <c r="P1943">
        <v>0</v>
      </c>
      <c r="Q1943" t="s">
        <v>8018</v>
      </c>
      <c r="R1943" t="s">
        <v>613</v>
      </c>
      <c r="S1943" t="s">
        <v>8019</v>
      </c>
      <c r="T1943" t="s">
        <v>8020</v>
      </c>
      <c r="U1943" t="s">
        <v>60</v>
      </c>
      <c r="V1943" t="s">
        <v>61</v>
      </c>
      <c r="W1943">
        <v>3</v>
      </c>
      <c r="X1943">
        <v>0.109375</v>
      </c>
      <c r="Y1943" t="s">
        <v>615</v>
      </c>
      <c r="Z1943" t="s">
        <v>616</v>
      </c>
      <c r="AA1943">
        <v>4</v>
      </c>
      <c r="AB1943" t="s">
        <v>7678</v>
      </c>
      <c r="AC1943" t="s">
        <v>7679</v>
      </c>
      <c r="AD1943" t="s">
        <v>7680</v>
      </c>
      <c r="AE1943" t="s">
        <v>7681</v>
      </c>
      <c r="AF1943" t="s">
        <v>7682</v>
      </c>
      <c r="AG1943" t="s">
        <v>806</v>
      </c>
      <c r="AH1943" t="s">
        <v>889</v>
      </c>
      <c r="AI1943" t="s">
        <v>889</v>
      </c>
      <c r="AJ1943" t="s">
        <v>1054</v>
      </c>
      <c r="AK1943">
        <v>1</v>
      </c>
      <c r="AL1943" t="s">
        <v>7919</v>
      </c>
      <c r="AM1943" t="s">
        <v>7920</v>
      </c>
      <c r="AN1943" t="s">
        <v>7921</v>
      </c>
      <c r="AO1943" t="s">
        <v>66</v>
      </c>
      <c r="AP1943">
        <v>1</v>
      </c>
      <c r="AQ1943" t="s">
        <v>7922</v>
      </c>
      <c r="AR1943" t="s">
        <v>7923</v>
      </c>
      <c r="AS1943" t="s">
        <v>7924</v>
      </c>
      <c r="AT1943" t="s">
        <v>66</v>
      </c>
    </row>
    <row r="1944" spans="1:46" x14ac:dyDescent="0.15">
      <c r="A1944" t="s">
        <v>8021</v>
      </c>
      <c r="B1944" t="s">
        <v>7672</v>
      </c>
      <c r="C1944" t="s">
        <v>7673</v>
      </c>
      <c r="D1944">
        <v>85</v>
      </c>
      <c r="E1944" t="s">
        <v>7674</v>
      </c>
      <c r="F1944" t="s">
        <v>4516</v>
      </c>
      <c r="G1944" t="s">
        <v>51</v>
      </c>
      <c r="H1944" t="s">
        <v>7675</v>
      </c>
      <c r="I1944" t="s">
        <v>1553</v>
      </c>
      <c r="J1944" t="s">
        <v>721</v>
      </c>
      <c r="K1944" t="s">
        <v>55</v>
      </c>
      <c r="L1944" t="s">
        <v>16</v>
      </c>
      <c r="M1944" t="s">
        <v>19</v>
      </c>
      <c r="N1944">
        <v>5214</v>
      </c>
      <c r="O1944">
        <v>288</v>
      </c>
      <c r="P1944">
        <v>0</v>
      </c>
      <c r="Q1944" t="s">
        <v>8022</v>
      </c>
      <c r="R1944" t="s">
        <v>620</v>
      </c>
      <c r="S1944" t="s">
        <v>8023</v>
      </c>
      <c r="T1944" t="s">
        <v>8024</v>
      </c>
      <c r="U1944" t="s">
        <v>60</v>
      </c>
      <c r="V1944" t="s">
        <v>61</v>
      </c>
      <c r="W1944">
        <v>3</v>
      </c>
      <c r="X1944">
        <v>0.109375</v>
      </c>
      <c r="Y1944" t="s">
        <v>343</v>
      </c>
      <c r="Z1944" t="s">
        <v>622</v>
      </c>
      <c r="AA1944">
        <v>4</v>
      </c>
      <c r="AB1944" t="s">
        <v>7678</v>
      </c>
      <c r="AC1944" t="s">
        <v>7679</v>
      </c>
      <c r="AD1944" t="s">
        <v>7680</v>
      </c>
      <c r="AE1944" t="s">
        <v>7681</v>
      </c>
      <c r="AF1944" t="s">
        <v>7682</v>
      </c>
      <c r="AG1944" t="s">
        <v>806</v>
      </c>
      <c r="AH1944" t="s">
        <v>889</v>
      </c>
      <c r="AI1944" t="s">
        <v>889</v>
      </c>
      <c r="AJ1944" t="s">
        <v>1054</v>
      </c>
      <c r="AK1944">
        <v>1</v>
      </c>
      <c r="AL1944" t="s">
        <v>7919</v>
      </c>
      <c r="AM1944" t="s">
        <v>7920</v>
      </c>
      <c r="AN1944" t="s">
        <v>7921</v>
      </c>
      <c r="AO1944" t="s">
        <v>66</v>
      </c>
      <c r="AP1944">
        <v>1</v>
      </c>
      <c r="AQ1944" t="s">
        <v>7922</v>
      </c>
      <c r="AR1944" t="s">
        <v>7923</v>
      </c>
      <c r="AS1944" t="s">
        <v>7924</v>
      </c>
      <c r="AT1944" t="s">
        <v>66</v>
      </c>
    </row>
    <row r="1945" spans="1:46" x14ac:dyDescent="0.15">
      <c r="A1945" t="s">
        <v>8025</v>
      </c>
      <c r="B1945" t="s">
        <v>7672</v>
      </c>
      <c r="C1945" t="s">
        <v>7673</v>
      </c>
      <c r="D1945">
        <v>86</v>
      </c>
      <c r="E1945" t="s">
        <v>7674</v>
      </c>
      <c r="F1945" t="s">
        <v>4516</v>
      </c>
      <c r="G1945" t="s">
        <v>51</v>
      </c>
      <c r="H1945" t="s">
        <v>7675</v>
      </c>
      <c r="I1945" t="s">
        <v>1553</v>
      </c>
      <c r="J1945" t="s">
        <v>721</v>
      </c>
      <c r="K1945" t="s">
        <v>55</v>
      </c>
      <c r="L1945" t="s">
        <v>16</v>
      </c>
      <c r="M1945" t="s">
        <v>19</v>
      </c>
      <c r="N1945">
        <v>5270</v>
      </c>
      <c r="O1945">
        <v>291</v>
      </c>
      <c r="P1945">
        <v>0</v>
      </c>
      <c r="Q1945" t="s">
        <v>8026</v>
      </c>
      <c r="R1945" t="s">
        <v>626</v>
      </c>
      <c r="S1945" t="s">
        <v>8027</v>
      </c>
      <c r="T1945" t="s">
        <v>8028</v>
      </c>
      <c r="U1945" t="s">
        <v>60</v>
      </c>
      <c r="V1945" t="s">
        <v>61</v>
      </c>
      <c r="W1945">
        <v>3</v>
      </c>
      <c r="X1945">
        <v>0.109375</v>
      </c>
      <c r="Y1945" t="s">
        <v>628</v>
      </c>
      <c r="Z1945" t="s">
        <v>629</v>
      </c>
      <c r="AA1945">
        <v>4</v>
      </c>
      <c r="AB1945" t="s">
        <v>7678</v>
      </c>
      <c r="AC1945" t="s">
        <v>7679</v>
      </c>
      <c r="AD1945" t="s">
        <v>7680</v>
      </c>
      <c r="AE1945" t="s">
        <v>7681</v>
      </c>
      <c r="AF1945" t="s">
        <v>7682</v>
      </c>
      <c r="AG1945" t="s">
        <v>806</v>
      </c>
      <c r="AH1945" t="s">
        <v>889</v>
      </c>
      <c r="AI1945" t="s">
        <v>889</v>
      </c>
      <c r="AJ1945" t="s">
        <v>1054</v>
      </c>
      <c r="AK1945">
        <v>1</v>
      </c>
      <c r="AL1945" t="s">
        <v>7919</v>
      </c>
      <c r="AM1945" t="s">
        <v>7920</v>
      </c>
      <c r="AN1945" t="s">
        <v>7921</v>
      </c>
      <c r="AO1945" t="s">
        <v>66</v>
      </c>
      <c r="AP1945">
        <v>1</v>
      </c>
      <c r="AQ1945" t="s">
        <v>7922</v>
      </c>
      <c r="AR1945" t="s">
        <v>7923</v>
      </c>
      <c r="AS1945" t="s">
        <v>7924</v>
      </c>
      <c r="AT1945" t="s">
        <v>66</v>
      </c>
    </row>
    <row r="1946" spans="1:46" x14ac:dyDescent="0.15">
      <c r="A1946" t="s">
        <v>8029</v>
      </c>
      <c r="B1946" t="s">
        <v>7672</v>
      </c>
      <c r="C1946" t="s">
        <v>7673</v>
      </c>
      <c r="D1946">
        <v>87</v>
      </c>
      <c r="E1946" t="s">
        <v>7674</v>
      </c>
      <c r="F1946" t="s">
        <v>4516</v>
      </c>
      <c r="G1946" t="s">
        <v>51</v>
      </c>
      <c r="H1946" t="s">
        <v>7675</v>
      </c>
      <c r="I1946" t="s">
        <v>1553</v>
      </c>
      <c r="J1946" t="s">
        <v>721</v>
      </c>
      <c r="K1946" t="s">
        <v>55</v>
      </c>
      <c r="L1946" t="s">
        <v>16</v>
      </c>
      <c r="M1946" t="s">
        <v>19</v>
      </c>
      <c r="N1946">
        <v>5327</v>
      </c>
      <c r="O1946">
        <v>294</v>
      </c>
      <c r="P1946">
        <v>0</v>
      </c>
      <c r="Q1946" t="s">
        <v>8030</v>
      </c>
      <c r="R1946" t="s">
        <v>633</v>
      </c>
      <c r="S1946" t="s">
        <v>8031</v>
      </c>
      <c r="T1946" t="s">
        <v>8032</v>
      </c>
      <c r="U1946" t="s">
        <v>60</v>
      </c>
      <c r="V1946" t="s">
        <v>61</v>
      </c>
      <c r="W1946">
        <v>3</v>
      </c>
      <c r="X1946">
        <v>0.109375</v>
      </c>
      <c r="Y1946" t="s">
        <v>350</v>
      </c>
      <c r="Z1946" t="s">
        <v>635</v>
      </c>
      <c r="AA1946">
        <v>4</v>
      </c>
      <c r="AB1946" t="s">
        <v>7678</v>
      </c>
      <c r="AC1946" t="s">
        <v>7679</v>
      </c>
      <c r="AD1946" t="s">
        <v>7680</v>
      </c>
      <c r="AE1946" t="s">
        <v>7681</v>
      </c>
      <c r="AF1946" t="s">
        <v>7682</v>
      </c>
      <c r="AG1946" t="s">
        <v>806</v>
      </c>
      <c r="AH1946" t="s">
        <v>889</v>
      </c>
      <c r="AI1946" t="s">
        <v>889</v>
      </c>
      <c r="AJ1946" t="s">
        <v>1054</v>
      </c>
      <c r="AK1946">
        <v>1</v>
      </c>
      <c r="AL1946" t="s">
        <v>7919</v>
      </c>
      <c r="AM1946" t="s">
        <v>7920</v>
      </c>
      <c r="AN1946" t="s">
        <v>7921</v>
      </c>
      <c r="AO1946" t="s">
        <v>66</v>
      </c>
      <c r="AP1946">
        <v>1</v>
      </c>
      <c r="AQ1946" t="s">
        <v>7922</v>
      </c>
      <c r="AR1946" t="s">
        <v>7923</v>
      </c>
      <c r="AS1946" t="s">
        <v>7924</v>
      </c>
      <c r="AT1946" t="s">
        <v>66</v>
      </c>
    </row>
    <row r="1947" spans="1:46" x14ac:dyDescent="0.15">
      <c r="A1947" t="s">
        <v>8033</v>
      </c>
      <c r="B1947" t="s">
        <v>7672</v>
      </c>
      <c r="C1947" t="s">
        <v>7673</v>
      </c>
      <c r="D1947">
        <v>88</v>
      </c>
      <c r="E1947" t="s">
        <v>7674</v>
      </c>
      <c r="F1947" t="s">
        <v>4516</v>
      </c>
      <c r="G1947" t="s">
        <v>51</v>
      </c>
      <c r="H1947" t="s">
        <v>7675</v>
      </c>
      <c r="I1947" t="s">
        <v>1553</v>
      </c>
      <c r="J1947" t="s">
        <v>721</v>
      </c>
      <c r="K1947" t="s">
        <v>55</v>
      </c>
      <c r="L1947" t="s">
        <v>16</v>
      </c>
      <c r="M1947" t="s">
        <v>19</v>
      </c>
      <c r="N1947">
        <v>5383</v>
      </c>
      <c r="O1947">
        <v>297</v>
      </c>
      <c r="P1947">
        <v>0</v>
      </c>
      <c r="Q1947" t="s">
        <v>8034</v>
      </c>
      <c r="R1947" t="s">
        <v>639</v>
      </c>
      <c r="S1947" t="s">
        <v>8035</v>
      </c>
      <c r="T1947" t="s">
        <v>8036</v>
      </c>
      <c r="U1947" t="s">
        <v>60</v>
      </c>
      <c r="V1947" t="s">
        <v>61</v>
      </c>
      <c r="W1947">
        <v>3</v>
      </c>
      <c r="X1947">
        <v>0.109375</v>
      </c>
      <c r="Y1947" t="s">
        <v>641</v>
      </c>
      <c r="Z1947" t="s">
        <v>642</v>
      </c>
      <c r="AA1947">
        <v>4</v>
      </c>
      <c r="AB1947" t="s">
        <v>7678</v>
      </c>
      <c r="AC1947" t="s">
        <v>7679</v>
      </c>
      <c r="AD1947" t="s">
        <v>7680</v>
      </c>
      <c r="AE1947" t="s">
        <v>7681</v>
      </c>
      <c r="AF1947" t="s">
        <v>7682</v>
      </c>
      <c r="AG1947" t="s">
        <v>806</v>
      </c>
      <c r="AH1947" t="s">
        <v>889</v>
      </c>
      <c r="AI1947" t="s">
        <v>889</v>
      </c>
      <c r="AJ1947" t="s">
        <v>1054</v>
      </c>
      <c r="AK1947">
        <v>1</v>
      </c>
      <c r="AL1947" t="s">
        <v>7919</v>
      </c>
      <c r="AM1947" t="s">
        <v>7920</v>
      </c>
      <c r="AN1947" t="s">
        <v>7921</v>
      </c>
      <c r="AO1947" t="s">
        <v>66</v>
      </c>
      <c r="AP1947">
        <v>1</v>
      </c>
      <c r="AQ1947" t="s">
        <v>7922</v>
      </c>
      <c r="AR1947" t="s">
        <v>7923</v>
      </c>
      <c r="AS1947" t="s">
        <v>7924</v>
      </c>
      <c r="AT1947" t="s">
        <v>66</v>
      </c>
    </row>
    <row r="1948" spans="1:46" x14ac:dyDescent="0.15">
      <c r="A1948" t="s">
        <v>8037</v>
      </c>
      <c r="B1948" t="s">
        <v>7672</v>
      </c>
      <c r="C1948" t="s">
        <v>7673</v>
      </c>
      <c r="D1948">
        <v>89</v>
      </c>
      <c r="E1948" t="s">
        <v>7674</v>
      </c>
      <c r="F1948" t="s">
        <v>4516</v>
      </c>
      <c r="G1948" t="s">
        <v>51</v>
      </c>
      <c r="H1948" t="s">
        <v>7675</v>
      </c>
      <c r="I1948" t="s">
        <v>1553</v>
      </c>
      <c r="J1948" t="s">
        <v>721</v>
      </c>
      <c r="K1948" t="s">
        <v>55</v>
      </c>
      <c r="L1948" t="s">
        <v>16</v>
      </c>
      <c r="M1948" t="s">
        <v>19</v>
      </c>
      <c r="N1948">
        <v>5439</v>
      </c>
      <c r="O1948">
        <v>300</v>
      </c>
      <c r="P1948">
        <v>0</v>
      </c>
      <c r="Q1948" t="s">
        <v>8038</v>
      </c>
      <c r="R1948" t="s">
        <v>646</v>
      </c>
      <c r="S1948" t="s">
        <v>8039</v>
      </c>
      <c r="T1948" t="s">
        <v>8040</v>
      </c>
      <c r="U1948" t="s">
        <v>60</v>
      </c>
      <c r="V1948" t="s">
        <v>61</v>
      </c>
      <c r="W1948">
        <v>3</v>
      </c>
      <c r="X1948">
        <v>0.109375</v>
      </c>
      <c r="Y1948" t="s">
        <v>356</v>
      </c>
      <c r="Z1948" t="s">
        <v>648</v>
      </c>
      <c r="AA1948">
        <v>4</v>
      </c>
      <c r="AB1948" t="s">
        <v>7678</v>
      </c>
      <c r="AC1948" t="s">
        <v>7679</v>
      </c>
      <c r="AD1948" t="s">
        <v>7680</v>
      </c>
      <c r="AE1948" t="s">
        <v>7681</v>
      </c>
      <c r="AF1948" t="s">
        <v>7682</v>
      </c>
      <c r="AG1948" t="s">
        <v>806</v>
      </c>
      <c r="AH1948" t="s">
        <v>889</v>
      </c>
      <c r="AI1948" t="s">
        <v>889</v>
      </c>
      <c r="AJ1948" t="s">
        <v>1054</v>
      </c>
      <c r="AK1948">
        <v>1</v>
      </c>
      <c r="AL1948" t="s">
        <v>7919</v>
      </c>
      <c r="AM1948" t="s">
        <v>7920</v>
      </c>
      <c r="AN1948" t="s">
        <v>7921</v>
      </c>
      <c r="AO1948" t="s">
        <v>66</v>
      </c>
      <c r="AP1948">
        <v>1</v>
      </c>
      <c r="AQ1948" t="s">
        <v>7922</v>
      </c>
      <c r="AR1948" t="s">
        <v>7923</v>
      </c>
      <c r="AS1948" t="s">
        <v>7924</v>
      </c>
      <c r="AT1948" t="s">
        <v>66</v>
      </c>
    </row>
    <row r="1949" spans="1:46" x14ac:dyDescent="0.15">
      <c r="A1949" t="s">
        <v>8041</v>
      </c>
      <c r="B1949" t="s">
        <v>7672</v>
      </c>
      <c r="C1949" t="s">
        <v>7673</v>
      </c>
      <c r="D1949">
        <v>90</v>
      </c>
      <c r="E1949" t="s">
        <v>7674</v>
      </c>
      <c r="F1949" t="s">
        <v>4516</v>
      </c>
      <c r="G1949" t="s">
        <v>51</v>
      </c>
      <c r="H1949" t="s">
        <v>7675</v>
      </c>
      <c r="I1949" t="s">
        <v>1553</v>
      </c>
      <c r="J1949" t="s">
        <v>721</v>
      </c>
      <c r="K1949" t="s">
        <v>55</v>
      </c>
      <c r="L1949" t="s">
        <v>16</v>
      </c>
      <c r="M1949" t="s">
        <v>19</v>
      </c>
      <c r="N1949">
        <v>5495</v>
      </c>
      <c r="O1949">
        <v>303</v>
      </c>
      <c r="P1949">
        <v>0</v>
      </c>
      <c r="Q1949" t="s">
        <v>8042</v>
      </c>
      <c r="R1949" t="s">
        <v>652</v>
      </c>
      <c r="S1949" t="s">
        <v>8043</v>
      </c>
      <c r="T1949" t="s">
        <v>8044</v>
      </c>
      <c r="U1949" t="s">
        <v>60</v>
      </c>
      <c r="V1949" t="s">
        <v>61</v>
      </c>
      <c r="W1949">
        <v>3</v>
      </c>
      <c r="X1949">
        <v>0.109375</v>
      </c>
      <c r="Y1949" t="s">
        <v>654</v>
      </c>
      <c r="Z1949" t="s">
        <v>655</v>
      </c>
      <c r="AA1949">
        <v>4</v>
      </c>
      <c r="AB1949" t="s">
        <v>7678</v>
      </c>
      <c r="AC1949" t="s">
        <v>7679</v>
      </c>
      <c r="AD1949" t="s">
        <v>7680</v>
      </c>
      <c r="AE1949" t="s">
        <v>7681</v>
      </c>
      <c r="AF1949" t="s">
        <v>7682</v>
      </c>
      <c r="AG1949" t="s">
        <v>806</v>
      </c>
      <c r="AH1949" t="s">
        <v>889</v>
      </c>
      <c r="AI1949" t="s">
        <v>889</v>
      </c>
      <c r="AJ1949" t="s">
        <v>1054</v>
      </c>
      <c r="AK1949">
        <v>1</v>
      </c>
      <c r="AL1949" t="s">
        <v>7919</v>
      </c>
      <c r="AM1949" t="s">
        <v>7920</v>
      </c>
      <c r="AN1949" t="s">
        <v>7921</v>
      </c>
      <c r="AO1949" t="s">
        <v>66</v>
      </c>
      <c r="AP1949">
        <v>1</v>
      </c>
      <c r="AQ1949" t="s">
        <v>7922</v>
      </c>
      <c r="AR1949" t="s">
        <v>7923</v>
      </c>
      <c r="AS1949" t="s">
        <v>7924</v>
      </c>
      <c r="AT1949" t="s">
        <v>66</v>
      </c>
    </row>
    <row r="1950" spans="1:46" x14ac:dyDescent="0.15">
      <c r="A1950" t="s">
        <v>8045</v>
      </c>
      <c r="B1950" t="s">
        <v>7672</v>
      </c>
      <c r="C1950" t="s">
        <v>7673</v>
      </c>
      <c r="D1950">
        <v>91</v>
      </c>
      <c r="E1950" t="s">
        <v>7674</v>
      </c>
      <c r="F1950" t="s">
        <v>4516</v>
      </c>
      <c r="G1950" t="s">
        <v>51</v>
      </c>
      <c r="H1950" t="s">
        <v>7675</v>
      </c>
      <c r="I1950" t="s">
        <v>1553</v>
      </c>
      <c r="J1950" t="s">
        <v>721</v>
      </c>
      <c r="K1950" t="s">
        <v>55</v>
      </c>
      <c r="L1950" t="s">
        <v>16</v>
      </c>
      <c r="M1950" t="s">
        <v>19</v>
      </c>
      <c r="N1950">
        <v>5551</v>
      </c>
      <c r="O1950">
        <v>306</v>
      </c>
      <c r="P1950">
        <v>0</v>
      </c>
      <c r="Q1950" t="s">
        <v>8046</v>
      </c>
      <c r="R1950" t="s">
        <v>659</v>
      </c>
      <c r="S1950" t="s">
        <v>8047</v>
      </c>
      <c r="T1950" t="s">
        <v>8048</v>
      </c>
      <c r="U1950" t="s">
        <v>60</v>
      </c>
      <c r="V1950" t="s">
        <v>61</v>
      </c>
      <c r="W1950">
        <v>3</v>
      </c>
      <c r="X1950">
        <v>0.109375</v>
      </c>
      <c r="Y1950" t="s">
        <v>363</v>
      </c>
      <c r="Z1950" t="s">
        <v>661</v>
      </c>
      <c r="AA1950">
        <v>4</v>
      </c>
      <c r="AB1950" t="s">
        <v>7678</v>
      </c>
      <c r="AC1950" t="s">
        <v>7679</v>
      </c>
      <c r="AD1950" t="s">
        <v>7680</v>
      </c>
      <c r="AE1950" t="s">
        <v>7681</v>
      </c>
      <c r="AF1950" t="s">
        <v>7682</v>
      </c>
      <c r="AG1950" t="s">
        <v>806</v>
      </c>
      <c r="AH1950" t="s">
        <v>889</v>
      </c>
      <c r="AI1950" t="s">
        <v>889</v>
      </c>
      <c r="AJ1950" t="s">
        <v>1054</v>
      </c>
      <c r="AK1950">
        <v>1</v>
      </c>
      <c r="AL1950" t="s">
        <v>7919</v>
      </c>
      <c r="AM1950" t="s">
        <v>7920</v>
      </c>
      <c r="AN1950" t="s">
        <v>7921</v>
      </c>
      <c r="AO1950" t="s">
        <v>66</v>
      </c>
      <c r="AP1950">
        <v>1</v>
      </c>
      <c r="AQ1950" t="s">
        <v>7922</v>
      </c>
      <c r="AR1950" t="s">
        <v>7923</v>
      </c>
      <c r="AS1950" t="s">
        <v>7924</v>
      </c>
      <c r="AT1950" t="s">
        <v>66</v>
      </c>
    </row>
    <row r="1951" spans="1:46" x14ac:dyDescent="0.15">
      <c r="A1951" t="s">
        <v>8049</v>
      </c>
      <c r="B1951" t="s">
        <v>7672</v>
      </c>
      <c r="C1951" t="s">
        <v>7673</v>
      </c>
      <c r="D1951">
        <v>92</v>
      </c>
      <c r="E1951" t="s">
        <v>7674</v>
      </c>
      <c r="F1951" t="s">
        <v>4516</v>
      </c>
      <c r="G1951" t="s">
        <v>51</v>
      </c>
      <c r="H1951" t="s">
        <v>7675</v>
      </c>
      <c r="I1951" t="s">
        <v>1553</v>
      </c>
      <c r="J1951" t="s">
        <v>721</v>
      </c>
      <c r="K1951" t="s">
        <v>55</v>
      </c>
      <c r="L1951" t="s">
        <v>16</v>
      </c>
      <c r="M1951" t="s">
        <v>19</v>
      </c>
      <c r="N1951">
        <v>5607</v>
      </c>
      <c r="O1951">
        <v>309</v>
      </c>
      <c r="P1951">
        <v>0</v>
      </c>
      <c r="Q1951" t="s">
        <v>8050</v>
      </c>
      <c r="R1951" t="s">
        <v>665</v>
      </c>
      <c r="S1951" t="s">
        <v>8051</v>
      </c>
      <c r="T1951" t="s">
        <v>8052</v>
      </c>
      <c r="U1951" t="s">
        <v>60</v>
      </c>
      <c r="V1951" t="s">
        <v>61</v>
      </c>
      <c r="W1951">
        <v>3</v>
      </c>
      <c r="X1951">
        <v>0.109375</v>
      </c>
      <c r="Y1951" t="s">
        <v>667</v>
      </c>
      <c r="Z1951" t="s">
        <v>668</v>
      </c>
      <c r="AA1951">
        <v>4</v>
      </c>
      <c r="AB1951" t="s">
        <v>7678</v>
      </c>
      <c r="AC1951" t="s">
        <v>7679</v>
      </c>
      <c r="AD1951" t="s">
        <v>7680</v>
      </c>
      <c r="AE1951" t="s">
        <v>7681</v>
      </c>
      <c r="AF1951" t="s">
        <v>7682</v>
      </c>
      <c r="AG1951" t="s">
        <v>806</v>
      </c>
      <c r="AH1951" t="s">
        <v>889</v>
      </c>
      <c r="AI1951" t="s">
        <v>889</v>
      </c>
      <c r="AJ1951" t="s">
        <v>1054</v>
      </c>
      <c r="AK1951">
        <v>1</v>
      </c>
      <c r="AL1951" t="s">
        <v>7919</v>
      </c>
      <c r="AM1951" t="s">
        <v>7920</v>
      </c>
      <c r="AN1951" t="s">
        <v>7921</v>
      </c>
      <c r="AO1951" t="s">
        <v>66</v>
      </c>
      <c r="AP1951">
        <v>1</v>
      </c>
      <c r="AQ1951" t="s">
        <v>7922</v>
      </c>
      <c r="AR1951" t="s">
        <v>7923</v>
      </c>
      <c r="AS1951" t="s">
        <v>7924</v>
      </c>
      <c r="AT1951" t="s">
        <v>66</v>
      </c>
    </row>
    <row r="1952" spans="1:46" x14ac:dyDescent="0.15">
      <c r="A1952" t="s">
        <v>8053</v>
      </c>
      <c r="B1952" t="s">
        <v>7672</v>
      </c>
      <c r="C1952" t="s">
        <v>7673</v>
      </c>
      <c r="D1952">
        <v>93</v>
      </c>
      <c r="E1952" t="s">
        <v>7674</v>
      </c>
      <c r="F1952" t="s">
        <v>4516</v>
      </c>
      <c r="G1952" t="s">
        <v>51</v>
      </c>
      <c r="H1952" t="s">
        <v>7675</v>
      </c>
      <c r="I1952" t="s">
        <v>1553</v>
      </c>
      <c r="J1952" t="s">
        <v>721</v>
      </c>
      <c r="K1952" t="s">
        <v>55</v>
      </c>
      <c r="L1952" t="s">
        <v>16</v>
      </c>
      <c r="M1952" t="s">
        <v>19</v>
      </c>
      <c r="N1952">
        <v>5663</v>
      </c>
      <c r="O1952">
        <v>312</v>
      </c>
      <c r="P1952">
        <v>0</v>
      </c>
      <c r="Q1952" t="s">
        <v>8054</v>
      </c>
      <c r="R1952" t="s">
        <v>672</v>
      </c>
      <c r="S1952" t="s">
        <v>8055</v>
      </c>
      <c r="T1952" t="s">
        <v>8056</v>
      </c>
      <c r="U1952" t="s">
        <v>60</v>
      </c>
      <c r="V1952" t="s">
        <v>61</v>
      </c>
      <c r="W1952">
        <v>3</v>
      </c>
      <c r="X1952">
        <v>0.109375</v>
      </c>
      <c r="Y1952" t="s">
        <v>369</v>
      </c>
      <c r="Z1952" t="s">
        <v>674</v>
      </c>
      <c r="AA1952">
        <v>4</v>
      </c>
      <c r="AB1952" t="s">
        <v>7678</v>
      </c>
      <c r="AC1952" t="s">
        <v>7679</v>
      </c>
      <c r="AD1952" t="s">
        <v>7680</v>
      </c>
      <c r="AE1952" t="s">
        <v>7681</v>
      </c>
      <c r="AF1952" t="s">
        <v>7682</v>
      </c>
      <c r="AG1952" t="s">
        <v>806</v>
      </c>
      <c r="AH1952" t="s">
        <v>889</v>
      </c>
      <c r="AI1952" t="s">
        <v>889</v>
      </c>
      <c r="AJ1952" t="s">
        <v>1054</v>
      </c>
      <c r="AK1952">
        <v>1</v>
      </c>
      <c r="AL1952" t="s">
        <v>7919</v>
      </c>
      <c r="AM1952" t="s">
        <v>7920</v>
      </c>
      <c r="AN1952" t="s">
        <v>7921</v>
      </c>
      <c r="AO1952" t="s">
        <v>66</v>
      </c>
      <c r="AP1952">
        <v>1</v>
      </c>
      <c r="AQ1952" t="s">
        <v>7922</v>
      </c>
      <c r="AR1952" t="s">
        <v>7923</v>
      </c>
      <c r="AS1952" t="s">
        <v>7924</v>
      </c>
      <c r="AT1952" t="s">
        <v>66</v>
      </c>
    </row>
    <row r="1953" spans="1:46" x14ac:dyDescent="0.15">
      <c r="A1953" t="s">
        <v>8057</v>
      </c>
      <c r="B1953" t="s">
        <v>7672</v>
      </c>
      <c r="C1953" t="s">
        <v>7673</v>
      </c>
      <c r="D1953">
        <v>94</v>
      </c>
      <c r="E1953" t="s">
        <v>7674</v>
      </c>
      <c r="F1953" t="s">
        <v>4516</v>
      </c>
      <c r="G1953" t="s">
        <v>51</v>
      </c>
      <c r="H1953" t="s">
        <v>7675</v>
      </c>
      <c r="I1953" t="s">
        <v>1553</v>
      </c>
      <c r="J1953" t="s">
        <v>721</v>
      </c>
      <c r="K1953" t="s">
        <v>55</v>
      </c>
      <c r="L1953" t="s">
        <v>16</v>
      </c>
      <c r="M1953" t="s">
        <v>19</v>
      </c>
      <c r="N1953">
        <v>5719</v>
      </c>
      <c r="O1953">
        <v>315</v>
      </c>
      <c r="P1953">
        <v>0</v>
      </c>
      <c r="Q1953" t="s">
        <v>8058</v>
      </c>
      <c r="R1953" t="s">
        <v>678</v>
      </c>
      <c r="S1953" t="s">
        <v>8059</v>
      </c>
      <c r="T1953" t="s">
        <v>8060</v>
      </c>
      <c r="U1953" t="s">
        <v>60</v>
      </c>
      <c r="V1953" t="s">
        <v>61</v>
      </c>
      <c r="W1953">
        <v>3</v>
      </c>
      <c r="X1953">
        <v>0.109375</v>
      </c>
      <c r="Y1953" t="s">
        <v>680</v>
      </c>
      <c r="Z1953" t="s">
        <v>681</v>
      </c>
      <c r="AA1953">
        <v>4</v>
      </c>
      <c r="AB1953" t="s">
        <v>7678</v>
      </c>
      <c r="AC1953" t="s">
        <v>7679</v>
      </c>
      <c r="AD1953" t="s">
        <v>7680</v>
      </c>
      <c r="AE1953" t="s">
        <v>7681</v>
      </c>
      <c r="AF1953" t="s">
        <v>7682</v>
      </c>
      <c r="AG1953" t="s">
        <v>806</v>
      </c>
      <c r="AH1953" t="s">
        <v>889</v>
      </c>
      <c r="AI1953" t="s">
        <v>889</v>
      </c>
      <c r="AJ1953" t="s">
        <v>1054</v>
      </c>
      <c r="AK1953">
        <v>1</v>
      </c>
      <c r="AL1953" t="s">
        <v>7919</v>
      </c>
      <c r="AM1953" t="s">
        <v>7920</v>
      </c>
      <c r="AN1953" t="s">
        <v>7921</v>
      </c>
      <c r="AO1953" t="s">
        <v>66</v>
      </c>
      <c r="AP1953">
        <v>1</v>
      </c>
      <c r="AQ1953" t="s">
        <v>7922</v>
      </c>
      <c r="AR1953" t="s">
        <v>7923</v>
      </c>
      <c r="AS1953" t="s">
        <v>7924</v>
      </c>
      <c r="AT1953" t="s">
        <v>66</v>
      </c>
    </row>
    <row r="1954" spans="1:46" x14ac:dyDescent="0.15">
      <c r="A1954" t="s">
        <v>8061</v>
      </c>
      <c r="B1954" t="s">
        <v>7672</v>
      </c>
      <c r="C1954" t="s">
        <v>7673</v>
      </c>
      <c r="D1954">
        <v>95</v>
      </c>
      <c r="E1954" t="s">
        <v>7674</v>
      </c>
      <c r="F1954" t="s">
        <v>4516</v>
      </c>
      <c r="G1954" t="s">
        <v>51</v>
      </c>
      <c r="H1954" t="s">
        <v>7675</v>
      </c>
      <c r="I1954" t="s">
        <v>1553</v>
      </c>
      <c r="J1954" t="s">
        <v>721</v>
      </c>
      <c r="K1954" t="s">
        <v>55</v>
      </c>
      <c r="L1954" t="s">
        <v>16</v>
      </c>
      <c r="M1954" t="s">
        <v>19</v>
      </c>
      <c r="N1954">
        <v>5776</v>
      </c>
      <c r="O1954">
        <v>318</v>
      </c>
      <c r="P1954">
        <v>0</v>
      </c>
      <c r="Q1954" t="s">
        <v>8062</v>
      </c>
      <c r="R1954" t="s">
        <v>685</v>
      </c>
      <c r="S1954" t="s">
        <v>8063</v>
      </c>
      <c r="T1954" t="s">
        <v>8064</v>
      </c>
      <c r="U1954" t="s">
        <v>60</v>
      </c>
      <c r="V1954" t="s">
        <v>61</v>
      </c>
      <c r="W1954">
        <v>3</v>
      </c>
      <c r="X1954">
        <v>0.109375</v>
      </c>
      <c r="Y1954" t="s">
        <v>376</v>
      </c>
      <c r="Z1954" t="s">
        <v>687</v>
      </c>
      <c r="AA1954">
        <v>4</v>
      </c>
      <c r="AB1954" t="s">
        <v>7678</v>
      </c>
      <c r="AC1954" t="s">
        <v>7679</v>
      </c>
      <c r="AD1954" t="s">
        <v>7680</v>
      </c>
      <c r="AE1954" t="s">
        <v>7681</v>
      </c>
      <c r="AF1954" t="s">
        <v>7682</v>
      </c>
      <c r="AG1954" t="s">
        <v>806</v>
      </c>
      <c r="AH1954" t="s">
        <v>889</v>
      </c>
      <c r="AI1954" t="s">
        <v>889</v>
      </c>
      <c r="AJ1954" t="s">
        <v>1054</v>
      </c>
      <c r="AK1954">
        <v>1</v>
      </c>
      <c r="AL1954" t="s">
        <v>7919</v>
      </c>
      <c r="AM1954" t="s">
        <v>7920</v>
      </c>
      <c r="AN1954" t="s">
        <v>7921</v>
      </c>
      <c r="AO1954" t="s">
        <v>66</v>
      </c>
      <c r="AP1954">
        <v>1</v>
      </c>
      <c r="AQ1954" t="s">
        <v>7922</v>
      </c>
      <c r="AR1954" t="s">
        <v>7923</v>
      </c>
      <c r="AS1954" t="s">
        <v>7924</v>
      </c>
      <c r="AT1954" t="s">
        <v>66</v>
      </c>
    </row>
    <row r="1955" spans="1:46" x14ac:dyDescent="0.15">
      <c r="A1955" t="s">
        <v>8065</v>
      </c>
      <c r="B1955" t="s">
        <v>7672</v>
      </c>
      <c r="C1955" t="s">
        <v>7673</v>
      </c>
      <c r="D1955">
        <v>96</v>
      </c>
      <c r="E1955" t="s">
        <v>7674</v>
      </c>
      <c r="F1955" t="s">
        <v>4516</v>
      </c>
      <c r="G1955" t="s">
        <v>51</v>
      </c>
      <c r="H1955" t="s">
        <v>7675</v>
      </c>
      <c r="I1955" t="s">
        <v>1553</v>
      </c>
      <c r="J1955" t="s">
        <v>721</v>
      </c>
      <c r="K1955" t="s">
        <v>55</v>
      </c>
      <c r="L1955" t="s">
        <v>16</v>
      </c>
      <c r="M1955" t="s">
        <v>19</v>
      </c>
      <c r="N1955">
        <v>5832</v>
      </c>
      <c r="O1955">
        <v>321</v>
      </c>
      <c r="P1955">
        <v>0</v>
      </c>
      <c r="Q1955" t="s">
        <v>8066</v>
      </c>
      <c r="R1955" t="s">
        <v>691</v>
      </c>
      <c r="S1955" t="s">
        <v>8067</v>
      </c>
      <c r="T1955" t="s">
        <v>8068</v>
      </c>
      <c r="U1955" t="s">
        <v>60</v>
      </c>
      <c r="V1955" t="s">
        <v>61</v>
      </c>
      <c r="W1955">
        <v>3</v>
      </c>
      <c r="X1955">
        <v>0.109375</v>
      </c>
      <c r="Y1955" t="s">
        <v>693</v>
      </c>
      <c r="Z1955" t="s">
        <v>694</v>
      </c>
      <c r="AA1955">
        <v>4</v>
      </c>
      <c r="AB1955" t="s">
        <v>7678</v>
      </c>
      <c r="AC1955" t="s">
        <v>7679</v>
      </c>
      <c r="AD1955" t="s">
        <v>7680</v>
      </c>
      <c r="AE1955" t="s">
        <v>7681</v>
      </c>
      <c r="AF1955" t="s">
        <v>7682</v>
      </c>
      <c r="AG1955" t="s">
        <v>806</v>
      </c>
      <c r="AH1955" t="s">
        <v>889</v>
      </c>
      <c r="AI1955" t="s">
        <v>889</v>
      </c>
      <c r="AJ1955" t="s">
        <v>1054</v>
      </c>
      <c r="AK1955">
        <v>1</v>
      </c>
      <c r="AL1955" t="s">
        <v>7919</v>
      </c>
      <c r="AM1955" t="s">
        <v>7920</v>
      </c>
      <c r="AN1955" t="s">
        <v>7921</v>
      </c>
      <c r="AO1955" t="s">
        <v>66</v>
      </c>
      <c r="AP1955">
        <v>1</v>
      </c>
      <c r="AQ1955" t="s">
        <v>7922</v>
      </c>
      <c r="AR1955" t="s">
        <v>7923</v>
      </c>
      <c r="AS1955" t="s">
        <v>7924</v>
      </c>
      <c r="AT1955" t="s">
        <v>66</v>
      </c>
    </row>
    <row r="1956" spans="1:46" x14ac:dyDescent="0.15">
      <c r="A1956" t="s">
        <v>8069</v>
      </c>
      <c r="B1956" t="s">
        <v>7672</v>
      </c>
      <c r="C1956" t="s">
        <v>7673</v>
      </c>
      <c r="D1956">
        <v>97</v>
      </c>
      <c r="E1956" t="s">
        <v>7674</v>
      </c>
      <c r="F1956" t="s">
        <v>4516</v>
      </c>
      <c r="G1956" t="s">
        <v>51</v>
      </c>
      <c r="H1956" t="s">
        <v>7675</v>
      </c>
      <c r="I1956" t="s">
        <v>1553</v>
      </c>
      <c r="J1956" t="s">
        <v>721</v>
      </c>
      <c r="K1956" t="s">
        <v>55</v>
      </c>
      <c r="L1956" t="s">
        <v>16</v>
      </c>
      <c r="M1956" t="s">
        <v>19</v>
      </c>
      <c r="N1956">
        <v>5888</v>
      </c>
      <c r="O1956">
        <v>324</v>
      </c>
      <c r="P1956">
        <v>0</v>
      </c>
      <c r="Q1956" t="s">
        <v>8070</v>
      </c>
      <c r="R1956" t="s">
        <v>698</v>
      </c>
      <c r="S1956" t="s">
        <v>8071</v>
      </c>
      <c r="T1956" t="s">
        <v>8072</v>
      </c>
      <c r="U1956" t="s">
        <v>60</v>
      </c>
      <c r="V1956" t="s">
        <v>61</v>
      </c>
      <c r="W1956">
        <v>3</v>
      </c>
      <c r="X1956">
        <v>0.109375</v>
      </c>
      <c r="Y1956" t="s">
        <v>382</v>
      </c>
      <c r="Z1956" t="s">
        <v>700</v>
      </c>
      <c r="AA1956">
        <v>4</v>
      </c>
      <c r="AB1956" t="s">
        <v>7678</v>
      </c>
      <c r="AC1956" t="s">
        <v>7679</v>
      </c>
      <c r="AD1956" t="s">
        <v>7680</v>
      </c>
      <c r="AE1956" t="s">
        <v>7681</v>
      </c>
      <c r="AF1956" t="s">
        <v>7682</v>
      </c>
      <c r="AG1956" t="s">
        <v>806</v>
      </c>
      <c r="AH1956" t="s">
        <v>889</v>
      </c>
      <c r="AI1956" t="s">
        <v>889</v>
      </c>
      <c r="AJ1956" t="s">
        <v>1054</v>
      </c>
      <c r="AK1956">
        <v>1</v>
      </c>
      <c r="AL1956" t="s">
        <v>7919</v>
      </c>
      <c r="AM1956" t="s">
        <v>7920</v>
      </c>
      <c r="AN1956" t="s">
        <v>7921</v>
      </c>
      <c r="AO1956" t="s">
        <v>66</v>
      </c>
      <c r="AP1956">
        <v>1</v>
      </c>
      <c r="AQ1956" t="s">
        <v>7922</v>
      </c>
      <c r="AR1956" t="s">
        <v>7923</v>
      </c>
      <c r="AS1956" t="s">
        <v>7924</v>
      </c>
      <c r="AT1956" t="s">
        <v>66</v>
      </c>
    </row>
    <row r="1957" spans="1:46" x14ac:dyDescent="0.15">
      <c r="A1957" t="s">
        <v>8073</v>
      </c>
      <c r="B1957" t="s">
        <v>7672</v>
      </c>
      <c r="C1957" t="s">
        <v>7673</v>
      </c>
      <c r="D1957">
        <v>98</v>
      </c>
      <c r="E1957" t="s">
        <v>7674</v>
      </c>
      <c r="F1957" t="s">
        <v>4516</v>
      </c>
      <c r="G1957" t="s">
        <v>51</v>
      </c>
      <c r="H1957" t="s">
        <v>7675</v>
      </c>
      <c r="I1957" t="s">
        <v>1553</v>
      </c>
      <c r="J1957" t="s">
        <v>721</v>
      </c>
      <c r="K1957" t="s">
        <v>55</v>
      </c>
      <c r="L1957" t="s">
        <v>16</v>
      </c>
      <c r="M1957" t="s">
        <v>19</v>
      </c>
      <c r="N1957">
        <v>5944</v>
      </c>
      <c r="O1957">
        <v>327</v>
      </c>
      <c r="P1957">
        <v>0</v>
      </c>
      <c r="Q1957" t="s">
        <v>8074</v>
      </c>
      <c r="R1957" t="s">
        <v>704</v>
      </c>
      <c r="S1957" t="s">
        <v>8075</v>
      </c>
      <c r="T1957" t="s">
        <v>8076</v>
      </c>
      <c r="U1957" t="s">
        <v>60</v>
      </c>
      <c r="V1957" t="s">
        <v>61</v>
      </c>
      <c r="W1957">
        <v>3</v>
      </c>
      <c r="X1957">
        <v>0.109375</v>
      </c>
      <c r="Y1957" t="s">
        <v>706</v>
      </c>
      <c r="Z1957" t="s">
        <v>707</v>
      </c>
      <c r="AA1957">
        <v>4</v>
      </c>
      <c r="AB1957" t="s">
        <v>7678</v>
      </c>
      <c r="AC1957" t="s">
        <v>7679</v>
      </c>
      <c r="AD1957" t="s">
        <v>7680</v>
      </c>
      <c r="AE1957" t="s">
        <v>7681</v>
      </c>
      <c r="AF1957" t="s">
        <v>7682</v>
      </c>
      <c r="AG1957" t="s">
        <v>806</v>
      </c>
      <c r="AH1957" t="s">
        <v>889</v>
      </c>
      <c r="AI1957" t="s">
        <v>889</v>
      </c>
      <c r="AJ1957" t="s">
        <v>1054</v>
      </c>
      <c r="AK1957">
        <v>1</v>
      </c>
      <c r="AL1957" t="s">
        <v>7919</v>
      </c>
      <c r="AM1957" t="s">
        <v>7920</v>
      </c>
      <c r="AN1957" t="s">
        <v>7921</v>
      </c>
      <c r="AO1957" t="s">
        <v>66</v>
      </c>
      <c r="AP1957">
        <v>1</v>
      </c>
      <c r="AQ1957" t="s">
        <v>7922</v>
      </c>
      <c r="AR1957" t="s">
        <v>7923</v>
      </c>
      <c r="AS1957" t="s">
        <v>7924</v>
      </c>
      <c r="AT1957" t="s">
        <v>66</v>
      </c>
    </row>
    <row r="1958" spans="1:46" x14ac:dyDescent="0.15">
      <c r="A1958" t="s">
        <v>8077</v>
      </c>
      <c r="B1958" t="s">
        <v>7672</v>
      </c>
      <c r="C1958" t="s">
        <v>7673</v>
      </c>
      <c r="D1958">
        <v>99</v>
      </c>
      <c r="E1958" t="s">
        <v>7674</v>
      </c>
      <c r="F1958" t="s">
        <v>4516</v>
      </c>
      <c r="G1958" t="s">
        <v>51</v>
      </c>
      <c r="H1958" t="s">
        <v>7675</v>
      </c>
      <c r="I1958" t="s">
        <v>1553</v>
      </c>
      <c r="J1958" t="s">
        <v>721</v>
      </c>
      <c r="K1958" t="s">
        <v>55</v>
      </c>
      <c r="L1958" t="s">
        <v>16</v>
      </c>
      <c r="M1958" t="s">
        <v>19</v>
      </c>
      <c r="N1958">
        <v>6000</v>
      </c>
      <c r="O1958">
        <v>330</v>
      </c>
      <c r="P1958">
        <v>0</v>
      </c>
      <c r="Q1958" t="s">
        <v>8078</v>
      </c>
      <c r="R1958" t="s">
        <v>711</v>
      </c>
      <c r="S1958" t="s">
        <v>8079</v>
      </c>
      <c r="T1958" t="s">
        <v>8080</v>
      </c>
      <c r="U1958" t="s">
        <v>60</v>
      </c>
      <c r="V1958" t="s">
        <v>61</v>
      </c>
      <c r="W1958">
        <v>3</v>
      </c>
      <c r="X1958">
        <v>0.109375</v>
      </c>
      <c r="Y1958" t="s">
        <v>389</v>
      </c>
      <c r="Z1958" t="s">
        <v>713</v>
      </c>
      <c r="AA1958">
        <v>4</v>
      </c>
      <c r="AB1958" t="s">
        <v>7678</v>
      </c>
      <c r="AC1958" t="s">
        <v>7679</v>
      </c>
      <c r="AD1958" t="s">
        <v>7680</v>
      </c>
      <c r="AE1958" t="s">
        <v>7681</v>
      </c>
      <c r="AF1958" t="s">
        <v>7682</v>
      </c>
      <c r="AG1958" t="s">
        <v>806</v>
      </c>
      <c r="AH1958" t="s">
        <v>889</v>
      </c>
      <c r="AI1958" t="s">
        <v>889</v>
      </c>
      <c r="AJ1958" t="s">
        <v>1054</v>
      </c>
      <c r="AK1958">
        <v>1</v>
      </c>
      <c r="AL1958" t="s">
        <v>7919</v>
      </c>
      <c r="AM1958" t="s">
        <v>7920</v>
      </c>
      <c r="AN1958" t="s">
        <v>7921</v>
      </c>
      <c r="AO1958" t="s">
        <v>66</v>
      </c>
      <c r="AP1958">
        <v>1</v>
      </c>
      <c r="AQ1958" t="s">
        <v>7922</v>
      </c>
      <c r="AR1958" t="s">
        <v>7923</v>
      </c>
      <c r="AS1958" t="s">
        <v>7924</v>
      </c>
      <c r="AT1958" t="s">
        <v>66</v>
      </c>
    </row>
    <row r="1959" spans="1:46" x14ac:dyDescent="0.15">
      <c r="A1959" t="s">
        <v>8081</v>
      </c>
      <c r="B1959" t="s">
        <v>8082</v>
      </c>
      <c r="C1959" t="s">
        <v>8083</v>
      </c>
      <c r="D1959">
        <v>1</v>
      </c>
      <c r="E1959" t="s">
        <v>8084</v>
      </c>
      <c r="F1959" t="s">
        <v>3083</v>
      </c>
      <c r="G1959" t="s">
        <v>51</v>
      </c>
      <c r="H1959" t="s">
        <v>8085</v>
      </c>
      <c r="I1959" t="s">
        <v>720</v>
      </c>
      <c r="J1959" t="s">
        <v>54</v>
      </c>
      <c r="K1959" t="s">
        <v>1338</v>
      </c>
      <c r="L1959" t="s">
        <v>17</v>
      </c>
      <c r="M1959" t="s">
        <v>18</v>
      </c>
      <c r="N1959">
        <v>500</v>
      </c>
      <c r="O1959">
        <v>30</v>
      </c>
      <c r="P1959">
        <v>0</v>
      </c>
      <c r="Q1959" t="s">
        <v>6351</v>
      </c>
      <c r="R1959" t="s">
        <v>3597</v>
      </c>
      <c r="S1959" t="s">
        <v>3087</v>
      </c>
      <c r="T1959" t="s">
        <v>1556</v>
      </c>
      <c r="U1959" t="s">
        <v>60</v>
      </c>
      <c r="V1959" t="s">
        <v>61</v>
      </c>
      <c r="W1959">
        <v>3</v>
      </c>
      <c r="X1959">
        <v>0.14000000000000001</v>
      </c>
      <c r="Y1959" t="s">
        <v>62</v>
      </c>
      <c r="Z1959" t="s">
        <v>62</v>
      </c>
      <c r="AA1959">
        <v>0</v>
      </c>
      <c r="AB1959" t="s">
        <v>8086</v>
      </c>
      <c r="AC1959" t="s">
        <v>8087</v>
      </c>
      <c r="AD1959" t="s">
        <v>8088</v>
      </c>
      <c r="AE1959" t="s">
        <v>8089</v>
      </c>
      <c r="AF1959" t="s">
        <v>8090</v>
      </c>
      <c r="AG1959" t="s">
        <v>66</v>
      </c>
      <c r="AH1959" t="s">
        <v>66</v>
      </c>
      <c r="AI1959" t="s">
        <v>66</v>
      </c>
      <c r="AJ1959" t="s">
        <v>66</v>
      </c>
      <c r="AK1959">
        <v>1</v>
      </c>
      <c r="AL1959" t="s">
        <v>66</v>
      </c>
      <c r="AM1959" t="s">
        <v>66</v>
      </c>
      <c r="AN1959" t="s">
        <v>66</v>
      </c>
      <c r="AO1959" t="s">
        <v>66</v>
      </c>
      <c r="AP1959">
        <v>1</v>
      </c>
      <c r="AQ1959" t="s">
        <v>66</v>
      </c>
      <c r="AR1959" t="s">
        <v>66</v>
      </c>
      <c r="AS1959" t="s">
        <v>66</v>
      </c>
      <c r="AT1959" t="s">
        <v>66</v>
      </c>
    </row>
    <row r="1960" spans="1:46" x14ac:dyDescent="0.15">
      <c r="A1960" t="s">
        <v>8091</v>
      </c>
      <c r="B1960" t="s">
        <v>8082</v>
      </c>
      <c r="C1960" t="s">
        <v>8083</v>
      </c>
      <c r="D1960">
        <v>2</v>
      </c>
      <c r="E1960" t="s">
        <v>8084</v>
      </c>
      <c r="F1960" t="s">
        <v>3083</v>
      </c>
      <c r="G1960" t="s">
        <v>51</v>
      </c>
      <c r="H1960" t="s">
        <v>8085</v>
      </c>
      <c r="I1960" t="s">
        <v>720</v>
      </c>
      <c r="J1960" t="s">
        <v>54</v>
      </c>
      <c r="K1960" t="s">
        <v>1338</v>
      </c>
      <c r="L1960" t="s">
        <v>17</v>
      </c>
      <c r="M1960" t="s">
        <v>18</v>
      </c>
      <c r="N1960">
        <v>556</v>
      </c>
      <c r="O1960">
        <v>33</v>
      </c>
      <c r="P1960">
        <v>0</v>
      </c>
      <c r="Q1960" t="s">
        <v>8092</v>
      </c>
      <c r="R1960" t="s">
        <v>8093</v>
      </c>
      <c r="S1960" t="s">
        <v>8094</v>
      </c>
      <c r="T1960" t="s">
        <v>8095</v>
      </c>
      <c r="U1960" t="s">
        <v>60</v>
      </c>
      <c r="V1960" t="s">
        <v>61</v>
      </c>
      <c r="W1960">
        <v>3</v>
      </c>
      <c r="X1960">
        <v>0.14000000000000001</v>
      </c>
      <c r="Y1960" t="s">
        <v>72</v>
      </c>
      <c r="Z1960" t="s">
        <v>73</v>
      </c>
      <c r="AA1960">
        <v>0</v>
      </c>
      <c r="AB1960" t="s">
        <v>8086</v>
      </c>
      <c r="AC1960" t="s">
        <v>8087</v>
      </c>
      <c r="AD1960" t="s">
        <v>8088</v>
      </c>
      <c r="AE1960" t="s">
        <v>8089</v>
      </c>
      <c r="AF1960" t="s">
        <v>8090</v>
      </c>
      <c r="AG1960" t="s">
        <v>66</v>
      </c>
      <c r="AH1960" t="s">
        <v>66</v>
      </c>
      <c r="AI1960" t="s">
        <v>66</v>
      </c>
      <c r="AJ1960" t="s">
        <v>66</v>
      </c>
      <c r="AK1960">
        <v>1</v>
      </c>
      <c r="AL1960" t="s">
        <v>66</v>
      </c>
      <c r="AM1960" t="s">
        <v>66</v>
      </c>
      <c r="AN1960" t="s">
        <v>66</v>
      </c>
      <c r="AO1960" t="s">
        <v>66</v>
      </c>
      <c r="AP1960">
        <v>1</v>
      </c>
      <c r="AQ1960" t="s">
        <v>66</v>
      </c>
      <c r="AR1960" t="s">
        <v>66</v>
      </c>
      <c r="AS1960" t="s">
        <v>66</v>
      </c>
      <c r="AT1960" t="s">
        <v>66</v>
      </c>
    </row>
    <row r="1961" spans="1:46" x14ac:dyDescent="0.15">
      <c r="A1961" t="s">
        <v>8096</v>
      </c>
      <c r="B1961" t="s">
        <v>8082</v>
      </c>
      <c r="C1961" t="s">
        <v>8083</v>
      </c>
      <c r="D1961">
        <v>3</v>
      </c>
      <c r="E1961" t="s">
        <v>8084</v>
      </c>
      <c r="F1961" t="s">
        <v>3083</v>
      </c>
      <c r="G1961" t="s">
        <v>51</v>
      </c>
      <c r="H1961" t="s">
        <v>8085</v>
      </c>
      <c r="I1961" t="s">
        <v>720</v>
      </c>
      <c r="J1961" t="s">
        <v>54</v>
      </c>
      <c r="K1961" t="s">
        <v>1338</v>
      </c>
      <c r="L1961" t="s">
        <v>17</v>
      </c>
      <c r="M1961" t="s">
        <v>18</v>
      </c>
      <c r="N1961">
        <v>612</v>
      </c>
      <c r="O1961">
        <v>36</v>
      </c>
      <c r="P1961">
        <v>0</v>
      </c>
      <c r="Q1961" t="s">
        <v>8097</v>
      </c>
      <c r="R1961" t="s">
        <v>8098</v>
      </c>
      <c r="S1961" t="s">
        <v>8099</v>
      </c>
      <c r="T1961" t="s">
        <v>8100</v>
      </c>
      <c r="U1961" t="s">
        <v>60</v>
      </c>
      <c r="V1961" t="s">
        <v>61</v>
      </c>
      <c r="W1961">
        <v>3</v>
      </c>
      <c r="X1961">
        <v>0.14000000000000001</v>
      </c>
      <c r="Y1961" t="s">
        <v>73</v>
      </c>
      <c r="Z1961" t="s">
        <v>79</v>
      </c>
      <c r="AA1961">
        <v>0</v>
      </c>
      <c r="AB1961" t="s">
        <v>8086</v>
      </c>
      <c r="AC1961" t="s">
        <v>8087</v>
      </c>
      <c r="AD1961" t="s">
        <v>8088</v>
      </c>
      <c r="AE1961" t="s">
        <v>8089</v>
      </c>
      <c r="AF1961" t="s">
        <v>8090</v>
      </c>
      <c r="AG1961" t="s">
        <v>66</v>
      </c>
      <c r="AH1961" t="s">
        <v>66</v>
      </c>
      <c r="AI1961" t="s">
        <v>66</v>
      </c>
      <c r="AJ1961" t="s">
        <v>66</v>
      </c>
      <c r="AK1961">
        <v>1</v>
      </c>
      <c r="AL1961" t="s">
        <v>66</v>
      </c>
      <c r="AM1961" t="s">
        <v>66</v>
      </c>
      <c r="AN1961" t="s">
        <v>66</v>
      </c>
      <c r="AO1961" t="s">
        <v>66</v>
      </c>
      <c r="AP1961">
        <v>1</v>
      </c>
      <c r="AQ1961" t="s">
        <v>66</v>
      </c>
      <c r="AR1961" t="s">
        <v>66</v>
      </c>
      <c r="AS1961" t="s">
        <v>66</v>
      </c>
      <c r="AT1961" t="s">
        <v>66</v>
      </c>
    </row>
    <row r="1962" spans="1:46" x14ac:dyDescent="0.15">
      <c r="A1962" t="s">
        <v>8101</v>
      </c>
      <c r="B1962" t="s">
        <v>8082</v>
      </c>
      <c r="C1962" t="s">
        <v>8083</v>
      </c>
      <c r="D1962">
        <v>4</v>
      </c>
      <c r="E1962" t="s">
        <v>8084</v>
      </c>
      <c r="F1962" t="s">
        <v>3083</v>
      </c>
      <c r="G1962" t="s">
        <v>51</v>
      </c>
      <c r="H1962" t="s">
        <v>8085</v>
      </c>
      <c r="I1962" t="s">
        <v>720</v>
      </c>
      <c r="J1962" t="s">
        <v>54</v>
      </c>
      <c r="K1962" t="s">
        <v>1338</v>
      </c>
      <c r="L1962" t="s">
        <v>17</v>
      </c>
      <c r="M1962" t="s">
        <v>18</v>
      </c>
      <c r="N1962">
        <v>668</v>
      </c>
      <c r="O1962">
        <v>40</v>
      </c>
      <c r="P1962">
        <v>0</v>
      </c>
      <c r="Q1962" t="s">
        <v>8102</v>
      </c>
      <c r="R1962" t="s">
        <v>8103</v>
      </c>
      <c r="S1962" t="s">
        <v>8104</v>
      </c>
      <c r="T1962" t="s">
        <v>8105</v>
      </c>
      <c r="U1962" t="s">
        <v>60</v>
      </c>
      <c r="V1962" t="s">
        <v>61</v>
      </c>
      <c r="W1962">
        <v>3</v>
      </c>
      <c r="X1962">
        <v>0.14000000000000001</v>
      </c>
      <c r="Y1962" t="s">
        <v>85</v>
      </c>
      <c r="Z1962" t="s">
        <v>86</v>
      </c>
      <c r="AA1962">
        <v>0</v>
      </c>
      <c r="AB1962" t="s">
        <v>8086</v>
      </c>
      <c r="AC1962" t="s">
        <v>8087</v>
      </c>
      <c r="AD1962" t="s">
        <v>8088</v>
      </c>
      <c r="AE1962" t="s">
        <v>8089</v>
      </c>
      <c r="AF1962" t="s">
        <v>8090</v>
      </c>
      <c r="AG1962" t="s">
        <v>66</v>
      </c>
      <c r="AH1962" t="s">
        <v>66</v>
      </c>
      <c r="AI1962" t="s">
        <v>66</v>
      </c>
      <c r="AJ1962" t="s">
        <v>66</v>
      </c>
      <c r="AK1962">
        <v>1</v>
      </c>
      <c r="AL1962" t="s">
        <v>66</v>
      </c>
      <c r="AM1962" t="s">
        <v>66</v>
      </c>
      <c r="AN1962" t="s">
        <v>66</v>
      </c>
      <c r="AO1962" t="s">
        <v>66</v>
      </c>
      <c r="AP1962">
        <v>1</v>
      </c>
      <c r="AQ1962" t="s">
        <v>66</v>
      </c>
      <c r="AR1962" t="s">
        <v>66</v>
      </c>
      <c r="AS1962" t="s">
        <v>66</v>
      </c>
      <c r="AT1962" t="s">
        <v>66</v>
      </c>
    </row>
    <row r="1963" spans="1:46" x14ac:dyDescent="0.15">
      <c r="A1963" t="s">
        <v>8106</v>
      </c>
      <c r="B1963" t="s">
        <v>8082</v>
      </c>
      <c r="C1963" t="s">
        <v>8083</v>
      </c>
      <c r="D1963">
        <v>5</v>
      </c>
      <c r="E1963" t="s">
        <v>8084</v>
      </c>
      <c r="F1963" t="s">
        <v>3083</v>
      </c>
      <c r="G1963" t="s">
        <v>51</v>
      </c>
      <c r="H1963" t="s">
        <v>8085</v>
      </c>
      <c r="I1963" t="s">
        <v>720</v>
      </c>
      <c r="J1963" t="s">
        <v>54</v>
      </c>
      <c r="K1963" t="s">
        <v>1338</v>
      </c>
      <c r="L1963" t="s">
        <v>17</v>
      </c>
      <c r="M1963" t="s">
        <v>18</v>
      </c>
      <c r="N1963">
        <v>724</v>
      </c>
      <c r="O1963">
        <v>43</v>
      </c>
      <c r="P1963">
        <v>0</v>
      </c>
      <c r="Q1963" t="s">
        <v>8107</v>
      </c>
      <c r="R1963" t="s">
        <v>8108</v>
      </c>
      <c r="S1963" t="s">
        <v>8109</v>
      </c>
      <c r="T1963" t="s">
        <v>8110</v>
      </c>
      <c r="U1963" t="s">
        <v>60</v>
      </c>
      <c r="V1963" t="s">
        <v>61</v>
      </c>
      <c r="W1963">
        <v>3</v>
      </c>
      <c r="X1963">
        <v>0.14000000000000001</v>
      </c>
      <c r="Y1963" t="s">
        <v>79</v>
      </c>
      <c r="Z1963" t="s">
        <v>92</v>
      </c>
      <c r="AA1963">
        <v>0</v>
      </c>
      <c r="AB1963" t="s">
        <v>8086</v>
      </c>
      <c r="AC1963" t="s">
        <v>8087</v>
      </c>
      <c r="AD1963" t="s">
        <v>8088</v>
      </c>
      <c r="AE1963" t="s">
        <v>8089</v>
      </c>
      <c r="AF1963" t="s">
        <v>8090</v>
      </c>
      <c r="AG1963" t="s">
        <v>66</v>
      </c>
      <c r="AH1963" t="s">
        <v>66</v>
      </c>
      <c r="AI1963" t="s">
        <v>66</v>
      </c>
      <c r="AJ1963" t="s">
        <v>66</v>
      </c>
      <c r="AK1963">
        <v>1</v>
      </c>
      <c r="AL1963" t="s">
        <v>66</v>
      </c>
      <c r="AM1963" t="s">
        <v>66</v>
      </c>
      <c r="AN1963" t="s">
        <v>66</v>
      </c>
      <c r="AO1963" t="s">
        <v>66</v>
      </c>
      <c r="AP1963">
        <v>1</v>
      </c>
      <c r="AQ1963" t="s">
        <v>66</v>
      </c>
      <c r="AR1963" t="s">
        <v>66</v>
      </c>
      <c r="AS1963" t="s">
        <v>66</v>
      </c>
      <c r="AT1963" t="s">
        <v>66</v>
      </c>
    </row>
    <row r="1964" spans="1:46" x14ac:dyDescent="0.15">
      <c r="A1964" t="s">
        <v>8111</v>
      </c>
      <c r="B1964" t="s">
        <v>8082</v>
      </c>
      <c r="C1964" t="s">
        <v>8083</v>
      </c>
      <c r="D1964">
        <v>6</v>
      </c>
      <c r="E1964" t="s">
        <v>8084</v>
      </c>
      <c r="F1964" t="s">
        <v>3083</v>
      </c>
      <c r="G1964" t="s">
        <v>51</v>
      </c>
      <c r="H1964" t="s">
        <v>8085</v>
      </c>
      <c r="I1964" t="s">
        <v>720</v>
      </c>
      <c r="J1964" t="s">
        <v>54</v>
      </c>
      <c r="K1964" t="s">
        <v>1338</v>
      </c>
      <c r="L1964" t="s">
        <v>17</v>
      </c>
      <c r="M1964" t="s">
        <v>18</v>
      </c>
      <c r="N1964">
        <v>781</v>
      </c>
      <c r="O1964">
        <v>46</v>
      </c>
      <c r="P1964">
        <v>0</v>
      </c>
      <c r="Q1964" t="s">
        <v>8112</v>
      </c>
      <c r="R1964" t="s">
        <v>8113</v>
      </c>
      <c r="S1964" t="s">
        <v>8114</v>
      </c>
      <c r="T1964" t="s">
        <v>8115</v>
      </c>
      <c r="U1964" t="s">
        <v>60</v>
      </c>
      <c r="V1964" t="s">
        <v>61</v>
      </c>
      <c r="W1964">
        <v>3</v>
      </c>
      <c r="X1964">
        <v>0.14000000000000001</v>
      </c>
      <c r="Y1964" t="s">
        <v>98</v>
      </c>
      <c r="Z1964" t="s">
        <v>99</v>
      </c>
      <c r="AA1964">
        <v>0</v>
      </c>
      <c r="AB1964" t="s">
        <v>8086</v>
      </c>
      <c r="AC1964" t="s">
        <v>8087</v>
      </c>
      <c r="AD1964" t="s">
        <v>8088</v>
      </c>
      <c r="AE1964" t="s">
        <v>8089</v>
      </c>
      <c r="AF1964" t="s">
        <v>8090</v>
      </c>
      <c r="AG1964" t="s">
        <v>66</v>
      </c>
      <c r="AH1964" t="s">
        <v>66</v>
      </c>
      <c r="AI1964" t="s">
        <v>66</v>
      </c>
      <c r="AJ1964" t="s">
        <v>66</v>
      </c>
      <c r="AK1964">
        <v>1</v>
      </c>
      <c r="AL1964" t="s">
        <v>66</v>
      </c>
      <c r="AM1964" t="s">
        <v>66</v>
      </c>
      <c r="AN1964" t="s">
        <v>66</v>
      </c>
      <c r="AO1964" t="s">
        <v>66</v>
      </c>
      <c r="AP1964">
        <v>1</v>
      </c>
      <c r="AQ1964" t="s">
        <v>66</v>
      </c>
      <c r="AR1964" t="s">
        <v>66</v>
      </c>
      <c r="AS1964" t="s">
        <v>66</v>
      </c>
      <c r="AT1964" t="s">
        <v>66</v>
      </c>
    </row>
    <row r="1965" spans="1:46" x14ac:dyDescent="0.15">
      <c r="A1965" t="s">
        <v>8116</v>
      </c>
      <c r="B1965" t="s">
        <v>8082</v>
      </c>
      <c r="C1965" t="s">
        <v>8083</v>
      </c>
      <c r="D1965">
        <v>7</v>
      </c>
      <c r="E1965" t="s">
        <v>8084</v>
      </c>
      <c r="F1965" t="s">
        <v>3083</v>
      </c>
      <c r="G1965" t="s">
        <v>51</v>
      </c>
      <c r="H1965" t="s">
        <v>8085</v>
      </c>
      <c r="I1965" t="s">
        <v>720</v>
      </c>
      <c r="J1965" t="s">
        <v>54</v>
      </c>
      <c r="K1965" t="s">
        <v>1338</v>
      </c>
      <c r="L1965" t="s">
        <v>17</v>
      </c>
      <c r="M1965" t="s">
        <v>18</v>
      </c>
      <c r="N1965">
        <v>837</v>
      </c>
      <c r="O1965">
        <v>49</v>
      </c>
      <c r="P1965">
        <v>0</v>
      </c>
      <c r="Q1965" t="s">
        <v>8117</v>
      </c>
      <c r="R1965" t="s">
        <v>8118</v>
      </c>
      <c r="S1965" t="s">
        <v>8119</v>
      </c>
      <c r="T1965" t="s">
        <v>8120</v>
      </c>
      <c r="U1965" t="s">
        <v>60</v>
      </c>
      <c r="V1965" t="s">
        <v>61</v>
      </c>
      <c r="W1965">
        <v>3</v>
      </c>
      <c r="X1965">
        <v>0.14000000000000001</v>
      </c>
      <c r="Y1965" t="s">
        <v>86</v>
      </c>
      <c r="Z1965" t="s">
        <v>105</v>
      </c>
      <c r="AA1965">
        <v>0</v>
      </c>
      <c r="AB1965" t="s">
        <v>8086</v>
      </c>
      <c r="AC1965" t="s">
        <v>8087</v>
      </c>
      <c r="AD1965" t="s">
        <v>8088</v>
      </c>
      <c r="AE1965" t="s">
        <v>8089</v>
      </c>
      <c r="AF1965" t="s">
        <v>8090</v>
      </c>
      <c r="AG1965" t="s">
        <v>66</v>
      </c>
      <c r="AH1965" t="s">
        <v>66</v>
      </c>
      <c r="AI1965" t="s">
        <v>66</v>
      </c>
      <c r="AJ1965" t="s">
        <v>66</v>
      </c>
      <c r="AK1965">
        <v>1</v>
      </c>
      <c r="AL1965" t="s">
        <v>66</v>
      </c>
      <c r="AM1965" t="s">
        <v>66</v>
      </c>
      <c r="AN1965" t="s">
        <v>66</v>
      </c>
      <c r="AO1965" t="s">
        <v>66</v>
      </c>
      <c r="AP1965">
        <v>1</v>
      </c>
      <c r="AQ1965" t="s">
        <v>66</v>
      </c>
      <c r="AR1965" t="s">
        <v>66</v>
      </c>
      <c r="AS1965" t="s">
        <v>66</v>
      </c>
      <c r="AT1965" t="s">
        <v>66</v>
      </c>
    </row>
    <row r="1966" spans="1:46" x14ac:dyDescent="0.15">
      <c r="A1966" t="s">
        <v>8121</v>
      </c>
      <c r="B1966" t="s">
        <v>8082</v>
      </c>
      <c r="C1966" t="s">
        <v>8083</v>
      </c>
      <c r="D1966">
        <v>8</v>
      </c>
      <c r="E1966" t="s">
        <v>8084</v>
      </c>
      <c r="F1966" t="s">
        <v>3083</v>
      </c>
      <c r="G1966" t="s">
        <v>51</v>
      </c>
      <c r="H1966" t="s">
        <v>8085</v>
      </c>
      <c r="I1966" t="s">
        <v>720</v>
      </c>
      <c r="J1966" t="s">
        <v>54</v>
      </c>
      <c r="K1966" t="s">
        <v>1338</v>
      </c>
      <c r="L1966" t="s">
        <v>17</v>
      </c>
      <c r="M1966" t="s">
        <v>18</v>
      </c>
      <c r="N1966">
        <v>893</v>
      </c>
      <c r="O1966">
        <v>53</v>
      </c>
      <c r="P1966">
        <v>0</v>
      </c>
      <c r="Q1966" t="s">
        <v>8122</v>
      </c>
      <c r="R1966" t="s">
        <v>8123</v>
      </c>
      <c r="S1966" t="s">
        <v>8124</v>
      </c>
      <c r="T1966" t="s">
        <v>8125</v>
      </c>
      <c r="U1966" t="s">
        <v>60</v>
      </c>
      <c r="V1966" t="s">
        <v>61</v>
      </c>
      <c r="W1966">
        <v>3</v>
      </c>
      <c r="X1966">
        <v>0.14000000000000001</v>
      </c>
      <c r="Y1966" t="s">
        <v>111</v>
      </c>
      <c r="Z1966" t="s">
        <v>112</v>
      </c>
      <c r="AA1966">
        <v>0</v>
      </c>
      <c r="AB1966" t="s">
        <v>8086</v>
      </c>
      <c r="AC1966" t="s">
        <v>8087</v>
      </c>
      <c r="AD1966" t="s">
        <v>8088</v>
      </c>
      <c r="AE1966" t="s">
        <v>8089</v>
      </c>
      <c r="AF1966" t="s">
        <v>8090</v>
      </c>
      <c r="AG1966" t="s">
        <v>66</v>
      </c>
      <c r="AH1966" t="s">
        <v>66</v>
      </c>
      <c r="AI1966" t="s">
        <v>66</v>
      </c>
      <c r="AJ1966" t="s">
        <v>66</v>
      </c>
      <c r="AK1966">
        <v>1</v>
      </c>
      <c r="AL1966" t="s">
        <v>66</v>
      </c>
      <c r="AM1966" t="s">
        <v>66</v>
      </c>
      <c r="AN1966" t="s">
        <v>66</v>
      </c>
      <c r="AO1966" t="s">
        <v>66</v>
      </c>
      <c r="AP1966">
        <v>1</v>
      </c>
      <c r="AQ1966" t="s">
        <v>66</v>
      </c>
      <c r="AR1966" t="s">
        <v>66</v>
      </c>
      <c r="AS1966" t="s">
        <v>66</v>
      </c>
      <c r="AT1966" t="s">
        <v>66</v>
      </c>
    </row>
    <row r="1967" spans="1:46" x14ac:dyDescent="0.15">
      <c r="A1967" t="s">
        <v>8126</v>
      </c>
      <c r="B1967" t="s">
        <v>8082</v>
      </c>
      <c r="C1967" t="s">
        <v>8083</v>
      </c>
      <c r="D1967">
        <v>9</v>
      </c>
      <c r="E1967" t="s">
        <v>8084</v>
      </c>
      <c r="F1967" t="s">
        <v>3083</v>
      </c>
      <c r="G1967" t="s">
        <v>51</v>
      </c>
      <c r="H1967" t="s">
        <v>8085</v>
      </c>
      <c r="I1967" t="s">
        <v>720</v>
      </c>
      <c r="J1967" t="s">
        <v>54</v>
      </c>
      <c r="K1967" t="s">
        <v>1338</v>
      </c>
      <c r="L1967" t="s">
        <v>17</v>
      </c>
      <c r="M1967" t="s">
        <v>18</v>
      </c>
      <c r="N1967">
        <v>949</v>
      </c>
      <c r="O1967">
        <v>56</v>
      </c>
      <c r="P1967">
        <v>0</v>
      </c>
      <c r="Q1967" t="s">
        <v>8127</v>
      </c>
      <c r="R1967" t="s">
        <v>8128</v>
      </c>
      <c r="S1967" t="s">
        <v>8129</v>
      </c>
      <c r="T1967" t="s">
        <v>8130</v>
      </c>
      <c r="U1967" t="s">
        <v>60</v>
      </c>
      <c r="V1967" t="s">
        <v>61</v>
      </c>
      <c r="W1967">
        <v>3</v>
      </c>
      <c r="X1967">
        <v>0.14000000000000001</v>
      </c>
      <c r="Y1967" t="s">
        <v>92</v>
      </c>
      <c r="Z1967" t="s">
        <v>118</v>
      </c>
      <c r="AA1967">
        <v>0</v>
      </c>
      <c r="AB1967" t="s">
        <v>8086</v>
      </c>
      <c r="AC1967" t="s">
        <v>8087</v>
      </c>
      <c r="AD1967" t="s">
        <v>8088</v>
      </c>
      <c r="AE1967" t="s">
        <v>8089</v>
      </c>
      <c r="AF1967" t="s">
        <v>8090</v>
      </c>
      <c r="AG1967" t="s">
        <v>66</v>
      </c>
      <c r="AH1967" t="s">
        <v>66</v>
      </c>
      <c r="AI1967" t="s">
        <v>66</v>
      </c>
      <c r="AJ1967" t="s">
        <v>66</v>
      </c>
      <c r="AK1967">
        <v>1</v>
      </c>
      <c r="AL1967" t="s">
        <v>66</v>
      </c>
      <c r="AM1967" t="s">
        <v>66</v>
      </c>
      <c r="AN1967" t="s">
        <v>66</v>
      </c>
      <c r="AO1967" t="s">
        <v>66</v>
      </c>
      <c r="AP1967">
        <v>1</v>
      </c>
      <c r="AQ1967" t="s">
        <v>66</v>
      </c>
      <c r="AR1967" t="s">
        <v>66</v>
      </c>
      <c r="AS1967" t="s">
        <v>66</v>
      </c>
      <c r="AT1967" t="s">
        <v>66</v>
      </c>
    </row>
    <row r="1968" spans="1:46" x14ac:dyDescent="0.15">
      <c r="A1968" t="s">
        <v>8131</v>
      </c>
      <c r="B1968" t="s">
        <v>8082</v>
      </c>
      <c r="C1968" t="s">
        <v>8083</v>
      </c>
      <c r="D1968">
        <v>10</v>
      </c>
      <c r="E1968" t="s">
        <v>8084</v>
      </c>
      <c r="F1968" t="s">
        <v>3083</v>
      </c>
      <c r="G1968" t="s">
        <v>51</v>
      </c>
      <c r="H1968" t="s">
        <v>8085</v>
      </c>
      <c r="I1968" t="s">
        <v>720</v>
      </c>
      <c r="J1968" t="s">
        <v>54</v>
      </c>
      <c r="K1968" t="s">
        <v>1338</v>
      </c>
      <c r="L1968" t="s">
        <v>17</v>
      </c>
      <c r="M1968" t="s">
        <v>18</v>
      </c>
      <c r="N1968">
        <v>1005</v>
      </c>
      <c r="O1968">
        <v>59</v>
      </c>
      <c r="P1968">
        <v>0</v>
      </c>
      <c r="Q1968" t="s">
        <v>8132</v>
      </c>
      <c r="R1968" t="s">
        <v>8133</v>
      </c>
      <c r="S1968" t="s">
        <v>8134</v>
      </c>
      <c r="T1968" t="s">
        <v>8135</v>
      </c>
      <c r="U1968" t="s">
        <v>60</v>
      </c>
      <c r="V1968" t="s">
        <v>61</v>
      </c>
      <c r="W1968">
        <v>3</v>
      </c>
      <c r="X1968">
        <v>0.14000000000000001</v>
      </c>
      <c r="Y1968" t="s">
        <v>124</v>
      </c>
      <c r="Z1968" t="s">
        <v>125</v>
      </c>
      <c r="AA1968">
        <v>0</v>
      </c>
      <c r="AB1968" t="s">
        <v>8086</v>
      </c>
      <c r="AC1968" t="s">
        <v>8087</v>
      </c>
      <c r="AD1968" t="s">
        <v>8088</v>
      </c>
      <c r="AE1968" t="s">
        <v>8089</v>
      </c>
      <c r="AF1968" t="s">
        <v>8090</v>
      </c>
      <c r="AG1968" t="s">
        <v>66</v>
      </c>
      <c r="AH1968" t="s">
        <v>66</v>
      </c>
      <c r="AI1968" t="s">
        <v>66</v>
      </c>
      <c r="AJ1968" t="s">
        <v>66</v>
      </c>
      <c r="AK1968">
        <v>1</v>
      </c>
      <c r="AL1968" t="s">
        <v>66</v>
      </c>
      <c r="AM1968" t="s">
        <v>66</v>
      </c>
      <c r="AN1968" t="s">
        <v>66</v>
      </c>
      <c r="AO1968" t="s">
        <v>66</v>
      </c>
      <c r="AP1968">
        <v>1</v>
      </c>
      <c r="AQ1968" t="s">
        <v>66</v>
      </c>
      <c r="AR1968" t="s">
        <v>66</v>
      </c>
      <c r="AS1968" t="s">
        <v>66</v>
      </c>
      <c r="AT1968" t="s">
        <v>66</v>
      </c>
    </row>
    <row r="1969" spans="1:46" x14ac:dyDescent="0.15">
      <c r="A1969" t="s">
        <v>8136</v>
      </c>
      <c r="B1969" t="s">
        <v>8082</v>
      </c>
      <c r="C1969" t="s">
        <v>8083</v>
      </c>
      <c r="D1969">
        <v>11</v>
      </c>
      <c r="E1969" t="s">
        <v>8084</v>
      </c>
      <c r="F1969" t="s">
        <v>3083</v>
      </c>
      <c r="G1969" t="s">
        <v>51</v>
      </c>
      <c r="H1969" t="s">
        <v>8085</v>
      </c>
      <c r="I1969" t="s">
        <v>720</v>
      </c>
      <c r="J1969" t="s">
        <v>54</v>
      </c>
      <c r="K1969" t="s">
        <v>1338</v>
      </c>
      <c r="L1969" t="s">
        <v>17</v>
      </c>
      <c r="M1969" t="s">
        <v>18</v>
      </c>
      <c r="N1969">
        <v>1061</v>
      </c>
      <c r="O1969">
        <v>62</v>
      </c>
      <c r="P1969">
        <v>0</v>
      </c>
      <c r="Q1969" t="s">
        <v>8137</v>
      </c>
      <c r="R1969" t="s">
        <v>8138</v>
      </c>
      <c r="S1969" t="s">
        <v>8139</v>
      </c>
      <c r="T1969" t="s">
        <v>8140</v>
      </c>
      <c r="U1969" t="s">
        <v>60</v>
      </c>
      <c r="V1969" t="s">
        <v>61</v>
      </c>
      <c r="W1969">
        <v>3</v>
      </c>
      <c r="X1969">
        <v>0.14000000000000001</v>
      </c>
      <c r="Y1969" t="s">
        <v>99</v>
      </c>
      <c r="Z1969" t="s">
        <v>131</v>
      </c>
      <c r="AA1969">
        <v>0</v>
      </c>
      <c r="AB1969" t="s">
        <v>8086</v>
      </c>
      <c r="AC1969" t="s">
        <v>8087</v>
      </c>
      <c r="AD1969" t="s">
        <v>8088</v>
      </c>
      <c r="AE1969" t="s">
        <v>8089</v>
      </c>
      <c r="AF1969" t="s">
        <v>8090</v>
      </c>
      <c r="AG1969" t="s">
        <v>66</v>
      </c>
      <c r="AH1969" t="s">
        <v>66</v>
      </c>
      <c r="AI1969" t="s">
        <v>66</v>
      </c>
      <c r="AJ1969" t="s">
        <v>66</v>
      </c>
      <c r="AK1969">
        <v>1</v>
      </c>
      <c r="AL1969" t="s">
        <v>66</v>
      </c>
      <c r="AM1969" t="s">
        <v>66</v>
      </c>
      <c r="AN1969" t="s">
        <v>66</v>
      </c>
      <c r="AO1969" t="s">
        <v>66</v>
      </c>
      <c r="AP1969">
        <v>1</v>
      </c>
      <c r="AQ1969" t="s">
        <v>66</v>
      </c>
      <c r="AR1969" t="s">
        <v>66</v>
      </c>
      <c r="AS1969" t="s">
        <v>66</v>
      </c>
      <c r="AT1969" t="s">
        <v>66</v>
      </c>
    </row>
    <row r="1970" spans="1:46" x14ac:dyDescent="0.15">
      <c r="A1970" t="s">
        <v>8141</v>
      </c>
      <c r="B1970" t="s">
        <v>8082</v>
      </c>
      <c r="C1970" t="s">
        <v>8083</v>
      </c>
      <c r="D1970">
        <v>12</v>
      </c>
      <c r="E1970" t="s">
        <v>8084</v>
      </c>
      <c r="F1970" t="s">
        <v>3083</v>
      </c>
      <c r="G1970" t="s">
        <v>51</v>
      </c>
      <c r="H1970" t="s">
        <v>8085</v>
      </c>
      <c r="I1970" t="s">
        <v>720</v>
      </c>
      <c r="J1970" t="s">
        <v>54</v>
      </c>
      <c r="K1970" t="s">
        <v>1338</v>
      </c>
      <c r="L1970" t="s">
        <v>17</v>
      </c>
      <c r="M1970" t="s">
        <v>18</v>
      </c>
      <c r="N1970">
        <v>1117</v>
      </c>
      <c r="O1970">
        <v>66</v>
      </c>
      <c r="P1970">
        <v>0</v>
      </c>
      <c r="Q1970" t="s">
        <v>8142</v>
      </c>
      <c r="R1970" t="s">
        <v>8143</v>
      </c>
      <c r="S1970" t="s">
        <v>8144</v>
      </c>
      <c r="T1970" t="s">
        <v>8145</v>
      </c>
      <c r="U1970" t="s">
        <v>60</v>
      </c>
      <c r="V1970" t="s">
        <v>61</v>
      </c>
      <c r="W1970">
        <v>3</v>
      </c>
      <c r="X1970">
        <v>0.14000000000000001</v>
      </c>
      <c r="Y1970" t="s">
        <v>137</v>
      </c>
      <c r="Z1970" t="s">
        <v>138</v>
      </c>
      <c r="AA1970">
        <v>0</v>
      </c>
      <c r="AB1970" t="s">
        <v>8086</v>
      </c>
      <c r="AC1970" t="s">
        <v>8087</v>
      </c>
      <c r="AD1970" t="s">
        <v>8088</v>
      </c>
      <c r="AE1970" t="s">
        <v>8089</v>
      </c>
      <c r="AF1970" t="s">
        <v>8090</v>
      </c>
      <c r="AG1970" t="s">
        <v>66</v>
      </c>
      <c r="AH1970" t="s">
        <v>66</v>
      </c>
      <c r="AI1970" t="s">
        <v>66</v>
      </c>
      <c r="AJ1970" t="s">
        <v>66</v>
      </c>
      <c r="AK1970">
        <v>1</v>
      </c>
      <c r="AL1970" t="s">
        <v>66</v>
      </c>
      <c r="AM1970" t="s">
        <v>66</v>
      </c>
      <c r="AN1970" t="s">
        <v>66</v>
      </c>
      <c r="AO1970" t="s">
        <v>66</v>
      </c>
      <c r="AP1970">
        <v>1</v>
      </c>
      <c r="AQ1970" t="s">
        <v>66</v>
      </c>
      <c r="AR1970" t="s">
        <v>66</v>
      </c>
      <c r="AS1970" t="s">
        <v>66</v>
      </c>
      <c r="AT1970" t="s">
        <v>66</v>
      </c>
    </row>
    <row r="1971" spans="1:46" x14ac:dyDescent="0.15">
      <c r="A1971" t="s">
        <v>8146</v>
      </c>
      <c r="B1971" t="s">
        <v>8082</v>
      </c>
      <c r="C1971" t="s">
        <v>8083</v>
      </c>
      <c r="D1971">
        <v>13</v>
      </c>
      <c r="E1971" t="s">
        <v>8084</v>
      </c>
      <c r="F1971" t="s">
        <v>3083</v>
      </c>
      <c r="G1971" t="s">
        <v>51</v>
      </c>
      <c r="H1971" t="s">
        <v>8085</v>
      </c>
      <c r="I1971" t="s">
        <v>720</v>
      </c>
      <c r="J1971" t="s">
        <v>54</v>
      </c>
      <c r="K1971" t="s">
        <v>1338</v>
      </c>
      <c r="L1971" t="s">
        <v>17</v>
      </c>
      <c r="M1971" t="s">
        <v>18</v>
      </c>
      <c r="N1971">
        <v>1173</v>
      </c>
      <c r="O1971">
        <v>69</v>
      </c>
      <c r="P1971">
        <v>0</v>
      </c>
      <c r="Q1971" t="s">
        <v>8147</v>
      </c>
      <c r="R1971" t="s">
        <v>8148</v>
      </c>
      <c r="S1971" t="s">
        <v>8149</v>
      </c>
      <c r="T1971" t="s">
        <v>8150</v>
      </c>
      <c r="U1971" t="s">
        <v>60</v>
      </c>
      <c r="V1971" t="s">
        <v>61</v>
      </c>
      <c r="W1971">
        <v>3</v>
      </c>
      <c r="X1971">
        <v>0.14000000000000001</v>
      </c>
      <c r="Y1971" t="s">
        <v>105</v>
      </c>
      <c r="Z1971" t="s">
        <v>144</v>
      </c>
      <c r="AA1971">
        <v>0</v>
      </c>
      <c r="AB1971" t="s">
        <v>8086</v>
      </c>
      <c r="AC1971" t="s">
        <v>8087</v>
      </c>
      <c r="AD1971" t="s">
        <v>8088</v>
      </c>
      <c r="AE1971" t="s">
        <v>8089</v>
      </c>
      <c r="AF1971" t="s">
        <v>8090</v>
      </c>
      <c r="AG1971" t="s">
        <v>66</v>
      </c>
      <c r="AH1971" t="s">
        <v>66</v>
      </c>
      <c r="AI1971" t="s">
        <v>66</v>
      </c>
      <c r="AJ1971" t="s">
        <v>66</v>
      </c>
      <c r="AK1971">
        <v>1</v>
      </c>
      <c r="AL1971" t="s">
        <v>66</v>
      </c>
      <c r="AM1971" t="s">
        <v>66</v>
      </c>
      <c r="AN1971" t="s">
        <v>66</v>
      </c>
      <c r="AO1971" t="s">
        <v>66</v>
      </c>
      <c r="AP1971">
        <v>1</v>
      </c>
      <c r="AQ1971" t="s">
        <v>66</v>
      </c>
      <c r="AR1971" t="s">
        <v>66</v>
      </c>
      <c r="AS1971" t="s">
        <v>66</v>
      </c>
      <c r="AT1971" t="s">
        <v>66</v>
      </c>
    </row>
    <row r="1972" spans="1:46" x14ac:dyDescent="0.15">
      <c r="A1972" t="s">
        <v>8151</v>
      </c>
      <c r="B1972" t="s">
        <v>8082</v>
      </c>
      <c r="C1972" t="s">
        <v>8083</v>
      </c>
      <c r="D1972">
        <v>14</v>
      </c>
      <c r="E1972" t="s">
        <v>8084</v>
      </c>
      <c r="F1972" t="s">
        <v>3083</v>
      </c>
      <c r="G1972" t="s">
        <v>51</v>
      </c>
      <c r="H1972" t="s">
        <v>8085</v>
      </c>
      <c r="I1972" t="s">
        <v>720</v>
      </c>
      <c r="J1972" t="s">
        <v>54</v>
      </c>
      <c r="K1972" t="s">
        <v>1338</v>
      </c>
      <c r="L1972" t="s">
        <v>17</v>
      </c>
      <c r="M1972" t="s">
        <v>18</v>
      </c>
      <c r="N1972">
        <v>1230</v>
      </c>
      <c r="O1972">
        <v>72</v>
      </c>
      <c r="P1972">
        <v>0</v>
      </c>
      <c r="Q1972" t="s">
        <v>8152</v>
      </c>
      <c r="R1972" t="s">
        <v>8153</v>
      </c>
      <c r="S1972" t="s">
        <v>8154</v>
      </c>
      <c r="T1972" t="s">
        <v>8155</v>
      </c>
      <c r="U1972" t="s">
        <v>60</v>
      </c>
      <c r="V1972" t="s">
        <v>61</v>
      </c>
      <c r="W1972">
        <v>3</v>
      </c>
      <c r="X1972">
        <v>0.14000000000000001</v>
      </c>
      <c r="Y1972" t="s">
        <v>150</v>
      </c>
      <c r="Z1972" t="s">
        <v>151</v>
      </c>
      <c r="AA1972">
        <v>0</v>
      </c>
      <c r="AB1972" t="s">
        <v>8086</v>
      </c>
      <c r="AC1972" t="s">
        <v>8087</v>
      </c>
      <c r="AD1972" t="s">
        <v>8088</v>
      </c>
      <c r="AE1972" t="s">
        <v>8089</v>
      </c>
      <c r="AF1972" t="s">
        <v>8090</v>
      </c>
      <c r="AG1972" t="s">
        <v>66</v>
      </c>
      <c r="AH1972" t="s">
        <v>66</v>
      </c>
      <c r="AI1972" t="s">
        <v>66</v>
      </c>
      <c r="AJ1972" t="s">
        <v>66</v>
      </c>
      <c r="AK1972">
        <v>1</v>
      </c>
      <c r="AL1972" t="s">
        <v>66</v>
      </c>
      <c r="AM1972" t="s">
        <v>66</v>
      </c>
      <c r="AN1972" t="s">
        <v>66</v>
      </c>
      <c r="AO1972" t="s">
        <v>66</v>
      </c>
      <c r="AP1972">
        <v>1</v>
      </c>
      <c r="AQ1972" t="s">
        <v>66</v>
      </c>
      <c r="AR1972" t="s">
        <v>66</v>
      </c>
      <c r="AS1972" t="s">
        <v>66</v>
      </c>
      <c r="AT1972" t="s">
        <v>66</v>
      </c>
    </row>
    <row r="1973" spans="1:46" x14ac:dyDescent="0.15">
      <c r="A1973" t="s">
        <v>8156</v>
      </c>
      <c r="B1973" t="s">
        <v>8082</v>
      </c>
      <c r="C1973" t="s">
        <v>8083</v>
      </c>
      <c r="D1973">
        <v>15</v>
      </c>
      <c r="E1973" t="s">
        <v>8084</v>
      </c>
      <c r="F1973" t="s">
        <v>3083</v>
      </c>
      <c r="G1973" t="s">
        <v>51</v>
      </c>
      <c r="H1973" t="s">
        <v>8085</v>
      </c>
      <c r="I1973" t="s">
        <v>720</v>
      </c>
      <c r="J1973" t="s">
        <v>54</v>
      </c>
      <c r="K1973" t="s">
        <v>1338</v>
      </c>
      <c r="L1973" t="s">
        <v>17</v>
      </c>
      <c r="M1973" t="s">
        <v>18</v>
      </c>
      <c r="N1973">
        <v>1286</v>
      </c>
      <c r="O1973">
        <v>75</v>
      </c>
      <c r="P1973">
        <v>0</v>
      </c>
      <c r="Q1973" t="s">
        <v>8157</v>
      </c>
      <c r="R1973" t="s">
        <v>8158</v>
      </c>
      <c r="S1973" t="s">
        <v>8159</v>
      </c>
      <c r="T1973" t="s">
        <v>8160</v>
      </c>
      <c r="U1973" t="s">
        <v>60</v>
      </c>
      <c r="V1973" t="s">
        <v>61</v>
      </c>
      <c r="W1973">
        <v>3</v>
      </c>
      <c r="X1973">
        <v>0.14000000000000001</v>
      </c>
      <c r="Y1973" t="s">
        <v>112</v>
      </c>
      <c r="Z1973" t="s">
        <v>157</v>
      </c>
      <c r="AA1973">
        <v>0</v>
      </c>
      <c r="AB1973" t="s">
        <v>8086</v>
      </c>
      <c r="AC1973" t="s">
        <v>8087</v>
      </c>
      <c r="AD1973" t="s">
        <v>8088</v>
      </c>
      <c r="AE1973" t="s">
        <v>8089</v>
      </c>
      <c r="AF1973" t="s">
        <v>8090</v>
      </c>
      <c r="AG1973" t="s">
        <v>66</v>
      </c>
      <c r="AH1973" t="s">
        <v>66</v>
      </c>
      <c r="AI1973" t="s">
        <v>66</v>
      </c>
      <c r="AJ1973" t="s">
        <v>66</v>
      </c>
      <c r="AK1973">
        <v>1</v>
      </c>
      <c r="AL1973" t="s">
        <v>66</v>
      </c>
      <c r="AM1973" t="s">
        <v>66</v>
      </c>
      <c r="AN1973" t="s">
        <v>66</v>
      </c>
      <c r="AO1973" t="s">
        <v>66</v>
      </c>
      <c r="AP1973">
        <v>1</v>
      </c>
      <c r="AQ1973" t="s">
        <v>66</v>
      </c>
      <c r="AR1973" t="s">
        <v>66</v>
      </c>
      <c r="AS1973" t="s">
        <v>66</v>
      </c>
      <c r="AT1973" t="s">
        <v>66</v>
      </c>
    </row>
    <row r="1974" spans="1:46" x14ac:dyDescent="0.15">
      <c r="A1974" t="s">
        <v>8161</v>
      </c>
      <c r="B1974" t="s">
        <v>8082</v>
      </c>
      <c r="C1974" t="s">
        <v>8083</v>
      </c>
      <c r="D1974">
        <v>16</v>
      </c>
      <c r="E1974" t="s">
        <v>8084</v>
      </c>
      <c r="F1974" t="s">
        <v>3083</v>
      </c>
      <c r="G1974" t="s">
        <v>51</v>
      </c>
      <c r="H1974" t="s">
        <v>8085</v>
      </c>
      <c r="I1974" t="s">
        <v>720</v>
      </c>
      <c r="J1974" t="s">
        <v>54</v>
      </c>
      <c r="K1974" t="s">
        <v>1338</v>
      </c>
      <c r="L1974" t="s">
        <v>17</v>
      </c>
      <c r="M1974" t="s">
        <v>18</v>
      </c>
      <c r="N1974">
        <v>1342</v>
      </c>
      <c r="O1974">
        <v>79</v>
      </c>
      <c r="P1974">
        <v>0</v>
      </c>
      <c r="Q1974" t="s">
        <v>8162</v>
      </c>
      <c r="R1974" t="s">
        <v>8163</v>
      </c>
      <c r="S1974" t="s">
        <v>8164</v>
      </c>
      <c r="T1974" t="s">
        <v>8165</v>
      </c>
      <c r="U1974" t="s">
        <v>60</v>
      </c>
      <c r="V1974" t="s">
        <v>61</v>
      </c>
      <c r="W1974">
        <v>3</v>
      </c>
      <c r="X1974">
        <v>0.14000000000000001</v>
      </c>
      <c r="Y1974" t="s">
        <v>163</v>
      </c>
      <c r="Z1974" t="s">
        <v>164</v>
      </c>
      <c r="AA1974">
        <v>0</v>
      </c>
      <c r="AB1974" t="s">
        <v>8086</v>
      </c>
      <c r="AC1974" t="s">
        <v>8087</v>
      </c>
      <c r="AD1974" t="s">
        <v>8088</v>
      </c>
      <c r="AE1974" t="s">
        <v>8089</v>
      </c>
      <c r="AF1974" t="s">
        <v>8090</v>
      </c>
      <c r="AG1974" t="s">
        <v>66</v>
      </c>
      <c r="AH1974" t="s">
        <v>66</v>
      </c>
      <c r="AI1974" t="s">
        <v>66</v>
      </c>
      <c r="AJ1974" t="s">
        <v>66</v>
      </c>
      <c r="AK1974">
        <v>1</v>
      </c>
      <c r="AL1974" t="s">
        <v>66</v>
      </c>
      <c r="AM1974" t="s">
        <v>66</v>
      </c>
      <c r="AN1974" t="s">
        <v>66</v>
      </c>
      <c r="AO1974" t="s">
        <v>66</v>
      </c>
      <c r="AP1974">
        <v>1</v>
      </c>
      <c r="AQ1974" t="s">
        <v>66</v>
      </c>
      <c r="AR1974" t="s">
        <v>66</v>
      </c>
      <c r="AS1974" t="s">
        <v>66</v>
      </c>
      <c r="AT1974" t="s">
        <v>66</v>
      </c>
    </row>
    <row r="1975" spans="1:46" x14ac:dyDescent="0.15">
      <c r="A1975" t="s">
        <v>8166</v>
      </c>
      <c r="B1975" t="s">
        <v>8082</v>
      </c>
      <c r="C1975" t="s">
        <v>8083</v>
      </c>
      <c r="D1975">
        <v>17</v>
      </c>
      <c r="E1975" t="s">
        <v>8084</v>
      </c>
      <c r="F1975" t="s">
        <v>3083</v>
      </c>
      <c r="G1975" t="s">
        <v>51</v>
      </c>
      <c r="H1975" t="s">
        <v>8085</v>
      </c>
      <c r="I1975" t="s">
        <v>720</v>
      </c>
      <c r="J1975" t="s">
        <v>54</v>
      </c>
      <c r="K1975" t="s">
        <v>1338</v>
      </c>
      <c r="L1975" t="s">
        <v>17</v>
      </c>
      <c r="M1975" t="s">
        <v>18</v>
      </c>
      <c r="N1975">
        <v>1398</v>
      </c>
      <c r="O1975">
        <v>82</v>
      </c>
      <c r="P1975">
        <v>0</v>
      </c>
      <c r="Q1975" t="s">
        <v>8167</v>
      </c>
      <c r="R1975" t="s">
        <v>8168</v>
      </c>
      <c r="S1975" t="s">
        <v>8169</v>
      </c>
      <c r="T1975" t="s">
        <v>8170</v>
      </c>
      <c r="U1975" t="s">
        <v>60</v>
      </c>
      <c r="V1975" t="s">
        <v>61</v>
      </c>
      <c r="W1975">
        <v>3</v>
      </c>
      <c r="X1975">
        <v>0.14000000000000001</v>
      </c>
      <c r="Y1975" t="s">
        <v>118</v>
      </c>
      <c r="Z1975" t="s">
        <v>170</v>
      </c>
      <c r="AA1975">
        <v>0</v>
      </c>
      <c r="AB1975" t="s">
        <v>8086</v>
      </c>
      <c r="AC1975" t="s">
        <v>8087</v>
      </c>
      <c r="AD1975" t="s">
        <v>8088</v>
      </c>
      <c r="AE1975" t="s">
        <v>8089</v>
      </c>
      <c r="AF1975" t="s">
        <v>8090</v>
      </c>
      <c r="AG1975" t="s">
        <v>66</v>
      </c>
      <c r="AH1975" t="s">
        <v>66</v>
      </c>
      <c r="AI1975" t="s">
        <v>66</v>
      </c>
      <c r="AJ1975" t="s">
        <v>66</v>
      </c>
      <c r="AK1975">
        <v>1</v>
      </c>
      <c r="AL1975" t="s">
        <v>66</v>
      </c>
      <c r="AM1975" t="s">
        <v>66</v>
      </c>
      <c r="AN1975" t="s">
        <v>66</v>
      </c>
      <c r="AO1975" t="s">
        <v>66</v>
      </c>
      <c r="AP1975">
        <v>1</v>
      </c>
      <c r="AQ1975" t="s">
        <v>66</v>
      </c>
      <c r="AR1975" t="s">
        <v>66</v>
      </c>
      <c r="AS1975" t="s">
        <v>66</v>
      </c>
      <c r="AT1975" t="s">
        <v>66</v>
      </c>
    </row>
    <row r="1976" spans="1:46" x14ac:dyDescent="0.15">
      <c r="A1976" t="s">
        <v>8171</v>
      </c>
      <c r="B1976" t="s">
        <v>8082</v>
      </c>
      <c r="C1976" t="s">
        <v>8083</v>
      </c>
      <c r="D1976">
        <v>18</v>
      </c>
      <c r="E1976" t="s">
        <v>8084</v>
      </c>
      <c r="F1976" t="s">
        <v>3083</v>
      </c>
      <c r="G1976" t="s">
        <v>51</v>
      </c>
      <c r="H1976" t="s">
        <v>8085</v>
      </c>
      <c r="I1976" t="s">
        <v>720</v>
      </c>
      <c r="J1976" t="s">
        <v>54</v>
      </c>
      <c r="K1976" t="s">
        <v>1338</v>
      </c>
      <c r="L1976" t="s">
        <v>17</v>
      </c>
      <c r="M1976" t="s">
        <v>18</v>
      </c>
      <c r="N1976">
        <v>1454</v>
      </c>
      <c r="O1976">
        <v>85</v>
      </c>
      <c r="P1976">
        <v>0</v>
      </c>
      <c r="Q1976" t="s">
        <v>8172</v>
      </c>
      <c r="R1976" t="s">
        <v>8173</v>
      </c>
      <c r="S1976" t="s">
        <v>8174</v>
      </c>
      <c r="T1976" t="s">
        <v>8175</v>
      </c>
      <c r="U1976" t="s">
        <v>60</v>
      </c>
      <c r="V1976" t="s">
        <v>61</v>
      </c>
      <c r="W1976">
        <v>3</v>
      </c>
      <c r="X1976">
        <v>0.14000000000000001</v>
      </c>
      <c r="Y1976" t="s">
        <v>176</v>
      </c>
      <c r="Z1976" t="s">
        <v>177</v>
      </c>
      <c r="AA1976">
        <v>0</v>
      </c>
      <c r="AB1976" t="s">
        <v>8086</v>
      </c>
      <c r="AC1976" t="s">
        <v>8087</v>
      </c>
      <c r="AD1976" t="s">
        <v>8088</v>
      </c>
      <c r="AE1976" t="s">
        <v>8089</v>
      </c>
      <c r="AF1976" t="s">
        <v>8090</v>
      </c>
      <c r="AG1976" t="s">
        <v>66</v>
      </c>
      <c r="AH1976" t="s">
        <v>66</v>
      </c>
      <c r="AI1976" t="s">
        <v>66</v>
      </c>
      <c r="AJ1976" t="s">
        <v>66</v>
      </c>
      <c r="AK1976">
        <v>1</v>
      </c>
      <c r="AL1976" t="s">
        <v>66</v>
      </c>
      <c r="AM1976" t="s">
        <v>66</v>
      </c>
      <c r="AN1976" t="s">
        <v>66</v>
      </c>
      <c r="AO1976" t="s">
        <v>66</v>
      </c>
      <c r="AP1976">
        <v>1</v>
      </c>
      <c r="AQ1976" t="s">
        <v>66</v>
      </c>
      <c r="AR1976" t="s">
        <v>66</v>
      </c>
      <c r="AS1976" t="s">
        <v>66</v>
      </c>
      <c r="AT1976" t="s">
        <v>66</v>
      </c>
    </row>
    <row r="1977" spans="1:46" x14ac:dyDescent="0.15">
      <c r="A1977" t="s">
        <v>8176</v>
      </c>
      <c r="B1977" t="s">
        <v>8082</v>
      </c>
      <c r="C1977" t="s">
        <v>8083</v>
      </c>
      <c r="D1977">
        <v>19</v>
      </c>
      <c r="E1977" t="s">
        <v>8084</v>
      </c>
      <c r="F1977" t="s">
        <v>3083</v>
      </c>
      <c r="G1977" t="s">
        <v>51</v>
      </c>
      <c r="H1977" t="s">
        <v>8085</v>
      </c>
      <c r="I1977" t="s">
        <v>720</v>
      </c>
      <c r="J1977" t="s">
        <v>54</v>
      </c>
      <c r="K1977" t="s">
        <v>1338</v>
      </c>
      <c r="L1977" t="s">
        <v>17</v>
      </c>
      <c r="M1977" t="s">
        <v>18</v>
      </c>
      <c r="N1977">
        <v>1510</v>
      </c>
      <c r="O1977">
        <v>88</v>
      </c>
      <c r="P1977">
        <v>0</v>
      </c>
      <c r="Q1977" t="s">
        <v>8177</v>
      </c>
      <c r="R1977" t="s">
        <v>8178</v>
      </c>
      <c r="S1977" t="s">
        <v>8179</v>
      </c>
      <c r="T1977" t="s">
        <v>8180</v>
      </c>
      <c r="U1977" t="s">
        <v>60</v>
      </c>
      <c r="V1977" t="s">
        <v>61</v>
      </c>
      <c r="W1977">
        <v>3</v>
      </c>
      <c r="X1977">
        <v>0.14000000000000001</v>
      </c>
      <c r="Y1977" t="s">
        <v>125</v>
      </c>
      <c r="Z1977" t="s">
        <v>183</v>
      </c>
      <c r="AA1977">
        <v>0</v>
      </c>
      <c r="AB1977" t="s">
        <v>8086</v>
      </c>
      <c r="AC1977" t="s">
        <v>8087</v>
      </c>
      <c r="AD1977" t="s">
        <v>8088</v>
      </c>
      <c r="AE1977" t="s">
        <v>8089</v>
      </c>
      <c r="AF1977" t="s">
        <v>8090</v>
      </c>
      <c r="AG1977" t="s">
        <v>66</v>
      </c>
      <c r="AH1977" t="s">
        <v>66</v>
      </c>
      <c r="AI1977" t="s">
        <v>66</v>
      </c>
      <c r="AJ1977" t="s">
        <v>66</v>
      </c>
      <c r="AK1977">
        <v>1</v>
      </c>
      <c r="AL1977" t="s">
        <v>66</v>
      </c>
      <c r="AM1977" t="s">
        <v>66</v>
      </c>
      <c r="AN1977" t="s">
        <v>66</v>
      </c>
      <c r="AO1977" t="s">
        <v>66</v>
      </c>
      <c r="AP1977">
        <v>1</v>
      </c>
      <c r="AQ1977" t="s">
        <v>66</v>
      </c>
      <c r="AR1977" t="s">
        <v>66</v>
      </c>
      <c r="AS1977" t="s">
        <v>66</v>
      </c>
      <c r="AT1977" t="s">
        <v>66</v>
      </c>
    </row>
    <row r="1978" spans="1:46" x14ac:dyDescent="0.15">
      <c r="A1978" t="s">
        <v>8181</v>
      </c>
      <c r="B1978" t="s">
        <v>8082</v>
      </c>
      <c r="C1978" t="s">
        <v>8083</v>
      </c>
      <c r="D1978">
        <v>20</v>
      </c>
      <c r="E1978" t="s">
        <v>8084</v>
      </c>
      <c r="F1978" t="s">
        <v>3083</v>
      </c>
      <c r="G1978" t="s">
        <v>51</v>
      </c>
      <c r="H1978" t="s">
        <v>8085</v>
      </c>
      <c r="I1978" t="s">
        <v>720</v>
      </c>
      <c r="J1978" t="s">
        <v>54</v>
      </c>
      <c r="K1978" t="s">
        <v>1338</v>
      </c>
      <c r="L1978" t="s">
        <v>17</v>
      </c>
      <c r="M1978" t="s">
        <v>18</v>
      </c>
      <c r="N1978">
        <v>1566</v>
      </c>
      <c r="O1978">
        <v>92</v>
      </c>
      <c r="P1978">
        <v>0</v>
      </c>
      <c r="Q1978" t="s">
        <v>8182</v>
      </c>
      <c r="R1978" t="s">
        <v>8183</v>
      </c>
      <c r="S1978" t="s">
        <v>8184</v>
      </c>
      <c r="T1978" t="s">
        <v>8185</v>
      </c>
      <c r="U1978" t="s">
        <v>60</v>
      </c>
      <c r="V1978" t="s">
        <v>61</v>
      </c>
      <c r="W1978">
        <v>3</v>
      </c>
      <c r="X1978">
        <v>0.14000000000000001</v>
      </c>
      <c r="Y1978" t="s">
        <v>189</v>
      </c>
      <c r="Z1978" t="s">
        <v>190</v>
      </c>
      <c r="AA1978">
        <v>0</v>
      </c>
      <c r="AB1978" t="s">
        <v>8086</v>
      </c>
      <c r="AC1978" t="s">
        <v>8087</v>
      </c>
      <c r="AD1978" t="s">
        <v>8088</v>
      </c>
      <c r="AE1978" t="s">
        <v>8089</v>
      </c>
      <c r="AF1978" t="s">
        <v>8090</v>
      </c>
      <c r="AG1978" t="s">
        <v>66</v>
      </c>
      <c r="AH1978" t="s">
        <v>66</v>
      </c>
      <c r="AI1978" t="s">
        <v>66</v>
      </c>
      <c r="AJ1978" t="s">
        <v>66</v>
      </c>
      <c r="AK1978">
        <v>1</v>
      </c>
      <c r="AL1978" t="s">
        <v>66</v>
      </c>
      <c r="AM1978" t="s">
        <v>66</v>
      </c>
      <c r="AN1978" t="s">
        <v>66</v>
      </c>
      <c r="AO1978" t="s">
        <v>66</v>
      </c>
      <c r="AP1978">
        <v>1</v>
      </c>
      <c r="AQ1978" t="s">
        <v>66</v>
      </c>
      <c r="AR1978" t="s">
        <v>66</v>
      </c>
      <c r="AS1978" t="s">
        <v>66</v>
      </c>
      <c r="AT1978" t="s">
        <v>66</v>
      </c>
    </row>
    <row r="1979" spans="1:46" x14ac:dyDescent="0.15">
      <c r="A1979" t="s">
        <v>8181</v>
      </c>
      <c r="B1979" t="s">
        <v>8082</v>
      </c>
      <c r="C1979" t="s">
        <v>8083</v>
      </c>
      <c r="D1979">
        <v>20</v>
      </c>
      <c r="E1979" t="s">
        <v>8084</v>
      </c>
      <c r="F1979" t="s">
        <v>3083</v>
      </c>
      <c r="G1979" t="s">
        <v>51</v>
      </c>
      <c r="H1979" t="s">
        <v>8085</v>
      </c>
      <c r="I1979" t="s">
        <v>720</v>
      </c>
      <c r="J1979" t="s">
        <v>54</v>
      </c>
      <c r="K1979" t="s">
        <v>1338</v>
      </c>
      <c r="L1979" t="s">
        <v>17</v>
      </c>
      <c r="M1979" t="s">
        <v>18</v>
      </c>
      <c r="N1979">
        <v>1566</v>
      </c>
      <c r="O1979">
        <v>92</v>
      </c>
      <c r="P1979">
        <v>0</v>
      </c>
      <c r="Q1979" t="s">
        <v>8182</v>
      </c>
      <c r="R1979" t="s">
        <v>8183</v>
      </c>
      <c r="S1979" t="s">
        <v>8184</v>
      </c>
      <c r="T1979" t="s">
        <v>8185</v>
      </c>
      <c r="U1979" t="s">
        <v>60</v>
      </c>
      <c r="V1979" t="s">
        <v>61</v>
      </c>
      <c r="W1979">
        <v>3</v>
      </c>
      <c r="X1979">
        <v>0.14000000000000001</v>
      </c>
      <c r="Y1979" t="s">
        <v>189</v>
      </c>
      <c r="Z1979" t="s">
        <v>190</v>
      </c>
      <c r="AA1979">
        <v>1</v>
      </c>
      <c r="AB1979" t="s">
        <v>8086</v>
      </c>
      <c r="AC1979" t="s">
        <v>8087</v>
      </c>
      <c r="AD1979" t="s">
        <v>8088</v>
      </c>
      <c r="AE1979" t="s">
        <v>8089</v>
      </c>
      <c r="AF1979" t="s">
        <v>8090</v>
      </c>
      <c r="AG1979" t="s">
        <v>191</v>
      </c>
      <c r="AH1979" t="s">
        <v>66</v>
      </c>
      <c r="AI1979" t="s">
        <v>66</v>
      </c>
      <c r="AJ1979" t="s">
        <v>66</v>
      </c>
      <c r="AK1979">
        <v>1</v>
      </c>
      <c r="AL1979" t="s">
        <v>66</v>
      </c>
      <c r="AM1979" t="s">
        <v>66</v>
      </c>
      <c r="AN1979" t="s">
        <v>66</v>
      </c>
      <c r="AO1979" t="s">
        <v>66</v>
      </c>
      <c r="AP1979">
        <v>1</v>
      </c>
      <c r="AQ1979" t="s">
        <v>66</v>
      </c>
      <c r="AR1979" t="s">
        <v>66</v>
      </c>
      <c r="AS1979" t="s">
        <v>66</v>
      </c>
      <c r="AT1979" t="s">
        <v>66</v>
      </c>
    </row>
    <row r="1980" spans="1:46" x14ac:dyDescent="0.15">
      <c r="A1980" t="s">
        <v>8186</v>
      </c>
      <c r="B1980" t="s">
        <v>8082</v>
      </c>
      <c r="C1980" t="s">
        <v>8083</v>
      </c>
      <c r="D1980">
        <v>21</v>
      </c>
      <c r="E1980" t="s">
        <v>8084</v>
      </c>
      <c r="F1980" t="s">
        <v>3083</v>
      </c>
      <c r="G1980" t="s">
        <v>51</v>
      </c>
      <c r="H1980" t="s">
        <v>8085</v>
      </c>
      <c r="I1980" t="s">
        <v>720</v>
      </c>
      <c r="J1980" t="s">
        <v>54</v>
      </c>
      <c r="K1980" t="s">
        <v>1338</v>
      </c>
      <c r="L1980" t="s">
        <v>17</v>
      </c>
      <c r="M1980" t="s">
        <v>18</v>
      </c>
      <c r="N1980">
        <v>1622</v>
      </c>
      <c r="O1980">
        <v>95</v>
      </c>
      <c r="P1980">
        <v>0</v>
      </c>
      <c r="Q1980" t="s">
        <v>8187</v>
      </c>
      <c r="R1980" t="s">
        <v>8188</v>
      </c>
      <c r="S1980" t="s">
        <v>8189</v>
      </c>
      <c r="T1980" t="s">
        <v>8190</v>
      </c>
      <c r="U1980" t="s">
        <v>60</v>
      </c>
      <c r="V1980" t="s">
        <v>61</v>
      </c>
      <c r="W1980">
        <v>3</v>
      </c>
      <c r="X1980">
        <v>0.14000000000000001</v>
      </c>
      <c r="Y1980" t="s">
        <v>131</v>
      </c>
      <c r="Z1980" t="s">
        <v>197</v>
      </c>
      <c r="AA1980">
        <v>1</v>
      </c>
      <c r="AB1980" t="s">
        <v>8086</v>
      </c>
      <c r="AC1980" t="s">
        <v>8087</v>
      </c>
      <c r="AD1980" t="s">
        <v>8088</v>
      </c>
      <c r="AE1980" t="s">
        <v>8089</v>
      </c>
      <c r="AF1980" t="s">
        <v>8090</v>
      </c>
      <c r="AG1980" t="s">
        <v>191</v>
      </c>
      <c r="AH1980" t="s">
        <v>66</v>
      </c>
      <c r="AI1980" t="s">
        <v>66</v>
      </c>
      <c r="AJ1980" t="s">
        <v>66</v>
      </c>
      <c r="AK1980">
        <v>1</v>
      </c>
      <c r="AL1980" t="s">
        <v>66</v>
      </c>
      <c r="AM1980" t="s">
        <v>66</v>
      </c>
      <c r="AN1980" t="s">
        <v>66</v>
      </c>
      <c r="AO1980" t="s">
        <v>66</v>
      </c>
      <c r="AP1980">
        <v>1</v>
      </c>
      <c r="AQ1980" t="s">
        <v>66</v>
      </c>
      <c r="AR1980" t="s">
        <v>66</v>
      </c>
      <c r="AS1980" t="s">
        <v>66</v>
      </c>
      <c r="AT1980" t="s">
        <v>66</v>
      </c>
    </row>
    <row r="1981" spans="1:46" x14ac:dyDescent="0.15">
      <c r="A1981" t="s">
        <v>8191</v>
      </c>
      <c r="B1981" t="s">
        <v>8082</v>
      </c>
      <c r="C1981" t="s">
        <v>8083</v>
      </c>
      <c r="D1981">
        <v>22</v>
      </c>
      <c r="E1981" t="s">
        <v>8084</v>
      </c>
      <c r="F1981" t="s">
        <v>3083</v>
      </c>
      <c r="G1981" t="s">
        <v>51</v>
      </c>
      <c r="H1981" t="s">
        <v>8085</v>
      </c>
      <c r="I1981" t="s">
        <v>720</v>
      </c>
      <c r="J1981" t="s">
        <v>54</v>
      </c>
      <c r="K1981" t="s">
        <v>1338</v>
      </c>
      <c r="L1981" t="s">
        <v>17</v>
      </c>
      <c r="M1981" t="s">
        <v>18</v>
      </c>
      <c r="N1981">
        <v>1679</v>
      </c>
      <c r="O1981">
        <v>98</v>
      </c>
      <c r="P1981">
        <v>0</v>
      </c>
      <c r="Q1981" t="s">
        <v>8192</v>
      </c>
      <c r="R1981" t="s">
        <v>8193</v>
      </c>
      <c r="S1981" t="s">
        <v>8194</v>
      </c>
      <c r="T1981" t="s">
        <v>8195</v>
      </c>
      <c r="U1981" t="s">
        <v>60</v>
      </c>
      <c r="V1981" t="s">
        <v>61</v>
      </c>
      <c r="W1981">
        <v>3</v>
      </c>
      <c r="X1981">
        <v>0.14000000000000001</v>
      </c>
      <c r="Y1981" t="s">
        <v>203</v>
      </c>
      <c r="Z1981" t="s">
        <v>204</v>
      </c>
      <c r="AA1981">
        <v>1</v>
      </c>
      <c r="AB1981" t="s">
        <v>8086</v>
      </c>
      <c r="AC1981" t="s">
        <v>8087</v>
      </c>
      <c r="AD1981" t="s">
        <v>8088</v>
      </c>
      <c r="AE1981" t="s">
        <v>8089</v>
      </c>
      <c r="AF1981" t="s">
        <v>8090</v>
      </c>
      <c r="AG1981" t="s">
        <v>191</v>
      </c>
      <c r="AH1981" t="s">
        <v>66</v>
      </c>
      <c r="AI1981" t="s">
        <v>66</v>
      </c>
      <c r="AJ1981" t="s">
        <v>66</v>
      </c>
      <c r="AK1981">
        <v>1</v>
      </c>
      <c r="AL1981" t="s">
        <v>66</v>
      </c>
      <c r="AM1981" t="s">
        <v>66</v>
      </c>
      <c r="AN1981" t="s">
        <v>66</v>
      </c>
      <c r="AO1981" t="s">
        <v>66</v>
      </c>
      <c r="AP1981">
        <v>1</v>
      </c>
      <c r="AQ1981" t="s">
        <v>66</v>
      </c>
      <c r="AR1981" t="s">
        <v>66</v>
      </c>
      <c r="AS1981" t="s">
        <v>66</v>
      </c>
      <c r="AT1981" t="s">
        <v>66</v>
      </c>
    </row>
    <row r="1982" spans="1:46" x14ac:dyDescent="0.15">
      <c r="A1982" t="s">
        <v>8196</v>
      </c>
      <c r="B1982" t="s">
        <v>8082</v>
      </c>
      <c r="C1982" t="s">
        <v>8083</v>
      </c>
      <c r="D1982">
        <v>23</v>
      </c>
      <c r="E1982" t="s">
        <v>8084</v>
      </c>
      <c r="F1982" t="s">
        <v>3083</v>
      </c>
      <c r="G1982" t="s">
        <v>51</v>
      </c>
      <c r="H1982" t="s">
        <v>8085</v>
      </c>
      <c r="I1982" t="s">
        <v>720</v>
      </c>
      <c r="J1982" t="s">
        <v>54</v>
      </c>
      <c r="K1982" t="s">
        <v>1338</v>
      </c>
      <c r="L1982" t="s">
        <v>17</v>
      </c>
      <c r="M1982" t="s">
        <v>18</v>
      </c>
      <c r="N1982">
        <v>1735</v>
      </c>
      <c r="O1982">
        <v>101</v>
      </c>
      <c r="P1982">
        <v>0</v>
      </c>
      <c r="Q1982" t="s">
        <v>8197</v>
      </c>
      <c r="R1982" t="s">
        <v>8198</v>
      </c>
      <c r="S1982" t="s">
        <v>8199</v>
      </c>
      <c r="T1982" t="s">
        <v>8200</v>
      </c>
      <c r="U1982" t="s">
        <v>60</v>
      </c>
      <c r="V1982" t="s">
        <v>61</v>
      </c>
      <c r="W1982">
        <v>3</v>
      </c>
      <c r="X1982">
        <v>0.14000000000000001</v>
      </c>
      <c r="Y1982" t="s">
        <v>138</v>
      </c>
      <c r="Z1982" t="s">
        <v>210</v>
      </c>
      <c r="AA1982">
        <v>1</v>
      </c>
      <c r="AB1982" t="s">
        <v>8086</v>
      </c>
      <c r="AC1982" t="s">
        <v>8087</v>
      </c>
      <c r="AD1982" t="s">
        <v>8088</v>
      </c>
      <c r="AE1982" t="s">
        <v>8089</v>
      </c>
      <c r="AF1982" t="s">
        <v>8090</v>
      </c>
      <c r="AG1982" t="s">
        <v>191</v>
      </c>
      <c r="AH1982" t="s">
        <v>66</v>
      </c>
      <c r="AI1982" t="s">
        <v>66</v>
      </c>
      <c r="AJ1982" t="s">
        <v>66</v>
      </c>
      <c r="AK1982">
        <v>1</v>
      </c>
      <c r="AL1982" t="s">
        <v>66</v>
      </c>
      <c r="AM1982" t="s">
        <v>66</v>
      </c>
      <c r="AN1982" t="s">
        <v>66</v>
      </c>
      <c r="AO1982" t="s">
        <v>66</v>
      </c>
      <c r="AP1982">
        <v>1</v>
      </c>
      <c r="AQ1982" t="s">
        <v>66</v>
      </c>
      <c r="AR1982" t="s">
        <v>66</v>
      </c>
      <c r="AS1982" t="s">
        <v>66</v>
      </c>
      <c r="AT1982" t="s">
        <v>66</v>
      </c>
    </row>
    <row r="1983" spans="1:46" x14ac:dyDescent="0.15">
      <c r="A1983" t="s">
        <v>8201</v>
      </c>
      <c r="B1983" t="s">
        <v>8082</v>
      </c>
      <c r="C1983" t="s">
        <v>8083</v>
      </c>
      <c r="D1983">
        <v>24</v>
      </c>
      <c r="E1983" t="s">
        <v>8084</v>
      </c>
      <c r="F1983" t="s">
        <v>3083</v>
      </c>
      <c r="G1983" t="s">
        <v>51</v>
      </c>
      <c r="H1983" t="s">
        <v>8085</v>
      </c>
      <c r="I1983" t="s">
        <v>720</v>
      </c>
      <c r="J1983" t="s">
        <v>54</v>
      </c>
      <c r="K1983" t="s">
        <v>1338</v>
      </c>
      <c r="L1983" t="s">
        <v>17</v>
      </c>
      <c r="M1983" t="s">
        <v>18</v>
      </c>
      <c r="N1983">
        <v>1791</v>
      </c>
      <c r="O1983">
        <v>105</v>
      </c>
      <c r="P1983">
        <v>0</v>
      </c>
      <c r="Q1983" t="s">
        <v>8202</v>
      </c>
      <c r="R1983" t="s">
        <v>8203</v>
      </c>
      <c r="S1983" t="s">
        <v>8204</v>
      </c>
      <c r="T1983" t="s">
        <v>8205</v>
      </c>
      <c r="U1983" t="s">
        <v>60</v>
      </c>
      <c r="V1983" t="s">
        <v>61</v>
      </c>
      <c r="W1983">
        <v>3</v>
      </c>
      <c r="X1983">
        <v>0.14000000000000001</v>
      </c>
      <c r="Y1983" t="s">
        <v>216</v>
      </c>
      <c r="Z1983" t="s">
        <v>217</v>
      </c>
      <c r="AA1983">
        <v>1</v>
      </c>
      <c r="AB1983" t="s">
        <v>8086</v>
      </c>
      <c r="AC1983" t="s">
        <v>8087</v>
      </c>
      <c r="AD1983" t="s">
        <v>8088</v>
      </c>
      <c r="AE1983" t="s">
        <v>8089</v>
      </c>
      <c r="AF1983" t="s">
        <v>8090</v>
      </c>
      <c r="AG1983" t="s">
        <v>191</v>
      </c>
      <c r="AH1983" t="s">
        <v>66</v>
      </c>
      <c r="AI1983" t="s">
        <v>66</v>
      </c>
      <c r="AJ1983" t="s">
        <v>66</v>
      </c>
      <c r="AK1983">
        <v>1</v>
      </c>
      <c r="AL1983" t="s">
        <v>66</v>
      </c>
      <c r="AM1983" t="s">
        <v>66</v>
      </c>
      <c r="AN1983" t="s">
        <v>66</v>
      </c>
      <c r="AO1983" t="s">
        <v>66</v>
      </c>
      <c r="AP1983">
        <v>1</v>
      </c>
      <c r="AQ1983" t="s">
        <v>66</v>
      </c>
      <c r="AR1983" t="s">
        <v>66</v>
      </c>
      <c r="AS1983" t="s">
        <v>66</v>
      </c>
      <c r="AT1983" t="s">
        <v>66</v>
      </c>
    </row>
    <row r="1984" spans="1:46" x14ac:dyDescent="0.15">
      <c r="A1984" t="s">
        <v>8206</v>
      </c>
      <c r="B1984" t="s">
        <v>8082</v>
      </c>
      <c r="C1984" t="s">
        <v>8083</v>
      </c>
      <c r="D1984">
        <v>25</v>
      </c>
      <c r="E1984" t="s">
        <v>8084</v>
      </c>
      <c r="F1984" t="s">
        <v>3083</v>
      </c>
      <c r="G1984" t="s">
        <v>51</v>
      </c>
      <c r="H1984" t="s">
        <v>8085</v>
      </c>
      <c r="I1984" t="s">
        <v>720</v>
      </c>
      <c r="J1984" t="s">
        <v>54</v>
      </c>
      <c r="K1984" t="s">
        <v>1338</v>
      </c>
      <c r="L1984" t="s">
        <v>17</v>
      </c>
      <c r="M1984" t="s">
        <v>18</v>
      </c>
      <c r="N1984">
        <v>1847</v>
      </c>
      <c r="O1984">
        <v>108</v>
      </c>
      <c r="P1984">
        <v>0</v>
      </c>
      <c r="Q1984" t="s">
        <v>8207</v>
      </c>
      <c r="R1984" t="s">
        <v>8208</v>
      </c>
      <c r="S1984" t="s">
        <v>8209</v>
      </c>
      <c r="T1984" t="s">
        <v>8210</v>
      </c>
      <c r="U1984" t="s">
        <v>60</v>
      </c>
      <c r="V1984" t="s">
        <v>61</v>
      </c>
      <c r="W1984">
        <v>3</v>
      </c>
      <c r="X1984">
        <v>0.14000000000000001</v>
      </c>
      <c r="Y1984" t="s">
        <v>144</v>
      </c>
      <c r="Z1984" t="s">
        <v>223</v>
      </c>
      <c r="AA1984">
        <v>1</v>
      </c>
      <c r="AB1984" t="s">
        <v>8086</v>
      </c>
      <c r="AC1984" t="s">
        <v>8087</v>
      </c>
      <c r="AD1984" t="s">
        <v>8088</v>
      </c>
      <c r="AE1984" t="s">
        <v>8089</v>
      </c>
      <c r="AF1984" t="s">
        <v>8090</v>
      </c>
      <c r="AG1984" t="s">
        <v>191</v>
      </c>
      <c r="AH1984" t="s">
        <v>66</v>
      </c>
      <c r="AI1984" t="s">
        <v>66</v>
      </c>
      <c r="AJ1984" t="s">
        <v>66</v>
      </c>
      <c r="AK1984">
        <v>1</v>
      </c>
      <c r="AL1984" t="s">
        <v>66</v>
      </c>
      <c r="AM1984" t="s">
        <v>66</v>
      </c>
      <c r="AN1984" t="s">
        <v>66</v>
      </c>
      <c r="AO1984" t="s">
        <v>66</v>
      </c>
      <c r="AP1984">
        <v>1</v>
      </c>
      <c r="AQ1984" t="s">
        <v>66</v>
      </c>
      <c r="AR1984" t="s">
        <v>66</v>
      </c>
      <c r="AS1984" t="s">
        <v>66</v>
      </c>
      <c r="AT1984" t="s">
        <v>66</v>
      </c>
    </row>
    <row r="1985" spans="1:46" x14ac:dyDescent="0.15">
      <c r="A1985" t="s">
        <v>8211</v>
      </c>
      <c r="B1985" t="s">
        <v>8082</v>
      </c>
      <c r="C1985" t="s">
        <v>8083</v>
      </c>
      <c r="D1985">
        <v>26</v>
      </c>
      <c r="E1985" t="s">
        <v>8084</v>
      </c>
      <c r="F1985" t="s">
        <v>3083</v>
      </c>
      <c r="G1985" t="s">
        <v>51</v>
      </c>
      <c r="H1985" t="s">
        <v>8085</v>
      </c>
      <c r="I1985" t="s">
        <v>720</v>
      </c>
      <c r="J1985" t="s">
        <v>54</v>
      </c>
      <c r="K1985" t="s">
        <v>1338</v>
      </c>
      <c r="L1985" t="s">
        <v>17</v>
      </c>
      <c r="M1985" t="s">
        <v>18</v>
      </c>
      <c r="N1985">
        <v>1903</v>
      </c>
      <c r="O1985">
        <v>111</v>
      </c>
      <c r="P1985">
        <v>0</v>
      </c>
      <c r="Q1985" t="s">
        <v>8212</v>
      </c>
      <c r="R1985" t="s">
        <v>8213</v>
      </c>
      <c r="S1985" t="s">
        <v>8214</v>
      </c>
      <c r="T1985" t="s">
        <v>8215</v>
      </c>
      <c r="U1985" t="s">
        <v>60</v>
      </c>
      <c r="V1985" t="s">
        <v>61</v>
      </c>
      <c r="W1985">
        <v>3</v>
      </c>
      <c r="X1985">
        <v>0.14000000000000001</v>
      </c>
      <c r="Y1985" t="s">
        <v>229</v>
      </c>
      <c r="Z1985" t="s">
        <v>230</v>
      </c>
      <c r="AA1985">
        <v>1</v>
      </c>
      <c r="AB1985" t="s">
        <v>8086</v>
      </c>
      <c r="AC1985" t="s">
        <v>8087</v>
      </c>
      <c r="AD1985" t="s">
        <v>8088</v>
      </c>
      <c r="AE1985" t="s">
        <v>8089</v>
      </c>
      <c r="AF1985" t="s">
        <v>8090</v>
      </c>
      <c r="AG1985" t="s">
        <v>191</v>
      </c>
      <c r="AH1985" t="s">
        <v>66</v>
      </c>
      <c r="AI1985" t="s">
        <v>66</v>
      </c>
      <c r="AJ1985" t="s">
        <v>66</v>
      </c>
      <c r="AK1985">
        <v>1</v>
      </c>
      <c r="AL1985" t="s">
        <v>66</v>
      </c>
      <c r="AM1985" t="s">
        <v>66</v>
      </c>
      <c r="AN1985" t="s">
        <v>66</v>
      </c>
      <c r="AO1985" t="s">
        <v>66</v>
      </c>
      <c r="AP1985">
        <v>1</v>
      </c>
      <c r="AQ1985" t="s">
        <v>66</v>
      </c>
      <c r="AR1985" t="s">
        <v>66</v>
      </c>
      <c r="AS1985" t="s">
        <v>66</v>
      </c>
      <c r="AT1985" t="s">
        <v>66</v>
      </c>
    </row>
    <row r="1986" spans="1:46" x14ac:dyDescent="0.15">
      <c r="A1986" t="s">
        <v>8216</v>
      </c>
      <c r="B1986" t="s">
        <v>8082</v>
      </c>
      <c r="C1986" t="s">
        <v>8083</v>
      </c>
      <c r="D1986">
        <v>27</v>
      </c>
      <c r="E1986" t="s">
        <v>8084</v>
      </c>
      <c r="F1986" t="s">
        <v>3083</v>
      </c>
      <c r="G1986" t="s">
        <v>51</v>
      </c>
      <c r="H1986" t="s">
        <v>8085</v>
      </c>
      <c r="I1986" t="s">
        <v>720</v>
      </c>
      <c r="J1986" t="s">
        <v>54</v>
      </c>
      <c r="K1986" t="s">
        <v>1338</v>
      </c>
      <c r="L1986" t="s">
        <v>17</v>
      </c>
      <c r="M1986" t="s">
        <v>18</v>
      </c>
      <c r="N1986">
        <v>1959</v>
      </c>
      <c r="O1986">
        <v>114</v>
      </c>
      <c r="P1986">
        <v>0</v>
      </c>
      <c r="Q1986" t="s">
        <v>8217</v>
      </c>
      <c r="R1986" t="s">
        <v>8218</v>
      </c>
      <c r="S1986" t="s">
        <v>8219</v>
      </c>
      <c r="T1986" t="s">
        <v>8220</v>
      </c>
      <c r="U1986" t="s">
        <v>60</v>
      </c>
      <c r="V1986" t="s">
        <v>61</v>
      </c>
      <c r="W1986">
        <v>3</v>
      </c>
      <c r="X1986">
        <v>0.14000000000000001</v>
      </c>
      <c r="Y1986" t="s">
        <v>151</v>
      </c>
      <c r="Z1986" t="s">
        <v>236</v>
      </c>
      <c r="AA1986">
        <v>1</v>
      </c>
      <c r="AB1986" t="s">
        <v>8086</v>
      </c>
      <c r="AC1986" t="s">
        <v>8087</v>
      </c>
      <c r="AD1986" t="s">
        <v>8088</v>
      </c>
      <c r="AE1986" t="s">
        <v>8089</v>
      </c>
      <c r="AF1986" t="s">
        <v>8090</v>
      </c>
      <c r="AG1986" t="s">
        <v>191</v>
      </c>
      <c r="AH1986" t="s">
        <v>66</v>
      </c>
      <c r="AI1986" t="s">
        <v>66</v>
      </c>
      <c r="AJ1986" t="s">
        <v>66</v>
      </c>
      <c r="AK1986">
        <v>1</v>
      </c>
      <c r="AL1986" t="s">
        <v>66</v>
      </c>
      <c r="AM1986" t="s">
        <v>66</v>
      </c>
      <c r="AN1986" t="s">
        <v>66</v>
      </c>
      <c r="AO1986" t="s">
        <v>66</v>
      </c>
      <c r="AP1986">
        <v>1</v>
      </c>
      <c r="AQ1986" t="s">
        <v>66</v>
      </c>
      <c r="AR1986" t="s">
        <v>66</v>
      </c>
      <c r="AS1986" t="s">
        <v>66</v>
      </c>
      <c r="AT1986" t="s">
        <v>66</v>
      </c>
    </row>
    <row r="1987" spans="1:46" x14ac:dyDescent="0.15">
      <c r="A1987" t="s">
        <v>8221</v>
      </c>
      <c r="B1987" t="s">
        <v>8082</v>
      </c>
      <c r="C1987" t="s">
        <v>8083</v>
      </c>
      <c r="D1987">
        <v>28</v>
      </c>
      <c r="E1987" t="s">
        <v>8084</v>
      </c>
      <c r="F1987" t="s">
        <v>3083</v>
      </c>
      <c r="G1987" t="s">
        <v>51</v>
      </c>
      <c r="H1987" t="s">
        <v>8085</v>
      </c>
      <c r="I1987" t="s">
        <v>720</v>
      </c>
      <c r="J1987" t="s">
        <v>54</v>
      </c>
      <c r="K1987" t="s">
        <v>1338</v>
      </c>
      <c r="L1987" t="s">
        <v>17</v>
      </c>
      <c r="M1987" t="s">
        <v>18</v>
      </c>
      <c r="N1987">
        <v>2015</v>
      </c>
      <c r="O1987">
        <v>118</v>
      </c>
      <c r="P1987">
        <v>0</v>
      </c>
      <c r="Q1987" t="s">
        <v>8222</v>
      </c>
      <c r="R1987" t="s">
        <v>8223</v>
      </c>
      <c r="S1987" t="s">
        <v>8224</v>
      </c>
      <c r="T1987" t="s">
        <v>8225</v>
      </c>
      <c r="U1987" t="s">
        <v>60</v>
      </c>
      <c r="V1987" t="s">
        <v>61</v>
      </c>
      <c r="W1987">
        <v>3</v>
      </c>
      <c r="X1987">
        <v>0.14000000000000001</v>
      </c>
      <c r="Y1987" t="s">
        <v>242</v>
      </c>
      <c r="Z1987" t="s">
        <v>243</v>
      </c>
      <c r="AA1987">
        <v>1</v>
      </c>
      <c r="AB1987" t="s">
        <v>8086</v>
      </c>
      <c r="AC1987" t="s">
        <v>8087</v>
      </c>
      <c r="AD1987" t="s">
        <v>8088</v>
      </c>
      <c r="AE1987" t="s">
        <v>8089</v>
      </c>
      <c r="AF1987" t="s">
        <v>8090</v>
      </c>
      <c r="AG1987" t="s">
        <v>191</v>
      </c>
      <c r="AH1987" t="s">
        <v>66</v>
      </c>
      <c r="AI1987" t="s">
        <v>66</v>
      </c>
      <c r="AJ1987" t="s">
        <v>66</v>
      </c>
      <c r="AK1987">
        <v>1</v>
      </c>
      <c r="AL1987" t="s">
        <v>66</v>
      </c>
      <c r="AM1987" t="s">
        <v>66</v>
      </c>
      <c r="AN1987" t="s">
        <v>66</v>
      </c>
      <c r="AO1987" t="s">
        <v>66</v>
      </c>
      <c r="AP1987">
        <v>1</v>
      </c>
      <c r="AQ1987" t="s">
        <v>66</v>
      </c>
      <c r="AR1987" t="s">
        <v>66</v>
      </c>
      <c r="AS1987" t="s">
        <v>66</v>
      </c>
      <c r="AT1987" t="s">
        <v>66</v>
      </c>
    </row>
    <row r="1988" spans="1:46" x14ac:dyDescent="0.15">
      <c r="A1988" t="s">
        <v>8226</v>
      </c>
      <c r="B1988" t="s">
        <v>8082</v>
      </c>
      <c r="C1988" t="s">
        <v>8083</v>
      </c>
      <c r="D1988">
        <v>29</v>
      </c>
      <c r="E1988" t="s">
        <v>8084</v>
      </c>
      <c r="F1988" t="s">
        <v>3083</v>
      </c>
      <c r="G1988" t="s">
        <v>51</v>
      </c>
      <c r="H1988" t="s">
        <v>8085</v>
      </c>
      <c r="I1988" t="s">
        <v>720</v>
      </c>
      <c r="J1988" t="s">
        <v>54</v>
      </c>
      <c r="K1988" t="s">
        <v>1338</v>
      </c>
      <c r="L1988" t="s">
        <v>17</v>
      </c>
      <c r="M1988" t="s">
        <v>18</v>
      </c>
      <c r="N1988">
        <v>2071</v>
      </c>
      <c r="O1988">
        <v>121</v>
      </c>
      <c r="P1988">
        <v>0</v>
      </c>
      <c r="Q1988" t="s">
        <v>8227</v>
      </c>
      <c r="R1988" t="s">
        <v>8228</v>
      </c>
      <c r="S1988" t="s">
        <v>8229</v>
      </c>
      <c r="T1988" t="s">
        <v>8230</v>
      </c>
      <c r="U1988" t="s">
        <v>60</v>
      </c>
      <c r="V1988" t="s">
        <v>61</v>
      </c>
      <c r="W1988">
        <v>3</v>
      </c>
      <c r="X1988">
        <v>0.14000000000000001</v>
      </c>
      <c r="Y1988" t="s">
        <v>157</v>
      </c>
      <c r="Z1988" t="s">
        <v>249</v>
      </c>
      <c r="AA1988">
        <v>1</v>
      </c>
      <c r="AB1988" t="s">
        <v>8086</v>
      </c>
      <c r="AC1988" t="s">
        <v>8087</v>
      </c>
      <c r="AD1988" t="s">
        <v>8088</v>
      </c>
      <c r="AE1988" t="s">
        <v>8089</v>
      </c>
      <c r="AF1988" t="s">
        <v>8090</v>
      </c>
      <c r="AG1988" t="s">
        <v>191</v>
      </c>
      <c r="AH1988" t="s">
        <v>66</v>
      </c>
      <c r="AI1988" t="s">
        <v>66</v>
      </c>
      <c r="AJ1988" t="s">
        <v>66</v>
      </c>
      <c r="AK1988">
        <v>1</v>
      </c>
      <c r="AL1988" t="s">
        <v>66</v>
      </c>
      <c r="AM1988" t="s">
        <v>66</v>
      </c>
      <c r="AN1988" t="s">
        <v>66</v>
      </c>
      <c r="AO1988" t="s">
        <v>66</v>
      </c>
      <c r="AP1988">
        <v>1</v>
      </c>
      <c r="AQ1988" t="s">
        <v>66</v>
      </c>
      <c r="AR1988" t="s">
        <v>66</v>
      </c>
      <c r="AS1988" t="s">
        <v>66</v>
      </c>
      <c r="AT1988" t="s">
        <v>66</v>
      </c>
    </row>
    <row r="1989" spans="1:46" x14ac:dyDescent="0.15">
      <c r="A1989" t="s">
        <v>8231</v>
      </c>
      <c r="B1989" t="s">
        <v>8082</v>
      </c>
      <c r="C1989" t="s">
        <v>8083</v>
      </c>
      <c r="D1989">
        <v>30</v>
      </c>
      <c r="E1989" t="s">
        <v>8084</v>
      </c>
      <c r="F1989" t="s">
        <v>3083</v>
      </c>
      <c r="G1989" t="s">
        <v>51</v>
      </c>
      <c r="H1989" t="s">
        <v>8085</v>
      </c>
      <c r="I1989" t="s">
        <v>720</v>
      </c>
      <c r="J1989" t="s">
        <v>54</v>
      </c>
      <c r="K1989" t="s">
        <v>1338</v>
      </c>
      <c r="L1989" t="s">
        <v>17</v>
      </c>
      <c r="M1989" t="s">
        <v>18</v>
      </c>
      <c r="N1989">
        <v>2128</v>
      </c>
      <c r="O1989">
        <v>124</v>
      </c>
      <c r="P1989">
        <v>0</v>
      </c>
      <c r="Q1989" t="s">
        <v>8232</v>
      </c>
      <c r="R1989" t="s">
        <v>8233</v>
      </c>
      <c r="S1989" t="s">
        <v>8234</v>
      </c>
      <c r="T1989" t="s">
        <v>8235</v>
      </c>
      <c r="U1989" t="s">
        <v>60</v>
      </c>
      <c r="V1989" t="s">
        <v>61</v>
      </c>
      <c r="W1989">
        <v>3</v>
      </c>
      <c r="X1989">
        <v>0.14000000000000001</v>
      </c>
      <c r="Y1989" t="s">
        <v>255</v>
      </c>
      <c r="Z1989" t="s">
        <v>256</v>
      </c>
      <c r="AA1989">
        <v>1</v>
      </c>
      <c r="AB1989" t="s">
        <v>8086</v>
      </c>
      <c r="AC1989" t="s">
        <v>8087</v>
      </c>
      <c r="AD1989" t="s">
        <v>8088</v>
      </c>
      <c r="AE1989" t="s">
        <v>8089</v>
      </c>
      <c r="AF1989" t="s">
        <v>8090</v>
      </c>
      <c r="AG1989" t="s">
        <v>191</v>
      </c>
      <c r="AH1989" t="s">
        <v>66</v>
      </c>
      <c r="AI1989" t="s">
        <v>66</v>
      </c>
      <c r="AJ1989" t="s">
        <v>66</v>
      </c>
      <c r="AK1989">
        <v>1</v>
      </c>
      <c r="AL1989" t="s">
        <v>66</v>
      </c>
      <c r="AM1989" t="s">
        <v>66</v>
      </c>
      <c r="AN1989" t="s">
        <v>66</v>
      </c>
      <c r="AO1989" t="s">
        <v>66</v>
      </c>
      <c r="AP1989">
        <v>1</v>
      </c>
      <c r="AQ1989" t="s">
        <v>66</v>
      </c>
      <c r="AR1989" t="s">
        <v>66</v>
      </c>
      <c r="AS1989" t="s">
        <v>66</v>
      </c>
      <c r="AT1989" t="s">
        <v>66</v>
      </c>
    </row>
    <row r="1990" spans="1:46" x14ac:dyDescent="0.15">
      <c r="A1990" t="s">
        <v>8236</v>
      </c>
      <c r="B1990" t="s">
        <v>8082</v>
      </c>
      <c r="C1990" t="s">
        <v>8083</v>
      </c>
      <c r="D1990">
        <v>31</v>
      </c>
      <c r="E1990" t="s">
        <v>8084</v>
      </c>
      <c r="F1990" t="s">
        <v>3083</v>
      </c>
      <c r="G1990" t="s">
        <v>51</v>
      </c>
      <c r="H1990" t="s">
        <v>8085</v>
      </c>
      <c r="I1990" t="s">
        <v>720</v>
      </c>
      <c r="J1990" t="s">
        <v>54</v>
      </c>
      <c r="K1990" t="s">
        <v>1338</v>
      </c>
      <c r="L1990" t="s">
        <v>17</v>
      </c>
      <c r="M1990" t="s">
        <v>18</v>
      </c>
      <c r="N1990">
        <v>2184</v>
      </c>
      <c r="O1990">
        <v>127</v>
      </c>
      <c r="P1990">
        <v>0</v>
      </c>
      <c r="Q1990" t="s">
        <v>8237</v>
      </c>
      <c r="R1990" t="s">
        <v>8238</v>
      </c>
      <c r="S1990" t="s">
        <v>8239</v>
      </c>
      <c r="T1990" t="s">
        <v>8240</v>
      </c>
      <c r="U1990" t="s">
        <v>60</v>
      </c>
      <c r="V1990" t="s">
        <v>61</v>
      </c>
      <c r="W1990">
        <v>3</v>
      </c>
      <c r="X1990">
        <v>0.14000000000000001</v>
      </c>
      <c r="Y1990" t="s">
        <v>164</v>
      </c>
      <c r="Z1990" t="s">
        <v>262</v>
      </c>
      <c r="AA1990">
        <v>1</v>
      </c>
      <c r="AB1990" t="s">
        <v>8086</v>
      </c>
      <c r="AC1990" t="s">
        <v>8087</v>
      </c>
      <c r="AD1990" t="s">
        <v>8088</v>
      </c>
      <c r="AE1990" t="s">
        <v>8089</v>
      </c>
      <c r="AF1990" t="s">
        <v>8090</v>
      </c>
      <c r="AG1990" t="s">
        <v>191</v>
      </c>
      <c r="AH1990" t="s">
        <v>66</v>
      </c>
      <c r="AI1990" t="s">
        <v>66</v>
      </c>
      <c r="AJ1990" t="s">
        <v>66</v>
      </c>
      <c r="AK1990">
        <v>1</v>
      </c>
      <c r="AL1990" t="s">
        <v>66</v>
      </c>
      <c r="AM1990" t="s">
        <v>66</v>
      </c>
      <c r="AN1990" t="s">
        <v>66</v>
      </c>
      <c r="AO1990" t="s">
        <v>66</v>
      </c>
      <c r="AP1990">
        <v>1</v>
      </c>
      <c r="AQ1990" t="s">
        <v>66</v>
      </c>
      <c r="AR1990" t="s">
        <v>66</v>
      </c>
      <c r="AS1990" t="s">
        <v>66</v>
      </c>
      <c r="AT1990" t="s">
        <v>66</v>
      </c>
    </row>
    <row r="1991" spans="1:46" x14ac:dyDescent="0.15">
      <c r="A1991" t="s">
        <v>8241</v>
      </c>
      <c r="B1991" t="s">
        <v>8082</v>
      </c>
      <c r="C1991" t="s">
        <v>8083</v>
      </c>
      <c r="D1991">
        <v>32</v>
      </c>
      <c r="E1991" t="s">
        <v>8084</v>
      </c>
      <c r="F1991" t="s">
        <v>3083</v>
      </c>
      <c r="G1991" t="s">
        <v>51</v>
      </c>
      <c r="H1991" t="s">
        <v>8085</v>
      </c>
      <c r="I1991" t="s">
        <v>720</v>
      </c>
      <c r="J1991" t="s">
        <v>54</v>
      </c>
      <c r="K1991" t="s">
        <v>1338</v>
      </c>
      <c r="L1991" t="s">
        <v>17</v>
      </c>
      <c r="M1991" t="s">
        <v>18</v>
      </c>
      <c r="N1991">
        <v>2240</v>
      </c>
      <c r="O1991">
        <v>131</v>
      </c>
      <c r="P1991">
        <v>0</v>
      </c>
      <c r="Q1991" t="s">
        <v>8242</v>
      </c>
      <c r="R1991" t="s">
        <v>8243</v>
      </c>
      <c r="S1991" t="s">
        <v>8244</v>
      </c>
      <c r="T1991" t="s">
        <v>8245</v>
      </c>
      <c r="U1991" t="s">
        <v>60</v>
      </c>
      <c r="V1991" t="s">
        <v>61</v>
      </c>
      <c r="W1991">
        <v>3</v>
      </c>
      <c r="X1991">
        <v>0.14000000000000001</v>
      </c>
      <c r="Y1991" t="s">
        <v>268</v>
      </c>
      <c r="Z1991" t="s">
        <v>269</v>
      </c>
      <c r="AA1991">
        <v>1</v>
      </c>
      <c r="AB1991" t="s">
        <v>8086</v>
      </c>
      <c r="AC1991" t="s">
        <v>8087</v>
      </c>
      <c r="AD1991" t="s">
        <v>8088</v>
      </c>
      <c r="AE1991" t="s">
        <v>8089</v>
      </c>
      <c r="AF1991" t="s">
        <v>8090</v>
      </c>
      <c r="AG1991" t="s">
        <v>191</v>
      </c>
      <c r="AH1991" t="s">
        <v>66</v>
      </c>
      <c r="AI1991" t="s">
        <v>66</v>
      </c>
      <c r="AJ1991" t="s">
        <v>66</v>
      </c>
      <c r="AK1991">
        <v>1</v>
      </c>
      <c r="AL1991" t="s">
        <v>66</v>
      </c>
      <c r="AM1991" t="s">
        <v>66</v>
      </c>
      <c r="AN1991" t="s">
        <v>66</v>
      </c>
      <c r="AO1991" t="s">
        <v>66</v>
      </c>
      <c r="AP1991">
        <v>1</v>
      </c>
      <c r="AQ1991" t="s">
        <v>66</v>
      </c>
      <c r="AR1991" t="s">
        <v>66</v>
      </c>
      <c r="AS1991" t="s">
        <v>66</v>
      </c>
      <c r="AT1991" t="s">
        <v>66</v>
      </c>
    </row>
    <row r="1992" spans="1:46" x14ac:dyDescent="0.15">
      <c r="A1992" t="s">
        <v>8246</v>
      </c>
      <c r="B1992" t="s">
        <v>8082</v>
      </c>
      <c r="C1992" t="s">
        <v>8083</v>
      </c>
      <c r="D1992">
        <v>33</v>
      </c>
      <c r="E1992" t="s">
        <v>8084</v>
      </c>
      <c r="F1992" t="s">
        <v>3083</v>
      </c>
      <c r="G1992" t="s">
        <v>51</v>
      </c>
      <c r="H1992" t="s">
        <v>8085</v>
      </c>
      <c r="I1992" t="s">
        <v>720</v>
      </c>
      <c r="J1992" t="s">
        <v>54</v>
      </c>
      <c r="K1992" t="s">
        <v>1338</v>
      </c>
      <c r="L1992" t="s">
        <v>17</v>
      </c>
      <c r="M1992" t="s">
        <v>18</v>
      </c>
      <c r="N1992">
        <v>2296</v>
      </c>
      <c r="O1992">
        <v>134</v>
      </c>
      <c r="P1992">
        <v>0</v>
      </c>
      <c r="Q1992" t="s">
        <v>8247</v>
      </c>
      <c r="R1992" t="s">
        <v>8248</v>
      </c>
      <c r="S1992" t="s">
        <v>8249</v>
      </c>
      <c r="T1992" t="s">
        <v>8250</v>
      </c>
      <c r="U1992" t="s">
        <v>60</v>
      </c>
      <c r="V1992" t="s">
        <v>61</v>
      </c>
      <c r="W1992">
        <v>3</v>
      </c>
      <c r="X1992">
        <v>0.14000000000000001</v>
      </c>
      <c r="Y1992" t="s">
        <v>170</v>
      </c>
      <c r="Z1992" t="s">
        <v>275</v>
      </c>
      <c r="AA1992">
        <v>1</v>
      </c>
      <c r="AB1992" t="s">
        <v>8086</v>
      </c>
      <c r="AC1992" t="s">
        <v>8087</v>
      </c>
      <c r="AD1992" t="s">
        <v>8088</v>
      </c>
      <c r="AE1992" t="s">
        <v>8089</v>
      </c>
      <c r="AF1992" t="s">
        <v>8090</v>
      </c>
      <c r="AG1992" t="s">
        <v>191</v>
      </c>
      <c r="AH1992" t="s">
        <v>66</v>
      </c>
      <c r="AI1992" t="s">
        <v>66</v>
      </c>
      <c r="AJ1992" t="s">
        <v>66</v>
      </c>
      <c r="AK1992">
        <v>1</v>
      </c>
      <c r="AL1992" t="s">
        <v>66</v>
      </c>
      <c r="AM1992" t="s">
        <v>66</v>
      </c>
      <c r="AN1992" t="s">
        <v>66</v>
      </c>
      <c r="AO1992" t="s">
        <v>66</v>
      </c>
      <c r="AP1992">
        <v>1</v>
      </c>
      <c r="AQ1992" t="s">
        <v>66</v>
      </c>
      <c r="AR1992" t="s">
        <v>66</v>
      </c>
      <c r="AS1992" t="s">
        <v>66</v>
      </c>
      <c r="AT1992" t="s">
        <v>66</v>
      </c>
    </row>
    <row r="1993" spans="1:46" x14ac:dyDescent="0.15">
      <c r="A1993" t="s">
        <v>8251</v>
      </c>
      <c r="B1993" t="s">
        <v>8082</v>
      </c>
      <c r="C1993" t="s">
        <v>8083</v>
      </c>
      <c r="D1993">
        <v>34</v>
      </c>
      <c r="E1993" t="s">
        <v>8084</v>
      </c>
      <c r="F1993" t="s">
        <v>3083</v>
      </c>
      <c r="G1993" t="s">
        <v>51</v>
      </c>
      <c r="H1993" t="s">
        <v>8085</v>
      </c>
      <c r="I1993" t="s">
        <v>720</v>
      </c>
      <c r="J1993" t="s">
        <v>54</v>
      </c>
      <c r="K1993" t="s">
        <v>1338</v>
      </c>
      <c r="L1993" t="s">
        <v>17</v>
      </c>
      <c r="M1993" t="s">
        <v>18</v>
      </c>
      <c r="N1993">
        <v>2352</v>
      </c>
      <c r="O1993">
        <v>137</v>
      </c>
      <c r="P1993">
        <v>0</v>
      </c>
      <c r="Q1993" t="s">
        <v>8252</v>
      </c>
      <c r="R1993" t="s">
        <v>8253</v>
      </c>
      <c r="S1993" t="s">
        <v>8254</v>
      </c>
      <c r="T1993" t="s">
        <v>8255</v>
      </c>
      <c r="U1993" t="s">
        <v>60</v>
      </c>
      <c r="V1993" t="s">
        <v>61</v>
      </c>
      <c r="W1993">
        <v>3</v>
      </c>
      <c r="X1993">
        <v>0.14000000000000001</v>
      </c>
      <c r="Y1993" t="s">
        <v>281</v>
      </c>
      <c r="Z1993" t="s">
        <v>282</v>
      </c>
      <c r="AA1993">
        <v>1</v>
      </c>
      <c r="AB1993" t="s">
        <v>8086</v>
      </c>
      <c r="AC1993" t="s">
        <v>8087</v>
      </c>
      <c r="AD1993" t="s">
        <v>8088</v>
      </c>
      <c r="AE1993" t="s">
        <v>8089</v>
      </c>
      <c r="AF1993" t="s">
        <v>8090</v>
      </c>
      <c r="AG1993" t="s">
        <v>191</v>
      </c>
      <c r="AH1993" t="s">
        <v>66</v>
      </c>
      <c r="AI1993" t="s">
        <v>66</v>
      </c>
      <c r="AJ1993" t="s">
        <v>66</v>
      </c>
      <c r="AK1993">
        <v>1</v>
      </c>
      <c r="AL1993" t="s">
        <v>66</v>
      </c>
      <c r="AM1993" t="s">
        <v>66</v>
      </c>
      <c r="AN1993" t="s">
        <v>66</v>
      </c>
      <c r="AO1993" t="s">
        <v>66</v>
      </c>
      <c r="AP1993">
        <v>1</v>
      </c>
      <c r="AQ1993" t="s">
        <v>66</v>
      </c>
      <c r="AR1993" t="s">
        <v>66</v>
      </c>
      <c r="AS1993" t="s">
        <v>66</v>
      </c>
      <c r="AT1993" t="s">
        <v>66</v>
      </c>
    </row>
    <row r="1994" spans="1:46" x14ac:dyDescent="0.15">
      <c r="A1994" t="s">
        <v>8256</v>
      </c>
      <c r="B1994" t="s">
        <v>8082</v>
      </c>
      <c r="C1994" t="s">
        <v>8083</v>
      </c>
      <c r="D1994">
        <v>35</v>
      </c>
      <c r="E1994" t="s">
        <v>8084</v>
      </c>
      <c r="F1994" t="s">
        <v>3083</v>
      </c>
      <c r="G1994" t="s">
        <v>51</v>
      </c>
      <c r="H1994" t="s">
        <v>8085</v>
      </c>
      <c r="I1994" t="s">
        <v>720</v>
      </c>
      <c r="J1994" t="s">
        <v>54</v>
      </c>
      <c r="K1994" t="s">
        <v>1338</v>
      </c>
      <c r="L1994" t="s">
        <v>17</v>
      </c>
      <c r="M1994" t="s">
        <v>18</v>
      </c>
      <c r="N1994">
        <v>2408</v>
      </c>
      <c r="O1994">
        <v>140</v>
      </c>
      <c r="P1994">
        <v>0</v>
      </c>
      <c r="Q1994" t="s">
        <v>8257</v>
      </c>
      <c r="R1994" t="s">
        <v>8258</v>
      </c>
      <c r="S1994" t="s">
        <v>8259</v>
      </c>
      <c r="T1994" t="s">
        <v>8260</v>
      </c>
      <c r="U1994" t="s">
        <v>60</v>
      </c>
      <c r="V1994" t="s">
        <v>61</v>
      </c>
      <c r="W1994">
        <v>3</v>
      </c>
      <c r="X1994">
        <v>0.14000000000000001</v>
      </c>
      <c r="Y1994" t="s">
        <v>177</v>
      </c>
      <c r="Z1994" t="s">
        <v>288</v>
      </c>
      <c r="AA1994">
        <v>1</v>
      </c>
      <c r="AB1994" t="s">
        <v>8086</v>
      </c>
      <c r="AC1994" t="s">
        <v>8087</v>
      </c>
      <c r="AD1994" t="s">
        <v>8088</v>
      </c>
      <c r="AE1994" t="s">
        <v>8089</v>
      </c>
      <c r="AF1994" t="s">
        <v>8090</v>
      </c>
      <c r="AG1994" t="s">
        <v>191</v>
      </c>
      <c r="AH1994" t="s">
        <v>66</v>
      </c>
      <c r="AI1994" t="s">
        <v>66</v>
      </c>
      <c r="AJ1994" t="s">
        <v>66</v>
      </c>
      <c r="AK1994">
        <v>1</v>
      </c>
      <c r="AL1994" t="s">
        <v>66</v>
      </c>
      <c r="AM1994" t="s">
        <v>66</v>
      </c>
      <c r="AN1994" t="s">
        <v>66</v>
      </c>
      <c r="AO1994" t="s">
        <v>66</v>
      </c>
      <c r="AP1994">
        <v>1</v>
      </c>
      <c r="AQ1994" t="s">
        <v>66</v>
      </c>
      <c r="AR1994" t="s">
        <v>66</v>
      </c>
      <c r="AS1994" t="s">
        <v>66</v>
      </c>
      <c r="AT1994" t="s">
        <v>66</v>
      </c>
    </row>
    <row r="1995" spans="1:46" x14ac:dyDescent="0.15">
      <c r="A1995" t="s">
        <v>8261</v>
      </c>
      <c r="B1995" t="s">
        <v>8082</v>
      </c>
      <c r="C1995" t="s">
        <v>8083</v>
      </c>
      <c r="D1995">
        <v>36</v>
      </c>
      <c r="E1995" t="s">
        <v>8084</v>
      </c>
      <c r="F1995" t="s">
        <v>3083</v>
      </c>
      <c r="G1995" t="s">
        <v>51</v>
      </c>
      <c r="H1995" t="s">
        <v>8085</v>
      </c>
      <c r="I1995" t="s">
        <v>720</v>
      </c>
      <c r="J1995" t="s">
        <v>54</v>
      </c>
      <c r="K1995" t="s">
        <v>1338</v>
      </c>
      <c r="L1995" t="s">
        <v>17</v>
      </c>
      <c r="M1995" t="s">
        <v>18</v>
      </c>
      <c r="N1995">
        <v>2464</v>
      </c>
      <c r="O1995">
        <v>144</v>
      </c>
      <c r="P1995">
        <v>0</v>
      </c>
      <c r="Q1995" t="s">
        <v>8262</v>
      </c>
      <c r="R1995" t="s">
        <v>8263</v>
      </c>
      <c r="S1995" t="s">
        <v>8264</v>
      </c>
      <c r="T1995" t="s">
        <v>8265</v>
      </c>
      <c r="U1995" t="s">
        <v>60</v>
      </c>
      <c r="V1995" t="s">
        <v>61</v>
      </c>
      <c r="W1995">
        <v>3</v>
      </c>
      <c r="X1995">
        <v>0.14000000000000001</v>
      </c>
      <c r="Y1995" t="s">
        <v>294</v>
      </c>
      <c r="Z1995" t="s">
        <v>295</v>
      </c>
      <c r="AA1995">
        <v>1</v>
      </c>
      <c r="AB1995" t="s">
        <v>8086</v>
      </c>
      <c r="AC1995" t="s">
        <v>8087</v>
      </c>
      <c r="AD1995" t="s">
        <v>8088</v>
      </c>
      <c r="AE1995" t="s">
        <v>8089</v>
      </c>
      <c r="AF1995" t="s">
        <v>8090</v>
      </c>
      <c r="AG1995" t="s">
        <v>191</v>
      </c>
      <c r="AH1995" t="s">
        <v>66</v>
      </c>
      <c r="AI1995" t="s">
        <v>66</v>
      </c>
      <c r="AJ1995" t="s">
        <v>66</v>
      </c>
      <c r="AK1995">
        <v>1</v>
      </c>
      <c r="AL1995" t="s">
        <v>66</v>
      </c>
      <c r="AM1995" t="s">
        <v>66</v>
      </c>
      <c r="AN1995" t="s">
        <v>66</v>
      </c>
      <c r="AO1995" t="s">
        <v>66</v>
      </c>
      <c r="AP1995">
        <v>1</v>
      </c>
      <c r="AQ1995" t="s">
        <v>66</v>
      </c>
      <c r="AR1995" t="s">
        <v>66</v>
      </c>
      <c r="AS1995" t="s">
        <v>66</v>
      </c>
      <c r="AT1995" t="s">
        <v>66</v>
      </c>
    </row>
    <row r="1996" spans="1:46" x14ac:dyDescent="0.15">
      <c r="A1996" t="s">
        <v>8266</v>
      </c>
      <c r="B1996" t="s">
        <v>8082</v>
      </c>
      <c r="C1996" t="s">
        <v>8083</v>
      </c>
      <c r="D1996">
        <v>37</v>
      </c>
      <c r="E1996" t="s">
        <v>8084</v>
      </c>
      <c r="F1996" t="s">
        <v>3083</v>
      </c>
      <c r="G1996" t="s">
        <v>51</v>
      </c>
      <c r="H1996" t="s">
        <v>8085</v>
      </c>
      <c r="I1996" t="s">
        <v>720</v>
      </c>
      <c r="J1996" t="s">
        <v>54</v>
      </c>
      <c r="K1996" t="s">
        <v>1338</v>
      </c>
      <c r="L1996" t="s">
        <v>17</v>
      </c>
      <c r="M1996" t="s">
        <v>18</v>
      </c>
      <c r="N1996">
        <v>2520</v>
      </c>
      <c r="O1996">
        <v>147</v>
      </c>
      <c r="P1996">
        <v>0</v>
      </c>
      <c r="Q1996" t="s">
        <v>8267</v>
      </c>
      <c r="R1996" t="s">
        <v>8268</v>
      </c>
      <c r="S1996" t="s">
        <v>8269</v>
      </c>
      <c r="T1996" t="s">
        <v>8270</v>
      </c>
      <c r="U1996" t="s">
        <v>60</v>
      </c>
      <c r="V1996" t="s">
        <v>61</v>
      </c>
      <c r="W1996">
        <v>3</v>
      </c>
      <c r="X1996">
        <v>0.14000000000000001</v>
      </c>
      <c r="Y1996" t="s">
        <v>183</v>
      </c>
      <c r="Z1996" t="s">
        <v>301</v>
      </c>
      <c r="AA1996">
        <v>1</v>
      </c>
      <c r="AB1996" t="s">
        <v>8086</v>
      </c>
      <c r="AC1996" t="s">
        <v>8087</v>
      </c>
      <c r="AD1996" t="s">
        <v>8088</v>
      </c>
      <c r="AE1996" t="s">
        <v>8089</v>
      </c>
      <c r="AF1996" t="s">
        <v>8090</v>
      </c>
      <c r="AG1996" t="s">
        <v>191</v>
      </c>
      <c r="AH1996" t="s">
        <v>66</v>
      </c>
      <c r="AI1996" t="s">
        <v>66</v>
      </c>
      <c r="AJ1996" t="s">
        <v>66</v>
      </c>
      <c r="AK1996">
        <v>1</v>
      </c>
      <c r="AL1996" t="s">
        <v>66</v>
      </c>
      <c r="AM1996" t="s">
        <v>66</v>
      </c>
      <c r="AN1996" t="s">
        <v>66</v>
      </c>
      <c r="AO1996" t="s">
        <v>66</v>
      </c>
      <c r="AP1996">
        <v>1</v>
      </c>
      <c r="AQ1996" t="s">
        <v>66</v>
      </c>
      <c r="AR1996" t="s">
        <v>66</v>
      </c>
      <c r="AS1996" t="s">
        <v>66</v>
      </c>
      <c r="AT1996" t="s">
        <v>66</v>
      </c>
    </row>
    <row r="1997" spans="1:46" x14ac:dyDescent="0.15">
      <c r="A1997" t="s">
        <v>8271</v>
      </c>
      <c r="B1997" t="s">
        <v>8082</v>
      </c>
      <c r="C1997" t="s">
        <v>8083</v>
      </c>
      <c r="D1997">
        <v>38</v>
      </c>
      <c r="E1997" t="s">
        <v>8084</v>
      </c>
      <c r="F1997" t="s">
        <v>3083</v>
      </c>
      <c r="G1997" t="s">
        <v>51</v>
      </c>
      <c r="H1997" t="s">
        <v>8085</v>
      </c>
      <c r="I1997" t="s">
        <v>720</v>
      </c>
      <c r="J1997" t="s">
        <v>54</v>
      </c>
      <c r="K1997" t="s">
        <v>1338</v>
      </c>
      <c r="L1997" t="s">
        <v>17</v>
      </c>
      <c r="M1997" t="s">
        <v>18</v>
      </c>
      <c r="N1997">
        <v>2577</v>
      </c>
      <c r="O1997">
        <v>150</v>
      </c>
      <c r="P1997">
        <v>0</v>
      </c>
      <c r="Q1997" t="s">
        <v>8272</v>
      </c>
      <c r="R1997" t="s">
        <v>8273</v>
      </c>
      <c r="S1997" t="s">
        <v>8274</v>
      </c>
      <c r="T1997" t="s">
        <v>8275</v>
      </c>
      <c r="U1997" t="s">
        <v>60</v>
      </c>
      <c r="V1997" t="s">
        <v>61</v>
      </c>
      <c r="W1997">
        <v>3</v>
      </c>
      <c r="X1997">
        <v>0.14000000000000001</v>
      </c>
      <c r="Y1997" t="s">
        <v>307</v>
      </c>
      <c r="Z1997" t="s">
        <v>308</v>
      </c>
      <c r="AA1997">
        <v>1</v>
      </c>
      <c r="AB1997" t="s">
        <v>8086</v>
      </c>
      <c r="AC1997" t="s">
        <v>8087</v>
      </c>
      <c r="AD1997" t="s">
        <v>8088</v>
      </c>
      <c r="AE1997" t="s">
        <v>8089</v>
      </c>
      <c r="AF1997" t="s">
        <v>8090</v>
      </c>
      <c r="AG1997" t="s">
        <v>191</v>
      </c>
      <c r="AH1997" t="s">
        <v>66</v>
      </c>
      <c r="AI1997" t="s">
        <v>66</v>
      </c>
      <c r="AJ1997" t="s">
        <v>66</v>
      </c>
      <c r="AK1997">
        <v>1</v>
      </c>
      <c r="AL1997" t="s">
        <v>66</v>
      </c>
      <c r="AM1997" t="s">
        <v>66</v>
      </c>
      <c r="AN1997" t="s">
        <v>66</v>
      </c>
      <c r="AO1997" t="s">
        <v>66</v>
      </c>
      <c r="AP1997">
        <v>1</v>
      </c>
      <c r="AQ1997" t="s">
        <v>66</v>
      </c>
      <c r="AR1997" t="s">
        <v>66</v>
      </c>
      <c r="AS1997" t="s">
        <v>66</v>
      </c>
      <c r="AT1997" t="s">
        <v>66</v>
      </c>
    </row>
    <row r="1998" spans="1:46" x14ac:dyDescent="0.15">
      <c r="A1998" t="s">
        <v>8276</v>
      </c>
      <c r="B1998" t="s">
        <v>8082</v>
      </c>
      <c r="C1998" t="s">
        <v>8083</v>
      </c>
      <c r="D1998">
        <v>39</v>
      </c>
      <c r="E1998" t="s">
        <v>8084</v>
      </c>
      <c r="F1998" t="s">
        <v>3083</v>
      </c>
      <c r="G1998" t="s">
        <v>51</v>
      </c>
      <c r="H1998" t="s">
        <v>8085</v>
      </c>
      <c r="I1998" t="s">
        <v>720</v>
      </c>
      <c r="J1998" t="s">
        <v>54</v>
      </c>
      <c r="K1998" t="s">
        <v>1338</v>
      </c>
      <c r="L1998" t="s">
        <v>17</v>
      </c>
      <c r="M1998" t="s">
        <v>18</v>
      </c>
      <c r="N1998">
        <v>2633</v>
      </c>
      <c r="O1998">
        <v>153</v>
      </c>
      <c r="P1998">
        <v>0</v>
      </c>
      <c r="Q1998" t="s">
        <v>8277</v>
      </c>
      <c r="R1998" t="s">
        <v>8278</v>
      </c>
      <c r="S1998" t="s">
        <v>8279</v>
      </c>
      <c r="T1998" t="s">
        <v>8280</v>
      </c>
      <c r="U1998" t="s">
        <v>60</v>
      </c>
      <c r="V1998" t="s">
        <v>61</v>
      </c>
      <c r="W1998">
        <v>3</v>
      </c>
      <c r="X1998">
        <v>0.14000000000000001</v>
      </c>
      <c r="Y1998" t="s">
        <v>190</v>
      </c>
      <c r="Z1998" t="s">
        <v>314</v>
      </c>
      <c r="AA1998">
        <v>1</v>
      </c>
      <c r="AB1998" t="s">
        <v>8086</v>
      </c>
      <c r="AC1998" t="s">
        <v>8087</v>
      </c>
      <c r="AD1998" t="s">
        <v>8088</v>
      </c>
      <c r="AE1998" t="s">
        <v>8089</v>
      </c>
      <c r="AF1998" t="s">
        <v>8090</v>
      </c>
      <c r="AG1998" t="s">
        <v>191</v>
      </c>
      <c r="AH1998" t="s">
        <v>66</v>
      </c>
      <c r="AI1998" t="s">
        <v>66</v>
      </c>
      <c r="AJ1998" t="s">
        <v>66</v>
      </c>
      <c r="AK1998">
        <v>1</v>
      </c>
      <c r="AL1998" t="s">
        <v>66</v>
      </c>
      <c r="AM1998" t="s">
        <v>66</v>
      </c>
      <c r="AN1998" t="s">
        <v>66</v>
      </c>
      <c r="AO1998" t="s">
        <v>66</v>
      </c>
      <c r="AP1998">
        <v>1</v>
      </c>
      <c r="AQ1998" t="s">
        <v>66</v>
      </c>
      <c r="AR1998" t="s">
        <v>66</v>
      </c>
      <c r="AS1998" t="s">
        <v>66</v>
      </c>
      <c r="AT1998" t="s">
        <v>66</v>
      </c>
    </row>
    <row r="1999" spans="1:46" x14ac:dyDescent="0.15">
      <c r="A1999" t="s">
        <v>8281</v>
      </c>
      <c r="B1999" t="s">
        <v>8082</v>
      </c>
      <c r="C1999" t="s">
        <v>8083</v>
      </c>
      <c r="D1999">
        <v>40</v>
      </c>
      <c r="E1999" t="s">
        <v>8084</v>
      </c>
      <c r="F1999" t="s">
        <v>3083</v>
      </c>
      <c r="G1999" t="s">
        <v>51</v>
      </c>
      <c r="H1999" t="s">
        <v>8085</v>
      </c>
      <c r="I1999" t="s">
        <v>720</v>
      </c>
      <c r="J1999" t="s">
        <v>54</v>
      </c>
      <c r="K1999" t="s">
        <v>1338</v>
      </c>
      <c r="L1999" t="s">
        <v>17</v>
      </c>
      <c r="M1999" t="s">
        <v>18</v>
      </c>
      <c r="N1999">
        <v>2689</v>
      </c>
      <c r="O1999">
        <v>157</v>
      </c>
      <c r="P1999">
        <v>0</v>
      </c>
      <c r="Q1999" t="s">
        <v>8282</v>
      </c>
      <c r="R1999" t="s">
        <v>8283</v>
      </c>
      <c r="S1999" t="s">
        <v>8284</v>
      </c>
      <c r="T1999" t="s">
        <v>8285</v>
      </c>
      <c r="U1999" t="s">
        <v>60</v>
      </c>
      <c r="V1999" t="s">
        <v>61</v>
      </c>
      <c r="W1999">
        <v>3</v>
      </c>
      <c r="X1999">
        <v>0.14000000000000001</v>
      </c>
      <c r="Y1999" t="s">
        <v>320</v>
      </c>
      <c r="Z1999" t="s">
        <v>321</v>
      </c>
      <c r="AA1999">
        <v>1</v>
      </c>
      <c r="AB1999" t="s">
        <v>8086</v>
      </c>
      <c r="AC1999" t="s">
        <v>8087</v>
      </c>
      <c r="AD1999" t="s">
        <v>8088</v>
      </c>
      <c r="AE1999" t="s">
        <v>8089</v>
      </c>
      <c r="AF1999" t="s">
        <v>8090</v>
      </c>
      <c r="AG1999" t="s">
        <v>191</v>
      </c>
      <c r="AH1999" t="s">
        <v>66</v>
      </c>
      <c r="AI1999" t="s">
        <v>66</v>
      </c>
      <c r="AJ1999" t="s">
        <v>66</v>
      </c>
      <c r="AK1999">
        <v>1</v>
      </c>
      <c r="AL1999" t="s">
        <v>66</v>
      </c>
      <c r="AM1999" t="s">
        <v>66</v>
      </c>
      <c r="AN1999" t="s">
        <v>66</v>
      </c>
      <c r="AO1999" t="s">
        <v>66</v>
      </c>
      <c r="AP1999">
        <v>1</v>
      </c>
      <c r="AQ1999" t="s">
        <v>66</v>
      </c>
      <c r="AR1999" t="s">
        <v>66</v>
      </c>
      <c r="AS1999" t="s">
        <v>66</v>
      </c>
      <c r="AT1999" t="s">
        <v>66</v>
      </c>
    </row>
    <row r="2000" spans="1:46" x14ac:dyDescent="0.15">
      <c r="A2000" t="s">
        <v>8281</v>
      </c>
      <c r="B2000" t="s">
        <v>8082</v>
      </c>
      <c r="C2000" t="s">
        <v>8083</v>
      </c>
      <c r="D2000">
        <v>40</v>
      </c>
      <c r="E2000" t="s">
        <v>8084</v>
      </c>
      <c r="F2000" t="s">
        <v>3083</v>
      </c>
      <c r="G2000" t="s">
        <v>51</v>
      </c>
      <c r="H2000" t="s">
        <v>8085</v>
      </c>
      <c r="I2000" t="s">
        <v>720</v>
      </c>
      <c r="J2000" t="s">
        <v>54</v>
      </c>
      <c r="K2000" t="s">
        <v>1338</v>
      </c>
      <c r="L2000" t="s">
        <v>17</v>
      </c>
      <c r="M2000" t="s">
        <v>18</v>
      </c>
      <c r="N2000">
        <v>2689</v>
      </c>
      <c r="O2000">
        <v>157</v>
      </c>
      <c r="P2000">
        <v>0</v>
      </c>
      <c r="Q2000" t="s">
        <v>8282</v>
      </c>
      <c r="R2000" t="s">
        <v>8283</v>
      </c>
      <c r="S2000" t="s">
        <v>8284</v>
      </c>
      <c r="T2000" t="s">
        <v>8285</v>
      </c>
      <c r="U2000" t="s">
        <v>60</v>
      </c>
      <c r="V2000" t="s">
        <v>61</v>
      </c>
      <c r="W2000">
        <v>3</v>
      </c>
      <c r="X2000">
        <v>0.14000000000000001</v>
      </c>
      <c r="Y2000" t="s">
        <v>320</v>
      </c>
      <c r="Z2000" t="s">
        <v>321</v>
      </c>
      <c r="AA2000">
        <v>2</v>
      </c>
      <c r="AB2000" t="s">
        <v>8086</v>
      </c>
      <c r="AC2000" t="s">
        <v>8087</v>
      </c>
      <c r="AD2000" t="s">
        <v>8088</v>
      </c>
      <c r="AE2000" t="s">
        <v>8089</v>
      </c>
      <c r="AF2000" t="s">
        <v>8090</v>
      </c>
      <c r="AG2000" t="s">
        <v>191</v>
      </c>
      <c r="AH2000" t="s">
        <v>322</v>
      </c>
      <c r="AI2000" t="s">
        <v>66</v>
      </c>
      <c r="AJ2000" t="s">
        <v>66</v>
      </c>
      <c r="AK2000">
        <v>1</v>
      </c>
      <c r="AL2000" t="s">
        <v>8286</v>
      </c>
      <c r="AM2000" t="s">
        <v>66</v>
      </c>
      <c r="AN2000" t="s">
        <v>8287</v>
      </c>
      <c r="AO2000" t="s">
        <v>66</v>
      </c>
      <c r="AP2000">
        <v>1</v>
      </c>
      <c r="AQ2000" t="s">
        <v>66</v>
      </c>
      <c r="AR2000" t="s">
        <v>66</v>
      </c>
      <c r="AS2000" t="s">
        <v>66</v>
      </c>
      <c r="AT2000" t="s">
        <v>66</v>
      </c>
    </row>
    <row r="2001" spans="1:46" x14ac:dyDescent="0.15">
      <c r="A2001" t="s">
        <v>8288</v>
      </c>
      <c r="B2001" t="s">
        <v>8082</v>
      </c>
      <c r="C2001" t="s">
        <v>8083</v>
      </c>
      <c r="D2001">
        <v>41</v>
      </c>
      <c r="E2001" t="s">
        <v>8084</v>
      </c>
      <c r="F2001" t="s">
        <v>3083</v>
      </c>
      <c r="G2001" t="s">
        <v>51</v>
      </c>
      <c r="H2001" t="s">
        <v>8085</v>
      </c>
      <c r="I2001" t="s">
        <v>720</v>
      </c>
      <c r="J2001" t="s">
        <v>54</v>
      </c>
      <c r="K2001" t="s">
        <v>1338</v>
      </c>
      <c r="L2001" t="s">
        <v>17</v>
      </c>
      <c r="M2001" t="s">
        <v>18</v>
      </c>
      <c r="N2001">
        <v>2745</v>
      </c>
      <c r="O2001">
        <v>160</v>
      </c>
      <c r="P2001">
        <v>0</v>
      </c>
      <c r="Q2001" t="s">
        <v>8289</v>
      </c>
      <c r="R2001" t="s">
        <v>8290</v>
      </c>
      <c r="S2001" t="s">
        <v>8291</v>
      </c>
      <c r="T2001" t="s">
        <v>8292</v>
      </c>
      <c r="U2001" t="s">
        <v>60</v>
      </c>
      <c r="V2001" t="s">
        <v>61</v>
      </c>
      <c r="W2001">
        <v>3</v>
      </c>
      <c r="X2001">
        <v>0.14000000000000001</v>
      </c>
      <c r="Y2001" t="s">
        <v>197</v>
      </c>
      <c r="Z2001" t="s">
        <v>330</v>
      </c>
      <c r="AA2001">
        <v>2</v>
      </c>
      <c r="AB2001" t="s">
        <v>8086</v>
      </c>
      <c r="AC2001" t="s">
        <v>8087</v>
      </c>
      <c r="AD2001" t="s">
        <v>8088</v>
      </c>
      <c r="AE2001" t="s">
        <v>8089</v>
      </c>
      <c r="AF2001" t="s">
        <v>8090</v>
      </c>
      <c r="AG2001" t="s">
        <v>191</v>
      </c>
      <c r="AH2001" t="s">
        <v>322</v>
      </c>
      <c r="AI2001" t="s">
        <v>66</v>
      </c>
      <c r="AJ2001" t="s">
        <v>66</v>
      </c>
      <c r="AK2001">
        <v>1</v>
      </c>
      <c r="AL2001" t="s">
        <v>8286</v>
      </c>
      <c r="AM2001" t="s">
        <v>66</v>
      </c>
      <c r="AN2001" t="s">
        <v>8287</v>
      </c>
      <c r="AO2001" t="s">
        <v>66</v>
      </c>
      <c r="AP2001">
        <v>1</v>
      </c>
      <c r="AQ2001" t="s">
        <v>66</v>
      </c>
      <c r="AR2001" t="s">
        <v>66</v>
      </c>
      <c r="AS2001" t="s">
        <v>66</v>
      </c>
      <c r="AT2001" t="s">
        <v>66</v>
      </c>
    </row>
    <row r="2002" spans="1:46" x14ac:dyDescent="0.15">
      <c r="A2002" t="s">
        <v>8293</v>
      </c>
      <c r="B2002" t="s">
        <v>8082</v>
      </c>
      <c r="C2002" t="s">
        <v>8083</v>
      </c>
      <c r="D2002">
        <v>42</v>
      </c>
      <c r="E2002" t="s">
        <v>8084</v>
      </c>
      <c r="F2002" t="s">
        <v>3083</v>
      </c>
      <c r="G2002" t="s">
        <v>51</v>
      </c>
      <c r="H2002" t="s">
        <v>8085</v>
      </c>
      <c r="I2002" t="s">
        <v>720</v>
      </c>
      <c r="J2002" t="s">
        <v>54</v>
      </c>
      <c r="K2002" t="s">
        <v>1338</v>
      </c>
      <c r="L2002" t="s">
        <v>17</v>
      </c>
      <c r="M2002" t="s">
        <v>18</v>
      </c>
      <c r="N2002">
        <v>2801</v>
      </c>
      <c r="O2002">
        <v>163</v>
      </c>
      <c r="P2002">
        <v>0</v>
      </c>
      <c r="Q2002" t="s">
        <v>8294</v>
      </c>
      <c r="R2002" t="s">
        <v>8295</v>
      </c>
      <c r="S2002" t="s">
        <v>8296</v>
      </c>
      <c r="T2002" t="s">
        <v>8297</v>
      </c>
      <c r="U2002" t="s">
        <v>60</v>
      </c>
      <c r="V2002" t="s">
        <v>61</v>
      </c>
      <c r="W2002">
        <v>3</v>
      </c>
      <c r="X2002">
        <v>0.14000000000000001</v>
      </c>
      <c r="Y2002" t="s">
        <v>336</v>
      </c>
      <c r="Z2002" t="s">
        <v>337</v>
      </c>
      <c r="AA2002">
        <v>2</v>
      </c>
      <c r="AB2002" t="s">
        <v>8086</v>
      </c>
      <c r="AC2002" t="s">
        <v>8087</v>
      </c>
      <c r="AD2002" t="s">
        <v>8088</v>
      </c>
      <c r="AE2002" t="s">
        <v>8089</v>
      </c>
      <c r="AF2002" t="s">
        <v>8090</v>
      </c>
      <c r="AG2002" t="s">
        <v>191</v>
      </c>
      <c r="AH2002" t="s">
        <v>322</v>
      </c>
      <c r="AI2002" t="s">
        <v>66</v>
      </c>
      <c r="AJ2002" t="s">
        <v>66</v>
      </c>
      <c r="AK2002">
        <v>1</v>
      </c>
      <c r="AL2002" t="s">
        <v>8286</v>
      </c>
      <c r="AM2002" t="s">
        <v>66</v>
      </c>
      <c r="AN2002" t="s">
        <v>8287</v>
      </c>
      <c r="AO2002" t="s">
        <v>66</v>
      </c>
      <c r="AP2002">
        <v>1</v>
      </c>
      <c r="AQ2002" t="s">
        <v>66</v>
      </c>
      <c r="AR2002" t="s">
        <v>66</v>
      </c>
      <c r="AS2002" t="s">
        <v>66</v>
      </c>
      <c r="AT2002" t="s">
        <v>66</v>
      </c>
    </row>
    <row r="2003" spans="1:46" x14ac:dyDescent="0.15">
      <c r="A2003" t="s">
        <v>8298</v>
      </c>
      <c r="B2003" t="s">
        <v>8082</v>
      </c>
      <c r="C2003" t="s">
        <v>8083</v>
      </c>
      <c r="D2003">
        <v>43</v>
      </c>
      <c r="E2003" t="s">
        <v>8084</v>
      </c>
      <c r="F2003" t="s">
        <v>3083</v>
      </c>
      <c r="G2003" t="s">
        <v>51</v>
      </c>
      <c r="H2003" t="s">
        <v>8085</v>
      </c>
      <c r="I2003" t="s">
        <v>720</v>
      </c>
      <c r="J2003" t="s">
        <v>54</v>
      </c>
      <c r="K2003" t="s">
        <v>1338</v>
      </c>
      <c r="L2003" t="s">
        <v>17</v>
      </c>
      <c r="M2003" t="s">
        <v>18</v>
      </c>
      <c r="N2003">
        <v>2857</v>
      </c>
      <c r="O2003">
        <v>166</v>
      </c>
      <c r="P2003">
        <v>0</v>
      </c>
      <c r="Q2003" t="s">
        <v>8299</v>
      </c>
      <c r="R2003" t="s">
        <v>8300</v>
      </c>
      <c r="S2003" t="s">
        <v>8301</v>
      </c>
      <c r="T2003" t="s">
        <v>8302</v>
      </c>
      <c r="U2003" t="s">
        <v>60</v>
      </c>
      <c r="V2003" t="s">
        <v>61</v>
      </c>
      <c r="W2003">
        <v>3</v>
      </c>
      <c r="X2003">
        <v>0.14000000000000001</v>
      </c>
      <c r="Y2003" t="s">
        <v>204</v>
      </c>
      <c r="Z2003" t="s">
        <v>343</v>
      </c>
      <c r="AA2003">
        <v>2</v>
      </c>
      <c r="AB2003" t="s">
        <v>8086</v>
      </c>
      <c r="AC2003" t="s">
        <v>8087</v>
      </c>
      <c r="AD2003" t="s">
        <v>8088</v>
      </c>
      <c r="AE2003" t="s">
        <v>8089</v>
      </c>
      <c r="AF2003" t="s">
        <v>8090</v>
      </c>
      <c r="AG2003" t="s">
        <v>191</v>
      </c>
      <c r="AH2003" t="s">
        <v>322</v>
      </c>
      <c r="AI2003" t="s">
        <v>66</v>
      </c>
      <c r="AJ2003" t="s">
        <v>66</v>
      </c>
      <c r="AK2003">
        <v>1</v>
      </c>
      <c r="AL2003" t="s">
        <v>8286</v>
      </c>
      <c r="AM2003" t="s">
        <v>66</v>
      </c>
      <c r="AN2003" t="s">
        <v>8287</v>
      </c>
      <c r="AO2003" t="s">
        <v>66</v>
      </c>
      <c r="AP2003">
        <v>1</v>
      </c>
      <c r="AQ2003" t="s">
        <v>66</v>
      </c>
      <c r="AR2003" t="s">
        <v>66</v>
      </c>
      <c r="AS2003" t="s">
        <v>66</v>
      </c>
      <c r="AT2003" t="s">
        <v>66</v>
      </c>
    </row>
    <row r="2004" spans="1:46" x14ac:dyDescent="0.15">
      <c r="A2004" t="s">
        <v>8303</v>
      </c>
      <c r="B2004" t="s">
        <v>8082</v>
      </c>
      <c r="C2004" t="s">
        <v>8083</v>
      </c>
      <c r="D2004">
        <v>44</v>
      </c>
      <c r="E2004" t="s">
        <v>8084</v>
      </c>
      <c r="F2004" t="s">
        <v>3083</v>
      </c>
      <c r="G2004" t="s">
        <v>51</v>
      </c>
      <c r="H2004" t="s">
        <v>8085</v>
      </c>
      <c r="I2004" t="s">
        <v>720</v>
      </c>
      <c r="J2004" t="s">
        <v>54</v>
      </c>
      <c r="K2004" t="s">
        <v>1338</v>
      </c>
      <c r="L2004" t="s">
        <v>17</v>
      </c>
      <c r="M2004" t="s">
        <v>18</v>
      </c>
      <c r="N2004">
        <v>2913</v>
      </c>
      <c r="O2004">
        <v>170</v>
      </c>
      <c r="P2004">
        <v>0</v>
      </c>
      <c r="Q2004" t="s">
        <v>8304</v>
      </c>
      <c r="R2004" t="s">
        <v>8305</v>
      </c>
      <c r="S2004" t="s">
        <v>8306</v>
      </c>
      <c r="T2004" t="s">
        <v>8307</v>
      </c>
      <c r="U2004" t="s">
        <v>60</v>
      </c>
      <c r="V2004" t="s">
        <v>61</v>
      </c>
      <c r="W2004">
        <v>3</v>
      </c>
      <c r="X2004">
        <v>0.14000000000000001</v>
      </c>
      <c r="Y2004" t="s">
        <v>349</v>
      </c>
      <c r="Z2004" t="s">
        <v>350</v>
      </c>
      <c r="AA2004">
        <v>2</v>
      </c>
      <c r="AB2004" t="s">
        <v>8086</v>
      </c>
      <c r="AC2004" t="s">
        <v>8087</v>
      </c>
      <c r="AD2004" t="s">
        <v>8088</v>
      </c>
      <c r="AE2004" t="s">
        <v>8089</v>
      </c>
      <c r="AF2004" t="s">
        <v>8090</v>
      </c>
      <c r="AG2004" t="s">
        <v>191</v>
      </c>
      <c r="AH2004" t="s">
        <v>322</v>
      </c>
      <c r="AI2004" t="s">
        <v>66</v>
      </c>
      <c r="AJ2004" t="s">
        <v>66</v>
      </c>
      <c r="AK2004">
        <v>1</v>
      </c>
      <c r="AL2004" t="s">
        <v>8286</v>
      </c>
      <c r="AM2004" t="s">
        <v>66</v>
      </c>
      <c r="AN2004" t="s">
        <v>8287</v>
      </c>
      <c r="AO2004" t="s">
        <v>66</v>
      </c>
      <c r="AP2004">
        <v>1</v>
      </c>
      <c r="AQ2004" t="s">
        <v>66</v>
      </c>
      <c r="AR2004" t="s">
        <v>66</v>
      </c>
      <c r="AS2004" t="s">
        <v>66</v>
      </c>
      <c r="AT2004" t="s">
        <v>66</v>
      </c>
    </row>
    <row r="2005" spans="1:46" x14ac:dyDescent="0.15">
      <c r="A2005" t="s">
        <v>8308</v>
      </c>
      <c r="B2005" t="s">
        <v>8082</v>
      </c>
      <c r="C2005" t="s">
        <v>8083</v>
      </c>
      <c r="D2005">
        <v>45</v>
      </c>
      <c r="E2005" t="s">
        <v>8084</v>
      </c>
      <c r="F2005" t="s">
        <v>3083</v>
      </c>
      <c r="G2005" t="s">
        <v>51</v>
      </c>
      <c r="H2005" t="s">
        <v>8085</v>
      </c>
      <c r="I2005" t="s">
        <v>720</v>
      </c>
      <c r="J2005" t="s">
        <v>54</v>
      </c>
      <c r="K2005" t="s">
        <v>1338</v>
      </c>
      <c r="L2005" t="s">
        <v>17</v>
      </c>
      <c r="M2005" t="s">
        <v>18</v>
      </c>
      <c r="N2005">
        <v>2969</v>
      </c>
      <c r="O2005">
        <v>173</v>
      </c>
      <c r="P2005">
        <v>0</v>
      </c>
      <c r="Q2005" t="s">
        <v>8309</v>
      </c>
      <c r="R2005" t="s">
        <v>8310</v>
      </c>
      <c r="S2005" t="s">
        <v>8311</v>
      </c>
      <c r="T2005" t="s">
        <v>8312</v>
      </c>
      <c r="U2005" t="s">
        <v>60</v>
      </c>
      <c r="V2005" t="s">
        <v>61</v>
      </c>
      <c r="W2005">
        <v>3</v>
      </c>
      <c r="X2005">
        <v>0.14000000000000001</v>
      </c>
      <c r="Y2005" t="s">
        <v>210</v>
      </c>
      <c r="Z2005" t="s">
        <v>356</v>
      </c>
      <c r="AA2005">
        <v>2</v>
      </c>
      <c r="AB2005" t="s">
        <v>8086</v>
      </c>
      <c r="AC2005" t="s">
        <v>8087</v>
      </c>
      <c r="AD2005" t="s">
        <v>8088</v>
      </c>
      <c r="AE2005" t="s">
        <v>8089</v>
      </c>
      <c r="AF2005" t="s">
        <v>8090</v>
      </c>
      <c r="AG2005" t="s">
        <v>191</v>
      </c>
      <c r="AH2005" t="s">
        <v>322</v>
      </c>
      <c r="AI2005" t="s">
        <v>66</v>
      </c>
      <c r="AJ2005" t="s">
        <v>66</v>
      </c>
      <c r="AK2005">
        <v>1</v>
      </c>
      <c r="AL2005" t="s">
        <v>8286</v>
      </c>
      <c r="AM2005" t="s">
        <v>66</v>
      </c>
      <c r="AN2005" t="s">
        <v>8287</v>
      </c>
      <c r="AO2005" t="s">
        <v>66</v>
      </c>
      <c r="AP2005">
        <v>1</v>
      </c>
      <c r="AQ2005" t="s">
        <v>66</v>
      </c>
      <c r="AR2005" t="s">
        <v>66</v>
      </c>
      <c r="AS2005" t="s">
        <v>66</v>
      </c>
      <c r="AT2005" t="s">
        <v>66</v>
      </c>
    </row>
    <row r="2006" spans="1:46" x14ac:dyDescent="0.15">
      <c r="A2006" t="s">
        <v>8313</v>
      </c>
      <c r="B2006" t="s">
        <v>8082</v>
      </c>
      <c r="C2006" t="s">
        <v>8083</v>
      </c>
      <c r="D2006">
        <v>46</v>
      </c>
      <c r="E2006" t="s">
        <v>8084</v>
      </c>
      <c r="F2006" t="s">
        <v>3083</v>
      </c>
      <c r="G2006" t="s">
        <v>51</v>
      </c>
      <c r="H2006" t="s">
        <v>8085</v>
      </c>
      <c r="I2006" t="s">
        <v>720</v>
      </c>
      <c r="J2006" t="s">
        <v>54</v>
      </c>
      <c r="K2006" t="s">
        <v>1338</v>
      </c>
      <c r="L2006" t="s">
        <v>17</v>
      </c>
      <c r="M2006" t="s">
        <v>18</v>
      </c>
      <c r="N2006">
        <v>3026</v>
      </c>
      <c r="O2006">
        <v>176</v>
      </c>
      <c r="P2006">
        <v>0</v>
      </c>
      <c r="Q2006" t="s">
        <v>8314</v>
      </c>
      <c r="R2006" t="s">
        <v>8315</v>
      </c>
      <c r="S2006" t="s">
        <v>8316</v>
      </c>
      <c r="T2006" t="s">
        <v>8317</v>
      </c>
      <c r="U2006" t="s">
        <v>60</v>
      </c>
      <c r="V2006" t="s">
        <v>61</v>
      </c>
      <c r="W2006">
        <v>3</v>
      </c>
      <c r="X2006">
        <v>0.14000000000000001</v>
      </c>
      <c r="Y2006" t="s">
        <v>362</v>
      </c>
      <c r="Z2006" t="s">
        <v>363</v>
      </c>
      <c r="AA2006">
        <v>2</v>
      </c>
      <c r="AB2006" t="s">
        <v>8086</v>
      </c>
      <c r="AC2006" t="s">
        <v>8087</v>
      </c>
      <c r="AD2006" t="s">
        <v>8088</v>
      </c>
      <c r="AE2006" t="s">
        <v>8089</v>
      </c>
      <c r="AF2006" t="s">
        <v>8090</v>
      </c>
      <c r="AG2006" t="s">
        <v>191</v>
      </c>
      <c r="AH2006" t="s">
        <v>322</v>
      </c>
      <c r="AI2006" t="s">
        <v>66</v>
      </c>
      <c r="AJ2006" t="s">
        <v>66</v>
      </c>
      <c r="AK2006">
        <v>1</v>
      </c>
      <c r="AL2006" t="s">
        <v>8286</v>
      </c>
      <c r="AM2006" t="s">
        <v>66</v>
      </c>
      <c r="AN2006" t="s">
        <v>8287</v>
      </c>
      <c r="AO2006" t="s">
        <v>66</v>
      </c>
      <c r="AP2006">
        <v>1</v>
      </c>
      <c r="AQ2006" t="s">
        <v>66</v>
      </c>
      <c r="AR2006" t="s">
        <v>66</v>
      </c>
      <c r="AS2006" t="s">
        <v>66</v>
      </c>
      <c r="AT2006" t="s">
        <v>66</v>
      </c>
    </row>
    <row r="2007" spans="1:46" x14ac:dyDescent="0.15">
      <c r="A2007" t="s">
        <v>8318</v>
      </c>
      <c r="B2007" t="s">
        <v>8082</v>
      </c>
      <c r="C2007" t="s">
        <v>8083</v>
      </c>
      <c r="D2007">
        <v>47</v>
      </c>
      <c r="E2007" t="s">
        <v>8084</v>
      </c>
      <c r="F2007" t="s">
        <v>3083</v>
      </c>
      <c r="G2007" t="s">
        <v>51</v>
      </c>
      <c r="H2007" t="s">
        <v>8085</v>
      </c>
      <c r="I2007" t="s">
        <v>720</v>
      </c>
      <c r="J2007" t="s">
        <v>54</v>
      </c>
      <c r="K2007" t="s">
        <v>1338</v>
      </c>
      <c r="L2007" t="s">
        <v>17</v>
      </c>
      <c r="M2007" t="s">
        <v>18</v>
      </c>
      <c r="N2007">
        <v>3082</v>
      </c>
      <c r="O2007">
        <v>179</v>
      </c>
      <c r="P2007">
        <v>0</v>
      </c>
      <c r="Q2007" t="s">
        <v>8319</v>
      </c>
      <c r="R2007" t="s">
        <v>8320</v>
      </c>
      <c r="S2007" t="s">
        <v>8321</v>
      </c>
      <c r="T2007" t="s">
        <v>8322</v>
      </c>
      <c r="U2007" t="s">
        <v>60</v>
      </c>
      <c r="V2007" t="s">
        <v>61</v>
      </c>
      <c r="W2007">
        <v>3</v>
      </c>
      <c r="X2007">
        <v>0.14000000000000001</v>
      </c>
      <c r="Y2007" t="s">
        <v>217</v>
      </c>
      <c r="Z2007" t="s">
        <v>369</v>
      </c>
      <c r="AA2007">
        <v>2</v>
      </c>
      <c r="AB2007" t="s">
        <v>8086</v>
      </c>
      <c r="AC2007" t="s">
        <v>8087</v>
      </c>
      <c r="AD2007" t="s">
        <v>8088</v>
      </c>
      <c r="AE2007" t="s">
        <v>8089</v>
      </c>
      <c r="AF2007" t="s">
        <v>8090</v>
      </c>
      <c r="AG2007" t="s">
        <v>191</v>
      </c>
      <c r="AH2007" t="s">
        <v>322</v>
      </c>
      <c r="AI2007" t="s">
        <v>66</v>
      </c>
      <c r="AJ2007" t="s">
        <v>66</v>
      </c>
      <c r="AK2007">
        <v>1</v>
      </c>
      <c r="AL2007" t="s">
        <v>8286</v>
      </c>
      <c r="AM2007" t="s">
        <v>66</v>
      </c>
      <c r="AN2007" t="s">
        <v>8287</v>
      </c>
      <c r="AO2007" t="s">
        <v>66</v>
      </c>
      <c r="AP2007">
        <v>1</v>
      </c>
      <c r="AQ2007" t="s">
        <v>66</v>
      </c>
      <c r="AR2007" t="s">
        <v>66</v>
      </c>
      <c r="AS2007" t="s">
        <v>66</v>
      </c>
      <c r="AT2007" t="s">
        <v>66</v>
      </c>
    </row>
    <row r="2008" spans="1:46" x14ac:dyDescent="0.15">
      <c r="A2008" t="s">
        <v>8323</v>
      </c>
      <c r="B2008" t="s">
        <v>8082</v>
      </c>
      <c r="C2008" t="s">
        <v>8083</v>
      </c>
      <c r="D2008">
        <v>48</v>
      </c>
      <c r="E2008" t="s">
        <v>8084</v>
      </c>
      <c r="F2008" t="s">
        <v>3083</v>
      </c>
      <c r="G2008" t="s">
        <v>51</v>
      </c>
      <c r="H2008" t="s">
        <v>8085</v>
      </c>
      <c r="I2008" t="s">
        <v>720</v>
      </c>
      <c r="J2008" t="s">
        <v>54</v>
      </c>
      <c r="K2008" t="s">
        <v>1338</v>
      </c>
      <c r="L2008" t="s">
        <v>17</v>
      </c>
      <c r="M2008" t="s">
        <v>18</v>
      </c>
      <c r="N2008">
        <v>3138</v>
      </c>
      <c r="O2008">
        <v>183</v>
      </c>
      <c r="P2008">
        <v>0</v>
      </c>
      <c r="Q2008" t="s">
        <v>8324</v>
      </c>
      <c r="R2008" t="s">
        <v>8325</v>
      </c>
      <c r="S2008" t="s">
        <v>8326</v>
      </c>
      <c r="T2008" t="s">
        <v>8327</v>
      </c>
      <c r="U2008" t="s">
        <v>60</v>
      </c>
      <c r="V2008" t="s">
        <v>61</v>
      </c>
      <c r="W2008">
        <v>3</v>
      </c>
      <c r="X2008">
        <v>0.14000000000000001</v>
      </c>
      <c r="Y2008" t="s">
        <v>375</v>
      </c>
      <c r="Z2008" t="s">
        <v>376</v>
      </c>
      <c r="AA2008">
        <v>2</v>
      </c>
      <c r="AB2008" t="s">
        <v>8086</v>
      </c>
      <c r="AC2008" t="s">
        <v>8087</v>
      </c>
      <c r="AD2008" t="s">
        <v>8088</v>
      </c>
      <c r="AE2008" t="s">
        <v>8089</v>
      </c>
      <c r="AF2008" t="s">
        <v>8090</v>
      </c>
      <c r="AG2008" t="s">
        <v>191</v>
      </c>
      <c r="AH2008" t="s">
        <v>322</v>
      </c>
      <c r="AI2008" t="s">
        <v>66</v>
      </c>
      <c r="AJ2008" t="s">
        <v>66</v>
      </c>
      <c r="AK2008">
        <v>1</v>
      </c>
      <c r="AL2008" t="s">
        <v>8286</v>
      </c>
      <c r="AM2008" t="s">
        <v>66</v>
      </c>
      <c r="AN2008" t="s">
        <v>8287</v>
      </c>
      <c r="AO2008" t="s">
        <v>66</v>
      </c>
      <c r="AP2008">
        <v>1</v>
      </c>
      <c r="AQ2008" t="s">
        <v>66</v>
      </c>
      <c r="AR2008" t="s">
        <v>66</v>
      </c>
      <c r="AS2008" t="s">
        <v>66</v>
      </c>
      <c r="AT2008" t="s">
        <v>66</v>
      </c>
    </row>
    <row r="2009" spans="1:46" x14ac:dyDescent="0.15">
      <c r="A2009" t="s">
        <v>8328</v>
      </c>
      <c r="B2009" t="s">
        <v>8082</v>
      </c>
      <c r="C2009" t="s">
        <v>8083</v>
      </c>
      <c r="D2009">
        <v>49</v>
      </c>
      <c r="E2009" t="s">
        <v>8084</v>
      </c>
      <c r="F2009" t="s">
        <v>3083</v>
      </c>
      <c r="G2009" t="s">
        <v>51</v>
      </c>
      <c r="H2009" t="s">
        <v>8085</v>
      </c>
      <c r="I2009" t="s">
        <v>720</v>
      </c>
      <c r="J2009" t="s">
        <v>54</v>
      </c>
      <c r="K2009" t="s">
        <v>1338</v>
      </c>
      <c r="L2009" t="s">
        <v>17</v>
      </c>
      <c r="M2009" t="s">
        <v>18</v>
      </c>
      <c r="N2009">
        <v>3194</v>
      </c>
      <c r="O2009">
        <v>186</v>
      </c>
      <c r="P2009">
        <v>0</v>
      </c>
      <c r="Q2009" t="s">
        <v>8329</v>
      </c>
      <c r="R2009" t="s">
        <v>8330</v>
      </c>
      <c r="S2009" t="s">
        <v>8331</v>
      </c>
      <c r="T2009" t="s">
        <v>8332</v>
      </c>
      <c r="U2009" t="s">
        <v>60</v>
      </c>
      <c r="V2009" t="s">
        <v>61</v>
      </c>
      <c r="W2009">
        <v>3</v>
      </c>
      <c r="X2009">
        <v>0.14000000000000001</v>
      </c>
      <c r="Y2009" t="s">
        <v>223</v>
      </c>
      <c r="Z2009" t="s">
        <v>382</v>
      </c>
      <c r="AA2009">
        <v>2</v>
      </c>
      <c r="AB2009" t="s">
        <v>8086</v>
      </c>
      <c r="AC2009" t="s">
        <v>8087</v>
      </c>
      <c r="AD2009" t="s">
        <v>8088</v>
      </c>
      <c r="AE2009" t="s">
        <v>8089</v>
      </c>
      <c r="AF2009" t="s">
        <v>8090</v>
      </c>
      <c r="AG2009" t="s">
        <v>191</v>
      </c>
      <c r="AH2009" t="s">
        <v>322</v>
      </c>
      <c r="AI2009" t="s">
        <v>66</v>
      </c>
      <c r="AJ2009" t="s">
        <v>66</v>
      </c>
      <c r="AK2009">
        <v>1</v>
      </c>
      <c r="AL2009" t="s">
        <v>8286</v>
      </c>
      <c r="AM2009" t="s">
        <v>66</v>
      </c>
      <c r="AN2009" t="s">
        <v>8287</v>
      </c>
      <c r="AO2009" t="s">
        <v>66</v>
      </c>
      <c r="AP2009">
        <v>1</v>
      </c>
      <c r="AQ2009" t="s">
        <v>66</v>
      </c>
      <c r="AR2009" t="s">
        <v>66</v>
      </c>
      <c r="AS2009" t="s">
        <v>66</v>
      </c>
      <c r="AT2009" t="s">
        <v>66</v>
      </c>
    </row>
    <row r="2010" spans="1:46" x14ac:dyDescent="0.15">
      <c r="A2010" t="s">
        <v>8333</v>
      </c>
      <c r="B2010" t="s">
        <v>8082</v>
      </c>
      <c r="C2010" t="s">
        <v>8083</v>
      </c>
      <c r="D2010">
        <v>50</v>
      </c>
      <c r="E2010" t="s">
        <v>8084</v>
      </c>
      <c r="F2010" t="s">
        <v>3083</v>
      </c>
      <c r="G2010" t="s">
        <v>51</v>
      </c>
      <c r="H2010" t="s">
        <v>8085</v>
      </c>
      <c r="I2010" t="s">
        <v>720</v>
      </c>
      <c r="J2010" t="s">
        <v>54</v>
      </c>
      <c r="K2010" t="s">
        <v>1338</v>
      </c>
      <c r="L2010" t="s">
        <v>17</v>
      </c>
      <c r="M2010" t="s">
        <v>18</v>
      </c>
      <c r="N2010">
        <v>3250</v>
      </c>
      <c r="O2010">
        <v>189</v>
      </c>
      <c r="P2010">
        <v>0</v>
      </c>
      <c r="Q2010" t="s">
        <v>8334</v>
      </c>
      <c r="R2010" t="s">
        <v>8335</v>
      </c>
      <c r="S2010" t="s">
        <v>8336</v>
      </c>
      <c r="T2010" t="s">
        <v>8337</v>
      </c>
      <c r="U2010" t="s">
        <v>60</v>
      </c>
      <c r="V2010" t="s">
        <v>61</v>
      </c>
      <c r="W2010">
        <v>3</v>
      </c>
      <c r="X2010">
        <v>0.14000000000000001</v>
      </c>
      <c r="Y2010" t="s">
        <v>388</v>
      </c>
      <c r="Z2010" t="s">
        <v>389</v>
      </c>
      <c r="AA2010">
        <v>2</v>
      </c>
      <c r="AB2010" t="s">
        <v>8086</v>
      </c>
      <c r="AC2010" t="s">
        <v>8087</v>
      </c>
      <c r="AD2010" t="s">
        <v>8088</v>
      </c>
      <c r="AE2010" t="s">
        <v>8089</v>
      </c>
      <c r="AF2010" t="s">
        <v>8090</v>
      </c>
      <c r="AG2010" t="s">
        <v>191</v>
      </c>
      <c r="AH2010" t="s">
        <v>322</v>
      </c>
      <c r="AI2010" t="s">
        <v>66</v>
      </c>
      <c r="AJ2010" t="s">
        <v>66</v>
      </c>
      <c r="AK2010">
        <v>1</v>
      </c>
      <c r="AL2010" t="s">
        <v>8286</v>
      </c>
      <c r="AM2010" t="s">
        <v>66</v>
      </c>
      <c r="AN2010" t="s">
        <v>8287</v>
      </c>
      <c r="AO2010" t="s">
        <v>66</v>
      </c>
      <c r="AP2010">
        <v>1</v>
      </c>
      <c r="AQ2010" t="s">
        <v>66</v>
      </c>
      <c r="AR2010" t="s">
        <v>66</v>
      </c>
      <c r="AS2010" t="s">
        <v>66</v>
      </c>
      <c r="AT2010" t="s">
        <v>66</v>
      </c>
    </row>
    <row r="2011" spans="1:46" x14ac:dyDescent="0.15">
      <c r="A2011" t="s">
        <v>8338</v>
      </c>
      <c r="B2011" t="s">
        <v>8082</v>
      </c>
      <c r="C2011" t="s">
        <v>8083</v>
      </c>
      <c r="D2011">
        <v>51</v>
      </c>
      <c r="E2011" t="s">
        <v>8084</v>
      </c>
      <c r="F2011" t="s">
        <v>3083</v>
      </c>
      <c r="G2011" t="s">
        <v>51</v>
      </c>
      <c r="H2011" t="s">
        <v>8085</v>
      </c>
      <c r="I2011" t="s">
        <v>720</v>
      </c>
      <c r="J2011" t="s">
        <v>54</v>
      </c>
      <c r="K2011" t="s">
        <v>1338</v>
      </c>
      <c r="L2011" t="s">
        <v>17</v>
      </c>
      <c r="M2011" t="s">
        <v>18</v>
      </c>
      <c r="N2011">
        <v>3306</v>
      </c>
      <c r="O2011">
        <v>192</v>
      </c>
      <c r="P2011">
        <v>0</v>
      </c>
      <c r="Q2011" t="s">
        <v>8339</v>
      </c>
      <c r="R2011" t="s">
        <v>8340</v>
      </c>
      <c r="S2011" t="s">
        <v>8341</v>
      </c>
      <c r="T2011" t="s">
        <v>8342</v>
      </c>
      <c r="U2011" t="s">
        <v>60</v>
      </c>
      <c r="V2011" t="s">
        <v>61</v>
      </c>
      <c r="W2011">
        <v>3</v>
      </c>
      <c r="X2011">
        <v>0.14000000000000001</v>
      </c>
      <c r="Y2011" t="s">
        <v>230</v>
      </c>
      <c r="Z2011" t="s">
        <v>395</v>
      </c>
      <c r="AA2011">
        <v>2</v>
      </c>
      <c r="AB2011" t="s">
        <v>8086</v>
      </c>
      <c r="AC2011" t="s">
        <v>8087</v>
      </c>
      <c r="AD2011" t="s">
        <v>8088</v>
      </c>
      <c r="AE2011" t="s">
        <v>8089</v>
      </c>
      <c r="AF2011" t="s">
        <v>8090</v>
      </c>
      <c r="AG2011" t="s">
        <v>191</v>
      </c>
      <c r="AH2011" t="s">
        <v>322</v>
      </c>
      <c r="AI2011" t="s">
        <v>66</v>
      </c>
      <c r="AJ2011" t="s">
        <v>66</v>
      </c>
      <c r="AK2011">
        <v>1</v>
      </c>
      <c r="AL2011" t="s">
        <v>8286</v>
      </c>
      <c r="AM2011" t="s">
        <v>66</v>
      </c>
      <c r="AN2011" t="s">
        <v>8287</v>
      </c>
      <c r="AO2011" t="s">
        <v>66</v>
      </c>
      <c r="AP2011">
        <v>1</v>
      </c>
      <c r="AQ2011" t="s">
        <v>66</v>
      </c>
      <c r="AR2011" t="s">
        <v>66</v>
      </c>
      <c r="AS2011" t="s">
        <v>66</v>
      </c>
      <c r="AT2011" t="s">
        <v>66</v>
      </c>
    </row>
    <row r="2012" spans="1:46" x14ac:dyDescent="0.15">
      <c r="A2012" t="s">
        <v>8343</v>
      </c>
      <c r="B2012" t="s">
        <v>8082</v>
      </c>
      <c r="C2012" t="s">
        <v>8083</v>
      </c>
      <c r="D2012">
        <v>52</v>
      </c>
      <c r="E2012" t="s">
        <v>8084</v>
      </c>
      <c r="F2012" t="s">
        <v>3083</v>
      </c>
      <c r="G2012" t="s">
        <v>51</v>
      </c>
      <c r="H2012" t="s">
        <v>8085</v>
      </c>
      <c r="I2012" t="s">
        <v>720</v>
      </c>
      <c r="J2012" t="s">
        <v>54</v>
      </c>
      <c r="K2012" t="s">
        <v>1338</v>
      </c>
      <c r="L2012" t="s">
        <v>17</v>
      </c>
      <c r="M2012" t="s">
        <v>18</v>
      </c>
      <c r="N2012">
        <v>3362</v>
      </c>
      <c r="O2012">
        <v>196</v>
      </c>
      <c r="P2012">
        <v>0</v>
      </c>
      <c r="Q2012" t="s">
        <v>8344</v>
      </c>
      <c r="R2012" t="s">
        <v>8345</v>
      </c>
      <c r="S2012" t="s">
        <v>8346</v>
      </c>
      <c r="T2012" t="s">
        <v>8347</v>
      </c>
      <c r="U2012" t="s">
        <v>60</v>
      </c>
      <c r="V2012" t="s">
        <v>61</v>
      </c>
      <c r="W2012">
        <v>3</v>
      </c>
      <c r="X2012">
        <v>0.14000000000000001</v>
      </c>
      <c r="Y2012" t="s">
        <v>401</v>
      </c>
      <c r="Z2012" t="s">
        <v>402</v>
      </c>
      <c r="AA2012">
        <v>2</v>
      </c>
      <c r="AB2012" t="s">
        <v>8086</v>
      </c>
      <c r="AC2012" t="s">
        <v>8087</v>
      </c>
      <c r="AD2012" t="s">
        <v>8088</v>
      </c>
      <c r="AE2012" t="s">
        <v>8089</v>
      </c>
      <c r="AF2012" t="s">
        <v>8090</v>
      </c>
      <c r="AG2012" t="s">
        <v>191</v>
      </c>
      <c r="AH2012" t="s">
        <v>322</v>
      </c>
      <c r="AI2012" t="s">
        <v>66</v>
      </c>
      <c r="AJ2012" t="s">
        <v>66</v>
      </c>
      <c r="AK2012">
        <v>1</v>
      </c>
      <c r="AL2012" t="s">
        <v>8286</v>
      </c>
      <c r="AM2012" t="s">
        <v>66</v>
      </c>
      <c r="AN2012" t="s">
        <v>8287</v>
      </c>
      <c r="AO2012" t="s">
        <v>66</v>
      </c>
      <c r="AP2012">
        <v>1</v>
      </c>
      <c r="AQ2012" t="s">
        <v>66</v>
      </c>
      <c r="AR2012" t="s">
        <v>66</v>
      </c>
      <c r="AS2012" t="s">
        <v>66</v>
      </c>
      <c r="AT2012" t="s">
        <v>66</v>
      </c>
    </row>
    <row r="2013" spans="1:46" x14ac:dyDescent="0.15">
      <c r="A2013" t="s">
        <v>8348</v>
      </c>
      <c r="B2013" t="s">
        <v>8082</v>
      </c>
      <c r="C2013" t="s">
        <v>8083</v>
      </c>
      <c r="D2013">
        <v>53</v>
      </c>
      <c r="E2013" t="s">
        <v>8084</v>
      </c>
      <c r="F2013" t="s">
        <v>3083</v>
      </c>
      <c r="G2013" t="s">
        <v>51</v>
      </c>
      <c r="H2013" t="s">
        <v>8085</v>
      </c>
      <c r="I2013" t="s">
        <v>720</v>
      </c>
      <c r="J2013" t="s">
        <v>54</v>
      </c>
      <c r="K2013" t="s">
        <v>1338</v>
      </c>
      <c r="L2013" t="s">
        <v>17</v>
      </c>
      <c r="M2013" t="s">
        <v>18</v>
      </c>
      <c r="N2013">
        <v>3418</v>
      </c>
      <c r="O2013">
        <v>199</v>
      </c>
      <c r="P2013">
        <v>0</v>
      </c>
      <c r="Q2013" t="s">
        <v>8349</v>
      </c>
      <c r="R2013" t="s">
        <v>8350</v>
      </c>
      <c r="S2013" t="s">
        <v>8351</v>
      </c>
      <c r="T2013" t="s">
        <v>8352</v>
      </c>
      <c r="U2013" t="s">
        <v>60</v>
      </c>
      <c r="V2013" t="s">
        <v>61</v>
      </c>
      <c r="W2013">
        <v>3</v>
      </c>
      <c r="X2013">
        <v>0.14000000000000001</v>
      </c>
      <c r="Y2013" t="s">
        <v>236</v>
      </c>
      <c r="Z2013" t="s">
        <v>408</v>
      </c>
      <c r="AA2013">
        <v>2</v>
      </c>
      <c r="AB2013" t="s">
        <v>8086</v>
      </c>
      <c r="AC2013" t="s">
        <v>8087</v>
      </c>
      <c r="AD2013" t="s">
        <v>8088</v>
      </c>
      <c r="AE2013" t="s">
        <v>8089</v>
      </c>
      <c r="AF2013" t="s">
        <v>8090</v>
      </c>
      <c r="AG2013" t="s">
        <v>191</v>
      </c>
      <c r="AH2013" t="s">
        <v>322</v>
      </c>
      <c r="AI2013" t="s">
        <v>66</v>
      </c>
      <c r="AJ2013" t="s">
        <v>66</v>
      </c>
      <c r="AK2013">
        <v>1</v>
      </c>
      <c r="AL2013" t="s">
        <v>8286</v>
      </c>
      <c r="AM2013" t="s">
        <v>66</v>
      </c>
      <c r="AN2013" t="s">
        <v>8287</v>
      </c>
      <c r="AO2013" t="s">
        <v>66</v>
      </c>
      <c r="AP2013">
        <v>1</v>
      </c>
      <c r="AQ2013" t="s">
        <v>66</v>
      </c>
      <c r="AR2013" t="s">
        <v>66</v>
      </c>
      <c r="AS2013" t="s">
        <v>66</v>
      </c>
      <c r="AT2013" t="s">
        <v>66</v>
      </c>
    </row>
    <row r="2014" spans="1:46" x14ac:dyDescent="0.15">
      <c r="A2014" t="s">
        <v>8353</v>
      </c>
      <c r="B2014" t="s">
        <v>8082</v>
      </c>
      <c r="C2014" t="s">
        <v>8083</v>
      </c>
      <c r="D2014">
        <v>54</v>
      </c>
      <c r="E2014" t="s">
        <v>8084</v>
      </c>
      <c r="F2014" t="s">
        <v>3083</v>
      </c>
      <c r="G2014" t="s">
        <v>51</v>
      </c>
      <c r="H2014" t="s">
        <v>8085</v>
      </c>
      <c r="I2014" t="s">
        <v>720</v>
      </c>
      <c r="J2014" t="s">
        <v>54</v>
      </c>
      <c r="K2014" t="s">
        <v>1338</v>
      </c>
      <c r="L2014" t="s">
        <v>17</v>
      </c>
      <c r="M2014" t="s">
        <v>18</v>
      </c>
      <c r="N2014">
        <v>3474</v>
      </c>
      <c r="O2014">
        <v>202</v>
      </c>
      <c r="P2014">
        <v>0</v>
      </c>
      <c r="Q2014" t="s">
        <v>8354</v>
      </c>
      <c r="R2014" t="s">
        <v>8355</v>
      </c>
      <c r="S2014" t="s">
        <v>8356</v>
      </c>
      <c r="T2014" t="s">
        <v>8357</v>
      </c>
      <c r="U2014" t="s">
        <v>60</v>
      </c>
      <c r="V2014" t="s">
        <v>61</v>
      </c>
      <c r="W2014">
        <v>3</v>
      </c>
      <c r="X2014">
        <v>0.14000000000000001</v>
      </c>
      <c r="Y2014" t="s">
        <v>414</v>
      </c>
      <c r="Z2014" t="s">
        <v>415</v>
      </c>
      <c r="AA2014">
        <v>2</v>
      </c>
      <c r="AB2014" t="s">
        <v>8086</v>
      </c>
      <c r="AC2014" t="s">
        <v>8087</v>
      </c>
      <c r="AD2014" t="s">
        <v>8088</v>
      </c>
      <c r="AE2014" t="s">
        <v>8089</v>
      </c>
      <c r="AF2014" t="s">
        <v>8090</v>
      </c>
      <c r="AG2014" t="s">
        <v>191</v>
      </c>
      <c r="AH2014" t="s">
        <v>322</v>
      </c>
      <c r="AI2014" t="s">
        <v>66</v>
      </c>
      <c r="AJ2014" t="s">
        <v>66</v>
      </c>
      <c r="AK2014">
        <v>1</v>
      </c>
      <c r="AL2014" t="s">
        <v>8286</v>
      </c>
      <c r="AM2014" t="s">
        <v>66</v>
      </c>
      <c r="AN2014" t="s">
        <v>8287</v>
      </c>
      <c r="AO2014" t="s">
        <v>66</v>
      </c>
      <c r="AP2014">
        <v>1</v>
      </c>
      <c r="AQ2014" t="s">
        <v>66</v>
      </c>
      <c r="AR2014" t="s">
        <v>66</v>
      </c>
      <c r="AS2014" t="s">
        <v>66</v>
      </c>
      <c r="AT2014" t="s">
        <v>66</v>
      </c>
    </row>
    <row r="2015" spans="1:46" x14ac:dyDescent="0.15">
      <c r="A2015" t="s">
        <v>8358</v>
      </c>
      <c r="B2015" t="s">
        <v>8082</v>
      </c>
      <c r="C2015" t="s">
        <v>8083</v>
      </c>
      <c r="D2015">
        <v>55</v>
      </c>
      <c r="E2015" t="s">
        <v>8084</v>
      </c>
      <c r="F2015" t="s">
        <v>3083</v>
      </c>
      <c r="G2015" t="s">
        <v>51</v>
      </c>
      <c r="H2015" t="s">
        <v>8085</v>
      </c>
      <c r="I2015" t="s">
        <v>720</v>
      </c>
      <c r="J2015" t="s">
        <v>54</v>
      </c>
      <c r="K2015" t="s">
        <v>1338</v>
      </c>
      <c r="L2015" t="s">
        <v>17</v>
      </c>
      <c r="M2015" t="s">
        <v>18</v>
      </c>
      <c r="N2015">
        <v>3531</v>
      </c>
      <c r="O2015">
        <v>205</v>
      </c>
      <c r="P2015">
        <v>0</v>
      </c>
      <c r="Q2015" t="s">
        <v>8359</v>
      </c>
      <c r="R2015" t="s">
        <v>8360</v>
      </c>
      <c r="S2015" t="s">
        <v>8361</v>
      </c>
      <c r="T2015" t="s">
        <v>8362</v>
      </c>
      <c r="U2015" t="s">
        <v>60</v>
      </c>
      <c r="V2015" t="s">
        <v>61</v>
      </c>
      <c r="W2015">
        <v>3</v>
      </c>
      <c r="X2015">
        <v>0.14000000000000001</v>
      </c>
      <c r="Y2015" t="s">
        <v>243</v>
      </c>
      <c r="Z2015" t="s">
        <v>421</v>
      </c>
      <c r="AA2015">
        <v>2</v>
      </c>
      <c r="AB2015" t="s">
        <v>8086</v>
      </c>
      <c r="AC2015" t="s">
        <v>8087</v>
      </c>
      <c r="AD2015" t="s">
        <v>8088</v>
      </c>
      <c r="AE2015" t="s">
        <v>8089</v>
      </c>
      <c r="AF2015" t="s">
        <v>8090</v>
      </c>
      <c r="AG2015" t="s">
        <v>191</v>
      </c>
      <c r="AH2015" t="s">
        <v>322</v>
      </c>
      <c r="AI2015" t="s">
        <v>66</v>
      </c>
      <c r="AJ2015" t="s">
        <v>66</v>
      </c>
      <c r="AK2015">
        <v>1</v>
      </c>
      <c r="AL2015" t="s">
        <v>8286</v>
      </c>
      <c r="AM2015" t="s">
        <v>66</v>
      </c>
      <c r="AN2015" t="s">
        <v>8287</v>
      </c>
      <c r="AO2015" t="s">
        <v>66</v>
      </c>
      <c r="AP2015">
        <v>1</v>
      </c>
      <c r="AQ2015" t="s">
        <v>66</v>
      </c>
      <c r="AR2015" t="s">
        <v>66</v>
      </c>
      <c r="AS2015" t="s">
        <v>66</v>
      </c>
      <c r="AT2015" t="s">
        <v>66</v>
      </c>
    </row>
    <row r="2016" spans="1:46" x14ac:dyDescent="0.15">
      <c r="A2016" t="s">
        <v>8363</v>
      </c>
      <c r="B2016" t="s">
        <v>8082</v>
      </c>
      <c r="C2016" t="s">
        <v>8083</v>
      </c>
      <c r="D2016">
        <v>56</v>
      </c>
      <c r="E2016" t="s">
        <v>8084</v>
      </c>
      <c r="F2016" t="s">
        <v>3083</v>
      </c>
      <c r="G2016" t="s">
        <v>51</v>
      </c>
      <c r="H2016" t="s">
        <v>8085</v>
      </c>
      <c r="I2016" t="s">
        <v>720</v>
      </c>
      <c r="J2016" t="s">
        <v>54</v>
      </c>
      <c r="K2016" t="s">
        <v>1338</v>
      </c>
      <c r="L2016" t="s">
        <v>17</v>
      </c>
      <c r="M2016" t="s">
        <v>18</v>
      </c>
      <c r="N2016">
        <v>3587</v>
      </c>
      <c r="O2016">
        <v>209</v>
      </c>
      <c r="P2016">
        <v>0</v>
      </c>
      <c r="Q2016" t="s">
        <v>8364</v>
      </c>
      <c r="R2016" t="s">
        <v>8365</v>
      </c>
      <c r="S2016" t="s">
        <v>8366</v>
      </c>
      <c r="T2016" t="s">
        <v>8367</v>
      </c>
      <c r="U2016" t="s">
        <v>60</v>
      </c>
      <c r="V2016" t="s">
        <v>61</v>
      </c>
      <c r="W2016">
        <v>3</v>
      </c>
      <c r="X2016">
        <v>0.14000000000000001</v>
      </c>
      <c r="Y2016" t="s">
        <v>427</v>
      </c>
      <c r="Z2016" t="s">
        <v>428</v>
      </c>
      <c r="AA2016">
        <v>2</v>
      </c>
      <c r="AB2016" t="s">
        <v>8086</v>
      </c>
      <c r="AC2016" t="s">
        <v>8087</v>
      </c>
      <c r="AD2016" t="s">
        <v>8088</v>
      </c>
      <c r="AE2016" t="s">
        <v>8089</v>
      </c>
      <c r="AF2016" t="s">
        <v>8090</v>
      </c>
      <c r="AG2016" t="s">
        <v>191</v>
      </c>
      <c r="AH2016" t="s">
        <v>322</v>
      </c>
      <c r="AI2016" t="s">
        <v>66</v>
      </c>
      <c r="AJ2016" t="s">
        <v>66</v>
      </c>
      <c r="AK2016">
        <v>1</v>
      </c>
      <c r="AL2016" t="s">
        <v>8286</v>
      </c>
      <c r="AM2016" t="s">
        <v>66</v>
      </c>
      <c r="AN2016" t="s">
        <v>8287</v>
      </c>
      <c r="AO2016" t="s">
        <v>66</v>
      </c>
      <c r="AP2016">
        <v>1</v>
      </c>
      <c r="AQ2016" t="s">
        <v>66</v>
      </c>
      <c r="AR2016" t="s">
        <v>66</v>
      </c>
      <c r="AS2016" t="s">
        <v>66</v>
      </c>
      <c r="AT2016" t="s">
        <v>66</v>
      </c>
    </row>
    <row r="2017" spans="1:46" x14ac:dyDescent="0.15">
      <c r="A2017" t="s">
        <v>8368</v>
      </c>
      <c r="B2017" t="s">
        <v>8082</v>
      </c>
      <c r="C2017" t="s">
        <v>8083</v>
      </c>
      <c r="D2017">
        <v>57</v>
      </c>
      <c r="E2017" t="s">
        <v>8084</v>
      </c>
      <c r="F2017" t="s">
        <v>3083</v>
      </c>
      <c r="G2017" t="s">
        <v>51</v>
      </c>
      <c r="H2017" t="s">
        <v>8085</v>
      </c>
      <c r="I2017" t="s">
        <v>720</v>
      </c>
      <c r="J2017" t="s">
        <v>54</v>
      </c>
      <c r="K2017" t="s">
        <v>1338</v>
      </c>
      <c r="L2017" t="s">
        <v>17</v>
      </c>
      <c r="M2017" t="s">
        <v>18</v>
      </c>
      <c r="N2017">
        <v>3643</v>
      </c>
      <c r="O2017">
        <v>212</v>
      </c>
      <c r="P2017">
        <v>0</v>
      </c>
      <c r="Q2017" t="s">
        <v>8369</v>
      </c>
      <c r="R2017" t="s">
        <v>8370</v>
      </c>
      <c r="S2017" t="s">
        <v>8371</v>
      </c>
      <c r="T2017" t="s">
        <v>8372</v>
      </c>
      <c r="U2017" t="s">
        <v>60</v>
      </c>
      <c r="V2017" t="s">
        <v>61</v>
      </c>
      <c r="W2017">
        <v>3</v>
      </c>
      <c r="X2017">
        <v>0.14000000000000001</v>
      </c>
      <c r="Y2017" t="s">
        <v>249</v>
      </c>
      <c r="Z2017" t="s">
        <v>434</v>
      </c>
      <c r="AA2017">
        <v>2</v>
      </c>
      <c r="AB2017" t="s">
        <v>8086</v>
      </c>
      <c r="AC2017" t="s">
        <v>8087</v>
      </c>
      <c r="AD2017" t="s">
        <v>8088</v>
      </c>
      <c r="AE2017" t="s">
        <v>8089</v>
      </c>
      <c r="AF2017" t="s">
        <v>8090</v>
      </c>
      <c r="AG2017" t="s">
        <v>191</v>
      </c>
      <c r="AH2017" t="s">
        <v>322</v>
      </c>
      <c r="AI2017" t="s">
        <v>66</v>
      </c>
      <c r="AJ2017" t="s">
        <v>66</v>
      </c>
      <c r="AK2017">
        <v>1</v>
      </c>
      <c r="AL2017" t="s">
        <v>8286</v>
      </c>
      <c r="AM2017" t="s">
        <v>66</v>
      </c>
      <c r="AN2017" t="s">
        <v>8287</v>
      </c>
      <c r="AO2017" t="s">
        <v>66</v>
      </c>
      <c r="AP2017">
        <v>1</v>
      </c>
      <c r="AQ2017" t="s">
        <v>66</v>
      </c>
      <c r="AR2017" t="s">
        <v>66</v>
      </c>
      <c r="AS2017" t="s">
        <v>66</v>
      </c>
      <c r="AT2017" t="s">
        <v>66</v>
      </c>
    </row>
    <row r="2018" spans="1:46" x14ac:dyDescent="0.15">
      <c r="A2018" t="s">
        <v>8373</v>
      </c>
      <c r="B2018" t="s">
        <v>8082</v>
      </c>
      <c r="C2018" t="s">
        <v>8083</v>
      </c>
      <c r="D2018">
        <v>58</v>
      </c>
      <c r="E2018" t="s">
        <v>8084</v>
      </c>
      <c r="F2018" t="s">
        <v>3083</v>
      </c>
      <c r="G2018" t="s">
        <v>51</v>
      </c>
      <c r="H2018" t="s">
        <v>8085</v>
      </c>
      <c r="I2018" t="s">
        <v>720</v>
      </c>
      <c r="J2018" t="s">
        <v>54</v>
      </c>
      <c r="K2018" t="s">
        <v>1338</v>
      </c>
      <c r="L2018" t="s">
        <v>17</v>
      </c>
      <c r="M2018" t="s">
        <v>18</v>
      </c>
      <c r="N2018">
        <v>3699</v>
      </c>
      <c r="O2018">
        <v>215</v>
      </c>
      <c r="P2018">
        <v>0</v>
      </c>
      <c r="Q2018" t="s">
        <v>8374</v>
      </c>
      <c r="R2018" t="s">
        <v>8375</v>
      </c>
      <c r="S2018" t="s">
        <v>8376</v>
      </c>
      <c r="T2018" t="s">
        <v>8377</v>
      </c>
      <c r="U2018" t="s">
        <v>60</v>
      </c>
      <c r="V2018" t="s">
        <v>61</v>
      </c>
      <c r="W2018">
        <v>3</v>
      </c>
      <c r="X2018">
        <v>0.14000000000000001</v>
      </c>
      <c r="Y2018" t="s">
        <v>440</v>
      </c>
      <c r="Z2018" t="s">
        <v>441</v>
      </c>
      <c r="AA2018">
        <v>2</v>
      </c>
      <c r="AB2018" t="s">
        <v>8086</v>
      </c>
      <c r="AC2018" t="s">
        <v>8087</v>
      </c>
      <c r="AD2018" t="s">
        <v>8088</v>
      </c>
      <c r="AE2018" t="s">
        <v>8089</v>
      </c>
      <c r="AF2018" t="s">
        <v>8090</v>
      </c>
      <c r="AG2018" t="s">
        <v>191</v>
      </c>
      <c r="AH2018" t="s">
        <v>322</v>
      </c>
      <c r="AI2018" t="s">
        <v>66</v>
      </c>
      <c r="AJ2018" t="s">
        <v>66</v>
      </c>
      <c r="AK2018">
        <v>1</v>
      </c>
      <c r="AL2018" t="s">
        <v>8286</v>
      </c>
      <c r="AM2018" t="s">
        <v>66</v>
      </c>
      <c r="AN2018" t="s">
        <v>8287</v>
      </c>
      <c r="AO2018" t="s">
        <v>66</v>
      </c>
      <c r="AP2018">
        <v>1</v>
      </c>
      <c r="AQ2018" t="s">
        <v>66</v>
      </c>
      <c r="AR2018" t="s">
        <v>66</v>
      </c>
      <c r="AS2018" t="s">
        <v>66</v>
      </c>
      <c r="AT2018" t="s">
        <v>66</v>
      </c>
    </row>
    <row r="2019" spans="1:46" x14ac:dyDescent="0.15">
      <c r="A2019" t="s">
        <v>8378</v>
      </c>
      <c r="B2019" t="s">
        <v>8082</v>
      </c>
      <c r="C2019" t="s">
        <v>8083</v>
      </c>
      <c r="D2019">
        <v>59</v>
      </c>
      <c r="E2019" t="s">
        <v>8084</v>
      </c>
      <c r="F2019" t="s">
        <v>3083</v>
      </c>
      <c r="G2019" t="s">
        <v>51</v>
      </c>
      <c r="H2019" t="s">
        <v>8085</v>
      </c>
      <c r="I2019" t="s">
        <v>720</v>
      </c>
      <c r="J2019" t="s">
        <v>54</v>
      </c>
      <c r="K2019" t="s">
        <v>1338</v>
      </c>
      <c r="L2019" t="s">
        <v>17</v>
      </c>
      <c r="M2019" t="s">
        <v>18</v>
      </c>
      <c r="N2019">
        <v>3755</v>
      </c>
      <c r="O2019">
        <v>218</v>
      </c>
      <c r="P2019">
        <v>0</v>
      </c>
      <c r="Q2019" t="s">
        <v>8379</v>
      </c>
      <c r="R2019" t="s">
        <v>8380</v>
      </c>
      <c r="S2019" t="s">
        <v>8381</v>
      </c>
      <c r="T2019" t="s">
        <v>8382</v>
      </c>
      <c r="U2019" t="s">
        <v>60</v>
      </c>
      <c r="V2019" t="s">
        <v>61</v>
      </c>
      <c r="W2019">
        <v>3</v>
      </c>
      <c r="X2019">
        <v>0.14000000000000001</v>
      </c>
      <c r="Y2019" t="s">
        <v>256</v>
      </c>
      <c r="Z2019" t="s">
        <v>447</v>
      </c>
      <c r="AA2019">
        <v>2</v>
      </c>
      <c r="AB2019" t="s">
        <v>8086</v>
      </c>
      <c r="AC2019" t="s">
        <v>8087</v>
      </c>
      <c r="AD2019" t="s">
        <v>8088</v>
      </c>
      <c r="AE2019" t="s">
        <v>8089</v>
      </c>
      <c r="AF2019" t="s">
        <v>8090</v>
      </c>
      <c r="AG2019" t="s">
        <v>191</v>
      </c>
      <c r="AH2019" t="s">
        <v>322</v>
      </c>
      <c r="AI2019" t="s">
        <v>66</v>
      </c>
      <c r="AJ2019" t="s">
        <v>66</v>
      </c>
      <c r="AK2019">
        <v>1</v>
      </c>
      <c r="AL2019" t="s">
        <v>8286</v>
      </c>
      <c r="AM2019" t="s">
        <v>66</v>
      </c>
      <c r="AN2019" t="s">
        <v>8287</v>
      </c>
      <c r="AO2019" t="s">
        <v>66</v>
      </c>
      <c r="AP2019">
        <v>1</v>
      </c>
      <c r="AQ2019" t="s">
        <v>66</v>
      </c>
      <c r="AR2019" t="s">
        <v>66</v>
      </c>
      <c r="AS2019" t="s">
        <v>66</v>
      </c>
      <c r="AT2019" t="s">
        <v>66</v>
      </c>
    </row>
    <row r="2020" spans="1:46" x14ac:dyDescent="0.15">
      <c r="A2020" t="s">
        <v>8383</v>
      </c>
      <c r="B2020" t="s">
        <v>8082</v>
      </c>
      <c r="C2020" t="s">
        <v>8083</v>
      </c>
      <c r="D2020">
        <v>60</v>
      </c>
      <c r="E2020" t="s">
        <v>8084</v>
      </c>
      <c r="F2020" t="s">
        <v>3083</v>
      </c>
      <c r="G2020" t="s">
        <v>51</v>
      </c>
      <c r="H2020" t="s">
        <v>8085</v>
      </c>
      <c r="I2020" t="s">
        <v>720</v>
      </c>
      <c r="J2020" t="s">
        <v>54</v>
      </c>
      <c r="K2020" t="s">
        <v>1338</v>
      </c>
      <c r="L2020" t="s">
        <v>17</v>
      </c>
      <c r="M2020" t="s">
        <v>18</v>
      </c>
      <c r="N2020">
        <v>3811</v>
      </c>
      <c r="O2020">
        <v>222</v>
      </c>
      <c r="P2020">
        <v>0</v>
      </c>
      <c r="Q2020" t="s">
        <v>8384</v>
      </c>
      <c r="R2020" t="s">
        <v>8385</v>
      </c>
      <c r="S2020" t="s">
        <v>8386</v>
      </c>
      <c r="T2020" t="s">
        <v>8387</v>
      </c>
      <c r="U2020" t="s">
        <v>60</v>
      </c>
      <c r="V2020" t="s">
        <v>61</v>
      </c>
      <c r="W2020">
        <v>3</v>
      </c>
      <c r="X2020">
        <v>0.14000000000000001</v>
      </c>
      <c r="Y2020" t="s">
        <v>453</v>
      </c>
      <c r="Z2020" t="s">
        <v>454</v>
      </c>
      <c r="AA2020">
        <v>2</v>
      </c>
      <c r="AB2020" t="s">
        <v>8086</v>
      </c>
      <c r="AC2020" t="s">
        <v>8087</v>
      </c>
      <c r="AD2020" t="s">
        <v>8088</v>
      </c>
      <c r="AE2020" t="s">
        <v>8089</v>
      </c>
      <c r="AF2020" t="s">
        <v>8090</v>
      </c>
      <c r="AG2020" t="s">
        <v>191</v>
      </c>
      <c r="AH2020" t="s">
        <v>322</v>
      </c>
      <c r="AI2020" t="s">
        <v>66</v>
      </c>
      <c r="AJ2020" t="s">
        <v>66</v>
      </c>
      <c r="AK2020">
        <v>1</v>
      </c>
      <c r="AL2020" t="s">
        <v>8286</v>
      </c>
      <c r="AM2020" t="s">
        <v>66</v>
      </c>
      <c r="AN2020" t="s">
        <v>8287</v>
      </c>
      <c r="AO2020" t="s">
        <v>66</v>
      </c>
      <c r="AP2020">
        <v>1</v>
      </c>
      <c r="AQ2020" t="s">
        <v>66</v>
      </c>
      <c r="AR2020" t="s">
        <v>66</v>
      </c>
      <c r="AS2020" t="s">
        <v>66</v>
      </c>
      <c r="AT2020" t="s">
        <v>66</v>
      </c>
    </row>
    <row r="2021" spans="1:46" x14ac:dyDescent="0.15">
      <c r="A2021" t="s">
        <v>8383</v>
      </c>
      <c r="B2021" t="s">
        <v>8082</v>
      </c>
      <c r="C2021" t="s">
        <v>8083</v>
      </c>
      <c r="D2021">
        <v>60</v>
      </c>
      <c r="E2021" t="s">
        <v>8084</v>
      </c>
      <c r="F2021" t="s">
        <v>3083</v>
      </c>
      <c r="G2021" t="s">
        <v>51</v>
      </c>
      <c r="H2021" t="s">
        <v>8085</v>
      </c>
      <c r="I2021" t="s">
        <v>720</v>
      </c>
      <c r="J2021" t="s">
        <v>54</v>
      </c>
      <c r="K2021" t="s">
        <v>1338</v>
      </c>
      <c r="L2021" t="s">
        <v>17</v>
      </c>
      <c r="M2021" t="s">
        <v>18</v>
      </c>
      <c r="N2021">
        <v>3811</v>
      </c>
      <c r="O2021">
        <v>222</v>
      </c>
      <c r="P2021">
        <v>0</v>
      </c>
      <c r="Q2021" t="s">
        <v>8384</v>
      </c>
      <c r="R2021" t="s">
        <v>8385</v>
      </c>
      <c r="S2021" t="s">
        <v>8386</v>
      </c>
      <c r="T2021" t="s">
        <v>8387</v>
      </c>
      <c r="U2021" t="s">
        <v>60</v>
      </c>
      <c r="V2021" t="s">
        <v>61</v>
      </c>
      <c r="W2021">
        <v>3</v>
      </c>
      <c r="X2021">
        <v>0.14000000000000001</v>
      </c>
      <c r="Y2021" t="s">
        <v>453</v>
      </c>
      <c r="Z2021" t="s">
        <v>454</v>
      </c>
      <c r="AA2021">
        <v>3</v>
      </c>
      <c r="AB2021" t="s">
        <v>8086</v>
      </c>
      <c r="AC2021" t="s">
        <v>8087</v>
      </c>
      <c r="AD2021" t="s">
        <v>8088</v>
      </c>
      <c r="AE2021" t="s">
        <v>8089</v>
      </c>
      <c r="AF2021" t="s">
        <v>8090</v>
      </c>
      <c r="AG2021" t="s">
        <v>191</v>
      </c>
      <c r="AH2021" t="s">
        <v>322</v>
      </c>
      <c r="AI2021" t="s">
        <v>66</v>
      </c>
      <c r="AJ2021" t="s">
        <v>66</v>
      </c>
      <c r="AK2021">
        <v>1</v>
      </c>
      <c r="AL2021" t="s">
        <v>8388</v>
      </c>
      <c r="AM2021" t="s">
        <v>8389</v>
      </c>
      <c r="AN2021" t="s">
        <v>8287</v>
      </c>
      <c r="AO2021" t="s">
        <v>66</v>
      </c>
      <c r="AP2021">
        <v>1</v>
      </c>
      <c r="AQ2021" t="s">
        <v>8390</v>
      </c>
      <c r="AR2021" t="s">
        <v>8391</v>
      </c>
      <c r="AS2021" t="s">
        <v>66</v>
      </c>
      <c r="AT2021" t="s">
        <v>66</v>
      </c>
    </row>
    <row r="2022" spans="1:46" x14ac:dyDescent="0.15">
      <c r="A2022" t="s">
        <v>8392</v>
      </c>
      <c r="B2022" t="s">
        <v>8082</v>
      </c>
      <c r="C2022" t="s">
        <v>8083</v>
      </c>
      <c r="D2022">
        <v>61</v>
      </c>
      <c r="E2022" t="s">
        <v>8084</v>
      </c>
      <c r="F2022" t="s">
        <v>3083</v>
      </c>
      <c r="G2022" t="s">
        <v>51</v>
      </c>
      <c r="H2022" t="s">
        <v>8085</v>
      </c>
      <c r="I2022" t="s">
        <v>720</v>
      </c>
      <c r="J2022" t="s">
        <v>54</v>
      </c>
      <c r="K2022" t="s">
        <v>1338</v>
      </c>
      <c r="L2022" t="s">
        <v>17</v>
      </c>
      <c r="M2022" t="s">
        <v>18</v>
      </c>
      <c r="N2022">
        <v>3867</v>
      </c>
      <c r="O2022">
        <v>225</v>
      </c>
      <c r="P2022">
        <v>0</v>
      </c>
      <c r="Q2022" t="s">
        <v>8393</v>
      </c>
      <c r="R2022" t="s">
        <v>8394</v>
      </c>
      <c r="S2022" t="s">
        <v>8395</v>
      </c>
      <c r="T2022" t="s">
        <v>5082</v>
      </c>
      <c r="U2022" t="s">
        <v>60</v>
      </c>
      <c r="V2022" t="s">
        <v>61</v>
      </c>
      <c r="W2022">
        <v>3</v>
      </c>
      <c r="X2022">
        <v>0.14000000000000001</v>
      </c>
      <c r="Y2022" t="s">
        <v>262</v>
      </c>
      <c r="Z2022" t="s">
        <v>465</v>
      </c>
      <c r="AA2022">
        <v>3</v>
      </c>
      <c r="AB2022" t="s">
        <v>8086</v>
      </c>
      <c r="AC2022" t="s">
        <v>8087</v>
      </c>
      <c r="AD2022" t="s">
        <v>8088</v>
      </c>
      <c r="AE2022" t="s">
        <v>8089</v>
      </c>
      <c r="AF2022" t="s">
        <v>8090</v>
      </c>
      <c r="AG2022" t="s">
        <v>191</v>
      </c>
      <c r="AH2022" t="s">
        <v>322</v>
      </c>
      <c r="AI2022" t="s">
        <v>66</v>
      </c>
      <c r="AJ2022" t="s">
        <v>66</v>
      </c>
      <c r="AK2022">
        <v>1</v>
      </c>
      <c r="AL2022" t="s">
        <v>8388</v>
      </c>
      <c r="AM2022" t="s">
        <v>8389</v>
      </c>
      <c r="AN2022" t="s">
        <v>8287</v>
      </c>
      <c r="AO2022" t="s">
        <v>66</v>
      </c>
      <c r="AP2022">
        <v>1</v>
      </c>
      <c r="AQ2022" t="s">
        <v>8390</v>
      </c>
      <c r="AR2022" t="s">
        <v>8391</v>
      </c>
      <c r="AS2022" t="s">
        <v>66</v>
      </c>
      <c r="AT2022" t="s">
        <v>66</v>
      </c>
    </row>
    <row r="2023" spans="1:46" x14ac:dyDescent="0.15">
      <c r="A2023" t="s">
        <v>8396</v>
      </c>
      <c r="B2023" t="s">
        <v>8082</v>
      </c>
      <c r="C2023" t="s">
        <v>8083</v>
      </c>
      <c r="D2023">
        <v>62</v>
      </c>
      <c r="E2023" t="s">
        <v>8084</v>
      </c>
      <c r="F2023" t="s">
        <v>3083</v>
      </c>
      <c r="G2023" t="s">
        <v>51</v>
      </c>
      <c r="H2023" t="s">
        <v>8085</v>
      </c>
      <c r="I2023" t="s">
        <v>720</v>
      </c>
      <c r="J2023" t="s">
        <v>54</v>
      </c>
      <c r="K2023" t="s">
        <v>1338</v>
      </c>
      <c r="L2023" t="s">
        <v>17</v>
      </c>
      <c r="M2023" t="s">
        <v>18</v>
      </c>
      <c r="N2023">
        <v>3923</v>
      </c>
      <c r="O2023">
        <v>228</v>
      </c>
      <c r="P2023">
        <v>0</v>
      </c>
      <c r="Q2023" t="s">
        <v>8397</v>
      </c>
      <c r="R2023" t="s">
        <v>8398</v>
      </c>
      <c r="S2023" t="s">
        <v>8399</v>
      </c>
      <c r="T2023" t="s">
        <v>8400</v>
      </c>
      <c r="U2023" t="s">
        <v>60</v>
      </c>
      <c r="V2023" t="s">
        <v>61</v>
      </c>
      <c r="W2023">
        <v>3</v>
      </c>
      <c r="X2023">
        <v>0.14000000000000001</v>
      </c>
      <c r="Y2023" t="s">
        <v>471</v>
      </c>
      <c r="Z2023" t="s">
        <v>472</v>
      </c>
      <c r="AA2023">
        <v>3</v>
      </c>
      <c r="AB2023" t="s">
        <v>8086</v>
      </c>
      <c r="AC2023" t="s">
        <v>8087</v>
      </c>
      <c r="AD2023" t="s">
        <v>8088</v>
      </c>
      <c r="AE2023" t="s">
        <v>8089</v>
      </c>
      <c r="AF2023" t="s">
        <v>8090</v>
      </c>
      <c r="AG2023" t="s">
        <v>191</v>
      </c>
      <c r="AH2023" t="s">
        <v>322</v>
      </c>
      <c r="AI2023" t="s">
        <v>66</v>
      </c>
      <c r="AJ2023" t="s">
        <v>66</v>
      </c>
      <c r="AK2023">
        <v>1</v>
      </c>
      <c r="AL2023" t="s">
        <v>8388</v>
      </c>
      <c r="AM2023" t="s">
        <v>8389</v>
      </c>
      <c r="AN2023" t="s">
        <v>8287</v>
      </c>
      <c r="AO2023" t="s">
        <v>66</v>
      </c>
      <c r="AP2023">
        <v>1</v>
      </c>
      <c r="AQ2023" t="s">
        <v>8390</v>
      </c>
      <c r="AR2023" t="s">
        <v>8391</v>
      </c>
      <c r="AS2023" t="s">
        <v>66</v>
      </c>
      <c r="AT2023" t="s">
        <v>66</v>
      </c>
    </row>
    <row r="2024" spans="1:46" x14ac:dyDescent="0.15">
      <c r="A2024" t="s">
        <v>8401</v>
      </c>
      <c r="B2024" t="s">
        <v>8082</v>
      </c>
      <c r="C2024" t="s">
        <v>8083</v>
      </c>
      <c r="D2024">
        <v>63</v>
      </c>
      <c r="E2024" t="s">
        <v>8084</v>
      </c>
      <c r="F2024" t="s">
        <v>3083</v>
      </c>
      <c r="G2024" t="s">
        <v>51</v>
      </c>
      <c r="H2024" t="s">
        <v>8085</v>
      </c>
      <c r="I2024" t="s">
        <v>720</v>
      </c>
      <c r="J2024" t="s">
        <v>54</v>
      </c>
      <c r="K2024" t="s">
        <v>1338</v>
      </c>
      <c r="L2024" t="s">
        <v>17</v>
      </c>
      <c r="M2024" t="s">
        <v>18</v>
      </c>
      <c r="N2024">
        <v>3980</v>
      </c>
      <c r="O2024">
        <v>231</v>
      </c>
      <c r="P2024">
        <v>0</v>
      </c>
      <c r="Q2024" t="s">
        <v>8402</v>
      </c>
      <c r="R2024" t="s">
        <v>8403</v>
      </c>
      <c r="S2024" t="s">
        <v>8404</v>
      </c>
      <c r="T2024" t="s">
        <v>8405</v>
      </c>
      <c r="U2024" t="s">
        <v>60</v>
      </c>
      <c r="V2024" t="s">
        <v>61</v>
      </c>
      <c r="W2024">
        <v>3</v>
      </c>
      <c r="X2024">
        <v>0.14000000000000001</v>
      </c>
      <c r="Y2024" t="s">
        <v>269</v>
      </c>
      <c r="Z2024" t="s">
        <v>478</v>
      </c>
      <c r="AA2024">
        <v>3</v>
      </c>
      <c r="AB2024" t="s">
        <v>8086</v>
      </c>
      <c r="AC2024" t="s">
        <v>8087</v>
      </c>
      <c r="AD2024" t="s">
        <v>8088</v>
      </c>
      <c r="AE2024" t="s">
        <v>8089</v>
      </c>
      <c r="AF2024" t="s">
        <v>8090</v>
      </c>
      <c r="AG2024" t="s">
        <v>191</v>
      </c>
      <c r="AH2024" t="s">
        <v>322</v>
      </c>
      <c r="AI2024" t="s">
        <v>66</v>
      </c>
      <c r="AJ2024" t="s">
        <v>66</v>
      </c>
      <c r="AK2024">
        <v>1</v>
      </c>
      <c r="AL2024" t="s">
        <v>8388</v>
      </c>
      <c r="AM2024" t="s">
        <v>8389</v>
      </c>
      <c r="AN2024" t="s">
        <v>8287</v>
      </c>
      <c r="AO2024" t="s">
        <v>66</v>
      </c>
      <c r="AP2024">
        <v>1</v>
      </c>
      <c r="AQ2024" t="s">
        <v>8390</v>
      </c>
      <c r="AR2024" t="s">
        <v>8391</v>
      </c>
      <c r="AS2024" t="s">
        <v>66</v>
      </c>
      <c r="AT2024" t="s">
        <v>66</v>
      </c>
    </row>
    <row r="2025" spans="1:46" x14ac:dyDescent="0.15">
      <c r="A2025" t="s">
        <v>8406</v>
      </c>
      <c r="B2025" t="s">
        <v>8082</v>
      </c>
      <c r="C2025" t="s">
        <v>8083</v>
      </c>
      <c r="D2025">
        <v>64</v>
      </c>
      <c r="E2025" t="s">
        <v>8084</v>
      </c>
      <c r="F2025" t="s">
        <v>3083</v>
      </c>
      <c r="G2025" t="s">
        <v>51</v>
      </c>
      <c r="H2025" t="s">
        <v>8085</v>
      </c>
      <c r="I2025" t="s">
        <v>720</v>
      </c>
      <c r="J2025" t="s">
        <v>54</v>
      </c>
      <c r="K2025" t="s">
        <v>1338</v>
      </c>
      <c r="L2025" t="s">
        <v>17</v>
      </c>
      <c r="M2025" t="s">
        <v>18</v>
      </c>
      <c r="N2025">
        <v>4036</v>
      </c>
      <c r="O2025">
        <v>235</v>
      </c>
      <c r="P2025">
        <v>0</v>
      </c>
      <c r="Q2025" t="s">
        <v>8407</v>
      </c>
      <c r="R2025" t="s">
        <v>8408</v>
      </c>
      <c r="S2025" t="s">
        <v>8409</v>
      </c>
      <c r="T2025" t="s">
        <v>8410</v>
      </c>
      <c r="U2025" t="s">
        <v>60</v>
      </c>
      <c r="V2025" t="s">
        <v>61</v>
      </c>
      <c r="W2025">
        <v>3</v>
      </c>
      <c r="X2025">
        <v>0.14000000000000001</v>
      </c>
      <c r="Y2025" t="s">
        <v>484</v>
      </c>
      <c r="Z2025" t="s">
        <v>485</v>
      </c>
      <c r="AA2025">
        <v>3</v>
      </c>
      <c r="AB2025" t="s">
        <v>8086</v>
      </c>
      <c r="AC2025" t="s">
        <v>8087</v>
      </c>
      <c r="AD2025" t="s">
        <v>8088</v>
      </c>
      <c r="AE2025" t="s">
        <v>8089</v>
      </c>
      <c r="AF2025" t="s">
        <v>8090</v>
      </c>
      <c r="AG2025" t="s">
        <v>191</v>
      </c>
      <c r="AH2025" t="s">
        <v>322</v>
      </c>
      <c r="AI2025" t="s">
        <v>66</v>
      </c>
      <c r="AJ2025" t="s">
        <v>66</v>
      </c>
      <c r="AK2025">
        <v>1</v>
      </c>
      <c r="AL2025" t="s">
        <v>8388</v>
      </c>
      <c r="AM2025" t="s">
        <v>8389</v>
      </c>
      <c r="AN2025" t="s">
        <v>8287</v>
      </c>
      <c r="AO2025" t="s">
        <v>66</v>
      </c>
      <c r="AP2025">
        <v>1</v>
      </c>
      <c r="AQ2025" t="s">
        <v>8390</v>
      </c>
      <c r="AR2025" t="s">
        <v>8391</v>
      </c>
      <c r="AS2025" t="s">
        <v>66</v>
      </c>
      <c r="AT2025" t="s">
        <v>66</v>
      </c>
    </row>
    <row r="2026" spans="1:46" x14ac:dyDescent="0.15">
      <c r="A2026" t="s">
        <v>8411</v>
      </c>
      <c r="B2026" t="s">
        <v>8082</v>
      </c>
      <c r="C2026" t="s">
        <v>8083</v>
      </c>
      <c r="D2026">
        <v>65</v>
      </c>
      <c r="E2026" t="s">
        <v>8084</v>
      </c>
      <c r="F2026" t="s">
        <v>3083</v>
      </c>
      <c r="G2026" t="s">
        <v>51</v>
      </c>
      <c r="H2026" t="s">
        <v>8085</v>
      </c>
      <c r="I2026" t="s">
        <v>720</v>
      </c>
      <c r="J2026" t="s">
        <v>54</v>
      </c>
      <c r="K2026" t="s">
        <v>1338</v>
      </c>
      <c r="L2026" t="s">
        <v>17</v>
      </c>
      <c r="M2026" t="s">
        <v>18</v>
      </c>
      <c r="N2026">
        <v>4092</v>
      </c>
      <c r="O2026">
        <v>238</v>
      </c>
      <c r="P2026">
        <v>0</v>
      </c>
      <c r="Q2026" t="s">
        <v>8412</v>
      </c>
      <c r="R2026" t="s">
        <v>8413</v>
      </c>
      <c r="S2026" t="s">
        <v>8414</v>
      </c>
      <c r="T2026" t="s">
        <v>8415</v>
      </c>
      <c r="U2026" t="s">
        <v>60</v>
      </c>
      <c r="V2026" t="s">
        <v>61</v>
      </c>
      <c r="W2026">
        <v>3</v>
      </c>
      <c r="X2026">
        <v>0.14000000000000001</v>
      </c>
      <c r="Y2026" t="s">
        <v>275</v>
      </c>
      <c r="Z2026" t="s">
        <v>491</v>
      </c>
      <c r="AA2026">
        <v>3</v>
      </c>
      <c r="AB2026" t="s">
        <v>8086</v>
      </c>
      <c r="AC2026" t="s">
        <v>8087</v>
      </c>
      <c r="AD2026" t="s">
        <v>8088</v>
      </c>
      <c r="AE2026" t="s">
        <v>8089</v>
      </c>
      <c r="AF2026" t="s">
        <v>8090</v>
      </c>
      <c r="AG2026" t="s">
        <v>191</v>
      </c>
      <c r="AH2026" t="s">
        <v>322</v>
      </c>
      <c r="AI2026" t="s">
        <v>66</v>
      </c>
      <c r="AJ2026" t="s">
        <v>66</v>
      </c>
      <c r="AK2026">
        <v>1</v>
      </c>
      <c r="AL2026" t="s">
        <v>8388</v>
      </c>
      <c r="AM2026" t="s">
        <v>8389</v>
      </c>
      <c r="AN2026" t="s">
        <v>8287</v>
      </c>
      <c r="AO2026" t="s">
        <v>66</v>
      </c>
      <c r="AP2026">
        <v>1</v>
      </c>
      <c r="AQ2026" t="s">
        <v>8390</v>
      </c>
      <c r="AR2026" t="s">
        <v>8391</v>
      </c>
      <c r="AS2026" t="s">
        <v>66</v>
      </c>
      <c r="AT2026" t="s">
        <v>66</v>
      </c>
    </row>
    <row r="2027" spans="1:46" x14ac:dyDescent="0.15">
      <c r="A2027" t="s">
        <v>8416</v>
      </c>
      <c r="B2027" t="s">
        <v>8082</v>
      </c>
      <c r="C2027" t="s">
        <v>8083</v>
      </c>
      <c r="D2027">
        <v>66</v>
      </c>
      <c r="E2027" t="s">
        <v>8084</v>
      </c>
      <c r="F2027" t="s">
        <v>3083</v>
      </c>
      <c r="G2027" t="s">
        <v>51</v>
      </c>
      <c r="H2027" t="s">
        <v>8085</v>
      </c>
      <c r="I2027" t="s">
        <v>720</v>
      </c>
      <c r="J2027" t="s">
        <v>54</v>
      </c>
      <c r="K2027" t="s">
        <v>1338</v>
      </c>
      <c r="L2027" t="s">
        <v>17</v>
      </c>
      <c r="M2027" t="s">
        <v>18</v>
      </c>
      <c r="N2027">
        <v>4148</v>
      </c>
      <c r="O2027">
        <v>241</v>
      </c>
      <c r="P2027">
        <v>0</v>
      </c>
      <c r="Q2027" t="s">
        <v>8417</v>
      </c>
      <c r="R2027" t="s">
        <v>8418</v>
      </c>
      <c r="S2027" t="s">
        <v>8419</v>
      </c>
      <c r="T2027" t="s">
        <v>8420</v>
      </c>
      <c r="U2027" t="s">
        <v>60</v>
      </c>
      <c r="V2027" t="s">
        <v>61</v>
      </c>
      <c r="W2027">
        <v>3</v>
      </c>
      <c r="X2027">
        <v>0.14000000000000001</v>
      </c>
      <c r="Y2027" t="s">
        <v>497</v>
      </c>
      <c r="Z2027" t="s">
        <v>498</v>
      </c>
      <c r="AA2027">
        <v>3</v>
      </c>
      <c r="AB2027" t="s">
        <v>8086</v>
      </c>
      <c r="AC2027" t="s">
        <v>8087</v>
      </c>
      <c r="AD2027" t="s">
        <v>8088</v>
      </c>
      <c r="AE2027" t="s">
        <v>8089</v>
      </c>
      <c r="AF2027" t="s">
        <v>8090</v>
      </c>
      <c r="AG2027" t="s">
        <v>191</v>
      </c>
      <c r="AH2027" t="s">
        <v>322</v>
      </c>
      <c r="AI2027" t="s">
        <v>66</v>
      </c>
      <c r="AJ2027" t="s">
        <v>66</v>
      </c>
      <c r="AK2027">
        <v>1</v>
      </c>
      <c r="AL2027" t="s">
        <v>8388</v>
      </c>
      <c r="AM2027" t="s">
        <v>8389</v>
      </c>
      <c r="AN2027" t="s">
        <v>8287</v>
      </c>
      <c r="AO2027" t="s">
        <v>66</v>
      </c>
      <c r="AP2027">
        <v>1</v>
      </c>
      <c r="AQ2027" t="s">
        <v>8390</v>
      </c>
      <c r="AR2027" t="s">
        <v>8391</v>
      </c>
      <c r="AS2027" t="s">
        <v>66</v>
      </c>
      <c r="AT2027" t="s">
        <v>66</v>
      </c>
    </row>
    <row r="2028" spans="1:46" x14ac:dyDescent="0.15">
      <c r="A2028" t="s">
        <v>8421</v>
      </c>
      <c r="B2028" t="s">
        <v>8082</v>
      </c>
      <c r="C2028" t="s">
        <v>8083</v>
      </c>
      <c r="D2028">
        <v>67</v>
      </c>
      <c r="E2028" t="s">
        <v>8084</v>
      </c>
      <c r="F2028" t="s">
        <v>3083</v>
      </c>
      <c r="G2028" t="s">
        <v>51</v>
      </c>
      <c r="H2028" t="s">
        <v>8085</v>
      </c>
      <c r="I2028" t="s">
        <v>720</v>
      </c>
      <c r="J2028" t="s">
        <v>54</v>
      </c>
      <c r="K2028" t="s">
        <v>1338</v>
      </c>
      <c r="L2028" t="s">
        <v>17</v>
      </c>
      <c r="M2028" t="s">
        <v>18</v>
      </c>
      <c r="N2028">
        <v>4204</v>
      </c>
      <c r="O2028">
        <v>244</v>
      </c>
      <c r="P2028">
        <v>0</v>
      </c>
      <c r="Q2028" t="s">
        <v>8422</v>
      </c>
      <c r="R2028" t="s">
        <v>8423</v>
      </c>
      <c r="S2028" t="s">
        <v>8424</v>
      </c>
      <c r="T2028" t="s">
        <v>8425</v>
      </c>
      <c r="U2028" t="s">
        <v>60</v>
      </c>
      <c r="V2028" t="s">
        <v>61</v>
      </c>
      <c r="W2028">
        <v>3</v>
      </c>
      <c r="X2028">
        <v>0.14000000000000001</v>
      </c>
      <c r="Y2028" t="s">
        <v>282</v>
      </c>
      <c r="Z2028" t="s">
        <v>504</v>
      </c>
      <c r="AA2028">
        <v>3</v>
      </c>
      <c r="AB2028" t="s">
        <v>8086</v>
      </c>
      <c r="AC2028" t="s">
        <v>8087</v>
      </c>
      <c r="AD2028" t="s">
        <v>8088</v>
      </c>
      <c r="AE2028" t="s">
        <v>8089</v>
      </c>
      <c r="AF2028" t="s">
        <v>8090</v>
      </c>
      <c r="AG2028" t="s">
        <v>191</v>
      </c>
      <c r="AH2028" t="s">
        <v>322</v>
      </c>
      <c r="AI2028" t="s">
        <v>66</v>
      </c>
      <c r="AJ2028" t="s">
        <v>66</v>
      </c>
      <c r="AK2028">
        <v>1</v>
      </c>
      <c r="AL2028" t="s">
        <v>8388</v>
      </c>
      <c r="AM2028" t="s">
        <v>8389</v>
      </c>
      <c r="AN2028" t="s">
        <v>8287</v>
      </c>
      <c r="AO2028" t="s">
        <v>66</v>
      </c>
      <c r="AP2028">
        <v>1</v>
      </c>
      <c r="AQ2028" t="s">
        <v>8390</v>
      </c>
      <c r="AR2028" t="s">
        <v>8391</v>
      </c>
      <c r="AS2028" t="s">
        <v>66</v>
      </c>
      <c r="AT2028" t="s">
        <v>66</v>
      </c>
    </row>
    <row r="2029" spans="1:46" x14ac:dyDescent="0.15">
      <c r="A2029" t="s">
        <v>8426</v>
      </c>
      <c r="B2029" t="s">
        <v>8082</v>
      </c>
      <c r="C2029" t="s">
        <v>8083</v>
      </c>
      <c r="D2029">
        <v>68</v>
      </c>
      <c r="E2029" t="s">
        <v>8084</v>
      </c>
      <c r="F2029" t="s">
        <v>3083</v>
      </c>
      <c r="G2029" t="s">
        <v>51</v>
      </c>
      <c r="H2029" t="s">
        <v>8085</v>
      </c>
      <c r="I2029" t="s">
        <v>720</v>
      </c>
      <c r="J2029" t="s">
        <v>54</v>
      </c>
      <c r="K2029" t="s">
        <v>1338</v>
      </c>
      <c r="L2029" t="s">
        <v>17</v>
      </c>
      <c r="M2029" t="s">
        <v>18</v>
      </c>
      <c r="N2029">
        <v>4260</v>
      </c>
      <c r="O2029">
        <v>248</v>
      </c>
      <c r="P2029">
        <v>0</v>
      </c>
      <c r="Q2029" t="s">
        <v>8427</v>
      </c>
      <c r="R2029" t="s">
        <v>8428</v>
      </c>
      <c r="S2029" t="s">
        <v>8429</v>
      </c>
      <c r="T2029" t="s">
        <v>8430</v>
      </c>
      <c r="U2029" t="s">
        <v>60</v>
      </c>
      <c r="V2029" t="s">
        <v>61</v>
      </c>
      <c r="W2029">
        <v>3</v>
      </c>
      <c r="X2029">
        <v>0.14000000000000001</v>
      </c>
      <c r="Y2029" t="s">
        <v>510</v>
      </c>
      <c r="Z2029" t="s">
        <v>511</v>
      </c>
      <c r="AA2029">
        <v>3</v>
      </c>
      <c r="AB2029" t="s">
        <v>8086</v>
      </c>
      <c r="AC2029" t="s">
        <v>8087</v>
      </c>
      <c r="AD2029" t="s">
        <v>8088</v>
      </c>
      <c r="AE2029" t="s">
        <v>8089</v>
      </c>
      <c r="AF2029" t="s">
        <v>8090</v>
      </c>
      <c r="AG2029" t="s">
        <v>191</v>
      </c>
      <c r="AH2029" t="s">
        <v>322</v>
      </c>
      <c r="AI2029" t="s">
        <v>66</v>
      </c>
      <c r="AJ2029" t="s">
        <v>66</v>
      </c>
      <c r="AK2029">
        <v>1</v>
      </c>
      <c r="AL2029" t="s">
        <v>8388</v>
      </c>
      <c r="AM2029" t="s">
        <v>8389</v>
      </c>
      <c r="AN2029" t="s">
        <v>8287</v>
      </c>
      <c r="AO2029" t="s">
        <v>66</v>
      </c>
      <c r="AP2029">
        <v>1</v>
      </c>
      <c r="AQ2029" t="s">
        <v>8390</v>
      </c>
      <c r="AR2029" t="s">
        <v>8391</v>
      </c>
      <c r="AS2029" t="s">
        <v>66</v>
      </c>
      <c r="AT2029" t="s">
        <v>66</v>
      </c>
    </row>
    <row r="2030" spans="1:46" x14ac:dyDescent="0.15">
      <c r="A2030" t="s">
        <v>8431</v>
      </c>
      <c r="B2030" t="s">
        <v>8082</v>
      </c>
      <c r="C2030" t="s">
        <v>8083</v>
      </c>
      <c r="D2030">
        <v>69</v>
      </c>
      <c r="E2030" t="s">
        <v>8084</v>
      </c>
      <c r="F2030" t="s">
        <v>3083</v>
      </c>
      <c r="G2030" t="s">
        <v>51</v>
      </c>
      <c r="H2030" t="s">
        <v>8085</v>
      </c>
      <c r="I2030" t="s">
        <v>720</v>
      </c>
      <c r="J2030" t="s">
        <v>54</v>
      </c>
      <c r="K2030" t="s">
        <v>1338</v>
      </c>
      <c r="L2030" t="s">
        <v>17</v>
      </c>
      <c r="M2030" t="s">
        <v>18</v>
      </c>
      <c r="N2030">
        <v>4316</v>
      </c>
      <c r="O2030">
        <v>251</v>
      </c>
      <c r="P2030">
        <v>0</v>
      </c>
      <c r="Q2030" t="s">
        <v>8432</v>
      </c>
      <c r="R2030" t="s">
        <v>8433</v>
      </c>
      <c r="S2030" t="s">
        <v>8434</v>
      </c>
      <c r="T2030" t="s">
        <v>8435</v>
      </c>
      <c r="U2030" t="s">
        <v>60</v>
      </c>
      <c r="V2030" t="s">
        <v>61</v>
      </c>
      <c r="W2030">
        <v>3</v>
      </c>
      <c r="X2030">
        <v>0.14000000000000001</v>
      </c>
      <c r="Y2030" t="s">
        <v>288</v>
      </c>
      <c r="Z2030" t="s">
        <v>517</v>
      </c>
      <c r="AA2030">
        <v>3</v>
      </c>
      <c r="AB2030" t="s">
        <v>8086</v>
      </c>
      <c r="AC2030" t="s">
        <v>8087</v>
      </c>
      <c r="AD2030" t="s">
        <v>8088</v>
      </c>
      <c r="AE2030" t="s">
        <v>8089</v>
      </c>
      <c r="AF2030" t="s">
        <v>8090</v>
      </c>
      <c r="AG2030" t="s">
        <v>191</v>
      </c>
      <c r="AH2030" t="s">
        <v>322</v>
      </c>
      <c r="AI2030" t="s">
        <v>66</v>
      </c>
      <c r="AJ2030" t="s">
        <v>66</v>
      </c>
      <c r="AK2030">
        <v>1</v>
      </c>
      <c r="AL2030" t="s">
        <v>8388</v>
      </c>
      <c r="AM2030" t="s">
        <v>8389</v>
      </c>
      <c r="AN2030" t="s">
        <v>8287</v>
      </c>
      <c r="AO2030" t="s">
        <v>66</v>
      </c>
      <c r="AP2030">
        <v>1</v>
      </c>
      <c r="AQ2030" t="s">
        <v>8390</v>
      </c>
      <c r="AR2030" t="s">
        <v>8391</v>
      </c>
      <c r="AS2030" t="s">
        <v>66</v>
      </c>
      <c r="AT2030" t="s">
        <v>66</v>
      </c>
    </row>
    <row r="2031" spans="1:46" x14ac:dyDescent="0.15">
      <c r="A2031" t="s">
        <v>8436</v>
      </c>
      <c r="B2031" t="s">
        <v>8082</v>
      </c>
      <c r="C2031" t="s">
        <v>8083</v>
      </c>
      <c r="D2031">
        <v>70</v>
      </c>
      <c r="E2031" t="s">
        <v>8084</v>
      </c>
      <c r="F2031" t="s">
        <v>3083</v>
      </c>
      <c r="G2031" t="s">
        <v>51</v>
      </c>
      <c r="H2031" t="s">
        <v>8085</v>
      </c>
      <c r="I2031" t="s">
        <v>720</v>
      </c>
      <c r="J2031" t="s">
        <v>54</v>
      </c>
      <c r="K2031" t="s">
        <v>1338</v>
      </c>
      <c r="L2031" t="s">
        <v>17</v>
      </c>
      <c r="M2031" t="s">
        <v>18</v>
      </c>
      <c r="N2031">
        <v>4372</v>
      </c>
      <c r="O2031">
        <v>254</v>
      </c>
      <c r="P2031">
        <v>0</v>
      </c>
      <c r="Q2031" t="s">
        <v>8437</v>
      </c>
      <c r="R2031" t="s">
        <v>8438</v>
      </c>
      <c r="S2031" t="s">
        <v>8439</v>
      </c>
      <c r="T2031" t="s">
        <v>8440</v>
      </c>
      <c r="U2031" t="s">
        <v>60</v>
      </c>
      <c r="V2031" t="s">
        <v>61</v>
      </c>
      <c r="W2031">
        <v>3</v>
      </c>
      <c r="X2031">
        <v>0.14000000000000001</v>
      </c>
      <c r="Y2031" t="s">
        <v>523</v>
      </c>
      <c r="Z2031" t="s">
        <v>524</v>
      </c>
      <c r="AA2031">
        <v>3</v>
      </c>
      <c r="AB2031" t="s">
        <v>8086</v>
      </c>
      <c r="AC2031" t="s">
        <v>8087</v>
      </c>
      <c r="AD2031" t="s">
        <v>8088</v>
      </c>
      <c r="AE2031" t="s">
        <v>8089</v>
      </c>
      <c r="AF2031" t="s">
        <v>8090</v>
      </c>
      <c r="AG2031" t="s">
        <v>191</v>
      </c>
      <c r="AH2031" t="s">
        <v>322</v>
      </c>
      <c r="AI2031" t="s">
        <v>66</v>
      </c>
      <c r="AJ2031" t="s">
        <v>66</v>
      </c>
      <c r="AK2031">
        <v>1</v>
      </c>
      <c r="AL2031" t="s">
        <v>8388</v>
      </c>
      <c r="AM2031" t="s">
        <v>8389</v>
      </c>
      <c r="AN2031" t="s">
        <v>8287</v>
      </c>
      <c r="AO2031" t="s">
        <v>66</v>
      </c>
      <c r="AP2031">
        <v>1</v>
      </c>
      <c r="AQ2031" t="s">
        <v>8390</v>
      </c>
      <c r="AR2031" t="s">
        <v>8391</v>
      </c>
      <c r="AS2031" t="s">
        <v>66</v>
      </c>
      <c r="AT2031" t="s">
        <v>66</v>
      </c>
    </row>
    <row r="2032" spans="1:46" x14ac:dyDescent="0.15">
      <c r="A2032" t="s">
        <v>8441</v>
      </c>
      <c r="B2032" t="s">
        <v>8082</v>
      </c>
      <c r="C2032" t="s">
        <v>8083</v>
      </c>
      <c r="D2032">
        <v>71</v>
      </c>
      <c r="E2032" t="s">
        <v>8084</v>
      </c>
      <c r="F2032" t="s">
        <v>3083</v>
      </c>
      <c r="G2032" t="s">
        <v>51</v>
      </c>
      <c r="H2032" t="s">
        <v>8085</v>
      </c>
      <c r="I2032" t="s">
        <v>720</v>
      </c>
      <c r="J2032" t="s">
        <v>54</v>
      </c>
      <c r="K2032" t="s">
        <v>1338</v>
      </c>
      <c r="L2032" t="s">
        <v>17</v>
      </c>
      <c r="M2032" t="s">
        <v>18</v>
      </c>
      <c r="N2032">
        <v>4429</v>
      </c>
      <c r="O2032">
        <v>257</v>
      </c>
      <c r="P2032">
        <v>0</v>
      </c>
      <c r="Q2032" t="s">
        <v>8442</v>
      </c>
      <c r="R2032" t="s">
        <v>8443</v>
      </c>
      <c r="S2032" t="s">
        <v>8444</v>
      </c>
      <c r="T2032" t="s">
        <v>8445</v>
      </c>
      <c r="U2032" t="s">
        <v>60</v>
      </c>
      <c r="V2032" t="s">
        <v>61</v>
      </c>
      <c r="W2032">
        <v>3</v>
      </c>
      <c r="X2032">
        <v>0.14000000000000001</v>
      </c>
      <c r="Y2032" t="s">
        <v>295</v>
      </c>
      <c r="Z2032" t="s">
        <v>530</v>
      </c>
      <c r="AA2032">
        <v>3</v>
      </c>
      <c r="AB2032" t="s">
        <v>8086</v>
      </c>
      <c r="AC2032" t="s">
        <v>8087</v>
      </c>
      <c r="AD2032" t="s">
        <v>8088</v>
      </c>
      <c r="AE2032" t="s">
        <v>8089</v>
      </c>
      <c r="AF2032" t="s">
        <v>8090</v>
      </c>
      <c r="AG2032" t="s">
        <v>191</v>
      </c>
      <c r="AH2032" t="s">
        <v>322</v>
      </c>
      <c r="AI2032" t="s">
        <v>66</v>
      </c>
      <c r="AJ2032" t="s">
        <v>66</v>
      </c>
      <c r="AK2032">
        <v>1</v>
      </c>
      <c r="AL2032" t="s">
        <v>8388</v>
      </c>
      <c r="AM2032" t="s">
        <v>8389</v>
      </c>
      <c r="AN2032" t="s">
        <v>8287</v>
      </c>
      <c r="AO2032" t="s">
        <v>66</v>
      </c>
      <c r="AP2032">
        <v>1</v>
      </c>
      <c r="AQ2032" t="s">
        <v>8390</v>
      </c>
      <c r="AR2032" t="s">
        <v>8391</v>
      </c>
      <c r="AS2032" t="s">
        <v>66</v>
      </c>
      <c r="AT2032" t="s">
        <v>66</v>
      </c>
    </row>
    <row r="2033" spans="1:46" x14ac:dyDescent="0.15">
      <c r="A2033" t="s">
        <v>8446</v>
      </c>
      <c r="B2033" t="s">
        <v>8082</v>
      </c>
      <c r="C2033" t="s">
        <v>8083</v>
      </c>
      <c r="D2033">
        <v>72</v>
      </c>
      <c r="E2033" t="s">
        <v>8084</v>
      </c>
      <c r="F2033" t="s">
        <v>3083</v>
      </c>
      <c r="G2033" t="s">
        <v>51</v>
      </c>
      <c r="H2033" t="s">
        <v>8085</v>
      </c>
      <c r="I2033" t="s">
        <v>720</v>
      </c>
      <c r="J2033" t="s">
        <v>54</v>
      </c>
      <c r="K2033" t="s">
        <v>1338</v>
      </c>
      <c r="L2033" t="s">
        <v>17</v>
      </c>
      <c r="M2033" t="s">
        <v>18</v>
      </c>
      <c r="N2033">
        <v>4485</v>
      </c>
      <c r="O2033">
        <v>261</v>
      </c>
      <c r="P2033">
        <v>0</v>
      </c>
      <c r="Q2033" t="s">
        <v>8447</v>
      </c>
      <c r="R2033" t="s">
        <v>8448</v>
      </c>
      <c r="S2033" t="s">
        <v>8449</v>
      </c>
      <c r="T2033" t="s">
        <v>8450</v>
      </c>
      <c r="U2033" t="s">
        <v>60</v>
      </c>
      <c r="V2033" t="s">
        <v>61</v>
      </c>
      <c r="W2033">
        <v>3</v>
      </c>
      <c r="X2033">
        <v>0.14000000000000001</v>
      </c>
      <c r="Y2033" t="s">
        <v>536</v>
      </c>
      <c r="Z2033" t="s">
        <v>537</v>
      </c>
      <c r="AA2033">
        <v>3</v>
      </c>
      <c r="AB2033" t="s">
        <v>8086</v>
      </c>
      <c r="AC2033" t="s">
        <v>8087</v>
      </c>
      <c r="AD2033" t="s">
        <v>8088</v>
      </c>
      <c r="AE2033" t="s">
        <v>8089</v>
      </c>
      <c r="AF2033" t="s">
        <v>8090</v>
      </c>
      <c r="AG2033" t="s">
        <v>191</v>
      </c>
      <c r="AH2033" t="s">
        <v>322</v>
      </c>
      <c r="AI2033" t="s">
        <v>66</v>
      </c>
      <c r="AJ2033" t="s">
        <v>66</v>
      </c>
      <c r="AK2033">
        <v>1</v>
      </c>
      <c r="AL2033" t="s">
        <v>8388</v>
      </c>
      <c r="AM2033" t="s">
        <v>8389</v>
      </c>
      <c r="AN2033" t="s">
        <v>8287</v>
      </c>
      <c r="AO2033" t="s">
        <v>66</v>
      </c>
      <c r="AP2033">
        <v>1</v>
      </c>
      <c r="AQ2033" t="s">
        <v>8390</v>
      </c>
      <c r="AR2033" t="s">
        <v>8391</v>
      </c>
      <c r="AS2033" t="s">
        <v>66</v>
      </c>
      <c r="AT2033" t="s">
        <v>66</v>
      </c>
    </row>
    <row r="2034" spans="1:46" x14ac:dyDescent="0.15">
      <c r="A2034" t="s">
        <v>8451</v>
      </c>
      <c r="B2034" t="s">
        <v>8082</v>
      </c>
      <c r="C2034" t="s">
        <v>8083</v>
      </c>
      <c r="D2034">
        <v>73</v>
      </c>
      <c r="E2034" t="s">
        <v>8084</v>
      </c>
      <c r="F2034" t="s">
        <v>3083</v>
      </c>
      <c r="G2034" t="s">
        <v>51</v>
      </c>
      <c r="H2034" t="s">
        <v>8085</v>
      </c>
      <c r="I2034" t="s">
        <v>720</v>
      </c>
      <c r="J2034" t="s">
        <v>54</v>
      </c>
      <c r="K2034" t="s">
        <v>1338</v>
      </c>
      <c r="L2034" t="s">
        <v>17</v>
      </c>
      <c r="M2034" t="s">
        <v>18</v>
      </c>
      <c r="N2034">
        <v>4541</v>
      </c>
      <c r="O2034">
        <v>264</v>
      </c>
      <c r="P2034">
        <v>0</v>
      </c>
      <c r="Q2034" t="s">
        <v>8452</v>
      </c>
      <c r="R2034" t="s">
        <v>8453</v>
      </c>
      <c r="S2034" t="s">
        <v>8454</v>
      </c>
      <c r="T2034" t="s">
        <v>8455</v>
      </c>
      <c r="U2034" t="s">
        <v>60</v>
      </c>
      <c r="V2034" t="s">
        <v>61</v>
      </c>
      <c r="W2034">
        <v>3</v>
      </c>
      <c r="X2034">
        <v>0.14000000000000001</v>
      </c>
      <c r="Y2034" t="s">
        <v>301</v>
      </c>
      <c r="Z2034" t="s">
        <v>543</v>
      </c>
      <c r="AA2034">
        <v>3</v>
      </c>
      <c r="AB2034" t="s">
        <v>8086</v>
      </c>
      <c r="AC2034" t="s">
        <v>8087</v>
      </c>
      <c r="AD2034" t="s">
        <v>8088</v>
      </c>
      <c r="AE2034" t="s">
        <v>8089</v>
      </c>
      <c r="AF2034" t="s">
        <v>8090</v>
      </c>
      <c r="AG2034" t="s">
        <v>191</v>
      </c>
      <c r="AH2034" t="s">
        <v>322</v>
      </c>
      <c r="AI2034" t="s">
        <v>66</v>
      </c>
      <c r="AJ2034" t="s">
        <v>66</v>
      </c>
      <c r="AK2034">
        <v>1</v>
      </c>
      <c r="AL2034" t="s">
        <v>8388</v>
      </c>
      <c r="AM2034" t="s">
        <v>8389</v>
      </c>
      <c r="AN2034" t="s">
        <v>8287</v>
      </c>
      <c r="AO2034" t="s">
        <v>66</v>
      </c>
      <c r="AP2034">
        <v>1</v>
      </c>
      <c r="AQ2034" t="s">
        <v>8390</v>
      </c>
      <c r="AR2034" t="s">
        <v>8391</v>
      </c>
      <c r="AS2034" t="s">
        <v>66</v>
      </c>
      <c r="AT2034" t="s">
        <v>66</v>
      </c>
    </row>
    <row r="2035" spans="1:46" x14ac:dyDescent="0.15">
      <c r="A2035" t="s">
        <v>8456</v>
      </c>
      <c r="B2035" t="s">
        <v>8082</v>
      </c>
      <c r="C2035" t="s">
        <v>8083</v>
      </c>
      <c r="D2035">
        <v>74</v>
      </c>
      <c r="E2035" t="s">
        <v>8084</v>
      </c>
      <c r="F2035" t="s">
        <v>3083</v>
      </c>
      <c r="G2035" t="s">
        <v>51</v>
      </c>
      <c r="H2035" t="s">
        <v>8085</v>
      </c>
      <c r="I2035" t="s">
        <v>720</v>
      </c>
      <c r="J2035" t="s">
        <v>54</v>
      </c>
      <c r="K2035" t="s">
        <v>1338</v>
      </c>
      <c r="L2035" t="s">
        <v>17</v>
      </c>
      <c r="M2035" t="s">
        <v>18</v>
      </c>
      <c r="N2035">
        <v>4597</v>
      </c>
      <c r="O2035">
        <v>267</v>
      </c>
      <c r="P2035">
        <v>0</v>
      </c>
      <c r="Q2035" t="s">
        <v>8457</v>
      </c>
      <c r="R2035" t="s">
        <v>8458</v>
      </c>
      <c r="S2035" t="s">
        <v>8459</v>
      </c>
      <c r="T2035" t="s">
        <v>8460</v>
      </c>
      <c r="U2035" t="s">
        <v>60</v>
      </c>
      <c r="V2035" t="s">
        <v>61</v>
      </c>
      <c r="W2035">
        <v>3</v>
      </c>
      <c r="X2035">
        <v>0.14000000000000001</v>
      </c>
      <c r="Y2035" t="s">
        <v>549</v>
      </c>
      <c r="Z2035" t="s">
        <v>550</v>
      </c>
      <c r="AA2035">
        <v>3</v>
      </c>
      <c r="AB2035" t="s">
        <v>8086</v>
      </c>
      <c r="AC2035" t="s">
        <v>8087</v>
      </c>
      <c r="AD2035" t="s">
        <v>8088</v>
      </c>
      <c r="AE2035" t="s">
        <v>8089</v>
      </c>
      <c r="AF2035" t="s">
        <v>8090</v>
      </c>
      <c r="AG2035" t="s">
        <v>191</v>
      </c>
      <c r="AH2035" t="s">
        <v>322</v>
      </c>
      <c r="AI2035" t="s">
        <v>66</v>
      </c>
      <c r="AJ2035" t="s">
        <v>66</v>
      </c>
      <c r="AK2035">
        <v>1</v>
      </c>
      <c r="AL2035" t="s">
        <v>8388</v>
      </c>
      <c r="AM2035" t="s">
        <v>8389</v>
      </c>
      <c r="AN2035" t="s">
        <v>8287</v>
      </c>
      <c r="AO2035" t="s">
        <v>66</v>
      </c>
      <c r="AP2035">
        <v>1</v>
      </c>
      <c r="AQ2035" t="s">
        <v>8390</v>
      </c>
      <c r="AR2035" t="s">
        <v>8391</v>
      </c>
      <c r="AS2035" t="s">
        <v>66</v>
      </c>
      <c r="AT2035" t="s">
        <v>66</v>
      </c>
    </row>
    <row r="2036" spans="1:46" x14ac:dyDescent="0.15">
      <c r="A2036" t="s">
        <v>8461</v>
      </c>
      <c r="B2036" t="s">
        <v>8082</v>
      </c>
      <c r="C2036" t="s">
        <v>8083</v>
      </c>
      <c r="D2036">
        <v>75</v>
      </c>
      <c r="E2036" t="s">
        <v>8084</v>
      </c>
      <c r="F2036" t="s">
        <v>3083</v>
      </c>
      <c r="G2036" t="s">
        <v>51</v>
      </c>
      <c r="H2036" t="s">
        <v>8085</v>
      </c>
      <c r="I2036" t="s">
        <v>720</v>
      </c>
      <c r="J2036" t="s">
        <v>54</v>
      </c>
      <c r="K2036" t="s">
        <v>1338</v>
      </c>
      <c r="L2036" t="s">
        <v>17</v>
      </c>
      <c r="M2036" t="s">
        <v>18</v>
      </c>
      <c r="N2036">
        <v>4653</v>
      </c>
      <c r="O2036">
        <v>270</v>
      </c>
      <c r="P2036">
        <v>0</v>
      </c>
      <c r="Q2036" t="s">
        <v>8462</v>
      </c>
      <c r="R2036" t="s">
        <v>8463</v>
      </c>
      <c r="S2036" t="s">
        <v>8464</v>
      </c>
      <c r="T2036" t="s">
        <v>8465</v>
      </c>
      <c r="U2036" t="s">
        <v>60</v>
      </c>
      <c r="V2036" t="s">
        <v>61</v>
      </c>
      <c r="W2036">
        <v>3</v>
      </c>
      <c r="X2036">
        <v>0.14000000000000001</v>
      </c>
      <c r="Y2036" t="s">
        <v>308</v>
      </c>
      <c r="Z2036" t="s">
        <v>556</v>
      </c>
      <c r="AA2036">
        <v>3</v>
      </c>
      <c r="AB2036" t="s">
        <v>8086</v>
      </c>
      <c r="AC2036" t="s">
        <v>8087</v>
      </c>
      <c r="AD2036" t="s">
        <v>8088</v>
      </c>
      <c r="AE2036" t="s">
        <v>8089</v>
      </c>
      <c r="AF2036" t="s">
        <v>8090</v>
      </c>
      <c r="AG2036" t="s">
        <v>191</v>
      </c>
      <c r="AH2036" t="s">
        <v>322</v>
      </c>
      <c r="AI2036" t="s">
        <v>66</v>
      </c>
      <c r="AJ2036" t="s">
        <v>66</v>
      </c>
      <c r="AK2036">
        <v>1</v>
      </c>
      <c r="AL2036" t="s">
        <v>8388</v>
      </c>
      <c r="AM2036" t="s">
        <v>8389</v>
      </c>
      <c r="AN2036" t="s">
        <v>8287</v>
      </c>
      <c r="AO2036" t="s">
        <v>66</v>
      </c>
      <c r="AP2036">
        <v>1</v>
      </c>
      <c r="AQ2036" t="s">
        <v>8390</v>
      </c>
      <c r="AR2036" t="s">
        <v>8391</v>
      </c>
      <c r="AS2036" t="s">
        <v>66</v>
      </c>
      <c r="AT2036" t="s">
        <v>66</v>
      </c>
    </row>
    <row r="2037" spans="1:46" x14ac:dyDescent="0.15">
      <c r="A2037" t="s">
        <v>8466</v>
      </c>
      <c r="B2037" t="s">
        <v>8082</v>
      </c>
      <c r="C2037" t="s">
        <v>8083</v>
      </c>
      <c r="D2037">
        <v>76</v>
      </c>
      <c r="E2037" t="s">
        <v>8084</v>
      </c>
      <c r="F2037" t="s">
        <v>3083</v>
      </c>
      <c r="G2037" t="s">
        <v>51</v>
      </c>
      <c r="H2037" t="s">
        <v>8085</v>
      </c>
      <c r="I2037" t="s">
        <v>720</v>
      </c>
      <c r="J2037" t="s">
        <v>54</v>
      </c>
      <c r="K2037" t="s">
        <v>1338</v>
      </c>
      <c r="L2037" t="s">
        <v>17</v>
      </c>
      <c r="M2037" t="s">
        <v>18</v>
      </c>
      <c r="N2037">
        <v>4709</v>
      </c>
      <c r="O2037">
        <v>274</v>
      </c>
      <c r="P2037">
        <v>0</v>
      </c>
      <c r="Q2037" t="s">
        <v>8467</v>
      </c>
      <c r="R2037" t="s">
        <v>8468</v>
      </c>
      <c r="S2037" t="s">
        <v>8469</v>
      </c>
      <c r="T2037" t="s">
        <v>8470</v>
      </c>
      <c r="U2037" t="s">
        <v>60</v>
      </c>
      <c r="V2037" t="s">
        <v>61</v>
      </c>
      <c r="W2037">
        <v>3</v>
      </c>
      <c r="X2037">
        <v>0.14000000000000001</v>
      </c>
      <c r="Y2037" t="s">
        <v>562</v>
      </c>
      <c r="Z2037" t="s">
        <v>563</v>
      </c>
      <c r="AA2037">
        <v>3</v>
      </c>
      <c r="AB2037" t="s">
        <v>8086</v>
      </c>
      <c r="AC2037" t="s">
        <v>8087</v>
      </c>
      <c r="AD2037" t="s">
        <v>8088</v>
      </c>
      <c r="AE2037" t="s">
        <v>8089</v>
      </c>
      <c r="AF2037" t="s">
        <v>8090</v>
      </c>
      <c r="AG2037" t="s">
        <v>191</v>
      </c>
      <c r="AH2037" t="s">
        <v>322</v>
      </c>
      <c r="AI2037" t="s">
        <v>66</v>
      </c>
      <c r="AJ2037" t="s">
        <v>66</v>
      </c>
      <c r="AK2037">
        <v>1</v>
      </c>
      <c r="AL2037" t="s">
        <v>8388</v>
      </c>
      <c r="AM2037" t="s">
        <v>8389</v>
      </c>
      <c r="AN2037" t="s">
        <v>8287</v>
      </c>
      <c r="AO2037" t="s">
        <v>66</v>
      </c>
      <c r="AP2037">
        <v>1</v>
      </c>
      <c r="AQ2037" t="s">
        <v>8390</v>
      </c>
      <c r="AR2037" t="s">
        <v>8391</v>
      </c>
      <c r="AS2037" t="s">
        <v>66</v>
      </c>
      <c r="AT2037" t="s">
        <v>66</v>
      </c>
    </row>
    <row r="2038" spans="1:46" x14ac:dyDescent="0.15">
      <c r="A2038" t="s">
        <v>8471</v>
      </c>
      <c r="B2038" t="s">
        <v>8082</v>
      </c>
      <c r="C2038" t="s">
        <v>8083</v>
      </c>
      <c r="D2038">
        <v>77</v>
      </c>
      <c r="E2038" t="s">
        <v>8084</v>
      </c>
      <c r="F2038" t="s">
        <v>3083</v>
      </c>
      <c r="G2038" t="s">
        <v>51</v>
      </c>
      <c r="H2038" t="s">
        <v>8085</v>
      </c>
      <c r="I2038" t="s">
        <v>720</v>
      </c>
      <c r="J2038" t="s">
        <v>54</v>
      </c>
      <c r="K2038" t="s">
        <v>1338</v>
      </c>
      <c r="L2038" t="s">
        <v>17</v>
      </c>
      <c r="M2038" t="s">
        <v>18</v>
      </c>
      <c r="N2038">
        <v>4765</v>
      </c>
      <c r="O2038">
        <v>277</v>
      </c>
      <c r="P2038">
        <v>0</v>
      </c>
      <c r="Q2038" t="s">
        <v>8472</v>
      </c>
      <c r="R2038" t="s">
        <v>8473</v>
      </c>
      <c r="S2038" t="s">
        <v>8474</v>
      </c>
      <c r="T2038" t="s">
        <v>8475</v>
      </c>
      <c r="U2038" t="s">
        <v>60</v>
      </c>
      <c r="V2038" t="s">
        <v>61</v>
      </c>
      <c r="W2038">
        <v>3</v>
      </c>
      <c r="X2038">
        <v>0.14000000000000001</v>
      </c>
      <c r="Y2038" t="s">
        <v>314</v>
      </c>
      <c r="Z2038" t="s">
        <v>569</v>
      </c>
      <c r="AA2038">
        <v>3</v>
      </c>
      <c r="AB2038" t="s">
        <v>8086</v>
      </c>
      <c r="AC2038" t="s">
        <v>8087</v>
      </c>
      <c r="AD2038" t="s">
        <v>8088</v>
      </c>
      <c r="AE2038" t="s">
        <v>8089</v>
      </c>
      <c r="AF2038" t="s">
        <v>8090</v>
      </c>
      <c r="AG2038" t="s">
        <v>191</v>
      </c>
      <c r="AH2038" t="s">
        <v>322</v>
      </c>
      <c r="AI2038" t="s">
        <v>66</v>
      </c>
      <c r="AJ2038" t="s">
        <v>66</v>
      </c>
      <c r="AK2038">
        <v>1</v>
      </c>
      <c r="AL2038" t="s">
        <v>8388</v>
      </c>
      <c r="AM2038" t="s">
        <v>8389</v>
      </c>
      <c r="AN2038" t="s">
        <v>8287</v>
      </c>
      <c r="AO2038" t="s">
        <v>66</v>
      </c>
      <c r="AP2038">
        <v>1</v>
      </c>
      <c r="AQ2038" t="s">
        <v>8390</v>
      </c>
      <c r="AR2038" t="s">
        <v>8391</v>
      </c>
      <c r="AS2038" t="s">
        <v>66</v>
      </c>
      <c r="AT2038" t="s">
        <v>66</v>
      </c>
    </row>
    <row r="2039" spans="1:46" x14ac:dyDescent="0.15">
      <c r="A2039" t="s">
        <v>8476</v>
      </c>
      <c r="B2039" t="s">
        <v>8082</v>
      </c>
      <c r="C2039" t="s">
        <v>8083</v>
      </c>
      <c r="D2039">
        <v>78</v>
      </c>
      <c r="E2039" t="s">
        <v>8084</v>
      </c>
      <c r="F2039" t="s">
        <v>3083</v>
      </c>
      <c r="G2039" t="s">
        <v>51</v>
      </c>
      <c r="H2039" t="s">
        <v>8085</v>
      </c>
      <c r="I2039" t="s">
        <v>720</v>
      </c>
      <c r="J2039" t="s">
        <v>54</v>
      </c>
      <c r="K2039" t="s">
        <v>1338</v>
      </c>
      <c r="L2039" t="s">
        <v>17</v>
      </c>
      <c r="M2039" t="s">
        <v>18</v>
      </c>
      <c r="N2039">
        <v>4821</v>
      </c>
      <c r="O2039">
        <v>280</v>
      </c>
      <c r="P2039">
        <v>0</v>
      </c>
      <c r="Q2039" t="s">
        <v>8477</v>
      </c>
      <c r="R2039" t="s">
        <v>8478</v>
      </c>
      <c r="S2039" t="s">
        <v>8479</v>
      </c>
      <c r="T2039" t="s">
        <v>8480</v>
      </c>
      <c r="U2039" t="s">
        <v>60</v>
      </c>
      <c r="V2039" t="s">
        <v>61</v>
      </c>
      <c r="W2039">
        <v>3</v>
      </c>
      <c r="X2039">
        <v>0.14000000000000001</v>
      </c>
      <c r="Y2039" t="s">
        <v>575</v>
      </c>
      <c r="Z2039" t="s">
        <v>576</v>
      </c>
      <c r="AA2039">
        <v>3</v>
      </c>
      <c r="AB2039" t="s">
        <v>8086</v>
      </c>
      <c r="AC2039" t="s">
        <v>8087</v>
      </c>
      <c r="AD2039" t="s">
        <v>8088</v>
      </c>
      <c r="AE2039" t="s">
        <v>8089</v>
      </c>
      <c r="AF2039" t="s">
        <v>8090</v>
      </c>
      <c r="AG2039" t="s">
        <v>191</v>
      </c>
      <c r="AH2039" t="s">
        <v>322</v>
      </c>
      <c r="AI2039" t="s">
        <v>66</v>
      </c>
      <c r="AJ2039" t="s">
        <v>66</v>
      </c>
      <c r="AK2039">
        <v>1</v>
      </c>
      <c r="AL2039" t="s">
        <v>8388</v>
      </c>
      <c r="AM2039" t="s">
        <v>8389</v>
      </c>
      <c r="AN2039" t="s">
        <v>8287</v>
      </c>
      <c r="AO2039" t="s">
        <v>66</v>
      </c>
      <c r="AP2039">
        <v>1</v>
      </c>
      <c r="AQ2039" t="s">
        <v>8390</v>
      </c>
      <c r="AR2039" t="s">
        <v>8391</v>
      </c>
      <c r="AS2039" t="s">
        <v>66</v>
      </c>
      <c r="AT2039" t="s">
        <v>66</v>
      </c>
    </row>
    <row r="2040" spans="1:46" x14ac:dyDescent="0.15">
      <c r="A2040" t="s">
        <v>8481</v>
      </c>
      <c r="B2040" t="s">
        <v>8082</v>
      </c>
      <c r="C2040" t="s">
        <v>8083</v>
      </c>
      <c r="D2040">
        <v>79</v>
      </c>
      <c r="E2040" t="s">
        <v>8084</v>
      </c>
      <c r="F2040" t="s">
        <v>3083</v>
      </c>
      <c r="G2040" t="s">
        <v>51</v>
      </c>
      <c r="H2040" t="s">
        <v>8085</v>
      </c>
      <c r="I2040" t="s">
        <v>720</v>
      </c>
      <c r="J2040" t="s">
        <v>54</v>
      </c>
      <c r="K2040" t="s">
        <v>1338</v>
      </c>
      <c r="L2040" t="s">
        <v>17</v>
      </c>
      <c r="M2040" t="s">
        <v>18</v>
      </c>
      <c r="N2040">
        <v>4878</v>
      </c>
      <c r="O2040">
        <v>283</v>
      </c>
      <c r="P2040">
        <v>0</v>
      </c>
      <c r="Q2040" t="s">
        <v>8482</v>
      </c>
      <c r="R2040" t="s">
        <v>8483</v>
      </c>
      <c r="S2040" t="s">
        <v>8484</v>
      </c>
      <c r="T2040" t="s">
        <v>8485</v>
      </c>
      <c r="U2040" t="s">
        <v>60</v>
      </c>
      <c r="V2040" t="s">
        <v>61</v>
      </c>
      <c r="W2040">
        <v>3</v>
      </c>
      <c r="X2040">
        <v>0.14000000000000001</v>
      </c>
      <c r="Y2040" t="s">
        <v>321</v>
      </c>
      <c r="Z2040" t="s">
        <v>582</v>
      </c>
      <c r="AA2040">
        <v>3</v>
      </c>
      <c r="AB2040" t="s">
        <v>8086</v>
      </c>
      <c r="AC2040" t="s">
        <v>8087</v>
      </c>
      <c r="AD2040" t="s">
        <v>8088</v>
      </c>
      <c r="AE2040" t="s">
        <v>8089</v>
      </c>
      <c r="AF2040" t="s">
        <v>8090</v>
      </c>
      <c r="AG2040" t="s">
        <v>191</v>
      </c>
      <c r="AH2040" t="s">
        <v>322</v>
      </c>
      <c r="AI2040" t="s">
        <v>66</v>
      </c>
      <c r="AJ2040" t="s">
        <v>66</v>
      </c>
      <c r="AK2040">
        <v>1</v>
      </c>
      <c r="AL2040" t="s">
        <v>8388</v>
      </c>
      <c r="AM2040" t="s">
        <v>8389</v>
      </c>
      <c r="AN2040" t="s">
        <v>8287</v>
      </c>
      <c r="AO2040" t="s">
        <v>66</v>
      </c>
      <c r="AP2040">
        <v>1</v>
      </c>
      <c r="AQ2040" t="s">
        <v>8390</v>
      </c>
      <c r="AR2040" t="s">
        <v>8391</v>
      </c>
      <c r="AS2040" t="s">
        <v>66</v>
      </c>
      <c r="AT2040" t="s">
        <v>66</v>
      </c>
    </row>
    <row r="2041" spans="1:46" x14ac:dyDescent="0.15">
      <c r="A2041" t="s">
        <v>8486</v>
      </c>
      <c r="B2041" t="s">
        <v>8082</v>
      </c>
      <c r="C2041" t="s">
        <v>8083</v>
      </c>
      <c r="D2041">
        <v>80</v>
      </c>
      <c r="E2041" t="s">
        <v>8084</v>
      </c>
      <c r="F2041" t="s">
        <v>3083</v>
      </c>
      <c r="G2041" t="s">
        <v>51</v>
      </c>
      <c r="H2041" t="s">
        <v>8085</v>
      </c>
      <c r="I2041" t="s">
        <v>720</v>
      </c>
      <c r="J2041" t="s">
        <v>54</v>
      </c>
      <c r="K2041" t="s">
        <v>1338</v>
      </c>
      <c r="L2041" t="s">
        <v>17</v>
      </c>
      <c r="M2041" t="s">
        <v>18</v>
      </c>
      <c r="N2041">
        <v>4934</v>
      </c>
      <c r="O2041">
        <v>287</v>
      </c>
      <c r="P2041">
        <v>0</v>
      </c>
      <c r="Q2041" t="s">
        <v>8487</v>
      </c>
      <c r="R2041" t="s">
        <v>8488</v>
      </c>
      <c r="S2041" t="s">
        <v>8489</v>
      </c>
      <c r="T2041" t="s">
        <v>8490</v>
      </c>
      <c r="U2041" t="s">
        <v>60</v>
      </c>
      <c r="V2041" t="s">
        <v>61</v>
      </c>
      <c r="W2041">
        <v>3</v>
      </c>
      <c r="X2041">
        <v>0.14000000000000001</v>
      </c>
      <c r="Y2041" t="s">
        <v>588</v>
      </c>
      <c r="Z2041" t="s">
        <v>589</v>
      </c>
      <c r="AA2041">
        <v>3</v>
      </c>
      <c r="AB2041" t="s">
        <v>8086</v>
      </c>
      <c r="AC2041" t="s">
        <v>8087</v>
      </c>
      <c r="AD2041" t="s">
        <v>8088</v>
      </c>
      <c r="AE2041" t="s">
        <v>8089</v>
      </c>
      <c r="AF2041" t="s">
        <v>8090</v>
      </c>
      <c r="AG2041" t="s">
        <v>191</v>
      </c>
      <c r="AH2041" t="s">
        <v>322</v>
      </c>
      <c r="AI2041" t="s">
        <v>66</v>
      </c>
      <c r="AJ2041" t="s">
        <v>66</v>
      </c>
      <c r="AK2041">
        <v>1</v>
      </c>
      <c r="AL2041" t="s">
        <v>8388</v>
      </c>
      <c r="AM2041" t="s">
        <v>8389</v>
      </c>
      <c r="AN2041" t="s">
        <v>8287</v>
      </c>
      <c r="AO2041" t="s">
        <v>66</v>
      </c>
      <c r="AP2041">
        <v>1</v>
      </c>
      <c r="AQ2041" t="s">
        <v>8390</v>
      </c>
      <c r="AR2041" t="s">
        <v>8391</v>
      </c>
      <c r="AS2041" t="s">
        <v>66</v>
      </c>
      <c r="AT2041" t="s">
        <v>66</v>
      </c>
    </row>
    <row r="2042" spans="1:46" x14ac:dyDescent="0.15">
      <c r="A2042" t="s">
        <v>8486</v>
      </c>
      <c r="B2042" t="s">
        <v>8082</v>
      </c>
      <c r="C2042" t="s">
        <v>8083</v>
      </c>
      <c r="D2042">
        <v>80</v>
      </c>
      <c r="E2042" t="s">
        <v>8084</v>
      </c>
      <c r="F2042" t="s">
        <v>3083</v>
      </c>
      <c r="G2042" t="s">
        <v>51</v>
      </c>
      <c r="H2042" t="s">
        <v>8085</v>
      </c>
      <c r="I2042" t="s">
        <v>720</v>
      </c>
      <c r="J2042" t="s">
        <v>54</v>
      </c>
      <c r="K2042" t="s">
        <v>1338</v>
      </c>
      <c r="L2042" t="s">
        <v>17</v>
      </c>
      <c r="M2042" t="s">
        <v>18</v>
      </c>
      <c r="N2042">
        <v>4934</v>
      </c>
      <c r="O2042">
        <v>287</v>
      </c>
      <c r="P2042">
        <v>0</v>
      </c>
      <c r="Q2042" t="s">
        <v>8487</v>
      </c>
      <c r="R2042" t="s">
        <v>8488</v>
      </c>
      <c r="S2042" t="s">
        <v>8489</v>
      </c>
      <c r="T2042" t="s">
        <v>8490</v>
      </c>
      <c r="U2042" t="s">
        <v>60</v>
      </c>
      <c r="V2042" t="s">
        <v>61</v>
      </c>
      <c r="W2042">
        <v>3</v>
      </c>
      <c r="X2042">
        <v>0.14000000000000001</v>
      </c>
      <c r="Y2042" t="s">
        <v>588</v>
      </c>
      <c r="Z2042" t="s">
        <v>589</v>
      </c>
      <c r="AA2042">
        <v>4</v>
      </c>
      <c r="AB2042" t="s">
        <v>8086</v>
      </c>
      <c r="AC2042" t="s">
        <v>8087</v>
      </c>
      <c r="AD2042" t="s">
        <v>8088</v>
      </c>
      <c r="AE2042" t="s">
        <v>8089</v>
      </c>
      <c r="AF2042" t="s">
        <v>8090</v>
      </c>
      <c r="AG2042" t="s">
        <v>191</v>
      </c>
      <c r="AH2042" t="s">
        <v>322</v>
      </c>
      <c r="AI2042" t="s">
        <v>590</v>
      </c>
      <c r="AJ2042" t="s">
        <v>322</v>
      </c>
      <c r="AK2042">
        <v>1</v>
      </c>
      <c r="AL2042" t="s">
        <v>8388</v>
      </c>
      <c r="AM2042" t="s">
        <v>8389</v>
      </c>
      <c r="AN2042" t="s">
        <v>8287</v>
      </c>
      <c r="AO2042" t="s">
        <v>66</v>
      </c>
      <c r="AP2042">
        <v>1</v>
      </c>
      <c r="AQ2042" t="s">
        <v>8390</v>
      </c>
      <c r="AR2042" t="s">
        <v>8391</v>
      </c>
      <c r="AS2042" t="s">
        <v>66</v>
      </c>
      <c r="AT2042" t="s">
        <v>66</v>
      </c>
    </row>
    <row r="2043" spans="1:46" x14ac:dyDescent="0.15">
      <c r="A2043" t="s">
        <v>8491</v>
      </c>
      <c r="B2043" t="s">
        <v>8082</v>
      </c>
      <c r="C2043" t="s">
        <v>8083</v>
      </c>
      <c r="D2043">
        <v>81</v>
      </c>
      <c r="E2043" t="s">
        <v>8084</v>
      </c>
      <c r="F2043" t="s">
        <v>3083</v>
      </c>
      <c r="G2043" t="s">
        <v>51</v>
      </c>
      <c r="H2043" t="s">
        <v>8085</v>
      </c>
      <c r="I2043" t="s">
        <v>720</v>
      </c>
      <c r="J2043" t="s">
        <v>54</v>
      </c>
      <c r="K2043" t="s">
        <v>1338</v>
      </c>
      <c r="L2043" t="s">
        <v>17</v>
      </c>
      <c r="M2043" t="s">
        <v>18</v>
      </c>
      <c r="N2043">
        <v>4990</v>
      </c>
      <c r="O2043">
        <v>290</v>
      </c>
      <c r="P2043">
        <v>0</v>
      </c>
      <c r="Q2043" t="s">
        <v>8492</v>
      </c>
      <c r="R2043" t="s">
        <v>8493</v>
      </c>
      <c r="S2043" t="s">
        <v>8494</v>
      </c>
      <c r="T2043" t="s">
        <v>8495</v>
      </c>
      <c r="U2043" t="s">
        <v>60</v>
      </c>
      <c r="V2043" t="s">
        <v>61</v>
      </c>
      <c r="W2043">
        <v>3</v>
      </c>
      <c r="X2043">
        <v>0.14000000000000001</v>
      </c>
      <c r="Y2043" t="s">
        <v>330</v>
      </c>
      <c r="Z2043" t="s">
        <v>596</v>
      </c>
      <c r="AA2043">
        <v>4</v>
      </c>
      <c r="AB2043" t="s">
        <v>8086</v>
      </c>
      <c r="AC2043" t="s">
        <v>8087</v>
      </c>
      <c r="AD2043" t="s">
        <v>8088</v>
      </c>
      <c r="AE2043" t="s">
        <v>8089</v>
      </c>
      <c r="AF2043" t="s">
        <v>8090</v>
      </c>
      <c r="AG2043" t="s">
        <v>191</v>
      </c>
      <c r="AH2043" t="s">
        <v>322</v>
      </c>
      <c r="AI2043" t="s">
        <v>590</v>
      </c>
      <c r="AJ2043" t="s">
        <v>322</v>
      </c>
      <c r="AK2043">
        <v>1</v>
      </c>
      <c r="AL2043" t="s">
        <v>8388</v>
      </c>
      <c r="AM2043" t="s">
        <v>8389</v>
      </c>
      <c r="AN2043" t="s">
        <v>8287</v>
      </c>
      <c r="AO2043" t="s">
        <v>66</v>
      </c>
      <c r="AP2043">
        <v>1</v>
      </c>
      <c r="AQ2043" t="s">
        <v>8390</v>
      </c>
      <c r="AR2043" t="s">
        <v>8391</v>
      </c>
      <c r="AS2043" t="s">
        <v>66</v>
      </c>
      <c r="AT2043" t="s">
        <v>66</v>
      </c>
    </row>
    <row r="2044" spans="1:46" x14ac:dyDescent="0.15">
      <c r="A2044" t="s">
        <v>8496</v>
      </c>
      <c r="B2044" t="s">
        <v>8082</v>
      </c>
      <c r="C2044" t="s">
        <v>8083</v>
      </c>
      <c r="D2044">
        <v>82</v>
      </c>
      <c r="E2044" t="s">
        <v>8084</v>
      </c>
      <c r="F2044" t="s">
        <v>3083</v>
      </c>
      <c r="G2044" t="s">
        <v>51</v>
      </c>
      <c r="H2044" t="s">
        <v>8085</v>
      </c>
      <c r="I2044" t="s">
        <v>720</v>
      </c>
      <c r="J2044" t="s">
        <v>54</v>
      </c>
      <c r="K2044" t="s">
        <v>1338</v>
      </c>
      <c r="L2044" t="s">
        <v>17</v>
      </c>
      <c r="M2044" t="s">
        <v>18</v>
      </c>
      <c r="N2044">
        <v>5046</v>
      </c>
      <c r="O2044">
        <v>293</v>
      </c>
      <c r="P2044">
        <v>0</v>
      </c>
      <c r="Q2044" t="s">
        <v>8497</v>
      </c>
      <c r="R2044" t="s">
        <v>8498</v>
      </c>
      <c r="S2044" t="s">
        <v>8499</v>
      </c>
      <c r="T2044" t="s">
        <v>8500</v>
      </c>
      <c r="U2044" t="s">
        <v>60</v>
      </c>
      <c r="V2044" t="s">
        <v>61</v>
      </c>
      <c r="W2044">
        <v>3</v>
      </c>
      <c r="X2044">
        <v>0.14000000000000001</v>
      </c>
      <c r="Y2044" t="s">
        <v>602</v>
      </c>
      <c r="Z2044" t="s">
        <v>603</v>
      </c>
      <c r="AA2044">
        <v>4</v>
      </c>
      <c r="AB2044" t="s">
        <v>8086</v>
      </c>
      <c r="AC2044" t="s">
        <v>8087</v>
      </c>
      <c r="AD2044" t="s">
        <v>8088</v>
      </c>
      <c r="AE2044" t="s">
        <v>8089</v>
      </c>
      <c r="AF2044" t="s">
        <v>8090</v>
      </c>
      <c r="AG2044" t="s">
        <v>191</v>
      </c>
      <c r="AH2044" t="s">
        <v>322</v>
      </c>
      <c r="AI2044" t="s">
        <v>590</v>
      </c>
      <c r="AJ2044" t="s">
        <v>322</v>
      </c>
      <c r="AK2044">
        <v>1</v>
      </c>
      <c r="AL2044" t="s">
        <v>8388</v>
      </c>
      <c r="AM2044" t="s">
        <v>8389</v>
      </c>
      <c r="AN2044" t="s">
        <v>8287</v>
      </c>
      <c r="AO2044" t="s">
        <v>66</v>
      </c>
      <c r="AP2044">
        <v>1</v>
      </c>
      <c r="AQ2044" t="s">
        <v>8390</v>
      </c>
      <c r="AR2044" t="s">
        <v>8391</v>
      </c>
      <c r="AS2044" t="s">
        <v>66</v>
      </c>
      <c r="AT2044" t="s">
        <v>66</v>
      </c>
    </row>
    <row r="2045" spans="1:46" x14ac:dyDescent="0.15">
      <c r="A2045" t="s">
        <v>8501</v>
      </c>
      <c r="B2045" t="s">
        <v>8082</v>
      </c>
      <c r="C2045" t="s">
        <v>8083</v>
      </c>
      <c r="D2045">
        <v>83</v>
      </c>
      <c r="E2045" t="s">
        <v>8084</v>
      </c>
      <c r="F2045" t="s">
        <v>3083</v>
      </c>
      <c r="G2045" t="s">
        <v>51</v>
      </c>
      <c r="H2045" t="s">
        <v>8085</v>
      </c>
      <c r="I2045" t="s">
        <v>720</v>
      </c>
      <c r="J2045" t="s">
        <v>54</v>
      </c>
      <c r="K2045" t="s">
        <v>1338</v>
      </c>
      <c r="L2045" t="s">
        <v>17</v>
      </c>
      <c r="M2045" t="s">
        <v>18</v>
      </c>
      <c r="N2045">
        <v>5102</v>
      </c>
      <c r="O2045">
        <v>296</v>
      </c>
      <c r="P2045">
        <v>0</v>
      </c>
      <c r="Q2045" t="s">
        <v>8502</v>
      </c>
      <c r="R2045" t="s">
        <v>8503</v>
      </c>
      <c r="S2045" t="s">
        <v>8504</v>
      </c>
      <c r="T2045" t="s">
        <v>8505</v>
      </c>
      <c r="U2045" t="s">
        <v>60</v>
      </c>
      <c r="V2045" t="s">
        <v>61</v>
      </c>
      <c r="W2045">
        <v>3</v>
      </c>
      <c r="X2045">
        <v>0.14000000000000001</v>
      </c>
      <c r="Y2045" t="s">
        <v>337</v>
      </c>
      <c r="Z2045" t="s">
        <v>609</v>
      </c>
      <c r="AA2045">
        <v>4</v>
      </c>
      <c r="AB2045" t="s">
        <v>8086</v>
      </c>
      <c r="AC2045" t="s">
        <v>8087</v>
      </c>
      <c r="AD2045" t="s">
        <v>8088</v>
      </c>
      <c r="AE2045" t="s">
        <v>8089</v>
      </c>
      <c r="AF2045" t="s">
        <v>8090</v>
      </c>
      <c r="AG2045" t="s">
        <v>191</v>
      </c>
      <c r="AH2045" t="s">
        <v>322</v>
      </c>
      <c r="AI2045" t="s">
        <v>590</v>
      </c>
      <c r="AJ2045" t="s">
        <v>322</v>
      </c>
      <c r="AK2045">
        <v>1</v>
      </c>
      <c r="AL2045" t="s">
        <v>8388</v>
      </c>
      <c r="AM2045" t="s">
        <v>8389</v>
      </c>
      <c r="AN2045" t="s">
        <v>8287</v>
      </c>
      <c r="AO2045" t="s">
        <v>66</v>
      </c>
      <c r="AP2045">
        <v>1</v>
      </c>
      <c r="AQ2045" t="s">
        <v>8390</v>
      </c>
      <c r="AR2045" t="s">
        <v>8391</v>
      </c>
      <c r="AS2045" t="s">
        <v>66</v>
      </c>
      <c r="AT2045" t="s">
        <v>66</v>
      </c>
    </row>
    <row r="2046" spans="1:46" x14ac:dyDescent="0.15">
      <c r="A2046" t="s">
        <v>8506</v>
      </c>
      <c r="B2046" t="s">
        <v>8082</v>
      </c>
      <c r="C2046" t="s">
        <v>8083</v>
      </c>
      <c r="D2046">
        <v>84</v>
      </c>
      <c r="E2046" t="s">
        <v>8084</v>
      </c>
      <c r="F2046" t="s">
        <v>3083</v>
      </c>
      <c r="G2046" t="s">
        <v>51</v>
      </c>
      <c r="H2046" t="s">
        <v>8085</v>
      </c>
      <c r="I2046" t="s">
        <v>720</v>
      </c>
      <c r="J2046" t="s">
        <v>54</v>
      </c>
      <c r="K2046" t="s">
        <v>1338</v>
      </c>
      <c r="L2046" t="s">
        <v>17</v>
      </c>
      <c r="M2046" t="s">
        <v>18</v>
      </c>
      <c r="N2046">
        <v>5158</v>
      </c>
      <c r="O2046">
        <v>300</v>
      </c>
      <c r="P2046">
        <v>0</v>
      </c>
      <c r="Q2046" t="s">
        <v>8507</v>
      </c>
      <c r="R2046" t="s">
        <v>8508</v>
      </c>
      <c r="S2046" t="s">
        <v>8509</v>
      </c>
      <c r="T2046" t="s">
        <v>8510</v>
      </c>
      <c r="U2046" t="s">
        <v>60</v>
      </c>
      <c r="V2046" t="s">
        <v>61</v>
      </c>
      <c r="W2046">
        <v>3</v>
      </c>
      <c r="X2046">
        <v>0.14000000000000001</v>
      </c>
      <c r="Y2046" t="s">
        <v>615</v>
      </c>
      <c r="Z2046" t="s">
        <v>616</v>
      </c>
      <c r="AA2046">
        <v>4</v>
      </c>
      <c r="AB2046" t="s">
        <v>8086</v>
      </c>
      <c r="AC2046" t="s">
        <v>8087</v>
      </c>
      <c r="AD2046" t="s">
        <v>8088</v>
      </c>
      <c r="AE2046" t="s">
        <v>8089</v>
      </c>
      <c r="AF2046" t="s">
        <v>8090</v>
      </c>
      <c r="AG2046" t="s">
        <v>191</v>
      </c>
      <c r="AH2046" t="s">
        <v>322</v>
      </c>
      <c r="AI2046" t="s">
        <v>590</v>
      </c>
      <c r="AJ2046" t="s">
        <v>322</v>
      </c>
      <c r="AK2046">
        <v>1</v>
      </c>
      <c r="AL2046" t="s">
        <v>8388</v>
      </c>
      <c r="AM2046" t="s">
        <v>8389</v>
      </c>
      <c r="AN2046" t="s">
        <v>8287</v>
      </c>
      <c r="AO2046" t="s">
        <v>66</v>
      </c>
      <c r="AP2046">
        <v>1</v>
      </c>
      <c r="AQ2046" t="s">
        <v>8390</v>
      </c>
      <c r="AR2046" t="s">
        <v>8391</v>
      </c>
      <c r="AS2046" t="s">
        <v>66</v>
      </c>
      <c r="AT2046" t="s">
        <v>66</v>
      </c>
    </row>
    <row r="2047" spans="1:46" x14ac:dyDescent="0.15">
      <c r="A2047" t="s">
        <v>8511</v>
      </c>
      <c r="B2047" t="s">
        <v>8082</v>
      </c>
      <c r="C2047" t="s">
        <v>8083</v>
      </c>
      <c r="D2047">
        <v>85</v>
      </c>
      <c r="E2047" t="s">
        <v>8084</v>
      </c>
      <c r="F2047" t="s">
        <v>3083</v>
      </c>
      <c r="G2047" t="s">
        <v>51</v>
      </c>
      <c r="H2047" t="s">
        <v>8085</v>
      </c>
      <c r="I2047" t="s">
        <v>720</v>
      </c>
      <c r="J2047" t="s">
        <v>54</v>
      </c>
      <c r="K2047" t="s">
        <v>1338</v>
      </c>
      <c r="L2047" t="s">
        <v>17</v>
      </c>
      <c r="M2047" t="s">
        <v>18</v>
      </c>
      <c r="N2047">
        <v>5214</v>
      </c>
      <c r="O2047">
        <v>303</v>
      </c>
      <c r="P2047">
        <v>0</v>
      </c>
      <c r="Q2047" t="s">
        <v>8512</v>
      </c>
      <c r="R2047" t="s">
        <v>8513</v>
      </c>
      <c r="S2047" t="s">
        <v>8514</v>
      </c>
      <c r="T2047" t="s">
        <v>8515</v>
      </c>
      <c r="U2047" t="s">
        <v>60</v>
      </c>
      <c r="V2047" t="s">
        <v>61</v>
      </c>
      <c r="W2047">
        <v>3</v>
      </c>
      <c r="X2047">
        <v>0.14000000000000001</v>
      </c>
      <c r="Y2047" t="s">
        <v>343</v>
      </c>
      <c r="Z2047" t="s">
        <v>622</v>
      </c>
      <c r="AA2047">
        <v>4</v>
      </c>
      <c r="AB2047" t="s">
        <v>8086</v>
      </c>
      <c r="AC2047" t="s">
        <v>8087</v>
      </c>
      <c r="AD2047" t="s">
        <v>8088</v>
      </c>
      <c r="AE2047" t="s">
        <v>8089</v>
      </c>
      <c r="AF2047" t="s">
        <v>8090</v>
      </c>
      <c r="AG2047" t="s">
        <v>191</v>
      </c>
      <c r="AH2047" t="s">
        <v>322</v>
      </c>
      <c r="AI2047" t="s">
        <v>590</v>
      </c>
      <c r="AJ2047" t="s">
        <v>322</v>
      </c>
      <c r="AK2047">
        <v>1</v>
      </c>
      <c r="AL2047" t="s">
        <v>8388</v>
      </c>
      <c r="AM2047" t="s">
        <v>8389</v>
      </c>
      <c r="AN2047" t="s">
        <v>8287</v>
      </c>
      <c r="AO2047" t="s">
        <v>66</v>
      </c>
      <c r="AP2047">
        <v>1</v>
      </c>
      <c r="AQ2047" t="s">
        <v>8390</v>
      </c>
      <c r="AR2047" t="s">
        <v>8391</v>
      </c>
      <c r="AS2047" t="s">
        <v>66</v>
      </c>
      <c r="AT2047" t="s">
        <v>66</v>
      </c>
    </row>
    <row r="2048" spans="1:46" x14ac:dyDescent="0.15">
      <c r="A2048" t="s">
        <v>8516</v>
      </c>
      <c r="B2048" t="s">
        <v>8082</v>
      </c>
      <c r="C2048" t="s">
        <v>8083</v>
      </c>
      <c r="D2048">
        <v>86</v>
      </c>
      <c r="E2048" t="s">
        <v>8084</v>
      </c>
      <c r="F2048" t="s">
        <v>3083</v>
      </c>
      <c r="G2048" t="s">
        <v>51</v>
      </c>
      <c r="H2048" t="s">
        <v>8085</v>
      </c>
      <c r="I2048" t="s">
        <v>720</v>
      </c>
      <c r="J2048" t="s">
        <v>54</v>
      </c>
      <c r="K2048" t="s">
        <v>1338</v>
      </c>
      <c r="L2048" t="s">
        <v>17</v>
      </c>
      <c r="M2048" t="s">
        <v>18</v>
      </c>
      <c r="N2048">
        <v>5270</v>
      </c>
      <c r="O2048">
        <v>306</v>
      </c>
      <c r="P2048">
        <v>0</v>
      </c>
      <c r="Q2048" t="s">
        <v>8517</v>
      </c>
      <c r="R2048" t="s">
        <v>8518</v>
      </c>
      <c r="S2048" t="s">
        <v>8519</v>
      </c>
      <c r="T2048" t="s">
        <v>8520</v>
      </c>
      <c r="U2048" t="s">
        <v>60</v>
      </c>
      <c r="V2048" t="s">
        <v>61</v>
      </c>
      <c r="W2048">
        <v>3</v>
      </c>
      <c r="X2048">
        <v>0.14000000000000001</v>
      </c>
      <c r="Y2048" t="s">
        <v>628</v>
      </c>
      <c r="Z2048" t="s">
        <v>629</v>
      </c>
      <c r="AA2048">
        <v>4</v>
      </c>
      <c r="AB2048" t="s">
        <v>8086</v>
      </c>
      <c r="AC2048" t="s">
        <v>8087</v>
      </c>
      <c r="AD2048" t="s">
        <v>8088</v>
      </c>
      <c r="AE2048" t="s">
        <v>8089</v>
      </c>
      <c r="AF2048" t="s">
        <v>8090</v>
      </c>
      <c r="AG2048" t="s">
        <v>191</v>
      </c>
      <c r="AH2048" t="s">
        <v>322</v>
      </c>
      <c r="AI2048" t="s">
        <v>590</v>
      </c>
      <c r="AJ2048" t="s">
        <v>322</v>
      </c>
      <c r="AK2048">
        <v>1</v>
      </c>
      <c r="AL2048" t="s">
        <v>8388</v>
      </c>
      <c r="AM2048" t="s">
        <v>8389</v>
      </c>
      <c r="AN2048" t="s">
        <v>8287</v>
      </c>
      <c r="AO2048" t="s">
        <v>66</v>
      </c>
      <c r="AP2048">
        <v>1</v>
      </c>
      <c r="AQ2048" t="s">
        <v>8390</v>
      </c>
      <c r="AR2048" t="s">
        <v>8391</v>
      </c>
      <c r="AS2048" t="s">
        <v>66</v>
      </c>
      <c r="AT2048" t="s">
        <v>66</v>
      </c>
    </row>
    <row r="2049" spans="1:46" x14ac:dyDescent="0.15">
      <c r="A2049" t="s">
        <v>8521</v>
      </c>
      <c r="B2049" t="s">
        <v>8082</v>
      </c>
      <c r="C2049" t="s">
        <v>8083</v>
      </c>
      <c r="D2049">
        <v>87</v>
      </c>
      <c r="E2049" t="s">
        <v>8084</v>
      </c>
      <c r="F2049" t="s">
        <v>3083</v>
      </c>
      <c r="G2049" t="s">
        <v>51</v>
      </c>
      <c r="H2049" t="s">
        <v>8085</v>
      </c>
      <c r="I2049" t="s">
        <v>720</v>
      </c>
      <c r="J2049" t="s">
        <v>54</v>
      </c>
      <c r="K2049" t="s">
        <v>1338</v>
      </c>
      <c r="L2049" t="s">
        <v>17</v>
      </c>
      <c r="M2049" t="s">
        <v>18</v>
      </c>
      <c r="N2049">
        <v>5327</v>
      </c>
      <c r="O2049">
        <v>309</v>
      </c>
      <c r="P2049">
        <v>0</v>
      </c>
      <c r="Q2049" t="s">
        <v>8522</v>
      </c>
      <c r="R2049" t="s">
        <v>8523</v>
      </c>
      <c r="S2049" t="s">
        <v>8524</v>
      </c>
      <c r="T2049" t="s">
        <v>8525</v>
      </c>
      <c r="U2049" t="s">
        <v>60</v>
      </c>
      <c r="V2049" t="s">
        <v>61</v>
      </c>
      <c r="W2049">
        <v>3</v>
      </c>
      <c r="X2049">
        <v>0.14000000000000001</v>
      </c>
      <c r="Y2049" t="s">
        <v>350</v>
      </c>
      <c r="Z2049" t="s">
        <v>635</v>
      </c>
      <c r="AA2049">
        <v>4</v>
      </c>
      <c r="AB2049" t="s">
        <v>8086</v>
      </c>
      <c r="AC2049" t="s">
        <v>8087</v>
      </c>
      <c r="AD2049" t="s">
        <v>8088</v>
      </c>
      <c r="AE2049" t="s">
        <v>8089</v>
      </c>
      <c r="AF2049" t="s">
        <v>8090</v>
      </c>
      <c r="AG2049" t="s">
        <v>191</v>
      </c>
      <c r="AH2049" t="s">
        <v>322</v>
      </c>
      <c r="AI2049" t="s">
        <v>590</v>
      </c>
      <c r="AJ2049" t="s">
        <v>322</v>
      </c>
      <c r="AK2049">
        <v>1</v>
      </c>
      <c r="AL2049" t="s">
        <v>8388</v>
      </c>
      <c r="AM2049" t="s">
        <v>8389</v>
      </c>
      <c r="AN2049" t="s">
        <v>8287</v>
      </c>
      <c r="AO2049" t="s">
        <v>66</v>
      </c>
      <c r="AP2049">
        <v>1</v>
      </c>
      <c r="AQ2049" t="s">
        <v>8390</v>
      </c>
      <c r="AR2049" t="s">
        <v>8391</v>
      </c>
      <c r="AS2049" t="s">
        <v>66</v>
      </c>
      <c r="AT2049" t="s">
        <v>66</v>
      </c>
    </row>
    <row r="2050" spans="1:46" x14ac:dyDescent="0.15">
      <c r="A2050" t="s">
        <v>8526</v>
      </c>
      <c r="B2050" t="s">
        <v>8082</v>
      </c>
      <c r="C2050" t="s">
        <v>8083</v>
      </c>
      <c r="D2050">
        <v>88</v>
      </c>
      <c r="E2050" t="s">
        <v>8084</v>
      </c>
      <c r="F2050" t="s">
        <v>3083</v>
      </c>
      <c r="G2050" t="s">
        <v>51</v>
      </c>
      <c r="H2050" t="s">
        <v>8085</v>
      </c>
      <c r="I2050" t="s">
        <v>720</v>
      </c>
      <c r="J2050" t="s">
        <v>54</v>
      </c>
      <c r="K2050" t="s">
        <v>1338</v>
      </c>
      <c r="L2050" t="s">
        <v>17</v>
      </c>
      <c r="M2050" t="s">
        <v>18</v>
      </c>
      <c r="N2050">
        <v>5383</v>
      </c>
      <c r="O2050">
        <v>313</v>
      </c>
      <c r="P2050">
        <v>0</v>
      </c>
      <c r="Q2050" t="s">
        <v>8527</v>
      </c>
      <c r="R2050" t="s">
        <v>8528</v>
      </c>
      <c r="S2050" t="s">
        <v>8529</v>
      </c>
      <c r="T2050" t="s">
        <v>8530</v>
      </c>
      <c r="U2050" t="s">
        <v>60</v>
      </c>
      <c r="V2050" t="s">
        <v>61</v>
      </c>
      <c r="W2050">
        <v>3</v>
      </c>
      <c r="X2050">
        <v>0.14000000000000001</v>
      </c>
      <c r="Y2050" t="s">
        <v>641</v>
      </c>
      <c r="Z2050" t="s">
        <v>642</v>
      </c>
      <c r="AA2050">
        <v>4</v>
      </c>
      <c r="AB2050" t="s">
        <v>8086</v>
      </c>
      <c r="AC2050" t="s">
        <v>8087</v>
      </c>
      <c r="AD2050" t="s">
        <v>8088</v>
      </c>
      <c r="AE2050" t="s">
        <v>8089</v>
      </c>
      <c r="AF2050" t="s">
        <v>8090</v>
      </c>
      <c r="AG2050" t="s">
        <v>191</v>
      </c>
      <c r="AH2050" t="s">
        <v>322</v>
      </c>
      <c r="AI2050" t="s">
        <v>590</v>
      </c>
      <c r="AJ2050" t="s">
        <v>322</v>
      </c>
      <c r="AK2050">
        <v>1</v>
      </c>
      <c r="AL2050" t="s">
        <v>8388</v>
      </c>
      <c r="AM2050" t="s">
        <v>8389</v>
      </c>
      <c r="AN2050" t="s">
        <v>8287</v>
      </c>
      <c r="AO2050" t="s">
        <v>66</v>
      </c>
      <c r="AP2050">
        <v>1</v>
      </c>
      <c r="AQ2050" t="s">
        <v>8390</v>
      </c>
      <c r="AR2050" t="s">
        <v>8391</v>
      </c>
      <c r="AS2050" t="s">
        <v>66</v>
      </c>
      <c r="AT2050" t="s">
        <v>66</v>
      </c>
    </row>
    <row r="2051" spans="1:46" x14ac:dyDescent="0.15">
      <c r="A2051" t="s">
        <v>8531</v>
      </c>
      <c r="B2051" t="s">
        <v>8082</v>
      </c>
      <c r="C2051" t="s">
        <v>8083</v>
      </c>
      <c r="D2051">
        <v>89</v>
      </c>
      <c r="E2051" t="s">
        <v>8084</v>
      </c>
      <c r="F2051" t="s">
        <v>3083</v>
      </c>
      <c r="G2051" t="s">
        <v>51</v>
      </c>
      <c r="H2051" t="s">
        <v>8085</v>
      </c>
      <c r="I2051" t="s">
        <v>720</v>
      </c>
      <c r="J2051" t="s">
        <v>54</v>
      </c>
      <c r="K2051" t="s">
        <v>1338</v>
      </c>
      <c r="L2051" t="s">
        <v>17</v>
      </c>
      <c r="M2051" t="s">
        <v>18</v>
      </c>
      <c r="N2051">
        <v>5439</v>
      </c>
      <c r="O2051">
        <v>316</v>
      </c>
      <c r="P2051">
        <v>0</v>
      </c>
      <c r="Q2051" t="s">
        <v>8532</v>
      </c>
      <c r="R2051" t="s">
        <v>8533</v>
      </c>
      <c r="S2051" t="s">
        <v>8534</v>
      </c>
      <c r="T2051" t="s">
        <v>8535</v>
      </c>
      <c r="U2051" t="s">
        <v>60</v>
      </c>
      <c r="V2051" t="s">
        <v>61</v>
      </c>
      <c r="W2051">
        <v>3</v>
      </c>
      <c r="X2051">
        <v>0.14000000000000001</v>
      </c>
      <c r="Y2051" t="s">
        <v>356</v>
      </c>
      <c r="Z2051" t="s">
        <v>648</v>
      </c>
      <c r="AA2051">
        <v>4</v>
      </c>
      <c r="AB2051" t="s">
        <v>8086</v>
      </c>
      <c r="AC2051" t="s">
        <v>8087</v>
      </c>
      <c r="AD2051" t="s">
        <v>8088</v>
      </c>
      <c r="AE2051" t="s">
        <v>8089</v>
      </c>
      <c r="AF2051" t="s">
        <v>8090</v>
      </c>
      <c r="AG2051" t="s">
        <v>191</v>
      </c>
      <c r="AH2051" t="s">
        <v>322</v>
      </c>
      <c r="AI2051" t="s">
        <v>590</v>
      </c>
      <c r="AJ2051" t="s">
        <v>322</v>
      </c>
      <c r="AK2051">
        <v>1</v>
      </c>
      <c r="AL2051" t="s">
        <v>8388</v>
      </c>
      <c r="AM2051" t="s">
        <v>8389</v>
      </c>
      <c r="AN2051" t="s">
        <v>8287</v>
      </c>
      <c r="AO2051" t="s">
        <v>66</v>
      </c>
      <c r="AP2051">
        <v>1</v>
      </c>
      <c r="AQ2051" t="s">
        <v>8390</v>
      </c>
      <c r="AR2051" t="s">
        <v>8391</v>
      </c>
      <c r="AS2051" t="s">
        <v>66</v>
      </c>
      <c r="AT2051" t="s">
        <v>66</v>
      </c>
    </row>
    <row r="2052" spans="1:46" x14ac:dyDescent="0.15">
      <c r="A2052" t="s">
        <v>8536</v>
      </c>
      <c r="B2052" t="s">
        <v>8082</v>
      </c>
      <c r="C2052" t="s">
        <v>8083</v>
      </c>
      <c r="D2052">
        <v>90</v>
      </c>
      <c r="E2052" t="s">
        <v>8084</v>
      </c>
      <c r="F2052" t="s">
        <v>3083</v>
      </c>
      <c r="G2052" t="s">
        <v>51</v>
      </c>
      <c r="H2052" t="s">
        <v>8085</v>
      </c>
      <c r="I2052" t="s">
        <v>720</v>
      </c>
      <c r="J2052" t="s">
        <v>54</v>
      </c>
      <c r="K2052" t="s">
        <v>1338</v>
      </c>
      <c r="L2052" t="s">
        <v>17</v>
      </c>
      <c r="M2052" t="s">
        <v>18</v>
      </c>
      <c r="N2052">
        <v>5495</v>
      </c>
      <c r="O2052">
        <v>319</v>
      </c>
      <c r="P2052">
        <v>0</v>
      </c>
      <c r="Q2052" t="s">
        <v>8537</v>
      </c>
      <c r="R2052" t="s">
        <v>8538</v>
      </c>
      <c r="S2052" t="s">
        <v>8539</v>
      </c>
      <c r="T2052" t="s">
        <v>8540</v>
      </c>
      <c r="U2052" t="s">
        <v>60</v>
      </c>
      <c r="V2052" t="s">
        <v>61</v>
      </c>
      <c r="W2052">
        <v>3</v>
      </c>
      <c r="X2052">
        <v>0.14000000000000001</v>
      </c>
      <c r="Y2052" t="s">
        <v>654</v>
      </c>
      <c r="Z2052" t="s">
        <v>655</v>
      </c>
      <c r="AA2052">
        <v>4</v>
      </c>
      <c r="AB2052" t="s">
        <v>8086</v>
      </c>
      <c r="AC2052" t="s">
        <v>8087</v>
      </c>
      <c r="AD2052" t="s">
        <v>8088</v>
      </c>
      <c r="AE2052" t="s">
        <v>8089</v>
      </c>
      <c r="AF2052" t="s">
        <v>8090</v>
      </c>
      <c r="AG2052" t="s">
        <v>191</v>
      </c>
      <c r="AH2052" t="s">
        <v>322</v>
      </c>
      <c r="AI2052" t="s">
        <v>590</v>
      </c>
      <c r="AJ2052" t="s">
        <v>322</v>
      </c>
      <c r="AK2052">
        <v>1</v>
      </c>
      <c r="AL2052" t="s">
        <v>8388</v>
      </c>
      <c r="AM2052" t="s">
        <v>8389</v>
      </c>
      <c r="AN2052" t="s">
        <v>8287</v>
      </c>
      <c r="AO2052" t="s">
        <v>66</v>
      </c>
      <c r="AP2052">
        <v>1</v>
      </c>
      <c r="AQ2052" t="s">
        <v>8390</v>
      </c>
      <c r="AR2052" t="s">
        <v>8391</v>
      </c>
      <c r="AS2052" t="s">
        <v>66</v>
      </c>
      <c r="AT2052" t="s">
        <v>66</v>
      </c>
    </row>
    <row r="2053" spans="1:46" x14ac:dyDescent="0.15">
      <c r="A2053" t="s">
        <v>8541</v>
      </c>
      <c r="B2053" t="s">
        <v>8082</v>
      </c>
      <c r="C2053" t="s">
        <v>8083</v>
      </c>
      <c r="D2053">
        <v>91</v>
      </c>
      <c r="E2053" t="s">
        <v>8084</v>
      </c>
      <c r="F2053" t="s">
        <v>3083</v>
      </c>
      <c r="G2053" t="s">
        <v>51</v>
      </c>
      <c r="H2053" t="s">
        <v>8085</v>
      </c>
      <c r="I2053" t="s">
        <v>720</v>
      </c>
      <c r="J2053" t="s">
        <v>54</v>
      </c>
      <c r="K2053" t="s">
        <v>1338</v>
      </c>
      <c r="L2053" t="s">
        <v>17</v>
      </c>
      <c r="M2053" t="s">
        <v>18</v>
      </c>
      <c r="N2053">
        <v>5551</v>
      </c>
      <c r="O2053">
        <v>322</v>
      </c>
      <c r="P2053">
        <v>0</v>
      </c>
      <c r="Q2053" t="s">
        <v>8542</v>
      </c>
      <c r="R2053" t="s">
        <v>8543</v>
      </c>
      <c r="S2053" t="s">
        <v>8544</v>
      </c>
      <c r="T2053" t="s">
        <v>8545</v>
      </c>
      <c r="U2053" t="s">
        <v>60</v>
      </c>
      <c r="V2053" t="s">
        <v>61</v>
      </c>
      <c r="W2053">
        <v>3</v>
      </c>
      <c r="X2053">
        <v>0.14000000000000001</v>
      </c>
      <c r="Y2053" t="s">
        <v>363</v>
      </c>
      <c r="Z2053" t="s">
        <v>661</v>
      </c>
      <c r="AA2053">
        <v>4</v>
      </c>
      <c r="AB2053" t="s">
        <v>8086</v>
      </c>
      <c r="AC2053" t="s">
        <v>8087</v>
      </c>
      <c r="AD2053" t="s">
        <v>8088</v>
      </c>
      <c r="AE2053" t="s">
        <v>8089</v>
      </c>
      <c r="AF2053" t="s">
        <v>8090</v>
      </c>
      <c r="AG2053" t="s">
        <v>191</v>
      </c>
      <c r="AH2053" t="s">
        <v>322</v>
      </c>
      <c r="AI2053" t="s">
        <v>590</v>
      </c>
      <c r="AJ2053" t="s">
        <v>322</v>
      </c>
      <c r="AK2053">
        <v>1</v>
      </c>
      <c r="AL2053" t="s">
        <v>8388</v>
      </c>
      <c r="AM2053" t="s">
        <v>8389</v>
      </c>
      <c r="AN2053" t="s">
        <v>8287</v>
      </c>
      <c r="AO2053" t="s">
        <v>66</v>
      </c>
      <c r="AP2053">
        <v>1</v>
      </c>
      <c r="AQ2053" t="s">
        <v>8390</v>
      </c>
      <c r="AR2053" t="s">
        <v>8391</v>
      </c>
      <c r="AS2053" t="s">
        <v>66</v>
      </c>
      <c r="AT2053" t="s">
        <v>66</v>
      </c>
    </row>
    <row r="2054" spans="1:46" x14ac:dyDescent="0.15">
      <c r="A2054" t="s">
        <v>8546</v>
      </c>
      <c r="B2054" t="s">
        <v>8082</v>
      </c>
      <c r="C2054" t="s">
        <v>8083</v>
      </c>
      <c r="D2054">
        <v>92</v>
      </c>
      <c r="E2054" t="s">
        <v>8084</v>
      </c>
      <c r="F2054" t="s">
        <v>3083</v>
      </c>
      <c r="G2054" t="s">
        <v>51</v>
      </c>
      <c r="H2054" t="s">
        <v>8085</v>
      </c>
      <c r="I2054" t="s">
        <v>720</v>
      </c>
      <c r="J2054" t="s">
        <v>54</v>
      </c>
      <c r="K2054" t="s">
        <v>1338</v>
      </c>
      <c r="L2054" t="s">
        <v>17</v>
      </c>
      <c r="M2054" t="s">
        <v>18</v>
      </c>
      <c r="N2054">
        <v>5607</v>
      </c>
      <c r="O2054">
        <v>326</v>
      </c>
      <c r="P2054">
        <v>0</v>
      </c>
      <c r="Q2054" t="s">
        <v>8547</v>
      </c>
      <c r="R2054" t="s">
        <v>8548</v>
      </c>
      <c r="S2054" t="s">
        <v>8549</v>
      </c>
      <c r="T2054" t="s">
        <v>8550</v>
      </c>
      <c r="U2054" t="s">
        <v>60</v>
      </c>
      <c r="V2054" t="s">
        <v>61</v>
      </c>
      <c r="W2054">
        <v>3</v>
      </c>
      <c r="X2054">
        <v>0.14000000000000001</v>
      </c>
      <c r="Y2054" t="s">
        <v>667</v>
      </c>
      <c r="Z2054" t="s">
        <v>668</v>
      </c>
      <c r="AA2054">
        <v>4</v>
      </c>
      <c r="AB2054" t="s">
        <v>8086</v>
      </c>
      <c r="AC2054" t="s">
        <v>8087</v>
      </c>
      <c r="AD2054" t="s">
        <v>8088</v>
      </c>
      <c r="AE2054" t="s">
        <v>8089</v>
      </c>
      <c r="AF2054" t="s">
        <v>8090</v>
      </c>
      <c r="AG2054" t="s">
        <v>191</v>
      </c>
      <c r="AH2054" t="s">
        <v>322</v>
      </c>
      <c r="AI2054" t="s">
        <v>590</v>
      </c>
      <c r="AJ2054" t="s">
        <v>322</v>
      </c>
      <c r="AK2054">
        <v>1</v>
      </c>
      <c r="AL2054" t="s">
        <v>8388</v>
      </c>
      <c r="AM2054" t="s">
        <v>8389</v>
      </c>
      <c r="AN2054" t="s">
        <v>8287</v>
      </c>
      <c r="AO2054" t="s">
        <v>66</v>
      </c>
      <c r="AP2054">
        <v>1</v>
      </c>
      <c r="AQ2054" t="s">
        <v>8390</v>
      </c>
      <c r="AR2054" t="s">
        <v>8391</v>
      </c>
      <c r="AS2054" t="s">
        <v>66</v>
      </c>
      <c r="AT2054" t="s">
        <v>66</v>
      </c>
    </row>
    <row r="2055" spans="1:46" x14ac:dyDescent="0.15">
      <c r="A2055" t="s">
        <v>8551</v>
      </c>
      <c r="B2055" t="s">
        <v>8082</v>
      </c>
      <c r="C2055" t="s">
        <v>8083</v>
      </c>
      <c r="D2055">
        <v>93</v>
      </c>
      <c r="E2055" t="s">
        <v>8084</v>
      </c>
      <c r="F2055" t="s">
        <v>3083</v>
      </c>
      <c r="G2055" t="s">
        <v>51</v>
      </c>
      <c r="H2055" t="s">
        <v>8085</v>
      </c>
      <c r="I2055" t="s">
        <v>720</v>
      </c>
      <c r="J2055" t="s">
        <v>54</v>
      </c>
      <c r="K2055" t="s">
        <v>1338</v>
      </c>
      <c r="L2055" t="s">
        <v>17</v>
      </c>
      <c r="M2055" t="s">
        <v>18</v>
      </c>
      <c r="N2055">
        <v>5663</v>
      </c>
      <c r="O2055">
        <v>329</v>
      </c>
      <c r="P2055">
        <v>0</v>
      </c>
      <c r="Q2055" t="s">
        <v>8552</v>
      </c>
      <c r="R2055" t="s">
        <v>8553</v>
      </c>
      <c r="S2055" t="s">
        <v>8554</v>
      </c>
      <c r="T2055" t="s">
        <v>8555</v>
      </c>
      <c r="U2055" t="s">
        <v>60</v>
      </c>
      <c r="V2055" t="s">
        <v>61</v>
      </c>
      <c r="W2055">
        <v>3</v>
      </c>
      <c r="X2055">
        <v>0.14000000000000001</v>
      </c>
      <c r="Y2055" t="s">
        <v>369</v>
      </c>
      <c r="Z2055" t="s">
        <v>674</v>
      </c>
      <c r="AA2055">
        <v>4</v>
      </c>
      <c r="AB2055" t="s">
        <v>8086</v>
      </c>
      <c r="AC2055" t="s">
        <v>8087</v>
      </c>
      <c r="AD2055" t="s">
        <v>8088</v>
      </c>
      <c r="AE2055" t="s">
        <v>8089</v>
      </c>
      <c r="AF2055" t="s">
        <v>8090</v>
      </c>
      <c r="AG2055" t="s">
        <v>191</v>
      </c>
      <c r="AH2055" t="s">
        <v>322</v>
      </c>
      <c r="AI2055" t="s">
        <v>590</v>
      </c>
      <c r="AJ2055" t="s">
        <v>322</v>
      </c>
      <c r="AK2055">
        <v>1</v>
      </c>
      <c r="AL2055" t="s">
        <v>8388</v>
      </c>
      <c r="AM2055" t="s">
        <v>8389</v>
      </c>
      <c r="AN2055" t="s">
        <v>8287</v>
      </c>
      <c r="AO2055" t="s">
        <v>66</v>
      </c>
      <c r="AP2055">
        <v>1</v>
      </c>
      <c r="AQ2055" t="s">
        <v>8390</v>
      </c>
      <c r="AR2055" t="s">
        <v>8391</v>
      </c>
      <c r="AS2055" t="s">
        <v>66</v>
      </c>
      <c r="AT2055" t="s">
        <v>66</v>
      </c>
    </row>
    <row r="2056" spans="1:46" x14ac:dyDescent="0.15">
      <c r="A2056" t="s">
        <v>8556</v>
      </c>
      <c r="B2056" t="s">
        <v>8082</v>
      </c>
      <c r="C2056" t="s">
        <v>8083</v>
      </c>
      <c r="D2056">
        <v>94</v>
      </c>
      <c r="E2056" t="s">
        <v>8084</v>
      </c>
      <c r="F2056" t="s">
        <v>3083</v>
      </c>
      <c r="G2056" t="s">
        <v>51</v>
      </c>
      <c r="H2056" t="s">
        <v>8085</v>
      </c>
      <c r="I2056" t="s">
        <v>720</v>
      </c>
      <c r="J2056" t="s">
        <v>54</v>
      </c>
      <c r="K2056" t="s">
        <v>1338</v>
      </c>
      <c r="L2056" t="s">
        <v>17</v>
      </c>
      <c r="M2056" t="s">
        <v>18</v>
      </c>
      <c r="N2056">
        <v>5719</v>
      </c>
      <c r="O2056">
        <v>332</v>
      </c>
      <c r="P2056">
        <v>0</v>
      </c>
      <c r="Q2056" t="s">
        <v>8557</v>
      </c>
      <c r="R2056" t="s">
        <v>8558</v>
      </c>
      <c r="S2056" t="s">
        <v>8559</v>
      </c>
      <c r="T2056" t="s">
        <v>8560</v>
      </c>
      <c r="U2056" t="s">
        <v>60</v>
      </c>
      <c r="V2056" t="s">
        <v>61</v>
      </c>
      <c r="W2056">
        <v>3</v>
      </c>
      <c r="X2056">
        <v>0.14000000000000001</v>
      </c>
      <c r="Y2056" t="s">
        <v>680</v>
      </c>
      <c r="Z2056" t="s">
        <v>681</v>
      </c>
      <c r="AA2056">
        <v>4</v>
      </c>
      <c r="AB2056" t="s">
        <v>8086</v>
      </c>
      <c r="AC2056" t="s">
        <v>8087</v>
      </c>
      <c r="AD2056" t="s">
        <v>8088</v>
      </c>
      <c r="AE2056" t="s">
        <v>8089</v>
      </c>
      <c r="AF2056" t="s">
        <v>8090</v>
      </c>
      <c r="AG2056" t="s">
        <v>191</v>
      </c>
      <c r="AH2056" t="s">
        <v>322</v>
      </c>
      <c r="AI2056" t="s">
        <v>590</v>
      </c>
      <c r="AJ2056" t="s">
        <v>322</v>
      </c>
      <c r="AK2056">
        <v>1</v>
      </c>
      <c r="AL2056" t="s">
        <v>8388</v>
      </c>
      <c r="AM2056" t="s">
        <v>8389</v>
      </c>
      <c r="AN2056" t="s">
        <v>8287</v>
      </c>
      <c r="AO2056" t="s">
        <v>66</v>
      </c>
      <c r="AP2056">
        <v>1</v>
      </c>
      <c r="AQ2056" t="s">
        <v>8390</v>
      </c>
      <c r="AR2056" t="s">
        <v>8391</v>
      </c>
      <c r="AS2056" t="s">
        <v>66</v>
      </c>
      <c r="AT2056" t="s">
        <v>66</v>
      </c>
    </row>
    <row r="2057" spans="1:46" x14ac:dyDescent="0.15">
      <c r="A2057" t="s">
        <v>8561</v>
      </c>
      <c r="B2057" t="s">
        <v>8082</v>
      </c>
      <c r="C2057" t="s">
        <v>8083</v>
      </c>
      <c r="D2057">
        <v>95</v>
      </c>
      <c r="E2057" t="s">
        <v>8084</v>
      </c>
      <c r="F2057" t="s">
        <v>3083</v>
      </c>
      <c r="G2057" t="s">
        <v>51</v>
      </c>
      <c r="H2057" t="s">
        <v>8085</v>
      </c>
      <c r="I2057" t="s">
        <v>720</v>
      </c>
      <c r="J2057" t="s">
        <v>54</v>
      </c>
      <c r="K2057" t="s">
        <v>1338</v>
      </c>
      <c r="L2057" t="s">
        <v>17</v>
      </c>
      <c r="M2057" t="s">
        <v>18</v>
      </c>
      <c r="N2057">
        <v>5776</v>
      </c>
      <c r="O2057">
        <v>335</v>
      </c>
      <c r="P2057">
        <v>0</v>
      </c>
      <c r="Q2057" t="s">
        <v>8562</v>
      </c>
      <c r="R2057" t="s">
        <v>8563</v>
      </c>
      <c r="S2057" t="s">
        <v>8564</v>
      </c>
      <c r="T2057" t="s">
        <v>8565</v>
      </c>
      <c r="U2057" t="s">
        <v>60</v>
      </c>
      <c r="V2057" t="s">
        <v>61</v>
      </c>
      <c r="W2057">
        <v>3</v>
      </c>
      <c r="X2057">
        <v>0.14000000000000001</v>
      </c>
      <c r="Y2057" t="s">
        <v>376</v>
      </c>
      <c r="Z2057" t="s">
        <v>687</v>
      </c>
      <c r="AA2057">
        <v>4</v>
      </c>
      <c r="AB2057" t="s">
        <v>8086</v>
      </c>
      <c r="AC2057" t="s">
        <v>8087</v>
      </c>
      <c r="AD2057" t="s">
        <v>8088</v>
      </c>
      <c r="AE2057" t="s">
        <v>8089</v>
      </c>
      <c r="AF2057" t="s">
        <v>8090</v>
      </c>
      <c r="AG2057" t="s">
        <v>191</v>
      </c>
      <c r="AH2057" t="s">
        <v>322</v>
      </c>
      <c r="AI2057" t="s">
        <v>590</v>
      </c>
      <c r="AJ2057" t="s">
        <v>322</v>
      </c>
      <c r="AK2057">
        <v>1</v>
      </c>
      <c r="AL2057" t="s">
        <v>8388</v>
      </c>
      <c r="AM2057" t="s">
        <v>8389</v>
      </c>
      <c r="AN2057" t="s">
        <v>8287</v>
      </c>
      <c r="AO2057" t="s">
        <v>66</v>
      </c>
      <c r="AP2057">
        <v>1</v>
      </c>
      <c r="AQ2057" t="s">
        <v>8390</v>
      </c>
      <c r="AR2057" t="s">
        <v>8391</v>
      </c>
      <c r="AS2057" t="s">
        <v>66</v>
      </c>
      <c r="AT2057" t="s">
        <v>66</v>
      </c>
    </row>
    <row r="2058" spans="1:46" x14ac:dyDescent="0.15">
      <c r="A2058" t="s">
        <v>8566</v>
      </c>
      <c r="B2058" t="s">
        <v>8082</v>
      </c>
      <c r="C2058" t="s">
        <v>8083</v>
      </c>
      <c r="D2058">
        <v>96</v>
      </c>
      <c r="E2058" t="s">
        <v>8084</v>
      </c>
      <c r="F2058" t="s">
        <v>3083</v>
      </c>
      <c r="G2058" t="s">
        <v>51</v>
      </c>
      <c r="H2058" t="s">
        <v>8085</v>
      </c>
      <c r="I2058" t="s">
        <v>720</v>
      </c>
      <c r="J2058" t="s">
        <v>54</v>
      </c>
      <c r="K2058" t="s">
        <v>1338</v>
      </c>
      <c r="L2058" t="s">
        <v>17</v>
      </c>
      <c r="M2058" t="s">
        <v>18</v>
      </c>
      <c r="N2058">
        <v>5832</v>
      </c>
      <c r="O2058">
        <v>339</v>
      </c>
      <c r="P2058">
        <v>0</v>
      </c>
      <c r="Q2058" t="s">
        <v>8567</v>
      </c>
      <c r="R2058" t="s">
        <v>8568</v>
      </c>
      <c r="S2058" t="s">
        <v>8569</v>
      </c>
      <c r="T2058" t="s">
        <v>8570</v>
      </c>
      <c r="U2058" t="s">
        <v>60</v>
      </c>
      <c r="V2058" t="s">
        <v>61</v>
      </c>
      <c r="W2058">
        <v>3</v>
      </c>
      <c r="X2058">
        <v>0.14000000000000001</v>
      </c>
      <c r="Y2058" t="s">
        <v>693</v>
      </c>
      <c r="Z2058" t="s">
        <v>694</v>
      </c>
      <c r="AA2058">
        <v>4</v>
      </c>
      <c r="AB2058" t="s">
        <v>8086</v>
      </c>
      <c r="AC2058" t="s">
        <v>8087</v>
      </c>
      <c r="AD2058" t="s">
        <v>8088</v>
      </c>
      <c r="AE2058" t="s">
        <v>8089</v>
      </c>
      <c r="AF2058" t="s">
        <v>8090</v>
      </c>
      <c r="AG2058" t="s">
        <v>191</v>
      </c>
      <c r="AH2058" t="s">
        <v>322</v>
      </c>
      <c r="AI2058" t="s">
        <v>590</v>
      </c>
      <c r="AJ2058" t="s">
        <v>322</v>
      </c>
      <c r="AK2058">
        <v>1</v>
      </c>
      <c r="AL2058" t="s">
        <v>8388</v>
      </c>
      <c r="AM2058" t="s">
        <v>8389</v>
      </c>
      <c r="AN2058" t="s">
        <v>8287</v>
      </c>
      <c r="AO2058" t="s">
        <v>66</v>
      </c>
      <c r="AP2058">
        <v>1</v>
      </c>
      <c r="AQ2058" t="s">
        <v>8390</v>
      </c>
      <c r="AR2058" t="s">
        <v>8391</v>
      </c>
      <c r="AS2058" t="s">
        <v>66</v>
      </c>
      <c r="AT2058" t="s">
        <v>66</v>
      </c>
    </row>
    <row r="2059" spans="1:46" x14ac:dyDescent="0.15">
      <c r="A2059" t="s">
        <v>8571</v>
      </c>
      <c r="B2059" t="s">
        <v>8082</v>
      </c>
      <c r="C2059" t="s">
        <v>8083</v>
      </c>
      <c r="D2059">
        <v>97</v>
      </c>
      <c r="E2059" t="s">
        <v>8084</v>
      </c>
      <c r="F2059" t="s">
        <v>3083</v>
      </c>
      <c r="G2059" t="s">
        <v>51</v>
      </c>
      <c r="H2059" t="s">
        <v>8085</v>
      </c>
      <c r="I2059" t="s">
        <v>720</v>
      </c>
      <c r="J2059" t="s">
        <v>54</v>
      </c>
      <c r="K2059" t="s">
        <v>1338</v>
      </c>
      <c r="L2059" t="s">
        <v>17</v>
      </c>
      <c r="M2059" t="s">
        <v>18</v>
      </c>
      <c r="N2059">
        <v>5888</v>
      </c>
      <c r="O2059">
        <v>342</v>
      </c>
      <c r="P2059">
        <v>0</v>
      </c>
      <c r="Q2059" t="s">
        <v>8572</v>
      </c>
      <c r="R2059" t="s">
        <v>8573</v>
      </c>
      <c r="S2059" t="s">
        <v>8574</v>
      </c>
      <c r="T2059" t="s">
        <v>8575</v>
      </c>
      <c r="U2059" t="s">
        <v>60</v>
      </c>
      <c r="V2059" t="s">
        <v>61</v>
      </c>
      <c r="W2059">
        <v>3</v>
      </c>
      <c r="X2059">
        <v>0.14000000000000001</v>
      </c>
      <c r="Y2059" t="s">
        <v>382</v>
      </c>
      <c r="Z2059" t="s">
        <v>700</v>
      </c>
      <c r="AA2059">
        <v>4</v>
      </c>
      <c r="AB2059" t="s">
        <v>8086</v>
      </c>
      <c r="AC2059" t="s">
        <v>8087</v>
      </c>
      <c r="AD2059" t="s">
        <v>8088</v>
      </c>
      <c r="AE2059" t="s">
        <v>8089</v>
      </c>
      <c r="AF2059" t="s">
        <v>8090</v>
      </c>
      <c r="AG2059" t="s">
        <v>191</v>
      </c>
      <c r="AH2059" t="s">
        <v>322</v>
      </c>
      <c r="AI2059" t="s">
        <v>590</v>
      </c>
      <c r="AJ2059" t="s">
        <v>322</v>
      </c>
      <c r="AK2059">
        <v>1</v>
      </c>
      <c r="AL2059" t="s">
        <v>8388</v>
      </c>
      <c r="AM2059" t="s">
        <v>8389</v>
      </c>
      <c r="AN2059" t="s">
        <v>8287</v>
      </c>
      <c r="AO2059" t="s">
        <v>66</v>
      </c>
      <c r="AP2059">
        <v>1</v>
      </c>
      <c r="AQ2059" t="s">
        <v>8390</v>
      </c>
      <c r="AR2059" t="s">
        <v>8391</v>
      </c>
      <c r="AS2059" t="s">
        <v>66</v>
      </c>
      <c r="AT2059" t="s">
        <v>66</v>
      </c>
    </row>
    <row r="2060" spans="1:46" x14ac:dyDescent="0.15">
      <c r="A2060" t="s">
        <v>8576</v>
      </c>
      <c r="B2060" t="s">
        <v>8082</v>
      </c>
      <c r="C2060" t="s">
        <v>8083</v>
      </c>
      <c r="D2060">
        <v>98</v>
      </c>
      <c r="E2060" t="s">
        <v>8084</v>
      </c>
      <c r="F2060" t="s">
        <v>3083</v>
      </c>
      <c r="G2060" t="s">
        <v>51</v>
      </c>
      <c r="H2060" t="s">
        <v>8085</v>
      </c>
      <c r="I2060" t="s">
        <v>720</v>
      </c>
      <c r="J2060" t="s">
        <v>54</v>
      </c>
      <c r="K2060" t="s">
        <v>1338</v>
      </c>
      <c r="L2060" t="s">
        <v>17</v>
      </c>
      <c r="M2060" t="s">
        <v>18</v>
      </c>
      <c r="N2060">
        <v>5944</v>
      </c>
      <c r="O2060">
        <v>345</v>
      </c>
      <c r="P2060">
        <v>0</v>
      </c>
      <c r="Q2060" t="s">
        <v>8577</v>
      </c>
      <c r="R2060" t="s">
        <v>8578</v>
      </c>
      <c r="S2060" t="s">
        <v>8579</v>
      </c>
      <c r="T2060" t="s">
        <v>8580</v>
      </c>
      <c r="U2060" t="s">
        <v>60</v>
      </c>
      <c r="V2060" t="s">
        <v>61</v>
      </c>
      <c r="W2060">
        <v>3</v>
      </c>
      <c r="X2060">
        <v>0.14000000000000001</v>
      </c>
      <c r="Y2060" t="s">
        <v>706</v>
      </c>
      <c r="Z2060" t="s">
        <v>707</v>
      </c>
      <c r="AA2060">
        <v>4</v>
      </c>
      <c r="AB2060" t="s">
        <v>8086</v>
      </c>
      <c r="AC2060" t="s">
        <v>8087</v>
      </c>
      <c r="AD2060" t="s">
        <v>8088</v>
      </c>
      <c r="AE2060" t="s">
        <v>8089</v>
      </c>
      <c r="AF2060" t="s">
        <v>8090</v>
      </c>
      <c r="AG2060" t="s">
        <v>191</v>
      </c>
      <c r="AH2060" t="s">
        <v>322</v>
      </c>
      <c r="AI2060" t="s">
        <v>590</v>
      </c>
      <c r="AJ2060" t="s">
        <v>322</v>
      </c>
      <c r="AK2060">
        <v>1</v>
      </c>
      <c r="AL2060" t="s">
        <v>8388</v>
      </c>
      <c r="AM2060" t="s">
        <v>8389</v>
      </c>
      <c r="AN2060" t="s">
        <v>8287</v>
      </c>
      <c r="AO2060" t="s">
        <v>66</v>
      </c>
      <c r="AP2060">
        <v>1</v>
      </c>
      <c r="AQ2060" t="s">
        <v>8390</v>
      </c>
      <c r="AR2060" t="s">
        <v>8391</v>
      </c>
      <c r="AS2060" t="s">
        <v>66</v>
      </c>
      <c r="AT2060" t="s">
        <v>66</v>
      </c>
    </row>
    <row r="2061" spans="1:46" x14ac:dyDescent="0.15">
      <c r="A2061" t="s">
        <v>8581</v>
      </c>
      <c r="B2061" t="s">
        <v>8082</v>
      </c>
      <c r="C2061" t="s">
        <v>8083</v>
      </c>
      <c r="D2061">
        <v>99</v>
      </c>
      <c r="E2061" t="s">
        <v>8084</v>
      </c>
      <c r="F2061" t="s">
        <v>3083</v>
      </c>
      <c r="G2061" t="s">
        <v>51</v>
      </c>
      <c r="H2061" t="s">
        <v>8085</v>
      </c>
      <c r="I2061" t="s">
        <v>720</v>
      </c>
      <c r="J2061" t="s">
        <v>54</v>
      </c>
      <c r="K2061" t="s">
        <v>1338</v>
      </c>
      <c r="L2061" t="s">
        <v>17</v>
      </c>
      <c r="M2061" t="s">
        <v>18</v>
      </c>
      <c r="N2061">
        <v>6000</v>
      </c>
      <c r="O2061">
        <v>348</v>
      </c>
      <c r="P2061">
        <v>0</v>
      </c>
      <c r="Q2061" t="s">
        <v>4919</v>
      </c>
      <c r="R2061" t="s">
        <v>710</v>
      </c>
      <c r="S2061" t="s">
        <v>2564</v>
      </c>
      <c r="T2061" t="s">
        <v>8582</v>
      </c>
      <c r="U2061" t="s">
        <v>60</v>
      </c>
      <c r="V2061" t="s">
        <v>61</v>
      </c>
      <c r="W2061">
        <v>3</v>
      </c>
      <c r="X2061">
        <v>0.14000000000000001</v>
      </c>
      <c r="Y2061" t="s">
        <v>389</v>
      </c>
      <c r="Z2061" t="s">
        <v>713</v>
      </c>
      <c r="AA2061">
        <v>4</v>
      </c>
      <c r="AB2061" t="s">
        <v>8086</v>
      </c>
      <c r="AC2061" t="s">
        <v>8087</v>
      </c>
      <c r="AD2061" t="s">
        <v>8088</v>
      </c>
      <c r="AE2061" t="s">
        <v>8089</v>
      </c>
      <c r="AF2061" t="s">
        <v>8090</v>
      </c>
      <c r="AG2061" t="s">
        <v>191</v>
      </c>
      <c r="AH2061" t="s">
        <v>322</v>
      </c>
      <c r="AI2061" t="s">
        <v>590</v>
      </c>
      <c r="AJ2061" t="s">
        <v>322</v>
      </c>
      <c r="AK2061">
        <v>1</v>
      </c>
      <c r="AL2061" t="s">
        <v>8388</v>
      </c>
      <c r="AM2061" t="s">
        <v>8389</v>
      </c>
      <c r="AN2061" t="s">
        <v>8287</v>
      </c>
      <c r="AO2061" t="s">
        <v>66</v>
      </c>
      <c r="AP2061">
        <v>1</v>
      </c>
      <c r="AQ2061" t="s">
        <v>8390</v>
      </c>
      <c r="AR2061" t="s">
        <v>8391</v>
      </c>
      <c r="AS2061" t="s">
        <v>66</v>
      </c>
      <c r="AT2061" t="s">
        <v>66</v>
      </c>
    </row>
    <row r="2062" spans="1:46" x14ac:dyDescent="0.15">
      <c r="A2062" t="s">
        <v>8583</v>
      </c>
      <c r="B2062" t="s">
        <v>8584</v>
      </c>
      <c r="C2062" t="s">
        <v>8585</v>
      </c>
      <c r="D2062">
        <v>1</v>
      </c>
      <c r="E2062" t="s">
        <v>8586</v>
      </c>
      <c r="F2062" t="s">
        <v>50</v>
      </c>
      <c r="G2062" t="s">
        <v>51</v>
      </c>
      <c r="H2062" t="s">
        <v>8587</v>
      </c>
      <c r="I2062" t="s">
        <v>720</v>
      </c>
      <c r="J2062" t="s">
        <v>4518</v>
      </c>
      <c r="K2062" t="s">
        <v>3594</v>
      </c>
      <c r="L2062" t="s">
        <v>19</v>
      </c>
      <c r="M2062" t="s">
        <v>16</v>
      </c>
      <c r="N2062">
        <v>500</v>
      </c>
      <c r="O2062">
        <v>30</v>
      </c>
      <c r="P2062">
        <v>0</v>
      </c>
      <c r="Q2062" t="s">
        <v>8588</v>
      </c>
      <c r="R2062" t="s">
        <v>723</v>
      </c>
      <c r="S2062" t="s">
        <v>4520</v>
      </c>
      <c r="T2062" t="s">
        <v>4521</v>
      </c>
      <c r="U2062" t="s">
        <v>60</v>
      </c>
      <c r="V2062" t="s">
        <v>61</v>
      </c>
      <c r="W2062">
        <v>3</v>
      </c>
      <c r="X2062">
        <v>0.13387499999999999</v>
      </c>
      <c r="Y2062" t="s">
        <v>62</v>
      </c>
      <c r="Z2062" t="s">
        <v>62</v>
      </c>
      <c r="AA2062">
        <v>0</v>
      </c>
      <c r="AB2062" t="s">
        <v>8589</v>
      </c>
      <c r="AC2062" t="s">
        <v>8590</v>
      </c>
      <c r="AD2062" t="s">
        <v>8591</v>
      </c>
      <c r="AE2062" t="s">
        <v>8592</v>
      </c>
      <c r="AF2062" t="s">
        <v>8593</v>
      </c>
      <c r="AG2062" t="s">
        <v>66</v>
      </c>
      <c r="AH2062" t="s">
        <v>66</v>
      </c>
      <c r="AI2062" t="s">
        <v>66</v>
      </c>
      <c r="AJ2062" t="s">
        <v>66</v>
      </c>
      <c r="AK2062">
        <v>1</v>
      </c>
      <c r="AL2062" t="s">
        <v>66</v>
      </c>
      <c r="AM2062" t="s">
        <v>66</v>
      </c>
      <c r="AN2062" t="s">
        <v>66</v>
      </c>
      <c r="AO2062" t="s">
        <v>66</v>
      </c>
      <c r="AP2062">
        <v>1</v>
      </c>
      <c r="AQ2062" t="s">
        <v>66</v>
      </c>
      <c r="AR2062" t="s">
        <v>66</v>
      </c>
      <c r="AS2062" t="s">
        <v>66</v>
      </c>
      <c r="AT2062" t="s">
        <v>66</v>
      </c>
    </row>
    <row r="2063" spans="1:46" x14ac:dyDescent="0.15">
      <c r="A2063" t="s">
        <v>8594</v>
      </c>
      <c r="B2063" t="s">
        <v>8584</v>
      </c>
      <c r="C2063" t="s">
        <v>8585</v>
      </c>
      <c r="D2063">
        <v>2</v>
      </c>
      <c r="E2063" t="s">
        <v>8586</v>
      </c>
      <c r="F2063" t="s">
        <v>50</v>
      </c>
      <c r="G2063" t="s">
        <v>51</v>
      </c>
      <c r="H2063" t="s">
        <v>8587</v>
      </c>
      <c r="I2063" t="s">
        <v>720</v>
      </c>
      <c r="J2063" t="s">
        <v>4518</v>
      </c>
      <c r="K2063" t="s">
        <v>3594</v>
      </c>
      <c r="L2063" t="s">
        <v>19</v>
      </c>
      <c r="M2063" t="s">
        <v>16</v>
      </c>
      <c r="N2063">
        <v>556</v>
      </c>
      <c r="O2063">
        <v>33</v>
      </c>
      <c r="P2063">
        <v>0</v>
      </c>
      <c r="Q2063" t="s">
        <v>8595</v>
      </c>
      <c r="R2063" t="s">
        <v>8596</v>
      </c>
      <c r="S2063" t="s">
        <v>4529</v>
      </c>
      <c r="T2063" t="s">
        <v>8597</v>
      </c>
      <c r="U2063" t="s">
        <v>60</v>
      </c>
      <c r="V2063" t="s">
        <v>61</v>
      </c>
      <c r="W2063">
        <v>3</v>
      </c>
      <c r="X2063">
        <v>0.13387499999999999</v>
      </c>
      <c r="Y2063" t="s">
        <v>72</v>
      </c>
      <c r="Z2063" t="s">
        <v>73</v>
      </c>
      <c r="AA2063">
        <v>0</v>
      </c>
      <c r="AB2063" t="s">
        <v>8589</v>
      </c>
      <c r="AC2063" t="s">
        <v>8590</v>
      </c>
      <c r="AD2063" t="s">
        <v>8591</v>
      </c>
      <c r="AE2063" t="s">
        <v>8592</v>
      </c>
      <c r="AF2063" t="s">
        <v>8593</v>
      </c>
      <c r="AG2063" t="s">
        <v>66</v>
      </c>
      <c r="AH2063" t="s">
        <v>66</v>
      </c>
      <c r="AI2063" t="s">
        <v>66</v>
      </c>
      <c r="AJ2063" t="s">
        <v>66</v>
      </c>
      <c r="AK2063">
        <v>1</v>
      </c>
      <c r="AL2063" t="s">
        <v>66</v>
      </c>
      <c r="AM2063" t="s">
        <v>66</v>
      </c>
      <c r="AN2063" t="s">
        <v>66</v>
      </c>
      <c r="AO2063" t="s">
        <v>66</v>
      </c>
      <c r="AP2063">
        <v>1</v>
      </c>
      <c r="AQ2063" t="s">
        <v>66</v>
      </c>
      <c r="AR2063" t="s">
        <v>66</v>
      </c>
      <c r="AS2063" t="s">
        <v>66</v>
      </c>
      <c r="AT2063" t="s">
        <v>66</v>
      </c>
    </row>
    <row r="2064" spans="1:46" x14ac:dyDescent="0.15">
      <c r="A2064" t="s">
        <v>8598</v>
      </c>
      <c r="B2064" t="s">
        <v>8584</v>
      </c>
      <c r="C2064" t="s">
        <v>8585</v>
      </c>
      <c r="D2064">
        <v>3</v>
      </c>
      <c r="E2064" t="s">
        <v>8586</v>
      </c>
      <c r="F2064" t="s">
        <v>50</v>
      </c>
      <c r="G2064" t="s">
        <v>51</v>
      </c>
      <c r="H2064" t="s">
        <v>8587</v>
      </c>
      <c r="I2064" t="s">
        <v>720</v>
      </c>
      <c r="J2064" t="s">
        <v>4518</v>
      </c>
      <c r="K2064" t="s">
        <v>3594</v>
      </c>
      <c r="L2064" t="s">
        <v>19</v>
      </c>
      <c r="M2064" t="s">
        <v>16</v>
      </c>
      <c r="N2064">
        <v>612</v>
      </c>
      <c r="O2064">
        <v>36</v>
      </c>
      <c r="P2064">
        <v>0</v>
      </c>
      <c r="Q2064" t="s">
        <v>8599</v>
      </c>
      <c r="R2064" t="s">
        <v>8600</v>
      </c>
      <c r="S2064" t="s">
        <v>4532</v>
      </c>
      <c r="T2064" t="s">
        <v>8601</v>
      </c>
      <c r="U2064" t="s">
        <v>60</v>
      </c>
      <c r="V2064" t="s">
        <v>61</v>
      </c>
      <c r="W2064">
        <v>3</v>
      </c>
      <c r="X2064">
        <v>0.13387499999999999</v>
      </c>
      <c r="Y2064" t="s">
        <v>73</v>
      </c>
      <c r="Z2064" t="s">
        <v>79</v>
      </c>
      <c r="AA2064">
        <v>0</v>
      </c>
      <c r="AB2064" t="s">
        <v>8589</v>
      </c>
      <c r="AC2064" t="s">
        <v>8590</v>
      </c>
      <c r="AD2064" t="s">
        <v>8591</v>
      </c>
      <c r="AE2064" t="s">
        <v>8592</v>
      </c>
      <c r="AF2064" t="s">
        <v>8593</v>
      </c>
      <c r="AG2064" t="s">
        <v>66</v>
      </c>
      <c r="AH2064" t="s">
        <v>66</v>
      </c>
      <c r="AI2064" t="s">
        <v>66</v>
      </c>
      <c r="AJ2064" t="s">
        <v>66</v>
      </c>
      <c r="AK2064">
        <v>1</v>
      </c>
      <c r="AL2064" t="s">
        <v>66</v>
      </c>
      <c r="AM2064" t="s">
        <v>66</v>
      </c>
      <c r="AN2064" t="s">
        <v>66</v>
      </c>
      <c r="AO2064" t="s">
        <v>66</v>
      </c>
      <c r="AP2064">
        <v>1</v>
      </c>
      <c r="AQ2064" t="s">
        <v>66</v>
      </c>
      <c r="AR2064" t="s">
        <v>66</v>
      </c>
      <c r="AS2064" t="s">
        <v>66</v>
      </c>
      <c r="AT2064" t="s">
        <v>66</v>
      </c>
    </row>
    <row r="2065" spans="1:46" x14ac:dyDescent="0.15">
      <c r="A2065" t="s">
        <v>8602</v>
      </c>
      <c r="B2065" t="s">
        <v>8584</v>
      </c>
      <c r="C2065" t="s">
        <v>8585</v>
      </c>
      <c r="D2065">
        <v>4</v>
      </c>
      <c r="E2065" t="s">
        <v>8586</v>
      </c>
      <c r="F2065" t="s">
        <v>50</v>
      </c>
      <c r="G2065" t="s">
        <v>51</v>
      </c>
      <c r="H2065" t="s">
        <v>8587</v>
      </c>
      <c r="I2065" t="s">
        <v>720</v>
      </c>
      <c r="J2065" t="s">
        <v>4518</v>
      </c>
      <c r="K2065" t="s">
        <v>3594</v>
      </c>
      <c r="L2065" t="s">
        <v>19</v>
      </c>
      <c r="M2065" t="s">
        <v>16</v>
      </c>
      <c r="N2065">
        <v>668</v>
      </c>
      <c r="O2065">
        <v>39</v>
      </c>
      <c r="P2065">
        <v>0</v>
      </c>
      <c r="Q2065" t="s">
        <v>8603</v>
      </c>
      <c r="R2065" t="s">
        <v>8604</v>
      </c>
      <c r="S2065" t="s">
        <v>4536</v>
      </c>
      <c r="T2065" t="s">
        <v>8605</v>
      </c>
      <c r="U2065" t="s">
        <v>60</v>
      </c>
      <c r="V2065" t="s">
        <v>61</v>
      </c>
      <c r="W2065">
        <v>3</v>
      </c>
      <c r="X2065">
        <v>0.13387499999999999</v>
      </c>
      <c r="Y2065" t="s">
        <v>85</v>
      </c>
      <c r="Z2065" t="s">
        <v>86</v>
      </c>
      <c r="AA2065">
        <v>0</v>
      </c>
      <c r="AB2065" t="s">
        <v>8589</v>
      </c>
      <c r="AC2065" t="s">
        <v>8590</v>
      </c>
      <c r="AD2065" t="s">
        <v>8591</v>
      </c>
      <c r="AE2065" t="s">
        <v>8592</v>
      </c>
      <c r="AF2065" t="s">
        <v>8593</v>
      </c>
      <c r="AG2065" t="s">
        <v>66</v>
      </c>
      <c r="AH2065" t="s">
        <v>66</v>
      </c>
      <c r="AI2065" t="s">
        <v>66</v>
      </c>
      <c r="AJ2065" t="s">
        <v>66</v>
      </c>
      <c r="AK2065">
        <v>1</v>
      </c>
      <c r="AL2065" t="s">
        <v>66</v>
      </c>
      <c r="AM2065" t="s">
        <v>66</v>
      </c>
      <c r="AN2065" t="s">
        <v>66</v>
      </c>
      <c r="AO2065" t="s">
        <v>66</v>
      </c>
      <c r="AP2065">
        <v>1</v>
      </c>
      <c r="AQ2065" t="s">
        <v>66</v>
      </c>
      <c r="AR2065" t="s">
        <v>66</v>
      </c>
      <c r="AS2065" t="s">
        <v>66</v>
      </c>
      <c r="AT2065" t="s">
        <v>66</v>
      </c>
    </row>
    <row r="2066" spans="1:46" x14ac:dyDescent="0.15">
      <c r="A2066" t="s">
        <v>8606</v>
      </c>
      <c r="B2066" t="s">
        <v>8584</v>
      </c>
      <c r="C2066" t="s">
        <v>8585</v>
      </c>
      <c r="D2066">
        <v>5</v>
      </c>
      <c r="E2066" t="s">
        <v>8586</v>
      </c>
      <c r="F2066" t="s">
        <v>50</v>
      </c>
      <c r="G2066" t="s">
        <v>51</v>
      </c>
      <c r="H2066" t="s">
        <v>8587</v>
      </c>
      <c r="I2066" t="s">
        <v>720</v>
      </c>
      <c r="J2066" t="s">
        <v>4518</v>
      </c>
      <c r="K2066" t="s">
        <v>3594</v>
      </c>
      <c r="L2066" t="s">
        <v>19</v>
      </c>
      <c r="M2066" t="s">
        <v>16</v>
      </c>
      <c r="N2066">
        <v>724</v>
      </c>
      <c r="O2066">
        <v>43</v>
      </c>
      <c r="P2066">
        <v>0</v>
      </c>
      <c r="Q2066" t="s">
        <v>8607</v>
      </c>
      <c r="R2066" t="s">
        <v>8608</v>
      </c>
      <c r="S2066" t="s">
        <v>4540</v>
      </c>
      <c r="T2066" t="s">
        <v>8609</v>
      </c>
      <c r="U2066" t="s">
        <v>60</v>
      </c>
      <c r="V2066" t="s">
        <v>61</v>
      </c>
      <c r="W2066">
        <v>3</v>
      </c>
      <c r="X2066">
        <v>0.13387499999999999</v>
      </c>
      <c r="Y2066" t="s">
        <v>79</v>
      </c>
      <c r="Z2066" t="s">
        <v>92</v>
      </c>
      <c r="AA2066">
        <v>0</v>
      </c>
      <c r="AB2066" t="s">
        <v>8589</v>
      </c>
      <c r="AC2066" t="s">
        <v>8590</v>
      </c>
      <c r="AD2066" t="s">
        <v>8591</v>
      </c>
      <c r="AE2066" t="s">
        <v>8592</v>
      </c>
      <c r="AF2066" t="s">
        <v>8593</v>
      </c>
      <c r="AG2066" t="s">
        <v>66</v>
      </c>
      <c r="AH2066" t="s">
        <v>66</v>
      </c>
      <c r="AI2066" t="s">
        <v>66</v>
      </c>
      <c r="AJ2066" t="s">
        <v>66</v>
      </c>
      <c r="AK2066">
        <v>1</v>
      </c>
      <c r="AL2066" t="s">
        <v>66</v>
      </c>
      <c r="AM2066" t="s">
        <v>66</v>
      </c>
      <c r="AN2066" t="s">
        <v>66</v>
      </c>
      <c r="AO2066" t="s">
        <v>66</v>
      </c>
      <c r="AP2066">
        <v>1</v>
      </c>
      <c r="AQ2066" t="s">
        <v>66</v>
      </c>
      <c r="AR2066" t="s">
        <v>66</v>
      </c>
      <c r="AS2066" t="s">
        <v>66</v>
      </c>
      <c r="AT2066" t="s">
        <v>66</v>
      </c>
    </row>
    <row r="2067" spans="1:46" x14ac:dyDescent="0.15">
      <c r="A2067" t="s">
        <v>8610</v>
      </c>
      <c r="B2067" t="s">
        <v>8584</v>
      </c>
      <c r="C2067" t="s">
        <v>8585</v>
      </c>
      <c r="D2067">
        <v>6</v>
      </c>
      <c r="E2067" t="s">
        <v>8586</v>
      </c>
      <c r="F2067" t="s">
        <v>50</v>
      </c>
      <c r="G2067" t="s">
        <v>51</v>
      </c>
      <c r="H2067" t="s">
        <v>8587</v>
      </c>
      <c r="I2067" t="s">
        <v>720</v>
      </c>
      <c r="J2067" t="s">
        <v>4518</v>
      </c>
      <c r="K2067" t="s">
        <v>3594</v>
      </c>
      <c r="L2067" t="s">
        <v>19</v>
      </c>
      <c r="M2067" t="s">
        <v>16</v>
      </c>
      <c r="N2067">
        <v>781</v>
      </c>
      <c r="O2067">
        <v>46</v>
      </c>
      <c r="P2067">
        <v>0</v>
      </c>
      <c r="Q2067" t="s">
        <v>8611</v>
      </c>
      <c r="R2067" t="s">
        <v>8612</v>
      </c>
      <c r="S2067" t="s">
        <v>4544</v>
      </c>
      <c r="T2067" t="s">
        <v>8613</v>
      </c>
      <c r="U2067" t="s">
        <v>60</v>
      </c>
      <c r="V2067" t="s">
        <v>61</v>
      </c>
      <c r="W2067">
        <v>3</v>
      </c>
      <c r="X2067">
        <v>0.13387499999999999</v>
      </c>
      <c r="Y2067" t="s">
        <v>98</v>
      </c>
      <c r="Z2067" t="s">
        <v>99</v>
      </c>
      <c r="AA2067">
        <v>0</v>
      </c>
      <c r="AB2067" t="s">
        <v>8589</v>
      </c>
      <c r="AC2067" t="s">
        <v>8590</v>
      </c>
      <c r="AD2067" t="s">
        <v>8591</v>
      </c>
      <c r="AE2067" t="s">
        <v>8592</v>
      </c>
      <c r="AF2067" t="s">
        <v>8593</v>
      </c>
      <c r="AG2067" t="s">
        <v>66</v>
      </c>
      <c r="AH2067" t="s">
        <v>66</v>
      </c>
      <c r="AI2067" t="s">
        <v>66</v>
      </c>
      <c r="AJ2067" t="s">
        <v>66</v>
      </c>
      <c r="AK2067">
        <v>1</v>
      </c>
      <c r="AL2067" t="s">
        <v>66</v>
      </c>
      <c r="AM2067" t="s">
        <v>66</v>
      </c>
      <c r="AN2067" t="s">
        <v>66</v>
      </c>
      <c r="AO2067" t="s">
        <v>66</v>
      </c>
      <c r="AP2067">
        <v>1</v>
      </c>
      <c r="AQ2067" t="s">
        <v>66</v>
      </c>
      <c r="AR2067" t="s">
        <v>66</v>
      </c>
      <c r="AS2067" t="s">
        <v>66</v>
      </c>
      <c r="AT2067" t="s">
        <v>66</v>
      </c>
    </row>
    <row r="2068" spans="1:46" x14ac:dyDescent="0.15">
      <c r="A2068" t="s">
        <v>8614</v>
      </c>
      <c r="B2068" t="s">
        <v>8584</v>
      </c>
      <c r="C2068" t="s">
        <v>8585</v>
      </c>
      <c r="D2068">
        <v>7</v>
      </c>
      <c r="E2068" t="s">
        <v>8586</v>
      </c>
      <c r="F2068" t="s">
        <v>50</v>
      </c>
      <c r="G2068" t="s">
        <v>51</v>
      </c>
      <c r="H2068" t="s">
        <v>8587</v>
      </c>
      <c r="I2068" t="s">
        <v>720</v>
      </c>
      <c r="J2068" t="s">
        <v>4518</v>
      </c>
      <c r="K2068" t="s">
        <v>3594</v>
      </c>
      <c r="L2068" t="s">
        <v>19</v>
      </c>
      <c r="M2068" t="s">
        <v>16</v>
      </c>
      <c r="N2068">
        <v>837</v>
      </c>
      <c r="O2068">
        <v>49</v>
      </c>
      <c r="P2068">
        <v>0</v>
      </c>
      <c r="Q2068" t="s">
        <v>8615</v>
      </c>
      <c r="R2068" t="s">
        <v>8616</v>
      </c>
      <c r="S2068" t="s">
        <v>4548</v>
      </c>
      <c r="T2068" t="s">
        <v>8617</v>
      </c>
      <c r="U2068" t="s">
        <v>60</v>
      </c>
      <c r="V2068" t="s">
        <v>61</v>
      </c>
      <c r="W2068">
        <v>3</v>
      </c>
      <c r="X2068">
        <v>0.13387499999999999</v>
      </c>
      <c r="Y2068" t="s">
        <v>86</v>
      </c>
      <c r="Z2068" t="s">
        <v>105</v>
      </c>
      <c r="AA2068">
        <v>0</v>
      </c>
      <c r="AB2068" t="s">
        <v>8589</v>
      </c>
      <c r="AC2068" t="s">
        <v>8590</v>
      </c>
      <c r="AD2068" t="s">
        <v>8591</v>
      </c>
      <c r="AE2068" t="s">
        <v>8592</v>
      </c>
      <c r="AF2068" t="s">
        <v>8593</v>
      </c>
      <c r="AG2068" t="s">
        <v>66</v>
      </c>
      <c r="AH2068" t="s">
        <v>66</v>
      </c>
      <c r="AI2068" t="s">
        <v>66</v>
      </c>
      <c r="AJ2068" t="s">
        <v>66</v>
      </c>
      <c r="AK2068">
        <v>1</v>
      </c>
      <c r="AL2068" t="s">
        <v>66</v>
      </c>
      <c r="AM2068" t="s">
        <v>66</v>
      </c>
      <c r="AN2068" t="s">
        <v>66</v>
      </c>
      <c r="AO2068" t="s">
        <v>66</v>
      </c>
      <c r="AP2068">
        <v>1</v>
      </c>
      <c r="AQ2068" t="s">
        <v>66</v>
      </c>
      <c r="AR2068" t="s">
        <v>66</v>
      </c>
      <c r="AS2068" t="s">
        <v>66</v>
      </c>
      <c r="AT2068" t="s">
        <v>66</v>
      </c>
    </row>
    <row r="2069" spans="1:46" x14ac:dyDescent="0.15">
      <c r="A2069" t="s">
        <v>8618</v>
      </c>
      <c r="B2069" t="s">
        <v>8584</v>
      </c>
      <c r="C2069" t="s">
        <v>8585</v>
      </c>
      <c r="D2069">
        <v>8</v>
      </c>
      <c r="E2069" t="s">
        <v>8586</v>
      </c>
      <c r="F2069" t="s">
        <v>50</v>
      </c>
      <c r="G2069" t="s">
        <v>51</v>
      </c>
      <c r="H2069" t="s">
        <v>8587</v>
      </c>
      <c r="I2069" t="s">
        <v>720</v>
      </c>
      <c r="J2069" t="s">
        <v>4518</v>
      </c>
      <c r="K2069" t="s">
        <v>3594</v>
      </c>
      <c r="L2069" t="s">
        <v>19</v>
      </c>
      <c r="M2069" t="s">
        <v>16</v>
      </c>
      <c r="N2069">
        <v>893</v>
      </c>
      <c r="O2069">
        <v>52</v>
      </c>
      <c r="P2069">
        <v>0</v>
      </c>
      <c r="Q2069" t="s">
        <v>8619</v>
      </c>
      <c r="R2069" t="s">
        <v>8620</v>
      </c>
      <c r="S2069" t="s">
        <v>4552</v>
      </c>
      <c r="T2069" t="s">
        <v>8621</v>
      </c>
      <c r="U2069" t="s">
        <v>60</v>
      </c>
      <c r="V2069" t="s">
        <v>61</v>
      </c>
      <c r="W2069">
        <v>3</v>
      </c>
      <c r="X2069">
        <v>0.13387499999999999</v>
      </c>
      <c r="Y2069" t="s">
        <v>111</v>
      </c>
      <c r="Z2069" t="s">
        <v>112</v>
      </c>
      <c r="AA2069">
        <v>0</v>
      </c>
      <c r="AB2069" t="s">
        <v>8589</v>
      </c>
      <c r="AC2069" t="s">
        <v>8590</v>
      </c>
      <c r="AD2069" t="s">
        <v>8591</v>
      </c>
      <c r="AE2069" t="s">
        <v>8592</v>
      </c>
      <c r="AF2069" t="s">
        <v>8593</v>
      </c>
      <c r="AG2069" t="s">
        <v>66</v>
      </c>
      <c r="AH2069" t="s">
        <v>66</v>
      </c>
      <c r="AI2069" t="s">
        <v>66</v>
      </c>
      <c r="AJ2069" t="s">
        <v>66</v>
      </c>
      <c r="AK2069">
        <v>1</v>
      </c>
      <c r="AL2069" t="s">
        <v>66</v>
      </c>
      <c r="AM2069" t="s">
        <v>66</v>
      </c>
      <c r="AN2069" t="s">
        <v>66</v>
      </c>
      <c r="AO2069" t="s">
        <v>66</v>
      </c>
      <c r="AP2069">
        <v>1</v>
      </c>
      <c r="AQ2069" t="s">
        <v>66</v>
      </c>
      <c r="AR2069" t="s">
        <v>66</v>
      </c>
      <c r="AS2069" t="s">
        <v>66</v>
      </c>
      <c r="AT2069" t="s">
        <v>66</v>
      </c>
    </row>
    <row r="2070" spans="1:46" x14ac:dyDescent="0.15">
      <c r="A2070" t="s">
        <v>8622</v>
      </c>
      <c r="B2070" t="s">
        <v>8584</v>
      </c>
      <c r="C2070" t="s">
        <v>8585</v>
      </c>
      <c r="D2070">
        <v>9</v>
      </c>
      <c r="E2070" t="s">
        <v>8586</v>
      </c>
      <c r="F2070" t="s">
        <v>50</v>
      </c>
      <c r="G2070" t="s">
        <v>51</v>
      </c>
      <c r="H2070" t="s">
        <v>8587</v>
      </c>
      <c r="I2070" t="s">
        <v>720</v>
      </c>
      <c r="J2070" t="s">
        <v>4518</v>
      </c>
      <c r="K2070" t="s">
        <v>3594</v>
      </c>
      <c r="L2070" t="s">
        <v>19</v>
      </c>
      <c r="M2070" t="s">
        <v>16</v>
      </c>
      <c r="N2070">
        <v>949</v>
      </c>
      <c r="O2070">
        <v>55</v>
      </c>
      <c r="P2070">
        <v>0</v>
      </c>
      <c r="Q2070" t="s">
        <v>8623</v>
      </c>
      <c r="R2070" t="s">
        <v>8624</v>
      </c>
      <c r="S2070" t="s">
        <v>4556</v>
      </c>
      <c r="T2070" t="s">
        <v>8625</v>
      </c>
      <c r="U2070" t="s">
        <v>60</v>
      </c>
      <c r="V2070" t="s">
        <v>61</v>
      </c>
      <c r="W2070">
        <v>3</v>
      </c>
      <c r="X2070">
        <v>0.13387499999999999</v>
      </c>
      <c r="Y2070" t="s">
        <v>92</v>
      </c>
      <c r="Z2070" t="s">
        <v>118</v>
      </c>
      <c r="AA2070">
        <v>0</v>
      </c>
      <c r="AB2070" t="s">
        <v>8589</v>
      </c>
      <c r="AC2070" t="s">
        <v>8590</v>
      </c>
      <c r="AD2070" t="s">
        <v>8591</v>
      </c>
      <c r="AE2070" t="s">
        <v>8592</v>
      </c>
      <c r="AF2070" t="s">
        <v>8593</v>
      </c>
      <c r="AG2070" t="s">
        <v>66</v>
      </c>
      <c r="AH2070" t="s">
        <v>66</v>
      </c>
      <c r="AI2070" t="s">
        <v>66</v>
      </c>
      <c r="AJ2070" t="s">
        <v>66</v>
      </c>
      <c r="AK2070">
        <v>1</v>
      </c>
      <c r="AL2070" t="s">
        <v>66</v>
      </c>
      <c r="AM2070" t="s">
        <v>66</v>
      </c>
      <c r="AN2070" t="s">
        <v>66</v>
      </c>
      <c r="AO2070" t="s">
        <v>66</v>
      </c>
      <c r="AP2070">
        <v>1</v>
      </c>
      <c r="AQ2070" t="s">
        <v>66</v>
      </c>
      <c r="AR2070" t="s">
        <v>66</v>
      </c>
      <c r="AS2070" t="s">
        <v>66</v>
      </c>
      <c r="AT2070" t="s">
        <v>66</v>
      </c>
    </row>
    <row r="2071" spans="1:46" x14ac:dyDescent="0.15">
      <c r="A2071" t="s">
        <v>8626</v>
      </c>
      <c r="B2071" t="s">
        <v>8584</v>
      </c>
      <c r="C2071" t="s">
        <v>8585</v>
      </c>
      <c r="D2071">
        <v>10</v>
      </c>
      <c r="E2071" t="s">
        <v>8586</v>
      </c>
      <c r="F2071" t="s">
        <v>50</v>
      </c>
      <c r="G2071" t="s">
        <v>51</v>
      </c>
      <c r="H2071" t="s">
        <v>8587</v>
      </c>
      <c r="I2071" t="s">
        <v>720</v>
      </c>
      <c r="J2071" t="s">
        <v>4518</v>
      </c>
      <c r="K2071" t="s">
        <v>3594</v>
      </c>
      <c r="L2071" t="s">
        <v>19</v>
      </c>
      <c r="M2071" t="s">
        <v>16</v>
      </c>
      <c r="N2071">
        <v>1005</v>
      </c>
      <c r="O2071">
        <v>58</v>
      </c>
      <c r="P2071">
        <v>0</v>
      </c>
      <c r="Q2071" t="s">
        <v>8627</v>
      </c>
      <c r="R2071" t="s">
        <v>8628</v>
      </c>
      <c r="S2071" t="s">
        <v>4560</v>
      </c>
      <c r="T2071" t="s">
        <v>8629</v>
      </c>
      <c r="U2071" t="s">
        <v>60</v>
      </c>
      <c r="V2071" t="s">
        <v>61</v>
      </c>
      <c r="W2071">
        <v>3</v>
      </c>
      <c r="X2071">
        <v>0.13387499999999999</v>
      </c>
      <c r="Y2071" t="s">
        <v>124</v>
      </c>
      <c r="Z2071" t="s">
        <v>125</v>
      </c>
      <c r="AA2071">
        <v>0</v>
      </c>
      <c r="AB2071" t="s">
        <v>8589</v>
      </c>
      <c r="AC2071" t="s">
        <v>8590</v>
      </c>
      <c r="AD2071" t="s">
        <v>8591</v>
      </c>
      <c r="AE2071" t="s">
        <v>8592</v>
      </c>
      <c r="AF2071" t="s">
        <v>8593</v>
      </c>
      <c r="AG2071" t="s">
        <v>66</v>
      </c>
      <c r="AH2071" t="s">
        <v>66</v>
      </c>
      <c r="AI2071" t="s">
        <v>66</v>
      </c>
      <c r="AJ2071" t="s">
        <v>66</v>
      </c>
      <c r="AK2071">
        <v>1</v>
      </c>
      <c r="AL2071" t="s">
        <v>66</v>
      </c>
      <c r="AM2071" t="s">
        <v>66</v>
      </c>
      <c r="AN2071" t="s">
        <v>66</v>
      </c>
      <c r="AO2071" t="s">
        <v>66</v>
      </c>
      <c r="AP2071">
        <v>1</v>
      </c>
      <c r="AQ2071" t="s">
        <v>66</v>
      </c>
      <c r="AR2071" t="s">
        <v>66</v>
      </c>
      <c r="AS2071" t="s">
        <v>66</v>
      </c>
      <c r="AT2071" t="s">
        <v>66</v>
      </c>
    </row>
    <row r="2072" spans="1:46" x14ac:dyDescent="0.15">
      <c r="A2072" t="s">
        <v>8630</v>
      </c>
      <c r="B2072" t="s">
        <v>8584</v>
      </c>
      <c r="C2072" t="s">
        <v>8585</v>
      </c>
      <c r="D2072">
        <v>11</v>
      </c>
      <c r="E2072" t="s">
        <v>8586</v>
      </c>
      <c r="F2072" t="s">
        <v>50</v>
      </c>
      <c r="G2072" t="s">
        <v>51</v>
      </c>
      <c r="H2072" t="s">
        <v>8587</v>
      </c>
      <c r="I2072" t="s">
        <v>720</v>
      </c>
      <c r="J2072" t="s">
        <v>4518</v>
      </c>
      <c r="K2072" t="s">
        <v>3594</v>
      </c>
      <c r="L2072" t="s">
        <v>19</v>
      </c>
      <c r="M2072" t="s">
        <v>16</v>
      </c>
      <c r="N2072">
        <v>1061</v>
      </c>
      <c r="O2072">
        <v>62</v>
      </c>
      <c r="P2072">
        <v>0</v>
      </c>
      <c r="Q2072" t="s">
        <v>8631</v>
      </c>
      <c r="R2072" t="s">
        <v>8632</v>
      </c>
      <c r="S2072" t="s">
        <v>4564</v>
      </c>
      <c r="T2072" t="s">
        <v>8633</v>
      </c>
      <c r="U2072" t="s">
        <v>60</v>
      </c>
      <c r="V2072" t="s">
        <v>61</v>
      </c>
      <c r="W2072">
        <v>3</v>
      </c>
      <c r="X2072">
        <v>0.13387499999999999</v>
      </c>
      <c r="Y2072" t="s">
        <v>99</v>
      </c>
      <c r="Z2072" t="s">
        <v>131</v>
      </c>
      <c r="AA2072">
        <v>0</v>
      </c>
      <c r="AB2072" t="s">
        <v>8589</v>
      </c>
      <c r="AC2072" t="s">
        <v>8590</v>
      </c>
      <c r="AD2072" t="s">
        <v>8591</v>
      </c>
      <c r="AE2072" t="s">
        <v>8592</v>
      </c>
      <c r="AF2072" t="s">
        <v>8593</v>
      </c>
      <c r="AG2072" t="s">
        <v>66</v>
      </c>
      <c r="AH2072" t="s">
        <v>66</v>
      </c>
      <c r="AI2072" t="s">
        <v>66</v>
      </c>
      <c r="AJ2072" t="s">
        <v>66</v>
      </c>
      <c r="AK2072">
        <v>1</v>
      </c>
      <c r="AL2072" t="s">
        <v>66</v>
      </c>
      <c r="AM2072" t="s">
        <v>66</v>
      </c>
      <c r="AN2072" t="s">
        <v>66</v>
      </c>
      <c r="AO2072" t="s">
        <v>66</v>
      </c>
      <c r="AP2072">
        <v>1</v>
      </c>
      <c r="AQ2072" t="s">
        <v>66</v>
      </c>
      <c r="AR2072" t="s">
        <v>66</v>
      </c>
      <c r="AS2072" t="s">
        <v>66</v>
      </c>
      <c r="AT2072" t="s">
        <v>66</v>
      </c>
    </row>
    <row r="2073" spans="1:46" x14ac:dyDescent="0.15">
      <c r="A2073" t="s">
        <v>8634</v>
      </c>
      <c r="B2073" t="s">
        <v>8584</v>
      </c>
      <c r="C2073" t="s">
        <v>8585</v>
      </c>
      <c r="D2073">
        <v>12</v>
      </c>
      <c r="E2073" t="s">
        <v>8586</v>
      </c>
      <c r="F2073" t="s">
        <v>50</v>
      </c>
      <c r="G2073" t="s">
        <v>51</v>
      </c>
      <c r="H2073" t="s">
        <v>8587</v>
      </c>
      <c r="I2073" t="s">
        <v>720</v>
      </c>
      <c r="J2073" t="s">
        <v>4518</v>
      </c>
      <c r="K2073" t="s">
        <v>3594</v>
      </c>
      <c r="L2073" t="s">
        <v>19</v>
      </c>
      <c r="M2073" t="s">
        <v>16</v>
      </c>
      <c r="N2073">
        <v>1117</v>
      </c>
      <c r="O2073">
        <v>65</v>
      </c>
      <c r="P2073">
        <v>0</v>
      </c>
      <c r="Q2073" t="s">
        <v>8635</v>
      </c>
      <c r="R2073" t="s">
        <v>8636</v>
      </c>
      <c r="S2073" t="s">
        <v>4568</v>
      </c>
      <c r="T2073" t="s">
        <v>8637</v>
      </c>
      <c r="U2073" t="s">
        <v>60</v>
      </c>
      <c r="V2073" t="s">
        <v>61</v>
      </c>
      <c r="W2073">
        <v>3</v>
      </c>
      <c r="X2073">
        <v>0.13387499999999999</v>
      </c>
      <c r="Y2073" t="s">
        <v>137</v>
      </c>
      <c r="Z2073" t="s">
        <v>138</v>
      </c>
      <c r="AA2073">
        <v>0</v>
      </c>
      <c r="AB2073" t="s">
        <v>8589</v>
      </c>
      <c r="AC2073" t="s">
        <v>8590</v>
      </c>
      <c r="AD2073" t="s">
        <v>8591</v>
      </c>
      <c r="AE2073" t="s">
        <v>8592</v>
      </c>
      <c r="AF2073" t="s">
        <v>8593</v>
      </c>
      <c r="AG2073" t="s">
        <v>66</v>
      </c>
      <c r="AH2073" t="s">
        <v>66</v>
      </c>
      <c r="AI2073" t="s">
        <v>66</v>
      </c>
      <c r="AJ2073" t="s">
        <v>66</v>
      </c>
      <c r="AK2073">
        <v>1</v>
      </c>
      <c r="AL2073" t="s">
        <v>66</v>
      </c>
      <c r="AM2073" t="s">
        <v>66</v>
      </c>
      <c r="AN2073" t="s">
        <v>66</v>
      </c>
      <c r="AO2073" t="s">
        <v>66</v>
      </c>
      <c r="AP2073">
        <v>1</v>
      </c>
      <c r="AQ2073" t="s">
        <v>66</v>
      </c>
      <c r="AR2073" t="s">
        <v>66</v>
      </c>
      <c r="AS2073" t="s">
        <v>66</v>
      </c>
      <c r="AT2073" t="s">
        <v>66</v>
      </c>
    </row>
    <row r="2074" spans="1:46" x14ac:dyDescent="0.15">
      <c r="A2074" t="s">
        <v>8638</v>
      </c>
      <c r="B2074" t="s">
        <v>8584</v>
      </c>
      <c r="C2074" t="s">
        <v>8585</v>
      </c>
      <c r="D2074">
        <v>13</v>
      </c>
      <c r="E2074" t="s">
        <v>8586</v>
      </c>
      <c r="F2074" t="s">
        <v>50</v>
      </c>
      <c r="G2074" t="s">
        <v>51</v>
      </c>
      <c r="H2074" t="s">
        <v>8587</v>
      </c>
      <c r="I2074" t="s">
        <v>720</v>
      </c>
      <c r="J2074" t="s">
        <v>4518</v>
      </c>
      <c r="K2074" t="s">
        <v>3594</v>
      </c>
      <c r="L2074" t="s">
        <v>19</v>
      </c>
      <c r="M2074" t="s">
        <v>16</v>
      </c>
      <c r="N2074">
        <v>1173</v>
      </c>
      <c r="O2074">
        <v>68</v>
      </c>
      <c r="P2074">
        <v>0</v>
      </c>
      <c r="Q2074" t="s">
        <v>8639</v>
      </c>
      <c r="R2074" t="s">
        <v>8640</v>
      </c>
      <c r="S2074" t="s">
        <v>4572</v>
      </c>
      <c r="T2074" t="s">
        <v>8641</v>
      </c>
      <c r="U2074" t="s">
        <v>60</v>
      </c>
      <c r="V2074" t="s">
        <v>61</v>
      </c>
      <c r="W2074">
        <v>3</v>
      </c>
      <c r="X2074">
        <v>0.13387499999999999</v>
      </c>
      <c r="Y2074" t="s">
        <v>105</v>
      </c>
      <c r="Z2074" t="s">
        <v>144</v>
      </c>
      <c r="AA2074">
        <v>0</v>
      </c>
      <c r="AB2074" t="s">
        <v>8589</v>
      </c>
      <c r="AC2074" t="s">
        <v>8590</v>
      </c>
      <c r="AD2074" t="s">
        <v>8591</v>
      </c>
      <c r="AE2074" t="s">
        <v>8592</v>
      </c>
      <c r="AF2074" t="s">
        <v>8593</v>
      </c>
      <c r="AG2074" t="s">
        <v>66</v>
      </c>
      <c r="AH2074" t="s">
        <v>66</v>
      </c>
      <c r="AI2074" t="s">
        <v>66</v>
      </c>
      <c r="AJ2074" t="s">
        <v>66</v>
      </c>
      <c r="AK2074">
        <v>1</v>
      </c>
      <c r="AL2074" t="s">
        <v>66</v>
      </c>
      <c r="AM2074" t="s">
        <v>66</v>
      </c>
      <c r="AN2074" t="s">
        <v>66</v>
      </c>
      <c r="AO2074" t="s">
        <v>66</v>
      </c>
      <c r="AP2074">
        <v>1</v>
      </c>
      <c r="AQ2074" t="s">
        <v>66</v>
      </c>
      <c r="AR2074" t="s">
        <v>66</v>
      </c>
      <c r="AS2074" t="s">
        <v>66</v>
      </c>
      <c r="AT2074" t="s">
        <v>66</v>
      </c>
    </row>
    <row r="2075" spans="1:46" x14ac:dyDescent="0.15">
      <c r="A2075" t="s">
        <v>8642</v>
      </c>
      <c r="B2075" t="s">
        <v>8584</v>
      </c>
      <c r="C2075" t="s">
        <v>8585</v>
      </c>
      <c r="D2075">
        <v>14</v>
      </c>
      <c r="E2075" t="s">
        <v>8586</v>
      </c>
      <c r="F2075" t="s">
        <v>50</v>
      </c>
      <c r="G2075" t="s">
        <v>51</v>
      </c>
      <c r="H2075" t="s">
        <v>8587</v>
      </c>
      <c r="I2075" t="s">
        <v>720</v>
      </c>
      <c r="J2075" t="s">
        <v>4518</v>
      </c>
      <c r="K2075" t="s">
        <v>3594</v>
      </c>
      <c r="L2075" t="s">
        <v>19</v>
      </c>
      <c r="M2075" t="s">
        <v>16</v>
      </c>
      <c r="N2075">
        <v>1230</v>
      </c>
      <c r="O2075">
        <v>71</v>
      </c>
      <c r="P2075">
        <v>0</v>
      </c>
      <c r="Q2075" t="s">
        <v>8643</v>
      </c>
      <c r="R2075" t="s">
        <v>8644</v>
      </c>
      <c r="S2075" t="s">
        <v>4575</v>
      </c>
      <c r="T2075" t="s">
        <v>8645</v>
      </c>
      <c r="U2075" t="s">
        <v>60</v>
      </c>
      <c r="V2075" t="s">
        <v>61</v>
      </c>
      <c r="W2075">
        <v>3</v>
      </c>
      <c r="X2075">
        <v>0.13387499999999999</v>
      </c>
      <c r="Y2075" t="s">
        <v>150</v>
      </c>
      <c r="Z2075" t="s">
        <v>151</v>
      </c>
      <c r="AA2075">
        <v>0</v>
      </c>
      <c r="AB2075" t="s">
        <v>8589</v>
      </c>
      <c r="AC2075" t="s">
        <v>8590</v>
      </c>
      <c r="AD2075" t="s">
        <v>8591</v>
      </c>
      <c r="AE2075" t="s">
        <v>8592</v>
      </c>
      <c r="AF2075" t="s">
        <v>8593</v>
      </c>
      <c r="AG2075" t="s">
        <v>66</v>
      </c>
      <c r="AH2075" t="s">
        <v>66</v>
      </c>
      <c r="AI2075" t="s">
        <v>66</v>
      </c>
      <c r="AJ2075" t="s">
        <v>66</v>
      </c>
      <c r="AK2075">
        <v>1</v>
      </c>
      <c r="AL2075" t="s">
        <v>66</v>
      </c>
      <c r="AM2075" t="s">
        <v>66</v>
      </c>
      <c r="AN2075" t="s">
        <v>66</v>
      </c>
      <c r="AO2075" t="s">
        <v>66</v>
      </c>
      <c r="AP2075">
        <v>1</v>
      </c>
      <c r="AQ2075" t="s">
        <v>66</v>
      </c>
      <c r="AR2075" t="s">
        <v>66</v>
      </c>
      <c r="AS2075" t="s">
        <v>66</v>
      </c>
      <c r="AT2075" t="s">
        <v>66</v>
      </c>
    </row>
    <row r="2076" spans="1:46" x14ac:dyDescent="0.15">
      <c r="A2076" t="s">
        <v>8646</v>
      </c>
      <c r="B2076" t="s">
        <v>8584</v>
      </c>
      <c r="C2076" t="s">
        <v>8585</v>
      </c>
      <c r="D2076">
        <v>15</v>
      </c>
      <c r="E2076" t="s">
        <v>8586</v>
      </c>
      <c r="F2076" t="s">
        <v>50</v>
      </c>
      <c r="G2076" t="s">
        <v>51</v>
      </c>
      <c r="H2076" t="s">
        <v>8587</v>
      </c>
      <c r="I2076" t="s">
        <v>720</v>
      </c>
      <c r="J2076" t="s">
        <v>4518</v>
      </c>
      <c r="K2076" t="s">
        <v>3594</v>
      </c>
      <c r="L2076" t="s">
        <v>19</v>
      </c>
      <c r="M2076" t="s">
        <v>16</v>
      </c>
      <c r="N2076">
        <v>1286</v>
      </c>
      <c r="O2076">
        <v>74</v>
      </c>
      <c r="P2076">
        <v>0</v>
      </c>
      <c r="Q2076" t="s">
        <v>8647</v>
      </c>
      <c r="R2076" t="s">
        <v>8648</v>
      </c>
      <c r="S2076" t="s">
        <v>4579</v>
      </c>
      <c r="T2076" t="s">
        <v>8649</v>
      </c>
      <c r="U2076" t="s">
        <v>60</v>
      </c>
      <c r="V2076" t="s">
        <v>61</v>
      </c>
      <c r="W2076">
        <v>3</v>
      </c>
      <c r="X2076">
        <v>0.13387499999999999</v>
      </c>
      <c r="Y2076" t="s">
        <v>112</v>
      </c>
      <c r="Z2076" t="s">
        <v>157</v>
      </c>
      <c r="AA2076">
        <v>0</v>
      </c>
      <c r="AB2076" t="s">
        <v>8589</v>
      </c>
      <c r="AC2076" t="s">
        <v>8590</v>
      </c>
      <c r="AD2076" t="s">
        <v>8591</v>
      </c>
      <c r="AE2076" t="s">
        <v>8592</v>
      </c>
      <c r="AF2076" t="s">
        <v>8593</v>
      </c>
      <c r="AG2076" t="s">
        <v>66</v>
      </c>
      <c r="AH2076" t="s">
        <v>66</v>
      </c>
      <c r="AI2076" t="s">
        <v>66</v>
      </c>
      <c r="AJ2076" t="s">
        <v>66</v>
      </c>
      <c r="AK2076">
        <v>1</v>
      </c>
      <c r="AL2076" t="s">
        <v>66</v>
      </c>
      <c r="AM2076" t="s">
        <v>66</v>
      </c>
      <c r="AN2076" t="s">
        <v>66</v>
      </c>
      <c r="AO2076" t="s">
        <v>66</v>
      </c>
      <c r="AP2076">
        <v>1</v>
      </c>
      <c r="AQ2076" t="s">
        <v>66</v>
      </c>
      <c r="AR2076" t="s">
        <v>66</v>
      </c>
      <c r="AS2076" t="s">
        <v>66</v>
      </c>
      <c r="AT2076" t="s">
        <v>66</v>
      </c>
    </row>
    <row r="2077" spans="1:46" x14ac:dyDescent="0.15">
      <c r="A2077" t="s">
        <v>8650</v>
      </c>
      <c r="B2077" t="s">
        <v>8584</v>
      </c>
      <c r="C2077" t="s">
        <v>8585</v>
      </c>
      <c r="D2077">
        <v>16</v>
      </c>
      <c r="E2077" t="s">
        <v>8586</v>
      </c>
      <c r="F2077" t="s">
        <v>50</v>
      </c>
      <c r="G2077" t="s">
        <v>51</v>
      </c>
      <c r="H2077" t="s">
        <v>8587</v>
      </c>
      <c r="I2077" t="s">
        <v>720</v>
      </c>
      <c r="J2077" t="s">
        <v>4518</v>
      </c>
      <c r="K2077" t="s">
        <v>3594</v>
      </c>
      <c r="L2077" t="s">
        <v>19</v>
      </c>
      <c r="M2077" t="s">
        <v>16</v>
      </c>
      <c r="N2077">
        <v>1342</v>
      </c>
      <c r="O2077">
        <v>77</v>
      </c>
      <c r="P2077">
        <v>0</v>
      </c>
      <c r="Q2077" t="s">
        <v>8651</v>
      </c>
      <c r="R2077" t="s">
        <v>8652</v>
      </c>
      <c r="S2077" t="s">
        <v>4583</v>
      </c>
      <c r="T2077" t="s">
        <v>8653</v>
      </c>
      <c r="U2077" t="s">
        <v>60</v>
      </c>
      <c r="V2077" t="s">
        <v>61</v>
      </c>
      <c r="W2077">
        <v>3</v>
      </c>
      <c r="X2077">
        <v>0.13387499999999999</v>
      </c>
      <c r="Y2077" t="s">
        <v>163</v>
      </c>
      <c r="Z2077" t="s">
        <v>164</v>
      </c>
      <c r="AA2077">
        <v>0</v>
      </c>
      <c r="AB2077" t="s">
        <v>8589</v>
      </c>
      <c r="AC2077" t="s">
        <v>8590</v>
      </c>
      <c r="AD2077" t="s">
        <v>8591</v>
      </c>
      <c r="AE2077" t="s">
        <v>8592</v>
      </c>
      <c r="AF2077" t="s">
        <v>8593</v>
      </c>
      <c r="AG2077" t="s">
        <v>66</v>
      </c>
      <c r="AH2077" t="s">
        <v>66</v>
      </c>
      <c r="AI2077" t="s">
        <v>66</v>
      </c>
      <c r="AJ2077" t="s">
        <v>66</v>
      </c>
      <c r="AK2077">
        <v>1</v>
      </c>
      <c r="AL2077" t="s">
        <v>66</v>
      </c>
      <c r="AM2077" t="s">
        <v>66</v>
      </c>
      <c r="AN2077" t="s">
        <v>66</v>
      </c>
      <c r="AO2077" t="s">
        <v>66</v>
      </c>
      <c r="AP2077">
        <v>1</v>
      </c>
      <c r="AQ2077" t="s">
        <v>66</v>
      </c>
      <c r="AR2077" t="s">
        <v>66</v>
      </c>
      <c r="AS2077" t="s">
        <v>66</v>
      </c>
      <c r="AT2077" t="s">
        <v>66</v>
      </c>
    </row>
    <row r="2078" spans="1:46" x14ac:dyDescent="0.15">
      <c r="A2078" t="s">
        <v>8654</v>
      </c>
      <c r="B2078" t="s">
        <v>8584</v>
      </c>
      <c r="C2078" t="s">
        <v>8585</v>
      </c>
      <c r="D2078">
        <v>17</v>
      </c>
      <c r="E2078" t="s">
        <v>8586</v>
      </c>
      <c r="F2078" t="s">
        <v>50</v>
      </c>
      <c r="G2078" t="s">
        <v>51</v>
      </c>
      <c r="H2078" t="s">
        <v>8587</v>
      </c>
      <c r="I2078" t="s">
        <v>720</v>
      </c>
      <c r="J2078" t="s">
        <v>4518</v>
      </c>
      <c r="K2078" t="s">
        <v>3594</v>
      </c>
      <c r="L2078" t="s">
        <v>19</v>
      </c>
      <c r="M2078" t="s">
        <v>16</v>
      </c>
      <c r="N2078">
        <v>1398</v>
      </c>
      <c r="O2078">
        <v>81</v>
      </c>
      <c r="P2078">
        <v>0</v>
      </c>
      <c r="Q2078" t="s">
        <v>8655</v>
      </c>
      <c r="R2078" t="s">
        <v>8656</v>
      </c>
      <c r="S2078" t="s">
        <v>4587</v>
      </c>
      <c r="T2078" t="s">
        <v>8657</v>
      </c>
      <c r="U2078" t="s">
        <v>60</v>
      </c>
      <c r="V2078" t="s">
        <v>61</v>
      </c>
      <c r="W2078">
        <v>3</v>
      </c>
      <c r="X2078">
        <v>0.13387499999999999</v>
      </c>
      <c r="Y2078" t="s">
        <v>118</v>
      </c>
      <c r="Z2078" t="s">
        <v>170</v>
      </c>
      <c r="AA2078">
        <v>0</v>
      </c>
      <c r="AB2078" t="s">
        <v>8589</v>
      </c>
      <c r="AC2078" t="s">
        <v>8590</v>
      </c>
      <c r="AD2078" t="s">
        <v>8591</v>
      </c>
      <c r="AE2078" t="s">
        <v>8592</v>
      </c>
      <c r="AF2078" t="s">
        <v>8593</v>
      </c>
      <c r="AG2078" t="s">
        <v>66</v>
      </c>
      <c r="AH2078" t="s">
        <v>66</v>
      </c>
      <c r="AI2078" t="s">
        <v>66</v>
      </c>
      <c r="AJ2078" t="s">
        <v>66</v>
      </c>
      <c r="AK2078">
        <v>1</v>
      </c>
      <c r="AL2078" t="s">
        <v>66</v>
      </c>
      <c r="AM2078" t="s">
        <v>66</v>
      </c>
      <c r="AN2078" t="s">
        <v>66</v>
      </c>
      <c r="AO2078" t="s">
        <v>66</v>
      </c>
      <c r="AP2078">
        <v>1</v>
      </c>
      <c r="AQ2078" t="s">
        <v>66</v>
      </c>
      <c r="AR2078" t="s">
        <v>66</v>
      </c>
      <c r="AS2078" t="s">
        <v>66</v>
      </c>
      <c r="AT2078" t="s">
        <v>66</v>
      </c>
    </row>
    <row r="2079" spans="1:46" x14ac:dyDescent="0.15">
      <c r="A2079" t="s">
        <v>8658</v>
      </c>
      <c r="B2079" t="s">
        <v>8584</v>
      </c>
      <c r="C2079" t="s">
        <v>8585</v>
      </c>
      <c r="D2079">
        <v>18</v>
      </c>
      <c r="E2079" t="s">
        <v>8586</v>
      </c>
      <c r="F2079" t="s">
        <v>50</v>
      </c>
      <c r="G2079" t="s">
        <v>51</v>
      </c>
      <c r="H2079" t="s">
        <v>8587</v>
      </c>
      <c r="I2079" t="s">
        <v>720</v>
      </c>
      <c r="J2079" t="s">
        <v>4518</v>
      </c>
      <c r="K2079" t="s">
        <v>3594</v>
      </c>
      <c r="L2079" t="s">
        <v>19</v>
      </c>
      <c r="M2079" t="s">
        <v>16</v>
      </c>
      <c r="N2079">
        <v>1454</v>
      </c>
      <c r="O2079">
        <v>84</v>
      </c>
      <c r="P2079">
        <v>0</v>
      </c>
      <c r="Q2079" t="s">
        <v>8659</v>
      </c>
      <c r="R2079" t="s">
        <v>8660</v>
      </c>
      <c r="S2079" t="s">
        <v>4591</v>
      </c>
      <c r="T2079" t="s">
        <v>8661</v>
      </c>
      <c r="U2079" t="s">
        <v>60</v>
      </c>
      <c r="V2079" t="s">
        <v>61</v>
      </c>
      <c r="W2079">
        <v>3</v>
      </c>
      <c r="X2079">
        <v>0.13387499999999999</v>
      </c>
      <c r="Y2079" t="s">
        <v>176</v>
      </c>
      <c r="Z2079" t="s">
        <v>177</v>
      </c>
      <c r="AA2079">
        <v>0</v>
      </c>
      <c r="AB2079" t="s">
        <v>8589</v>
      </c>
      <c r="AC2079" t="s">
        <v>8590</v>
      </c>
      <c r="AD2079" t="s">
        <v>8591</v>
      </c>
      <c r="AE2079" t="s">
        <v>8592</v>
      </c>
      <c r="AF2079" t="s">
        <v>8593</v>
      </c>
      <c r="AG2079" t="s">
        <v>66</v>
      </c>
      <c r="AH2079" t="s">
        <v>66</v>
      </c>
      <c r="AI2079" t="s">
        <v>66</v>
      </c>
      <c r="AJ2079" t="s">
        <v>66</v>
      </c>
      <c r="AK2079">
        <v>1</v>
      </c>
      <c r="AL2079" t="s">
        <v>66</v>
      </c>
      <c r="AM2079" t="s">
        <v>66</v>
      </c>
      <c r="AN2079" t="s">
        <v>66</v>
      </c>
      <c r="AO2079" t="s">
        <v>66</v>
      </c>
      <c r="AP2079">
        <v>1</v>
      </c>
      <c r="AQ2079" t="s">
        <v>66</v>
      </c>
      <c r="AR2079" t="s">
        <v>66</v>
      </c>
      <c r="AS2079" t="s">
        <v>66</v>
      </c>
      <c r="AT2079" t="s">
        <v>66</v>
      </c>
    </row>
    <row r="2080" spans="1:46" x14ac:dyDescent="0.15">
      <c r="A2080" t="s">
        <v>8662</v>
      </c>
      <c r="B2080" t="s">
        <v>8584</v>
      </c>
      <c r="C2080" t="s">
        <v>8585</v>
      </c>
      <c r="D2080">
        <v>19</v>
      </c>
      <c r="E2080" t="s">
        <v>8586</v>
      </c>
      <c r="F2080" t="s">
        <v>50</v>
      </c>
      <c r="G2080" t="s">
        <v>51</v>
      </c>
      <c r="H2080" t="s">
        <v>8587</v>
      </c>
      <c r="I2080" t="s">
        <v>720</v>
      </c>
      <c r="J2080" t="s">
        <v>4518</v>
      </c>
      <c r="K2080" t="s">
        <v>3594</v>
      </c>
      <c r="L2080" t="s">
        <v>19</v>
      </c>
      <c r="M2080" t="s">
        <v>16</v>
      </c>
      <c r="N2080">
        <v>1510</v>
      </c>
      <c r="O2080">
        <v>87</v>
      </c>
      <c r="P2080">
        <v>0</v>
      </c>
      <c r="Q2080" t="s">
        <v>8663</v>
      </c>
      <c r="R2080" t="s">
        <v>8664</v>
      </c>
      <c r="S2080" t="s">
        <v>4595</v>
      </c>
      <c r="T2080" t="s">
        <v>8665</v>
      </c>
      <c r="U2080" t="s">
        <v>60</v>
      </c>
      <c r="V2080" t="s">
        <v>61</v>
      </c>
      <c r="W2080">
        <v>3</v>
      </c>
      <c r="X2080">
        <v>0.13387499999999999</v>
      </c>
      <c r="Y2080" t="s">
        <v>125</v>
      </c>
      <c r="Z2080" t="s">
        <v>183</v>
      </c>
      <c r="AA2080">
        <v>0</v>
      </c>
      <c r="AB2080" t="s">
        <v>8589</v>
      </c>
      <c r="AC2080" t="s">
        <v>8590</v>
      </c>
      <c r="AD2080" t="s">
        <v>8591</v>
      </c>
      <c r="AE2080" t="s">
        <v>8592</v>
      </c>
      <c r="AF2080" t="s">
        <v>8593</v>
      </c>
      <c r="AG2080" t="s">
        <v>66</v>
      </c>
      <c r="AH2080" t="s">
        <v>66</v>
      </c>
      <c r="AI2080" t="s">
        <v>66</v>
      </c>
      <c r="AJ2080" t="s">
        <v>66</v>
      </c>
      <c r="AK2080">
        <v>1</v>
      </c>
      <c r="AL2080" t="s">
        <v>66</v>
      </c>
      <c r="AM2080" t="s">
        <v>66</v>
      </c>
      <c r="AN2080" t="s">
        <v>66</v>
      </c>
      <c r="AO2080" t="s">
        <v>66</v>
      </c>
      <c r="AP2080">
        <v>1</v>
      </c>
      <c r="AQ2080" t="s">
        <v>66</v>
      </c>
      <c r="AR2080" t="s">
        <v>66</v>
      </c>
      <c r="AS2080" t="s">
        <v>66</v>
      </c>
      <c r="AT2080" t="s">
        <v>66</v>
      </c>
    </row>
    <row r="2081" spans="1:46" x14ac:dyDescent="0.15">
      <c r="A2081" t="s">
        <v>8666</v>
      </c>
      <c r="B2081" t="s">
        <v>8584</v>
      </c>
      <c r="C2081" t="s">
        <v>8585</v>
      </c>
      <c r="D2081">
        <v>20</v>
      </c>
      <c r="E2081" t="s">
        <v>8586</v>
      </c>
      <c r="F2081" t="s">
        <v>50</v>
      </c>
      <c r="G2081" t="s">
        <v>51</v>
      </c>
      <c r="H2081" t="s">
        <v>8587</v>
      </c>
      <c r="I2081" t="s">
        <v>720</v>
      </c>
      <c r="J2081" t="s">
        <v>4518</v>
      </c>
      <c r="K2081" t="s">
        <v>3594</v>
      </c>
      <c r="L2081" t="s">
        <v>19</v>
      </c>
      <c r="M2081" t="s">
        <v>16</v>
      </c>
      <c r="N2081">
        <v>1566</v>
      </c>
      <c r="O2081">
        <v>90</v>
      </c>
      <c r="P2081">
        <v>0</v>
      </c>
      <c r="Q2081" t="s">
        <v>8667</v>
      </c>
      <c r="R2081" t="s">
        <v>8668</v>
      </c>
      <c r="S2081" t="s">
        <v>4599</v>
      </c>
      <c r="T2081" t="s">
        <v>8669</v>
      </c>
      <c r="U2081" t="s">
        <v>60</v>
      </c>
      <c r="V2081" t="s">
        <v>61</v>
      </c>
      <c r="W2081">
        <v>3</v>
      </c>
      <c r="X2081">
        <v>0.13387499999999999</v>
      </c>
      <c r="Y2081" t="s">
        <v>189</v>
      </c>
      <c r="Z2081" t="s">
        <v>190</v>
      </c>
      <c r="AA2081">
        <v>0</v>
      </c>
      <c r="AB2081" t="s">
        <v>8589</v>
      </c>
      <c r="AC2081" t="s">
        <v>8590</v>
      </c>
      <c r="AD2081" t="s">
        <v>8591</v>
      </c>
      <c r="AE2081" t="s">
        <v>8592</v>
      </c>
      <c r="AF2081" t="s">
        <v>8593</v>
      </c>
      <c r="AG2081" t="s">
        <v>66</v>
      </c>
      <c r="AH2081" t="s">
        <v>66</v>
      </c>
      <c r="AI2081" t="s">
        <v>66</v>
      </c>
      <c r="AJ2081" t="s">
        <v>66</v>
      </c>
      <c r="AK2081">
        <v>1</v>
      </c>
      <c r="AL2081" t="s">
        <v>66</v>
      </c>
      <c r="AM2081" t="s">
        <v>66</v>
      </c>
      <c r="AN2081" t="s">
        <v>66</v>
      </c>
      <c r="AO2081" t="s">
        <v>66</v>
      </c>
      <c r="AP2081">
        <v>1</v>
      </c>
      <c r="AQ2081" t="s">
        <v>66</v>
      </c>
      <c r="AR2081" t="s">
        <v>66</v>
      </c>
      <c r="AS2081" t="s">
        <v>66</v>
      </c>
      <c r="AT2081" t="s">
        <v>66</v>
      </c>
    </row>
    <row r="2082" spans="1:46" x14ac:dyDescent="0.15">
      <c r="A2082" t="s">
        <v>8666</v>
      </c>
      <c r="B2082" t="s">
        <v>8584</v>
      </c>
      <c r="C2082" t="s">
        <v>8585</v>
      </c>
      <c r="D2082">
        <v>20</v>
      </c>
      <c r="E2082" t="s">
        <v>8586</v>
      </c>
      <c r="F2082" t="s">
        <v>50</v>
      </c>
      <c r="G2082" t="s">
        <v>51</v>
      </c>
      <c r="H2082" t="s">
        <v>8587</v>
      </c>
      <c r="I2082" t="s">
        <v>720</v>
      </c>
      <c r="J2082" t="s">
        <v>4518</v>
      </c>
      <c r="K2082" t="s">
        <v>3594</v>
      </c>
      <c r="L2082" t="s">
        <v>19</v>
      </c>
      <c r="M2082" t="s">
        <v>16</v>
      </c>
      <c r="N2082">
        <v>1566</v>
      </c>
      <c r="O2082">
        <v>90</v>
      </c>
      <c r="P2082">
        <v>0</v>
      </c>
      <c r="Q2082" t="s">
        <v>8667</v>
      </c>
      <c r="R2082" t="s">
        <v>8668</v>
      </c>
      <c r="S2082" t="s">
        <v>4599</v>
      </c>
      <c r="T2082" t="s">
        <v>8669</v>
      </c>
      <c r="U2082" t="s">
        <v>60</v>
      </c>
      <c r="V2082" t="s">
        <v>61</v>
      </c>
      <c r="W2082">
        <v>3</v>
      </c>
      <c r="X2082">
        <v>0.13387499999999999</v>
      </c>
      <c r="Y2082" t="s">
        <v>189</v>
      </c>
      <c r="Z2082" t="s">
        <v>190</v>
      </c>
      <c r="AA2082">
        <v>1</v>
      </c>
      <c r="AB2082" t="s">
        <v>8589</v>
      </c>
      <c r="AC2082" t="s">
        <v>8590</v>
      </c>
      <c r="AD2082" t="s">
        <v>8591</v>
      </c>
      <c r="AE2082" t="s">
        <v>8592</v>
      </c>
      <c r="AF2082" t="s">
        <v>8593</v>
      </c>
      <c r="AG2082" t="s">
        <v>3903</v>
      </c>
      <c r="AH2082" t="s">
        <v>66</v>
      </c>
      <c r="AI2082" t="s">
        <v>66</v>
      </c>
      <c r="AJ2082" t="s">
        <v>66</v>
      </c>
      <c r="AK2082">
        <v>1</v>
      </c>
      <c r="AL2082" t="s">
        <v>66</v>
      </c>
      <c r="AM2082" t="s">
        <v>66</v>
      </c>
      <c r="AN2082" t="s">
        <v>66</v>
      </c>
      <c r="AO2082" t="s">
        <v>66</v>
      </c>
      <c r="AP2082">
        <v>1</v>
      </c>
      <c r="AQ2082" t="s">
        <v>66</v>
      </c>
      <c r="AR2082" t="s">
        <v>66</v>
      </c>
      <c r="AS2082" t="s">
        <v>66</v>
      </c>
      <c r="AT2082" t="s">
        <v>66</v>
      </c>
    </row>
    <row r="2083" spans="1:46" x14ac:dyDescent="0.15">
      <c r="A2083" t="s">
        <v>8670</v>
      </c>
      <c r="B2083" t="s">
        <v>8584</v>
      </c>
      <c r="C2083" t="s">
        <v>8585</v>
      </c>
      <c r="D2083">
        <v>21</v>
      </c>
      <c r="E2083" t="s">
        <v>8586</v>
      </c>
      <c r="F2083" t="s">
        <v>50</v>
      </c>
      <c r="G2083" t="s">
        <v>51</v>
      </c>
      <c r="H2083" t="s">
        <v>8587</v>
      </c>
      <c r="I2083" t="s">
        <v>720</v>
      </c>
      <c r="J2083" t="s">
        <v>4518</v>
      </c>
      <c r="K2083" t="s">
        <v>3594</v>
      </c>
      <c r="L2083" t="s">
        <v>19</v>
      </c>
      <c r="M2083" t="s">
        <v>16</v>
      </c>
      <c r="N2083">
        <v>1622</v>
      </c>
      <c r="O2083">
        <v>93</v>
      </c>
      <c r="P2083">
        <v>0</v>
      </c>
      <c r="Q2083" t="s">
        <v>8671</v>
      </c>
      <c r="R2083" t="s">
        <v>8672</v>
      </c>
      <c r="S2083" t="s">
        <v>4605</v>
      </c>
      <c r="T2083" t="s">
        <v>8673</v>
      </c>
      <c r="U2083" t="s">
        <v>60</v>
      </c>
      <c r="V2083" t="s">
        <v>61</v>
      </c>
      <c r="W2083">
        <v>3</v>
      </c>
      <c r="X2083">
        <v>0.13387499999999999</v>
      </c>
      <c r="Y2083" t="s">
        <v>131</v>
      </c>
      <c r="Z2083" t="s">
        <v>197</v>
      </c>
      <c r="AA2083">
        <v>1</v>
      </c>
      <c r="AB2083" t="s">
        <v>8589</v>
      </c>
      <c r="AC2083" t="s">
        <v>8590</v>
      </c>
      <c r="AD2083" t="s">
        <v>8591</v>
      </c>
      <c r="AE2083" t="s">
        <v>8592</v>
      </c>
      <c r="AF2083" t="s">
        <v>8593</v>
      </c>
      <c r="AG2083" t="s">
        <v>3903</v>
      </c>
      <c r="AH2083" t="s">
        <v>66</v>
      </c>
      <c r="AI2083" t="s">
        <v>66</v>
      </c>
      <c r="AJ2083" t="s">
        <v>66</v>
      </c>
      <c r="AK2083">
        <v>1</v>
      </c>
      <c r="AL2083" t="s">
        <v>66</v>
      </c>
      <c r="AM2083" t="s">
        <v>66</v>
      </c>
      <c r="AN2083" t="s">
        <v>66</v>
      </c>
      <c r="AO2083" t="s">
        <v>66</v>
      </c>
      <c r="AP2083">
        <v>1</v>
      </c>
      <c r="AQ2083" t="s">
        <v>66</v>
      </c>
      <c r="AR2083" t="s">
        <v>66</v>
      </c>
      <c r="AS2083" t="s">
        <v>66</v>
      </c>
      <c r="AT2083" t="s">
        <v>66</v>
      </c>
    </row>
    <row r="2084" spans="1:46" x14ac:dyDescent="0.15">
      <c r="A2084" t="s">
        <v>8674</v>
      </c>
      <c r="B2084" t="s">
        <v>8584</v>
      </c>
      <c r="C2084" t="s">
        <v>8585</v>
      </c>
      <c r="D2084">
        <v>22</v>
      </c>
      <c r="E2084" t="s">
        <v>8586</v>
      </c>
      <c r="F2084" t="s">
        <v>50</v>
      </c>
      <c r="G2084" t="s">
        <v>51</v>
      </c>
      <c r="H2084" t="s">
        <v>8587</v>
      </c>
      <c r="I2084" t="s">
        <v>720</v>
      </c>
      <c r="J2084" t="s">
        <v>4518</v>
      </c>
      <c r="K2084" t="s">
        <v>3594</v>
      </c>
      <c r="L2084" t="s">
        <v>19</v>
      </c>
      <c r="M2084" t="s">
        <v>16</v>
      </c>
      <c r="N2084">
        <v>1679</v>
      </c>
      <c r="O2084">
        <v>96</v>
      </c>
      <c r="P2084">
        <v>0</v>
      </c>
      <c r="Q2084" t="s">
        <v>8675</v>
      </c>
      <c r="R2084" t="s">
        <v>8676</v>
      </c>
      <c r="S2084" t="s">
        <v>4609</v>
      </c>
      <c r="T2084" t="s">
        <v>8677</v>
      </c>
      <c r="U2084" t="s">
        <v>60</v>
      </c>
      <c r="V2084" t="s">
        <v>61</v>
      </c>
      <c r="W2084">
        <v>3</v>
      </c>
      <c r="X2084">
        <v>0.13387499999999999</v>
      </c>
      <c r="Y2084" t="s">
        <v>203</v>
      </c>
      <c r="Z2084" t="s">
        <v>204</v>
      </c>
      <c r="AA2084">
        <v>1</v>
      </c>
      <c r="AB2084" t="s">
        <v>8589</v>
      </c>
      <c r="AC2084" t="s">
        <v>8590</v>
      </c>
      <c r="AD2084" t="s">
        <v>8591</v>
      </c>
      <c r="AE2084" t="s">
        <v>8592</v>
      </c>
      <c r="AF2084" t="s">
        <v>8593</v>
      </c>
      <c r="AG2084" t="s">
        <v>3903</v>
      </c>
      <c r="AH2084" t="s">
        <v>66</v>
      </c>
      <c r="AI2084" t="s">
        <v>66</v>
      </c>
      <c r="AJ2084" t="s">
        <v>66</v>
      </c>
      <c r="AK2084">
        <v>1</v>
      </c>
      <c r="AL2084" t="s">
        <v>66</v>
      </c>
      <c r="AM2084" t="s">
        <v>66</v>
      </c>
      <c r="AN2084" t="s">
        <v>66</v>
      </c>
      <c r="AO2084" t="s">
        <v>66</v>
      </c>
      <c r="AP2084">
        <v>1</v>
      </c>
      <c r="AQ2084" t="s">
        <v>66</v>
      </c>
      <c r="AR2084" t="s">
        <v>66</v>
      </c>
      <c r="AS2084" t="s">
        <v>66</v>
      </c>
      <c r="AT2084" t="s">
        <v>66</v>
      </c>
    </row>
    <row r="2085" spans="1:46" x14ac:dyDescent="0.15">
      <c r="A2085" t="s">
        <v>8678</v>
      </c>
      <c r="B2085" t="s">
        <v>8584</v>
      </c>
      <c r="C2085" t="s">
        <v>8585</v>
      </c>
      <c r="D2085">
        <v>23</v>
      </c>
      <c r="E2085" t="s">
        <v>8586</v>
      </c>
      <c r="F2085" t="s">
        <v>50</v>
      </c>
      <c r="G2085" t="s">
        <v>51</v>
      </c>
      <c r="H2085" t="s">
        <v>8587</v>
      </c>
      <c r="I2085" t="s">
        <v>720</v>
      </c>
      <c r="J2085" t="s">
        <v>4518</v>
      </c>
      <c r="K2085" t="s">
        <v>3594</v>
      </c>
      <c r="L2085" t="s">
        <v>19</v>
      </c>
      <c r="M2085" t="s">
        <v>16</v>
      </c>
      <c r="N2085">
        <v>1735</v>
      </c>
      <c r="O2085">
        <v>100</v>
      </c>
      <c r="P2085">
        <v>0</v>
      </c>
      <c r="Q2085" t="s">
        <v>8679</v>
      </c>
      <c r="R2085" t="s">
        <v>8680</v>
      </c>
      <c r="S2085" t="s">
        <v>4613</v>
      </c>
      <c r="T2085" t="s">
        <v>8681</v>
      </c>
      <c r="U2085" t="s">
        <v>60</v>
      </c>
      <c r="V2085" t="s">
        <v>61</v>
      </c>
      <c r="W2085">
        <v>3</v>
      </c>
      <c r="X2085">
        <v>0.13387499999999999</v>
      </c>
      <c r="Y2085" t="s">
        <v>138</v>
      </c>
      <c r="Z2085" t="s">
        <v>210</v>
      </c>
      <c r="AA2085">
        <v>1</v>
      </c>
      <c r="AB2085" t="s">
        <v>8589</v>
      </c>
      <c r="AC2085" t="s">
        <v>8590</v>
      </c>
      <c r="AD2085" t="s">
        <v>8591</v>
      </c>
      <c r="AE2085" t="s">
        <v>8592</v>
      </c>
      <c r="AF2085" t="s">
        <v>8593</v>
      </c>
      <c r="AG2085" t="s">
        <v>3903</v>
      </c>
      <c r="AH2085" t="s">
        <v>66</v>
      </c>
      <c r="AI2085" t="s">
        <v>66</v>
      </c>
      <c r="AJ2085" t="s">
        <v>66</v>
      </c>
      <c r="AK2085">
        <v>1</v>
      </c>
      <c r="AL2085" t="s">
        <v>66</v>
      </c>
      <c r="AM2085" t="s">
        <v>66</v>
      </c>
      <c r="AN2085" t="s">
        <v>66</v>
      </c>
      <c r="AO2085" t="s">
        <v>66</v>
      </c>
      <c r="AP2085">
        <v>1</v>
      </c>
      <c r="AQ2085" t="s">
        <v>66</v>
      </c>
      <c r="AR2085" t="s">
        <v>66</v>
      </c>
      <c r="AS2085" t="s">
        <v>66</v>
      </c>
      <c r="AT2085" t="s">
        <v>66</v>
      </c>
    </row>
    <row r="2086" spans="1:46" x14ac:dyDescent="0.15">
      <c r="A2086" t="s">
        <v>8682</v>
      </c>
      <c r="B2086" t="s">
        <v>8584</v>
      </c>
      <c r="C2086" t="s">
        <v>8585</v>
      </c>
      <c r="D2086">
        <v>24</v>
      </c>
      <c r="E2086" t="s">
        <v>8586</v>
      </c>
      <c r="F2086" t="s">
        <v>50</v>
      </c>
      <c r="G2086" t="s">
        <v>51</v>
      </c>
      <c r="H2086" t="s">
        <v>8587</v>
      </c>
      <c r="I2086" t="s">
        <v>720</v>
      </c>
      <c r="J2086" t="s">
        <v>4518</v>
      </c>
      <c r="K2086" t="s">
        <v>3594</v>
      </c>
      <c r="L2086" t="s">
        <v>19</v>
      </c>
      <c r="M2086" t="s">
        <v>16</v>
      </c>
      <c r="N2086">
        <v>1791</v>
      </c>
      <c r="O2086">
        <v>103</v>
      </c>
      <c r="P2086">
        <v>0</v>
      </c>
      <c r="Q2086" t="s">
        <v>8683</v>
      </c>
      <c r="R2086" t="s">
        <v>8684</v>
      </c>
      <c r="S2086" t="s">
        <v>4617</v>
      </c>
      <c r="T2086" t="s">
        <v>8685</v>
      </c>
      <c r="U2086" t="s">
        <v>60</v>
      </c>
      <c r="V2086" t="s">
        <v>61</v>
      </c>
      <c r="W2086">
        <v>3</v>
      </c>
      <c r="X2086">
        <v>0.13387499999999999</v>
      </c>
      <c r="Y2086" t="s">
        <v>216</v>
      </c>
      <c r="Z2086" t="s">
        <v>217</v>
      </c>
      <c r="AA2086">
        <v>1</v>
      </c>
      <c r="AB2086" t="s">
        <v>8589</v>
      </c>
      <c r="AC2086" t="s">
        <v>8590</v>
      </c>
      <c r="AD2086" t="s">
        <v>8591</v>
      </c>
      <c r="AE2086" t="s">
        <v>8592</v>
      </c>
      <c r="AF2086" t="s">
        <v>8593</v>
      </c>
      <c r="AG2086" t="s">
        <v>3903</v>
      </c>
      <c r="AH2086" t="s">
        <v>66</v>
      </c>
      <c r="AI2086" t="s">
        <v>66</v>
      </c>
      <c r="AJ2086" t="s">
        <v>66</v>
      </c>
      <c r="AK2086">
        <v>1</v>
      </c>
      <c r="AL2086" t="s">
        <v>66</v>
      </c>
      <c r="AM2086" t="s">
        <v>66</v>
      </c>
      <c r="AN2086" t="s">
        <v>66</v>
      </c>
      <c r="AO2086" t="s">
        <v>66</v>
      </c>
      <c r="AP2086">
        <v>1</v>
      </c>
      <c r="AQ2086" t="s">
        <v>66</v>
      </c>
      <c r="AR2086" t="s">
        <v>66</v>
      </c>
      <c r="AS2086" t="s">
        <v>66</v>
      </c>
      <c r="AT2086" t="s">
        <v>66</v>
      </c>
    </row>
    <row r="2087" spans="1:46" x14ac:dyDescent="0.15">
      <c r="A2087" t="s">
        <v>8686</v>
      </c>
      <c r="B2087" t="s">
        <v>8584</v>
      </c>
      <c r="C2087" t="s">
        <v>8585</v>
      </c>
      <c r="D2087">
        <v>25</v>
      </c>
      <c r="E2087" t="s">
        <v>8586</v>
      </c>
      <c r="F2087" t="s">
        <v>50</v>
      </c>
      <c r="G2087" t="s">
        <v>51</v>
      </c>
      <c r="H2087" t="s">
        <v>8587</v>
      </c>
      <c r="I2087" t="s">
        <v>720</v>
      </c>
      <c r="J2087" t="s">
        <v>4518</v>
      </c>
      <c r="K2087" t="s">
        <v>3594</v>
      </c>
      <c r="L2087" t="s">
        <v>19</v>
      </c>
      <c r="M2087" t="s">
        <v>16</v>
      </c>
      <c r="N2087">
        <v>1847</v>
      </c>
      <c r="O2087">
        <v>106</v>
      </c>
      <c r="P2087">
        <v>0</v>
      </c>
      <c r="Q2087" t="s">
        <v>8687</v>
      </c>
      <c r="R2087" t="s">
        <v>8688</v>
      </c>
      <c r="S2087" t="s">
        <v>4621</v>
      </c>
      <c r="T2087" t="s">
        <v>8689</v>
      </c>
      <c r="U2087" t="s">
        <v>60</v>
      </c>
      <c r="V2087" t="s">
        <v>61</v>
      </c>
      <c r="W2087">
        <v>3</v>
      </c>
      <c r="X2087">
        <v>0.13387499999999999</v>
      </c>
      <c r="Y2087" t="s">
        <v>144</v>
      </c>
      <c r="Z2087" t="s">
        <v>223</v>
      </c>
      <c r="AA2087">
        <v>1</v>
      </c>
      <c r="AB2087" t="s">
        <v>8589</v>
      </c>
      <c r="AC2087" t="s">
        <v>8590</v>
      </c>
      <c r="AD2087" t="s">
        <v>8591</v>
      </c>
      <c r="AE2087" t="s">
        <v>8592</v>
      </c>
      <c r="AF2087" t="s">
        <v>8593</v>
      </c>
      <c r="AG2087" t="s">
        <v>3903</v>
      </c>
      <c r="AH2087" t="s">
        <v>66</v>
      </c>
      <c r="AI2087" t="s">
        <v>66</v>
      </c>
      <c r="AJ2087" t="s">
        <v>66</v>
      </c>
      <c r="AK2087">
        <v>1</v>
      </c>
      <c r="AL2087" t="s">
        <v>66</v>
      </c>
      <c r="AM2087" t="s">
        <v>66</v>
      </c>
      <c r="AN2087" t="s">
        <v>66</v>
      </c>
      <c r="AO2087" t="s">
        <v>66</v>
      </c>
      <c r="AP2087">
        <v>1</v>
      </c>
      <c r="AQ2087" t="s">
        <v>66</v>
      </c>
      <c r="AR2087" t="s">
        <v>66</v>
      </c>
      <c r="AS2087" t="s">
        <v>66</v>
      </c>
      <c r="AT2087" t="s">
        <v>66</v>
      </c>
    </row>
    <row r="2088" spans="1:46" x14ac:dyDescent="0.15">
      <c r="A2088" t="s">
        <v>8690</v>
      </c>
      <c r="B2088" t="s">
        <v>8584</v>
      </c>
      <c r="C2088" t="s">
        <v>8585</v>
      </c>
      <c r="D2088">
        <v>26</v>
      </c>
      <c r="E2088" t="s">
        <v>8586</v>
      </c>
      <c r="F2088" t="s">
        <v>50</v>
      </c>
      <c r="G2088" t="s">
        <v>51</v>
      </c>
      <c r="H2088" t="s">
        <v>8587</v>
      </c>
      <c r="I2088" t="s">
        <v>720</v>
      </c>
      <c r="J2088" t="s">
        <v>4518</v>
      </c>
      <c r="K2088" t="s">
        <v>3594</v>
      </c>
      <c r="L2088" t="s">
        <v>19</v>
      </c>
      <c r="M2088" t="s">
        <v>16</v>
      </c>
      <c r="N2088">
        <v>1903</v>
      </c>
      <c r="O2088">
        <v>109</v>
      </c>
      <c r="P2088">
        <v>0</v>
      </c>
      <c r="Q2088" t="s">
        <v>8691</v>
      </c>
      <c r="R2088" t="s">
        <v>8692</v>
      </c>
      <c r="S2088" t="s">
        <v>4625</v>
      </c>
      <c r="T2088" t="s">
        <v>8693</v>
      </c>
      <c r="U2088" t="s">
        <v>60</v>
      </c>
      <c r="V2088" t="s">
        <v>61</v>
      </c>
      <c r="W2088">
        <v>3</v>
      </c>
      <c r="X2088">
        <v>0.13387499999999999</v>
      </c>
      <c r="Y2088" t="s">
        <v>229</v>
      </c>
      <c r="Z2088" t="s">
        <v>230</v>
      </c>
      <c r="AA2088">
        <v>1</v>
      </c>
      <c r="AB2088" t="s">
        <v>8589</v>
      </c>
      <c r="AC2088" t="s">
        <v>8590</v>
      </c>
      <c r="AD2088" t="s">
        <v>8591</v>
      </c>
      <c r="AE2088" t="s">
        <v>8592</v>
      </c>
      <c r="AF2088" t="s">
        <v>8593</v>
      </c>
      <c r="AG2088" t="s">
        <v>3903</v>
      </c>
      <c r="AH2088" t="s">
        <v>66</v>
      </c>
      <c r="AI2088" t="s">
        <v>66</v>
      </c>
      <c r="AJ2088" t="s">
        <v>66</v>
      </c>
      <c r="AK2088">
        <v>1</v>
      </c>
      <c r="AL2088" t="s">
        <v>66</v>
      </c>
      <c r="AM2088" t="s">
        <v>66</v>
      </c>
      <c r="AN2088" t="s">
        <v>66</v>
      </c>
      <c r="AO2088" t="s">
        <v>66</v>
      </c>
      <c r="AP2088">
        <v>1</v>
      </c>
      <c r="AQ2088" t="s">
        <v>66</v>
      </c>
      <c r="AR2088" t="s">
        <v>66</v>
      </c>
      <c r="AS2088" t="s">
        <v>66</v>
      </c>
      <c r="AT2088" t="s">
        <v>66</v>
      </c>
    </row>
    <row r="2089" spans="1:46" x14ac:dyDescent="0.15">
      <c r="A2089" t="s">
        <v>8694</v>
      </c>
      <c r="B2089" t="s">
        <v>8584</v>
      </c>
      <c r="C2089" t="s">
        <v>8585</v>
      </c>
      <c r="D2089">
        <v>27</v>
      </c>
      <c r="E2089" t="s">
        <v>8586</v>
      </c>
      <c r="F2089" t="s">
        <v>50</v>
      </c>
      <c r="G2089" t="s">
        <v>51</v>
      </c>
      <c r="H2089" t="s">
        <v>8587</v>
      </c>
      <c r="I2089" t="s">
        <v>720</v>
      </c>
      <c r="J2089" t="s">
        <v>4518</v>
      </c>
      <c r="K2089" t="s">
        <v>3594</v>
      </c>
      <c r="L2089" t="s">
        <v>19</v>
      </c>
      <c r="M2089" t="s">
        <v>16</v>
      </c>
      <c r="N2089">
        <v>1959</v>
      </c>
      <c r="O2089">
        <v>112</v>
      </c>
      <c r="P2089">
        <v>0</v>
      </c>
      <c r="Q2089" t="s">
        <v>8695</v>
      </c>
      <c r="R2089" t="s">
        <v>8696</v>
      </c>
      <c r="S2089" t="s">
        <v>4629</v>
      </c>
      <c r="T2089" t="s">
        <v>8697</v>
      </c>
      <c r="U2089" t="s">
        <v>60</v>
      </c>
      <c r="V2089" t="s">
        <v>61</v>
      </c>
      <c r="W2089">
        <v>3</v>
      </c>
      <c r="X2089">
        <v>0.13387499999999999</v>
      </c>
      <c r="Y2089" t="s">
        <v>151</v>
      </c>
      <c r="Z2089" t="s">
        <v>236</v>
      </c>
      <c r="AA2089">
        <v>1</v>
      </c>
      <c r="AB2089" t="s">
        <v>8589</v>
      </c>
      <c r="AC2089" t="s">
        <v>8590</v>
      </c>
      <c r="AD2089" t="s">
        <v>8591</v>
      </c>
      <c r="AE2089" t="s">
        <v>8592</v>
      </c>
      <c r="AF2089" t="s">
        <v>8593</v>
      </c>
      <c r="AG2089" t="s">
        <v>3903</v>
      </c>
      <c r="AH2089" t="s">
        <v>66</v>
      </c>
      <c r="AI2089" t="s">
        <v>66</v>
      </c>
      <c r="AJ2089" t="s">
        <v>66</v>
      </c>
      <c r="AK2089">
        <v>1</v>
      </c>
      <c r="AL2089" t="s">
        <v>66</v>
      </c>
      <c r="AM2089" t="s">
        <v>66</v>
      </c>
      <c r="AN2089" t="s">
        <v>66</v>
      </c>
      <c r="AO2089" t="s">
        <v>66</v>
      </c>
      <c r="AP2089">
        <v>1</v>
      </c>
      <c r="AQ2089" t="s">
        <v>66</v>
      </c>
      <c r="AR2089" t="s">
        <v>66</v>
      </c>
      <c r="AS2089" t="s">
        <v>66</v>
      </c>
      <c r="AT2089" t="s">
        <v>66</v>
      </c>
    </row>
    <row r="2090" spans="1:46" x14ac:dyDescent="0.15">
      <c r="A2090" t="s">
        <v>8698</v>
      </c>
      <c r="B2090" t="s">
        <v>8584</v>
      </c>
      <c r="C2090" t="s">
        <v>8585</v>
      </c>
      <c r="D2090">
        <v>28</v>
      </c>
      <c r="E2090" t="s">
        <v>8586</v>
      </c>
      <c r="F2090" t="s">
        <v>50</v>
      </c>
      <c r="G2090" t="s">
        <v>51</v>
      </c>
      <c r="H2090" t="s">
        <v>8587</v>
      </c>
      <c r="I2090" t="s">
        <v>720</v>
      </c>
      <c r="J2090" t="s">
        <v>4518</v>
      </c>
      <c r="K2090" t="s">
        <v>3594</v>
      </c>
      <c r="L2090" t="s">
        <v>19</v>
      </c>
      <c r="M2090" t="s">
        <v>16</v>
      </c>
      <c r="N2090">
        <v>2015</v>
      </c>
      <c r="O2090">
        <v>115</v>
      </c>
      <c r="P2090">
        <v>0</v>
      </c>
      <c r="Q2090" t="s">
        <v>8699</v>
      </c>
      <c r="R2090" t="s">
        <v>8700</v>
      </c>
      <c r="S2090" t="s">
        <v>4633</v>
      </c>
      <c r="T2090" t="s">
        <v>8701</v>
      </c>
      <c r="U2090" t="s">
        <v>60</v>
      </c>
      <c r="V2090" t="s">
        <v>61</v>
      </c>
      <c r="W2090">
        <v>3</v>
      </c>
      <c r="X2090">
        <v>0.13387499999999999</v>
      </c>
      <c r="Y2090" t="s">
        <v>242</v>
      </c>
      <c r="Z2090" t="s">
        <v>243</v>
      </c>
      <c r="AA2090">
        <v>1</v>
      </c>
      <c r="AB2090" t="s">
        <v>8589</v>
      </c>
      <c r="AC2090" t="s">
        <v>8590</v>
      </c>
      <c r="AD2090" t="s">
        <v>8591</v>
      </c>
      <c r="AE2090" t="s">
        <v>8592</v>
      </c>
      <c r="AF2090" t="s">
        <v>8593</v>
      </c>
      <c r="AG2090" t="s">
        <v>3903</v>
      </c>
      <c r="AH2090" t="s">
        <v>66</v>
      </c>
      <c r="AI2090" t="s">
        <v>66</v>
      </c>
      <c r="AJ2090" t="s">
        <v>66</v>
      </c>
      <c r="AK2090">
        <v>1</v>
      </c>
      <c r="AL2090" t="s">
        <v>66</v>
      </c>
      <c r="AM2090" t="s">
        <v>66</v>
      </c>
      <c r="AN2090" t="s">
        <v>66</v>
      </c>
      <c r="AO2090" t="s">
        <v>66</v>
      </c>
      <c r="AP2090">
        <v>1</v>
      </c>
      <c r="AQ2090" t="s">
        <v>66</v>
      </c>
      <c r="AR2090" t="s">
        <v>66</v>
      </c>
      <c r="AS2090" t="s">
        <v>66</v>
      </c>
      <c r="AT2090" t="s">
        <v>66</v>
      </c>
    </row>
    <row r="2091" spans="1:46" x14ac:dyDescent="0.15">
      <c r="A2091" t="s">
        <v>8702</v>
      </c>
      <c r="B2091" t="s">
        <v>8584</v>
      </c>
      <c r="C2091" t="s">
        <v>8585</v>
      </c>
      <c r="D2091">
        <v>29</v>
      </c>
      <c r="E2091" t="s">
        <v>8586</v>
      </c>
      <c r="F2091" t="s">
        <v>50</v>
      </c>
      <c r="G2091" t="s">
        <v>51</v>
      </c>
      <c r="H2091" t="s">
        <v>8587</v>
      </c>
      <c r="I2091" t="s">
        <v>720</v>
      </c>
      <c r="J2091" t="s">
        <v>4518</v>
      </c>
      <c r="K2091" t="s">
        <v>3594</v>
      </c>
      <c r="L2091" t="s">
        <v>19</v>
      </c>
      <c r="M2091" t="s">
        <v>16</v>
      </c>
      <c r="N2091">
        <v>2071</v>
      </c>
      <c r="O2091">
        <v>119</v>
      </c>
      <c r="P2091">
        <v>0</v>
      </c>
      <c r="Q2091" t="s">
        <v>8703</v>
      </c>
      <c r="R2091" t="s">
        <v>8704</v>
      </c>
      <c r="S2091" t="s">
        <v>4637</v>
      </c>
      <c r="T2091" t="s">
        <v>8705</v>
      </c>
      <c r="U2091" t="s">
        <v>60</v>
      </c>
      <c r="V2091" t="s">
        <v>61</v>
      </c>
      <c r="W2091">
        <v>3</v>
      </c>
      <c r="X2091">
        <v>0.13387499999999999</v>
      </c>
      <c r="Y2091" t="s">
        <v>157</v>
      </c>
      <c r="Z2091" t="s">
        <v>249</v>
      </c>
      <c r="AA2091">
        <v>1</v>
      </c>
      <c r="AB2091" t="s">
        <v>8589</v>
      </c>
      <c r="AC2091" t="s">
        <v>8590</v>
      </c>
      <c r="AD2091" t="s">
        <v>8591</v>
      </c>
      <c r="AE2091" t="s">
        <v>8592</v>
      </c>
      <c r="AF2091" t="s">
        <v>8593</v>
      </c>
      <c r="AG2091" t="s">
        <v>3903</v>
      </c>
      <c r="AH2091" t="s">
        <v>66</v>
      </c>
      <c r="AI2091" t="s">
        <v>66</v>
      </c>
      <c r="AJ2091" t="s">
        <v>66</v>
      </c>
      <c r="AK2091">
        <v>1</v>
      </c>
      <c r="AL2091" t="s">
        <v>66</v>
      </c>
      <c r="AM2091" t="s">
        <v>66</v>
      </c>
      <c r="AN2091" t="s">
        <v>66</v>
      </c>
      <c r="AO2091" t="s">
        <v>66</v>
      </c>
      <c r="AP2091">
        <v>1</v>
      </c>
      <c r="AQ2091" t="s">
        <v>66</v>
      </c>
      <c r="AR2091" t="s">
        <v>66</v>
      </c>
      <c r="AS2091" t="s">
        <v>66</v>
      </c>
      <c r="AT2091" t="s">
        <v>66</v>
      </c>
    </row>
    <row r="2092" spans="1:46" x14ac:dyDescent="0.15">
      <c r="A2092" t="s">
        <v>8706</v>
      </c>
      <c r="B2092" t="s">
        <v>8584</v>
      </c>
      <c r="C2092" t="s">
        <v>8585</v>
      </c>
      <c r="D2092">
        <v>30</v>
      </c>
      <c r="E2092" t="s">
        <v>8586</v>
      </c>
      <c r="F2092" t="s">
        <v>50</v>
      </c>
      <c r="G2092" t="s">
        <v>51</v>
      </c>
      <c r="H2092" t="s">
        <v>8587</v>
      </c>
      <c r="I2092" t="s">
        <v>720</v>
      </c>
      <c r="J2092" t="s">
        <v>4518</v>
      </c>
      <c r="K2092" t="s">
        <v>3594</v>
      </c>
      <c r="L2092" t="s">
        <v>19</v>
      </c>
      <c r="M2092" t="s">
        <v>16</v>
      </c>
      <c r="N2092">
        <v>2128</v>
      </c>
      <c r="O2092">
        <v>122</v>
      </c>
      <c r="P2092">
        <v>0</v>
      </c>
      <c r="Q2092" t="s">
        <v>8707</v>
      </c>
      <c r="R2092" t="s">
        <v>8708</v>
      </c>
      <c r="S2092" t="s">
        <v>4641</v>
      </c>
      <c r="T2092" t="s">
        <v>8709</v>
      </c>
      <c r="U2092" t="s">
        <v>60</v>
      </c>
      <c r="V2092" t="s">
        <v>61</v>
      </c>
      <c r="W2092">
        <v>3</v>
      </c>
      <c r="X2092">
        <v>0.13387499999999999</v>
      </c>
      <c r="Y2092" t="s">
        <v>255</v>
      </c>
      <c r="Z2092" t="s">
        <v>256</v>
      </c>
      <c r="AA2092">
        <v>1</v>
      </c>
      <c r="AB2092" t="s">
        <v>8589</v>
      </c>
      <c r="AC2092" t="s">
        <v>8590</v>
      </c>
      <c r="AD2092" t="s">
        <v>8591</v>
      </c>
      <c r="AE2092" t="s">
        <v>8592</v>
      </c>
      <c r="AF2092" t="s">
        <v>8593</v>
      </c>
      <c r="AG2092" t="s">
        <v>3903</v>
      </c>
      <c r="AH2092" t="s">
        <v>66</v>
      </c>
      <c r="AI2092" t="s">
        <v>66</v>
      </c>
      <c r="AJ2092" t="s">
        <v>66</v>
      </c>
      <c r="AK2092">
        <v>1</v>
      </c>
      <c r="AL2092" t="s">
        <v>66</v>
      </c>
      <c r="AM2092" t="s">
        <v>66</v>
      </c>
      <c r="AN2092" t="s">
        <v>66</v>
      </c>
      <c r="AO2092" t="s">
        <v>66</v>
      </c>
      <c r="AP2092">
        <v>1</v>
      </c>
      <c r="AQ2092" t="s">
        <v>66</v>
      </c>
      <c r="AR2092" t="s">
        <v>66</v>
      </c>
      <c r="AS2092" t="s">
        <v>66</v>
      </c>
      <c r="AT2092" t="s">
        <v>66</v>
      </c>
    </row>
    <row r="2093" spans="1:46" x14ac:dyDescent="0.15">
      <c r="A2093" t="s">
        <v>8710</v>
      </c>
      <c r="B2093" t="s">
        <v>8584</v>
      </c>
      <c r="C2093" t="s">
        <v>8585</v>
      </c>
      <c r="D2093">
        <v>31</v>
      </c>
      <c r="E2093" t="s">
        <v>8586</v>
      </c>
      <c r="F2093" t="s">
        <v>50</v>
      </c>
      <c r="G2093" t="s">
        <v>51</v>
      </c>
      <c r="H2093" t="s">
        <v>8587</v>
      </c>
      <c r="I2093" t="s">
        <v>720</v>
      </c>
      <c r="J2093" t="s">
        <v>4518</v>
      </c>
      <c r="K2093" t="s">
        <v>3594</v>
      </c>
      <c r="L2093" t="s">
        <v>19</v>
      </c>
      <c r="M2093" t="s">
        <v>16</v>
      </c>
      <c r="N2093">
        <v>2184</v>
      </c>
      <c r="O2093">
        <v>125</v>
      </c>
      <c r="P2093">
        <v>0</v>
      </c>
      <c r="Q2093" t="s">
        <v>8711</v>
      </c>
      <c r="R2093" t="s">
        <v>8712</v>
      </c>
      <c r="S2093" t="s">
        <v>4645</v>
      </c>
      <c r="T2093" t="s">
        <v>8713</v>
      </c>
      <c r="U2093" t="s">
        <v>60</v>
      </c>
      <c r="V2093" t="s">
        <v>61</v>
      </c>
      <c r="W2093">
        <v>3</v>
      </c>
      <c r="X2093">
        <v>0.13387499999999999</v>
      </c>
      <c r="Y2093" t="s">
        <v>164</v>
      </c>
      <c r="Z2093" t="s">
        <v>262</v>
      </c>
      <c r="AA2093">
        <v>1</v>
      </c>
      <c r="AB2093" t="s">
        <v>8589</v>
      </c>
      <c r="AC2093" t="s">
        <v>8590</v>
      </c>
      <c r="AD2093" t="s">
        <v>8591</v>
      </c>
      <c r="AE2093" t="s">
        <v>8592</v>
      </c>
      <c r="AF2093" t="s">
        <v>8593</v>
      </c>
      <c r="AG2093" t="s">
        <v>3903</v>
      </c>
      <c r="AH2093" t="s">
        <v>66</v>
      </c>
      <c r="AI2093" t="s">
        <v>66</v>
      </c>
      <c r="AJ2093" t="s">
        <v>66</v>
      </c>
      <c r="AK2093">
        <v>1</v>
      </c>
      <c r="AL2093" t="s">
        <v>66</v>
      </c>
      <c r="AM2093" t="s">
        <v>66</v>
      </c>
      <c r="AN2093" t="s">
        <v>66</v>
      </c>
      <c r="AO2093" t="s">
        <v>66</v>
      </c>
      <c r="AP2093">
        <v>1</v>
      </c>
      <c r="AQ2093" t="s">
        <v>66</v>
      </c>
      <c r="AR2093" t="s">
        <v>66</v>
      </c>
      <c r="AS2093" t="s">
        <v>66</v>
      </c>
      <c r="AT2093" t="s">
        <v>66</v>
      </c>
    </row>
    <row r="2094" spans="1:46" x14ac:dyDescent="0.15">
      <c r="A2094" t="s">
        <v>8714</v>
      </c>
      <c r="B2094" t="s">
        <v>8584</v>
      </c>
      <c r="C2094" t="s">
        <v>8585</v>
      </c>
      <c r="D2094">
        <v>32</v>
      </c>
      <c r="E2094" t="s">
        <v>8586</v>
      </c>
      <c r="F2094" t="s">
        <v>50</v>
      </c>
      <c r="G2094" t="s">
        <v>51</v>
      </c>
      <c r="H2094" t="s">
        <v>8587</v>
      </c>
      <c r="I2094" t="s">
        <v>720</v>
      </c>
      <c r="J2094" t="s">
        <v>4518</v>
      </c>
      <c r="K2094" t="s">
        <v>3594</v>
      </c>
      <c r="L2094" t="s">
        <v>19</v>
      </c>
      <c r="M2094" t="s">
        <v>16</v>
      </c>
      <c r="N2094">
        <v>2240</v>
      </c>
      <c r="O2094">
        <v>128</v>
      </c>
      <c r="P2094">
        <v>0</v>
      </c>
      <c r="Q2094" t="s">
        <v>8715</v>
      </c>
      <c r="R2094" t="s">
        <v>8716</v>
      </c>
      <c r="S2094" t="s">
        <v>4649</v>
      </c>
      <c r="T2094" t="s">
        <v>8717</v>
      </c>
      <c r="U2094" t="s">
        <v>60</v>
      </c>
      <c r="V2094" t="s">
        <v>61</v>
      </c>
      <c r="W2094">
        <v>3</v>
      </c>
      <c r="X2094">
        <v>0.13387499999999999</v>
      </c>
      <c r="Y2094" t="s">
        <v>268</v>
      </c>
      <c r="Z2094" t="s">
        <v>269</v>
      </c>
      <c r="AA2094">
        <v>1</v>
      </c>
      <c r="AB2094" t="s">
        <v>8589</v>
      </c>
      <c r="AC2094" t="s">
        <v>8590</v>
      </c>
      <c r="AD2094" t="s">
        <v>8591</v>
      </c>
      <c r="AE2094" t="s">
        <v>8592</v>
      </c>
      <c r="AF2094" t="s">
        <v>8593</v>
      </c>
      <c r="AG2094" t="s">
        <v>3903</v>
      </c>
      <c r="AH2094" t="s">
        <v>66</v>
      </c>
      <c r="AI2094" t="s">
        <v>66</v>
      </c>
      <c r="AJ2094" t="s">
        <v>66</v>
      </c>
      <c r="AK2094">
        <v>1</v>
      </c>
      <c r="AL2094" t="s">
        <v>66</v>
      </c>
      <c r="AM2094" t="s">
        <v>66</v>
      </c>
      <c r="AN2094" t="s">
        <v>66</v>
      </c>
      <c r="AO2094" t="s">
        <v>66</v>
      </c>
      <c r="AP2094">
        <v>1</v>
      </c>
      <c r="AQ2094" t="s">
        <v>66</v>
      </c>
      <c r="AR2094" t="s">
        <v>66</v>
      </c>
      <c r="AS2094" t="s">
        <v>66</v>
      </c>
      <c r="AT2094" t="s">
        <v>66</v>
      </c>
    </row>
    <row r="2095" spans="1:46" x14ac:dyDescent="0.15">
      <c r="A2095" t="s">
        <v>8718</v>
      </c>
      <c r="B2095" t="s">
        <v>8584</v>
      </c>
      <c r="C2095" t="s">
        <v>8585</v>
      </c>
      <c r="D2095">
        <v>33</v>
      </c>
      <c r="E2095" t="s">
        <v>8586</v>
      </c>
      <c r="F2095" t="s">
        <v>50</v>
      </c>
      <c r="G2095" t="s">
        <v>51</v>
      </c>
      <c r="H2095" t="s">
        <v>8587</v>
      </c>
      <c r="I2095" t="s">
        <v>720</v>
      </c>
      <c r="J2095" t="s">
        <v>4518</v>
      </c>
      <c r="K2095" t="s">
        <v>3594</v>
      </c>
      <c r="L2095" t="s">
        <v>19</v>
      </c>
      <c r="M2095" t="s">
        <v>16</v>
      </c>
      <c r="N2095">
        <v>2296</v>
      </c>
      <c r="O2095">
        <v>131</v>
      </c>
      <c r="P2095">
        <v>0</v>
      </c>
      <c r="Q2095" t="s">
        <v>8719</v>
      </c>
      <c r="R2095" t="s">
        <v>8720</v>
      </c>
      <c r="S2095" t="s">
        <v>4653</v>
      </c>
      <c r="T2095" t="s">
        <v>8721</v>
      </c>
      <c r="U2095" t="s">
        <v>60</v>
      </c>
      <c r="V2095" t="s">
        <v>61</v>
      </c>
      <c r="W2095">
        <v>3</v>
      </c>
      <c r="X2095">
        <v>0.13387499999999999</v>
      </c>
      <c r="Y2095" t="s">
        <v>170</v>
      </c>
      <c r="Z2095" t="s">
        <v>275</v>
      </c>
      <c r="AA2095">
        <v>1</v>
      </c>
      <c r="AB2095" t="s">
        <v>8589</v>
      </c>
      <c r="AC2095" t="s">
        <v>8590</v>
      </c>
      <c r="AD2095" t="s">
        <v>8591</v>
      </c>
      <c r="AE2095" t="s">
        <v>8592</v>
      </c>
      <c r="AF2095" t="s">
        <v>8593</v>
      </c>
      <c r="AG2095" t="s">
        <v>3903</v>
      </c>
      <c r="AH2095" t="s">
        <v>66</v>
      </c>
      <c r="AI2095" t="s">
        <v>66</v>
      </c>
      <c r="AJ2095" t="s">
        <v>66</v>
      </c>
      <c r="AK2095">
        <v>1</v>
      </c>
      <c r="AL2095" t="s">
        <v>66</v>
      </c>
      <c r="AM2095" t="s">
        <v>66</v>
      </c>
      <c r="AN2095" t="s">
        <v>66</v>
      </c>
      <c r="AO2095" t="s">
        <v>66</v>
      </c>
      <c r="AP2095">
        <v>1</v>
      </c>
      <c r="AQ2095" t="s">
        <v>66</v>
      </c>
      <c r="AR2095" t="s">
        <v>66</v>
      </c>
      <c r="AS2095" t="s">
        <v>66</v>
      </c>
      <c r="AT2095" t="s">
        <v>66</v>
      </c>
    </row>
    <row r="2096" spans="1:46" x14ac:dyDescent="0.15">
      <c r="A2096" t="s">
        <v>8722</v>
      </c>
      <c r="B2096" t="s">
        <v>8584</v>
      </c>
      <c r="C2096" t="s">
        <v>8585</v>
      </c>
      <c r="D2096">
        <v>34</v>
      </c>
      <c r="E2096" t="s">
        <v>8586</v>
      </c>
      <c r="F2096" t="s">
        <v>50</v>
      </c>
      <c r="G2096" t="s">
        <v>51</v>
      </c>
      <c r="H2096" t="s">
        <v>8587</v>
      </c>
      <c r="I2096" t="s">
        <v>720</v>
      </c>
      <c r="J2096" t="s">
        <v>4518</v>
      </c>
      <c r="K2096" t="s">
        <v>3594</v>
      </c>
      <c r="L2096" t="s">
        <v>19</v>
      </c>
      <c r="M2096" t="s">
        <v>16</v>
      </c>
      <c r="N2096">
        <v>2352</v>
      </c>
      <c r="O2096">
        <v>134</v>
      </c>
      <c r="P2096">
        <v>0</v>
      </c>
      <c r="Q2096" t="s">
        <v>8723</v>
      </c>
      <c r="R2096" t="s">
        <v>8724</v>
      </c>
      <c r="S2096" t="s">
        <v>4657</v>
      </c>
      <c r="T2096" t="s">
        <v>8725</v>
      </c>
      <c r="U2096" t="s">
        <v>60</v>
      </c>
      <c r="V2096" t="s">
        <v>61</v>
      </c>
      <c r="W2096">
        <v>3</v>
      </c>
      <c r="X2096">
        <v>0.13387499999999999</v>
      </c>
      <c r="Y2096" t="s">
        <v>281</v>
      </c>
      <c r="Z2096" t="s">
        <v>282</v>
      </c>
      <c r="AA2096">
        <v>1</v>
      </c>
      <c r="AB2096" t="s">
        <v>8589</v>
      </c>
      <c r="AC2096" t="s">
        <v>8590</v>
      </c>
      <c r="AD2096" t="s">
        <v>8591</v>
      </c>
      <c r="AE2096" t="s">
        <v>8592</v>
      </c>
      <c r="AF2096" t="s">
        <v>8593</v>
      </c>
      <c r="AG2096" t="s">
        <v>3903</v>
      </c>
      <c r="AH2096" t="s">
        <v>66</v>
      </c>
      <c r="AI2096" t="s">
        <v>66</v>
      </c>
      <c r="AJ2096" t="s">
        <v>66</v>
      </c>
      <c r="AK2096">
        <v>1</v>
      </c>
      <c r="AL2096" t="s">
        <v>66</v>
      </c>
      <c r="AM2096" t="s">
        <v>66</v>
      </c>
      <c r="AN2096" t="s">
        <v>66</v>
      </c>
      <c r="AO2096" t="s">
        <v>66</v>
      </c>
      <c r="AP2096">
        <v>1</v>
      </c>
      <c r="AQ2096" t="s">
        <v>66</v>
      </c>
      <c r="AR2096" t="s">
        <v>66</v>
      </c>
      <c r="AS2096" t="s">
        <v>66</v>
      </c>
      <c r="AT2096" t="s">
        <v>66</v>
      </c>
    </row>
    <row r="2097" spans="1:46" x14ac:dyDescent="0.15">
      <c r="A2097" t="s">
        <v>8726</v>
      </c>
      <c r="B2097" t="s">
        <v>8584</v>
      </c>
      <c r="C2097" t="s">
        <v>8585</v>
      </c>
      <c r="D2097">
        <v>35</v>
      </c>
      <c r="E2097" t="s">
        <v>8586</v>
      </c>
      <c r="F2097" t="s">
        <v>50</v>
      </c>
      <c r="G2097" t="s">
        <v>51</v>
      </c>
      <c r="H2097" t="s">
        <v>8587</v>
      </c>
      <c r="I2097" t="s">
        <v>720</v>
      </c>
      <c r="J2097" t="s">
        <v>4518</v>
      </c>
      <c r="K2097" t="s">
        <v>3594</v>
      </c>
      <c r="L2097" t="s">
        <v>19</v>
      </c>
      <c r="M2097" t="s">
        <v>16</v>
      </c>
      <c r="N2097">
        <v>2408</v>
      </c>
      <c r="O2097">
        <v>138</v>
      </c>
      <c r="P2097">
        <v>0</v>
      </c>
      <c r="Q2097" t="s">
        <v>8727</v>
      </c>
      <c r="R2097" t="s">
        <v>8728</v>
      </c>
      <c r="S2097" t="s">
        <v>4661</v>
      </c>
      <c r="T2097" t="s">
        <v>8729</v>
      </c>
      <c r="U2097" t="s">
        <v>60</v>
      </c>
      <c r="V2097" t="s">
        <v>61</v>
      </c>
      <c r="W2097">
        <v>3</v>
      </c>
      <c r="X2097">
        <v>0.13387499999999999</v>
      </c>
      <c r="Y2097" t="s">
        <v>177</v>
      </c>
      <c r="Z2097" t="s">
        <v>288</v>
      </c>
      <c r="AA2097">
        <v>1</v>
      </c>
      <c r="AB2097" t="s">
        <v>8589</v>
      </c>
      <c r="AC2097" t="s">
        <v>8590</v>
      </c>
      <c r="AD2097" t="s">
        <v>8591</v>
      </c>
      <c r="AE2097" t="s">
        <v>8592</v>
      </c>
      <c r="AF2097" t="s">
        <v>8593</v>
      </c>
      <c r="AG2097" t="s">
        <v>3903</v>
      </c>
      <c r="AH2097" t="s">
        <v>66</v>
      </c>
      <c r="AI2097" t="s">
        <v>66</v>
      </c>
      <c r="AJ2097" t="s">
        <v>66</v>
      </c>
      <c r="AK2097">
        <v>1</v>
      </c>
      <c r="AL2097" t="s">
        <v>66</v>
      </c>
      <c r="AM2097" t="s">
        <v>66</v>
      </c>
      <c r="AN2097" t="s">
        <v>66</v>
      </c>
      <c r="AO2097" t="s">
        <v>66</v>
      </c>
      <c r="AP2097">
        <v>1</v>
      </c>
      <c r="AQ2097" t="s">
        <v>66</v>
      </c>
      <c r="AR2097" t="s">
        <v>66</v>
      </c>
      <c r="AS2097" t="s">
        <v>66</v>
      </c>
      <c r="AT2097" t="s">
        <v>66</v>
      </c>
    </row>
    <row r="2098" spans="1:46" x14ac:dyDescent="0.15">
      <c r="A2098" t="s">
        <v>8730</v>
      </c>
      <c r="B2098" t="s">
        <v>8584</v>
      </c>
      <c r="C2098" t="s">
        <v>8585</v>
      </c>
      <c r="D2098">
        <v>36</v>
      </c>
      <c r="E2098" t="s">
        <v>8586</v>
      </c>
      <c r="F2098" t="s">
        <v>50</v>
      </c>
      <c r="G2098" t="s">
        <v>51</v>
      </c>
      <c r="H2098" t="s">
        <v>8587</v>
      </c>
      <c r="I2098" t="s">
        <v>720</v>
      </c>
      <c r="J2098" t="s">
        <v>4518</v>
      </c>
      <c r="K2098" t="s">
        <v>3594</v>
      </c>
      <c r="L2098" t="s">
        <v>19</v>
      </c>
      <c r="M2098" t="s">
        <v>16</v>
      </c>
      <c r="N2098">
        <v>2464</v>
      </c>
      <c r="O2098">
        <v>141</v>
      </c>
      <c r="P2098">
        <v>0</v>
      </c>
      <c r="Q2098" t="s">
        <v>8731</v>
      </c>
      <c r="R2098" t="s">
        <v>8732</v>
      </c>
      <c r="S2098" t="s">
        <v>4664</v>
      </c>
      <c r="T2098" t="s">
        <v>8733</v>
      </c>
      <c r="U2098" t="s">
        <v>60</v>
      </c>
      <c r="V2098" t="s">
        <v>61</v>
      </c>
      <c r="W2098">
        <v>3</v>
      </c>
      <c r="X2098">
        <v>0.13387499999999999</v>
      </c>
      <c r="Y2098" t="s">
        <v>294</v>
      </c>
      <c r="Z2098" t="s">
        <v>295</v>
      </c>
      <c r="AA2098">
        <v>1</v>
      </c>
      <c r="AB2098" t="s">
        <v>8589</v>
      </c>
      <c r="AC2098" t="s">
        <v>8590</v>
      </c>
      <c r="AD2098" t="s">
        <v>8591</v>
      </c>
      <c r="AE2098" t="s">
        <v>8592</v>
      </c>
      <c r="AF2098" t="s">
        <v>8593</v>
      </c>
      <c r="AG2098" t="s">
        <v>3903</v>
      </c>
      <c r="AH2098" t="s">
        <v>66</v>
      </c>
      <c r="AI2098" t="s">
        <v>66</v>
      </c>
      <c r="AJ2098" t="s">
        <v>66</v>
      </c>
      <c r="AK2098">
        <v>1</v>
      </c>
      <c r="AL2098" t="s">
        <v>66</v>
      </c>
      <c r="AM2098" t="s">
        <v>66</v>
      </c>
      <c r="AN2098" t="s">
        <v>66</v>
      </c>
      <c r="AO2098" t="s">
        <v>66</v>
      </c>
      <c r="AP2098">
        <v>1</v>
      </c>
      <c r="AQ2098" t="s">
        <v>66</v>
      </c>
      <c r="AR2098" t="s">
        <v>66</v>
      </c>
      <c r="AS2098" t="s">
        <v>66</v>
      </c>
      <c r="AT2098" t="s">
        <v>66</v>
      </c>
    </row>
    <row r="2099" spans="1:46" x14ac:dyDescent="0.15">
      <c r="A2099" t="s">
        <v>8734</v>
      </c>
      <c r="B2099" t="s">
        <v>8584</v>
      </c>
      <c r="C2099" t="s">
        <v>8585</v>
      </c>
      <c r="D2099">
        <v>37</v>
      </c>
      <c r="E2099" t="s">
        <v>8586</v>
      </c>
      <c r="F2099" t="s">
        <v>50</v>
      </c>
      <c r="G2099" t="s">
        <v>51</v>
      </c>
      <c r="H2099" t="s">
        <v>8587</v>
      </c>
      <c r="I2099" t="s">
        <v>720</v>
      </c>
      <c r="J2099" t="s">
        <v>4518</v>
      </c>
      <c r="K2099" t="s">
        <v>3594</v>
      </c>
      <c r="L2099" t="s">
        <v>19</v>
      </c>
      <c r="M2099" t="s">
        <v>16</v>
      </c>
      <c r="N2099">
        <v>2520</v>
      </c>
      <c r="O2099">
        <v>144</v>
      </c>
      <c r="P2099">
        <v>0</v>
      </c>
      <c r="Q2099" t="s">
        <v>8735</v>
      </c>
      <c r="R2099" t="s">
        <v>8736</v>
      </c>
      <c r="S2099" t="s">
        <v>4668</v>
      </c>
      <c r="T2099" t="s">
        <v>8737</v>
      </c>
      <c r="U2099" t="s">
        <v>60</v>
      </c>
      <c r="V2099" t="s">
        <v>61</v>
      </c>
      <c r="W2099">
        <v>3</v>
      </c>
      <c r="X2099">
        <v>0.13387499999999999</v>
      </c>
      <c r="Y2099" t="s">
        <v>183</v>
      </c>
      <c r="Z2099" t="s">
        <v>301</v>
      </c>
      <c r="AA2099">
        <v>1</v>
      </c>
      <c r="AB2099" t="s">
        <v>8589</v>
      </c>
      <c r="AC2099" t="s">
        <v>8590</v>
      </c>
      <c r="AD2099" t="s">
        <v>8591</v>
      </c>
      <c r="AE2099" t="s">
        <v>8592</v>
      </c>
      <c r="AF2099" t="s">
        <v>8593</v>
      </c>
      <c r="AG2099" t="s">
        <v>3903</v>
      </c>
      <c r="AH2099" t="s">
        <v>66</v>
      </c>
      <c r="AI2099" t="s">
        <v>66</v>
      </c>
      <c r="AJ2099" t="s">
        <v>66</v>
      </c>
      <c r="AK2099">
        <v>1</v>
      </c>
      <c r="AL2099" t="s">
        <v>66</v>
      </c>
      <c r="AM2099" t="s">
        <v>66</v>
      </c>
      <c r="AN2099" t="s">
        <v>66</v>
      </c>
      <c r="AO2099" t="s">
        <v>66</v>
      </c>
      <c r="AP2099">
        <v>1</v>
      </c>
      <c r="AQ2099" t="s">
        <v>66</v>
      </c>
      <c r="AR2099" t="s">
        <v>66</v>
      </c>
      <c r="AS2099" t="s">
        <v>66</v>
      </c>
      <c r="AT2099" t="s">
        <v>66</v>
      </c>
    </row>
    <row r="2100" spans="1:46" x14ac:dyDescent="0.15">
      <c r="A2100" t="s">
        <v>8738</v>
      </c>
      <c r="B2100" t="s">
        <v>8584</v>
      </c>
      <c r="C2100" t="s">
        <v>8585</v>
      </c>
      <c r="D2100">
        <v>38</v>
      </c>
      <c r="E2100" t="s">
        <v>8586</v>
      </c>
      <c r="F2100" t="s">
        <v>50</v>
      </c>
      <c r="G2100" t="s">
        <v>51</v>
      </c>
      <c r="H2100" t="s">
        <v>8587</v>
      </c>
      <c r="I2100" t="s">
        <v>720</v>
      </c>
      <c r="J2100" t="s">
        <v>4518</v>
      </c>
      <c r="K2100" t="s">
        <v>3594</v>
      </c>
      <c r="L2100" t="s">
        <v>19</v>
      </c>
      <c r="M2100" t="s">
        <v>16</v>
      </c>
      <c r="N2100">
        <v>2577</v>
      </c>
      <c r="O2100">
        <v>147</v>
      </c>
      <c r="P2100">
        <v>0</v>
      </c>
      <c r="Q2100" t="s">
        <v>8739</v>
      </c>
      <c r="R2100" t="s">
        <v>8740</v>
      </c>
      <c r="S2100" t="s">
        <v>4672</v>
      </c>
      <c r="T2100" t="s">
        <v>8741</v>
      </c>
      <c r="U2100" t="s">
        <v>60</v>
      </c>
      <c r="V2100" t="s">
        <v>61</v>
      </c>
      <c r="W2100">
        <v>3</v>
      </c>
      <c r="X2100">
        <v>0.13387499999999999</v>
      </c>
      <c r="Y2100" t="s">
        <v>307</v>
      </c>
      <c r="Z2100" t="s">
        <v>308</v>
      </c>
      <c r="AA2100">
        <v>1</v>
      </c>
      <c r="AB2100" t="s">
        <v>8589</v>
      </c>
      <c r="AC2100" t="s">
        <v>8590</v>
      </c>
      <c r="AD2100" t="s">
        <v>8591</v>
      </c>
      <c r="AE2100" t="s">
        <v>8592</v>
      </c>
      <c r="AF2100" t="s">
        <v>8593</v>
      </c>
      <c r="AG2100" t="s">
        <v>3903</v>
      </c>
      <c r="AH2100" t="s">
        <v>66</v>
      </c>
      <c r="AI2100" t="s">
        <v>66</v>
      </c>
      <c r="AJ2100" t="s">
        <v>66</v>
      </c>
      <c r="AK2100">
        <v>1</v>
      </c>
      <c r="AL2100" t="s">
        <v>66</v>
      </c>
      <c r="AM2100" t="s">
        <v>66</v>
      </c>
      <c r="AN2100" t="s">
        <v>66</v>
      </c>
      <c r="AO2100" t="s">
        <v>66</v>
      </c>
      <c r="AP2100">
        <v>1</v>
      </c>
      <c r="AQ2100" t="s">
        <v>66</v>
      </c>
      <c r="AR2100" t="s">
        <v>66</v>
      </c>
      <c r="AS2100" t="s">
        <v>66</v>
      </c>
      <c r="AT2100" t="s">
        <v>66</v>
      </c>
    </row>
    <row r="2101" spans="1:46" x14ac:dyDescent="0.15">
      <c r="A2101" t="s">
        <v>8742</v>
      </c>
      <c r="B2101" t="s">
        <v>8584</v>
      </c>
      <c r="C2101" t="s">
        <v>8585</v>
      </c>
      <c r="D2101">
        <v>39</v>
      </c>
      <c r="E2101" t="s">
        <v>8586</v>
      </c>
      <c r="F2101" t="s">
        <v>50</v>
      </c>
      <c r="G2101" t="s">
        <v>51</v>
      </c>
      <c r="H2101" t="s">
        <v>8587</v>
      </c>
      <c r="I2101" t="s">
        <v>720</v>
      </c>
      <c r="J2101" t="s">
        <v>4518</v>
      </c>
      <c r="K2101" t="s">
        <v>3594</v>
      </c>
      <c r="L2101" t="s">
        <v>19</v>
      </c>
      <c r="M2101" t="s">
        <v>16</v>
      </c>
      <c r="N2101">
        <v>2633</v>
      </c>
      <c r="O2101">
        <v>150</v>
      </c>
      <c r="P2101">
        <v>0</v>
      </c>
      <c r="Q2101" t="s">
        <v>8743</v>
      </c>
      <c r="R2101" t="s">
        <v>8744</v>
      </c>
      <c r="S2101" t="s">
        <v>4676</v>
      </c>
      <c r="T2101" t="s">
        <v>8745</v>
      </c>
      <c r="U2101" t="s">
        <v>60</v>
      </c>
      <c r="V2101" t="s">
        <v>61</v>
      </c>
      <c r="W2101">
        <v>3</v>
      </c>
      <c r="X2101">
        <v>0.13387499999999999</v>
      </c>
      <c r="Y2101" t="s">
        <v>190</v>
      </c>
      <c r="Z2101" t="s">
        <v>314</v>
      </c>
      <c r="AA2101">
        <v>1</v>
      </c>
      <c r="AB2101" t="s">
        <v>8589</v>
      </c>
      <c r="AC2101" t="s">
        <v>8590</v>
      </c>
      <c r="AD2101" t="s">
        <v>8591</v>
      </c>
      <c r="AE2101" t="s">
        <v>8592</v>
      </c>
      <c r="AF2101" t="s">
        <v>8593</v>
      </c>
      <c r="AG2101" t="s">
        <v>3903</v>
      </c>
      <c r="AH2101" t="s">
        <v>66</v>
      </c>
      <c r="AI2101" t="s">
        <v>66</v>
      </c>
      <c r="AJ2101" t="s">
        <v>66</v>
      </c>
      <c r="AK2101">
        <v>1</v>
      </c>
      <c r="AL2101" t="s">
        <v>66</v>
      </c>
      <c r="AM2101" t="s">
        <v>66</v>
      </c>
      <c r="AN2101" t="s">
        <v>66</v>
      </c>
      <c r="AO2101" t="s">
        <v>66</v>
      </c>
      <c r="AP2101">
        <v>1</v>
      </c>
      <c r="AQ2101" t="s">
        <v>66</v>
      </c>
      <c r="AR2101" t="s">
        <v>66</v>
      </c>
      <c r="AS2101" t="s">
        <v>66</v>
      </c>
      <c r="AT2101" t="s">
        <v>66</v>
      </c>
    </row>
    <row r="2102" spans="1:46" x14ac:dyDescent="0.15">
      <c r="A2102" t="s">
        <v>8746</v>
      </c>
      <c r="B2102" t="s">
        <v>8584</v>
      </c>
      <c r="C2102" t="s">
        <v>8585</v>
      </c>
      <c r="D2102">
        <v>40</v>
      </c>
      <c r="E2102" t="s">
        <v>8586</v>
      </c>
      <c r="F2102" t="s">
        <v>50</v>
      </c>
      <c r="G2102" t="s">
        <v>51</v>
      </c>
      <c r="H2102" t="s">
        <v>8587</v>
      </c>
      <c r="I2102" t="s">
        <v>720</v>
      </c>
      <c r="J2102" t="s">
        <v>4518</v>
      </c>
      <c r="K2102" t="s">
        <v>3594</v>
      </c>
      <c r="L2102" t="s">
        <v>19</v>
      </c>
      <c r="M2102" t="s">
        <v>16</v>
      </c>
      <c r="N2102">
        <v>2689</v>
      </c>
      <c r="O2102">
        <v>153</v>
      </c>
      <c r="P2102">
        <v>0</v>
      </c>
      <c r="Q2102" t="s">
        <v>8747</v>
      </c>
      <c r="R2102" t="s">
        <v>8748</v>
      </c>
      <c r="S2102" t="s">
        <v>4680</v>
      </c>
      <c r="T2102" t="s">
        <v>8749</v>
      </c>
      <c r="U2102" t="s">
        <v>60</v>
      </c>
      <c r="V2102" t="s">
        <v>61</v>
      </c>
      <c r="W2102">
        <v>3</v>
      </c>
      <c r="X2102">
        <v>0.13387499999999999</v>
      </c>
      <c r="Y2102" t="s">
        <v>320</v>
      </c>
      <c r="Z2102" t="s">
        <v>321</v>
      </c>
      <c r="AA2102">
        <v>1</v>
      </c>
      <c r="AB2102" t="s">
        <v>8589</v>
      </c>
      <c r="AC2102" t="s">
        <v>8590</v>
      </c>
      <c r="AD2102" t="s">
        <v>8591</v>
      </c>
      <c r="AE2102" t="s">
        <v>8592</v>
      </c>
      <c r="AF2102" t="s">
        <v>8593</v>
      </c>
      <c r="AG2102" t="s">
        <v>3903</v>
      </c>
      <c r="AH2102" t="s">
        <v>66</v>
      </c>
      <c r="AI2102" t="s">
        <v>66</v>
      </c>
      <c r="AJ2102" t="s">
        <v>66</v>
      </c>
      <c r="AK2102">
        <v>1</v>
      </c>
      <c r="AL2102" t="s">
        <v>66</v>
      </c>
      <c r="AM2102" t="s">
        <v>66</v>
      </c>
      <c r="AN2102" t="s">
        <v>66</v>
      </c>
      <c r="AO2102" t="s">
        <v>66</v>
      </c>
      <c r="AP2102">
        <v>1</v>
      </c>
      <c r="AQ2102" t="s">
        <v>66</v>
      </c>
      <c r="AR2102" t="s">
        <v>66</v>
      </c>
      <c r="AS2102" t="s">
        <v>66</v>
      </c>
      <c r="AT2102" t="s">
        <v>66</v>
      </c>
    </row>
    <row r="2103" spans="1:46" x14ac:dyDescent="0.15">
      <c r="A2103" t="s">
        <v>8746</v>
      </c>
      <c r="B2103" t="s">
        <v>8584</v>
      </c>
      <c r="C2103" t="s">
        <v>8585</v>
      </c>
      <c r="D2103">
        <v>40</v>
      </c>
      <c r="E2103" t="s">
        <v>8586</v>
      </c>
      <c r="F2103" t="s">
        <v>50</v>
      </c>
      <c r="G2103" t="s">
        <v>51</v>
      </c>
      <c r="H2103" t="s">
        <v>8587</v>
      </c>
      <c r="I2103" t="s">
        <v>720</v>
      </c>
      <c r="J2103" t="s">
        <v>4518</v>
      </c>
      <c r="K2103" t="s">
        <v>3594</v>
      </c>
      <c r="L2103" t="s">
        <v>19</v>
      </c>
      <c r="M2103" t="s">
        <v>16</v>
      </c>
      <c r="N2103">
        <v>2689</v>
      </c>
      <c r="O2103">
        <v>153</v>
      </c>
      <c r="P2103">
        <v>0</v>
      </c>
      <c r="Q2103" t="s">
        <v>8747</v>
      </c>
      <c r="R2103" t="s">
        <v>8748</v>
      </c>
      <c r="S2103" t="s">
        <v>4680</v>
      </c>
      <c r="T2103" t="s">
        <v>8749</v>
      </c>
      <c r="U2103" t="s">
        <v>60</v>
      </c>
      <c r="V2103" t="s">
        <v>61</v>
      </c>
      <c r="W2103">
        <v>3</v>
      </c>
      <c r="X2103">
        <v>0.13387499999999999</v>
      </c>
      <c r="Y2103" t="s">
        <v>320</v>
      </c>
      <c r="Z2103" t="s">
        <v>321</v>
      </c>
      <c r="AA2103">
        <v>2</v>
      </c>
      <c r="AB2103" t="s">
        <v>8589</v>
      </c>
      <c r="AC2103" t="s">
        <v>8590</v>
      </c>
      <c r="AD2103" t="s">
        <v>8591</v>
      </c>
      <c r="AE2103" t="s">
        <v>8592</v>
      </c>
      <c r="AF2103" t="s">
        <v>8593</v>
      </c>
      <c r="AG2103" t="s">
        <v>3903</v>
      </c>
      <c r="AH2103" t="s">
        <v>3902</v>
      </c>
      <c r="AI2103" t="s">
        <v>66</v>
      </c>
      <c r="AJ2103" t="s">
        <v>66</v>
      </c>
      <c r="AK2103">
        <v>1</v>
      </c>
      <c r="AL2103" t="s">
        <v>8750</v>
      </c>
      <c r="AM2103" t="s">
        <v>8751</v>
      </c>
      <c r="AN2103" t="s">
        <v>8752</v>
      </c>
      <c r="AO2103" t="s">
        <v>66</v>
      </c>
      <c r="AP2103">
        <v>1</v>
      </c>
      <c r="AQ2103" t="s">
        <v>8753</v>
      </c>
      <c r="AR2103" t="s">
        <v>8754</v>
      </c>
      <c r="AS2103" t="s">
        <v>66</v>
      </c>
      <c r="AT2103" t="s">
        <v>66</v>
      </c>
    </row>
    <row r="2104" spans="1:46" x14ac:dyDescent="0.15">
      <c r="A2104" t="s">
        <v>8755</v>
      </c>
      <c r="B2104" t="s">
        <v>8584</v>
      </c>
      <c r="C2104" t="s">
        <v>8585</v>
      </c>
      <c r="D2104">
        <v>41</v>
      </c>
      <c r="E2104" t="s">
        <v>8586</v>
      </c>
      <c r="F2104" t="s">
        <v>50</v>
      </c>
      <c r="G2104" t="s">
        <v>51</v>
      </c>
      <c r="H2104" t="s">
        <v>8587</v>
      </c>
      <c r="I2104" t="s">
        <v>720</v>
      </c>
      <c r="J2104" t="s">
        <v>4518</v>
      </c>
      <c r="K2104" t="s">
        <v>3594</v>
      </c>
      <c r="L2104" t="s">
        <v>19</v>
      </c>
      <c r="M2104" t="s">
        <v>16</v>
      </c>
      <c r="N2104">
        <v>2745</v>
      </c>
      <c r="O2104">
        <v>157</v>
      </c>
      <c r="P2104">
        <v>0</v>
      </c>
      <c r="Q2104" t="s">
        <v>8756</v>
      </c>
      <c r="R2104" t="s">
        <v>8757</v>
      </c>
      <c r="S2104" t="s">
        <v>4687</v>
      </c>
      <c r="T2104" t="s">
        <v>8758</v>
      </c>
      <c r="U2104" t="s">
        <v>60</v>
      </c>
      <c r="V2104" t="s">
        <v>61</v>
      </c>
      <c r="W2104">
        <v>3</v>
      </c>
      <c r="X2104">
        <v>0.13387499999999999</v>
      </c>
      <c r="Y2104" t="s">
        <v>197</v>
      </c>
      <c r="Z2104" t="s">
        <v>330</v>
      </c>
      <c r="AA2104">
        <v>2</v>
      </c>
      <c r="AB2104" t="s">
        <v>8589</v>
      </c>
      <c r="AC2104" t="s">
        <v>8590</v>
      </c>
      <c r="AD2104" t="s">
        <v>8591</v>
      </c>
      <c r="AE2104" t="s">
        <v>8592</v>
      </c>
      <c r="AF2104" t="s">
        <v>8593</v>
      </c>
      <c r="AG2104" t="s">
        <v>3903</v>
      </c>
      <c r="AH2104" t="s">
        <v>3902</v>
      </c>
      <c r="AI2104" t="s">
        <v>66</v>
      </c>
      <c r="AJ2104" t="s">
        <v>66</v>
      </c>
      <c r="AK2104">
        <v>1</v>
      </c>
      <c r="AL2104" t="s">
        <v>8750</v>
      </c>
      <c r="AM2104" t="s">
        <v>8751</v>
      </c>
      <c r="AN2104" t="s">
        <v>8752</v>
      </c>
      <c r="AO2104" t="s">
        <v>66</v>
      </c>
      <c r="AP2104">
        <v>1</v>
      </c>
      <c r="AQ2104" t="s">
        <v>8753</v>
      </c>
      <c r="AR2104" t="s">
        <v>8754</v>
      </c>
      <c r="AS2104" t="s">
        <v>66</v>
      </c>
      <c r="AT2104" t="s">
        <v>66</v>
      </c>
    </row>
    <row r="2105" spans="1:46" x14ac:dyDescent="0.15">
      <c r="A2105" t="s">
        <v>8759</v>
      </c>
      <c r="B2105" t="s">
        <v>8584</v>
      </c>
      <c r="C2105" t="s">
        <v>8585</v>
      </c>
      <c r="D2105">
        <v>42</v>
      </c>
      <c r="E2105" t="s">
        <v>8586</v>
      </c>
      <c r="F2105" t="s">
        <v>50</v>
      </c>
      <c r="G2105" t="s">
        <v>51</v>
      </c>
      <c r="H2105" t="s">
        <v>8587</v>
      </c>
      <c r="I2105" t="s">
        <v>720</v>
      </c>
      <c r="J2105" t="s">
        <v>4518</v>
      </c>
      <c r="K2105" t="s">
        <v>3594</v>
      </c>
      <c r="L2105" t="s">
        <v>19</v>
      </c>
      <c r="M2105" t="s">
        <v>16</v>
      </c>
      <c r="N2105">
        <v>2801</v>
      </c>
      <c r="O2105">
        <v>160</v>
      </c>
      <c r="P2105">
        <v>0</v>
      </c>
      <c r="Q2105" t="s">
        <v>8760</v>
      </c>
      <c r="R2105" t="s">
        <v>8761</v>
      </c>
      <c r="S2105" t="s">
        <v>4691</v>
      </c>
      <c r="T2105" t="s">
        <v>8762</v>
      </c>
      <c r="U2105" t="s">
        <v>60</v>
      </c>
      <c r="V2105" t="s">
        <v>61</v>
      </c>
      <c r="W2105">
        <v>3</v>
      </c>
      <c r="X2105">
        <v>0.13387499999999999</v>
      </c>
      <c r="Y2105" t="s">
        <v>336</v>
      </c>
      <c r="Z2105" t="s">
        <v>337</v>
      </c>
      <c r="AA2105">
        <v>2</v>
      </c>
      <c r="AB2105" t="s">
        <v>8589</v>
      </c>
      <c r="AC2105" t="s">
        <v>8590</v>
      </c>
      <c r="AD2105" t="s">
        <v>8591</v>
      </c>
      <c r="AE2105" t="s">
        <v>8592</v>
      </c>
      <c r="AF2105" t="s">
        <v>8593</v>
      </c>
      <c r="AG2105" t="s">
        <v>3903</v>
      </c>
      <c r="AH2105" t="s">
        <v>3902</v>
      </c>
      <c r="AI2105" t="s">
        <v>66</v>
      </c>
      <c r="AJ2105" t="s">
        <v>66</v>
      </c>
      <c r="AK2105">
        <v>1</v>
      </c>
      <c r="AL2105" t="s">
        <v>8750</v>
      </c>
      <c r="AM2105" t="s">
        <v>8751</v>
      </c>
      <c r="AN2105" t="s">
        <v>8752</v>
      </c>
      <c r="AO2105" t="s">
        <v>66</v>
      </c>
      <c r="AP2105">
        <v>1</v>
      </c>
      <c r="AQ2105" t="s">
        <v>8753</v>
      </c>
      <c r="AR2105" t="s">
        <v>8754</v>
      </c>
      <c r="AS2105" t="s">
        <v>66</v>
      </c>
      <c r="AT2105" t="s">
        <v>66</v>
      </c>
    </row>
    <row r="2106" spans="1:46" x14ac:dyDescent="0.15">
      <c r="A2106" t="s">
        <v>8763</v>
      </c>
      <c r="B2106" t="s">
        <v>8584</v>
      </c>
      <c r="C2106" t="s">
        <v>8585</v>
      </c>
      <c r="D2106">
        <v>43</v>
      </c>
      <c r="E2106" t="s">
        <v>8586</v>
      </c>
      <c r="F2106" t="s">
        <v>50</v>
      </c>
      <c r="G2106" t="s">
        <v>51</v>
      </c>
      <c r="H2106" t="s">
        <v>8587</v>
      </c>
      <c r="I2106" t="s">
        <v>720</v>
      </c>
      <c r="J2106" t="s">
        <v>4518</v>
      </c>
      <c r="K2106" t="s">
        <v>3594</v>
      </c>
      <c r="L2106" t="s">
        <v>19</v>
      </c>
      <c r="M2106" t="s">
        <v>16</v>
      </c>
      <c r="N2106">
        <v>2857</v>
      </c>
      <c r="O2106">
        <v>163</v>
      </c>
      <c r="P2106">
        <v>0</v>
      </c>
      <c r="Q2106" t="s">
        <v>8764</v>
      </c>
      <c r="R2106" t="s">
        <v>8765</v>
      </c>
      <c r="S2106" t="s">
        <v>4695</v>
      </c>
      <c r="T2106" t="s">
        <v>8766</v>
      </c>
      <c r="U2106" t="s">
        <v>60</v>
      </c>
      <c r="V2106" t="s">
        <v>61</v>
      </c>
      <c r="W2106">
        <v>3</v>
      </c>
      <c r="X2106">
        <v>0.13387499999999999</v>
      </c>
      <c r="Y2106" t="s">
        <v>204</v>
      </c>
      <c r="Z2106" t="s">
        <v>343</v>
      </c>
      <c r="AA2106">
        <v>2</v>
      </c>
      <c r="AB2106" t="s">
        <v>8589</v>
      </c>
      <c r="AC2106" t="s">
        <v>8590</v>
      </c>
      <c r="AD2106" t="s">
        <v>8591</v>
      </c>
      <c r="AE2106" t="s">
        <v>8592</v>
      </c>
      <c r="AF2106" t="s">
        <v>8593</v>
      </c>
      <c r="AG2106" t="s">
        <v>3903</v>
      </c>
      <c r="AH2106" t="s">
        <v>3902</v>
      </c>
      <c r="AI2106" t="s">
        <v>66</v>
      </c>
      <c r="AJ2106" t="s">
        <v>66</v>
      </c>
      <c r="AK2106">
        <v>1</v>
      </c>
      <c r="AL2106" t="s">
        <v>8750</v>
      </c>
      <c r="AM2106" t="s">
        <v>8751</v>
      </c>
      <c r="AN2106" t="s">
        <v>8752</v>
      </c>
      <c r="AO2106" t="s">
        <v>66</v>
      </c>
      <c r="AP2106">
        <v>1</v>
      </c>
      <c r="AQ2106" t="s">
        <v>8753</v>
      </c>
      <c r="AR2106" t="s">
        <v>8754</v>
      </c>
      <c r="AS2106" t="s">
        <v>66</v>
      </c>
      <c r="AT2106" t="s">
        <v>66</v>
      </c>
    </row>
    <row r="2107" spans="1:46" x14ac:dyDescent="0.15">
      <c r="A2107" t="s">
        <v>8767</v>
      </c>
      <c r="B2107" t="s">
        <v>8584</v>
      </c>
      <c r="C2107" t="s">
        <v>8585</v>
      </c>
      <c r="D2107">
        <v>44</v>
      </c>
      <c r="E2107" t="s">
        <v>8586</v>
      </c>
      <c r="F2107" t="s">
        <v>50</v>
      </c>
      <c r="G2107" t="s">
        <v>51</v>
      </c>
      <c r="H2107" t="s">
        <v>8587</v>
      </c>
      <c r="I2107" t="s">
        <v>720</v>
      </c>
      <c r="J2107" t="s">
        <v>4518</v>
      </c>
      <c r="K2107" t="s">
        <v>3594</v>
      </c>
      <c r="L2107" t="s">
        <v>19</v>
      </c>
      <c r="M2107" t="s">
        <v>16</v>
      </c>
      <c r="N2107">
        <v>2913</v>
      </c>
      <c r="O2107">
        <v>166</v>
      </c>
      <c r="P2107">
        <v>0</v>
      </c>
      <c r="Q2107" t="s">
        <v>8768</v>
      </c>
      <c r="R2107" t="s">
        <v>8769</v>
      </c>
      <c r="S2107" t="s">
        <v>4699</v>
      </c>
      <c r="T2107" t="s">
        <v>8770</v>
      </c>
      <c r="U2107" t="s">
        <v>60</v>
      </c>
      <c r="V2107" t="s">
        <v>61</v>
      </c>
      <c r="W2107">
        <v>3</v>
      </c>
      <c r="X2107">
        <v>0.13387499999999999</v>
      </c>
      <c r="Y2107" t="s">
        <v>349</v>
      </c>
      <c r="Z2107" t="s">
        <v>350</v>
      </c>
      <c r="AA2107">
        <v>2</v>
      </c>
      <c r="AB2107" t="s">
        <v>8589</v>
      </c>
      <c r="AC2107" t="s">
        <v>8590</v>
      </c>
      <c r="AD2107" t="s">
        <v>8591</v>
      </c>
      <c r="AE2107" t="s">
        <v>8592</v>
      </c>
      <c r="AF2107" t="s">
        <v>8593</v>
      </c>
      <c r="AG2107" t="s">
        <v>3903</v>
      </c>
      <c r="AH2107" t="s">
        <v>3902</v>
      </c>
      <c r="AI2107" t="s">
        <v>66</v>
      </c>
      <c r="AJ2107" t="s">
        <v>66</v>
      </c>
      <c r="AK2107">
        <v>1</v>
      </c>
      <c r="AL2107" t="s">
        <v>8750</v>
      </c>
      <c r="AM2107" t="s">
        <v>8751</v>
      </c>
      <c r="AN2107" t="s">
        <v>8752</v>
      </c>
      <c r="AO2107" t="s">
        <v>66</v>
      </c>
      <c r="AP2107">
        <v>1</v>
      </c>
      <c r="AQ2107" t="s">
        <v>8753</v>
      </c>
      <c r="AR2107" t="s">
        <v>8754</v>
      </c>
      <c r="AS2107" t="s">
        <v>66</v>
      </c>
      <c r="AT2107" t="s">
        <v>66</v>
      </c>
    </row>
    <row r="2108" spans="1:46" x14ac:dyDescent="0.15">
      <c r="A2108" t="s">
        <v>8771</v>
      </c>
      <c r="B2108" t="s">
        <v>8584</v>
      </c>
      <c r="C2108" t="s">
        <v>8585</v>
      </c>
      <c r="D2108">
        <v>45</v>
      </c>
      <c r="E2108" t="s">
        <v>8586</v>
      </c>
      <c r="F2108" t="s">
        <v>50</v>
      </c>
      <c r="G2108" t="s">
        <v>51</v>
      </c>
      <c r="H2108" t="s">
        <v>8587</v>
      </c>
      <c r="I2108" t="s">
        <v>720</v>
      </c>
      <c r="J2108" t="s">
        <v>4518</v>
      </c>
      <c r="K2108" t="s">
        <v>3594</v>
      </c>
      <c r="L2108" t="s">
        <v>19</v>
      </c>
      <c r="M2108" t="s">
        <v>16</v>
      </c>
      <c r="N2108">
        <v>2969</v>
      </c>
      <c r="O2108">
        <v>169</v>
      </c>
      <c r="P2108">
        <v>0</v>
      </c>
      <c r="Q2108" t="s">
        <v>8772</v>
      </c>
      <c r="R2108" t="s">
        <v>8773</v>
      </c>
      <c r="S2108" t="s">
        <v>4703</v>
      </c>
      <c r="T2108" t="s">
        <v>8774</v>
      </c>
      <c r="U2108" t="s">
        <v>60</v>
      </c>
      <c r="V2108" t="s">
        <v>61</v>
      </c>
      <c r="W2108">
        <v>3</v>
      </c>
      <c r="X2108">
        <v>0.13387499999999999</v>
      </c>
      <c r="Y2108" t="s">
        <v>210</v>
      </c>
      <c r="Z2108" t="s">
        <v>356</v>
      </c>
      <c r="AA2108">
        <v>2</v>
      </c>
      <c r="AB2108" t="s">
        <v>8589</v>
      </c>
      <c r="AC2108" t="s">
        <v>8590</v>
      </c>
      <c r="AD2108" t="s">
        <v>8591</v>
      </c>
      <c r="AE2108" t="s">
        <v>8592</v>
      </c>
      <c r="AF2108" t="s">
        <v>8593</v>
      </c>
      <c r="AG2108" t="s">
        <v>3903</v>
      </c>
      <c r="AH2108" t="s">
        <v>3902</v>
      </c>
      <c r="AI2108" t="s">
        <v>66</v>
      </c>
      <c r="AJ2108" t="s">
        <v>66</v>
      </c>
      <c r="AK2108">
        <v>1</v>
      </c>
      <c r="AL2108" t="s">
        <v>8750</v>
      </c>
      <c r="AM2108" t="s">
        <v>8751</v>
      </c>
      <c r="AN2108" t="s">
        <v>8752</v>
      </c>
      <c r="AO2108" t="s">
        <v>66</v>
      </c>
      <c r="AP2108">
        <v>1</v>
      </c>
      <c r="AQ2108" t="s">
        <v>8753</v>
      </c>
      <c r="AR2108" t="s">
        <v>8754</v>
      </c>
      <c r="AS2108" t="s">
        <v>66</v>
      </c>
      <c r="AT2108" t="s">
        <v>66</v>
      </c>
    </row>
    <row r="2109" spans="1:46" x14ac:dyDescent="0.15">
      <c r="A2109" t="s">
        <v>8775</v>
      </c>
      <c r="B2109" t="s">
        <v>8584</v>
      </c>
      <c r="C2109" t="s">
        <v>8585</v>
      </c>
      <c r="D2109">
        <v>46</v>
      </c>
      <c r="E2109" t="s">
        <v>8586</v>
      </c>
      <c r="F2109" t="s">
        <v>50</v>
      </c>
      <c r="G2109" t="s">
        <v>51</v>
      </c>
      <c r="H2109" t="s">
        <v>8587</v>
      </c>
      <c r="I2109" t="s">
        <v>720</v>
      </c>
      <c r="J2109" t="s">
        <v>4518</v>
      </c>
      <c r="K2109" t="s">
        <v>3594</v>
      </c>
      <c r="L2109" t="s">
        <v>19</v>
      </c>
      <c r="M2109" t="s">
        <v>16</v>
      </c>
      <c r="N2109">
        <v>3026</v>
      </c>
      <c r="O2109">
        <v>172</v>
      </c>
      <c r="P2109">
        <v>0</v>
      </c>
      <c r="Q2109" t="s">
        <v>8776</v>
      </c>
      <c r="R2109" t="s">
        <v>8777</v>
      </c>
      <c r="S2109" t="s">
        <v>4707</v>
      </c>
      <c r="T2109" t="s">
        <v>8778</v>
      </c>
      <c r="U2109" t="s">
        <v>60</v>
      </c>
      <c r="V2109" t="s">
        <v>61</v>
      </c>
      <c r="W2109">
        <v>3</v>
      </c>
      <c r="X2109">
        <v>0.13387499999999999</v>
      </c>
      <c r="Y2109" t="s">
        <v>362</v>
      </c>
      <c r="Z2109" t="s">
        <v>363</v>
      </c>
      <c r="AA2109">
        <v>2</v>
      </c>
      <c r="AB2109" t="s">
        <v>8589</v>
      </c>
      <c r="AC2109" t="s">
        <v>8590</v>
      </c>
      <c r="AD2109" t="s">
        <v>8591</v>
      </c>
      <c r="AE2109" t="s">
        <v>8592</v>
      </c>
      <c r="AF2109" t="s">
        <v>8593</v>
      </c>
      <c r="AG2109" t="s">
        <v>3903</v>
      </c>
      <c r="AH2109" t="s">
        <v>3902</v>
      </c>
      <c r="AI2109" t="s">
        <v>66</v>
      </c>
      <c r="AJ2109" t="s">
        <v>66</v>
      </c>
      <c r="AK2109">
        <v>1</v>
      </c>
      <c r="AL2109" t="s">
        <v>8750</v>
      </c>
      <c r="AM2109" t="s">
        <v>8751</v>
      </c>
      <c r="AN2109" t="s">
        <v>8752</v>
      </c>
      <c r="AO2109" t="s">
        <v>66</v>
      </c>
      <c r="AP2109">
        <v>1</v>
      </c>
      <c r="AQ2109" t="s">
        <v>8753</v>
      </c>
      <c r="AR2109" t="s">
        <v>8754</v>
      </c>
      <c r="AS2109" t="s">
        <v>66</v>
      </c>
      <c r="AT2109" t="s">
        <v>66</v>
      </c>
    </row>
    <row r="2110" spans="1:46" x14ac:dyDescent="0.15">
      <c r="A2110" t="s">
        <v>8779</v>
      </c>
      <c r="B2110" t="s">
        <v>8584</v>
      </c>
      <c r="C2110" t="s">
        <v>8585</v>
      </c>
      <c r="D2110">
        <v>47</v>
      </c>
      <c r="E2110" t="s">
        <v>8586</v>
      </c>
      <c r="F2110" t="s">
        <v>50</v>
      </c>
      <c r="G2110" t="s">
        <v>51</v>
      </c>
      <c r="H2110" t="s">
        <v>8587</v>
      </c>
      <c r="I2110" t="s">
        <v>720</v>
      </c>
      <c r="J2110" t="s">
        <v>4518</v>
      </c>
      <c r="K2110" t="s">
        <v>3594</v>
      </c>
      <c r="L2110" t="s">
        <v>19</v>
      </c>
      <c r="M2110" t="s">
        <v>16</v>
      </c>
      <c r="N2110">
        <v>3082</v>
      </c>
      <c r="O2110">
        <v>176</v>
      </c>
      <c r="P2110">
        <v>0</v>
      </c>
      <c r="Q2110" t="s">
        <v>8780</v>
      </c>
      <c r="R2110" t="s">
        <v>8781</v>
      </c>
      <c r="S2110" t="s">
        <v>4711</v>
      </c>
      <c r="T2110" t="s">
        <v>8782</v>
      </c>
      <c r="U2110" t="s">
        <v>60</v>
      </c>
      <c r="V2110" t="s">
        <v>61</v>
      </c>
      <c r="W2110">
        <v>3</v>
      </c>
      <c r="X2110">
        <v>0.13387499999999999</v>
      </c>
      <c r="Y2110" t="s">
        <v>217</v>
      </c>
      <c r="Z2110" t="s">
        <v>369</v>
      </c>
      <c r="AA2110">
        <v>2</v>
      </c>
      <c r="AB2110" t="s">
        <v>8589</v>
      </c>
      <c r="AC2110" t="s">
        <v>8590</v>
      </c>
      <c r="AD2110" t="s">
        <v>8591</v>
      </c>
      <c r="AE2110" t="s">
        <v>8592</v>
      </c>
      <c r="AF2110" t="s">
        <v>8593</v>
      </c>
      <c r="AG2110" t="s">
        <v>3903</v>
      </c>
      <c r="AH2110" t="s">
        <v>3902</v>
      </c>
      <c r="AI2110" t="s">
        <v>66</v>
      </c>
      <c r="AJ2110" t="s">
        <v>66</v>
      </c>
      <c r="AK2110">
        <v>1</v>
      </c>
      <c r="AL2110" t="s">
        <v>8750</v>
      </c>
      <c r="AM2110" t="s">
        <v>8751</v>
      </c>
      <c r="AN2110" t="s">
        <v>8752</v>
      </c>
      <c r="AO2110" t="s">
        <v>66</v>
      </c>
      <c r="AP2110">
        <v>1</v>
      </c>
      <c r="AQ2110" t="s">
        <v>8753</v>
      </c>
      <c r="AR2110" t="s">
        <v>8754</v>
      </c>
      <c r="AS2110" t="s">
        <v>66</v>
      </c>
      <c r="AT2110" t="s">
        <v>66</v>
      </c>
    </row>
    <row r="2111" spans="1:46" x14ac:dyDescent="0.15">
      <c r="A2111" t="s">
        <v>8783</v>
      </c>
      <c r="B2111" t="s">
        <v>8584</v>
      </c>
      <c r="C2111" t="s">
        <v>8585</v>
      </c>
      <c r="D2111">
        <v>48</v>
      </c>
      <c r="E2111" t="s">
        <v>8586</v>
      </c>
      <c r="F2111" t="s">
        <v>50</v>
      </c>
      <c r="G2111" t="s">
        <v>51</v>
      </c>
      <c r="H2111" t="s">
        <v>8587</v>
      </c>
      <c r="I2111" t="s">
        <v>720</v>
      </c>
      <c r="J2111" t="s">
        <v>4518</v>
      </c>
      <c r="K2111" t="s">
        <v>3594</v>
      </c>
      <c r="L2111" t="s">
        <v>19</v>
      </c>
      <c r="M2111" t="s">
        <v>16</v>
      </c>
      <c r="N2111">
        <v>3138</v>
      </c>
      <c r="O2111">
        <v>179</v>
      </c>
      <c r="P2111">
        <v>0</v>
      </c>
      <c r="Q2111" t="s">
        <v>8784</v>
      </c>
      <c r="R2111" t="s">
        <v>8785</v>
      </c>
      <c r="S2111" t="s">
        <v>4715</v>
      </c>
      <c r="T2111" t="s">
        <v>8786</v>
      </c>
      <c r="U2111" t="s">
        <v>60</v>
      </c>
      <c r="V2111" t="s">
        <v>61</v>
      </c>
      <c r="W2111">
        <v>3</v>
      </c>
      <c r="X2111">
        <v>0.13387499999999999</v>
      </c>
      <c r="Y2111" t="s">
        <v>375</v>
      </c>
      <c r="Z2111" t="s">
        <v>376</v>
      </c>
      <c r="AA2111">
        <v>2</v>
      </c>
      <c r="AB2111" t="s">
        <v>8589</v>
      </c>
      <c r="AC2111" t="s">
        <v>8590</v>
      </c>
      <c r="AD2111" t="s">
        <v>8591</v>
      </c>
      <c r="AE2111" t="s">
        <v>8592</v>
      </c>
      <c r="AF2111" t="s">
        <v>8593</v>
      </c>
      <c r="AG2111" t="s">
        <v>3903</v>
      </c>
      <c r="AH2111" t="s">
        <v>3902</v>
      </c>
      <c r="AI2111" t="s">
        <v>66</v>
      </c>
      <c r="AJ2111" t="s">
        <v>66</v>
      </c>
      <c r="AK2111">
        <v>1</v>
      </c>
      <c r="AL2111" t="s">
        <v>8750</v>
      </c>
      <c r="AM2111" t="s">
        <v>8751</v>
      </c>
      <c r="AN2111" t="s">
        <v>8752</v>
      </c>
      <c r="AO2111" t="s">
        <v>66</v>
      </c>
      <c r="AP2111">
        <v>1</v>
      </c>
      <c r="AQ2111" t="s">
        <v>8753</v>
      </c>
      <c r="AR2111" t="s">
        <v>8754</v>
      </c>
      <c r="AS2111" t="s">
        <v>66</v>
      </c>
      <c r="AT2111" t="s">
        <v>66</v>
      </c>
    </row>
    <row r="2112" spans="1:46" x14ac:dyDescent="0.15">
      <c r="A2112" t="s">
        <v>8787</v>
      </c>
      <c r="B2112" t="s">
        <v>8584</v>
      </c>
      <c r="C2112" t="s">
        <v>8585</v>
      </c>
      <c r="D2112">
        <v>49</v>
      </c>
      <c r="E2112" t="s">
        <v>8586</v>
      </c>
      <c r="F2112" t="s">
        <v>50</v>
      </c>
      <c r="G2112" t="s">
        <v>51</v>
      </c>
      <c r="H2112" t="s">
        <v>8587</v>
      </c>
      <c r="I2112" t="s">
        <v>720</v>
      </c>
      <c r="J2112" t="s">
        <v>4518</v>
      </c>
      <c r="K2112" t="s">
        <v>3594</v>
      </c>
      <c r="L2112" t="s">
        <v>19</v>
      </c>
      <c r="M2112" t="s">
        <v>16</v>
      </c>
      <c r="N2112">
        <v>3194</v>
      </c>
      <c r="O2112">
        <v>182</v>
      </c>
      <c r="P2112">
        <v>0</v>
      </c>
      <c r="Q2112" t="s">
        <v>8788</v>
      </c>
      <c r="R2112" t="s">
        <v>8789</v>
      </c>
      <c r="S2112" t="s">
        <v>4719</v>
      </c>
      <c r="T2112" t="s">
        <v>8790</v>
      </c>
      <c r="U2112" t="s">
        <v>60</v>
      </c>
      <c r="V2112" t="s">
        <v>61</v>
      </c>
      <c r="W2112">
        <v>3</v>
      </c>
      <c r="X2112">
        <v>0.13387499999999999</v>
      </c>
      <c r="Y2112" t="s">
        <v>223</v>
      </c>
      <c r="Z2112" t="s">
        <v>382</v>
      </c>
      <c r="AA2112">
        <v>2</v>
      </c>
      <c r="AB2112" t="s">
        <v>8589</v>
      </c>
      <c r="AC2112" t="s">
        <v>8590</v>
      </c>
      <c r="AD2112" t="s">
        <v>8591</v>
      </c>
      <c r="AE2112" t="s">
        <v>8592</v>
      </c>
      <c r="AF2112" t="s">
        <v>8593</v>
      </c>
      <c r="AG2112" t="s">
        <v>3903</v>
      </c>
      <c r="AH2112" t="s">
        <v>3902</v>
      </c>
      <c r="AI2112" t="s">
        <v>66</v>
      </c>
      <c r="AJ2112" t="s">
        <v>66</v>
      </c>
      <c r="AK2112">
        <v>1</v>
      </c>
      <c r="AL2112" t="s">
        <v>8750</v>
      </c>
      <c r="AM2112" t="s">
        <v>8751</v>
      </c>
      <c r="AN2112" t="s">
        <v>8752</v>
      </c>
      <c r="AO2112" t="s">
        <v>66</v>
      </c>
      <c r="AP2112">
        <v>1</v>
      </c>
      <c r="AQ2112" t="s">
        <v>8753</v>
      </c>
      <c r="AR2112" t="s">
        <v>8754</v>
      </c>
      <c r="AS2112" t="s">
        <v>66</v>
      </c>
      <c r="AT2112" t="s">
        <v>66</v>
      </c>
    </row>
    <row r="2113" spans="1:46" x14ac:dyDescent="0.15">
      <c r="A2113" t="s">
        <v>8791</v>
      </c>
      <c r="B2113" t="s">
        <v>8584</v>
      </c>
      <c r="C2113" t="s">
        <v>8585</v>
      </c>
      <c r="D2113">
        <v>50</v>
      </c>
      <c r="E2113" t="s">
        <v>8586</v>
      </c>
      <c r="F2113" t="s">
        <v>50</v>
      </c>
      <c r="G2113" t="s">
        <v>51</v>
      </c>
      <c r="H2113" t="s">
        <v>8587</v>
      </c>
      <c r="I2113" t="s">
        <v>720</v>
      </c>
      <c r="J2113" t="s">
        <v>4518</v>
      </c>
      <c r="K2113" t="s">
        <v>3594</v>
      </c>
      <c r="L2113" t="s">
        <v>19</v>
      </c>
      <c r="M2113" t="s">
        <v>16</v>
      </c>
      <c r="N2113">
        <v>3250</v>
      </c>
      <c r="O2113">
        <v>185</v>
      </c>
      <c r="P2113">
        <v>0</v>
      </c>
      <c r="Q2113" t="s">
        <v>8792</v>
      </c>
      <c r="R2113" t="s">
        <v>8793</v>
      </c>
      <c r="S2113" t="s">
        <v>4723</v>
      </c>
      <c r="T2113" t="s">
        <v>8794</v>
      </c>
      <c r="U2113" t="s">
        <v>60</v>
      </c>
      <c r="V2113" t="s">
        <v>61</v>
      </c>
      <c r="W2113">
        <v>3</v>
      </c>
      <c r="X2113">
        <v>0.13387499999999999</v>
      </c>
      <c r="Y2113" t="s">
        <v>388</v>
      </c>
      <c r="Z2113" t="s">
        <v>389</v>
      </c>
      <c r="AA2113">
        <v>2</v>
      </c>
      <c r="AB2113" t="s">
        <v>8589</v>
      </c>
      <c r="AC2113" t="s">
        <v>8590</v>
      </c>
      <c r="AD2113" t="s">
        <v>8591</v>
      </c>
      <c r="AE2113" t="s">
        <v>8592</v>
      </c>
      <c r="AF2113" t="s">
        <v>8593</v>
      </c>
      <c r="AG2113" t="s">
        <v>3903</v>
      </c>
      <c r="AH2113" t="s">
        <v>3902</v>
      </c>
      <c r="AI2113" t="s">
        <v>66</v>
      </c>
      <c r="AJ2113" t="s">
        <v>66</v>
      </c>
      <c r="AK2113">
        <v>1</v>
      </c>
      <c r="AL2113" t="s">
        <v>8750</v>
      </c>
      <c r="AM2113" t="s">
        <v>8751</v>
      </c>
      <c r="AN2113" t="s">
        <v>8752</v>
      </c>
      <c r="AO2113" t="s">
        <v>66</v>
      </c>
      <c r="AP2113">
        <v>1</v>
      </c>
      <c r="AQ2113" t="s">
        <v>8753</v>
      </c>
      <c r="AR2113" t="s">
        <v>8754</v>
      </c>
      <c r="AS2113" t="s">
        <v>66</v>
      </c>
      <c r="AT2113" t="s">
        <v>66</v>
      </c>
    </row>
    <row r="2114" spans="1:46" x14ac:dyDescent="0.15">
      <c r="A2114" t="s">
        <v>8795</v>
      </c>
      <c r="B2114" t="s">
        <v>8584</v>
      </c>
      <c r="C2114" t="s">
        <v>8585</v>
      </c>
      <c r="D2114">
        <v>51</v>
      </c>
      <c r="E2114" t="s">
        <v>8586</v>
      </c>
      <c r="F2114" t="s">
        <v>50</v>
      </c>
      <c r="G2114" t="s">
        <v>51</v>
      </c>
      <c r="H2114" t="s">
        <v>8587</v>
      </c>
      <c r="I2114" t="s">
        <v>720</v>
      </c>
      <c r="J2114" t="s">
        <v>4518</v>
      </c>
      <c r="K2114" t="s">
        <v>3594</v>
      </c>
      <c r="L2114" t="s">
        <v>19</v>
      </c>
      <c r="M2114" t="s">
        <v>16</v>
      </c>
      <c r="N2114">
        <v>3306</v>
      </c>
      <c r="O2114">
        <v>188</v>
      </c>
      <c r="P2114">
        <v>0</v>
      </c>
      <c r="Q2114" t="s">
        <v>8796</v>
      </c>
      <c r="R2114" t="s">
        <v>8797</v>
      </c>
      <c r="S2114" t="s">
        <v>4727</v>
      </c>
      <c r="T2114" t="s">
        <v>8798</v>
      </c>
      <c r="U2114" t="s">
        <v>60</v>
      </c>
      <c r="V2114" t="s">
        <v>61</v>
      </c>
      <c r="W2114">
        <v>3</v>
      </c>
      <c r="X2114">
        <v>0.13387499999999999</v>
      </c>
      <c r="Y2114" t="s">
        <v>230</v>
      </c>
      <c r="Z2114" t="s">
        <v>395</v>
      </c>
      <c r="AA2114">
        <v>2</v>
      </c>
      <c r="AB2114" t="s">
        <v>8589</v>
      </c>
      <c r="AC2114" t="s">
        <v>8590</v>
      </c>
      <c r="AD2114" t="s">
        <v>8591</v>
      </c>
      <c r="AE2114" t="s">
        <v>8592</v>
      </c>
      <c r="AF2114" t="s">
        <v>8593</v>
      </c>
      <c r="AG2114" t="s">
        <v>3903</v>
      </c>
      <c r="AH2114" t="s">
        <v>3902</v>
      </c>
      <c r="AI2114" t="s">
        <v>66</v>
      </c>
      <c r="AJ2114" t="s">
        <v>66</v>
      </c>
      <c r="AK2114">
        <v>1</v>
      </c>
      <c r="AL2114" t="s">
        <v>8750</v>
      </c>
      <c r="AM2114" t="s">
        <v>8751</v>
      </c>
      <c r="AN2114" t="s">
        <v>8752</v>
      </c>
      <c r="AO2114" t="s">
        <v>66</v>
      </c>
      <c r="AP2114">
        <v>1</v>
      </c>
      <c r="AQ2114" t="s">
        <v>8753</v>
      </c>
      <c r="AR2114" t="s">
        <v>8754</v>
      </c>
      <c r="AS2114" t="s">
        <v>66</v>
      </c>
      <c r="AT2114" t="s">
        <v>66</v>
      </c>
    </row>
    <row r="2115" spans="1:46" x14ac:dyDescent="0.15">
      <c r="A2115" t="s">
        <v>8799</v>
      </c>
      <c r="B2115" t="s">
        <v>8584</v>
      </c>
      <c r="C2115" t="s">
        <v>8585</v>
      </c>
      <c r="D2115">
        <v>52</v>
      </c>
      <c r="E2115" t="s">
        <v>8586</v>
      </c>
      <c r="F2115" t="s">
        <v>50</v>
      </c>
      <c r="G2115" t="s">
        <v>51</v>
      </c>
      <c r="H2115" t="s">
        <v>8587</v>
      </c>
      <c r="I2115" t="s">
        <v>720</v>
      </c>
      <c r="J2115" t="s">
        <v>4518</v>
      </c>
      <c r="K2115" t="s">
        <v>3594</v>
      </c>
      <c r="L2115" t="s">
        <v>19</v>
      </c>
      <c r="M2115" t="s">
        <v>16</v>
      </c>
      <c r="N2115">
        <v>3362</v>
      </c>
      <c r="O2115">
        <v>191</v>
      </c>
      <c r="P2115">
        <v>0</v>
      </c>
      <c r="Q2115" t="s">
        <v>8800</v>
      </c>
      <c r="R2115" t="s">
        <v>8801</v>
      </c>
      <c r="S2115" t="s">
        <v>4731</v>
      </c>
      <c r="T2115" t="s">
        <v>8802</v>
      </c>
      <c r="U2115" t="s">
        <v>60</v>
      </c>
      <c r="V2115" t="s">
        <v>61</v>
      </c>
      <c r="W2115">
        <v>3</v>
      </c>
      <c r="X2115">
        <v>0.13387499999999999</v>
      </c>
      <c r="Y2115" t="s">
        <v>401</v>
      </c>
      <c r="Z2115" t="s">
        <v>402</v>
      </c>
      <c r="AA2115">
        <v>2</v>
      </c>
      <c r="AB2115" t="s">
        <v>8589</v>
      </c>
      <c r="AC2115" t="s">
        <v>8590</v>
      </c>
      <c r="AD2115" t="s">
        <v>8591</v>
      </c>
      <c r="AE2115" t="s">
        <v>8592</v>
      </c>
      <c r="AF2115" t="s">
        <v>8593</v>
      </c>
      <c r="AG2115" t="s">
        <v>3903</v>
      </c>
      <c r="AH2115" t="s">
        <v>3902</v>
      </c>
      <c r="AI2115" t="s">
        <v>66</v>
      </c>
      <c r="AJ2115" t="s">
        <v>66</v>
      </c>
      <c r="AK2115">
        <v>1</v>
      </c>
      <c r="AL2115" t="s">
        <v>8750</v>
      </c>
      <c r="AM2115" t="s">
        <v>8751</v>
      </c>
      <c r="AN2115" t="s">
        <v>8752</v>
      </c>
      <c r="AO2115" t="s">
        <v>66</v>
      </c>
      <c r="AP2115">
        <v>1</v>
      </c>
      <c r="AQ2115" t="s">
        <v>8753</v>
      </c>
      <c r="AR2115" t="s">
        <v>8754</v>
      </c>
      <c r="AS2115" t="s">
        <v>66</v>
      </c>
      <c r="AT2115" t="s">
        <v>66</v>
      </c>
    </row>
    <row r="2116" spans="1:46" x14ac:dyDescent="0.15">
      <c r="A2116" t="s">
        <v>8803</v>
      </c>
      <c r="B2116" t="s">
        <v>8584</v>
      </c>
      <c r="C2116" t="s">
        <v>8585</v>
      </c>
      <c r="D2116">
        <v>53</v>
      </c>
      <c r="E2116" t="s">
        <v>8586</v>
      </c>
      <c r="F2116" t="s">
        <v>50</v>
      </c>
      <c r="G2116" t="s">
        <v>51</v>
      </c>
      <c r="H2116" t="s">
        <v>8587</v>
      </c>
      <c r="I2116" t="s">
        <v>720</v>
      </c>
      <c r="J2116" t="s">
        <v>4518</v>
      </c>
      <c r="K2116" t="s">
        <v>3594</v>
      </c>
      <c r="L2116" t="s">
        <v>19</v>
      </c>
      <c r="M2116" t="s">
        <v>16</v>
      </c>
      <c r="N2116">
        <v>3418</v>
      </c>
      <c r="O2116">
        <v>195</v>
      </c>
      <c r="P2116">
        <v>0</v>
      </c>
      <c r="Q2116" t="s">
        <v>8804</v>
      </c>
      <c r="R2116" t="s">
        <v>8805</v>
      </c>
      <c r="S2116" t="s">
        <v>4735</v>
      </c>
      <c r="T2116" t="s">
        <v>8806</v>
      </c>
      <c r="U2116" t="s">
        <v>60</v>
      </c>
      <c r="V2116" t="s">
        <v>61</v>
      </c>
      <c r="W2116">
        <v>3</v>
      </c>
      <c r="X2116">
        <v>0.13387499999999999</v>
      </c>
      <c r="Y2116" t="s">
        <v>236</v>
      </c>
      <c r="Z2116" t="s">
        <v>408</v>
      </c>
      <c r="AA2116">
        <v>2</v>
      </c>
      <c r="AB2116" t="s">
        <v>8589</v>
      </c>
      <c r="AC2116" t="s">
        <v>8590</v>
      </c>
      <c r="AD2116" t="s">
        <v>8591</v>
      </c>
      <c r="AE2116" t="s">
        <v>8592</v>
      </c>
      <c r="AF2116" t="s">
        <v>8593</v>
      </c>
      <c r="AG2116" t="s">
        <v>3903</v>
      </c>
      <c r="AH2116" t="s">
        <v>3902</v>
      </c>
      <c r="AI2116" t="s">
        <v>66</v>
      </c>
      <c r="AJ2116" t="s">
        <v>66</v>
      </c>
      <c r="AK2116">
        <v>1</v>
      </c>
      <c r="AL2116" t="s">
        <v>8750</v>
      </c>
      <c r="AM2116" t="s">
        <v>8751</v>
      </c>
      <c r="AN2116" t="s">
        <v>8752</v>
      </c>
      <c r="AO2116" t="s">
        <v>66</v>
      </c>
      <c r="AP2116">
        <v>1</v>
      </c>
      <c r="AQ2116" t="s">
        <v>8753</v>
      </c>
      <c r="AR2116" t="s">
        <v>8754</v>
      </c>
      <c r="AS2116" t="s">
        <v>66</v>
      </c>
      <c r="AT2116" t="s">
        <v>66</v>
      </c>
    </row>
    <row r="2117" spans="1:46" x14ac:dyDescent="0.15">
      <c r="A2117" t="s">
        <v>8807</v>
      </c>
      <c r="B2117" t="s">
        <v>8584</v>
      </c>
      <c r="C2117" t="s">
        <v>8585</v>
      </c>
      <c r="D2117">
        <v>54</v>
      </c>
      <c r="E2117" t="s">
        <v>8586</v>
      </c>
      <c r="F2117" t="s">
        <v>50</v>
      </c>
      <c r="G2117" t="s">
        <v>51</v>
      </c>
      <c r="H2117" t="s">
        <v>8587</v>
      </c>
      <c r="I2117" t="s">
        <v>720</v>
      </c>
      <c r="J2117" t="s">
        <v>4518</v>
      </c>
      <c r="K2117" t="s">
        <v>3594</v>
      </c>
      <c r="L2117" t="s">
        <v>19</v>
      </c>
      <c r="M2117" t="s">
        <v>16</v>
      </c>
      <c r="N2117">
        <v>3474</v>
      </c>
      <c r="O2117">
        <v>198</v>
      </c>
      <c r="P2117">
        <v>0</v>
      </c>
      <c r="Q2117" t="s">
        <v>8808</v>
      </c>
      <c r="R2117" t="s">
        <v>8809</v>
      </c>
      <c r="S2117" t="s">
        <v>4739</v>
      </c>
      <c r="T2117" t="s">
        <v>8810</v>
      </c>
      <c r="U2117" t="s">
        <v>60</v>
      </c>
      <c r="V2117" t="s">
        <v>61</v>
      </c>
      <c r="W2117">
        <v>3</v>
      </c>
      <c r="X2117">
        <v>0.13387499999999999</v>
      </c>
      <c r="Y2117" t="s">
        <v>414</v>
      </c>
      <c r="Z2117" t="s">
        <v>415</v>
      </c>
      <c r="AA2117">
        <v>2</v>
      </c>
      <c r="AB2117" t="s">
        <v>8589</v>
      </c>
      <c r="AC2117" t="s">
        <v>8590</v>
      </c>
      <c r="AD2117" t="s">
        <v>8591</v>
      </c>
      <c r="AE2117" t="s">
        <v>8592</v>
      </c>
      <c r="AF2117" t="s">
        <v>8593</v>
      </c>
      <c r="AG2117" t="s">
        <v>3903</v>
      </c>
      <c r="AH2117" t="s">
        <v>3902</v>
      </c>
      <c r="AI2117" t="s">
        <v>66</v>
      </c>
      <c r="AJ2117" t="s">
        <v>66</v>
      </c>
      <c r="AK2117">
        <v>1</v>
      </c>
      <c r="AL2117" t="s">
        <v>8750</v>
      </c>
      <c r="AM2117" t="s">
        <v>8751</v>
      </c>
      <c r="AN2117" t="s">
        <v>8752</v>
      </c>
      <c r="AO2117" t="s">
        <v>66</v>
      </c>
      <c r="AP2117">
        <v>1</v>
      </c>
      <c r="AQ2117" t="s">
        <v>8753</v>
      </c>
      <c r="AR2117" t="s">
        <v>8754</v>
      </c>
      <c r="AS2117" t="s">
        <v>66</v>
      </c>
      <c r="AT2117" t="s">
        <v>66</v>
      </c>
    </row>
    <row r="2118" spans="1:46" x14ac:dyDescent="0.15">
      <c r="A2118" t="s">
        <v>8811</v>
      </c>
      <c r="B2118" t="s">
        <v>8584</v>
      </c>
      <c r="C2118" t="s">
        <v>8585</v>
      </c>
      <c r="D2118">
        <v>55</v>
      </c>
      <c r="E2118" t="s">
        <v>8586</v>
      </c>
      <c r="F2118" t="s">
        <v>50</v>
      </c>
      <c r="G2118" t="s">
        <v>51</v>
      </c>
      <c r="H2118" t="s">
        <v>8587</v>
      </c>
      <c r="I2118" t="s">
        <v>720</v>
      </c>
      <c r="J2118" t="s">
        <v>4518</v>
      </c>
      <c r="K2118" t="s">
        <v>3594</v>
      </c>
      <c r="L2118" t="s">
        <v>19</v>
      </c>
      <c r="M2118" t="s">
        <v>16</v>
      </c>
      <c r="N2118">
        <v>3531</v>
      </c>
      <c r="O2118">
        <v>201</v>
      </c>
      <c r="P2118">
        <v>0</v>
      </c>
      <c r="Q2118" t="s">
        <v>8812</v>
      </c>
      <c r="R2118" t="s">
        <v>8813</v>
      </c>
      <c r="S2118" t="s">
        <v>4743</v>
      </c>
      <c r="T2118" t="s">
        <v>8814</v>
      </c>
      <c r="U2118" t="s">
        <v>60</v>
      </c>
      <c r="V2118" t="s">
        <v>61</v>
      </c>
      <c r="W2118">
        <v>3</v>
      </c>
      <c r="X2118">
        <v>0.13387499999999999</v>
      </c>
      <c r="Y2118" t="s">
        <v>243</v>
      </c>
      <c r="Z2118" t="s">
        <v>421</v>
      </c>
      <c r="AA2118">
        <v>2</v>
      </c>
      <c r="AB2118" t="s">
        <v>8589</v>
      </c>
      <c r="AC2118" t="s">
        <v>8590</v>
      </c>
      <c r="AD2118" t="s">
        <v>8591</v>
      </c>
      <c r="AE2118" t="s">
        <v>8592</v>
      </c>
      <c r="AF2118" t="s">
        <v>8593</v>
      </c>
      <c r="AG2118" t="s">
        <v>3903</v>
      </c>
      <c r="AH2118" t="s">
        <v>3902</v>
      </c>
      <c r="AI2118" t="s">
        <v>66</v>
      </c>
      <c r="AJ2118" t="s">
        <v>66</v>
      </c>
      <c r="AK2118">
        <v>1</v>
      </c>
      <c r="AL2118" t="s">
        <v>8750</v>
      </c>
      <c r="AM2118" t="s">
        <v>8751</v>
      </c>
      <c r="AN2118" t="s">
        <v>8752</v>
      </c>
      <c r="AO2118" t="s">
        <v>66</v>
      </c>
      <c r="AP2118">
        <v>1</v>
      </c>
      <c r="AQ2118" t="s">
        <v>8753</v>
      </c>
      <c r="AR2118" t="s">
        <v>8754</v>
      </c>
      <c r="AS2118" t="s">
        <v>66</v>
      </c>
      <c r="AT2118" t="s">
        <v>66</v>
      </c>
    </row>
    <row r="2119" spans="1:46" x14ac:dyDescent="0.15">
      <c r="A2119" t="s">
        <v>8815</v>
      </c>
      <c r="B2119" t="s">
        <v>8584</v>
      </c>
      <c r="C2119" t="s">
        <v>8585</v>
      </c>
      <c r="D2119">
        <v>56</v>
      </c>
      <c r="E2119" t="s">
        <v>8586</v>
      </c>
      <c r="F2119" t="s">
        <v>50</v>
      </c>
      <c r="G2119" t="s">
        <v>51</v>
      </c>
      <c r="H2119" t="s">
        <v>8587</v>
      </c>
      <c r="I2119" t="s">
        <v>720</v>
      </c>
      <c r="J2119" t="s">
        <v>4518</v>
      </c>
      <c r="K2119" t="s">
        <v>3594</v>
      </c>
      <c r="L2119" t="s">
        <v>19</v>
      </c>
      <c r="M2119" t="s">
        <v>16</v>
      </c>
      <c r="N2119">
        <v>3587</v>
      </c>
      <c r="O2119">
        <v>204</v>
      </c>
      <c r="P2119">
        <v>0</v>
      </c>
      <c r="Q2119" t="s">
        <v>8816</v>
      </c>
      <c r="R2119" t="s">
        <v>8817</v>
      </c>
      <c r="S2119" t="s">
        <v>4747</v>
      </c>
      <c r="T2119" t="s">
        <v>8818</v>
      </c>
      <c r="U2119" t="s">
        <v>60</v>
      </c>
      <c r="V2119" t="s">
        <v>61</v>
      </c>
      <c r="W2119">
        <v>3</v>
      </c>
      <c r="X2119">
        <v>0.13387499999999999</v>
      </c>
      <c r="Y2119" t="s">
        <v>427</v>
      </c>
      <c r="Z2119" t="s">
        <v>428</v>
      </c>
      <c r="AA2119">
        <v>2</v>
      </c>
      <c r="AB2119" t="s">
        <v>8589</v>
      </c>
      <c r="AC2119" t="s">
        <v>8590</v>
      </c>
      <c r="AD2119" t="s">
        <v>8591</v>
      </c>
      <c r="AE2119" t="s">
        <v>8592</v>
      </c>
      <c r="AF2119" t="s">
        <v>8593</v>
      </c>
      <c r="AG2119" t="s">
        <v>3903</v>
      </c>
      <c r="AH2119" t="s">
        <v>3902</v>
      </c>
      <c r="AI2119" t="s">
        <v>66</v>
      </c>
      <c r="AJ2119" t="s">
        <v>66</v>
      </c>
      <c r="AK2119">
        <v>1</v>
      </c>
      <c r="AL2119" t="s">
        <v>8750</v>
      </c>
      <c r="AM2119" t="s">
        <v>8751</v>
      </c>
      <c r="AN2119" t="s">
        <v>8752</v>
      </c>
      <c r="AO2119" t="s">
        <v>66</v>
      </c>
      <c r="AP2119">
        <v>1</v>
      </c>
      <c r="AQ2119" t="s">
        <v>8753</v>
      </c>
      <c r="AR2119" t="s">
        <v>8754</v>
      </c>
      <c r="AS2119" t="s">
        <v>66</v>
      </c>
      <c r="AT2119" t="s">
        <v>66</v>
      </c>
    </row>
    <row r="2120" spans="1:46" x14ac:dyDescent="0.15">
      <c r="A2120" t="s">
        <v>8819</v>
      </c>
      <c r="B2120" t="s">
        <v>8584</v>
      </c>
      <c r="C2120" t="s">
        <v>8585</v>
      </c>
      <c r="D2120">
        <v>57</v>
      </c>
      <c r="E2120" t="s">
        <v>8586</v>
      </c>
      <c r="F2120" t="s">
        <v>50</v>
      </c>
      <c r="G2120" t="s">
        <v>51</v>
      </c>
      <c r="H2120" t="s">
        <v>8587</v>
      </c>
      <c r="I2120" t="s">
        <v>720</v>
      </c>
      <c r="J2120" t="s">
        <v>4518</v>
      </c>
      <c r="K2120" t="s">
        <v>3594</v>
      </c>
      <c r="L2120" t="s">
        <v>19</v>
      </c>
      <c r="M2120" t="s">
        <v>16</v>
      </c>
      <c r="N2120">
        <v>3643</v>
      </c>
      <c r="O2120">
        <v>207</v>
      </c>
      <c r="P2120">
        <v>0</v>
      </c>
      <c r="Q2120" t="s">
        <v>8820</v>
      </c>
      <c r="R2120" t="s">
        <v>8821</v>
      </c>
      <c r="S2120" t="s">
        <v>4751</v>
      </c>
      <c r="T2120" t="s">
        <v>8822</v>
      </c>
      <c r="U2120" t="s">
        <v>60</v>
      </c>
      <c r="V2120" t="s">
        <v>61</v>
      </c>
      <c r="W2120">
        <v>3</v>
      </c>
      <c r="X2120">
        <v>0.13387499999999999</v>
      </c>
      <c r="Y2120" t="s">
        <v>249</v>
      </c>
      <c r="Z2120" t="s">
        <v>434</v>
      </c>
      <c r="AA2120">
        <v>2</v>
      </c>
      <c r="AB2120" t="s">
        <v>8589</v>
      </c>
      <c r="AC2120" t="s">
        <v>8590</v>
      </c>
      <c r="AD2120" t="s">
        <v>8591</v>
      </c>
      <c r="AE2120" t="s">
        <v>8592</v>
      </c>
      <c r="AF2120" t="s">
        <v>8593</v>
      </c>
      <c r="AG2120" t="s">
        <v>3903</v>
      </c>
      <c r="AH2120" t="s">
        <v>3902</v>
      </c>
      <c r="AI2120" t="s">
        <v>66</v>
      </c>
      <c r="AJ2120" t="s">
        <v>66</v>
      </c>
      <c r="AK2120">
        <v>1</v>
      </c>
      <c r="AL2120" t="s">
        <v>8750</v>
      </c>
      <c r="AM2120" t="s">
        <v>8751</v>
      </c>
      <c r="AN2120" t="s">
        <v>8752</v>
      </c>
      <c r="AO2120" t="s">
        <v>66</v>
      </c>
      <c r="AP2120">
        <v>1</v>
      </c>
      <c r="AQ2120" t="s">
        <v>8753</v>
      </c>
      <c r="AR2120" t="s">
        <v>8754</v>
      </c>
      <c r="AS2120" t="s">
        <v>66</v>
      </c>
      <c r="AT2120" t="s">
        <v>66</v>
      </c>
    </row>
    <row r="2121" spans="1:46" x14ac:dyDescent="0.15">
      <c r="A2121" t="s">
        <v>8823</v>
      </c>
      <c r="B2121" t="s">
        <v>8584</v>
      </c>
      <c r="C2121" t="s">
        <v>8585</v>
      </c>
      <c r="D2121">
        <v>58</v>
      </c>
      <c r="E2121" t="s">
        <v>8586</v>
      </c>
      <c r="F2121" t="s">
        <v>50</v>
      </c>
      <c r="G2121" t="s">
        <v>51</v>
      </c>
      <c r="H2121" t="s">
        <v>8587</v>
      </c>
      <c r="I2121" t="s">
        <v>720</v>
      </c>
      <c r="J2121" t="s">
        <v>4518</v>
      </c>
      <c r="K2121" t="s">
        <v>3594</v>
      </c>
      <c r="L2121" t="s">
        <v>19</v>
      </c>
      <c r="M2121" t="s">
        <v>16</v>
      </c>
      <c r="N2121">
        <v>3699</v>
      </c>
      <c r="O2121">
        <v>210</v>
      </c>
      <c r="P2121">
        <v>0</v>
      </c>
      <c r="Q2121" t="s">
        <v>8824</v>
      </c>
      <c r="R2121" t="s">
        <v>8825</v>
      </c>
      <c r="S2121" t="s">
        <v>4755</v>
      </c>
      <c r="T2121" t="s">
        <v>8826</v>
      </c>
      <c r="U2121" t="s">
        <v>60</v>
      </c>
      <c r="V2121" t="s">
        <v>61</v>
      </c>
      <c r="W2121">
        <v>3</v>
      </c>
      <c r="X2121">
        <v>0.13387499999999999</v>
      </c>
      <c r="Y2121" t="s">
        <v>440</v>
      </c>
      <c r="Z2121" t="s">
        <v>441</v>
      </c>
      <c r="AA2121">
        <v>2</v>
      </c>
      <c r="AB2121" t="s">
        <v>8589</v>
      </c>
      <c r="AC2121" t="s">
        <v>8590</v>
      </c>
      <c r="AD2121" t="s">
        <v>8591</v>
      </c>
      <c r="AE2121" t="s">
        <v>8592</v>
      </c>
      <c r="AF2121" t="s">
        <v>8593</v>
      </c>
      <c r="AG2121" t="s">
        <v>3903</v>
      </c>
      <c r="AH2121" t="s">
        <v>3902</v>
      </c>
      <c r="AI2121" t="s">
        <v>66</v>
      </c>
      <c r="AJ2121" t="s">
        <v>66</v>
      </c>
      <c r="AK2121">
        <v>1</v>
      </c>
      <c r="AL2121" t="s">
        <v>8750</v>
      </c>
      <c r="AM2121" t="s">
        <v>8751</v>
      </c>
      <c r="AN2121" t="s">
        <v>8752</v>
      </c>
      <c r="AO2121" t="s">
        <v>66</v>
      </c>
      <c r="AP2121">
        <v>1</v>
      </c>
      <c r="AQ2121" t="s">
        <v>8753</v>
      </c>
      <c r="AR2121" t="s">
        <v>8754</v>
      </c>
      <c r="AS2121" t="s">
        <v>66</v>
      </c>
      <c r="AT2121" t="s">
        <v>66</v>
      </c>
    </row>
    <row r="2122" spans="1:46" x14ac:dyDescent="0.15">
      <c r="A2122" t="s">
        <v>8827</v>
      </c>
      <c r="B2122" t="s">
        <v>8584</v>
      </c>
      <c r="C2122" t="s">
        <v>8585</v>
      </c>
      <c r="D2122">
        <v>59</v>
      </c>
      <c r="E2122" t="s">
        <v>8586</v>
      </c>
      <c r="F2122" t="s">
        <v>50</v>
      </c>
      <c r="G2122" t="s">
        <v>51</v>
      </c>
      <c r="H2122" t="s">
        <v>8587</v>
      </c>
      <c r="I2122" t="s">
        <v>720</v>
      </c>
      <c r="J2122" t="s">
        <v>4518</v>
      </c>
      <c r="K2122" t="s">
        <v>3594</v>
      </c>
      <c r="L2122" t="s">
        <v>19</v>
      </c>
      <c r="M2122" t="s">
        <v>16</v>
      </c>
      <c r="N2122">
        <v>3755</v>
      </c>
      <c r="O2122">
        <v>214</v>
      </c>
      <c r="P2122">
        <v>0</v>
      </c>
      <c r="Q2122" t="s">
        <v>8828</v>
      </c>
      <c r="R2122" t="s">
        <v>8829</v>
      </c>
      <c r="S2122" t="s">
        <v>4759</v>
      </c>
      <c r="T2122" t="s">
        <v>8830</v>
      </c>
      <c r="U2122" t="s">
        <v>60</v>
      </c>
      <c r="V2122" t="s">
        <v>61</v>
      </c>
      <c r="W2122">
        <v>3</v>
      </c>
      <c r="X2122">
        <v>0.13387499999999999</v>
      </c>
      <c r="Y2122" t="s">
        <v>256</v>
      </c>
      <c r="Z2122" t="s">
        <v>447</v>
      </c>
      <c r="AA2122">
        <v>2</v>
      </c>
      <c r="AB2122" t="s">
        <v>8589</v>
      </c>
      <c r="AC2122" t="s">
        <v>8590</v>
      </c>
      <c r="AD2122" t="s">
        <v>8591</v>
      </c>
      <c r="AE2122" t="s">
        <v>8592</v>
      </c>
      <c r="AF2122" t="s">
        <v>8593</v>
      </c>
      <c r="AG2122" t="s">
        <v>3903</v>
      </c>
      <c r="AH2122" t="s">
        <v>3902</v>
      </c>
      <c r="AI2122" t="s">
        <v>66</v>
      </c>
      <c r="AJ2122" t="s">
        <v>66</v>
      </c>
      <c r="AK2122">
        <v>1</v>
      </c>
      <c r="AL2122" t="s">
        <v>8750</v>
      </c>
      <c r="AM2122" t="s">
        <v>8751</v>
      </c>
      <c r="AN2122" t="s">
        <v>8752</v>
      </c>
      <c r="AO2122" t="s">
        <v>66</v>
      </c>
      <c r="AP2122">
        <v>1</v>
      </c>
      <c r="AQ2122" t="s">
        <v>8753</v>
      </c>
      <c r="AR2122" t="s">
        <v>8754</v>
      </c>
      <c r="AS2122" t="s">
        <v>66</v>
      </c>
      <c r="AT2122" t="s">
        <v>66</v>
      </c>
    </row>
    <row r="2123" spans="1:46" x14ac:dyDescent="0.15">
      <c r="A2123" t="s">
        <v>8831</v>
      </c>
      <c r="B2123" t="s">
        <v>8584</v>
      </c>
      <c r="C2123" t="s">
        <v>8585</v>
      </c>
      <c r="D2123">
        <v>60</v>
      </c>
      <c r="E2123" t="s">
        <v>8586</v>
      </c>
      <c r="F2123" t="s">
        <v>50</v>
      </c>
      <c r="G2123" t="s">
        <v>51</v>
      </c>
      <c r="H2123" t="s">
        <v>8587</v>
      </c>
      <c r="I2123" t="s">
        <v>720</v>
      </c>
      <c r="J2123" t="s">
        <v>4518</v>
      </c>
      <c r="K2123" t="s">
        <v>3594</v>
      </c>
      <c r="L2123" t="s">
        <v>19</v>
      </c>
      <c r="M2123" t="s">
        <v>16</v>
      </c>
      <c r="N2123">
        <v>3811</v>
      </c>
      <c r="O2123">
        <v>217</v>
      </c>
      <c r="P2123">
        <v>0</v>
      </c>
      <c r="Q2123" t="s">
        <v>8832</v>
      </c>
      <c r="R2123" t="s">
        <v>8833</v>
      </c>
      <c r="S2123" t="s">
        <v>4763</v>
      </c>
      <c r="T2123" t="s">
        <v>8834</v>
      </c>
      <c r="U2123" t="s">
        <v>60</v>
      </c>
      <c r="V2123" t="s">
        <v>61</v>
      </c>
      <c r="W2123">
        <v>3</v>
      </c>
      <c r="X2123">
        <v>0.13387499999999999</v>
      </c>
      <c r="Y2123" t="s">
        <v>453</v>
      </c>
      <c r="Z2123" t="s">
        <v>454</v>
      </c>
      <c r="AA2123">
        <v>2</v>
      </c>
      <c r="AB2123" t="s">
        <v>8589</v>
      </c>
      <c r="AC2123" t="s">
        <v>8590</v>
      </c>
      <c r="AD2123" t="s">
        <v>8591</v>
      </c>
      <c r="AE2123" t="s">
        <v>8592</v>
      </c>
      <c r="AF2123" t="s">
        <v>8593</v>
      </c>
      <c r="AG2123" t="s">
        <v>3903</v>
      </c>
      <c r="AH2123" t="s">
        <v>3902</v>
      </c>
      <c r="AI2123" t="s">
        <v>66</v>
      </c>
      <c r="AJ2123" t="s">
        <v>66</v>
      </c>
      <c r="AK2123">
        <v>1</v>
      </c>
      <c r="AL2123" t="s">
        <v>8750</v>
      </c>
      <c r="AM2123" t="s">
        <v>8751</v>
      </c>
      <c r="AN2123" t="s">
        <v>8752</v>
      </c>
      <c r="AO2123" t="s">
        <v>66</v>
      </c>
      <c r="AP2123">
        <v>1</v>
      </c>
      <c r="AQ2123" t="s">
        <v>8753</v>
      </c>
      <c r="AR2123" t="s">
        <v>8754</v>
      </c>
      <c r="AS2123" t="s">
        <v>66</v>
      </c>
      <c r="AT2123" t="s">
        <v>66</v>
      </c>
    </row>
    <row r="2124" spans="1:46" x14ac:dyDescent="0.15">
      <c r="A2124" t="s">
        <v>8831</v>
      </c>
      <c r="B2124" t="s">
        <v>8584</v>
      </c>
      <c r="C2124" t="s">
        <v>8585</v>
      </c>
      <c r="D2124">
        <v>60</v>
      </c>
      <c r="E2124" t="s">
        <v>8586</v>
      </c>
      <c r="F2124" t="s">
        <v>50</v>
      </c>
      <c r="G2124" t="s">
        <v>51</v>
      </c>
      <c r="H2124" t="s">
        <v>8587</v>
      </c>
      <c r="I2124" t="s">
        <v>720</v>
      </c>
      <c r="J2124" t="s">
        <v>4518</v>
      </c>
      <c r="K2124" t="s">
        <v>3594</v>
      </c>
      <c r="L2124" t="s">
        <v>19</v>
      </c>
      <c r="M2124" t="s">
        <v>16</v>
      </c>
      <c r="N2124">
        <v>3811</v>
      </c>
      <c r="O2124">
        <v>217</v>
      </c>
      <c r="P2124">
        <v>0</v>
      </c>
      <c r="Q2124" t="s">
        <v>8832</v>
      </c>
      <c r="R2124" t="s">
        <v>8833</v>
      </c>
      <c r="S2124" t="s">
        <v>4763</v>
      </c>
      <c r="T2124" t="s">
        <v>8834</v>
      </c>
      <c r="U2124" t="s">
        <v>60</v>
      </c>
      <c r="V2124" t="s">
        <v>61</v>
      </c>
      <c r="W2124">
        <v>3</v>
      </c>
      <c r="X2124">
        <v>0.13387499999999999</v>
      </c>
      <c r="Y2124" t="s">
        <v>453</v>
      </c>
      <c r="Z2124" t="s">
        <v>454</v>
      </c>
      <c r="AA2124">
        <v>3</v>
      </c>
      <c r="AB2124" t="s">
        <v>8589</v>
      </c>
      <c r="AC2124" t="s">
        <v>8590</v>
      </c>
      <c r="AD2124" t="s">
        <v>8591</v>
      </c>
      <c r="AE2124" t="s">
        <v>8592</v>
      </c>
      <c r="AF2124" t="s">
        <v>8593</v>
      </c>
      <c r="AG2124" t="s">
        <v>3903</v>
      </c>
      <c r="AH2124" t="s">
        <v>3902</v>
      </c>
      <c r="AI2124" t="s">
        <v>3902</v>
      </c>
      <c r="AJ2124" t="s">
        <v>66</v>
      </c>
      <c r="AK2124">
        <v>1</v>
      </c>
      <c r="AL2124" t="s">
        <v>8750</v>
      </c>
      <c r="AM2124" t="s">
        <v>8751</v>
      </c>
      <c r="AN2124" t="s">
        <v>8752</v>
      </c>
      <c r="AO2124" t="s">
        <v>66</v>
      </c>
      <c r="AP2124">
        <v>1</v>
      </c>
      <c r="AQ2124" t="s">
        <v>8753</v>
      </c>
      <c r="AR2124" t="s">
        <v>8754</v>
      </c>
      <c r="AS2124" t="s">
        <v>8835</v>
      </c>
      <c r="AT2124" t="s">
        <v>66</v>
      </c>
    </row>
    <row r="2125" spans="1:46" x14ac:dyDescent="0.15">
      <c r="A2125" t="s">
        <v>8836</v>
      </c>
      <c r="B2125" t="s">
        <v>8584</v>
      </c>
      <c r="C2125" t="s">
        <v>8585</v>
      </c>
      <c r="D2125">
        <v>61</v>
      </c>
      <c r="E2125" t="s">
        <v>8586</v>
      </c>
      <c r="F2125" t="s">
        <v>50</v>
      </c>
      <c r="G2125" t="s">
        <v>51</v>
      </c>
      <c r="H2125" t="s">
        <v>8587</v>
      </c>
      <c r="I2125" t="s">
        <v>720</v>
      </c>
      <c r="J2125" t="s">
        <v>4518</v>
      </c>
      <c r="K2125" t="s">
        <v>3594</v>
      </c>
      <c r="L2125" t="s">
        <v>19</v>
      </c>
      <c r="M2125" t="s">
        <v>16</v>
      </c>
      <c r="N2125">
        <v>3867</v>
      </c>
      <c r="O2125">
        <v>220</v>
      </c>
      <c r="P2125">
        <v>0</v>
      </c>
      <c r="Q2125" t="s">
        <v>8837</v>
      </c>
      <c r="R2125" t="s">
        <v>8838</v>
      </c>
      <c r="S2125" t="s">
        <v>4769</v>
      </c>
      <c r="T2125" t="s">
        <v>8839</v>
      </c>
      <c r="U2125" t="s">
        <v>60</v>
      </c>
      <c r="V2125" t="s">
        <v>61</v>
      </c>
      <c r="W2125">
        <v>3</v>
      </c>
      <c r="X2125">
        <v>0.13387499999999999</v>
      </c>
      <c r="Y2125" t="s">
        <v>262</v>
      </c>
      <c r="Z2125" t="s">
        <v>465</v>
      </c>
      <c r="AA2125">
        <v>3</v>
      </c>
      <c r="AB2125" t="s">
        <v>8589</v>
      </c>
      <c r="AC2125" t="s">
        <v>8590</v>
      </c>
      <c r="AD2125" t="s">
        <v>8591</v>
      </c>
      <c r="AE2125" t="s">
        <v>8592</v>
      </c>
      <c r="AF2125" t="s">
        <v>8593</v>
      </c>
      <c r="AG2125" t="s">
        <v>3903</v>
      </c>
      <c r="AH2125" t="s">
        <v>3902</v>
      </c>
      <c r="AI2125" t="s">
        <v>3902</v>
      </c>
      <c r="AJ2125" t="s">
        <v>66</v>
      </c>
      <c r="AK2125">
        <v>1</v>
      </c>
      <c r="AL2125" t="s">
        <v>8750</v>
      </c>
      <c r="AM2125" t="s">
        <v>8751</v>
      </c>
      <c r="AN2125" t="s">
        <v>8752</v>
      </c>
      <c r="AO2125" t="s">
        <v>66</v>
      </c>
      <c r="AP2125">
        <v>1</v>
      </c>
      <c r="AQ2125" t="s">
        <v>8753</v>
      </c>
      <c r="AR2125" t="s">
        <v>8754</v>
      </c>
      <c r="AS2125" t="s">
        <v>8835</v>
      </c>
      <c r="AT2125" t="s">
        <v>66</v>
      </c>
    </row>
    <row r="2126" spans="1:46" x14ac:dyDescent="0.15">
      <c r="A2126" t="s">
        <v>8840</v>
      </c>
      <c r="B2126" t="s">
        <v>8584</v>
      </c>
      <c r="C2126" t="s">
        <v>8585</v>
      </c>
      <c r="D2126">
        <v>62</v>
      </c>
      <c r="E2126" t="s">
        <v>8586</v>
      </c>
      <c r="F2126" t="s">
        <v>50</v>
      </c>
      <c r="G2126" t="s">
        <v>51</v>
      </c>
      <c r="H2126" t="s">
        <v>8587</v>
      </c>
      <c r="I2126" t="s">
        <v>720</v>
      </c>
      <c r="J2126" t="s">
        <v>4518</v>
      </c>
      <c r="K2126" t="s">
        <v>3594</v>
      </c>
      <c r="L2126" t="s">
        <v>19</v>
      </c>
      <c r="M2126" t="s">
        <v>16</v>
      </c>
      <c r="N2126">
        <v>3923</v>
      </c>
      <c r="O2126">
        <v>223</v>
      </c>
      <c r="P2126">
        <v>0</v>
      </c>
      <c r="Q2126" t="s">
        <v>8841</v>
      </c>
      <c r="R2126" t="s">
        <v>8842</v>
      </c>
      <c r="S2126" t="s">
        <v>4773</v>
      </c>
      <c r="T2126" t="s">
        <v>8843</v>
      </c>
      <c r="U2126" t="s">
        <v>60</v>
      </c>
      <c r="V2126" t="s">
        <v>61</v>
      </c>
      <c r="W2126">
        <v>3</v>
      </c>
      <c r="X2126">
        <v>0.13387499999999999</v>
      </c>
      <c r="Y2126" t="s">
        <v>471</v>
      </c>
      <c r="Z2126" t="s">
        <v>472</v>
      </c>
      <c r="AA2126">
        <v>3</v>
      </c>
      <c r="AB2126" t="s">
        <v>8589</v>
      </c>
      <c r="AC2126" t="s">
        <v>8590</v>
      </c>
      <c r="AD2126" t="s">
        <v>8591</v>
      </c>
      <c r="AE2126" t="s">
        <v>8592</v>
      </c>
      <c r="AF2126" t="s">
        <v>8593</v>
      </c>
      <c r="AG2126" t="s">
        <v>3903</v>
      </c>
      <c r="AH2126" t="s">
        <v>3902</v>
      </c>
      <c r="AI2126" t="s">
        <v>3902</v>
      </c>
      <c r="AJ2126" t="s">
        <v>66</v>
      </c>
      <c r="AK2126">
        <v>1</v>
      </c>
      <c r="AL2126" t="s">
        <v>8750</v>
      </c>
      <c r="AM2126" t="s">
        <v>8751</v>
      </c>
      <c r="AN2126" t="s">
        <v>8752</v>
      </c>
      <c r="AO2126" t="s">
        <v>66</v>
      </c>
      <c r="AP2126">
        <v>1</v>
      </c>
      <c r="AQ2126" t="s">
        <v>8753</v>
      </c>
      <c r="AR2126" t="s">
        <v>8754</v>
      </c>
      <c r="AS2126" t="s">
        <v>8835</v>
      </c>
      <c r="AT2126" t="s">
        <v>66</v>
      </c>
    </row>
    <row r="2127" spans="1:46" x14ac:dyDescent="0.15">
      <c r="A2127" t="s">
        <v>8844</v>
      </c>
      <c r="B2127" t="s">
        <v>8584</v>
      </c>
      <c r="C2127" t="s">
        <v>8585</v>
      </c>
      <c r="D2127">
        <v>63</v>
      </c>
      <c r="E2127" t="s">
        <v>8586</v>
      </c>
      <c r="F2127" t="s">
        <v>50</v>
      </c>
      <c r="G2127" t="s">
        <v>51</v>
      </c>
      <c r="H2127" t="s">
        <v>8587</v>
      </c>
      <c r="I2127" t="s">
        <v>720</v>
      </c>
      <c r="J2127" t="s">
        <v>4518</v>
      </c>
      <c r="K2127" t="s">
        <v>3594</v>
      </c>
      <c r="L2127" t="s">
        <v>19</v>
      </c>
      <c r="M2127" t="s">
        <v>16</v>
      </c>
      <c r="N2127">
        <v>3980</v>
      </c>
      <c r="O2127">
        <v>226</v>
      </c>
      <c r="P2127">
        <v>0</v>
      </c>
      <c r="Q2127" t="s">
        <v>8845</v>
      </c>
      <c r="R2127" t="s">
        <v>8846</v>
      </c>
      <c r="S2127" t="s">
        <v>4777</v>
      </c>
      <c r="T2127" t="s">
        <v>8847</v>
      </c>
      <c r="U2127" t="s">
        <v>60</v>
      </c>
      <c r="V2127" t="s">
        <v>61</v>
      </c>
      <c r="W2127">
        <v>3</v>
      </c>
      <c r="X2127">
        <v>0.13387499999999999</v>
      </c>
      <c r="Y2127" t="s">
        <v>269</v>
      </c>
      <c r="Z2127" t="s">
        <v>478</v>
      </c>
      <c r="AA2127">
        <v>3</v>
      </c>
      <c r="AB2127" t="s">
        <v>8589</v>
      </c>
      <c r="AC2127" t="s">
        <v>8590</v>
      </c>
      <c r="AD2127" t="s">
        <v>8591</v>
      </c>
      <c r="AE2127" t="s">
        <v>8592</v>
      </c>
      <c r="AF2127" t="s">
        <v>8593</v>
      </c>
      <c r="AG2127" t="s">
        <v>3903</v>
      </c>
      <c r="AH2127" t="s">
        <v>3902</v>
      </c>
      <c r="AI2127" t="s">
        <v>3902</v>
      </c>
      <c r="AJ2127" t="s">
        <v>66</v>
      </c>
      <c r="AK2127">
        <v>1</v>
      </c>
      <c r="AL2127" t="s">
        <v>8750</v>
      </c>
      <c r="AM2127" t="s">
        <v>8751</v>
      </c>
      <c r="AN2127" t="s">
        <v>8752</v>
      </c>
      <c r="AO2127" t="s">
        <v>66</v>
      </c>
      <c r="AP2127">
        <v>1</v>
      </c>
      <c r="AQ2127" t="s">
        <v>8753</v>
      </c>
      <c r="AR2127" t="s">
        <v>8754</v>
      </c>
      <c r="AS2127" t="s">
        <v>8835</v>
      </c>
      <c r="AT2127" t="s">
        <v>66</v>
      </c>
    </row>
    <row r="2128" spans="1:46" x14ac:dyDescent="0.15">
      <c r="A2128" t="s">
        <v>8848</v>
      </c>
      <c r="B2128" t="s">
        <v>8584</v>
      </c>
      <c r="C2128" t="s">
        <v>8585</v>
      </c>
      <c r="D2128">
        <v>64</v>
      </c>
      <c r="E2128" t="s">
        <v>8586</v>
      </c>
      <c r="F2128" t="s">
        <v>50</v>
      </c>
      <c r="G2128" t="s">
        <v>51</v>
      </c>
      <c r="H2128" t="s">
        <v>8587</v>
      </c>
      <c r="I2128" t="s">
        <v>720</v>
      </c>
      <c r="J2128" t="s">
        <v>4518</v>
      </c>
      <c r="K2128" t="s">
        <v>3594</v>
      </c>
      <c r="L2128" t="s">
        <v>19</v>
      </c>
      <c r="M2128" t="s">
        <v>16</v>
      </c>
      <c r="N2128">
        <v>4036</v>
      </c>
      <c r="O2128">
        <v>229</v>
      </c>
      <c r="P2128">
        <v>0</v>
      </c>
      <c r="Q2128" t="s">
        <v>8849</v>
      </c>
      <c r="R2128" t="s">
        <v>8850</v>
      </c>
      <c r="S2128" t="s">
        <v>4781</v>
      </c>
      <c r="T2128" t="s">
        <v>8851</v>
      </c>
      <c r="U2128" t="s">
        <v>60</v>
      </c>
      <c r="V2128" t="s">
        <v>61</v>
      </c>
      <c r="W2128">
        <v>3</v>
      </c>
      <c r="X2128">
        <v>0.13387499999999999</v>
      </c>
      <c r="Y2128" t="s">
        <v>484</v>
      </c>
      <c r="Z2128" t="s">
        <v>485</v>
      </c>
      <c r="AA2128">
        <v>3</v>
      </c>
      <c r="AB2128" t="s">
        <v>8589</v>
      </c>
      <c r="AC2128" t="s">
        <v>8590</v>
      </c>
      <c r="AD2128" t="s">
        <v>8591</v>
      </c>
      <c r="AE2128" t="s">
        <v>8592</v>
      </c>
      <c r="AF2128" t="s">
        <v>8593</v>
      </c>
      <c r="AG2128" t="s">
        <v>3903</v>
      </c>
      <c r="AH2128" t="s">
        <v>3902</v>
      </c>
      <c r="AI2128" t="s">
        <v>3902</v>
      </c>
      <c r="AJ2128" t="s">
        <v>66</v>
      </c>
      <c r="AK2128">
        <v>1</v>
      </c>
      <c r="AL2128" t="s">
        <v>8750</v>
      </c>
      <c r="AM2128" t="s">
        <v>8751</v>
      </c>
      <c r="AN2128" t="s">
        <v>8752</v>
      </c>
      <c r="AO2128" t="s">
        <v>66</v>
      </c>
      <c r="AP2128">
        <v>1</v>
      </c>
      <c r="AQ2128" t="s">
        <v>8753</v>
      </c>
      <c r="AR2128" t="s">
        <v>8754</v>
      </c>
      <c r="AS2128" t="s">
        <v>8835</v>
      </c>
      <c r="AT2128" t="s">
        <v>66</v>
      </c>
    </row>
    <row r="2129" spans="1:46" x14ac:dyDescent="0.15">
      <c r="A2129" t="s">
        <v>8852</v>
      </c>
      <c r="B2129" t="s">
        <v>8584</v>
      </c>
      <c r="C2129" t="s">
        <v>8585</v>
      </c>
      <c r="D2129">
        <v>65</v>
      </c>
      <c r="E2129" t="s">
        <v>8586</v>
      </c>
      <c r="F2129" t="s">
        <v>50</v>
      </c>
      <c r="G2129" t="s">
        <v>51</v>
      </c>
      <c r="H2129" t="s">
        <v>8587</v>
      </c>
      <c r="I2129" t="s">
        <v>720</v>
      </c>
      <c r="J2129" t="s">
        <v>4518</v>
      </c>
      <c r="K2129" t="s">
        <v>3594</v>
      </c>
      <c r="L2129" t="s">
        <v>19</v>
      </c>
      <c r="M2129" t="s">
        <v>16</v>
      </c>
      <c r="N2129">
        <v>4092</v>
      </c>
      <c r="O2129">
        <v>233</v>
      </c>
      <c r="P2129">
        <v>0</v>
      </c>
      <c r="Q2129" t="s">
        <v>8853</v>
      </c>
      <c r="R2129" t="s">
        <v>8854</v>
      </c>
      <c r="S2129" t="s">
        <v>4785</v>
      </c>
      <c r="T2129" t="s">
        <v>8855</v>
      </c>
      <c r="U2129" t="s">
        <v>60</v>
      </c>
      <c r="V2129" t="s">
        <v>61</v>
      </c>
      <c r="W2129">
        <v>3</v>
      </c>
      <c r="X2129">
        <v>0.13387499999999999</v>
      </c>
      <c r="Y2129" t="s">
        <v>275</v>
      </c>
      <c r="Z2129" t="s">
        <v>491</v>
      </c>
      <c r="AA2129">
        <v>3</v>
      </c>
      <c r="AB2129" t="s">
        <v>8589</v>
      </c>
      <c r="AC2129" t="s">
        <v>8590</v>
      </c>
      <c r="AD2129" t="s">
        <v>8591</v>
      </c>
      <c r="AE2129" t="s">
        <v>8592</v>
      </c>
      <c r="AF2129" t="s">
        <v>8593</v>
      </c>
      <c r="AG2129" t="s">
        <v>3903</v>
      </c>
      <c r="AH2129" t="s">
        <v>3902</v>
      </c>
      <c r="AI2129" t="s">
        <v>3902</v>
      </c>
      <c r="AJ2129" t="s">
        <v>66</v>
      </c>
      <c r="AK2129">
        <v>1</v>
      </c>
      <c r="AL2129" t="s">
        <v>8750</v>
      </c>
      <c r="AM2129" t="s">
        <v>8751</v>
      </c>
      <c r="AN2129" t="s">
        <v>8752</v>
      </c>
      <c r="AO2129" t="s">
        <v>66</v>
      </c>
      <c r="AP2129">
        <v>1</v>
      </c>
      <c r="AQ2129" t="s">
        <v>8753</v>
      </c>
      <c r="AR2129" t="s">
        <v>8754</v>
      </c>
      <c r="AS2129" t="s">
        <v>8835</v>
      </c>
      <c r="AT2129" t="s">
        <v>66</v>
      </c>
    </row>
    <row r="2130" spans="1:46" x14ac:dyDescent="0.15">
      <c r="A2130" t="s">
        <v>8856</v>
      </c>
      <c r="B2130" t="s">
        <v>8584</v>
      </c>
      <c r="C2130" t="s">
        <v>8585</v>
      </c>
      <c r="D2130">
        <v>66</v>
      </c>
      <c r="E2130" t="s">
        <v>8586</v>
      </c>
      <c r="F2130" t="s">
        <v>50</v>
      </c>
      <c r="G2130" t="s">
        <v>51</v>
      </c>
      <c r="H2130" t="s">
        <v>8587</v>
      </c>
      <c r="I2130" t="s">
        <v>720</v>
      </c>
      <c r="J2130" t="s">
        <v>4518</v>
      </c>
      <c r="K2130" t="s">
        <v>3594</v>
      </c>
      <c r="L2130" t="s">
        <v>19</v>
      </c>
      <c r="M2130" t="s">
        <v>16</v>
      </c>
      <c r="N2130">
        <v>4148</v>
      </c>
      <c r="O2130">
        <v>236</v>
      </c>
      <c r="P2130">
        <v>0</v>
      </c>
      <c r="Q2130" t="s">
        <v>8857</v>
      </c>
      <c r="R2130" t="s">
        <v>8858</v>
      </c>
      <c r="S2130" t="s">
        <v>4789</v>
      </c>
      <c r="T2130" t="s">
        <v>8859</v>
      </c>
      <c r="U2130" t="s">
        <v>60</v>
      </c>
      <c r="V2130" t="s">
        <v>61</v>
      </c>
      <c r="W2130">
        <v>3</v>
      </c>
      <c r="X2130">
        <v>0.13387499999999999</v>
      </c>
      <c r="Y2130" t="s">
        <v>497</v>
      </c>
      <c r="Z2130" t="s">
        <v>498</v>
      </c>
      <c r="AA2130">
        <v>3</v>
      </c>
      <c r="AB2130" t="s">
        <v>8589</v>
      </c>
      <c r="AC2130" t="s">
        <v>8590</v>
      </c>
      <c r="AD2130" t="s">
        <v>8591</v>
      </c>
      <c r="AE2130" t="s">
        <v>8592</v>
      </c>
      <c r="AF2130" t="s">
        <v>8593</v>
      </c>
      <c r="AG2130" t="s">
        <v>3903</v>
      </c>
      <c r="AH2130" t="s">
        <v>3902</v>
      </c>
      <c r="AI2130" t="s">
        <v>3902</v>
      </c>
      <c r="AJ2130" t="s">
        <v>66</v>
      </c>
      <c r="AK2130">
        <v>1</v>
      </c>
      <c r="AL2130" t="s">
        <v>8750</v>
      </c>
      <c r="AM2130" t="s">
        <v>8751</v>
      </c>
      <c r="AN2130" t="s">
        <v>8752</v>
      </c>
      <c r="AO2130" t="s">
        <v>66</v>
      </c>
      <c r="AP2130">
        <v>1</v>
      </c>
      <c r="AQ2130" t="s">
        <v>8753</v>
      </c>
      <c r="AR2130" t="s">
        <v>8754</v>
      </c>
      <c r="AS2130" t="s">
        <v>8835</v>
      </c>
      <c r="AT2130" t="s">
        <v>66</v>
      </c>
    </row>
    <row r="2131" spans="1:46" x14ac:dyDescent="0.15">
      <c r="A2131" t="s">
        <v>8860</v>
      </c>
      <c r="B2131" t="s">
        <v>8584</v>
      </c>
      <c r="C2131" t="s">
        <v>8585</v>
      </c>
      <c r="D2131">
        <v>67</v>
      </c>
      <c r="E2131" t="s">
        <v>8586</v>
      </c>
      <c r="F2131" t="s">
        <v>50</v>
      </c>
      <c r="G2131" t="s">
        <v>51</v>
      </c>
      <c r="H2131" t="s">
        <v>8587</v>
      </c>
      <c r="I2131" t="s">
        <v>720</v>
      </c>
      <c r="J2131" t="s">
        <v>4518</v>
      </c>
      <c r="K2131" t="s">
        <v>3594</v>
      </c>
      <c r="L2131" t="s">
        <v>19</v>
      </c>
      <c r="M2131" t="s">
        <v>16</v>
      </c>
      <c r="N2131">
        <v>4204</v>
      </c>
      <c r="O2131">
        <v>239</v>
      </c>
      <c r="P2131">
        <v>0</v>
      </c>
      <c r="Q2131" t="s">
        <v>8861</v>
      </c>
      <c r="R2131" t="s">
        <v>8862</v>
      </c>
      <c r="S2131" t="s">
        <v>4793</v>
      </c>
      <c r="T2131" t="s">
        <v>8863</v>
      </c>
      <c r="U2131" t="s">
        <v>60</v>
      </c>
      <c r="V2131" t="s">
        <v>61</v>
      </c>
      <c r="W2131">
        <v>3</v>
      </c>
      <c r="X2131">
        <v>0.13387499999999999</v>
      </c>
      <c r="Y2131" t="s">
        <v>282</v>
      </c>
      <c r="Z2131" t="s">
        <v>504</v>
      </c>
      <c r="AA2131">
        <v>3</v>
      </c>
      <c r="AB2131" t="s">
        <v>8589</v>
      </c>
      <c r="AC2131" t="s">
        <v>8590</v>
      </c>
      <c r="AD2131" t="s">
        <v>8591</v>
      </c>
      <c r="AE2131" t="s">
        <v>8592</v>
      </c>
      <c r="AF2131" t="s">
        <v>8593</v>
      </c>
      <c r="AG2131" t="s">
        <v>3903</v>
      </c>
      <c r="AH2131" t="s">
        <v>3902</v>
      </c>
      <c r="AI2131" t="s">
        <v>3902</v>
      </c>
      <c r="AJ2131" t="s">
        <v>66</v>
      </c>
      <c r="AK2131">
        <v>1</v>
      </c>
      <c r="AL2131" t="s">
        <v>8750</v>
      </c>
      <c r="AM2131" t="s">
        <v>8751</v>
      </c>
      <c r="AN2131" t="s">
        <v>8752</v>
      </c>
      <c r="AO2131" t="s">
        <v>66</v>
      </c>
      <c r="AP2131">
        <v>1</v>
      </c>
      <c r="AQ2131" t="s">
        <v>8753</v>
      </c>
      <c r="AR2131" t="s">
        <v>8754</v>
      </c>
      <c r="AS2131" t="s">
        <v>8835</v>
      </c>
      <c r="AT2131" t="s">
        <v>66</v>
      </c>
    </row>
    <row r="2132" spans="1:46" x14ac:dyDescent="0.15">
      <c r="A2132" t="s">
        <v>8864</v>
      </c>
      <c r="B2132" t="s">
        <v>8584</v>
      </c>
      <c r="C2132" t="s">
        <v>8585</v>
      </c>
      <c r="D2132">
        <v>68</v>
      </c>
      <c r="E2132" t="s">
        <v>8586</v>
      </c>
      <c r="F2132" t="s">
        <v>50</v>
      </c>
      <c r="G2132" t="s">
        <v>51</v>
      </c>
      <c r="H2132" t="s">
        <v>8587</v>
      </c>
      <c r="I2132" t="s">
        <v>720</v>
      </c>
      <c r="J2132" t="s">
        <v>4518</v>
      </c>
      <c r="K2132" t="s">
        <v>3594</v>
      </c>
      <c r="L2132" t="s">
        <v>19</v>
      </c>
      <c r="M2132" t="s">
        <v>16</v>
      </c>
      <c r="N2132">
        <v>4260</v>
      </c>
      <c r="O2132">
        <v>242</v>
      </c>
      <c r="P2132">
        <v>0</v>
      </c>
      <c r="Q2132" t="s">
        <v>8865</v>
      </c>
      <c r="R2132" t="s">
        <v>8866</v>
      </c>
      <c r="S2132" t="s">
        <v>4797</v>
      </c>
      <c r="T2132" t="s">
        <v>8867</v>
      </c>
      <c r="U2132" t="s">
        <v>60</v>
      </c>
      <c r="V2132" t="s">
        <v>61</v>
      </c>
      <c r="W2132">
        <v>3</v>
      </c>
      <c r="X2132">
        <v>0.13387499999999999</v>
      </c>
      <c r="Y2132" t="s">
        <v>510</v>
      </c>
      <c r="Z2132" t="s">
        <v>511</v>
      </c>
      <c r="AA2132">
        <v>3</v>
      </c>
      <c r="AB2132" t="s">
        <v>8589</v>
      </c>
      <c r="AC2132" t="s">
        <v>8590</v>
      </c>
      <c r="AD2132" t="s">
        <v>8591</v>
      </c>
      <c r="AE2132" t="s">
        <v>8592</v>
      </c>
      <c r="AF2132" t="s">
        <v>8593</v>
      </c>
      <c r="AG2132" t="s">
        <v>3903</v>
      </c>
      <c r="AH2132" t="s">
        <v>3902</v>
      </c>
      <c r="AI2132" t="s">
        <v>3902</v>
      </c>
      <c r="AJ2132" t="s">
        <v>66</v>
      </c>
      <c r="AK2132">
        <v>1</v>
      </c>
      <c r="AL2132" t="s">
        <v>8750</v>
      </c>
      <c r="AM2132" t="s">
        <v>8751</v>
      </c>
      <c r="AN2132" t="s">
        <v>8752</v>
      </c>
      <c r="AO2132" t="s">
        <v>66</v>
      </c>
      <c r="AP2132">
        <v>1</v>
      </c>
      <c r="AQ2132" t="s">
        <v>8753</v>
      </c>
      <c r="AR2132" t="s">
        <v>8754</v>
      </c>
      <c r="AS2132" t="s">
        <v>8835</v>
      </c>
      <c r="AT2132" t="s">
        <v>66</v>
      </c>
    </row>
    <row r="2133" spans="1:46" x14ac:dyDescent="0.15">
      <c r="A2133" t="s">
        <v>8868</v>
      </c>
      <c r="B2133" t="s">
        <v>8584</v>
      </c>
      <c r="C2133" t="s">
        <v>8585</v>
      </c>
      <c r="D2133">
        <v>69</v>
      </c>
      <c r="E2133" t="s">
        <v>8586</v>
      </c>
      <c r="F2133" t="s">
        <v>50</v>
      </c>
      <c r="G2133" t="s">
        <v>51</v>
      </c>
      <c r="H2133" t="s">
        <v>8587</v>
      </c>
      <c r="I2133" t="s">
        <v>720</v>
      </c>
      <c r="J2133" t="s">
        <v>4518</v>
      </c>
      <c r="K2133" t="s">
        <v>3594</v>
      </c>
      <c r="L2133" t="s">
        <v>19</v>
      </c>
      <c r="M2133" t="s">
        <v>16</v>
      </c>
      <c r="N2133">
        <v>4316</v>
      </c>
      <c r="O2133">
        <v>245</v>
      </c>
      <c r="P2133">
        <v>0</v>
      </c>
      <c r="Q2133" t="s">
        <v>8869</v>
      </c>
      <c r="R2133" t="s">
        <v>8870</v>
      </c>
      <c r="S2133" t="s">
        <v>4801</v>
      </c>
      <c r="T2133" t="s">
        <v>8871</v>
      </c>
      <c r="U2133" t="s">
        <v>60</v>
      </c>
      <c r="V2133" t="s">
        <v>61</v>
      </c>
      <c r="W2133">
        <v>3</v>
      </c>
      <c r="X2133">
        <v>0.13387499999999999</v>
      </c>
      <c r="Y2133" t="s">
        <v>288</v>
      </c>
      <c r="Z2133" t="s">
        <v>517</v>
      </c>
      <c r="AA2133">
        <v>3</v>
      </c>
      <c r="AB2133" t="s">
        <v>8589</v>
      </c>
      <c r="AC2133" t="s">
        <v>8590</v>
      </c>
      <c r="AD2133" t="s">
        <v>8591</v>
      </c>
      <c r="AE2133" t="s">
        <v>8592</v>
      </c>
      <c r="AF2133" t="s">
        <v>8593</v>
      </c>
      <c r="AG2133" t="s">
        <v>3903</v>
      </c>
      <c r="AH2133" t="s">
        <v>3902</v>
      </c>
      <c r="AI2133" t="s">
        <v>3902</v>
      </c>
      <c r="AJ2133" t="s">
        <v>66</v>
      </c>
      <c r="AK2133">
        <v>1</v>
      </c>
      <c r="AL2133" t="s">
        <v>8750</v>
      </c>
      <c r="AM2133" t="s">
        <v>8751</v>
      </c>
      <c r="AN2133" t="s">
        <v>8752</v>
      </c>
      <c r="AO2133" t="s">
        <v>66</v>
      </c>
      <c r="AP2133">
        <v>1</v>
      </c>
      <c r="AQ2133" t="s">
        <v>8753</v>
      </c>
      <c r="AR2133" t="s">
        <v>8754</v>
      </c>
      <c r="AS2133" t="s">
        <v>8835</v>
      </c>
      <c r="AT2133" t="s">
        <v>66</v>
      </c>
    </row>
    <row r="2134" spans="1:46" x14ac:dyDescent="0.15">
      <c r="A2134" t="s">
        <v>8872</v>
      </c>
      <c r="B2134" t="s">
        <v>8584</v>
      </c>
      <c r="C2134" t="s">
        <v>8585</v>
      </c>
      <c r="D2134">
        <v>70</v>
      </c>
      <c r="E2134" t="s">
        <v>8586</v>
      </c>
      <c r="F2134" t="s">
        <v>50</v>
      </c>
      <c r="G2134" t="s">
        <v>51</v>
      </c>
      <c r="H2134" t="s">
        <v>8587</v>
      </c>
      <c r="I2134" t="s">
        <v>720</v>
      </c>
      <c r="J2134" t="s">
        <v>4518</v>
      </c>
      <c r="K2134" t="s">
        <v>3594</v>
      </c>
      <c r="L2134" t="s">
        <v>19</v>
      </c>
      <c r="M2134" t="s">
        <v>16</v>
      </c>
      <c r="N2134">
        <v>4372</v>
      </c>
      <c r="O2134">
        <v>248</v>
      </c>
      <c r="P2134">
        <v>0</v>
      </c>
      <c r="Q2134" t="s">
        <v>8873</v>
      </c>
      <c r="R2134" t="s">
        <v>8874</v>
      </c>
      <c r="S2134" t="s">
        <v>4805</v>
      </c>
      <c r="T2134" t="s">
        <v>8875</v>
      </c>
      <c r="U2134" t="s">
        <v>60</v>
      </c>
      <c r="V2134" t="s">
        <v>61</v>
      </c>
      <c r="W2134">
        <v>3</v>
      </c>
      <c r="X2134">
        <v>0.13387499999999999</v>
      </c>
      <c r="Y2134" t="s">
        <v>523</v>
      </c>
      <c r="Z2134" t="s">
        <v>524</v>
      </c>
      <c r="AA2134">
        <v>3</v>
      </c>
      <c r="AB2134" t="s">
        <v>8589</v>
      </c>
      <c r="AC2134" t="s">
        <v>8590</v>
      </c>
      <c r="AD2134" t="s">
        <v>8591</v>
      </c>
      <c r="AE2134" t="s">
        <v>8592</v>
      </c>
      <c r="AF2134" t="s">
        <v>8593</v>
      </c>
      <c r="AG2134" t="s">
        <v>3903</v>
      </c>
      <c r="AH2134" t="s">
        <v>3902</v>
      </c>
      <c r="AI2134" t="s">
        <v>3902</v>
      </c>
      <c r="AJ2134" t="s">
        <v>66</v>
      </c>
      <c r="AK2134">
        <v>1</v>
      </c>
      <c r="AL2134" t="s">
        <v>8750</v>
      </c>
      <c r="AM2134" t="s">
        <v>8751</v>
      </c>
      <c r="AN2134" t="s">
        <v>8752</v>
      </c>
      <c r="AO2134" t="s">
        <v>66</v>
      </c>
      <c r="AP2134">
        <v>1</v>
      </c>
      <c r="AQ2134" t="s">
        <v>8753</v>
      </c>
      <c r="AR2134" t="s">
        <v>8754</v>
      </c>
      <c r="AS2134" t="s">
        <v>8835</v>
      </c>
      <c r="AT2134" t="s">
        <v>66</v>
      </c>
    </row>
    <row r="2135" spans="1:46" x14ac:dyDescent="0.15">
      <c r="A2135" t="s">
        <v>8876</v>
      </c>
      <c r="B2135" t="s">
        <v>8584</v>
      </c>
      <c r="C2135" t="s">
        <v>8585</v>
      </c>
      <c r="D2135">
        <v>71</v>
      </c>
      <c r="E2135" t="s">
        <v>8586</v>
      </c>
      <c r="F2135" t="s">
        <v>50</v>
      </c>
      <c r="G2135" t="s">
        <v>51</v>
      </c>
      <c r="H2135" t="s">
        <v>8587</v>
      </c>
      <c r="I2135" t="s">
        <v>720</v>
      </c>
      <c r="J2135" t="s">
        <v>4518</v>
      </c>
      <c r="K2135" t="s">
        <v>3594</v>
      </c>
      <c r="L2135" t="s">
        <v>19</v>
      </c>
      <c r="M2135" t="s">
        <v>16</v>
      </c>
      <c r="N2135">
        <v>4429</v>
      </c>
      <c r="O2135">
        <v>252</v>
      </c>
      <c r="P2135">
        <v>0</v>
      </c>
      <c r="Q2135" t="s">
        <v>8877</v>
      </c>
      <c r="R2135" t="s">
        <v>8878</v>
      </c>
      <c r="S2135" t="s">
        <v>4809</v>
      </c>
      <c r="T2135" t="s">
        <v>8879</v>
      </c>
      <c r="U2135" t="s">
        <v>60</v>
      </c>
      <c r="V2135" t="s">
        <v>61</v>
      </c>
      <c r="W2135">
        <v>3</v>
      </c>
      <c r="X2135">
        <v>0.13387499999999999</v>
      </c>
      <c r="Y2135" t="s">
        <v>295</v>
      </c>
      <c r="Z2135" t="s">
        <v>530</v>
      </c>
      <c r="AA2135">
        <v>3</v>
      </c>
      <c r="AB2135" t="s">
        <v>8589</v>
      </c>
      <c r="AC2135" t="s">
        <v>8590</v>
      </c>
      <c r="AD2135" t="s">
        <v>8591</v>
      </c>
      <c r="AE2135" t="s">
        <v>8592</v>
      </c>
      <c r="AF2135" t="s">
        <v>8593</v>
      </c>
      <c r="AG2135" t="s">
        <v>3903</v>
      </c>
      <c r="AH2135" t="s">
        <v>3902</v>
      </c>
      <c r="AI2135" t="s">
        <v>3902</v>
      </c>
      <c r="AJ2135" t="s">
        <v>66</v>
      </c>
      <c r="AK2135">
        <v>1</v>
      </c>
      <c r="AL2135" t="s">
        <v>8750</v>
      </c>
      <c r="AM2135" t="s">
        <v>8751</v>
      </c>
      <c r="AN2135" t="s">
        <v>8752</v>
      </c>
      <c r="AO2135" t="s">
        <v>66</v>
      </c>
      <c r="AP2135">
        <v>1</v>
      </c>
      <c r="AQ2135" t="s">
        <v>8753</v>
      </c>
      <c r="AR2135" t="s">
        <v>8754</v>
      </c>
      <c r="AS2135" t="s">
        <v>8835</v>
      </c>
      <c r="AT2135" t="s">
        <v>66</v>
      </c>
    </row>
    <row r="2136" spans="1:46" x14ac:dyDescent="0.15">
      <c r="A2136" t="s">
        <v>8880</v>
      </c>
      <c r="B2136" t="s">
        <v>8584</v>
      </c>
      <c r="C2136" t="s">
        <v>8585</v>
      </c>
      <c r="D2136">
        <v>72</v>
      </c>
      <c r="E2136" t="s">
        <v>8586</v>
      </c>
      <c r="F2136" t="s">
        <v>50</v>
      </c>
      <c r="G2136" t="s">
        <v>51</v>
      </c>
      <c r="H2136" t="s">
        <v>8587</v>
      </c>
      <c r="I2136" t="s">
        <v>720</v>
      </c>
      <c r="J2136" t="s">
        <v>4518</v>
      </c>
      <c r="K2136" t="s">
        <v>3594</v>
      </c>
      <c r="L2136" t="s">
        <v>19</v>
      </c>
      <c r="M2136" t="s">
        <v>16</v>
      </c>
      <c r="N2136">
        <v>4485</v>
      </c>
      <c r="O2136">
        <v>255</v>
      </c>
      <c r="P2136">
        <v>0</v>
      </c>
      <c r="Q2136" t="s">
        <v>8881</v>
      </c>
      <c r="R2136" t="s">
        <v>8882</v>
      </c>
      <c r="S2136" t="s">
        <v>4813</v>
      </c>
      <c r="T2136" t="s">
        <v>8883</v>
      </c>
      <c r="U2136" t="s">
        <v>60</v>
      </c>
      <c r="V2136" t="s">
        <v>61</v>
      </c>
      <c r="W2136">
        <v>3</v>
      </c>
      <c r="X2136">
        <v>0.13387499999999999</v>
      </c>
      <c r="Y2136" t="s">
        <v>536</v>
      </c>
      <c r="Z2136" t="s">
        <v>537</v>
      </c>
      <c r="AA2136">
        <v>3</v>
      </c>
      <c r="AB2136" t="s">
        <v>8589</v>
      </c>
      <c r="AC2136" t="s">
        <v>8590</v>
      </c>
      <c r="AD2136" t="s">
        <v>8591</v>
      </c>
      <c r="AE2136" t="s">
        <v>8592</v>
      </c>
      <c r="AF2136" t="s">
        <v>8593</v>
      </c>
      <c r="AG2136" t="s">
        <v>3903</v>
      </c>
      <c r="AH2136" t="s">
        <v>3902</v>
      </c>
      <c r="AI2136" t="s">
        <v>3902</v>
      </c>
      <c r="AJ2136" t="s">
        <v>66</v>
      </c>
      <c r="AK2136">
        <v>1</v>
      </c>
      <c r="AL2136" t="s">
        <v>8750</v>
      </c>
      <c r="AM2136" t="s">
        <v>8751</v>
      </c>
      <c r="AN2136" t="s">
        <v>8752</v>
      </c>
      <c r="AO2136" t="s">
        <v>66</v>
      </c>
      <c r="AP2136">
        <v>1</v>
      </c>
      <c r="AQ2136" t="s">
        <v>8753</v>
      </c>
      <c r="AR2136" t="s">
        <v>8754</v>
      </c>
      <c r="AS2136" t="s">
        <v>8835</v>
      </c>
      <c r="AT2136" t="s">
        <v>66</v>
      </c>
    </row>
    <row r="2137" spans="1:46" x14ac:dyDescent="0.15">
      <c r="A2137" t="s">
        <v>8884</v>
      </c>
      <c r="B2137" t="s">
        <v>8584</v>
      </c>
      <c r="C2137" t="s">
        <v>8585</v>
      </c>
      <c r="D2137">
        <v>73</v>
      </c>
      <c r="E2137" t="s">
        <v>8586</v>
      </c>
      <c r="F2137" t="s">
        <v>50</v>
      </c>
      <c r="G2137" t="s">
        <v>51</v>
      </c>
      <c r="H2137" t="s">
        <v>8587</v>
      </c>
      <c r="I2137" t="s">
        <v>720</v>
      </c>
      <c r="J2137" t="s">
        <v>4518</v>
      </c>
      <c r="K2137" t="s">
        <v>3594</v>
      </c>
      <c r="L2137" t="s">
        <v>19</v>
      </c>
      <c r="M2137" t="s">
        <v>16</v>
      </c>
      <c r="N2137">
        <v>4541</v>
      </c>
      <c r="O2137">
        <v>258</v>
      </c>
      <c r="P2137">
        <v>0</v>
      </c>
      <c r="Q2137" t="s">
        <v>8885</v>
      </c>
      <c r="R2137" t="s">
        <v>8886</v>
      </c>
      <c r="S2137" t="s">
        <v>4817</v>
      </c>
      <c r="T2137" t="s">
        <v>8887</v>
      </c>
      <c r="U2137" t="s">
        <v>60</v>
      </c>
      <c r="V2137" t="s">
        <v>61</v>
      </c>
      <c r="W2137">
        <v>3</v>
      </c>
      <c r="X2137">
        <v>0.13387499999999999</v>
      </c>
      <c r="Y2137" t="s">
        <v>301</v>
      </c>
      <c r="Z2137" t="s">
        <v>543</v>
      </c>
      <c r="AA2137">
        <v>3</v>
      </c>
      <c r="AB2137" t="s">
        <v>8589</v>
      </c>
      <c r="AC2137" t="s">
        <v>8590</v>
      </c>
      <c r="AD2137" t="s">
        <v>8591</v>
      </c>
      <c r="AE2137" t="s">
        <v>8592</v>
      </c>
      <c r="AF2137" t="s">
        <v>8593</v>
      </c>
      <c r="AG2137" t="s">
        <v>3903</v>
      </c>
      <c r="AH2137" t="s">
        <v>3902</v>
      </c>
      <c r="AI2137" t="s">
        <v>3902</v>
      </c>
      <c r="AJ2137" t="s">
        <v>66</v>
      </c>
      <c r="AK2137">
        <v>1</v>
      </c>
      <c r="AL2137" t="s">
        <v>8750</v>
      </c>
      <c r="AM2137" t="s">
        <v>8751</v>
      </c>
      <c r="AN2137" t="s">
        <v>8752</v>
      </c>
      <c r="AO2137" t="s">
        <v>66</v>
      </c>
      <c r="AP2137">
        <v>1</v>
      </c>
      <c r="AQ2137" t="s">
        <v>8753</v>
      </c>
      <c r="AR2137" t="s">
        <v>8754</v>
      </c>
      <c r="AS2137" t="s">
        <v>8835</v>
      </c>
      <c r="AT2137" t="s">
        <v>66</v>
      </c>
    </row>
    <row r="2138" spans="1:46" x14ac:dyDescent="0.15">
      <c r="A2138" t="s">
        <v>8888</v>
      </c>
      <c r="B2138" t="s">
        <v>8584</v>
      </c>
      <c r="C2138" t="s">
        <v>8585</v>
      </c>
      <c r="D2138">
        <v>74</v>
      </c>
      <c r="E2138" t="s">
        <v>8586</v>
      </c>
      <c r="F2138" t="s">
        <v>50</v>
      </c>
      <c r="G2138" t="s">
        <v>51</v>
      </c>
      <c r="H2138" t="s">
        <v>8587</v>
      </c>
      <c r="I2138" t="s">
        <v>720</v>
      </c>
      <c r="J2138" t="s">
        <v>4518</v>
      </c>
      <c r="K2138" t="s">
        <v>3594</v>
      </c>
      <c r="L2138" t="s">
        <v>19</v>
      </c>
      <c r="M2138" t="s">
        <v>16</v>
      </c>
      <c r="N2138">
        <v>4597</v>
      </c>
      <c r="O2138">
        <v>261</v>
      </c>
      <c r="P2138">
        <v>0</v>
      </c>
      <c r="Q2138" t="s">
        <v>8889</v>
      </c>
      <c r="R2138" t="s">
        <v>8890</v>
      </c>
      <c r="S2138" t="s">
        <v>4821</v>
      </c>
      <c r="T2138" t="s">
        <v>8891</v>
      </c>
      <c r="U2138" t="s">
        <v>60</v>
      </c>
      <c r="V2138" t="s">
        <v>61</v>
      </c>
      <c r="W2138">
        <v>3</v>
      </c>
      <c r="X2138">
        <v>0.13387499999999999</v>
      </c>
      <c r="Y2138" t="s">
        <v>549</v>
      </c>
      <c r="Z2138" t="s">
        <v>550</v>
      </c>
      <c r="AA2138">
        <v>3</v>
      </c>
      <c r="AB2138" t="s">
        <v>8589</v>
      </c>
      <c r="AC2138" t="s">
        <v>8590</v>
      </c>
      <c r="AD2138" t="s">
        <v>8591</v>
      </c>
      <c r="AE2138" t="s">
        <v>8592</v>
      </c>
      <c r="AF2138" t="s">
        <v>8593</v>
      </c>
      <c r="AG2138" t="s">
        <v>3903</v>
      </c>
      <c r="AH2138" t="s">
        <v>3902</v>
      </c>
      <c r="AI2138" t="s">
        <v>3902</v>
      </c>
      <c r="AJ2138" t="s">
        <v>66</v>
      </c>
      <c r="AK2138">
        <v>1</v>
      </c>
      <c r="AL2138" t="s">
        <v>8750</v>
      </c>
      <c r="AM2138" t="s">
        <v>8751</v>
      </c>
      <c r="AN2138" t="s">
        <v>8752</v>
      </c>
      <c r="AO2138" t="s">
        <v>66</v>
      </c>
      <c r="AP2138">
        <v>1</v>
      </c>
      <c r="AQ2138" t="s">
        <v>8753</v>
      </c>
      <c r="AR2138" t="s">
        <v>8754</v>
      </c>
      <c r="AS2138" t="s">
        <v>8835</v>
      </c>
      <c r="AT2138" t="s">
        <v>66</v>
      </c>
    </row>
    <row r="2139" spans="1:46" x14ac:dyDescent="0.15">
      <c r="A2139" t="s">
        <v>8892</v>
      </c>
      <c r="B2139" t="s">
        <v>8584</v>
      </c>
      <c r="C2139" t="s">
        <v>8585</v>
      </c>
      <c r="D2139">
        <v>75</v>
      </c>
      <c r="E2139" t="s">
        <v>8586</v>
      </c>
      <c r="F2139" t="s">
        <v>50</v>
      </c>
      <c r="G2139" t="s">
        <v>51</v>
      </c>
      <c r="H2139" t="s">
        <v>8587</v>
      </c>
      <c r="I2139" t="s">
        <v>720</v>
      </c>
      <c r="J2139" t="s">
        <v>4518</v>
      </c>
      <c r="K2139" t="s">
        <v>3594</v>
      </c>
      <c r="L2139" t="s">
        <v>19</v>
      </c>
      <c r="M2139" t="s">
        <v>16</v>
      </c>
      <c r="N2139">
        <v>4653</v>
      </c>
      <c r="O2139">
        <v>264</v>
      </c>
      <c r="P2139">
        <v>0</v>
      </c>
      <c r="Q2139" t="s">
        <v>8893</v>
      </c>
      <c r="R2139" t="s">
        <v>8894</v>
      </c>
      <c r="S2139" t="s">
        <v>4825</v>
      </c>
      <c r="T2139" t="s">
        <v>8895</v>
      </c>
      <c r="U2139" t="s">
        <v>60</v>
      </c>
      <c r="V2139" t="s">
        <v>61</v>
      </c>
      <c r="W2139">
        <v>3</v>
      </c>
      <c r="X2139">
        <v>0.13387499999999999</v>
      </c>
      <c r="Y2139" t="s">
        <v>308</v>
      </c>
      <c r="Z2139" t="s">
        <v>556</v>
      </c>
      <c r="AA2139">
        <v>3</v>
      </c>
      <c r="AB2139" t="s">
        <v>8589</v>
      </c>
      <c r="AC2139" t="s">
        <v>8590</v>
      </c>
      <c r="AD2139" t="s">
        <v>8591</v>
      </c>
      <c r="AE2139" t="s">
        <v>8592</v>
      </c>
      <c r="AF2139" t="s">
        <v>8593</v>
      </c>
      <c r="AG2139" t="s">
        <v>3903</v>
      </c>
      <c r="AH2139" t="s">
        <v>3902</v>
      </c>
      <c r="AI2139" t="s">
        <v>3902</v>
      </c>
      <c r="AJ2139" t="s">
        <v>66</v>
      </c>
      <c r="AK2139">
        <v>1</v>
      </c>
      <c r="AL2139" t="s">
        <v>8750</v>
      </c>
      <c r="AM2139" t="s">
        <v>8751</v>
      </c>
      <c r="AN2139" t="s">
        <v>8752</v>
      </c>
      <c r="AO2139" t="s">
        <v>66</v>
      </c>
      <c r="AP2139">
        <v>1</v>
      </c>
      <c r="AQ2139" t="s">
        <v>8753</v>
      </c>
      <c r="AR2139" t="s">
        <v>8754</v>
      </c>
      <c r="AS2139" t="s">
        <v>8835</v>
      </c>
      <c r="AT2139" t="s">
        <v>66</v>
      </c>
    </row>
    <row r="2140" spans="1:46" x14ac:dyDescent="0.15">
      <c r="A2140" t="s">
        <v>8896</v>
      </c>
      <c r="B2140" t="s">
        <v>8584</v>
      </c>
      <c r="C2140" t="s">
        <v>8585</v>
      </c>
      <c r="D2140">
        <v>76</v>
      </c>
      <c r="E2140" t="s">
        <v>8586</v>
      </c>
      <c r="F2140" t="s">
        <v>50</v>
      </c>
      <c r="G2140" t="s">
        <v>51</v>
      </c>
      <c r="H2140" t="s">
        <v>8587</v>
      </c>
      <c r="I2140" t="s">
        <v>720</v>
      </c>
      <c r="J2140" t="s">
        <v>4518</v>
      </c>
      <c r="K2140" t="s">
        <v>3594</v>
      </c>
      <c r="L2140" t="s">
        <v>19</v>
      </c>
      <c r="M2140" t="s">
        <v>16</v>
      </c>
      <c r="N2140">
        <v>4709</v>
      </c>
      <c r="O2140">
        <v>267</v>
      </c>
      <c r="P2140">
        <v>0</v>
      </c>
      <c r="Q2140" t="s">
        <v>8897</v>
      </c>
      <c r="R2140" t="s">
        <v>8898</v>
      </c>
      <c r="S2140" t="s">
        <v>4829</v>
      </c>
      <c r="T2140" t="s">
        <v>8899</v>
      </c>
      <c r="U2140" t="s">
        <v>60</v>
      </c>
      <c r="V2140" t="s">
        <v>61</v>
      </c>
      <c r="W2140">
        <v>3</v>
      </c>
      <c r="X2140">
        <v>0.13387499999999999</v>
      </c>
      <c r="Y2140" t="s">
        <v>562</v>
      </c>
      <c r="Z2140" t="s">
        <v>563</v>
      </c>
      <c r="AA2140">
        <v>3</v>
      </c>
      <c r="AB2140" t="s">
        <v>8589</v>
      </c>
      <c r="AC2140" t="s">
        <v>8590</v>
      </c>
      <c r="AD2140" t="s">
        <v>8591</v>
      </c>
      <c r="AE2140" t="s">
        <v>8592</v>
      </c>
      <c r="AF2140" t="s">
        <v>8593</v>
      </c>
      <c r="AG2140" t="s">
        <v>3903</v>
      </c>
      <c r="AH2140" t="s">
        <v>3902</v>
      </c>
      <c r="AI2140" t="s">
        <v>3902</v>
      </c>
      <c r="AJ2140" t="s">
        <v>66</v>
      </c>
      <c r="AK2140">
        <v>1</v>
      </c>
      <c r="AL2140" t="s">
        <v>8750</v>
      </c>
      <c r="AM2140" t="s">
        <v>8751</v>
      </c>
      <c r="AN2140" t="s">
        <v>8752</v>
      </c>
      <c r="AO2140" t="s">
        <v>66</v>
      </c>
      <c r="AP2140">
        <v>1</v>
      </c>
      <c r="AQ2140" t="s">
        <v>8753</v>
      </c>
      <c r="AR2140" t="s">
        <v>8754</v>
      </c>
      <c r="AS2140" t="s">
        <v>8835</v>
      </c>
      <c r="AT2140" t="s">
        <v>66</v>
      </c>
    </row>
    <row r="2141" spans="1:46" x14ac:dyDescent="0.15">
      <c r="A2141" t="s">
        <v>8900</v>
      </c>
      <c r="B2141" t="s">
        <v>8584</v>
      </c>
      <c r="C2141" t="s">
        <v>8585</v>
      </c>
      <c r="D2141">
        <v>77</v>
      </c>
      <c r="E2141" t="s">
        <v>8586</v>
      </c>
      <c r="F2141" t="s">
        <v>50</v>
      </c>
      <c r="G2141" t="s">
        <v>51</v>
      </c>
      <c r="H2141" t="s">
        <v>8587</v>
      </c>
      <c r="I2141" t="s">
        <v>720</v>
      </c>
      <c r="J2141" t="s">
        <v>4518</v>
      </c>
      <c r="K2141" t="s">
        <v>3594</v>
      </c>
      <c r="L2141" t="s">
        <v>19</v>
      </c>
      <c r="M2141" t="s">
        <v>16</v>
      </c>
      <c r="N2141">
        <v>4765</v>
      </c>
      <c r="O2141">
        <v>271</v>
      </c>
      <c r="P2141">
        <v>0</v>
      </c>
      <c r="Q2141" t="s">
        <v>8901</v>
      </c>
      <c r="R2141" t="s">
        <v>8902</v>
      </c>
      <c r="S2141" t="s">
        <v>4833</v>
      </c>
      <c r="T2141" t="s">
        <v>8903</v>
      </c>
      <c r="U2141" t="s">
        <v>60</v>
      </c>
      <c r="V2141" t="s">
        <v>61</v>
      </c>
      <c r="W2141">
        <v>3</v>
      </c>
      <c r="X2141">
        <v>0.13387499999999999</v>
      </c>
      <c r="Y2141" t="s">
        <v>314</v>
      </c>
      <c r="Z2141" t="s">
        <v>569</v>
      </c>
      <c r="AA2141">
        <v>3</v>
      </c>
      <c r="AB2141" t="s">
        <v>8589</v>
      </c>
      <c r="AC2141" t="s">
        <v>8590</v>
      </c>
      <c r="AD2141" t="s">
        <v>8591</v>
      </c>
      <c r="AE2141" t="s">
        <v>8592</v>
      </c>
      <c r="AF2141" t="s">
        <v>8593</v>
      </c>
      <c r="AG2141" t="s">
        <v>3903</v>
      </c>
      <c r="AH2141" t="s">
        <v>3902</v>
      </c>
      <c r="AI2141" t="s">
        <v>3902</v>
      </c>
      <c r="AJ2141" t="s">
        <v>66</v>
      </c>
      <c r="AK2141">
        <v>1</v>
      </c>
      <c r="AL2141" t="s">
        <v>8750</v>
      </c>
      <c r="AM2141" t="s">
        <v>8751</v>
      </c>
      <c r="AN2141" t="s">
        <v>8752</v>
      </c>
      <c r="AO2141" t="s">
        <v>66</v>
      </c>
      <c r="AP2141">
        <v>1</v>
      </c>
      <c r="AQ2141" t="s">
        <v>8753</v>
      </c>
      <c r="AR2141" t="s">
        <v>8754</v>
      </c>
      <c r="AS2141" t="s">
        <v>8835</v>
      </c>
      <c r="AT2141" t="s">
        <v>66</v>
      </c>
    </row>
    <row r="2142" spans="1:46" x14ac:dyDescent="0.15">
      <c r="A2142" t="s">
        <v>8904</v>
      </c>
      <c r="B2142" t="s">
        <v>8584</v>
      </c>
      <c r="C2142" t="s">
        <v>8585</v>
      </c>
      <c r="D2142">
        <v>78</v>
      </c>
      <c r="E2142" t="s">
        <v>8586</v>
      </c>
      <c r="F2142" t="s">
        <v>50</v>
      </c>
      <c r="G2142" t="s">
        <v>51</v>
      </c>
      <c r="H2142" t="s">
        <v>8587</v>
      </c>
      <c r="I2142" t="s">
        <v>720</v>
      </c>
      <c r="J2142" t="s">
        <v>4518</v>
      </c>
      <c r="K2142" t="s">
        <v>3594</v>
      </c>
      <c r="L2142" t="s">
        <v>19</v>
      </c>
      <c r="M2142" t="s">
        <v>16</v>
      </c>
      <c r="N2142">
        <v>4821</v>
      </c>
      <c r="O2142">
        <v>274</v>
      </c>
      <c r="P2142">
        <v>0</v>
      </c>
      <c r="Q2142" t="s">
        <v>8905</v>
      </c>
      <c r="R2142" t="s">
        <v>8906</v>
      </c>
      <c r="S2142" t="s">
        <v>4837</v>
      </c>
      <c r="T2142" t="s">
        <v>8907</v>
      </c>
      <c r="U2142" t="s">
        <v>60</v>
      </c>
      <c r="V2142" t="s">
        <v>61</v>
      </c>
      <c r="W2142">
        <v>3</v>
      </c>
      <c r="X2142">
        <v>0.13387499999999999</v>
      </c>
      <c r="Y2142" t="s">
        <v>575</v>
      </c>
      <c r="Z2142" t="s">
        <v>576</v>
      </c>
      <c r="AA2142">
        <v>3</v>
      </c>
      <c r="AB2142" t="s">
        <v>8589</v>
      </c>
      <c r="AC2142" t="s">
        <v>8590</v>
      </c>
      <c r="AD2142" t="s">
        <v>8591</v>
      </c>
      <c r="AE2142" t="s">
        <v>8592</v>
      </c>
      <c r="AF2142" t="s">
        <v>8593</v>
      </c>
      <c r="AG2142" t="s">
        <v>3903</v>
      </c>
      <c r="AH2142" t="s">
        <v>3902</v>
      </c>
      <c r="AI2142" t="s">
        <v>3902</v>
      </c>
      <c r="AJ2142" t="s">
        <v>66</v>
      </c>
      <c r="AK2142">
        <v>1</v>
      </c>
      <c r="AL2142" t="s">
        <v>8750</v>
      </c>
      <c r="AM2142" t="s">
        <v>8751</v>
      </c>
      <c r="AN2142" t="s">
        <v>8752</v>
      </c>
      <c r="AO2142" t="s">
        <v>66</v>
      </c>
      <c r="AP2142">
        <v>1</v>
      </c>
      <c r="AQ2142" t="s">
        <v>8753</v>
      </c>
      <c r="AR2142" t="s">
        <v>8754</v>
      </c>
      <c r="AS2142" t="s">
        <v>8835</v>
      </c>
      <c r="AT2142" t="s">
        <v>66</v>
      </c>
    </row>
    <row r="2143" spans="1:46" x14ac:dyDescent="0.15">
      <c r="A2143" t="s">
        <v>8908</v>
      </c>
      <c r="B2143" t="s">
        <v>8584</v>
      </c>
      <c r="C2143" t="s">
        <v>8585</v>
      </c>
      <c r="D2143">
        <v>79</v>
      </c>
      <c r="E2143" t="s">
        <v>8586</v>
      </c>
      <c r="F2143" t="s">
        <v>50</v>
      </c>
      <c r="G2143" t="s">
        <v>51</v>
      </c>
      <c r="H2143" t="s">
        <v>8587</v>
      </c>
      <c r="I2143" t="s">
        <v>720</v>
      </c>
      <c r="J2143" t="s">
        <v>4518</v>
      </c>
      <c r="K2143" t="s">
        <v>3594</v>
      </c>
      <c r="L2143" t="s">
        <v>19</v>
      </c>
      <c r="M2143" t="s">
        <v>16</v>
      </c>
      <c r="N2143">
        <v>4878</v>
      </c>
      <c r="O2143">
        <v>277</v>
      </c>
      <c r="P2143">
        <v>0</v>
      </c>
      <c r="Q2143" t="s">
        <v>8909</v>
      </c>
      <c r="R2143" t="s">
        <v>8910</v>
      </c>
      <c r="S2143" t="s">
        <v>4841</v>
      </c>
      <c r="T2143" t="s">
        <v>8911</v>
      </c>
      <c r="U2143" t="s">
        <v>60</v>
      </c>
      <c r="V2143" t="s">
        <v>61</v>
      </c>
      <c r="W2143">
        <v>3</v>
      </c>
      <c r="X2143">
        <v>0.13387499999999999</v>
      </c>
      <c r="Y2143" t="s">
        <v>321</v>
      </c>
      <c r="Z2143" t="s">
        <v>582</v>
      </c>
      <c r="AA2143">
        <v>3</v>
      </c>
      <c r="AB2143" t="s">
        <v>8589</v>
      </c>
      <c r="AC2143" t="s">
        <v>8590</v>
      </c>
      <c r="AD2143" t="s">
        <v>8591</v>
      </c>
      <c r="AE2143" t="s">
        <v>8592</v>
      </c>
      <c r="AF2143" t="s">
        <v>8593</v>
      </c>
      <c r="AG2143" t="s">
        <v>3903</v>
      </c>
      <c r="AH2143" t="s">
        <v>3902</v>
      </c>
      <c r="AI2143" t="s">
        <v>3902</v>
      </c>
      <c r="AJ2143" t="s">
        <v>66</v>
      </c>
      <c r="AK2143">
        <v>1</v>
      </c>
      <c r="AL2143" t="s">
        <v>8750</v>
      </c>
      <c r="AM2143" t="s">
        <v>8751</v>
      </c>
      <c r="AN2143" t="s">
        <v>8752</v>
      </c>
      <c r="AO2143" t="s">
        <v>66</v>
      </c>
      <c r="AP2143">
        <v>1</v>
      </c>
      <c r="AQ2143" t="s">
        <v>8753</v>
      </c>
      <c r="AR2143" t="s">
        <v>8754</v>
      </c>
      <c r="AS2143" t="s">
        <v>8835</v>
      </c>
      <c r="AT2143" t="s">
        <v>66</v>
      </c>
    </row>
    <row r="2144" spans="1:46" x14ac:dyDescent="0.15">
      <c r="A2144" t="s">
        <v>8912</v>
      </c>
      <c r="B2144" t="s">
        <v>8584</v>
      </c>
      <c r="C2144" t="s">
        <v>8585</v>
      </c>
      <c r="D2144">
        <v>80</v>
      </c>
      <c r="E2144" t="s">
        <v>8586</v>
      </c>
      <c r="F2144" t="s">
        <v>50</v>
      </c>
      <c r="G2144" t="s">
        <v>51</v>
      </c>
      <c r="H2144" t="s">
        <v>8587</v>
      </c>
      <c r="I2144" t="s">
        <v>720</v>
      </c>
      <c r="J2144" t="s">
        <v>4518</v>
      </c>
      <c r="K2144" t="s">
        <v>3594</v>
      </c>
      <c r="L2144" t="s">
        <v>19</v>
      </c>
      <c r="M2144" t="s">
        <v>16</v>
      </c>
      <c r="N2144">
        <v>4934</v>
      </c>
      <c r="O2144">
        <v>280</v>
      </c>
      <c r="P2144">
        <v>0</v>
      </c>
      <c r="Q2144" t="s">
        <v>8913</v>
      </c>
      <c r="R2144" t="s">
        <v>8914</v>
      </c>
      <c r="S2144" t="s">
        <v>4845</v>
      </c>
      <c r="T2144" t="s">
        <v>8915</v>
      </c>
      <c r="U2144" t="s">
        <v>60</v>
      </c>
      <c r="V2144" t="s">
        <v>61</v>
      </c>
      <c r="W2144">
        <v>3</v>
      </c>
      <c r="X2144">
        <v>0.13387499999999999</v>
      </c>
      <c r="Y2144" t="s">
        <v>588</v>
      </c>
      <c r="Z2144" t="s">
        <v>589</v>
      </c>
      <c r="AA2144">
        <v>3</v>
      </c>
      <c r="AB2144" t="s">
        <v>8589</v>
      </c>
      <c r="AC2144" t="s">
        <v>8590</v>
      </c>
      <c r="AD2144" t="s">
        <v>8591</v>
      </c>
      <c r="AE2144" t="s">
        <v>8592</v>
      </c>
      <c r="AF2144" t="s">
        <v>8593</v>
      </c>
      <c r="AG2144" t="s">
        <v>3903</v>
      </c>
      <c r="AH2144" t="s">
        <v>3902</v>
      </c>
      <c r="AI2144" t="s">
        <v>3902</v>
      </c>
      <c r="AJ2144" t="s">
        <v>66</v>
      </c>
      <c r="AK2144">
        <v>1</v>
      </c>
      <c r="AL2144" t="s">
        <v>8750</v>
      </c>
      <c r="AM2144" t="s">
        <v>8751</v>
      </c>
      <c r="AN2144" t="s">
        <v>8752</v>
      </c>
      <c r="AO2144" t="s">
        <v>66</v>
      </c>
      <c r="AP2144">
        <v>1</v>
      </c>
      <c r="AQ2144" t="s">
        <v>8753</v>
      </c>
      <c r="AR2144" t="s">
        <v>8754</v>
      </c>
      <c r="AS2144" t="s">
        <v>8835</v>
      </c>
      <c r="AT2144" t="s">
        <v>66</v>
      </c>
    </row>
    <row r="2145" spans="1:46" x14ac:dyDescent="0.15">
      <c r="A2145" t="s">
        <v>8912</v>
      </c>
      <c r="B2145" t="s">
        <v>8584</v>
      </c>
      <c r="C2145" t="s">
        <v>8585</v>
      </c>
      <c r="D2145">
        <v>80</v>
      </c>
      <c r="E2145" t="s">
        <v>8586</v>
      </c>
      <c r="F2145" t="s">
        <v>50</v>
      </c>
      <c r="G2145" t="s">
        <v>51</v>
      </c>
      <c r="H2145" t="s">
        <v>8587</v>
      </c>
      <c r="I2145" t="s">
        <v>720</v>
      </c>
      <c r="J2145" t="s">
        <v>4518</v>
      </c>
      <c r="K2145" t="s">
        <v>3594</v>
      </c>
      <c r="L2145" t="s">
        <v>19</v>
      </c>
      <c r="M2145" t="s">
        <v>16</v>
      </c>
      <c r="N2145">
        <v>4934</v>
      </c>
      <c r="O2145">
        <v>280</v>
      </c>
      <c r="P2145">
        <v>0</v>
      </c>
      <c r="Q2145" t="s">
        <v>8913</v>
      </c>
      <c r="R2145" t="s">
        <v>8914</v>
      </c>
      <c r="S2145" t="s">
        <v>4845</v>
      </c>
      <c r="T2145" t="s">
        <v>8915</v>
      </c>
      <c r="U2145" t="s">
        <v>60</v>
      </c>
      <c r="V2145" t="s">
        <v>61</v>
      </c>
      <c r="W2145">
        <v>3</v>
      </c>
      <c r="X2145">
        <v>0.13387499999999999</v>
      </c>
      <c r="Y2145" t="s">
        <v>588</v>
      </c>
      <c r="Z2145" t="s">
        <v>589</v>
      </c>
      <c r="AA2145">
        <v>4</v>
      </c>
      <c r="AB2145" t="s">
        <v>8589</v>
      </c>
      <c r="AC2145" t="s">
        <v>8590</v>
      </c>
      <c r="AD2145" t="s">
        <v>8591</v>
      </c>
      <c r="AE2145" t="s">
        <v>8592</v>
      </c>
      <c r="AF2145" t="s">
        <v>8593</v>
      </c>
      <c r="AG2145" t="s">
        <v>3903</v>
      </c>
      <c r="AH2145" t="s">
        <v>3902</v>
      </c>
      <c r="AI2145" t="s">
        <v>3902</v>
      </c>
      <c r="AJ2145" t="s">
        <v>4006</v>
      </c>
      <c r="AK2145">
        <v>1</v>
      </c>
      <c r="AL2145" t="s">
        <v>8750</v>
      </c>
      <c r="AM2145" t="s">
        <v>8751</v>
      </c>
      <c r="AN2145" t="s">
        <v>8752</v>
      </c>
      <c r="AO2145" t="s">
        <v>66</v>
      </c>
      <c r="AP2145">
        <v>1</v>
      </c>
      <c r="AQ2145" t="s">
        <v>8753</v>
      </c>
      <c r="AR2145" t="s">
        <v>8754</v>
      </c>
      <c r="AS2145" t="s">
        <v>8835</v>
      </c>
      <c r="AT2145" t="s">
        <v>66</v>
      </c>
    </row>
    <row r="2146" spans="1:46" x14ac:dyDescent="0.15">
      <c r="A2146" t="s">
        <v>8916</v>
      </c>
      <c r="B2146" t="s">
        <v>8584</v>
      </c>
      <c r="C2146" t="s">
        <v>8585</v>
      </c>
      <c r="D2146">
        <v>81</v>
      </c>
      <c r="E2146" t="s">
        <v>8586</v>
      </c>
      <c r="F2146" t="s">
        <v>50</v>
      </c>
      <c r="G2146" t="s">
        <v>51</v>
      </c>
      <c r="H2146" t="s">
        <v>8587</v>
      </c>
      <c r="I2146" t="s">
        <v>720</v>
      </c>
      <c r="J2146" t="s">
        <v>4518</v>
      </c>
      <c r="K2146" t="s">
        <v>3594</v>
      </c>
      <c r="L2146" t="s">
        <v>19</v>
      </c>
      <c r="M2146" t="s">
        <v>16</v>
      </c>
      <c r="N2146">
        <v>4990</v>
      </c>
      <c r="O2146">
        <v>283</v>
      </c>
      <c r="P2146">
        <v>0</v>
      </c>
      <c r="Q2146" t="s">
        <v>8917</v>
      </c>
      <c r="R2146" t="s">
        <v>8918</v>
      </c>
      <c r="S2146" t="s">
        <v>4849</v>
      </c>
      <c r="T2146" t="s">
        <v>8919</v>
      </c>
      <c r="U2146" t="s">
        <v>60</v>
      </c>
      <c r="V2146" t="s">
        <v>61</v>
      </c>
      <c r="W2146">
        <v>3</v>
      </c>
      <c r="X2146">
        <v>0.13387499999999999</v>
      </c>
      <c r="Y2146" t="s">
        <v>330</v>
      </c>
      <c r="Z2146" t="s">
        <v>596</v>
      </c>
      <c r="AA2146">
        <v>4</v>
      </c>
      <c r="AB2146" t="s">
        <v>8589</v>
      </c>
      <c r="AC2146" t="s">
        <v>8590</v>
      </c>
      <c r="AD2146" t="s">
        <v>8591</v>
      </c>
      <c r="AE2146" t="s">
        <v>8592</v>
      </c>
      <c r="AF2146" t="s">
        <v>8593</v>
      </c>
      <c r="AG2146" t="s">
        <v>3903</v>
      </c>
      <c r="AH2146" t="s">
        <v>3902</v>
      </c>
      <c r="AI2146" t="s">
        <v>3902</v>
      </c>
      <c r="AJ2146" t="s">
        <v>4006</v>
      </c>
      <c r="AK2146">
        <v>1</v>
      </c>
      <c r="AL2146" t="s">
        <v>8750</v>
      </c>
      <c r="AM2146" t="s">
        <v>8751</v>
      </c>
      <c r="AN2146" t="s">
        <v>8752</v>
      </c>
      <c r="AO2146" t="s">
        <v>66</v>
      </c>
      <c r="AP2146">
        <v>1</v>
      </c>
      <c r="AQ2146" t="s">
        <v>8753</v>
      </c>
      <c r="AR2146" t="s">
        <v>8754</v>
      </c>
      <c r="AS2146" t="s">
        <v>8835</v>
      </c>
      <c r="AT2146" t="s">
        <v>66</v>
      </c>
    </row>
    <row r="2147" spans="1:46" x14ac:dyDescent="0.15">
      <c r="A2147" t="s">
        <v>8920</v>
      </c>
      <c r="B2147" t="s">
        <v>8584</v>
      </c>
      <c r="C2147" t="s">
        <v>8585</v>
      </c>
      <c r="D2147">
        <v>82</v>
      </c>
      <c r="E2147" t="s">
        <v>8586</v>
      </c>
      <c r="F2147" t="s">
        <v>50</v>
      </c>
      <c r="G2147" t="s">
        <v>51</v>
      </c>
      <c r="H2147" t="s">
        <v>8587</v>
      </c>
      <c r="I2147" t="s">
        <v>720</v>
      </c>
      <c r="J2147" t="s">
        <v>4518</v>
      </c>
      <c r="K2147" t="s">
        <v>3594</v>
      </c>
      <c r="L2147" t="s">
        <v>19</v>
      </c>
      <c r="M2147" t="s">
        <v>16</v>
      </c>
      <c r="N2147">
        <v>5046</v>
      </c>
      <c r="O2147">
        <v>286</v>
      </c>
      <c r="P2147">
        <v>0</v>
      </c>
      <c r="Q2147" t="s">
        <v>8921</v>
      </c>
      <c r="R2147" t="s">
        <v>8922</v>
      </c>
      <c r="S2147" t="s">
        <v>4853</v>
      </c>
      <c r="T2147" t="s">
        <v>8923</v>
      </c>
      <c r="U2147" t="s">
        <v>60</v>
      </c>
      <c r="V2147" t="s">
        <v>61</v>
      </c>
      <c r="W2147">
        <v>3</v>
      </c>
      <c r="X2147">
        <v>0.13387499999999999</v>
      </c>
      <c r="Y2147" t="s">
        <v>602</v>
      </c>
      <c r="Z2147" t="s">
        <v>603</v>
      </c>
      <c r="AA2147">
        <v>4</v>
      </c>
      <c r="AB2147" t="s">
        <v>8589</v>
      </c>
      <c r="AC2147" t="s">
        <v>8590</v>
      </c>
      <c r="AD2147" t="s">
        <v>8591</v>
      </c>
      <c r="AE2147" t="s">
        <v>8592</v>
      </c>
      <c r="AF2147" t="s">
        <v>8593</v>
      </c>
      <c r="AG2147" t="s">
        <v>3903</v>
      </c>
      <c r="AH2147" t="s">
        <v>3902</v>
      </c>
      <c r="AI2147" t="s">
        <v>3902</v>
      </c>
      <c r="AJ2147" t="s">
        <v>4006</v>
      </c>
      <c r="AK2147">
        <v>1</v>
      </c>
      <c r="AL2147" t="s">
        <v>8750</v>
      </c>
      <c r="AM2147" t="s">
        <v>8751</v>
      </c>
      <c r="AN2147" t="s">
        <v>8752</v>
      </c>
      <c r="AO2147" t="s">
        <v>66</v>
      </c>
      <c r="AP2147">
        <v>1</v>
      </c>
      <c r="AQ2147" t="s">
        <v>8753</v>
      </c>
      <c r="AR2147" t="s">
        <v>8754</v>
      </c>
      <c r="AS2147" t="s">
        <v>8835</v>
      </c>
      <c r="AT2147" t="s">
        <v>66</v>
      </c>
    </row>
    <row r="2148" spans="1:46" x14ac:dyDescent="0.15">
      <c r="A2148" t="s">
        <v>8924</v>
      </c>
      <c r="B2148" t="s">
        <v>8584</v>
      </c>
      <c r="C2148" t="s">
        <v>8585</v>
      </c>
      <c r="D2148">
        <v>83</v>
      </c>
      <c r="E2148" t="s">
        <v>8586</v>
      </c>
      <c r="F2148" t="s">
        <v>50</v>
      </c>
      <c r="G2148" t="s">
        <v>51</v>
      </c>
      <c r="H2148" t="s">
        <v>8587</v>
      </c>
      <c r="I2148" t="s">
        <v>720</v>
      </c>
      <c r="J2148" t="s">
        <v>4518</v>
      </c>
      <c r="K2148" t="s">
        <v>3594</v>
      </c>
      <c r="L2148" t="s">
        <v>19</v>
      </c>
      <c r="M2148" t="s">
        <v>16</v>
      </c>
      <c r="N2148">
        <v>5102</v>
      </c>
      <c r="O2148">
        <v>290</v>
      </c>
      <c r="P2148">
        <v>0</v>
      </c>
      <c r="Q2148" t="s">
        <v>8925</v>
      </c>
      <c r="R2148" t="s">
        <v>8926</v>
      </c>
      <c r="S2148" t="s">
        <v>4857</v>
      </c>
      <c r="T2148" t="s">
        <v>8927</v>
      </c>
      <c r="U2148" t="s">
        <v>60</v>
      </c>
      <c r="V2148" t="s">
        <v>61</v>
      </c>
      <c r="W2148">
        <v>3</v>
      </c>
      <c r="X2148">
        <v>0.13387499999999999</v>
      </c>
      <c r="Y2148" t="s">
        <v>337</v>
      </c>
      <c r="Z2148" t="s">
        <v>609</v>
      </c>
      <c r="AA2148">
        <v>4</v>
      </c>
      <c r="AB2148" t="s">
        <v>8589</v>
      </c>
      <c r="AC2148" t="s">
        <v>8590</v>
      </c>
      <c r="AD2148" t="s">
        <v>8591</v>
      </c>
      <c r="AE2148" t="s">
        <v>8592</v>
      </c>
      <c r="AF2148" t="s">
        <v>8593</v>
      </c>
      <c r="AG2148" t="s">
        <v>3903</v>
      </c>
      <c r="AH2148" t="s">
        <v>3902</v>
      </c>
      <c r="AI2148" t="s">
        <v>3902</v>
      </c>
      <c r="AJ2148" t="s">
        <v>4006</v>
      </c>
      <c r="AK2148">
        <v>1</v>
      </c>
      <c r="AL2148" t="s">
        <v>8750</v>
      </c>
      <c r="AM2148" t="s">
        <v>8751</v>
      </c>
      <c r="AN2148" t="s">
        <v>8752</v>
      </c>
      <c r="AO2148" t="s">
        <v>66</v>
      </c>
      <c r="AP2148">
        <v>1</v>
      </c>
      <c r="AQ2148" t="s">
        <v>8753</v>
      </c>
      <c r="AR2148" t="s">
        <v>8754</v>
      </c>
      <c r="AS2148" t="s">
        <v>8835</v>
      </c>
      <c r="AT2148" t="s">
        <v>66</v>
      </c>
    </row>
    <row r="2149" spans="1:46" x14ac:dyDescent="0.15">
      <c r="A2149" t="s">
        <v>8928</v>
      </c>
      <c r="B2149" t="s">
        <v>8584</v>
      </c>
      <c r="C2149" t="s">
        <v>8585</v>
      </c>
      <c r="D2149">
        <v>84</v>
      </c>
      <c r="E2149" t="s">
        <v>8586</v>
      </c>
      <c r="F2149" t="s">
        <v>50</v>
      </c>
      <c r="G2149" t="s">
        <v>51</v>
      </c>
      <c r="H2149" t="s">
        <v>8587</v>
      </c>
      <c r="I2149" t="s">
        <v>720</v>
      </c>
      <c r="J2149" t="s">
        <v>4518</v>
      </c>
      <c r="K2149" t="s">
        <v>3594</v>
      </c>
      <c r="L2149" t="s">
        <v>19</v>
      </c>
      <c r="M2149" t="s">
        <v>16</v>
      </c>
      <c r="N2149">
        <v>5158</v>
      </c>
      <c r="O2149">
        <v>293</v>
      </c>
      <c r="P2149">
        <v>0</v>
      </c>
      <c r="Q2149" t="s">
        <v>8929</v>
      </c>
      <c r="R2149" t="s">
        <v>8930</v>
      </c>
      <c r="S2149" t="s">
        <v>4861</v>
      </c>
      <c r="T2149" t="s">
        <v>8931</v>
      </c>
      <c r="U2149" t="s">
        <v>60</v>
      </c>
      <c r="V2149" t="s">
        <v>61</v>
      </c>
      <c r="W2149">
        <v>3</v>
      </c>
      <c r="X2149">
        <v>0.13387499999999999</v>
      </c>
      <c r="Y2149" t="s">
        <v>615</v>
      </c>
      <c r="Z2149" t="s">
        <v>616</v>
      </c>
      <c r="AA2149">
        <v>4</v>
      </c>
      <c r="AB2149" t="s">
        <v>8589</v>
      </c>
      <c r="AC2149" t="s">
        <v>8590</v>
      </c>
      <c r="AD2149" t="s">
        <v>8591</v>
      </c>
      <c r="AE2149" t="s">
        <v>8592</v>
      </c>
      <c r="AF2149" t="s">
        <v>8593</v>
      </c>
      <c r="AG2149" t="s">
        <v>3903</v>
      </c>
      <c r="AH2149" t="s">
        <v>3902</v>
      </c>
      <c r="AI2149" t="s">
        <v>3902</v>
      </c>
      <c r="AJ2149" t="s">
        <v>4006</v>
      </c>
      <c r="AK2149">
        <v>1</v>
      </c>
      <c r="AL2149" t="s">
        <v>8750</v>
      </c>
      <c r="AM2149" t="s">
        <v>8751</v>
      </c>
      <c r="AN2149" t="s">
        <v>8752</v>
      </c>
      <c r="AO2149" t="s">
        <v>66</v>
      </c>
      <c r="AP2149">
        <v>1</v>
      </c>
      <c r="AQ2149" t="s">
        <v>8753</v>
      </c>
      <c r="AR2149" t="s">
        <v>8754</v>
      </c>
      <c r="AS2149" t="s">
        <v>8835</v>
      </c>
      <c r="AT2149" t="s">
        <v>66</v>
      </c>
    </row>
    <row r="2150" spans="1:46" x14ac:dyDescent="0.15">
      <c r="A2150" t="s">
        <v>8932</v>
      </c>
      <c r="B2150" t="s">
        <v>8584</v>
      </c>
      <c r="C2150" t="s">
        <v>8585</v>
      </c>
      <c r="D2150">
        <v>85</v>
      </c>
      <c r="E2150" t="s">
        <v>8586</v>
      </c>
      <c r="F2150" t="s">
        <v>50</v>
      </c>
      <c r="G2150" t="s">
        <v>51</v>
      </c>
      <c r="H2150" t="s">
        <v>8587</v>
      </c>
      <c r="I2150" t="s">
        <v>720</v>
      </c>
      <c r="J2150" t="s">
        <v>4518</v>
      </c>
      <c r="K2150" t="s">
        <v>3594</v>
      </c>
      <c r="L2150" t="s">
        <v>19</v>
      </c>
      <c r="M2150" t="s">
        <v>16</v>
      </c>
      <c r="N2150">
        <v>5214</v>
      </c>
      <c r="O2150">
        <v>296</v>
      </c>
      <c r="P2150">
        <v>0</v>
      </c>
      <c r="Q2150" t="s">
        <v>8933</v>
      </c>
      <c r="R2150" t="s">
        <v>8934</v>
      </c>
      <c r="S2150" t="s">
        <v>4865</v>
      </c>
      <c r="T2150" t="s">
        <v>8935</v>
      </c>
      <c r="U2150" t="s">
        <v>60</v>
      </c>
      <c r="V2150" t="s">
        <v>61</v>
      </c>
      <c r="W2150">
        <v>3</v>
      </c>
      <c r="X2150">
        <v>0.13387499999999999</v>
      </c>
      <c r="Y2150" t="s">
        <v>343</v>
      </c>
      <c r="Z2150" t="s">
        <v>622</v>
      </c>
      <c r="AA2150">
        <v>4</v>
      </c>
      <c r="AB2150" t="s">
        <v>8589</v>
      </c>
      <c r="AC2150" t="s">
        <v>8590</v>
      </c>
      <c r="AD2150" t="s">
        <v>8591</v>
      </c>
      <c r="AE2150" t="s">
        <v>8592</v>
      </c>
      <c r="AF2150" t="s">
        <v>8593</v>
      </c>
      <c r="AG2150" t="s">
        <v>3903</v>
      </c>
      <c r="AH2150" t="s">
        <v>3902</v>
      </c>
      <c r="AI2150" t="s">
        <v>3902</v>
      </c>
      <c r="AJ2150" t="s">
        <v>4006</v>
      </c>
      <c r="AK2150">
        <v>1</v>
      </c>
      <c r="AL2150" t="s">
        <v>8750</v>
      </c>
      <c r="AM2150" t="s">
        <v>8751</v>
      </c>
      <c r="AN2150" t="s">
        <v>8752</v>
      </c>
      <c r="AO2150" t="s">
        <v>66</v>
      </c>
      <c r="AP2150">
        <v>1</v>
      </c>
      <c r="AQ2150" t="s">
        <v>8753</v>
      </c>
      <c r="AR2150" t="s">
        <v>8754</v>
      </c>
      <c r="AS2150" t="s">
        <v>8835</v>
      </c>
      <c r="AT2150" t="s">
        <v>66</v>
      </c>
    </row>
    <row r="2151" spans="1:46" x14ac:dyDescent="0.15">
      <c r="A2151" t="s">
        <v>8936</v>
      </c>
      <c r="B2151" t="s">
        <v>8584</v>
      </c>
      <c r="C2151" t="s">
        <v>8585</v>
      </c>
      <c r="D2151">
        <v>86</v>
      </c>
      <c r="E2151" t="s">
        <v>8586</v>
      </c>
      <c r="F2151" t="s">
        <v>50</v>
      </c>
      <c r="G2151" t="s">
        <v>51</v>
      </c>
      <c r="H2151" t="s">
        <v>8587</v>
      </c>
      <c r="I2151" t="s">
        <v>720</v>
      </c>
      <c r="J2151" t="s">
        <v>4518</v>
      </c>
      <c r="K2151" t="s">
        <v>3594</v>
      </c>
      <c r="L2151" t="s">
        <v>19</v>
      </c>
      <c r="M2151" t="s">
        <v>16</v>
      </c>
      <c r="N2151">
        <v>5270</v>
      </c>
      <c r="O2151">
        <v>299</v>
      </c>
      <c r="P2151">
        <v>0</v>
      </c>
      <c r="Q2151" t="s">
        <v>8937</v>
      </c>
      <c r="R2151" t="s">
        <v>8938</v>
      </c>
      <c r="S2151" t="s">
        <v>4869</v>
      </c>
      <c r="T2151" t="s">
        <v>8939</v>
      </c>
      <c r="U2151" t="s">
        <v>60</v>
      </c>
      <c r="V2151" t="s">
        <v>61</v>
      </c>
      <c r="W2151">
        <v>3</v>
      </c>
      <c r="X2151">
        <v>0.13387499999999999</v>
      </c>
      <c r="Y2151" t="s">
        <v>628</v>
      </c>
      <c r="Z2151" t="s">
        <v>629</v>
      </c>
      <c r="AA2151">
        <v>4</v>
      </c>
      <c r="AB2151" t="s">
        <v>8589</v>
      </c>
      <c r="AC2151" t="s">
        <v>8590</v>
      </c>
      <c r="AD2151" t="s">
        <v>8591</v>
      </c>
      <c r="AE2151" t="s">
        <v>8592</v>
      </c>
      <c r="AF2151" t="s">
        <v>8593</v>
      </c>
      <c r="AG2151" t="s">
        <v>3903</v>
      </c>
      <c r="AH2151" t="s">
        <v>3902</v>
      </c>
      <c r="AI2151" t="s">
        <v>3902</v>
      </c>
      <c r="AJ2151" t="s">
        <v>4006</v>
      </c>
      <c r="AK2151">
        <v>1</v>
      </c>
      <c r="AL2151" t="s">
        <v>8750</v>
      </c>
      <c r="AM2151" t="s">
        <v>8751</v>
      </c>
      <c r="AN2151" t="s">
        <v>8752</v>
      </c>
      <c r="AO2151" t="s">
        <v>66</v>
      </c>
      <c r="AP2151">
        <v>1</v>
      </c>
      <c r="AQ2151" t="s">
        <v>8753</v>
      </c>
      <c r="AR2151" t="s">
        <v>8754</v>
      </c>
      <c r="AS2151" t="s">
        <v>8835</v>
      </c>
      <c r="AT2151" t="s">
        <v>66</v>
      </c>
    </row>
    <row r="2152" spans="1:46" x14ac:dyDescent="0.15">
      <c r="A2152" t="s">
        <v>8940</v>
      </c>
      <c r="B2152" t="s">
        <v>8584</v>
      </c>
      <c r="C2152" t="s">
        <v>8585</v>
      </c>
      <c r="D2152">
        <v>87</v>
      </c>
      <c r="E2152" t="s">
        <v>8586</v>
      </c>
      <c r="F2152" t="s">
        <v>50</v>
      </c>
      <c r="G2152" t="s">
        <v>51</v>
      </c>
      <c r="H2152" t="s">
        <v>8587</v>
      </c>
      <c r="I2152" t="s">
        <v>720</v>
      </c>
      <c r="J2152" t="s">
        <v>4518</v>
      </c>
      <c r="K2152" t="s">
        <v>3594</v>
      </c>
      <c r="L2152" t="s">
        <v>19</v>
      </c>
      <c r="M2152" t="s">
        <v>16</v>
      </c>
      <c r="N2152">
        <v>5327</v>
      </c>
      <c r="O2152">
        <v>302</v>
      </c>
      <c r="P2152">
        <v>0</v>
      </c>
      <c r="Q2152" t="s">
        <v>8941</v>
      </c>
      <c r="R2152" t="s">
        <v>8942</v>
      </c>
      <c r="S2152" t="s">
        <v>4872</v>
      </c>
      <c r="T2152" t="s">
        <v>8943</v>
      </c>
      <c r="U2152" t="s">
        <v>60</v>
      </c>
      <c r="V2152" t="s">
        <v>61</v>
      </c>
      <c r="W2152">
        <v>3</v>
      </c>
      <c r="X2152">
        <v>0.13387499999999999</v>
      </c>
      <c r="Y2152" t="s">
        <v>350</v>
      </c>
      <c r="Z2152" t="s">
        <v>635</v>
      </c>
      <c r="AA2152">
        <v>4</v>
      </c>
      <c r="AB2152" t="s">
        <v>8589</v>
      </c>
      <c r="AC2152" t="s">
        <v>8590</v>
      </c>
      <c r="AD2152" t="s">
        <v>8591</v>
      </c>
      <c r="AE2152" t="s">
        <v>8592</v>
      </c>
      <c r="AF2152" t="s">
        <v>8593</v>
      </c>
      <c r="AG2152" t="s">
        <v>3903</v>
      </c>
      <c r="AH2152" t="s">
        <v>3902</v>
      </c>
      <c r="AI2152" t="s">
        <v>3902</v>
      </c>
      <c r="AJ2152" t="s">
        <v>4006</v>
      </c>
      <c r="AK2152">
        <v>1</v>
      </c>
      <c r="AL2152" t="s">
        <v>8750</v>
      </c>
      <c r="AM2152" t="s">
        <v>8751</v>
      </c>
      <c r="AN2152" t="s">
        <v>8752</v>
      </c>
      <c r="AO2152" t="s">
        <v>66</v>
      </c>
      <c r="AP2152">
        <v>1</v>
      </c>
      <c r="AQ2152" t="s">
        <v>8753</v>
      </c>
      <c r="AR2152" t="s">
        <v>8754</v>
      </c>
      <c r="AS2152" t="s">
        <v>8835</v>
      </c>
      <c r="AT2152" t="s">
        <v>66</v>
      </c>
    </row>
    <row r="2153" spans="1:46" x14ac:dyDescent="0.15">
      <c r="A2153" t="s">
        <v>8944</v>
      </c>
      <c r="B2153" t="s">
        <v>8584</v>
      </c>
      <c r="C2153" t="s">
        <v>8585</v>
      </c>
      <c r="D2153">
        <v>88</v>
      </c>
      <c r="E2153" t="s">
        <v>8586</v>
      </c>
      <c r="F2153" t="s">
        <v>50</v>
      </c>
      <c r="G2153" t="s">
        <v>51</v>
      </c>
      <c r="H2153" t="s">
        <v>8587</v>
      </c>
      <c r="I2153" t="s">
        <v>720</v>
      </c>
      <c r="J2153" t="s">
        <v>4518</v>
      </c>
      <c r="K2153" t="s">
        <v>3594</v>
      </c>
      <c r="L2153" t="s">
        <v>19</v>
      </c>
      <c r="M2153" t="s">
        <v>16</v>
      </c>
      <c r="N2153">
        <v>5383</v>
      </c>
      <c r="O2153">
        <v>305</v>
      </c>
      <c r="P2153">
        <v>0</v>
      </c>
      <c r="Q2153" t="s">
        <v>8945</v>
      </c>
      <c r="R2153" t="s">
        <v>8946</v>
      </c>
      <c r="S2153" t="s">
        <v>4876</v>
      </c>
      <c r="T2153" t="s">
        <v>8947</v>
      </c>
      <c r="U2153" t="s">
        <v>60</v>
      </c>
      <c r="V2153" t="s">
        <v>61</v>
      </c>
      <c r="W2153">
        <v>3</v>
      </c>
      <c r="X2153">
        <v>0.13387499999999999</v>
      </c>
      <c r="Y2153" t="s">
        <v>641</v>
      </c>
      <c r="Z2153" t="s">
        <v>642</v>
      </c>
      <c r="AA2153">
        <v>4</v>
      </c>
      <c r="AB2153" t="s">
        <v>8589</v>
      </c>
      <c r="AC2153" t="s">
        <v>8590</v>
      </c>
      <c r="AD2153" t="s">
        <v>8591</v>
      </c>
      <c r="AE2153" t="s">
        <v>8592</v>
      </c>
      <c r="AF2153" t="s">
        <v>8593</v>
      </c>
      <c r="AG2153" t="s">
        <v>3903</v>
      </c>
      <c r="AH2153" t="s">
        <v>3902</v>
      </c>
      <c r="AI2153" t="s">
        <v>3902</v>
      </c>
      <c r="AJ2153" t="s">
        <v>4006</v>
      </c>
      <c r="AK2153">
        <v>1</v>
      </c>
      <c r="AL2153" t="s">
        <v>8750</v>
      </c>
      <c r="AM2153" t="s">
        <v>8751</v>
      </c>
      <c r="AN2153" t="s">
        <v>8752</v>
      </c>
      <c r="AO2153" t="s">
        <v>66</v>
      </c>
      <c r="AP2153">
        <v>1</v>
      </c>
      <c r="AQ2153" t="s">
        <v>8753</v>
      </c>
      <c r="AR2153" t="s">
        <v>8754</v>
      </c>
      <c r="AS2153" t="s">
        <v>8835</v>
      </c>
      <c r="AT2153" t="s">
        <v>66</v>
      </c>
    </row>
    <row r="2154" spans="1:46" x14ac:dyDescent="0.15">
      <c r="A2154" t="s">
        <v>8948</v>
      </c>
      <c r="B2154" t="s">
        <v>8584</v>
      </c>
      <c r="C2154" t="s">
        <v>8585</v>
      </c>
      <c r="D2154">
        <v>89</v>
      </c>
      <c r="E2154" t="s">
        <v>8586</v>
      </c>
      <c r="F2154" t="s">
        <v>50</v>
      </c>
      <c r="G2154" t="s">
        <v>51</v>
      </c>
      <c r="H2154" t="s">
        <v>8587</v>
      </c>
      <c r="I2154" t="s">
        <v>720</v>
      </c>
      <c r="J2154" t="s">
        <v>4518</v>
      </c>
      <c r="K2154" t="s">
        <v>3594</v>
      </c>
      <c r="L2154" t="s">
        <v>19</v>
      </c>
      <c r="M2154" t="s">
        <v>16</v>
      </c>
      <c r="N2154">
        <v>5439</v>
      </c>
      <c r="O2154">
        <v>309</v>
      </c>
      <c r="P2154">
        <v>0</v>
      </c>
      <c r="Q2154" t="s">
        <v>8949</v>
      </c>
      <c r="R2154" t="s">
        <v>8950</v>
      </c>
      <c r="S2154" t="s">
        <v>4880</v>
      </c>
      <c r="T2154" t="s">
        <v>8951</v>
      </c>
      <c r="U2154" t="s">
        <v>60</v>
      </c>
      <c r="V2154" t="s">
        <v>61</v>
      </c>
      <c r="W2154">
        <v>3</v>
      </c>
      <c r="X2154">
        <v>0.13387499999999999</v>
      </c>
      <c r="Y2154" t="s">
        <v>356</v>
      </c>
      <c r="Z2154" t="s">
        <v>648</v>
      </c>
      <c r="AA2154">
        <v>4</v>
      </c>
      <c r="AB2154" t="s">
        <v>8589</v>
      </c>
      <c r="AC2154" t="s">
        <v>8590</v>
      </c>
      <c r="AD2154" t="s">
        <v>8591</v>
      </c>
      <c r="AE2154" t="s">
        <v>8592</v>
      </c>
      <c r="AF2154" t="s">
        <v>8593</v>
      </c>
      <c r="AG2154" t="s">
        <v>3903</v>
      </c>
      <c r="AH2154" t="s">
        <v>3902</v>
      </c>
      <c r="AI2154" t="s">
        <v>3902</v>
      </c>
      <c r="AJ2154" t="s">
        <v>4006</v>
      </c>
      <c r="AK2154">
        <v>1</v>
      </c>
      <c r="AL2154" t="s">
        <v>8750</v>
      </c>
      <c r="AM2154" t="s">
        <v>8751</v>
      </c>
      <c r="AN2154" t="s">
        <v>8752</v>
      </c>
      <c r="AO2154" t="s">
        <v>66</v>
      </c>
      <c r="AP2154">
        <v>1</v>
      </c>
      <c r="AQ2154" t="s">
        <v>8753</v>
      </c>
      <c r="AR2154" t="s">
        <v>8754</v>
      </c>
      <c r="AS2154" t="s">
        <v>8835</v>
      </c>
      <c r="AT2154" t="s">
        <v>66</v>
      </c>
    </row>
    <row r="2155" spans="1:46" x14ac:dyDescent="0.15">
      <c r="A2155" t="s">
        <v>8952</v>
      </c>
      <c r="B2155" t="s">
        <v>8584</v>
      </c>
      <c r="C2155" t="s">
        <v>8585</v>
      </c>
      <c r="D2155">
        <v>90</v>
      </c>
      <c r="E2155" t="s">
        <v>8586</v>
      </c>
      <c r="F2155" t="s">
        <v>50</v>
      </c>
      <c r="G2155" t="s">
        <v>51</v>
      </c>
      <c r="H2155" t="s">
        <v>8587</v>
      </c>
      <c r="I2155" t="s">
        <v>720</v>
      </c>
      <c r="J2155" t="s">
        <v>4518</v>
      </c>
      <c r="K2155" t="s">
        <v>3594</v>
      </c>
      <c r="L2155" t="s">
        <v>19</v>
      </c>
      <c r="M2155" t="s">
        <v>16</v>
      </c>
      <c r="N2155">
        <v>5495</v>
      </c>
      <c r="O2155">
        <v>312</v>
      </c>
      <c r="P2155">
        <v>0</v>
      </c>
      <c r="Q2155" t="s">
        <v>8953</v>
      </c>
      <c r="R2155" t="s">
        <v>8954</v>
      </c>
      <c r="S2155" t="s">
        <v>4884</v>
      </c>
      <c r="T2155" t="s">
        <v>8955</v>
      </c>
      <c r="U2155" t="s">
        <v>60</v>
      </c>
      <c r="V2155" t="s">
        <v>61</v>
      </c>
      <c r="W2155">
        <v>3</v>
      </c>
      <c r="X2155">
        <v>0.13387499999999999</v>
      </c>
      <c r="Y2155" t="s">
        <v>654</v>
      </c>
      <c r="Z2155" t="s">
        <v>655</v>
      </c>
      <c r="AA2155">
        <v>4</v>
      </c>
      <c r="AB2155" t="s">
        <v>8589</v>
      </c>
      <c r="AC2155" t="s">
        <v>8590</v>
      </c>
      <c r="AD2155" t="s">
        <v>8591</v>
      </c>
      <c r="AE2155" t="s">
        <v>8592</v>
      </c>
      <c r="AF2155" t="s">
        <v>8593</v>
      </c>
      <c r="AG2155" t="s">
        <v>3903</v>
      </c>
      <c r="AH2155" t="s">
        <v>3902</v>
      </c>
      <c r="AI2155" t="s">
        <v>3902</v>
      </c>
      <c r="AJ2155" t="s">
        <v>4006</v>
      </c>
      <c r="AK2155">
        <v>1</v>
      </c>
      <c r="AL2155" t="s">
        <v>8750</v>
      </c>
      <c r="AM2155" t="s">
        <v>8751</v>
      </c>
      <c r="AN2155" t="s">
        <v>8752</v>
      </c>
      <c r="AO2155" t="s">
        <v>66</v>
      </c>
      <c r="AP2155">
        <v>1</v>
      </c>
      <c r="AQ2155" t="s">
        <v>8753</v>
      </c>
      <c r="AR2155" t="s">
        <v>8754</v>
      </c>
      <c r="AS2155" t="s">
        <v>8835</v>
      </c>
      <c r="AT2155" t="s">
        <v>66</v>
      </c>
    </row>
    <row r="2156" spans="1:46" x14ac:dyDescent="0.15">
      <c r="A2156" t="s">
        <v>8956</v>
      </c>
      <c r="B2156" t="s">
        <v>8584</v>
      </c>
      <c r="C2156" t="s">
        <v>8585</v>
      </c>
      <c r="D2156">
        <v>91</v>
      </c>
      <c r="E2156" t="s">
        <v>8586</v>
      </c>
      <c r="F2156" t="s">
        <v>50</v>
      </c>
      <c r="G2156" t="s">
        <v>51</v>
      </c>
      <c r="H2156" t="s">
        <v>8587</v>
      </c>
      <c r="I2156" t="s">
        <v>720</v>
      </c>
      <c r="J2156" t="s">
        <v>4518</v>
      </c>
      <c r="K2156" t="s">
        <v>3594</v>
      </c>
      <c r="L2156" t="s">
        <v>19</v>
      </c>
      <c r="M2156" t="s">
        <v>16</v>
      </c>
      <c r="N2156">
        <v>5551</v>
      </c>
      <c r="O2156">
        <v>315</v>
      </c>
      <c r="P2156">
        <v>0</v>
      </c>
      <c r="Q2156" t="s">
        <v>8957</v>
      </c>
      <c r="R2156" t="s">
        <v>8958</v>
      </c>
      <c r="S2156" t="s">
        <v>4888</v>
      </c>
      <c r="T2156" t="s">
        <v>8959</v>
      </c>
      <c r="U2156" t="s">
        <v>60</v>
      </c>
      <c r="V2156" t="s">
        <v>61</v>
      </c>
      <c r="W2156">
        <v>3</v>
      </c>
      <c r="X2156">
        <v>0.13387499999999999</v>
      </c>
      <c r="Y2156" t="s">
        <v>363</v>
      </c>
      <c r="Z2156" t="s">
        <v>661</v>
      </c>
      <c r="AA2156">
        <v>4</v>
      </c>
      <c r="AB2156" t="s">
        <v>8589</v>
      </c>
      <c r="AC2156" t="s">
        <v>8590</v>
      </c>
      <c r="AD2156" t="s">
        <v>8591</v>
      </c>
      <c r="AE2156" t="s">
        <v>8592</v>
      </c>
      <c r="AF2156" t="s">
        <v>8593</v>
      </c>
      <c r="AG2156" t="s">
        <v>3903</v>
      </c>
      <c r="AH2156" t="s">
        <v>3902</v>
      </c>
      <c r="AI2156" t="s">
        <v>3902</v>
      </c>
      <c r="AJ2156" t="s">
        <v>4006</v>
      </c>
      <c r="AK2156">
        <v>1</v>
      </c>
      <c r="AL2156" t="s">
        <v>8750</v>
      </c>
      <c r="AM2156" t="s">
        <v>8751</v>
      </c>
      <c r="AN2156" t="s">
        <v>8752</v>
      </c>
      <c r="AO2156" t="s">
        <v>66</v>
      </c>
      <c r="AP2156">
        <v>1</v>
      </c>
      <c r="AQ2156" t="s">
        <v>8753</v>
      </c>
      <c r="AR2156" t="s">
        <v>8754</v>
      </c>
      <c r="AS2156" t="s">
        <v>8835</v>
      </c>
      <c r="AT2156" t="s">
        <v>66</v>
      </c>
    </row>
    <row r="2157" spans="1:46" x14ac:dyDescent="0.15">
      <c r="A2157" t="s">
        <v>8960</v>
      </c>
      <c r="B2157" t="s">
        <v>8584</v>
      </c>
      <c r="C2157" t="s">
        <v>8585</v>
      </c>
      <c r="D2157">
        <v>92</v>
      </c>
      <c r="E2157" t="s">
        <v>8586</v>
      </c>
      <c r="F2157" t="s">
        <v>50</v>
      </c>
      <c r="G2157" t="s">
        <v>51</v>
      </c>
      <c r="H2157" t="s">
        <v>8587</v>
      </c>
      <c r="I2157" t="s">
        <v>720</v>
      </c>
      <c r="J2157" t="s">
        <v>4518</v>
      </c>
      <c r="K2157" t="s">
        <v>3594</v>
      </c>
      <c r="L2157" t="s">
        <v>19</v>
      </c>
      <c r="M2157" t="s">
        <v>16</v>
      </c>
      <c r="N2157">
        <v>5607</v>
      </c>
      <c r="O2157">
        <v>318</v>
      </c>
      <c r="P2157">
        <v>0</v>
      </c>
      <c r="Q2157" t="s">
        <v>8961</v>
      </c>
      <c r="R2157" t="s">
        <v>8962</v>
      </c>
      <c r="S2157" t="s">
        <v>4892</v>
      </c>
      <c r="T2157" t="s">
        <v>8963</v>
      </c>
      <c r="U2157" t="s">
        <v>60</v>
      </c>
      <c r="V2157" t="s">
        <v>61</v>
      </c>
      <c r="W2157">
        <v>3</v>
      </c>
      <c r="X2157">
        <v>0.13387499999999999</v>
      </c>
      <c r="Y2157" t="s">
        <v>667</v>
      </c>
      <c r="Z2157" t="s">
        <v>668</v>
      </c>
      <c r="AA2157">
        <v>4</v>
      </c>
      <c r="AB2157" t="s">
        <v>8589</v>
      </c>
      <c r="AC2157" t="s">
        <v>8590</v>
      </c>
      <c r="AD2157" t="s">
        <v>8591</v>
      </c>
      <c r="AE2157" t="s">
        <v>8592</v>
      </c>
      <c r="AF2157" t="s">
        <v>8593</v>
      </c>
      <c r="AG2157" t="s">
        <v>3903</v>
      </c>
      <c r="AH2157" t="s">
        <v>3902</v>
      </c>
      <c r="AI2157" t="s">
        <v>3902</v>
      </c>
      <c r="AJ2157" t="s">
        <v>4006</v>
      </c>
      <c r="AK2157">
        <v>1</v>
      </c>
      <c r="AL2157" t="s">
        <v>8750</v>
      </c>
      <c r="AM2157" t="s">
        <v>8751</v>
      </c>
      <c r="AN2157" t="s">
        <v>8752</v>
      </c>
      <c r="AO2157" t="s">
        <v>66</v>
      </c>
      <c r="AP2157">
        <v>1</v>
      </c>
      <c r="AQ2157" t="s">
        <v>8753</v>
      </c>
      <c r="AR2157" t="s">
        <v>8754</v>
      </c>
      <c r="AS2157" t="s">
        <v>8835</v>
      </c>
      <c r="AT2157" t="s">
        <v>66</v>
      </c>
    </row>
    <row r="2158" spans="1:46" x14ac:dyDescent="0.15">
      <c r="A2158" t="s">
        <v>8964</v>
      </c>
      <c r="B2158" t="s">
        <v>8584</v>
      </c>
      <c r="C2158" t="s">
        <v>8585</v>
      </c>
      <c r="D2158">
        <v>93</v>
      </c>
      <c r="E2158" t="s">
        <v>8586</v>
      </c>
      <c r="F2158" t="s">
        <v>50</v>
      </c>
      <c r="G2158" t="s">
        <v>51</v>
      </c>
      <c r="H2158" t="s">
        <v>8587</v>
      </c>
      <c r="I2158" t="s">
        <v>720</v>
      </c>
      <c r="J2158" t="s">
        <v>4518</v>
      </c>
      <c r="K2158" t="s">
        <v>3594</v>
      </c>
      <c r="L2158" t="s">
        <v>19</v>
      </c>
      <c r="M2158" t="s">
        <v>16</v>
      </c>
      <c r="N2158">
        <v>5663</v>
      </c>
      <c r="O2158">
        <v>321</v>
      </c>
      <c r="P2158">
        <v>0</v>
      </c>
      <c r="Q2158" t="s">
        <v>8965</v>
      </c>
      <c r="R2158" t="s">
        <v>8966</v>
      </c>
      <c r="S2158" t="s">
        <v>4896</v>
      </c>
      <c r="T2158" t="s">
        <v>8967</v>
      </c>
      <c r="U2158" t="s">
        <v>60</v>
      </c>
      <c r="V2158" t="s">
        <v>61</v>
      </c>
      <c r="W2158">
        <v>3</v>
      </c>
      <c r="X2158">
        <v>0.13387499999999999</v>
      </c>
      <c r="Y2158" t="s">
        <v>369</v>
      </c>
      <c r="Z2158" t="s">
        <v>674</v>
      </c>
      <c r="AA2158">
        <v>4</v>
      </c>
      <c r="AB2158" t="s">
        <v>8589</v>
      </c>
      <c r="AC2158" t="s">
        <v>8590</v>
      </c>
      <c r="AD2158" t="s">
        <v>8591</v>
      </c>
      <c r="AE2158" t="s">
        <v>8592</v>
      </c>
      <c r="AF2158" t="s">
        <v>8593</v>
      </c>
      <c r="AG2158" t="s">
        <v>3903</v>
      </c>
      <c r="AH2158" t="s">
        <v>3902</v>
      </c>
      <c r="AI2158" t="s">
        <v>3902</v>
      </c>
      <c r="AJ2158" t="s">
        <v>4006</v>
      </c>
      <c r="AK2158">
        <v>1</v>
      </c>
      <c r="AL2158" t="s">
        <v>8750</v>
      </c>
      <c r="AM2158" t="s">
        <v>8751</v>
      </c>
      <c r="AN2158" t="s">
        <v>8752</v>
      </c>
      <c r="AO2158" t="s">
        <v>66</v>
      </c>
      <c r="AP2158">
        <v>1</v>
      </c>
      <c r="AQ2158" t="s">
        <v>8753</v>
      </c>
      <c r="AR2158" t="s">
        <v>8754</v>
      </c>
      <c r="AS2158" t="s">
        <v>8835</v>
      </c>
      <c r="AT2158" t="s">
        <v>66</v>
      </c>
    </row>
    <row r="2159" spans="1:46" x14ac:dyDescent="0.15">
      <c r="A2159" t="s">
        <v>8968</v>
      </c>
      <c r="B2159" t="s">
        <v>8584</v>
      </c>
      <c r="C2159" t="s">
        <v>8585</v>
      </c>
      <c r="D2159">
        <v>94</v>
      </c>
      <c r="E2159" t="s">
        <v>8586</v>
      </c>
      <c r="F2159" t="s">
        <v>50</v>
      </c>
      <c r="G2159" t="s">
        <v>51</v>
      </c>
      <c r="H2159" t="s">
        <v>8587</v>
      </c>
      <c r="I2159" t="s">
        <v>720</v>
      </c>
      <c r="J2159" t="s">
        <v>4518</v>
      </c>
      <c r="K2159" t="s">
        <v>3594</v>
      </c>
      <c r="L2159" t="s">
        <v>19</v>
      </c>
      <c r="M2159" t="s">
        <v>16</v>
      </c>
      <c r="N2159">
        <v>5719</v>
      </c>
      <c r="O2159">
        <v>324</v>
      </c>
      <c r="P2159">
        <v>0</v>
      </c>
      <c r="Q2159" t="s">
        <v>8969</v>
      </c>
      <c r="R2159" t="s">
        <v>8970</v>
      </c>
      <c r="S2159" t="s">
        <v>4900</v>
      </c>
      <c r="T2159" t="s">
        <v>8971</v>
      </c>
      <c r="U2159" t="s">
        <v>60</v>
      </c>
      <c r="V2159" t="s">
        <v>61</v>
      </c>
      <c r="W2159">
        <v>3</v>
      </c>
      <c r="X2159">
        <v>0.13387499999999999</v>
      </c>
      <c r="Y2159" t="s">
        <v>680</v>
      </c>
      <c r="Z2159" t="s">
        <v>681</v>
      </c>
      <c r="AA2159">
        <v>4</v>
      </c>
      <c r="AB2159" t="s">
        <v>8589</v>
      </c>
      <c r="AC2159" t="s">
        <v>8590</v>
      </c>
      <c r="AD2159" t="s">
        <v>8591</v>
      </c>
      <c r="AE2159" t="s">
        <v>8592</v>
      </c>
      <c r="AF2159" t="s">
        <v>8593</v>
      </c>
      <c r="AG2159" t="s">
        <v>3903</v>
      </c>
      <c r="AH2159" t="s">
        <v>3902</v>
      </c>
      <c r="AI2159" t="s">
        <v>3902</v>
      </c>
      <c r="AJ2159" t="s">
        <v>4006</v>
      </c>
      <c r="AK2159">
        <v>1</v>
      </c>
      <c r="AL2159" t="s">
        <v>8750</v>
      </c>
      <c r="AM2159" t="s">
        <v>8751</v>
      </c>
      <c r="AN2159" t="s">
        <v>8752</v>
      </c>
      <c r="AO2159" t="s">
        <v>66</v>
      </c>
      <c r="AP2159">
        <v>1</v>
      </c>
      <c r="AQ2159" t="s">
        <v>8753</v>
      </c>
      <c r="AR2159" t="s">
        <v>8754</v>
      </c>
      <c r="AS2159" t="s">
        <v>8835</v>
      </c>
      <c r="AT2159" t="s">
        <v>66</v>
      </c>
    </row>
    <row r="2160" spans="1:46" x14ac:dyDescent="0.15">
      <c r="A2160" t="s">
        <v>8972</v>
      </c>
      <c r="B2160" t="s">
        <v>8584</v>
      </c>
      <c r="C2160" t="s">
        <v>8585</v>
      </c>
      <c r="D2160">
        <v>95</v>
      </c>
      <c r="E2160" t="s">
        <v>8586</v>
      </c>
      <c r="F2160" t="s">
        <v>50</v>
      </c>
      <c r="G2160" t="s">
        <v>51</v>
      </c>
      <c r="H2160" t="s">
        <v>8587</v>
      </c>
      <c r="I2160" t="s">
        <v>720</v>
      </c>
      <c r="J2160" t="s">
        <v>4518</v>
      </c>
      <c r="K2160" t="s">
        <v>3594</v>
      </c>
      <c r="L2160" t="s">
        <v>19</v>
      </c>
      <c r="M2160" t="s">
        <v>16</v>
      </c>
      <c r="N2160">
        <v>5776</v>
      </c>
      <c r="O2160">
        <v>328</v>
      </c>
      <c r="P2160">
        <v>0</v>
      </c>
      <c r="Q2160" t="s">
        <v>8973</v>
      </c>
      <c r="R2160" t="s">
        <v>8974</v>
      </c>
      <c r="S2160" t="s">
        <v>4904</v>
      </c>
      <c r="T2160" t="s">
        <v>8975</v>
      </c>
      <c r="U2160" t="s">
        <v>60</v>
      </c>
      <c r="V2160" t="s">
        <v>61</v>
      </c>
      <c r="W2160">
        <v>3</v>
      </c>
      <c r="X2160">
        <v>0.13387499999999999</v>
      </c>
      <c r="Y2160" t="s">
        <v>376</v>
      </c>
      <c r="Z2160" t="s">
        <v>687</v>
      </c>
      <c r="AA2160">
        <v>4</v>
      </c>
      <c r="AB2160" t="s">
        <v>8589</v>
      </c>
      <c r="AC2160" t="s">
        <v>8590</v>
      </c>
      <c r="AD2160" t="s">
        <v>8591</v>
      </c>
      <c r="AE2160" t="s">
        <v>8592</v>
      </c>
      <c r="AF2160" t="s">
        <v>8593</v>
      </c>
      <c r="AG2160" t="s">
        <v>3903</v>
      </c>
      <c r="AH2160" t="s">
        <v>3902</v>
      </c>
      <c r="AI2160" t="s">
        <v>3902</v>
      </c>
      <c r="AJ2160" t="s">
        <v>4006</v>
      </c>
      <c r="AK2160">
        <v>1</v>
      </c>
      <c r="AL2160" t="s">
        <v>8750</v>
      </c>
      <c r="AM2160" t="s">
        <v>8751</v>
      </c>
      <c r="AN2160" t="s">
        <v>8752</v>
      </c>
      <c r="AO2160" t="s">
        <v>66</v>
      </c>
      <c r="AP2160">
        <v>1</v>
      </c>
      <c r="AQ2160" t="s">
        <v>8753</v>
      </c>
      <c r="AR2160" t="s">
        <v>8754</v>
      </c>
      <c r="AS2160" t="s">
        <v>8835</v>
      </c>
      <c r="AT2160" t="s">
        <v>66</v>
      </c>
    </row>
    <row r="2161" spans="1:46" x14ac:dyDescent="0.15">
      <c r="A2161" t="s">
        <v>8976</v>
      </c>
      <c r="B2161" t="s">
        <v>8584</v>
      </c>
      <c r="C2161" t="s">
        <v>8585</v>
      </c>
      <c r="D2161">
        <v>96</v>
      </c>
      <c r="E2161" t="s">
        <v>8586</v>
      </c>
      <c r="F2161" t="s">
        <v>50</v>
      </c>
      <c r="G2161" t="s">
        <v>51</v>
      </c>
      <c r="H2161" t="s">
        <v>8587</v>
      </c>
      <c r="I2161" t="s">
        <v>720</v>
      </c>
      <c r="J2161" t="s">
        <v>4518</v>
      </c>
      <c r="K2161" t="s">
        <v>3594</v>
      </c>
      <c r="L2161" t="s">
        <v>19</v>
      </c>
      <c r="M2161" t="s">
        <v>16</v>
      </c>
      <c r="N2161">
        <v>5832</v>
      </c>
      <c r="O2161">
        <v>331</v>
      </c>
      <c r="P2161">
        <v>0</v>
      </c>
      <c r="Q2161" t="s">
        <v>8977</v>
      </c>
      <c r="R2161" t="s">
        <v>8978</v>
      </c>
      <c r="S2161" t="s">
        <v>4908</v>
      </c>
      <c r="T2161" t="s">
        <v>8979</v>
      </c>
      <c r="U2161" t="s">
        <v>60</v>
      </c>
      <c r="V2161" t="s">
        <v>61</v>
      </c>
      <c r="W2161">
        <v>3</v>
      </c>
      <c r="X2161">
        <v>0.13387499999999999</v>
      </c>
      <c r="Y2161" t="s">
        <v>693</v>
      </c>
      <c r="Z2161" t="s">
        <v>694</v>
      </c>
      <c r="AA2161">
        <v>4</v>
      </c>
      <c r="AB2161" t="s">
        <v>8589</v>
      </c>
      <c r="AC2161" t="s">
        <v>8590</v>
      </c>
      <c r="AD2161" t="s">
        <v>8591</v>
      </c>
      <c r="AE2161" t="s">
        <v>8592</v>
      </c>
      <c r="AF2161" t="s">
        <v>8593</v>
      </c>
      <c r="AG2161" t="s">
        <v>3903</v>
      </c>
      <c r="AH2161" t="s">
        <v>3902</v>
      </c>
      <c r="AI2161" t="s">
        <v>3902</v>
      </c>
      <c r="AJ2161" t="s">
        <v>4006</v>
      </c>
      <c r="AK2161">
        <v>1</v>
      </c>
      <c r="AL2161" t="s">
        <v>8750</v>
      </c>
      <c r="AM2161" t="s">
        <v>8751</v>
      </c>
      <c r="AN2161" t="s">
        <v>8752</v>
      </c>
      <c r="AO2161" t="s">
        <v>66</v>
      </c>
      <c r="AP2161">
        <v>1</v>
      </c>
      <c r="AQ2161" t="s">
        <v>8753</v>
      </c>
      <c r="AR2161" t="s">
        <v>8754</v>
      </c>
      <c r="AS2161" t="s">
        <v>8835</v>
      </c>
      <c r="AT2161" t="s">
        <v>66</v>
      </c>
    </row>
    <row r="2162" spans="1:46" x14ac:dyDescent="0.15">
      <c r="A2162" t="s">
        <v>8980</v>
      </c>
      <c r="B2162" t="s">
        <v>8584</v>
      </c>
      <c r="C2162" t="s">
        <v>8585</v>
      </c>
      <c r="D2162">
        <v>97</v>
      </c>
      <c r="E2162" t="s">
        <v>8586</v>
      </c>
      <c r="F2162" t="s">
        <v>50</v>
      </c>
      <c r="G2162" t="s">
        <v>51</v>
      </c>
      <c r="H2162" t="s">
        <v>8587</v>
      </c>
      <c r="I2162" t="s">
        <v>720</v>
      </c>
      <c r="J2162" t="s">
        <v>4518</v>
      </c>
      <c r="K2162" t="s">
        <v>3594</v>
      </c>
      <c r="L2162" t="s">
        <v>19</v>
      </c>
      <c r="M2162" t="s">
        <v>16</v>
      </c>
      <c r="N2162">
        <v>5888</v>
      </c>
      <c r="O2162">
        <v>334</v>
      </c>
      <c r="P2162">
        <v>0</v>
      </c>
      <c r="Q2162" t="s">
        <v>8981</v>
      </c>
      <c r="R2162" t="s">
        <v>8982</v>
      </c>
      <c r="S2162" t="s">
        <v>4912</v>
      </c>
      <c r="T2162" t="s">
        <v>8983</v>
      </c>
      <c r="U2162" t="s">
        <v>60</v>
      </c>
      <c r="V2162" t="s">
        <v>61</v>
      </c>
      <c r="W2162">
        <v>3</v>
      </c>
      <c r="X2162">
        <v>0.13387499999999999</v>
      </c>
      <c r="Y2162" t="s">
        <v>382</v>
      </c>
      <c r="Z2162" t="s">
        <v>700</v>
      </c>
      <c r="AA2162">
        <v>4</v>
      </c>
      <c r="AB2162" t="s">
        <v>8589</v>
      </c>
      <c r="AC2162" t="s">
        <v>8590</v>
      </c>
      <c r="AD2162" t="s">
        <v>8591</v>
      </c>
      <c r="AE2162" t="s">
        <v>8592</v>
      </c>
      <c r="AF2162" t="s">
        <v>8593</v>
      </c>
      <c r="AG2162" t="s">
        <v>3903</v>
      </c>
      <c r="AH2162" t="s">
        <v>3902</v>
      </c>
      <c r="AI2162" t="s">
        <v>3902</v>
      </c>
      <c r="AJ2162" t="s">
        <v>4006</v>
      </c>
      <c r="AK2162">
        <v>1</v>
      </c>
      <c r="AL2162" t="s">
        <v>8750</v>
      </c>
      <c r="AM2162" t="s">
        <v>8751</v>
      </c>
      <c r="AN2162" t="s">
        <v>8752</v>
      </c>
      <c r="AO2162" t="s">
        <v>66</v>
      </c>
      <c r="AP2162">
        <v>1</v>
      </c>
      <c r="AQ2162" t="s">
        <v>8753</v>
      </c>
      <c r="AR2162" t="s">
        <v>8754</v>
      </c>
      <c r="AS2162" t="s">
        <v>8835</v>
      </c>
      <c r="AT2162" t="s">
        <v>66</v>
      </c>
    </row>
    <row r="2163" spans="1:46" x14ac:dyDescent="0.15">
      <c r="A2163" t="s">
        <v>8984</v>
      </c>
      <c r="B2163" t="s">
        <v>8584</v>
      </c>
      <c r="C2163" t="s">
        <v>8585</v>
      </c>
      <c r="D2163">
        <v>98</v>
      </c>
      <c r="E2163" t="s">
        <v>8586</v>
      </c>
      <c r="F2163" t="s">
        <v>50</v>
      </c>
      <c r="G2163" t="s">
        <v>51</v>
      </c>
      <c r="H2163" t="s">
        <v>8587</v>
      </c>
      <c r="I2163" t="s">
        <v>720</v>
      </c>
      <c r="J2163" t="s">
        <v>4518</v>
      </c>
      <c r="K2163" t="s">
        <v>3594</v>
      </c>
      <c r="L2163" t="s">
        <v>19</v>
      </c>
      <c r="M2163" t="s">
        <v>16</v>
      </c>
      <c r="N2163">
        <v>5944</v>
      </c>
      <c r="O2163">
        <v>337</v>
      </c>
      <c r="P2163">
        <v>0</v>
      </c>
      <c r="Q2163" t="s">
        <v>8985</v>
      </c>
      <c r="R2163" t="s">
        <v>8986</v>
      </c>
      <c r="S2163" t="s">
        <v>4916</v>
      </c>
      <c r="T2163" t="s">
        <v>8987</v>
      </c>
      <c r="U2163" t="s">
        <v>60</v>
      </c>
      <c r="V2163" t="s">
        <v>61</v>
      </c>
      <c r="W2163">
        <v>3</v>
      </c>
      <c r="X2163">
        <v>0.13387499999999999</v>
      </c>
      <c r="Y2163" t="s">
        <v>706</v>
      </c>
      <c r="Z2163" t="s">
        <v>707</v>
      </c>
      <c r="AA2163">
        <v>4</v>
      </c>
      <c r="AB2163" t="s">
        <v>8589</v>
      </c>
      <c r="AC2163" t="s">
        <v>8590</v>
      </c>
      <c r="AD2163" t="s">
        <v>8591</v>
      </c>
      <c r="AE2163" t="s">
        <v>8592</v>
      </c>
      <c r="AF2163" t="s">
        <v>8593</v>
      </c>
      <c r="AG2163" t="s">
        <v>3903</v>
      </c>
      <c r="AH2163" t="s">
        <v>3902</v>
      </c>
      <c r="AI2163" t="s">
        <v>3902</v>
      </c>
      <c r="AJ2163" t="s">
        <v>4006</v>
      </c>
      <c r="AK2163">
        <v>1</v>
      </c>
      <c r="AL2163" t="s">
        <v>8750</v>
      </c>
      <c r="AM2163" t="s">
        <v>8751</v>
      </c>
      <c r="AN2163" t="s">
        <v>8752</v>
      </c>
      <c r="AO2163" t="s">
        <v>66</v>
      </c>
      <c r="AP2163">
        <v>1</v>
      </c>
      <c r="AQ2163" t="s">
        <v>8753</v>
      </c>
      <c r="AR2163" t="s">
        <v>8754</v>
      </c>
      <c r="AS2163" t="s">
        <v>8835</v>
      </c>
      <c r="AT2163" t="s">
        <v>66</v>
      </c>
    </row>
    <row r="2164" spans="1:46" x14ac:dyDescent="0.15">
      <c r="A2164" t="s">
        <v>8988</v>
      </c>
      <c r="B2164" t="s">
        <v>8584</v>
      </c>
      <c r="C2164" t="s">
        <v>8585</v>
      </c>
      <c r="D2164">
        <v>99</v>
      </c>
      <c r="E2164" t="s">
        <v>8586</v>
      </c>
      <c r="F2164" t="s">
        <v>50</v>
      </c>
      <c r="G2164" t="s">
        <v>51</v>
      </c>
      <c r="H2164" t="s">
        <v>8587</v>
      </c>
      <c r="I2164" t="s">
        <v>720</v>
      </c>
      <c r="J2164" t="s">
        <v>4518</v>
      </c>
      <c r="K2164" t="s">
        <v>3594</v>
      </c>
      <c r="L2164" t="s">
        <v>19</v>
      </c>
      <c r="M2164" t="s">
        <v>16</v>
      </c>
      <c r="N2164">
        <v>6000</v>
      </c>
      <c r="O2164">
        <v>340</v>
      </c>
      <c r="P2164">
        <v>0</v>
      </c>
      <c r="Q2164" t="s">
        <v>8989</v>
      </c>
      <c r="R2164" t="s">
        <v>8990</v>
      </c>
      <c r="S2164" t="s">
        <v>4919</v>
      </c>
      <c r="T2164" t="s">
        <v>8991</v>
      </c>
      <c r="U2164" t="s">
        <v>60</v>
      </c>
      <c r="V2164" t="s">
        <v>61</v>
      </c>
      <c r="W2164">
        <v>3</v>
      </c>
      <c r="X2164">
        <v>0.13387499999999999</v>
      </c>
      <c r="Y2164" t="s">
        <v>389</v>
      </c>
      <c r="Z2164" t="s">
        <v>713</v>
      </c>
      <c r="AA2164">
        <v>4</v>
      </c>
      <c r="AB2164" t="s">
        <v>8589</v>
      </c>
      <c r="AC2164" t="s">
        <v>8590</v>
      </c>
      <c r="AD2164" t="s">
        <v>8591</v>
      </c>
      <c r="AE2164" t="s">
        <v>8592</v>
      </c>
      <c r="AF2164" t="s">
        <v>8593</v>
      </c>
      <c r="AG2164" t="s">
        <v>3903</v>
      </c>
      <c r="AH2164" t="s">
        <v>3902</v>
      </c>
      <c r="AI2164" t="s">
        <v>3902</v>
      </c>
      <c r="AJ2164" t="s">
        <v>4006</v>
      </c>
      <c r="AK2164">
        <v>1</v>
      </c>
      <c r="AL2164" t="s">
        <v>8750</v>
      </c>
      <c r="AM2164" t="s">
        <v>8751</v>
      </c>
      <c r="AN2164" t="s">
        <v>8752</v>
      </c>
      <c r="AO2164" t="s">
        <v>66</v>
      </c>
      <c r="AP2164">
        <v>1</v>
      </c>
      <c r="AQ2164" t="s">
        <v>8753</v>
      </c>
      <c r="AR2164" t="s">
        <v>8754</v>
      </c>
      <c r="AS2164" t="s">
        <v>8835</v>
      </c>
      <c r="AT2164" t="s">
        <v>66</v>
      </c>
    </row>
    <row r="2165" spans="1:46" x14ac:dyDescent="0.15">
      <c r="A2165" t="s">
        <v>8992</v>
      </c>
      <c r="B2165" t="s">
        <v>8993</v>
      </c>
      <c r="C2165" t="s">
        <v>8994</v>
      </c>
      <c r="D2165">
        <v>1</v>
      </c>
      <c r="E2165" t="s">
        <v>8995</v>
      </c>
      <c r="F2165" t="s">
        <v>4516</v>
      </c>
      <c r="G2165" t="s">
        <v>51</v>
      </c>
      <c r="H2165" t="s">
        <v>8996</v>
      </c>
      <c r="I2165" t="s">
        <v>53</v>
      </c>
      <c r="J2165" t="s">
        <v>721</v>
      </c>
      <c r="K2165" t="s">
        <v>3594</v>
      </c>
      <c r="L2165" t="s">
        <v>16</v>
      </c>
      <c r="M2165" t="s">
        <v>19</v>
      </c>
      <c r="N2165">
        <v>500</v>
      </c>
      <c r="O2165">
        <v>30</v>
      </c>
      <c r="P2165">
        <v>0</v>
      </c>
      <c r="Q2165" t="s">
        <v>722</v>
      </c>
      <c r="R2165" t="s">
        <v>723</v>
      </c>
      <c r="S2165" t="s">
        <v>1557</v>
      </c>
      <c r="T2165" t="s">
        <v>3596</v>
      </c>
      <c r="U2165" t="s">
        <v>60</v>
      </c>
      <c r="V2165" t="s">
        <v>61</v>
      </c>
      <c r="W2165">
        <v>3</v>
      </c>
      <c r="X2165">
        <v>0.09</v>
      </c>
      <c r="Y2165" t="s">
        <v>62</v>
      </c>
      <c r="Z2165" t="s">
        <v>62</v>
      </c>
      <c r="AA2165">
        <v>0</v>
      </c>
      <c r="AB2165" t="s">
        <v>8997</v>
      </c>
      <c r="AC2165" t="s">
        <v>8998</v>
      </c>
      <c r="AD2165" t="s">
        <v>8999</v>
      </c>
      <c r="AE2165" t="s">
        <v>9000</v>
      </c>
      <c r="AF2165" t="s">
        <v>9001</v>
      </c>
      <c r="AG2165" t="s">
        <v>66</v>
      </c>
      <c r="AH2165" t="s">
        <v>66</v>
      </c>
      <c r="AI2165" t="s">
        <v>66</v>
      </c>
      <c r="AJ2165" t="s">
        <v>66</v>
      </c>
      <c r="AK2165">
        <v>1</v>
      </c>
      <c r="AL2165" t="s">
        <v>66</v>
      </c>
      <c r="AM2165" t="s">
        <v>66</v>
      </c>
      <c r="AN2165" t="s">
        <v>66</v>
      </c>
      <c r="AO2165" t="s">
        <v>66</v>
      </c>
      <c r="AP2165">
        <v>1</v>
      </c>
      <c r="AQ2165" t="s">
        <v>66</v>
      </c>
      <c r="AR2165" t="s">
        <v>66</v>
      </c>
      <c r="AS2165" t="s">
        <v>66</v>
      </c>
      <c r="AT2165" t="s">
        <v>66</v>
      </c>
    </row>
    <row r="2166" spans="1:46" x14ac:dyDescent="0.15">
      <c r="A2166" t="s">
        <v>9002</v>
      </c>
      <c r="B2166" t="s">
        <v>8993</v>
      </c>
      <c r="C2166" t="s">
        <v>8994</v>
      </c>
      <c r="D2166">
        <v>2</v>
      </c>
      <c r="E2166" t="s">
        <v>8995</v>
      </c>
      <c r="F2166" t="s">
        <v>4516</v>
      </c>
      <c r="G2166" t="s">
        <v>51</v>
      </c>
      <c r="H2166" t="s">
        <v>8996</v>
      </c>
      <c r="I2166" t="s">
        <v>53</v>
      </c>
      <c r="J2166" t="s">
        <v>721</v>
      </c>
      <c r="K2166" t="s">
        <v>3594</v>
      </c>
      <c r="L2166" t="s">
        <v>16</v>
      </c>
      <c r="M2166" t="s">
        <v>19</v>
      </c>
      <c r="N2166">
        <v>556</v>
      </c>
      <c r="O2166">
        <v>33</v>
      </c>
      <c r="P2166">
        <v>0</v>
      </c>
      <c r="Q2166" t="s">
        <v>9003</v>
      </c>
      <c r="R2166" t="s">
        <v>9004</v>
      </c>
      <c r="S2166" t="s">
        <v>1565</v>
      </c>
      <c r="T2166" t="s">
        <v>9005</v>
      </c>
      <c r="U2166" t="s">
        <v>60</v>
      </c>
      <c r="V2166" t="s">
        <v>61</v>
      </c>
      <c r="W2166">
        <v>3</v>
      </c>
      <c r="X2166">
        <v>0.09</v>
      </c>
      <c r="Y2166" t="s">
        <v>72</v>
      </c>
      <c r="Z2166" t="s">
        <v>73</v>
      </c>
      <c r="AA2166">
        <v>0</v>
      </c>
      <c r="AB2166" t="s">
        <v>8997</v>
      </c>
      <c r="AC2166" t="s">
        <v>8998</v>
      </c>
      <c r="AD2166" t="s">
        <v>8999</v>
      </c>
      <c r="AE2166" t="s">
        <v>9000</v>
      </c>
      <c r="AF2166" t="s">
        <v>9001</v>
      </c>
      <c r="AG2166" t="s">
        <v>66</v>
      </c>
      <c r="AH2166" t="s">
        <v>66</v>
      </c>
      <c r="AI2166" t="s">
        <v>66</v>
      </c>
      <c r="AJ2166" t="s">
        <v>66</v>
      </c>
      <c r="AK2166">
        <v>1</v>
      </c>
      <c r="AL2166" t="s">
        <v>66</v>
      </c>
      <c r="AM2166" t="s">
        <v>66</v>
      </c>
      <c r="AN2166" t="s">
        <v>66</v>
      </c>
      <c r="AO2166" t="s">
        <v>66</v>
      </c>
      <c r="AP2166">
        <v>1</v>
      </c>
      <c r="AQ2166" t="s">
        <v>66</v>
      </c>
      <c r="AR2166" t="s">
        <v>66</v>
      </c>
      <c r="AS2166" t="s">
        <v>66</v>
      </c>
      <c r="AT2166" t="s">
        <v>66</v>
      </c>
    </row>
    <row r="2167" spans="1:46" x14ac:dyDescent="0.15">
      <c r="A2167" t="s">
        <v>9006</v>
      </c>
      <c r="B2167" t="s">
        <v>8993</v>
      </c>
      <c r="C2167" t="s">
        <v>8994</v>
      </c>
      <c r="D2167">
        <v>3</v>
      </c>
      <c r="E2167" t="s">
        <v>8995</v>
      </c>
      <c r="F2167" t="s">
        <v>4516</v>
      </c>
      <c r="G2167" t="s">
        <v>51</v>
      </c>
      <c r="H2167" t="s">
        <v>8996</v>
      </c>
      <c r="I2167" t="s">
        <v>53</v>
      </c>
      <c r="J2167" t="s">
        <v>721</v>
      </c>
      <c r="K2167" t="s">
        <v>3594</v>
      </c>
      <c r="L2167" t="s">
        <v>16</v>
      </c>
      <c r="M2167" t="s">
        <v>19</v>
      </c>
      <c r="N2167">
        <v>612</v>
      </c>
      <c r="O2167">
        <v>37</v>
      </c>
      <c r="P2167">
        <v>0</v>
      </c>
      <c r="Q2167" t="s">
        <v>9007</v>
      </c>
      <c r="R2167" t="s">
        <v>9008</v>
      </c>
      <c r="S2167" t="s">
        <v>1570</v>
      </c>
      <c r="T2167" t="s">
        <v>9009</v>
      </c>
      <c r="U2167" t="s">
        <v>60</v>
      </c>
      <c r="V2167" t="s">
        <v>61</v>
      </c>
      <c r="W2167">
        <v>3</v>
      </c>
      <c r="X2167">
        <v>0.09</v>
      </c>
      <c r="Y2167" t="s">
        <v>73</v>
      </c>
      <c r="Z2167" t="s">
        <v>79</v>
      </c>
      <c r="AA2167">
        <v>0</v>
      </c>
      <c r="AB2167" t="s">
        <v>8997</v>
      </c>
      <c r="AC2167" t="s">
        <v>8998</v>
      </c>
      <c r="AD2167" t="s">
        <v>8999</v>
      </c>
      <c r="AE2167" t="s">
        <v>9000</v>
      </c>
      <c r="AF2167" t="s">
        <v>9001</v>
      </c>
      <c r="AG2167" t="s">
        <v>66</v>
      </c>
      <c r="AH2167" t="s">
        <v>66</v>
      </c>
      <c r="AI2167" t="s">
        <v>66</v>
      </c>
      <c r="AJ2167" t="s">
        <v>66</v>
      </c>
      <c r="AK2167">
        <v>1</v>
      </c>
      <c r="AL2167" t="s">
        <v>66</v>
      </c>
      <c r="AM2167" t="s">
        <v>66</v>
      </c>
      <c r="AN2167" t="s">
        <v>66</v>
      </c>
      <c r="AO2167" t="s">
        <v>66</v>
      </c>
      <c r="AP2167">
        <v>1</v>
      </c>
      <c r="AQ2167" t="s">
        <v>66</v>
      </c>
      <c r="AR2167" t="s">
        <v>66</v>
      </c>
      <c r="AS2167" t="s">
        <v>66</v>
      </c>
      <c r="AT2167" t="s">
        <v>66</v>
      </c>
    </row>
    <row r="2168" spans="1:46" x14ac:dyDescent="0.15">
      <c r="A2168" t="s">
        <v>9010</v>
      </c>
      <c r="B2168" t="s">
        <v>8993</v>
      </c>
      <c r="C2168" t="s">
        <v>8994</v>
      </c>
      <c r="D2168">
        <v>4</v>
      </c>
      <c r="E2168" t="s">
        <v>8995</v>
      </c>
      <c r="F2168" t="s">
        <v>4516</v>
      </c>
      <c r="G2168" t="s">
        <v>51</v>
      </c>
      <c r="H2168" t="s">
        <v>8996</v>
      </c>
      <c r="I2168" t="s">
        <v>53</v>
      </c>
      <c r="J2168" t="s">
        <v>721</v>
      </c>
      <c r="K2168" t="s">
        <v>3594</v>
      </c>
      <c r="L2168" t="s">
        <v>16</v>
      </c>
      <c r="M2168" t="s">
        <v>19</v>
      </c>
      <c r="N2168">
        <v>668</v>
      </c>
      <c r="O2168">
        <v>40</v>
      </c>
      <c r="P2168">
        <v>0</v>
      </c>
      <c r="Q2168" t="s">
        <v>9011</v>
      </c>
      <c r="R2168" t="s">
        <v>9012</v>
      </c>
      <c r="S2168" t="s">
        <v>1575</v>
      </c>
      <c r="T2168" t="s">
        <v>9013</v>
      </c>
      <c r="U2168" t="s">
        <v>60</v>
      </c>
      <c r="V2168" t="s">
        <v>61</v>
      </c>
      <c r="W2168">
        <v>3</v>
      </c>
      <c r="X2168">
        <v>0.09</v>
      </c>
      <c r="Y2168" t="s">
        <v>85</v>
      </c>
      <c r="Z2168" t="s">
        <v>86</v>
      </c>
      <c r="AA2168">
        <v>0</v>
      </c>
      <c r="AB2168" t="s">
        <v>8997</v>
      </c>
      <c r="AC2168" t="s">
        <v>8998</v>
      </c>
      <c r="AD2168" t="s">
        <v>8999</v>
      </c>
      <c r="AE2168" t="s">
        <v>9000</v>
      </c>
      <c r="AF2168" t="s">
        <v>9001</v>
      </c>
      <c r="AG2168" t="s">
        <v>66</v>
      </c>
      <c r="AH2168" t="s">
        <v>66</v>
      </c>
      <c r="AI2168" t="s">
        <v>66</v>
      </c>
      <c r="AJ2168" t="s">
        <v>66</v>
      </c>
      <c r="AK2168">
        <v>1</v>
      </c>
      <c r="AL2168" t="s">
        <v>66</v>
      </c>
      <c r="AM2168" t="s">
        <v>66</v>
      </c>
      <c r="AN2168" t="s">
        <v>66</v>
      </c>
      <c r="AO2168" t="s">
        <v>66</v>
      </c>
      <c r="AP2168">
        <v>1</v>
      </c>
      <c r="AQ2168" t="s">
        <v>66</v>
      </c>
      <c r="AR2168" t="s">
        <v>66</v>
      </c>
      <c r="AS2168" t="s">
        <v>66</v>
      </c>
      <c r="AT2168" t="s">
        <v>66</v>
      </c>
    </row>
    <row r="2169" spans="1:46" x14ac:dyDescent="0.15">
      <c r="A2169" t="s">
        <v>9014</v>
      </c>
      <c r="B2169" t="s">
        <v>8993</v>
      </c>
      <c r="C2169" t="s">
        <v>8994</v>
      </c>
      <c r="D2169">
        <v>5</v>
      </c>
      <c r="E2169" t="s">
        <v>8995</v>
      </c>
      <c r="F2169" t="s">
        <v>4516</v>
      </c>
      <c r="G2169" t="s">
        <v>51</v>
      </c>
      <c r="H2169" t="s">
        <v>8996</v>
      </c>
      <c r="I2169" t="s">
        <v>53</v>
      </c>
      <c r="J2169" t="s">
        <v>721</v>
      </c>
      <c r="K2169" t="s">
        <v>3594</v>
      </c>
      <c r="L2169" t="s">
        <v>16</v>
      </c>
      <c r="M2169" t="s">
        <v>19</v>
      </c>
      <c r="N2169">
        <v>724</v>
      </c>
      <c r="O2169">
        <v>44</v>
      </c>
      <c r="P2169">
        <v>0</v>
      </c>
      <c r="Q2169" t="s">
        <v>9015</v>
      </c>
      <c r="R2169" t="s">
        <v>9016</v>
      </c>
      <c r="S2169" t="s">
        <v>1580</v>
      </c>
      <c r="T2169" t="s">
        <v>9017</v>
      </c>
      <c r="U2169" t="s">
        <v>60</v>
      </c>
      <c r="V2169" t="s">
        <v>61</v>
      </c>
      <c r="W2169">
        <v>3</v>
      </c>
      <c r="X2169">
        <v>0.09</v>
      </c>
      <c r="Y2169" t="s">
        <v>79</v>
      </c>
      <c r="Z2169" t="s">
        <v>92</v>
      </c>
      <c r="AA2169">
        <v>0</v>
      </c>
      <c r="AB2169" t="s">
        <v>8997</v>
      </c>
      <c r="AC2169" t="s">
        <v>8998</v>
      </c>
      <c r="AD2169" t="s">
        <v>8999</v>
      </c>
      <c r="AE2169" t="s">
        <v>9000</v>
      </c>
      <c r="AF2169" t="s">
        <v>9001</v>
      </c>
      <c r="AG2169" t="s">
        <v>66</v>
      </c>
      <c r="AH2169" t="s">
        <v>66</v>
      </c>
      <c r="AI2169" t="s">
        <v>66</v>
      </c>
      <c r="AJ2169" t="s">
        <v>66</v>
      </c>
      <c r="AK2169">
        <v>1</v>
      </c>
      <c r="AL2169" t="s">
        <v>66</v>
      </c>
      <c r="AM2169" t="s">
        <v>66</v>
      </c>
      <c r="AN2169" t="s">
        <v>66</v>
      </c>
      <c r="AO2169" t="s">
        <v>66</v>
      </c>
      <c r="AP2169">
        <v>1</v>
      </c>
      <c r="AQ2169" t="s">
        <v>66</v>
      </c>
      <c r="AR2169" t="s">
        <v>66</v>
      </c>
      <c r="AS2169" t="s">
        <v>66</v>
      </c>
      <c r="AT2169" t="s">
        <v>66</v>
      </c>
    </row>
    <row r="2170" spans="1:46" x14ac:dyDescent="0.15">
      <c r="A2170" t="s">
        <v>9018</v>
      </c>
      <c r="B2170" t="s">
        <v>8993</v>
      </c>
      <c r="C2170" t="s">
        <v>8994</v>
      </c>
      <c r="D2170">
        <v>6</v>
      </c>
      <c r="E2170" t="s">
        <v>8995</v>
      </c>
      <c r="F2170" t="s">
        <v>4516</v>
      </c>
      <c r="G2170" t="s">
        <v>51</v>
      </c>
      <c r="H2170" t="s">
        <v>8996</v>
      </c>
      <c r="I2170" t="s">
        <v>53</v>
      </c>
      <c r="J2170" t="s">
        <v>721</v>
      </c>
      <c r="K2170" t="s">
        <v>3594</v>
      </c>
      <c r="L2170" t="s">
        <v>16</v>
      </c>
      <c r="M2170" t="s">
        <v>19</v>
      </c>
      <c r="N2170">
        <v>781</v>
      </c>
      <c r="O2170">
        <v>47</v>
      </c>
      <c r="P2170">
        <v>0</v>
      </c>
      <c r="Q2170" t="s">
        <v>9019</v>
      </c>
      <c r="R2170" t="s">
        <v>9020</v>
      </c>
      <c r="S2170" t="s">
        <v>1585</v>
      </c>
      <c r="T2170" t="s">
        <v>9021</v>
      </c>
      <c r="U2170" t="s">
        <v>60</v>
      </c>
      <c r="V2170" t="s">
        <v>61</v>
      </c>
      <c r="W2170">
        <v>3</v>
      </c>
      <c r="X2170">
        <v>0.09</v>
      </c>
      <c r="Y2170" t="s">
        <v>98</v>
      </c>
      <c r="Z2170" t="s">
        <v>99</v>
      </c>
      <c r="AA2170">
        <v>0</v>
      </c>
      <c r="AB2170" t="s">
        <v>8997</v>
      </c>
      <c r="AC2170" t="s">
        <v>8998</v>
      </c>
      <c r="AD2170" t="s">
        <v>8999</v>
      </c>
      <c r="AE2170" t="s">
        <v>9000</v>
      </c>
      <c r="AF2170" t="s">
        <v>9001</v>
      </c>
      <c r="AG2170" t="s">
        <v>66</v>
      </c>
      <c r="AH2170" t="s">
        <v>66</v>
      </c>
      <c r="AI2170" t="s">
        <v>66</v>
      </c>
      <c r="AJ2170" t="s">
        <v>66</v>
      </c>
      <c r="AK2170">
        <v>1</v>
      </c>
      <c r="AL2170" t="s">
        <v>66</v>
      </c>
      <c r="AM2170" t="s">
        <v>66</v>
      </c>
      <c r="AN2170" t="s">
        <v>66</v>
      </c>
      <c r="AO2170" t="s">
        <v>66</v>
      </c>
      <c r="AP2170">
        <v>1</v>
      </c>
      <c r="AQ2170" t="s">
        <v>66</v>
      </c>
      <c r="AR2170" t="s">
        <v>66</v>
      </c>
      <c r="AS2170" t="s">
        <v>66</v>
      </c>
      <c r="AT2170" t="s">
        <v>66</v>
      </c>
    </row>
    <row r="2171" spans="1:46" x14ac:dyDescent="0.15">
      <c r="A2171" t="s">
        <v>9022</v>
      </c>
      <c r="B2171" t="s">
        <v>8993</v>
      </c>
      <c r="C2171" t="s">
        <v>8994</v>
      </c>
      <c r="D2171">
        <v>7</v>
      </c>
      <c r="E2171" t="s">
        <v>8995</v>
      </c>
      <c r="F2171" t="s">
        <v>4516</v>
      </c>
      <c r="G2171" t="s">
        <v>51</v>
      </c>
      <c r="H2171" t="s">
        <v>8996</v>
      </c>
      <c r="I2171" t="s">
        <v>53</v>
      </c>
      <c r="J2171" t="s">
        <v>721</v>
      </c>
      <c r="K2171" t="s">
        <v>3594</v>
      </c>
      <c r="L2171" t="s">
        <v>16</v>
      </c>
      <c r="M2171" t="s">
        <v>19</v>
      </c>
      <c r="N2171">
        <v>837</v>
      </c>
      <c r="O2171">
        <v>50</v>
      </c>
      <c r="P2171">
        <v>0</v>
      </c>
      <c r="Q2171" t="s">
        <v>9023</v>
      </c>
      <c r="R2171" t="s">
        <v>9024</v>
      </c>
      <c r="S2171" t="s">
        <v>1590</v>
      </c>
      <c r="T2171" t="s">
        <v>9025</v>
      </c>
      <c r="U2171" t="s">
        <v>60</v>
      </c>
      <c r="V2171" t="s">
        <v>61</v>
      </c>
      <c r="W2171">
        <v>3</v>
      </c>
      <c r="X2171">
        <v>0.09</v>
      </c>
      <c r="Y2171" t="s">
        <v>86</v>
      </c>
      <c r="Z2171" t="s">
        <v>105</v>
      </c>
      <c r="AA2171">
        <v>0</v>
      </c>
      <c r="AB2171" t="s">
        <v>8997</v>
      </c>
      <c r="AC2171" t="s">
        <v>8998</v>
      </c>
      <c r="AD2171" t="s">
        <v>8999</v>
      </c>
      <c r="AE2171" t="s">
        <v>9000</v>
      </c>
      <c r="AF2171" t="s">
        <v>9001</v>
      </c>
      <c r="AG2171" t="s">
        <v>66</v>
      </c>
      <c r="AH2171" t="s">
        <v>66</v>
      </c>
      <c r="AI2171" t="s">
        <v>66</v>
      </c>
      <c r="AJ2171" t="s">
        <v>66</v>
      </c>
      <c r="AK2171">
        <v>1</v>
      </c>
      <c r="AL2171" t="s">
        <v>66</v>
      </c>
      <c r="AM2171" t="s">
        <v>66</v>
      </c>
      <c r="AN2171" t="s">
        <v>66</v>
      </c>
      <c r="AO2171" t="s">
        <v>66</v>
      </c>
      <c r="AP2171">
        <v>1</v>
      </c>
      <c r="AQ2171" t="s">
        <v>66</v>
      </c>
      <c r="AR2171" t="s">
        <v>66</v>
      </c>
      <c r="AS2171" t="s">
        <v>66</v>
      </c>
      <c r="AT2171" t="s">
        <v>66</v>
      </c>
    </row>
    <row r="2172" spans="1:46" x14ac:dyDescent="0.15">
      <c r="A2172" t="s">
        <v>9026</v>
      </c>
      <c r="B2172" t="s">
        <v>8993</v>
      </c>
      <c r="C2172" t="s">
        <v>8994</v>
      </c>
      <c r="D2172">
        <v>8</v>
      </c>
      <c r="E2172" t="s">
        <v>8995</v>
      </c>
      <c r="F2172" t="s">
        <v>4516</v>
      </c>
      <c r="G2172" t="s">
        <v>51</v>
      </c>
      <c r="H2172" t="s">
        <v>8996</v>
      </c>
      <c r="I2172" t="s">
        <v>53</v>
      </c>
      <c r="J2172" t="s">
        <v>721</v>
      </c>
      <c r="K2172" t="s">
        <v>3594</v>
      </c>
      <c r="L2172" t="s">
        <v>16</v>
      </c>
      <c r="M2172" t="s">
        <v>19</v>
      </c>
      <c r="N2172">
        <v>893</v>
      </c>
      <c r="O2172">
        <v>54</v>
      </c>
      <c r="P2172">
        <v>0</v>
      </c>
      <c r="Q2172" t="s">
        <v>9027</v>
      </c>
      <c r="R2172" t="s">
        <v>9028</v>
      </c>
      <c r="S2172" t="s">
        <v>1595</v>
      </c>
      <c r="T2172" t="s">
        <v>9029</v>
      </c>
      <c r="U2172" t="s">
        <v>60</v>
      </c>
      <c r="V2172" t="s">
        <v>61</v>
      </c>
      <c r="W2172">
        <v>3</v>
      </c>
      <c r="X2172">
        <v>0.09</v>
      </c>
      <c r="Y2172" t="s">
        <v>111</v>
      </c>
      <c r="Z2172" t="s">
        <v>112</v>
      </c>
      <c r="AA2172">
        <v>0</v>
      </c>
      <c r="AB2172" t="s">
        <v>8997</v>
      </c>
      <c r="AC2172" t="s">
        <v>8998</v>
      </c>
      <c r="AD2172" t="s">
        <v>8999</v>
      </c>
      <c r="AE2172" t="s">
        <v>9000</v>
      </c>
      <c r="AF2172" t="s">
        <v>9001</v>
      </c>
      <c r="AG2172" t="s">
        <v>66</v>
      </c>
      <c r="AH2172" t="s">
        <v>66</v>
      </c>
      <c r="AI2172" t="s">
        <v>66</v>
      </c>
      <c r="AJ2172" t="s">
        <v>66</v>
      </c>
      <c r="AK2172">
        <v>1</v>
      </c>
      <c r="AL2172" t="s">
        <v>66</v>
      </c>
      <c r="AM2172" t="s">
        <v>66</v>
      </c>
      <c r="AN2172" t="s">
        <v>66</v>
      </c>
      <c r="AO2172" t="s">
        <v>66</v>
      </c>
      <c r="AP2172">
        <v>1</v>
      </c>
      <c r="AQ2172" t="s">
        <v>66</v>
      </c>
      <c r="AR2172" t="s">
        <v>66</v>
      </c>
      <c r="AS2172" t="s">
        <v>66</v>
      </c>
      <c r="AT2172" t="s">
        <v>66</v>
      </c>
    </row>
    <row r="2173" spans="1:46" x14ac:dyDescent="0.15">
      <c r="A2173" t="s">
        <v>9030</v>
      </c>
      <c r="B2173" t="s">
        <v>8993</v>
      </c>
      <c r="C2173" t="s">
        <v>8994</v>
      </c>
      <c r="D2173">
        <v>9</v>
      </c>
      <c r="E2173" t="s">
        <v>8995</v>
      </c>
      <c r="F2173" t="s">
        <v>4516</v>
      </c>
      <c r="G2173" t="s">
        <v>51</v>
      </c>
      <c r="H2173" t="s">
        <v>8996</v>
      </c>
      <c r="I2173" t="s">
        <v>53</v>
      </c>
      <c r="J2173" t="s">
        <v>721</v>
      </c>
      <c r="K2173" t="s">
        <v>3594</v>
      </c>
      <c r="L2173" t="s">
        <v>16</v>
      </c>
      <c r="M2173" t="s">
        <v>19</v>
      </c>
      <c r="N2173">
        <v>949</v>
      </c>
      <c r="O2173">
        <v>57</v>
      </c>
      <c r="P2173">
        <v>0</v>
      </c>
      <c r="Q2173" t="s">
        <v>9031</v>
      </c>
      <c r="R2173" t="s">
        <v>9032</v>
      </c>
      <c r="S2173" t="s">
        <v>1600</v>
      </c>
      <c r="T2173" t="s">
        <v>9033</v>
      </c>
      <c r="U2173" t="s">
        <v>60</v>
      </c>
      <c r="V2173" t="s">
        <v>61</v>
      </c>
      <c r="W2173">
        <v>3</v>
      </c>
      <c r="X2173">
        <v>0.09</v>
      </c>
      <c r="Y2173" t="s">
        <v>92</v>
      </c>
      <c r="Z2173" t="s">
        <v>118</v>
      </c>
      <c r="AA2173">
        <v>0</v>
      </c>
      <c r="AB2173" t="s">
        <v>8997</v>
      </c>
      <c r="AC2173" t="s">
        <v>8998</v>
      </c>
      <c r="AD2173" t="s">
        <v>8999</v>
      </c>
      <c r="AE2173" t="s">
        <v>9000</v>
      </c>
      <c r="AF2173" t="s">
        <v>9001</v>
      </c>
      <c r="AG2173" t="s">
        <v>66</v>
      </c>
      <c r="AH2173" t="s">
        <v>66</v>
      </c>
      <c r="AI2173" t="s">
        <v>66</v>
      </c>
      <c r="AJ2173" t="s">
        <v>66</v>
      </c>
      <c r="AK2173">
        <v>1</v>
      </c>
      <c r="AL2173" t="s">
        <v>66</v>
      </c>
      <c r="AM2173" t="s">
        <v>66</v>
      </c>
      <c r="AN2173" t="s">
        <v>66</v>
      </c>
      <c r="AO2173" t="s">
        <v>66</v>
      </c>
      <c r="AP2173">
        <v>1</v>
      </c>
      <c r="AQ2173" t="s">
        <v>66</v>
      </c>
      <c r="AR2173" t="s">
        <v>66</v>
      </c>
      <c r="AS2173" t="s">
        <v>66</v>
      </c>
      <c r="AT2173" t="s">
        <v>66</v>
      </c>
    </row>
    <row r="2174" spans="1:46" x14ac:dyDescent="0.15">
      <c r="A2174" t="s">
        <v>9034</v>
      </c>
      <c r="B2174" t="s">
        <v>8993</v>
      </c>
      <c r="C2174" t="s">
        <v>8994</v>
      </c>
      <c r="D2174">
        <v>10</v>
      </c>
      <c r="E2174" t="s">
        <v>8995</v>
      </c>
      <c r="F2174" t="s">
        <v>4516</v>
      </c>
      <c r="G2174" t="s">
        <v>51</v>
      </c>
      <c r="H2174" t="s">
        <v>8996</v>
      </c>
      <c r="I2174" t="s">
        <v>53</v>
      </c>
      <c r="J2174" t="s">
        <v>721</v>
      </c>
      <c r="K2174" t="s">
        <v>3594</v>
      </c>
      <c r="L2174" t="s">
        <v>16</v>
      </c>
      <c r="M2174" t="s">
        <v>19</v>
      </c>
      <c r="N2174">
        <v>1005</v>
      </c>
      <c r="O2174">
        <v>61</v>
      </c>
      <c r="P2174">
        <v>0</v>
      </c>
      <c r="Q2174" t="s">
        <v>9035</v>
      </c>
      <c r="R2174" t="s">
        <v>9036</v>
      </c>
      <c r="S2174" t="s">
        <v>1605</v>
      </c>
      <c r="T2174" t="s">
        <v>9037</v>
      </c>
      <c r="U2174" t="s">
        <v>60</v>
      </c>
      <c r="V2174" t="s">
        <v>61</v>
      </c>
      <c r="W2174">
        <v>3</v>
      </c>
      <c r="X2174">
        <v>0.09</v>
      </c>
      <c r="Y2174" t="s">
        <v>124</v>
      </c>
      <c r="Z2174" t="s">
        <v>125</v>
      </c>
      <c r="AA2174">
        <v>0</v>
      </c>
      <c r="AB2174" t="s">
        <v>8997</v>
      </c>
      <c r="AC2174" t="s">
        <v>8998</v>
      </c>
      <c r="AD2174" t="s">
        <v>8999</v>
      </c>
      <c r="AE2174" t="s">
        <v>9000</v>
      </c>
      <c r="AF2174" t="s">
        <v>9001</v>
      </c>
      <c r="AG2174" t="s">
        <v>66</v>
      </c>
      <c r="AH2174" t="s">
        <v>66</v>
      </c>
      <c r="AI2174" t="s">
        <v>66</v>
      </c>
      <c r="AJ2174" t="s">
        <v>66</v>
      </c>
      <c r="AK2174">
        <v>1</v>
      </c>
      <c r="AL2174" t="s">
        <v>66</v>
      </c>
      <c r="AM2174" t="s">
        <v>66</v>
      </c>
      <c r="AN2174" t="s">
        <v>66</v>
      </c>
      <c r="AO2174" t="s">
        <v>66</v>
      </c>
      <c r="AP2174">
        <v>1</v>
      </c>
      <c r="AQ2174" t="s">
        <v>66</v>
      </c>
      <c r="AR2174" t="s">
        <v>66</v>
      </c>
      <c r="AS2174" t="s">
        <v>66</v>
      </c>
      <c r="AT2174" t="s">
        <v>66</v>
      </c>
    </row>
    <row r="2175" spans="1:46" x14ac:dyDescent="0.15">
      <c r="A2175" t="s">
        <v>9038</v>
      </c>
      <c r="B2175" t="s">
        <v>8993</v>
      </c>
      <c r="C2175" t="s">
        <v>8994</v>
      </c>
      <c r="D2175">
        <v>11</v>
      </c>
      <c r="E2175" t="s">
        <v>8995</v>
      </c>
      <c r="F2175" t="s">
        <v>4516</v>
      </c>
      <c r="G2175" t="s">
        <v>51</v>
      </c>
      <c r="H2175" t="s">
        <v>8996</v>
      </c>
      <c r="I2175" t="s">
        <v>53</v>
      </c>
      <c r="J2175" t="s">
        <v>721</v>
      </c>
      <c r="K2175" t="s">
        <v>3594</v>
      </c>
      <c r="L2175" t="s">
        <v>16</v>
      </c>
      <c r="M2175" t="s">
        <v>19</v>
      </c>
      <c r="N2175">
        <v>1061</v>
      </c>
      <c r="O2175">
        <v>64</v>
      </c>
      <c r="P2175">
        <v>0</v>
      </c>
      <c r="Q2175" t="s">
        <v>9039</v>
      </c>
      <c r="R2175" t="s">
        <v>9040</v>
      </c>
      <c r="S2175" t="s">
        <v>1610</v>
      </c>
      <c r="T2175" t="s">
        <v>9041</v>
      </c>
      <c r="U2175" t="s">
        <v>60</v>
      </c>
      <c r="V2175" t="s">
        <v>61</v>
      </c>
      <c r="W2175">
        <v>3</v>
      </c>
      <c r="X2175">
        <v>0.09</v>
      </c>
      <c r="Y2175" t="s">
        <v>99</v>
      </c>
      <c r="Z2175" t="s">
        <v>131</v>
      </c>
      <c r="AA2175">
        <v>0</v>
      </c>
      <c r="AB2175" t="s">
        <v>8997</v>
      </c>
      <c r="AC2175" t="s">
        <v>8998</v>
      </c>
      <c r="AD2175" t="s">
        <v>8999</v>
      </c>
      <c r="AE2175" t="s">
        <v>9000</v>
      </c>
      <c r="AF2175" t="s">
        <v>9001</v>
      </c>
      <c r="AG2175" t="s">
        <v>66</v>
      </c>
      <c r="AH2175" t="s">
        <v>66</v>
      </c>
      <c r="AI2175" t="s">
        <v>66</v>
      </c>
      <c r="AJ2175" t="s">
        <v>66</v>
      </c>
      <c r="AK2175">
        <v>1</v>
      </c>
      <c r="AL2175" t="s">
        <v>66</v>
      </c>
      <c r="AM2175" t="s">
        <v>66</v>
      </c>
      <c r="AN2175" t="s">
        <v>66</v>
      </c>
      <c r="AO2175" t="s">
        <v>66</v>
      </c>
      <c r="AP2175">
        <v>1</v>
      </c>
      <c r="AQ2175" t="s">
        <v>66</v>
      </c>
      <c r="AR2175" t="s">
        <v>66</v>
      </c>
      <c r="AS2175" t="s">
        <v>66</v>
      </c>
      <c r="AT2175" t="s">
        <v>66</v>
      </c>
    </row>
    <row r="2176" spans="1:46" x14ac:dyDescent="0.15">
      <c r="A2176" t="s">
        <v>9042</v>
      </c>
      <c r="B2176" t="s">
        <v>8993</v>
      </c>
      <c r="C2176" t="s">
        <v>8994</v>
      </c>
      <c r="D2176">
        <v>12</v>
      </c>
      <c r="E2176" t="s">
        <v>8995</v>
      </c>
      <c r="F2176" t="s">
        <v>4516</v>
      </c>
      <c r="G2176" t="s">
        <v>51</v>
      </c>
      <c r="H2176" t="s">
        <v>8996</v>
      </c>
      <c r="I2176" t="s">
        <v>53</v>
      </c>
      <c r="J2176" t="s">
        <v>721</v>
      </c>
      <c r="K2176" t="s">
        <v>3594</v>
      </c>
      <c r="L2176" t="s">
        <v>16</v>
      </c>
      <c r="M2176" t="s">
        <v>19</v>
      </c>
      <c r="N2176">
        <v>1117</v>
      </c>
      <c r="O2176">
        <v>67</v>
      </c>
      <c r="P2176">
        <v>0</v>
      </c>
      <c r="Q2176" t="s">
        <v>9043</v>
      </c>
      <c r="R2176" t="s">
        <v>9044</v>
      </c>
      <c r="S2176" t="s">
        <v>1615</v>
      </c>
      <c r="T2176" t="s">
        <v>9045</v>
      </c>
      <c r="U2176" t="s">
        <v>60</v>
      </c>
      <c r="V2176" t="s">
        <v>61</v>
      </c>
      <c r="W2176">
        <v>3</v>
      </c>
      <c r="X2176">
        <v>0.09</v>
      </c>
      <c r="Y2176" t="s">
        <v>137</v>
      </c>
      <c r="Z2176" t="s">
        <v>138</v>
      </c>
      <c r="AA2176">
        <v>0</v>
      </c>
      <c r="AB2176" t="s">
        <v>8997</v>
      </c>
      <c r="AC2176" t="s">
        <v>8998</v>
      </c>
      <c r="AD2176" t="s">
        <v>8999</v>
      </c>
      <c r="AE2176" t="s">
        <v>9000</v>
      </c>
      <c r="AF2176" t="s">
        <v>9001</v>
      </c>
      <c r="AG2176" t="s">
        <v>66</v>
      </c>
      <c r="AH2176" t="s">
        <v>66</v>
      </c>
      <c r="AI2176" t="s">
        <v>66</v>
      </c>
      <c r="AJ2176" t="s">
        <v>66</v>
      </c>
      <c r="AK2176">
        <v>1</v>
      </c>
      <c r="AL2176" t="s">
        <v>66</v>
      </c>
      <c r="AM2176" t="s">
        <v>66</v>
      </c>
      <c r="AN2176" t="s">
        <v>66</v>
      </c>
      <c r="AO2176" t="s">
        <v>66</v>
      </c>
      <c r="AP2176">
        <v>1</v>
      </c>
      <c r="AQ2176" t="s">
        <v>66</v>
      </c>
      <c r="AR2176" t="s">
        <v>66</v>
      </c>
      <c r="AS2176" t="s">
        <v>66</v>
      </c>
      <c r="AT2176" t="s">
        <v>66</v>
      </c>
    </row>
    <row r="2177" spans="1:46" x14ac:dyDescent="0.15">
      <c r="A2177" t="s">
        <v>9046</v>
      </c>
      <c r="B2177" t="s">
        <v>8993</v>
      </c>
      <c r="C2177" t="s">
        <v>8994</v>
      </c>
      <c r="D2177">
        <v>13</v>
      </c>
      <c r="E2177" t="s">
        <v>8995</v>
      </c>
      <c r="F2177" t="s">
        <v>4516</v>
      </c>
      <c r="G2177" t="s">
        <v>51</v>
      </c>
      <c r="H2177" t="s">
        <v>8996</v>
      </c>
      <c r="I2177" t="s">
        <v>53</v>
      </c>
      <c r="J2177" t="s">
        <v>721</v>
      </c>
      <c r="K2177" t="s">
        <v>3594</v>
      </c>
      <c r="L2177" t="s">
        <v>16</v>
      </c>
      <c r="M2177" t="s">
        <v>19</v>
      </c>
      <c r="N2177">
        <v>1173</v>
      </c>
      <c r="O2177">
        <v>71</v>
      </c>
      <c r="P2177">
        <v>0</v>
      </c>
      <c r="Q2177" t="s">
        <v>9047</v>
      </c>
      <c r="R2177" t="s">
        <v>9048</v>
      </c>
      <c r="S2177" t="s">
        <v>1620</v>
      </c>
      <c r="T2177" t="s">
        <v>9049</v>
      </c>
      <c r="U2177" t="s">
        <v>60</v>
      </c>
      <c r="V2177" t="s">
        <v>61</v>
      </c>
      <c r="W2177">
        <v>3</v>
      </c>
      <c r="X2177">
        <v>0.09</v>
      </c>
      <c r="Y2177" t="s">
        <v>105</v>
      </c>
      <c r="Z2177" t="s">
        <v>144</v>
      </c>
      <c r="AA2177">
        <v>0</v>
      </c>
      <c r="AB2177" t="s">
        <v>8997</v>
      </c>
      <c r="AC2177" t="s">
        <v>8998</v>
      </c>
      <c r="AD2177" t="s">
        <v>8999</v>
      </c>
      <c r="AE2177" t="s">
        <v>9000</v>
      </c>
      <c r="AF2177" t="s">
        <v>9001</v>
      </c>
      <c r="AG2177" t="s">
        <v>66</v>
      </c>
      <c r="AH2177" t="s">
        <v>66</v>
      </c>
      <c r="AI2177" t="s">
        <v>66</v>
      </c>
      <c r="AJ2177" t="s">
        <v>66</v>
      </c>
      <c r="AK2177">
        <v>1</v>
      </c>
      <c r="AL2177" t="s">
        <v>66</v>
      </c>
      <c r="AM2177" t="s">
        <v>66</v>
      </c>
      <c r="AN2177" t="s">
        <v>66</v>
      </c>
      <c r="AO2177" t="s">
        <v>66</v>
      </c>
      <c r="AP2177">
        <v>1</v>
      </c>
      <c r="AQ2177" t="s">
        <v>66</v>
      </c>
      <c r="AR2177" t="s">
        <v>66</v>
      </c>
      <c r="AS2177" t="s">
        <v>66</v>
      </c>
      <c r="AT2177" t="s">
        <v>66</v>
      </c>
    </row>
    <row r="2178" spans="1:46" x14ac:dyDescent="0.15">
      <c r="A2178" t="s">
        <v>9050</v>
      </c>
      <c r="B2178" t="s">
        <v>8993</v>
      </c>
      <c r="C2178" t="s">
        <v>8994</v>
      </c>
      <c r="D2178">
        <v>14</v>
      </c>
      <c r="E2178" t="s">
        <v>8995</v>
      </c>
      <c r="F2178" t="s">
        <v>4516</v>
      </c>
      <c r="G2178" t="s">
        <v>51</v>
      </c>
      <c r="H2178" t="s">
        <v>8996</v>
      </c>
      <c r="I2178" t="s">
        <v>53</v>
      </c>
      <c r="J2178" t="s">
        <v>721</v>
      </c>
      <c r="K2178" t="s">
        <v>3594</v>
      </c>
      <c r="L2178" t="s">
        <v>16</v>
      </c>
      <c r="M2178" t="s">
        <v>19</v>
      </c>
      <c r="N2178">
        <v>1230</v>
      </c>
      <c r="O2178">
        <v>74</v>
      </c>
      <c r="P2178">
        <v>0</v>
      </c>
      <c r="Q2178" t="s">
        <v>9051</v>
      </c>
      <c r="R2178" t="s">
        <v>9052</v>
      </c>
      <c r="S2178" t="s">
        <v>1625</v>
      </c>
      <c r="T2178" t="s">
        <v>9053</v>
      </c>
      <c r="U2178" t="s">
        <v>60</v>
      </c>
      <c r="V2178" t="s">
        <v>61</v>
      </c>
      <c r="W2178">
        <v>3</v>
      </c>
      <c r="X2178">
        <v>0.09</v>
      </c>
      <c r="Y2178" t="s">
        <v>150</v>
      </c>
      <c r="Z2178" t="s">
        <v>151</v>
      </c>
      <c r="AA2178">
        <v>0</v>
      </c>
      <c r="AB2178" t="s">
        <v>8997</v>
      </c>
      <c r="AC2178" t="s">
        <v>8998</v>
      </c>
      <c r="AD2178" t="s">
        <v>8999</v>
      </c>
      <c r="AE2178" t="s">
        <v>9000</v>
      </c>
      <c r="AF2178" t="s">
        <v>9001</v>
      </c>
      <c r="AG2178" t="s">
        <v>66</v>
      </c>
      <c r="AH2178" t="s">
        <v>66</v>
      </c>
      <c r="AI2178" t="s">
        <v>66</v>
      </c>
      <c r="AJ2178" t="s">
        <v>66</v>
      </c>
      <c r="AK2178">
        <v>1</v>
      </c>
      <c r="AL2178" t="s">
        <v>66</v>
      </c>
      <c r="AM2178" t="s">
        <v>66</v>
      </c>
      <c r="AN2178" t="s">
        <v>66</v>
      </c>
      <c r="AO2178" t="s">
        <v>66</v>
      </c>
      <c r="AP2178">
        <v>1</v>
      </c>
      <c r="AQ2178" t="s">
        <v>66</v>
      </c>
      <c r="AR2178" t="s">
        <v>66</v>
      </c>
      <c r="AS2178" t="s">
        <v>66</v>
      </c>
      <c r="AT2178" t="s">
        <v>66</v>
      </c>
    </row>
    <row r="2179" spans="1:46" x14ac:dyDescent="0.15">
      <c r="A2179" t="s">
        <v>9054</v>
      </c>
      <c r="B2179" t="s">
        <v>8993</v>
      </c>
      <c r="C2179" t="s">
        <v>8994</v>
      </c>
      <c r="D2179">
        <v>15</v>
      </c>
      <c r="E2179" t="s">
        <v>8995</v>
      </c>
      <c r="F2179" t="s">
        <v>4516</v>
      </c>
      <c r="G2179" t="s">
        <v>51</v>
      </c>
      <c r="H2179" t="s">
        <v>8996</v>
      </c>
      <c r="I2179" t="s">
        <v>53</v>
      </c>
      <c r="J2179" t="s">
        <v>721</v>
      </c>
      <c r="K2179" t="s">
        <v>3594</v>
      </c>
      <c r="L2179" t="s">
        <v>16</v>
      </c>
      <c r="M2179" t="s">
        <v>19</v>
      </c>
      <c r="N2179">
        <v>1286</v>
      </c>
      <c r="O2179">
        <v>78</v>
      </c>
      <c r="P2179">
        <v>0</v>
      </c>
      <c r="Q2179" t="s">
        <v>9055</v>
      </c>
      <c r="R2179" t="s">
        <v>9056</v>
      </c>
      <c r="S2179" t="s">
        <v>1630</v>
      </c>
      <c r="T2179" t="s">
        <v>9057</v>
      </c>
      <c r="U2179" t="s">
        <v>60</v>
      </c>
      <c r="V2179" t="s">
        <v>61</v>
      </c>
      <c r="W2179">
        <v>3</v>
      </c>
      <c r="X2179">
        <v>0.09</v>
      </c>
      <c r="Y2179" t="s">
        <v>112</v>
      </c>
      <c r="Z2179" t="s">
        <v>157</v>
      </c>
      <c r="AA2179">
        <v>0</v>
      </c>
      <c r="AB2179" t="s">
        <v>8997</v>
      </c>
      <c r="AC2179" t="s">
        <v>8998</v>
      </c>
      <c r="AD2179" t="s">
        <v>8999</v>
      </c>
      <c r="AE2179" t="s">
        <v>9000</v>
      </c>
      <c r="AF2179" t="s">
        <v>9001</v>
      </c>
      <c r="AG2179" t="s">
        <v>66</v>
      </c>
      <c r="AH2179" t="s">
        <v>66</v>
      </c>
      <c r="AI2179" t="s">
        <v>66</v>
      </c>
      <c r="AJ2179" t="s">
        <v>66</v>
      </c>
      <c r="AK2179">
        <v>1</v>
      </c>
      <c r="AL2179" t="s">
        <v>66</v>
      </c>
      <c r="AM2179" t="s">
        <v>66</v>
      </c>
      <c r="AN2179" t="s">
        <v>66</v>
      </c>
      <c r="AO2179" t="s">
        <v>66</v>
      </c>
      <c r="AP2179">
        <v>1</v>
      </c>
      <c r="AQ2179" t="s">
        <v>66</v>
      </c>
      <c r="AR2179" t="s">
        <v>66</v>
      </c>
      <c r="AS2179" t="s">
        <v>66</v>
      </c>
      <c r="AT2179" t="s">
        <v>66</v>
      </c>
    </row>
    <row r="2180" spans="1:46" x14ac:dyDescent="0.15">
      <c r="A2180" t="s">
        <v>9058</v>
      </c>
      <c r="B2180" t="s">
        <v>8993</v>
      </c>
      <c r="C2180" t="s">
        <v>8994</v>
      </c>
      <c r="D2180">
        <v>16</v>
      </c>
      <c r="E2180" t="s">
        <v>8995</v>
      </c>
      <c r="F2180" t="s">
        <v>4516</v>
      </c>
      <c r="G2180" t="s">
        <v>51</v>
      </c>
      <c r="H2180" t="s">
        <v>8996</v>
      </c>
      <c r="I2180" t="s">
        <v>53</v>
      </c>
      <c r="J2180" t="s">
        <v>721</v>
      </c>
      <c r="K2180" t="s">
        <v>3594</v>
      </c>
      <c r="L2180" t="s">
        <v>16</v>
      </c>
      <c r="M2180" t="s">
        <v>19</v>
      </c>
      <c r="N2180">
        <v>1342</v>
      </c>
      <c r="O2180">
        <v>81</v>
      </c>
      <c r="P2180">
        <v>0</v>
      </c>
      <c r="Q2180" t="s">
        <v>9059</v>
      </c>
      <c r="R2180" t="s">
        <v>9060</v>
      </c>
      <c r="S2180" t="s">
        <v>1635</v>
      </c>
      <c r="T2180" t="s">
        <v>9061</v>
      </c>
      <c r="U2180" t="s">
        <v>60</v>
      </c>
      <c r="V2180" t="s">
        <v>61</v>
      </c>
      <c r="W2180">
        <v>3</v>
      </c>
      <c r="X2180">
        <v>0.09</v>
      </c>
      <c r="Y2180" t="s">
        <v>163</v>
      </c>
      <c r="Z2180" t="s">
        <v>164</v>
      </c>
      <c r="AA2180">
        <v>0</v>
      </c>
      <c r="AB2180" t="s">
        <v>8997</v>
      </c>
      <c r="AC2180" t="s">
        <v>8998</v>
      </c>
      <c r="AD2180" t="s">
        <v>8999</v>
      </c>
      <c r="AE2180" t="s">
        <v>9000</v>
      </c>
      <c r="AF2180" t="s">
        <v>9001</v>
      </c>
      <c r="AG2180" t="s">
        <v>66</v>
      </c>
      <c r="AH2180" t="s">
        <v>66</v>
      </c>
      <c r="AI2180" t="s">
        <v>66</v>
      </c>
      <c r="AJ2180" t="s">
        <v>66</v>
      </c>
      <c r="AK2180">
        <v>1</v>
      </c>
      <c r="AL2180" t="s">
        <v>66</v>
      </c>
      <c r="AM2180" t="s">
        <v>66</v>
      </c>
      <c r="AN2180" t="s">
        <v>66</v>
      </c>
      <c r="AO2180" t="s">
        <v>66</v>
      </c>
      <c r="AP2180">
        <v>1</v>
      </c>
      <c r="AQ2180" t="s">
        <v>66</v>
      </c>
      <c r="AR2180" t="s">
        <v>66</v>
      </c>
      <c r="AS2180" t="s">
        <v>66</v>
      </c>
      <c r="AT2180" t="s">
        <v>66</v>
      </c>
    </row>
    <row r="2181" spans="1:46" x14ac:dyDescent="0.15">
      <c r="A2181" t="s">
        <v>9062</v>
      </c>
      <c r="B2181" t="s">
        <v>8993</v>
      </c>
      <c r="C2181" t="s">
        <v>8994</v>
      </c>
      <c r="D2181">
        <v>17</v>
      </c>
      <c r="E2181" t="s">
        <v>8995</v>
      </c>
      <c r="F2181" t="s">
        <v>4516</v>
      </c>
      <c r="G2181" t="s">
        <v>51</v>
      </c>
      <c r="H2181" t="s">
        <v>8996</v>
      </c>
      <c r="I2181" t="s">
        <v>53</v>
      </c>
      <c r="J2181" t="s">
        <v>721</v>
      </c>
      <c r="K2181" t="s">
        <v>3594</v>
      </c>
      <c r="L2181" t="s">
        <v>16</v>
      </c>
      <c r="M2181" t="s">
        <v>19</v>
      </c>
      <c r="N2181">
        <v>1398</v>
      </c>
      <c r="O2181">
        <v>84</v>
      </c>
      <c r="P2181">
        <v>0</v>
      </c>
      <c r="Q2181" t="s">
        <v>9063</v>
      </c>
      <c r="R2181" t="s">
        <v>9064</v>
      </c>
      <c r="S2181" t="s">
        <v>1640</v>
      </c>
      <c r="T2181" t="s">
        <v>9065</v>
      </c>
      <c r="U2181" t="s">
        <v>60</v>
      </c>
      <c r="V2181" t="s">
        <v>61</v>
      </c>
      <c r="W2181">
        <v>3</v>
      </c>
      <c r="X2181">
        <v>0.09</v>
      </c>
      <c r="Y2181" t="s">
        <v>118</v>
      </c>
      <c r="Z2181" t="s">
        <v>170</v>
      </c>
      <c r="AA2181">
        <v>0</v>
      </c>
      <c r="AB2181" t="s">
        <v>8997</v>
      </c>
      <c r="AC2181" t="s">
        <v>8998</v>
      </c>
      <c r="AD2181" t="s">
        <v>8999</v>
      </c>
      <c r="AE2181" t="s">
        <v>9000</v>
      </c>
      <c r="AF2181" t="s">
        <v>9001</v>
      </c>
      <c r="AG2181" t="s">
        <v>66</v>
      </c>
      <c r="AH2181" t="s">
        <v>66</v>
      </c>
      <c r="AI2181" t="s">
        <v>66</v>
      </c>
      <c r="AJ2181" t="s">
        <v>66</v>
      </c>
      <c r="AK2181">
        <v>1</v>
      </c>
      <c r="AL2181" t="s">
        <v>66</v>
      </c>
      <c r="AM2181" t="s">
        <v>66</v>
      </c>
      <c r="AN2181" t="s">
        <v>66</v>
      </c>
      <c r="AO2181" t="s">
        <v>66</v>
      </c>
      <c r="AP2181">
        <v>1</v>
      </c>
      <c r="AQ2181" t="s">
        <v>66</v>
      </c>
      <c r="AR2181" t="s">
        <v>66</v>
      </c>
      <c r="AS2181" t="s">
        <v>66</v>
      </c>
      <c r="AT2181" t="s">
        <v>66</v>
      </c>
    </row>
    <row r="2182" spans="1:46" x14ac:dyDescent="0.15">
      <c r="A2182" t="s">
        <v>9066</v>
      </c>
      <c r="B2182" t="s">
        <v>8993</v>
      </c>
      <c r="C2182" t="s">
        <v>8994</v>
      </c>
      <c r="D2182">
        <v>18</v>
      </c>
      <c r="E2182" t="s">
        <v>8995</v>
      </c>
      <c r="F2182" t="s">
        <v>4516</v>
      </c>
      <c r="G2182" t="s">
        <v>51</v>
      </c>
      <c r="H2182" t="s">
        <v>8996</v>
      </c>
      <c r="I2182" t="s">
        <v>53</v>
      </c>
      <c r="J2182" t="s">
        <v>721</v>
      </c>
      <c r="K2182" t="s">
        <v>3594</v>
      </c>
      <c r="L2182" t="s">
        <v>16</v>
      </c>
      <c r="M2182" t="s">
        <v>19</v>
      </c>
      <c r="N2182">
        <v>1454</v>
      </c>
      <c r="O2182">
        <v>88</v>
      </c>
      <c r="P2182">
        <v>0</v>
      </c>
      <c r="Q2182" t="s">
        <v>9067</v>
      </c>
      <c r="R2182" t="s">
        <v>9068</v>
      </c>
      <c r="S2182" t="s">
        <v>1645</v>
      </c>
      <c r="T2182" t="s">
        <v>9069</v>
      </c>
      <c r="U2182" t="s">
        <v>60</v>
      </c>
      <c r="V2182" t="s">
        <v>61</v>
      </c>
      <c r="W2182">
        <v>3</v>
      </c>
      <c r="X2182">
        <v>0.09</v>
      </c>
      <c r="Y2182" t="s">
        <v>176</v>
      </c>
      <c r="Z2182" t="s">
        <v>177</v>
      </c>
      <c r="AA2182">
        <v>0</v>
      </c>
      <c r="AB2182" t="s">
        <v>8997</v>
      </c>
      <c r="AC2182" t="s">
        <v>8998</v>
      </c>
      <c r="AD2182" t="s">
        <v>8999</v>
      </c>
      <c r="AE2182" t="s">
        <v>9000</v>
      </c>
      <c r="AF2182" t="s">
        <v>9001</v>
      </c>
      <c r="AG2182" t="s">
        <v>66</v>
      </c>
      <c r="AH2182" t="s">
        <v>66</v>
      </c>
      <c r="AI2182" t="s">
        <v>66</v>
      </c>
      <c r="AJ2182" t="s">
        <v>66</v>
      </c>
      <c r="AK2182">
        <v>1</v>
      </c>
      <c r="AL2182" t="s">
        <v>66</v>
      </c>
      <c r="AM2182" t="s">
        <v>66</v>
      </c>
      <c r="AN2182" t="s">
        <v>66</v>
      </c>
      <c r="AO2182" t="s">
        <v>66</v>
      </c>
      <c r="AP2182">
        <v>1</v>
      </c>
      <c r="AQ2182" t="s">
        <v>66</v>
      </c>
      <c r="AR2182" t="s">
        <v>66</v>
      </c>
      <c r="AS2182" t="s">
        <v>66</v>
      </c>
      <c r="AT2182" t="s">
        <v>66</v>
      </c>
    </row>
    <row r="2183" spans="1:46" x14ac:dyDescent="0.15">
      <c r="A2183" t="s">
        <v>9070</v>
      </c>
      <c r="B2183" t="s">
        <v>8993</v>
      </c>
      <c r="C2183" t="s">
        <v>8994</v>
      </c>
      <c r="D2183">
        <v>19</v>
      </c>
      <c r="E2183" t="s">
        <v>8995</v>
      </c>
      <c r="F2183" t="s">
        <v>4516</v>
      </c>
      <c r="G2183" t="s">
        <v>51</v>
      </c>
      <c r="H2183" t="s">
        <v>8996</v>
      </c>
      <c r="I2183" t="s">
        <v>53</v>
      </c>
      <c r="J2183" t="s">
        <v>721</v>
      </c>
      <c r="K2183" t="s">
        <v>3594</v>
      </c>
      <c r="L2183" t="s">
        <v>16</v>
      </c>
      <c r="M2183" t="s">
        <v>19</v>
      </c>
      <c r="N2183">
        <v>1510</v>
      </c>
      <c r="O2183">
        <v>91</v>
      </c>
      <c r="P2183">
        <v>0</v>
      </c>
      <c r="Q2183" t="s">
        <v>9071</v>
      </c>
      <c r="R2183" t="s">
        <v>9072</v>
      </c>
      <c r="S2183" t="s">
        <v>1650</v>
      </c>
      <c r="T2183" t="s">
        <v>9073</v>
      </c>
      <c r="U2183" t="s">
        <v>60</v>
      </c>
      <c r="V2183" t="s">
        <v>61</v>
      </c>
      <c r="W2183">
        <v>3</v>
      </c>
      <c r="X2183">
        <v>0.09</v>
      </c>
      <c r="Y2183" t="s">
        <v>125</v>
      </c>
      <c r="Z2183" t="s">
        <v>183</v>
      </c>
      <c r="AA2183">
        <v>0</v>
      </c>
      <c r="AB2183" t="s">
        <v>8997</v>
      </c>
      <c r="AC2183" t="s">
        <v>8998</v>
      </c>
      <c r="AD2183" t="s">
        <v>8999</v>
      </c>
      <c r="AE2183" t="s">
        <v>9000</v>
      </c>
      <c r="AF2183" t="s">
        <v>9001</v>
      </c>
      <c r="AG2183" t="s">
        <v>66</v>
      </c>
      <c r="AH2183" t="s">
        <v>66</v>
      </c>
      <c r="AI2183" t="s">
        <v>66</v>
      </c>
      <c r="AJ2183" t="s">
        <v>66</v>
      </c>
      <c r="AK2183">
        <v>1</v>
      </c>
      <c r="AL2183" t="s">
        <v>66</v>
      </c>
      <c r="AM2183" t="s">
        <v>66</v>
      </c>
      <c r="AN2183" t="s">
        <v>66</v>
      </c>
      <c r="AO2183" t="s">
        <v>66</v>
      </c>
      <c r="AP2183">
        <v>1</v>
      </c>
      <c r="AQ2183" t="s">
        <v>66</v>
      </c>
      <c r="AR2183" t="s">
        <v>66</v>
      </c>
      <c r="AS2183" t="s">
        <v>66</v>
      </c>
      <c r="AT2183" t="s">
        <v>66</v>
      </c>
    </row>
    <row r="2184" spans="1:46" x14ac:dyDescent="0.15">
      <c r="A2184" t="s">
        <v>9074</v>
      </c>
      <c r="B2184" t="s">
        <v>8993</v>
      </c>
      <c r="C2184" t="s">
        <v>8994</v>
      </c>
      <c r="D2184">
        <v>20</v>
      </c>
      <c r="E2184" t="s">
        <v>8995</v>
      </c>
      <c r="F2184" t="s">
        <v>4516</v>
      </c>
      <c r="G2184" t="s">
        <v>51</v>
      </c>
      <c r="H2184" t="s">
        <v>8996</v>
      </c>
      <c r="I2184" t="s">
        <v>53</v>
      </c>
      <c r="J2184" t="s">
        <v>721</v>
      </c>
      <c r="K2184" t="s">
        <v>3594</v>
      </c>
      <c r="L2184" t="s">
        <v>16</v>
      </c>
      <c r="M2184" t="s">
        <v>19</v>
      </c>
      <c r="N2184">
        <v>1566</v>
      </c>
      <c r="O2184">
        <v>95</v>
      </c>
      <c r="P2184">
        <v>0</v>
      </c>
      <c r="Q2184" t="s">
        <v>9075</v>
      </c>
      <c r="R2184" t="s">
        <v>9076</v>
      </c>
      <c r="S2184" t="s">
        <v>1655</v>
      </c>
      <c r="T2184" t="s">
        <v>9077</v>
      </c>
      <c r="U2184" t="s">
        <v>60</v>
      </c>
      <c r="V2184" t="s">
        <v>61</v>
      </c>
      <c r="W2184">
        <v>3</v>
      </c>
      <c r="X2184">
        <v>0.09</v>
      </c>
      <c r="Y2184" t="s">
        <v>189</v>
      </c>
      <c r="Z2184" t="s">
        <v>190</v>
      </c>
      <c r="AA2184">
        <v>0</v>
      </c>
      <c r="AB2184" t="s">
        <v>8997</v>
      </c>
      <c r="AC2184" t="s">
        <v>8998</v>
      </c>
      <c r="AD2184" t="s">
        <v>8999</v>
      </c>
      <c r="AE2184" t="s">
        <v>9000</v>
      </c>
      <c r="AF2184" t="s">
        <v>9001</v>
      </c>
      <c r="AG2184" t="s">
        <v>66</v>
      </c>
      <c r="AH2184" t="s">
        <v>66</v>
      </c>
      <c r="AI2184" t="s">
        <v>66</v>
      </c>
      <c r="AJ2184" t="s">
        <v>66</v>
      </c>
      <c r="AK2184">
        <v>1</v>
      </c>
      <c r="AL2184" t="s">
        <v>66</v>
      </c>
      <c r="AM2184" t="s">
        <v>66</v>
      </c>
      <c r="AN2184" t="s">
        <v>66</v>
      </c>
      <c r="AO2184" t="s">
        <v>66</v>
      </c>
      <c r="AP2184">
        <v>1</v>
      </c>
      <c r="AQ2184" t="s">
        <v>66</v>
      </c>
      <c r="AR2184" t="s">
        <v>66</v>
      </c>
      <c r="AS2184" t="s">
        <v>66</v>
      </c>
      <c r="AT2184" t="s">
        <v>66</v>
      </c>
    </row>
    <row r="2185" spans="1:46" x14ac:dyDescent="0.15">
      <c r="A2185" t="s">
        <v>9074</v>
      </c>
      <c r="B2185" t="s">
        <v>8993</v>
      </c>
      <c r="C2185" t="s">
        <v>8994</v>
      </c>
      <c r="D2185">
        <v>20</v>
      </c>
      <c r="E2185" t="s">
        <v>8995</v>
      </c>
      <c r="F2185" t="s">
        <v>4516</v>
      </c>
      <c r="G2185" t="s">
        <v>51</v>
      </c>
      <c r="H2185" t="s">
        <v>8996</v>
      </c>
      <c r="I2185" t="s">
        <v>53</v>
      </c>
      <c r="J2185" t="s">
        <v>721</v>
      </c>
      <c r="K2185" t="s">
        <v>3594</v>
      </c>
      <c r="L2185" t="s">
        <v>16</v>
      </c>
      <c r="M2185" t="s">
        <v>19</v>
      </c>
      <c r="N2185">
        <v>1566</v>
      </c>
      <c r="O2185">
        <v>95</v>
      </c>
      <c r="P2185">
        <v>0</v>
      </c>
      <c r="Q2185" t="s">
        <v>9075</v>
      </c>
      <c r="R2185" t="s">
        <v>9076</v>
      </c>
      <c r="S2185" t="s">
        <v>1655</v>
      </c>
      <c r="T2185" t="s">
        <v>9077</v>
      </c>
      <c r="U2185" t="s">
        <v>60</v>
      </c>
      <c r="V2185" t="s">
        <v>61</v>
      </c>
      <c r="W2185">
        <v>3</v>
      </c>
      <c r="X2185">
        <v>0.09</v>
      </c>
      <c r="Y2185" t="s">
        <v>189</v>
      </c>
      <c r="Z2185" t="s">
        <v>190</v>
      </c>
      <c r="AA2185">
        <v>1</v>
      </c>
      <c r="AB2185" t="s">
        <v>8997</v>
      </c>
      <c r="AC2185" t="s">
        <v>8998</v>
      </c>
      <c r="AD2185" t="s">
        <v>8999</v>
      </c>
      <c r="AE2185" t="s">
        <v>9000</v>
      </c>
      <c r="AF2185" t="s">
        <v>9001</v>
      </c>
      <c r="AG2185" t="s">
        <v>66</v>
      </c>
      <c r="AH2185" t="s">
        <v>66</v>
      </c>
      <c r="AI2185" t="s">
        <v>66</v>
      </c>
      <c r="AJ2185" t="s">
        <v>66</v>
      </c>
      <c r="AK2185">
        <v>1</v>
      </c>
      <c r="AL2185" t="s">
        <v>66</v>
      </c>
      <c r="AM2185" t="s">
        <v>66</v>
      </c>
      <c r="AN2185" t="s">
        <v>66</v>
      </c>
      <c r="AO2185" t="s">
        <v>66</v>
      </c>
      <c r="AP2185">
        <v>1</v>
      </c>
      <c r="AQ2185" t="s">
        <v>66</v>
      </c>
      <c r="AR2185" t="s">
        <v>66</v>
      </c>
      <c r="AS2185" t="s">
        <v>66</v>
      </c>
      <c r="AT2185" t="s">
        <v>66</v>
      </c>
    </row>
    <row r="2186" spans="1:46" x14ac:dyDescent="0.15">
      <c r="A2186" t="s">
        <v>9078</v>
      </c>
      <c r="B2186" t="s">
        <v>8993</v>
      </c>
      <c r="C2186" t="s">
        <v>8994</v>
      </c>
      <c r="D2186">
        <v>21</v>
      </c>
      <c r="E2186" t="s">
        <v>8995</v>
      </c>
      <c r="F2186" t="s">
        <v>4516</v>
      </c>
      <c r="G2186" t="s">
        <v>51</v>
      </c>
      <c r="H2186" t="s">
        <v>8996</v>
      </c>
      <c r="I2186" t="s">
        <v>53</v>
      </c>
      <c r="J2186" t="s">
        <v>721</v>
      </c>
      <c r="K2186" t="s">
        <v>3594</v>
      </c>
      <c r="L2186" t="s">
        <v>16</v>
      </c>
      <c r="M2186" t="s">
        <v>19</v>
      </c>
      <c r="N2186">
        <v>1622</v>
      </c>
      <c r="O2186">
        <v>98</v>
      </c>
      <c r="P2186">
        <v>0</v>
      </c>
      <c r="Q2186" t="s">
        <v>9079</v>
      </c>
      <c r="R2186" t="s">
        <v>9080</v>
      </c>
      <c r="S2186" t="s">
        <v>1660</v>
      </c>
      <c r="T2186" t="s">
        <v>9081</v>
      </c>
      <c r="U2186" t="s">
        <v>60</v>
      </c>
      <c r="V2186" t="s">
        <v>61</v>
      </c>
      <c r="W2186">
        <v>3</v>
      </c>
      <c r="X2186">
        <v>0.09</v>
      </c>
      <c r="Y2186" t="s">
        <v>131</v>
      </c>
      <c r="Z2186" t="s">
        <v>197</v>
      </c>
      <c r="AA2186">
        <v>1</v>
      </c>
      <c r="AB2186" t="s">
        <v>8997</v>
      </c>
      <c r="AC2186" t="s">
        <v>8998</v>
      </c>
      <c r="AD2186" t="s">
        <v>8999</v>
      </c>
      <c r="AE2186" t="s">
        <v>9000</v>
      </c>
      <c r="AF2186" t="s">
        <v>9001</v>
      </c>
      <c r="AG2186" t="s">
        <v>66</v>
      </c>
      <c r="AH2186" t="s">
        <v>66</v>
      </c>
      <c r="AI2186" t="s">
        <v>66</v>
      </c>
      <c r="AJ2186" t="s">
        <v>66</v>
      </c>
      <c r="AK2186">
        <v>1</v>
      </c>
      <c r="AL2186" t="s">
        <v>66</v>
      </c>
      <c r="AM2186" t="s">
        <v>66</v>
      </c>
      <c r="AN2186" t="s">
        <v>66</v>
      </c>
      <c r="AO2186" t="s">
        <v>66</v>
      </c>
      <c r="AP2186">
        <v>1</v>
      </c>
      <c r="AQ2186" t="s">
        <v>66</v>
      </c>
      <c r="AR2186" t="s">
        <v>66</v>
      </c>
      <c r="AS2186" t="s">
        <v>66</v>
      </c>
      <c r="AT2186" t="s">
        <v>66</v>
      </c>
    </row>
    <row r="2187" spans="1:46" x14ac:dyDescent="0.15">
      <c r="A2187" t="s">
        <v>9082</v>
      </c>
      <c r="B2187" t="s">
        <v>8993</v>
      </c>
      <c r="C2187" t="s">
        <v>8994</v>
      </c>
      <c r="D2187">
        <v>22</v>
      </c>
      <c r="E2187" t="s">
        <v>8995</v>
      </c>
      <c r="F2187" t="s">
        <v>4516</v>
      </c>
      <c r="G2187" t="s">
        <v>51</v>
      </c>
      <c r="H2187" t="s">
        <v>8996</v>
      </c>
      <c r="I2187" t="s">
        <v>53</v>
      </c>
      <c r="J2187" t="s">
        <v>721</v>
      </c>
      <c r="K2187" t="s">
        <v>3594</v>
      </c>
      <c r="L2187" t="s">
        <v>16</v>
      </c>
      <c r="M2187" t="s">
        <v>19</v>
      </c>
      <c r="N2187">
        <v>1679</v>
      </c>
      <c r="O2187">
        <v>101</v>
      </c>
      <c r="P2187">
        <v>0</v>
      </c>
      <c r="Q2187" t="s">
        <v>9083</v>
      </c>
      <c r="R2187" t="s">
        <v>9084</v>
      </c>
      <c r="S2187" t="s">
        <v>1665</v>
      </c>
      <c r="T2187" t="s">
        <v>9085</v>
      </c>
      <c r="U2187" t="s">
        <v>60</v>
      </c>
      <c r="V2187" t="s">
        <v>61</v>
      </c>
      <c r="W2187">
        <v>3</v>
      </c>
      <c r="X2187">
        <v>0.09</v>
      </c>
      <c r="Y2187" t="s">
        <v>203</v>
      </c>
      <c r="Z2187" t="s">
        <v>204</v>
      </c>
      <c r="AA2187">
        <v>1</v>
      </c>
      <c r="AB2187" t="s">
        <v>8997</v>
      </c>
      <c r="AC2187" t="s">
        <v>8998</v>
      </c>
      <c r="AD2187" t="s">
        <v>8999</v>
      </c>
      <c r="AE2187" t="s">
        <v>9000</v>
      </c>
      <c r="AF2187" t="s">
        <v>9001</v>
      </c>
      <c r="AG2187" t="s">
        <v>66</v>
      </c>
      <c r="AH2187" t="s">
        <v>66</v>
      </c>
      <c r="AI2187" t="s">
        <v>66</v>
      </c>
      <c r="AJ2187" t="s">
        <v>66</v>
      </c>
      <c r="AK2187">
        <v>1</v>
      </c>
      <c r="AL2187" t="s">
        <v>66</v>
      </c>
      <c r="AM2187" t="s">
        <v>66</v>
      </c>
      <c r="AN2187" t="s">
        <v>66</v>
      </c>
      <c r="AO2187" t="s">
        <v>66</v>
      </c>
      <c r="AP2187">
        <v>1</v>
      </c>
      <c r="AQ2187" t="s">
        <v>66</v>
      </c>
      <c r="AR2187" t="s">
        <v>66</v>
      </c>
      <c r="AS2187" t="s">
        <v>66</v>
      </c>
      <c r="AT2187" t="s">
        <v>66</v>
      </c>
    </row>
    <row r="2188" spans="1:46" x14ac:dyDescent="0.15">
      <c r="A2188" t="s">
        <v>9086</v>
      </c>
      <c r="B2188" t="s">
        <v>8993</v>
      </c>
      <c r="C2188" t="s">
        <v>8994</v>
      </c>
      <c r="D2188">
        <v>23</v>
      </c>
      <c r="E2188" t="s">
        <v>8995</v>
      </c>
      <c r="F2188" t="s">
        <v>4516</v>
      </c>
      <c r="G2188" t="s">
        <v>51</v>
      </c>
      <c r="H2188" t="s">
        <v>8996</v>
      </c>
      <c r="I2188" t="s">
        <v>53</v>
      </c>
      <c r="J2188" t="s">
        <v>721</v>
      </c>
      <c r="K2188" t="s">
        <v>3594</v>
      </c>
      <c r="L2188" t="s">
        <v>16</v>
      </c>
      <c r="M2188" t="s">
        <v>19</v>
      </c>
      <c r="N2188">
        <v>1735</v>
      </c>
      <c r="O2188">
        <v>105</v>
      </c>
      <c r="P2188">
        <v>0</v>
      </c>
      <c r="Q2188" t="s">
        <v>9087</v>
      </c>
      <c r="R2188" t="s">
        <v>9088</v>
      </c>
      <c r="S2188" t="s">
        <v>1670</v>
      </c>
      <c r="T2188" t="s">
        <v>9089</v>
      </c>
      <c r="U2188" t="s">
        <v>60</v>
      </c>
      <c r="V2188" t="s">
        <v>61</v>
      </c>
      <c r="W2188">
        <v>3</v>
      </c>
      <c r="X2188">
        <v>0.09</v>
      </c>
      <c r="Y2188" t="s">
        <v>138</v>
      </c>
      <c r="Z2188" t="s">
        <v>210</v>
      </c>
      <c r="AA2188">
        <v>1</v>
      </c>
      <c r="AB2188" t="s">
        <v>8997</v>
      </c>
      <c r="AC2188" t="s">
        <v>8998</v>
      </c>
      <c r="AD2188" t="s">
        <v>8999</v>
      </c>
      <c r="AE2188" t="s">
        <v>9000</v>
      </c>
      <c r="AF2188" t="s">
        <v>9001</v>
      </c>
      <c r="AG2188" t="s">
        <v>66</v>
      </c>
      <c r="AH2188" t="s">
        <v>66</v>
      </c>
      <c r="AI2188" t="s">
        <v>66</v>
      </c>
      <c r="AJ2188" t="s">
        <v>66</v>
      </c>
      <c r="AK2188">
        <v>1</v>
      </c>
      <c r="AL2188" t="s">
        <v>66</v>
      </c>
      <c r="AM2188" t="s">
        <v>66</v>
      </c>
      <c r="AN2188" t="s">
        <v>66</v>
      </c>
      <c r="AO2188" t="s">
        <v>66</v>
      </c>
      <c r="AP2188">
        <v>1</v>
      </c>
      <c r="AQ2188" t="s">
        <v>66</v>
      </c>
      <c r="AR2188" t="s">
        <v>66</v>
      </c>
      <c r="AS2188" t="s">
        <v>66</v>
      </c>
      <c r="AT2188" t="s">
        <v>66</v>
      </c>
    </row>
    <row r="2189" spans="1:46" x14ac:dyDescent="0.15">
      <c r="A2189" t="s">
        <v>9090</v>
      </c>
      <c r="B2189" t="s">
        <v>8993</v>
      </c>
      <c r="C2189" t="s">
        <v>8994</v>
      </c>
      <c r="D2189">
        <v>24</v>
      </c>
      <c r="E2189" t="s">
        <v>8995</v>
      </c>
      <c r="F2189" t="s">
        <v>4516</v>
      </c>
      <c r="G2189" t="s">
        <v>51</v>
      </c>
      <c r="H2189" t="s">
        <v>8996</v>
      </c>
      <c r="I2189" t="s">
        <v>53</v>
      </c>
      <c r="J2189" t="s">
        <v>721</v>
      </c>
      <c r="K2189" t="s">
        <v>3594</v>
      </c>
      <c r="L2189" t="s">
        <v>16</v>
      </c>
      <c r="M2189" t="s">
        <v>19</v>
      </c>
      <c r="N2189">
        <v>1791</v>
      </c>
      <c r="O2189">
        <v>108</v>
      </c>
      <c r="P2189">
        <v>0</v>
      </c>
      <c r="Q2189" t="s">
        <v>9091</v>
      </c>
      <c r="R2189" t="s">
        <v>9092</v>
      </c>
      <c r="S2189" t="s">
        <v>1675</v>
      </c>
      <c r="T2189" t="s">
        <v>9093</v>
      </c>
      <c r="U2189" t="s">
        <v>60</v>
      </c>
      <c r="V2189" t="s">
        <v>61</v>
      </c>
      <c r="W2189">
        <v>3</v>
      </c>
      <c r="X2189">
        <v>0.09</v>
      </c>
      <c r="Y2189" t="s">
        <v>216</v>
      </c>
      <c r="Z2189" t="s">
        <v>217</v>
      </c>
      <c r="AA2189">
        <v>1</v>
      </c>
      <c r="AB2189" t="s">
        <v>8997</v>
      </c>
      <c r="AC2189" t="s">
        <v>8998</v>
      </c>
      <c r="AD2189" t="s">
        <v>8999</v>
      </c>
      <c r="AE2189" t="s">
        <v>9000</v>
      </c>
      <c r="AF2189" t="s">
        <v>9001</v>
      </c>
      <c r="AG2189" t="s">
        <v>66</v>
      </c>
      <c r="AH2189" t="s">
        <v>66</v>
      </c>
      <c r="AI2189" t="s">
        <v>66</v>
      </c>
      <c r="AJ2189" t="s">
        <v>66</v>
      </c>
      <c r="AK2189">
        <v>1</v>
      </c>
      <c r="AL2189" t="s">
        <v>66</v>
      </c>
      <c r="AM2189" t="s">
        <v>66</v>
      </c>
      <c r="AN2189" t="s">
        <v>66</v>
      </c>
      <c r="AO2189" t="s">
        <v>66</v>
      </c>
      <c r="AP2189">
        <v>1</v>
      </c>
      <c r="AQ2189" t="s">
        <v>66</v>
      </c>
      <c r="AR2189" t="s">
        <v>66</v>
      </c>
      <c r="AS2189" t="s">
        <v>66</v>
      </c>
      <c r="AT2189" t="s">
        <v>66</v>
      </c>
    </row>
    <row r="2190" spans="1:46" x14ac:dyDescent="0.15">
      <c r="A2190" t="s">
        <v>9094</v>
      </c>
      <c r="B2190" t="s">
        <v>8993</v>
      </c>
      <c r="C2190" t="s">
        <v>8994</v>
      </c>
      <c r="D2190">
        <v>25</v>
      </c>
      <c r="E2190" t="s">
        <v>8995</v>
      </c>
      <c r="F2190" t="s">
        <v>4516</v>
      </c>
      <c r="G2190" t="s">
        <v>51</v>
      </c>
      <c r="H2190" t="s">
        <v>8996</v>
      </c>
      <c r="I2190" t="s">
        <v>53</v>
      </c>
      <c r="J2190" t="s">
        <v>721</v>
      </c>
      <c r="K2190" t="s">
        <v>3594</v>
      </c>
      <c r="L2190" t="s">
        <v>16</v>
      </c>
      <c r="M2190" t="s">
        <v>19</v>
      </c>
      <c r="N2190">
        <v>1847</v>
      </c>
      <c r="O2190">
        <v>112</v>
      </c>
      <c r="P2190">
        <v>0</v>
      </c>
      <c r="Q2190" t="s">
        <v>9095</v>
      </c>
      <c r="R2190" t="s">
        <v>9096</v>
      </c>
      <c r="S2190" t="s">
        <v>1680</v>
      </c>
      <c r="T2190" t="s">
        <v>9097</v>
      </c>
      <c r="U2190" t="s">
        <v>60</v>
      </c>
      <c r="V2190" t="s">
        <v>61</v>
      </c>
      <c r="W2190">
        <v>3</v>
      </c>
      <c r="X2190">
        <v>0.09</v>
      </c>
      <c r="Y2190" t="s">
        <v>144</v>
      </c>
      <c r="Z2190" t="s">
        <v>223</v>
      </c>
      <c r="AA2190">
        <v>1</v>
      </c>
      <c r="AB2190" t="s">
        <v>8997</v>
      </c>
      <c r="AC2190" t="s">
        <v>8998</v>
      </c>
      <c r="AD2190" t="s">
        <v>8999</v>
      </c>
      <c r="AE2190" t="s">
        <v>9000</v>
      </c>
      <c r="AF2190" t="s">
        <v>9001</v>
      </c>
      <c r="AG2190" t="s">
        <v>66</v>
      </c>
      <c r="AH2190" t="s">
        <v>66</v>
      </c>
      <c r="AI2190" t="s">
        <v>66</v>
      </c>
      <c r="AJ2190" t="s">
        <v>66</v>
      </c>
      <c r="AK2190">
        <v>1</v>
      </c>
      <c r="AL2190" t="s">
        <v>66</v>
      </c>
      <c r="AM2190" t="s">
        <v>66</v>
      </c>
      <c r="AN2190" t="s">
        <v>66</v>
      </c>
      <c r="AO2190" t="s">
        <v>66</v>
      </c>
      <c r="AP2190">
        <v>1</v>
      </c>
      <c r="AQ2190" t="s">
        <v>66</v>
      </c>
      <c r="AR2190" t="s">
        <v>66</v>
      </c>
      <c r="AS2190" t="s">
        <v>66</v>
      </c>
      <c r="AT2190" t="s">
        <v>66</v>
      </c>
    </row>
    <row r="2191" spans="1:46" x14ac:dyDescent="0.15">
      <c r="A2191" t="s">
        <v>9098</v>
      </c>
      <c r="B2191" t="s">
        <v>8993</v>
      </c>
      <c r="C2191" t="s">
        <v>8994</v>
      </c>
      <c r="D2191">
        <v>26</v>
      </c>
      <c r="E2191" t="s">
        <v>8995</v>
      </c>
      <c r="F2191" t="s">
        <v>4516</v>
      </c>
      <c r="G2191" t="s">
        <v>51</v>
      </c>
      <c r="H2191" t="s">
        <v>8996</v>
      </c>
      <c r="I2191" t="s">
        <v>53</v>
      </c>
      <c r="J2191" t="s">
        <v>721</v>
      </c>
      <c r="K2191" t="s">
        <v>3594</v>
      </c>
      <c r="L2191" t="s">
        <v>16</v>
      </c>
      <c r="M2191" t="s">
        <v>19</v>
      </c>
      <c r="N2191">
        <v>1903</v>
      </c>
      <c r="O2191">
        <v>115</v>
      </c>
      <c r="P2191">
        <v>0</v>
      </c>
      <c r="Q2191" t="s">
        <v>9099</v>
      </c>
      <c r="R2191" t="s">
        <v>9100</v>
      </c>
      <c r="S2191" t="s">
        <v>1685</v>
      </c>
      <c r="T2191" t="s">
        <v>9101</v>
      </c>
      <c r="U2191" t="s">
        <v>60</v>
      </c>
      <c r="V2191" t="s">
        <v>61</v>
      </c>
      <c r="W2191">
        <v>3</v>
      </c>
      <c r="X2191">
        <v>0.09</v>
      </c>
      <c r="Y2191" t="s">
        <v>229</v>
      </c>
      <c r="Z2191" t="s">
        <v>230</v>
      </c>
      <c r="AA2191">
        <v>1</v>
      </c>
      <c r="AB2191" t="s">
        <v>8997</v>
      </c>
      <c r="AC2191" t="s">
        <v>8998</v>
      </c>
      <c r="AD2191" t="s">
        <v>8999</v>
      </c>
      <c r="AE2191" t="s">
        <v>9000</v>
      </c>
      <c r="AF2191" t="s">
        <v>9001</v>
      </c>
      <c r="AG2191" t="s">
        <v>66</v>
      </c>
      <c r="AH2191" t="s">
        <v>66</v>
      </c>
      <c r="AI2191" t="s">
        <v>66</v>
      </c>
      <c r="AJ2191" t="s">
        <v>66</v>
      </c>
      <c r="AK2191">
        <v>1</v>
      </c>
      <c r="AL2191" t="s">
        <v>66</v>
      </c>
      <c r="AM2191" t="s">
        <v>66</v>
      </c>
      <c r="AN2191" t="s">
        <v>66</v>
      </c>
      <c r="AO2191" t="s">
        <v>66</v>
      </c>
      <c r="AP2191">
        <v>1</v>
      </c>
      <c r="AQ2191" t="s">
        <v>66</v>
      </c>
      <c r="AR2191" t="s">
        <v>66</v>
      </c>
      <c r="AS2191" t="s">
        <v>66</v>
      </c>
      <c r="AT2191" t="s">
        <v>66</v>
      </c>
    </row>
    <row r="2192" spans="1:46" x14ac:dyDescent="0.15">
      <c r="A2192" t="s">
        <v>9102</v>
      </c>
      <c r="B2192" t="s">
        <v>8993</v>
      </c>
      <c r="C2192" t="s">
        <v>8994</v>
      </c>
      <c r="D2192">
        <v>27</v>
      </c>
      <c r="E2192" t="s">
        <v>8995</v>
      </c>
      <c r="F2192" t="s">
        <v>4516</v>
      </c>
      <c r="G2192" t="s">
        <v>51</v>
      </c>
      <c r="H2192" t="s">
        <v>8996</v>
      </c>
      <c r="I2192" t="s">
        <v>53</v>
      </c>
      <c r="J2192" t="s">
        <v>721</v>
      </c>
      <c r="K2192" t="s">
        <v>3594</v>
      </c>
      <c r="L2192" t="s">
        <v>16</v>
      </c>
      <c r="M2192" t="s">
        <v>19</v>
      </c>
      <c r="N2192">
        <v>1959</v>
      </c>
      <c r="O2192">
        <v>118</v>
      </c>
      <c r="P2192">
        <v>0</v>
      </c>
      <c r="Q2192" t="s">
        <v>9103</v>
      </c>
      <c r="R2192" t="s">
        <v>9104</v>
      </c>
      <c r="S2192" t="s">
        <v>1690</v>
      </c>
      <c r="T2192" t="s">
        <v>9105</v>
      </c>
      <c r="U2192" t="s">
        <v>60</v>
      </c>
      <c r="V2192" t="s">
        <v>61</v>
      </c>
      <c r="W2192">
        <v>3</v>
      </c>
      <c r="X2192">
        <v>0.09</v>
      </c>
      <c r="Y2192" t="s">
        <v>151</v>
      </c>
      <c r="Z2192" t="s">
        <v>236</v>
      </c>
      <c r="AA2192">
        <v>1</v>
      </c>
      <c r="AB2192" t="s">
        <v>8997</v>
      </c>
      <c r="AC2192" t="s">
        <v>8998</v>
      </c>
      <c r="AD2192" t="s">
        <v>8999</v>
      </c>
      <c r="AE2192" t="s">
        <v>9000</v>
      </c>
      <c r="AF2192" t="s">
        <v>9001</v>
      </c>
      <c r="AG2192" t="s">
        <v>66</v>
      </c>
      <c r="AH2192" t="s">
        <v>66</v>
      </c>
      <c r="AI2192" t="s">
        <v>66</v>
      </c>
      <c r="AJ2192" t="s">
        <v>66</v>
      </c>
      <c r="AK2192">
        <v>1</v>
      </c>
      <c r="AL2192" t="s">
        <v>66</v>
      </c>
      <c r="AM2192" t="s">
        <v>66</v>
      </c>
      <c r="AN2192" t="s">
        <v>66</v>
      </c>
      <c r="AO2192" t="s">
        <v>66</v>
      </c>
      <c r="AP2192">
        <v>1</v>
      </c>
      <c r="AQ2192" t="s">
        <v>66</v>
      </c>
      <c r="AR2192" t="s">
        <v>66</v>
      </c>
      <c r="AS2192" t="s">
        <v>66</v>
      </c>
      <c r="AT2192" t="s">
        <v>66</v>
      </c>
    </row>
    <row r="2193" spans="1:46" x14ac:dyDescent="0.15">
      <c r="A2193" t="s">
        <v>9106</v>
      </c>
      <c r="B2193" t="s">
        <v>8993</v>
      </c>
      <c r="C2193" t="s">
        <v>8994</v>
      </c>
      <c r="D2193">
        <v>28</v>
      </c>
      <c r="E2193" t="s">
        <v>8995</v>
      </c>
      <c r="F2193" t="s">
        <v>4516</v>
      </c>
      <c r="G2193" t="s">
        <v>51</v>
      </c>
      <c r="H2193" t="s">
        <v>8996</v>
      </c>
      <c r="I2193" t="s">
        <v>53</v>
      </c>
      <c r="J2193" t="s">
        <v>721</v>
      </c>
      <c r="K2193" t="s">
        <v>3594</v>
      </c>
      <c r="L2193" t="s">
        <v>16</v>
      </c>
      <c r="M2193" t="s">
        <v>19</v>
      </c>
      <c r="N2193">
        <v>2015</v>
      </c>
      <c r="O2193">
        <v>122</v>
      </c>
      <c r="P2193">
        <v>0</v>
      </c>
      <c r="Q2193" t="s">
        <v>9107</v>
      </c>
      <c r="R2193" t="s">
        <v>9108</v>
      </c>
      <c r="S2193" t="s">
        <v>1695</v>
      </c>
      <c r="T2193" t="s">
        <v>9109</v>
      </c>
      <c r="U2193" t="s">
        <v>60</v>
      </c>
      <c r="V2193" t="s">
        <v>61</v>
      </c>
      <c r="W2193">
        <v>3</v>
      </c>
      <c r="X2193">
        <v>0.09</v>
      </c>
      <c r="Y2193" t="s">
        <v>242</v>
      </c>
      <c r="Z2193" t="s">
        <v>243</v>
      </c>
      <c r="AA2193">
        <v>1</v>
      </c>
      <c r="AB2193" t="s">
        <v>8997</v>
      </c>
      <c r="AC2193" t="s">
        <v>8998</v>
      </c>
      <c r="AD2193" t="s">
        <v>8999</v>
      </c>
      <c r="AE2193" t="s">
        <v>9000</v>
      </c>
      <c r="AF2193" t="s">
        <v>9001</v>
      </c>
      <c r="AG2193" t="s">
        <v>66</v>
      </c>
      <c r="AH2193" t="s">
        <v>66</v>
      </c>
      <c r="AI2193" t="s">
        <v>66</v>
      </c>
      <c r="AJ2193" t="s">
        <v>66</v>
      </c>
      <c r="AK2193">
        <v>1</v>
      </c>
      <c r="AL2193" t="s">
        <v>66</v>
      </c>
      <c r="AM2193" t="s">
        <v>66</v>
      </c>
      <c r="AN2193" t="s">
        <v>66</v>
      </c>
      <c r="AO2193" t="s">
        <v>66</v>
      </c>
      <c r="AP2193">
        <v>1</v>
      </c>
      <c r="AQ2193" t="s">
        <v>66</v>
      </c>
      <c r="AR2193" t="s">
        <v>66</v>
      </c>
      <c r="AS2193" t="s">
        <v>66</v>
      </c>
      <c r="AT2193" t="s">
        <v>66</v>
      </c>
    </row>
    <row r="2194" spans="1:46" x14ac:dyDescent="0.15">
      <c r="A2194" t="s">
        <v>9110</v>
      </c>
      <c r="B2194" t="s">
        <v>8993</v>
      </c>
      <c r="C2194" t="s">
        <v>8994</v>
      </c>
      <c r="D2194">
        <v>29</v>
      </c>
      <c r="E2194" t="s">
        <v>8995</v>
      </c>
      <c r="F2194" t="s">
        <v>4516</v>
      </c>
      <c r="G2194" t="s">
        <v>51</v>
      </c>
      <c r="H2194" t="s">
        <v>8996</v>
      </c>
      <c r="I2194" t="s">
        <v>53</v>
      </c>
      <c r="J2194" t="s">
        <v>721</v>
      </c>
      <c r="K2194" t="s">
        <v>3594</v>
      </c>
      <c r="L2194" t="s">
        <v>16</v>
      </c>
      <c r="M2194" t="s">
        <v>19</v>
      </c>
      <c r="N2194">
        <v>2071</v>
      </c>
      <c r="O2194">
        <v>125</v>
      </c>
      <c r="P2194">
        <v>0</v>
      </c>
      <c r="Q2194" t="s">
        <v>9111</v>
      </c>
      <c r="R2194" t="s">
        <v>9112</v>
      </c>
      <c r="S2194" t="s">
        <v>1700</v>
      </c>
      <c r="T2194" t="s">
        <v>9113</v>
      </c>
      <c r="U2194" t="s">
        <v>60</v>
      </c>
      <c r="V2194" t="s">
        <v>61</v>
      </c>
      <c r="W2194">
        <v>3</v>
      </c>
      <c r="X2194">
        <v>0.09</v>
      </c>
      <c r="Y2194" t="s">
        <v>157</v>
      </c>
      <c r="Z2194" t="s">
        <v>249</v>
      </c>
      <c r="AA2194">
        <v>1</v>
      </c>
      <c r="AB2194" t="s">
        <v>8997</v>
      </c>
      <c r="AC2194" t="s">
        <v>8998</v>
      </c>
      <c r="AD2194" t="s">
        <v>8999</v>
      </c>
      <c r="AE2194" t="s">
        <v>9000</v>
      </c>
      <c r="AF2194" t="s">
        <v>9001</v>
      </c>
      <c r="AG2194" t="s">
        <v>66</v>
      </c>
      <c r="AH2194" t="s">
        <v>66</v>
      </c>
      <c r="AI2194" t="s">
        <v>66</v>
      </c>
      <c r="AJ2194" t="s">
        <v>66</v>
      </c>
      <c r="AK2194">
        <v>1</v>
      </c>
      <c r="AL2194" t="s">
        <v>66</v>
      </c>
      <c r="AM2194" t="s">
        <v>66</v>
      </c>
      <c r="AN2194" t="s">
        <v>66</v>
      </c>
      <c r="AO2194" t="s">
        <v>66</v>
      </c>
      <c r="AP2194">
        <v>1</v>
      </c>
      <c r="AQ2194" t="s">
        <v>66</v>
      </c>
      <c r="AR2194" t="s">
        <v>66</v>
      </c>
      <c r="AS2194" t="s">
        <v>66</v>
      </c>
      <c r="AT2194" t="s">
        <v>66</v>
      </c>
    </row>
    <row r="2195" spans="1:46" x14ac:dyDescent="0.15">
      <c r="A2195" t="s">
        <v>9114</v>
      </c>
      <c r="B2195" t="s">
        <v>8993</v>
      </c>
      <c r="C2195" t="s">
        <v>8994</v>
      </c>
      <c r="D2195">
        <v>30</v>
      </c>
      <c r="E2195" t="s">
        <v>8995</v>
      </c>
      <c r="F2195" t="s">
        <v>4516</v>
      </c>
      <c r="G2195" t="s">
        <v>51</v>
      </c>
      <c r="H2195" t="s">
        <v>8996</v>
      </c>
      <c r="I2195" t="s">
        <v>53</v>
      </c>
      <c r="J2195" t="s">
        <v>721</v>
      </c>
      <c r="K2195" t="s">
        <v>3594</v>
      </c>
      <c r="L2195" t="s">
        <v>16</v>
      </c>
      <c r="M2195" t="s">
        <v>19</v>
      </c>
      <c r="N2195">
        <v>2128</v>
      </c>
      <c r="O2195">
        <v>129</v>
      </c>
      <c r="P2195">
        <v>0</v>
      </c>
      <c r="Q2195" t="s">
        <v>9115</v>
      </c>
      <c r="R2195" t="s">
        <v>9116</v>
      </c>
      <c r="S2195" t="s">
        <v>1705</v>
      </c>
      <c r="T2195" t="s">
        <v>9117</v>
      </c>
      <c r="U2195" t="s">
        <v>60</v>
      </c>
      <c r="V2195" t="s">
        <v>61</v>
      </c>
      <c r="W2195">
        <v>3</v>
      </c>
      <c r="X2195">
        <v>0.09</v>
      </c>
      <c r="Y2195" t="s">
        <v>255</v>
      </c>
      <c r="Z2195" t="s">
        <v>256</v>
      </c>
      <c r="AA2195">
        <v>1</v>
      </c>
      <c r="AB2195" t="s">
        <v>8997</v>
      </c>
      <c r="AC2195" t="s">
        <v>8998</v>
      </c>
      <c r="AD2195" t="s">
        <v>8999</v>
      </c>
      <c r="AE2195" t="s">
        <v>9000</v>
      </c>
      <c r="AF2195" t="s">
        <v>9001</v>
      </c>
      <c r="AG2195" t="s">
        <v>66</v>
      </c>
      <c r="AH2195" t="s">
        <v>66</v>
      </c>
      <c r="AI2195" t="s">
        <v>66</v>
      </c>
      <c r="AJ2195" t="s">
        <v>66</v>
      </c>
      <c r="AK2195">
        <v>1</v>
      </c>
      <c r="AL2195" t="s">
        <v>66</v>
      </c>
      <c r="AM2195" t="s">
        <v>66</v>
      </c>
      <c r="AN2195" t="s">
        <v>66</v>
      </c>
      <c r="AO2195" t="s">
        <v>66</v>
      </c>
      <c r="AP2195">
        <v>1</v>
      </c>
      <c r="AQ2195" t="s">
        <v>66</v>
      </c>
      <c r="AR2195" t="s">
        <v>66</v>
      </c>
      <c r="AS2195" t="s">
        <v>66</v>
      </c>
      <c r="AT2195" t="s">
        <v>66</v>
      </c>
    </row>
    <row r="2196" spans="1:46" x14ac:dyDescent="0.15">
      <c r="A2196" t="s">
        <v>9118</v>
      </c>
      <c r="B2196" t="s">
        <v>8993</v>
      </c>
      <c r="C2196" t="s">
        <v>8994</v>
      </c>
      <c r="D2196">
        <v>31</v>
      </c>
      <c r="E2196" t="s">
        <v>8995</v>
      </c>
      <c r="F2196" t="s">
        <v>4516</v>
      </c>
      <c r="G2196" t="s">
        <v>51</v>
      </c>
      <c r="H2196" t="s">
        <v>8996</v>
      </c>
      <c r="I2196" t="s">
        <v>53</v>
      </c>
      <c r="J2196" t="s">
        <v>721</v>
      </c>
      <c r="K2196" t="s">
        <v>3594</v>
      </c>
      <c r="L2196" t="s">
        <v>16</v>
      </c>
      <c r="M2196" t="s">
        <v>19</v>
      </c>
      <c r="N2196">
        <v>2184</v>
      </c>
      <c r="O2196">
        <v>132</v>
      </c>
      <c r="P2196">
        <v>0</v>
      </c>
      <c r="Q2196" t="s">
        <v>9119</v>
      </c>
      <c r="R2196" t="s">
        <v>9120</v>
      </c>
      <c r="S2196" t="s">
        <v>1710</v>
      </c>
      <c r="T2196" t="s">
        <v>9121</v>
      </c>
      <c r="U2196" t="s">
        <v>60</v>
      </c>
      <c r="V2196" t="s">
        <v>61</v>
      </c>
      <c r="W2196">
        <v>3</v>
      </c>
      <c r="X2196">
        <v>0.09</v>
      </c>
      <c r="Y2196" t="s">
        <v>164</v>
      </c>
      <c r="Z2196" t="s">
        <v>262</v>
      </c>
      <c r="AA2196">
        <v>1</v>
      </c>
      <c r="AB2196" t="s">
        <v>8997</v>
      </c>
      <c r="AC2196" t="s">
        <v>8998</v>
      </c>
      <c r="AD2196" t="s">
        <v>8999</v>
      </c>
      <c r="AE2196" t="s">
        <v>9000</v>
      </c>
      <c r="AF2196" t="s">
        <v>9001</v>
      </c>
      <c r="AG2196" t="s">
        <v>66</v>
      </c>
      <c r="AH2196" t="s">
        <v>66</v>
      </c>
      <c r="AI2196" t="s">
        <v>66</v>
      </c>
      <c r="AJ2196" t="s">
        <v>66</v>
      </c>
      <c r="AK2196">
        <v>1</v>
      </c>
      <c r="AL2196" t="s">
        <v>66</v>
      </c>
      <c r="AM2196" t="s">
        <v>66</v>
      </c>
      <c r="AN2196" t="s">
        <v>66</v>
      </c>
      <c r="AO2196" t="s">
        <v>66</v>
      </c>
      <c r="AP2196">
        <v>1</v>
      </c>
      <c r="AQ2196" t="s">
        <v>66</v>
      </c>
      <c r="AR2196" t="s">
        <v>66</v>
      </c>
      <c r="AS2196" t="s">
        <v>66</v>
      </c>
      <c r="AT2196" t="s">
        <v>66</v>
      </c>
    </row>
    <row r="2197" spans="1:46" x14ac:dyDescent="0.15">
      <c r="A2197" t="s">
        <v>9122</v>
      </c>
      <c r="B2197" t="s">
        <v>8993</v>
      </c>
      <c r="C2197" t="s">
        <v>8994</v>
      </c>
      <c r="D2197">
        <v>32</v>
      </c>
      <c r="E2197" t="s">
        <v>8995</v>
      </c>
      <c r="F2197" t="s">
        <v>4516</v>
      </c>
      <c r="G2197" t="s">
        <v>51</v>
      </c>
      <c r="H2197" t="s">
        <v>8996</v>
      </c>
      <c r="I2197" t="s">
        <v>53</v>
      </c>
      <c r="J2197" t="s">
        <v>721</v>
      </c>
      <c r="K2197" t="s">
        <v>3594</v>
      </c>
      <c r="L2197" t="s">
        <v>16</v>
      </c>
      <c r="M2197" t="s">
        <v>19</v>
      </c>
      <c r="N2197">
        <v>2240</v>
      </c>
      <c r="O2197">
        <v>135</v>
      </c>
      <c r="P2197">
        <v>0</v>
      </c>
      <c r="Q2197" t="s">
        <v>9123</v>
      </c>
      <c r="R2197" t="s">
        <v>9124</v>
      </c>
      <c r="S2197" t="s">
        <v>1715</v>
      </c>
      <c r="T2197" t="s">
        <v>9125</v>
      </c>
      <c r="U2197" t="s">
        <v>60</v>
      </c>
      <c r="V2197" t="s">
        <v>61</v>
      </c>
      <c r="W2197">
        <v>3</v>
      </c>
      <c r="X2197">
        <v>0.09</v>
      </c>
      <c r="Y2197" t="s">
        <v>268</v>
      </c>
      <c r="Z2197" t="s">
        <v>269</v>
      </c>
      <c r="AA2197">
        <v>1</v>
      </c>
      <c r="AB2197" t="s">
        <v>8997</v>
      </c>
      <c r="AC2197" t="s">
        <v>8998</v>
      </c>
      <c r="AD2197" t="s">
        <v>8999</v>
      </c>
      <c r="AE2197" t="s">
        <v>9000</v>
      </c>
      <c r="AF2197" t="s">
        <v>9001</v>
      </c>
      <c r="AG2197" t="s">
        <v>66</v>
      </c>
      <c r="AH2197" t="s">
        <v>66</v>
      </c>
      <c r="AI2197" t="s">
        <v>66</v>
      </c>
      <c r="AJ2197" t="s">
        <v>66</v>
      </c>
      <c r="AK2197">
        <v>1</v>
      </c>
      <c r="AL2197" t="s">
        <v>66</v>
      </c>
      <c r="AM2197" t="s">
        <v>66</v>
      </c>
      <c r="AN2197" t="s">
        <v>66</v>
      </c>
      <c r="AO2197" t="s">
        <v>66</v>
      </c>
      <c r="AP2197">
        <v>1</v>
      </c>
      <c r="AQ2197" t="s">
        <v>66</v>
      </c>
      <c r="AR2197" t="s">
        <v>66</v>
      </c>
      <c r="AS2197" t="s">
        <v>66</v>
      </c>
      <c r="AT2197" t="s">
        <v>66</v>
      </c>
    </row>
    <row r="2198" spans="1:46" x14ac:dyDescent="0.15">
      <c r="A2198" t="s">
        <v>9126</v>
      </c>
      <c r="B2198" t="s">
        <v>8993</v>
      </c>
      <c r="C2198" t="s">
        <v>8994</v>
      </c>
      <c r="D2198">
        <v>33</v>
      </c>
      <c r="E2198" t="s">
        <v>8995</v>
      </c>
      <c r="F2198" t="s">
        <v>4516</v>
      </c>
      <c r="G2198" t="s">
        <v>51</v>
      </c>
      <c r="H2198" t="s">
        <v>8996</v>
      </c>
      <c r="I2198" t="s">
        <v>53</v>
      </c>
      <c r="J2198" t="s">
        <v>721</v>
      </c>
      <c r="K2198" t="s">
        <v>3594</v>
      </c>
      <c r="L2198" t="s">
        <v>16</v>
      </c>
      <c r="M2198" t="s">
        <v>19</v>
      </c>
      <c r="N2198">
        <v>2296</v>
      </c>
      <c r="O2198">
        <v>139</v>
      </c>
      <c r="P2198">
        <v>0</v>
      </c>
      <c r="Q2198" t="s">
        <v>9127</v>
      </c>
      <c r="R2198" t="s">
        <v>9128</v>
      </c>
      <c r="S2198" t="s">
        <v>1720</v>
      </c>
      <c r="T2198" t="s">
        <v>9129</v>
      </c>
      <c r="U2198" t="s">
        <v>60</v>
      </c>
      <c r="V2198" t="s">
        <v>61</v>
      </c>
      <c r="W2198">
        <v>3</v>
      </c>
      <c r="X2198">
        <v>0.09</v>
      </c>
      <c r="Y2198" t="s">
        <v>170</v>
      </c>
      <c r="Z2198" t="s">
        <v>275</v>
      </c>
      <c r="AA2198">
        <v>1</v>
      </c>
      <c r="AB2198" t="s">
        <v>8997</v>
      </c>
      <c r="AC2198" t="s">
        <v>8998</v>
      </c>
      <c r="AD2198" t="s">
        <v>8999</v>
      </c>
      <c r="AE2198" t="s">
        <v>9000</v>
      </c>
      <c r="AF2198" t="s">
        <v>9001</v>
      </c>
      <c r="AG2198" t="s">
        <v>66</v>
      </c>
      <c r="AH2198" t="s">
        <v>66</v>
      </c>
      <c r="AI2198" t="s">
        <v>66</v>
      </c>
      <c r="AJ2198" t="s">
        <v>66</v>
      </c>
      <c r="AK2198">
        <v>1</v>
      </c>
      <c r="AL2198" t="s">
        <v>66</v>
      </c>
      <c r="AM2198" t="s">
        <v>66</v>
      </c>
      <c r="AN2198" t="s">
        <v>66</v>
      </c>
      <c r="AO2198" t="s">
        <v>66</v>
      </c>
      <c r="AP2198">
        <v>1</v>
      </c>
      <c r="AQ2198" t="s">
        <v>66</v>
      </c>
      <c r="AR2198" t="s">
        <v>66</v>
      </c>
      <c r="AS2198" t="s">
        <v>66</v>
      </c>
      <c r="AT2198" t="s">
        <v>66</v>
      </c>
    </row>
    <row r="2199" spans="1:46" x14ac:dyDescent="0.15">
      <c r="A2199" t="s">
        <v>9130</v>
      </c>
      <c r="B2199" t="s">
        <v>8993</v>
      </c>
      <c r="C2199" t="s">
        <v>8994</v>
      </c>
      <c r="D2199">
        <v>34</v>
      </c>
      <c r="E2199" t="s">
        <v>8995</v>
      </c>
      <c r="F2199" t="s">
        <v>4516</v>
      </c>
      <c r="G2199" t="s">
        <v>51</v>
      </c>
      <c r="H2199" t="s">
        <v>8996</v>
      </c>
      <c r="I2199" t="s">
        <v>53</v>
      </c>
      <c r="J2199" t="s">
        <v>721</v>
      </c>
      <c r="K2199" t="s">
        <v>3594</v>
      </c>
      <c r="L2199" t="s">
        <v>16</v>
      </c>
      <c r="M2199" t="s">
        <v>19</v>
      </c>
      <c r="N2199">
        <v>2352</v>
      </c>
      <c r="O2199">
        <v>142</v>
      </c>
      <c r="P2199">
        <v>0</v>
      </c>
      <c r="Q2199" t="s">
        <v>9131</v>
      </c>
      <c r="R2199" t="s">
        <v>9132</v>
      </c>
      <c r="S2199" t="s">
        <v>1725</v>
      </c>
      <c r="T2199" t="s">
        <v>9133</v>
      </c>
      <c r="U2199" t="s">
        <v>60</v>
      </c>
      <c r="V2199" t="s">
        <v>61</v>
      </c>
      <c r="W2199">
        <v>3</v>
      </c>
      <c r="X2199">
        <v>0.09</v>
      </c>
      <c r="Y2199" t="s">
        <v>281</v>
      </c>
      <c r="Z2199" t="s">
        <v>282</v>
      </c>
      <c r="AA2199">
        <v>1</v>
      </c>
      <c r="AB2199" t="s">
        <v>8997</v>
      </c>
      <c r="AC2199" t="s">
        <v>8998</v>
      </c>
      <c r="AD2199" t="s">
        <v>8999</v>
      </c>
      <c r="AE2199" t="s">
        <v>9000</v>
      </c>
      <c r="AF2199" t="s">
        <v>9001</v>
      </c>
      <c r="AG2199" t="s">
        <v>66</v>
      </c>
      <c r="AH2199" t="s">
        <v>66</v>
      </c>
      <c r="AI2199" t="s">
        <v>66</v>
      </c>
      <c r="AJ2199" t="s">
        <v>66</v>
      </c>
      <c r="AK2199">
        <v>1</v>
      </c>
      <c r="AL2199" t="s">
        <v>66</v>
      </c>
      <c r="AM2199" t="s">
        <v>66</v>
      </c>
      <c r="AN2199" t="s">
        <v>66</v>
      </c>
      <c r="AO2199" t="s">
        <v>66</v>
      </c>
      <c r="AP2199">
        <v>1</v>
      </c>
      <c r="AQ2199" t="s">
        <v>66</v>
      </c>
      <c r="AR2199" t="s">
        <v>66</v>
      </c>
      <c r="AS2199" t="s">
        <v>66</v>
      </c>
      <c r="AT2199" t="s">
        <v>66</v>
      </c>
    </row>
    <row r="2200" spans="1:46" x14ac:dyDescent="0.15">
      <c r="A2200" t="s">
        <v>9134</v>
      </c>
      <c r="B2200" t="s">
        <v>8993</v>
      </c>
      <c r="C2200" t="s">
        <v>8994</v>
      </c>
      <c r="D2200">
        <v>35</v>
      </c>
      <c r="E2200" t="s">
        <v>8995</v>
      </c>
      <c r="F2200" t="s">
        <v>4516</v>
      </c>
      <c r="G2200" t="s">
        <v>51</v>
      </c>
      <c r="H2200" t="s">
        <v>8996</v>
      </c>
      <c r="I2200" t="s">
        <v>53</v>
      </c>
      <c r="J2200" t="s">
        <v>721</v>
      </c>
      <c r="K2200" t="s">
        <v>3594</v>
      </c>
      <c r="L2200" t="s">
        <v>16</v>
      </c>
      <c r="M2200" t="s">
        <v>19</v>
      </c>
      <c r="N2200">
        <v>2408</v>
      </c>
      <c r="O2200">
        <v>145</v>
      </c>
      <c r="P2200">
        <v>0</v>
      </c>
      <c r="Q2200" t="s">
        <v>9135</v>
      </c>
      <c r="R2200" t="s">
        <v>9136</v>
      </c>
      <c r="S2200" t="s">
        <v>1730</v>
      </c>
      <c r="T2200" t="s">
        <v>9137</v>
      </c>
      <c r="U2200" t="s">
        <v>60</v>
      </c>
      <c r="V2200" t="s">
        <v>61</v>
      </c>
      <c r="W2200">
        <v>3</v>
      </c>
      <c r="X2200">
        <v>0.09</v>
      </c>
      <c r="Y2200" t="s">
        <v>177</v>
      </c>
      <c r="Z2200" t="s">
        <v>288</v>
      </c>
      <c r="AA2200">
        <v>1</v>
      </c>
      <c r="AB2200" t="s">
        <v>8997</v>
      </c>
      <c r="AC2200" t="s">
        <v>8998</v>
      </c>
      <c r="AD2200" t="s">
        <v>8999</v>
      </c>
      <c r="AE2200" t="s">
        <v>9000</v>
      </c>
      <c r="AF2200" t="s">
        <v>9001</v>
      </c>
      <c r="AG2200" t="s">
        <v>66</v>
      </c>
      <c r="AH2200" t="s">
        <v>66</v>
      </c>
      <c r="AI2200" t="s">
        <v>66</v>
      </c>
      <c r="AJ2200" t="s">
        <v>66</v>
      </c>
      <c r="AK2200">
        <v>1</v>
      </c>
      <c r="AL2200" t="s">
        <v>66</v>
      </c>
      <c r="AM2200" t="s">
        <v>66</v>
      </c>
      <c r="AN2200" t="s">
        <v>66</v>
      </c>
      <c r="AO2200" t="s">
        <v>66</v>
      </c>
      <c r="AP2200">
        <v>1</v>
      </c>
      <c r="AQ2200" t="s">
        <v>66</v>
      </c>
      <c r="AR2200" t="s">
        <v>66</v>
      </c>
      <c r="AS2200" t="s">
        <v>66</v>
      </c>
      <c r="AT2200" t="s">
        <v>66</v>
      </c>
    </row>
    <row r="2201" spans="1:46" x14ac:dyDescent="0.15">
      <c r="A2201" t="s">
        <v>9138</v>
      </c>
      <c r="B2201" t="s">
        <v>8993</v>
      </c>
      <c r="C2201" t="s">
        <v>8994</v>
      </c>
      <c r="D2201">
        <v>36</v>
      </c>
      <c r="E2201" t="s">
        <v>8995</v>
      </c>
      <c r="F2201" t="s">
        <v>4516</v>
      </c>
      <c r="G2201" t="s">
        <v>51</v>
      </c>
      <c r="H2201" t="s">
        <v>8996</v>
      </c>
      <c r="I2201" t="s">
        <v>53</v>
      </c>
      <c r="J2201" t="s">
        <v>721</v>
      </c>
      <c r="K2201" t="s">
        <v>3594</v>
      </c>
      <c r="L2201" t="s">
        <v>16</v>
      </c>
      <c r="M2201" t="s">
        <v>19</v>
      </c>
      <c r="N2201">
        <v>2464</v>
      </c>
      <c r="O2201">
        <v>149</v>
      </c>
      <c r="P2201">
        <v>0</v>
      </c>
      <c r="Q2201" t="s">
        <v>9139</v>
      </c>
      <c r="R2201" t="s">
        <v>9140</v>
      </c>
      <c r="S2201" t="s">
        <v>1735</v>
      </c>
      <c r="T2201" t="s">
        <v>9141</v>
      </c>
      <c r="U2201" t="s">
        <v>60</v>
      </c>
      <c r="V2201" t="s">
        <v>61</v>
      </c>
      <c r="W2201">
        <v>3</v>
      </c>
      <c r="X2201">
        <v>0.09</v>
      </c>
      <c r="Y2201" t="s">
        <v>294</v>
      </c>
      <c r="Z2201" t="s">
        <v>295</v>
      </c>
      <c r="AA2201">
        <v>1</v>
      </c>
      <c r="AB2201" t="s">
        <v>8997</v>
      </c>
      <c r="AC2201" t="s">
        <v>8998</v>
      </c>
      <c r="AD2201" t="s">
        <v>8999</v>
      </c>
      <c r="AE2201" t="s">
        <v>9000</v>
      </c>
      <c r="AF2201" t="s">
        <v>9001</v>
      </c>
      <c r="AG2201" t="s">
        <v>66</v>
      </c>
      <c r="AH2201" t="s">
        <v>66</v>
      </c>
      <c r="AI2201" t="s">
        <v>66</v>
      </c>
      <c r="AJ2201" t="s">
        <v>66</v>
      </c>
      <c r="AK2201">
        <v>1</v>
      </c>
      <c r="AL2201" t="s">
        <v>66</v>
      </c>
      <c r="AM2201" t="s">
        <v>66</v>
      </c>
      <c r="AN2201" t="s">
        <v>66</v>
      </c>
      <c r="AO2201" t="s">
        <v>66</v>
      </c>
      <c r="AP2201">
        <v>1</v>
      </c>
      <c r="AQ2201" t="s">
        <v>66</v>
      </c>
      <c r="AR2201" t="s">
        <v>66</v>
      </c>
      <c r="AS2201" t="s">
        <v>66</v>
      </c>
      <c r="AT2201" t="s">
        <v>66</v>
      </c>
    </row>
    <row r="2202" spans="1:46" x14ac:dyDescent="0.15">
      <c r="A2202" t="s">
        <v>9142</v>
      </c>
      <c r="B2202" t="s">
        <v>8993</v>
      </c>
      <c r="C2202" t="s">
        <v>8994</v>
      </c>
      <c r="D2202">
        <v>37</v>
      </c>
      <c r="E2202" t="s">
        <v>8995</v>
      </c>
      <c r="F2202" t="s">
        <v>4516</v>
      </c>
      <c r="G2202" t="s">
        <v>51</v>
      </c>
      <c r="H2202" t="s">
        <v>8996</v>
      </c>
      <c r="I2202" t="s">
        <v>53</v>
      </c>
      <c r="J2202" t="s">
        <v>721</v>
      </c>
      <c r="K2202" t="s">
        <v>3594</v>
      </c>
      <c r="L2202" t="s">
        <v>16</v>
      </c>
      <c r="M2202" t="s">
        <v>19</v>
      </c>
      <c r="N2202">
        <v>2520</v>
      </c>
      <c r="O2202">
        <v>152</v>
      </c>
      <c r="P2202">
        <v>0</v>
      </c>
      <c r="Q2202" t="s">
        <v>9143</v>
      </c>
      <c r="R2202" t="s">
        <v>9144</v>
      </c>
      <c r="S2202" t="s">
        <v>1740</v>
      </c>
      <c r="T2202" t="s">
        <v>9145</v>
      </c>
      <c r="U2202" t="s">
        <v>60</v>
      </c>
      <c r="V2202" t="s">
        <v>61</v>
      </c>
      <c r="W2202">
        <v>3</v>
      </c>
      <c r="X2202">
        <v>0.09</v>
      </c>
      <c r="Y2202" t="s">
        <v>183</v>
      </c>
      <c r="Z2202" t="s">
        <v>301</v>
      </c>
      <c r="AA2202">
        <v>1</v>
      </c>
      <c r="AB2202" t="s">
        <v>8997</v>
      </c>
      <c r="AC2202" t="s">
        <v>8998</v>
      </c>
      <c r="AD2202" t="s">
        <v>8999</v>
      </c>
      <c r="AE2202" t="s">
        <v>9000</v>
      </c>
      <c r="AF2202" t="s">
        <v>9001</v>
      </c>
      <c r="AG2202" t="s">
        <v>66</v>
      </c>
      <c r="AH2202" t="s">
        <v>66</v>
      </c>
      <c r="AI2202" t="s">
        <v>66</v>
      </c>
      <c r="AJ2202" t="s">
        <v>66</v>
      </c>
      <c r="AK2202">
        <v>1</v>
      </c>
      <c r="AL2202" t="s">
        <v>66</v>
      </c>
      <c r="AM2202" t="s">
        <v>66</v>
      </c>
      <c r="AN2202" t="s">
        <v>66</v>
      </c>
      <c r="AO2202" t="s">
        <v>66</v>
      </c>
      <c r="AP2202">
        <v>1</v>
      </c>
      <c r="AQ2202" t="s">
        <v>66</v>
      </c>
      <c r="AR2202" t="s">
        <v>66</v>
      </c>
      <c r="AS2202" t="s">
        <v>66</v>
      </c>
      <c r="AT2202" t="s">
        <v>66</v>
      </c>
    </row>
    <row r="2203" spans="1:46" x14ac:dyDescent="0.15">
      <c r="A2203" t="s">
        <v>9146</v>
      </c>
      <c r="B2203" t="s">
        <v>8993</v>
      </c>
      <c r="C2203" t="s">
        <v>8994</v>
      </c>
      <c r="D2203">
        <v>38</v>
      </c>
      <c r="E2203" t="s">
        <v>8995</v>
      </c>
      <c r="F2203" t="s">
        <v>4516</v>
      </c>
      <c r="G2203" t="s">
        <v>51</v>
      </c>
      <c r="H2203" t="s">
        <v>8996</v>
      </c>
      <c r="I2203" t="s">
        <v>53</v>
      </c>
      <c r="J2203" t="s">
        <v>721</v>
      </c>
      <c r="K2203" t="s">
        <v>3594</v>
      </c>
      <c r="L2203" t="s">
        <v>16</v>
      </c>
      <c r="M2203" t="s">
        <v>19</v>
      </c>
      <c r="N2203">
        <v>2577</v>
      </c>
      <c r="O2203">
        <v>156</v>
      </c>
      <c r="P2203">
        <v>0</v>
      </c>
      <c r="Q2203" t="s">
        <v>9147</v>
      </c>
      <c r="R2203" t="s">
        <v>9148</v>
      </c>
      <c r="S2203" t="s">
        <v>1745</v>
      </c>
      <c r="T2203" t="s">
        <v>9149</v>
      </c>
      <c r="U2203" t="s">
        <v>60</v>
      </c>
      <c r="V2203" t="s">
        <v>61</v>
      </c>
      <c r="W2203">
        <v>3</v>
      </c>
      <c r="X2203">
        <v>0.09</v>
      </c>
      <c r="Y2203" t="s">
        <v>307</v>
      </c>
      <c r="Z2203" t="s">
        <v>308</v>
      </c>
      <c r="AA2203">
        <v>1</v>
      </c>
      <c r="AB2203" t="s">
        <v>8997</v>
      </c>
      <c r="AC2203" t="s">
        <v>8998</v>
      </c>
      <c r="AD2203" t="s">
        <v>8999</v>
      </c>
      <c r="AE2203" t="s">
        <v>9000</v>
      </c>
      <c r="AF2203" t="s">
        <v>9001</v>
      </c>
      <c r="AG2203" t="s">
        <v>66</v>
      </c>
      <c r="AH2203" t="s">
        <v>66</v>
      </c>
      <c r="AI2203" t="s">
        <v>66</v>
      </c>
      <c r="AJ2203" t="s">
        <v>66</v>
      </c>
      <c r="AK2203">
        <v>1</v>
      </c>
      <c r="AL2203" t="s">
        <v>66</v>
      </c>
      <c r="AM2203" t="s">
        <v>66</v>
      </c>
      <c r="AN2203" t="s">
        <v>66</v>
      </c>
      <c r="AO2203" t="s">
        <v>66</v>
      </c>
      <c r="AP2203">
        <v>1</v>
      </c>
      <c r="AQ2203" t="s">
        <v>66</v>
      </c>
      <c r="AR2203" t="s">
        <v>66</v>
      </c>
      <c r="AS2203" t="s">
        <v>66</v>
      </c>
      <c r="AT2203" t="s">
        <v>66</v>
      </c>
    </row>
    <row r="2204" spans="1:46" x14ac:dyDescent="0.15">
      <c r="A2204" t="s">
        <v>9150</v>
      </c>
      <c r="B2204" t="s">
        <v>8993</v>
      </c>
      <c r="C2204" t="s">
        <v>8994</v>
      </c>
      <c r="D2204">
        <v>39</v>
      </c>
      <c r="E2204" t="s">
        <v>8995</v>
      </c>
      <c r="F2204" t="s">
        <v>4516</v>
      </c>
      <c r="G2204" t="s">
        <v>51</v>
      </c>
      <c r="H2204" t="s">
        <v>8996</v>
      </c>
      <c r="I2204" t="s">
        <v>53</v>
      </c>
      <c r="J2204" t="s">
        <v>721</v>
      </c>
      <c r="K2204" t="s">
        <v>3594</v>
      </c>
      <c r="L2204" t="s">
        <v>16</v>
      </c>
      <c r="M2204" t="s">
        <v>19</v>
      </c>
      <c r="N2204">
        <v>2633</v>
      </c>
      <c r="O2204">
        <v>159</v>
      </c>
      <c r="P2204">
        <v>0</v>
      </c>
      <c r="Q2204" t="s">
        <v>9151</v>
      </c>
      <c r="R2204" t="s">
        <v>9152</v>
      </c>
      <c r="S2204" t="s">
        <v>1750</v>
      </c>
      <c r="T2204" t="s">
        <v>9153</v>
      </c>
      <c r="U2204" t="s">
        <v>60</v>
      </c>
      <c r="V2204" t="s">
        <v>61</v>
      </c>
      <c r="W2204">
        <v>3</v>
      </c>
      <c r="X2204">
        <v>0.09</v>
      </c>
      <c r="Y2204" t="s">
        <v>190</v>
      </c>
      <c r="Z2204" t="s">
        <v>314</v>
      </c>
      <c r="AA2204">
        <v>1</v>
      </c>
      <c r="AB2204" t="s">
        <v>8997</v>
      </c>
      <c r="AC2204" t="s">
        <v>8998</v>
      </c>
      <c r="AD2204" t="s">
        <v>8999</v>
      </c>
      <c r="AE2204" t="s">
        <v>9000</v>
      </c>
      <c r="AF2204" t="s">
        <v>9001</v>
      </c>
      <c r="AG2204" t="s">
        <v>66</v>
      </c>
      <c r="AH2204" t="s">
        <v>66</v>
      </c>
      <c r="AI2204" t="s">
        <v>66</v>
      </c>
      <c r="AJ2204" t="s">
        <v>66</v>
      </c>
      <c r="AK2204">
        <v>1</v>
      </c>
      <c r="AL2204" t="s">
        <v>66</v>
      </c>
      <c r="AM2204" t="s">
        <v>66</v>
      </c>
      <c r="AN2204" t="s">
        <v>66</v>
      </c>
      <c r="AO2204" t="s">
        <v>66</v>
      </c>
      <c r="AP2204">
        <v>1</v>
      </c>
      <c r="AQ2204" t="s">
        <v>66</v>
      </c>
      <c r="AR2204" t="s">
        <v>66</v>
      </c>
      <c r="AS2204" t="s">
        <v>66</v>
      </c>
      <c r="AT2204" t="s">
        <v>66</v>
      </c>
    </row>
    <row r="2205" spans="1:46" x14ac:dyDescent="0.15">
      <c r="A2205" t="s">
        <v>9154</v>
      </c>
      <c r="B2205" t="s">
        <v>8993</v>
      </c>
      <c r="C2205" t="s">
        <v>8994</v>
      </c>
      <c r="D2205">
        <v>40</v>
      </c>
      <c r="E2205" t="s">
        <v>8995</v>
      </c>
      <c r="F2205" t="s">
        <v>4516</v>
      </c>
      <c r="G2205" t="s">
        <v>51</v>
      </c>
      <c r="H2205" t="s">
        <v>8996</v>
      </c>
      <c r="I2205" t="s">
        <v>53</v>
      </c>
      <c r="J2205" t="s">
        <v>721</v>
      </c>
      <c r="K2205" t="s">
        <v>3594</v>
      </c>
      <c r="L2205" t="s">
        <v>16</v>
      </c>
      <c r="M2205" t="s">
        <v>19</v>
      </c>
      <c r="N2205">
        <v>2689</v>
      </c>
      <c r="O2205">
        <v>162</v>
      </c>
      <c r="P2205">
        <v>0</v>
      </c>
      <c r="Q2205" t="s">
        <v>9155</v>
      </c>
      <c r="R2205" t="s">
        <v>9156</v>
      </c>
      <c r="S2205" t="s">
        <v>1755</v>
      </c>
      <c r="T2205" t="s">
        <v>9157</v>
      </c>
      <c r="U2205" t="s">
        <v>60</v>
      </c>
      <c r="V2205" t="s">
        <v>61</v>
      </c>
      <c r="W2205">
        <v>3</v>
      </c>
      <c r="X2205">
        <v>0.09</v>
      </c>
      <c r="Y2205" t="s">
        <v>320</v>
      </c>
      <c r="Z2205" t="s">
        <v>321</v>
      </c>
      <c r="AA2205">
        <v>1</v>
      </c>
      <c r="AB2205" t="s">
        <v>8997</v>
      </c>
      <c r="AC2205" t="s">
        <v>8998</v>
      </c>
      <c r="AD2205" t="s">
        <v>8999</v>
      </c>
      <c r="AE2205" t="s">
        <v>9000</v>
      </c>
      <c r="AF2205" t="s">
        <v>9001</v>
      </c>
      <c r="AG2205" t="s">
        <v>66</v>
      </c>
      <c r="AH2205" t="s">
        <v>66</v>
      </c>
      <c r="AI2205" t="s">
        <v>66</v>
      </c>
      <c r="AJ2205" t="s">
        <v>66</v>
      </c>
      <c r="AK2205">
        <v>1</v>
      </c>
      <c r="AL2205" t="s">
        <v>66</v>
      </c>
      <c r="AM2205" t="s">
        <v>66</v>
      </c>
      <c r="AN2205" t="s">
        <v>66</v>
      </c>
      <c r="AO2205" t="s">
        <v>66</v>
      </c>
      <c r="AP2205">
        <v>1</v>
      </c>
      <c r="AQ2205" t="s">
        <v>66</v>
      </c>
      <c r="AR2205" t="s">
        <v>66</v>
      </c>
      <c r="AS2205" t="s">
        <v>66</v>
      </c>
      <c r="AT2205" t="s">
        <v>66</v>
      </c>
    </row>
    <row r="2206" spans="1:46" x14ac:dyDescent="0.15">
      <c r="A2206" t="s">
        <v>9154</v>
      </c>
      <c r="B2206" t="s">
        <v>8993</v>
      </c>
      <c r="C2206" t="s">
        <v>8994</v>
      </c>
      <c r="D2206">
        <v>40</v>
      </c>
      <c r="E2206" t="s">
        <v>8995</v>
      </c>
      <c r="F2206" t="s">
        <v>4516</v>
      </c>
      <c r="G2206" t="s">
        <v>51</v>
      </c>
      <c r="H2206" t="s">
        <v>8996</v>
      </c>
      <c r="I2206" t="s">
        <v>53</v>
      </c>
      <c r="J2206" t="s">
        <v>721</v>
      </c>
      <c r="K2206" t="s">
        <v>3594</v>
      </c>
      <c r="L2206" t="s">
        <v>16</v>
      </c>
      <c r="M2206" t="s">
        <v>19</v>
      </c>
      <c r="N2206">
        <v>2689</v>
      </c>
      <c r="O2206">
        <v>162</v>
      </c>
      <c r="P2206">
        <v>0</v>
      </c>
      <c r="Q2206" t="s">
        <v>9155</v>
      </c>
      <c r="R2206" t="s">
        <v>9156</v>
      </c>
      <c r="S2206" t="s">
        <v>1755</v>
      </c>
      <c r="T2206" t="s">
        <v>9157</v>
      </c>
      <c r="U2206" t="s">
        <v>60</v>
      </c>
      <c r="V2206" t="s">
        <v>61</v>
      </c>
      <c r="W2206">
        <v>3</v>
      </c>
      <c r="X2206">
        <v>0.09</v>
      </c>
      <c r="Y2206" t="s">
        <v>320</v>
      </c>
      <c r="Z2206" t="s">
        <v>321</v>
      </c>
      <c r="AA2206">
        <v>2</v>
      </c>
      <c r="AB2206" t="s">
        <v>8997</v>
      </c>
      <c r="AC2206" t="s">
        <v>8998</v>
      </c>
      <c r="AD2206" t="s">
        <v>8999</v>
      </c>
      <c r="AE2206" t="s">
        <v>9000</v>
      </c>
      <c r="AF2206" t="s">
        <v>9001</v>
      </c>
      <c r="AG2206" t="s">
        <v>66</v>
      </c>
      <c r="AH2206" t="s">
        <v>66</v>
      </c>
      <c r="AI2206" t="s">
        <v>66</v>
      </c>
      <c r="AJ2206" t="s">
        <v>66</v>
      </c>
      <c r="AK2206">
        <v>1</v>
      </c>
      <c r="AL2206" t="s">
        <v>9158</v>
      </c>
      <c r="AM2206" t="s">
        <v>9159</v>
      </c>
      <c r="AN2206" t="s">
        <v>9160</v>
      </c>
      <c r="AO2206" t="s">
        <v>66</v>
      </c>
      <c r="AP2206">
        <v>1</v>
      </c>
      <c r="AQ2206" t="s">
        <v>9161</v>
      </c>
      <c r="AR2206" t="s">
        <v>9162</v>
      </c>
      <c r="AS2206" t="s">
        <v>66</v>
      </c>
      <c r="AT2206" t="s">
        <v>66</v>
      </c>
    </row>
    <row r="2207" spans="1:46" x14ac:dyDescent="0.15">
      <c r="A2207" t="s">
        <v>9163</v>
      </c>
      <c r="B2207" t="s">
        <v>8993</v>
      </c>
      <c r="C2207" t="s">
        <v>8994</v>
      </c>
      <c r="D2207">
        <v>41</v>
      </c>
      <c r="E2207" t="s">
        <v>8995</v>
      </c>
      <c r="F2207" t="s">
        <v>4516</v>
      </c>
      <c r="G2207" t="s">
        <v>51</v>
      </c>
      <c r="H2207" t="s">
        <v>8996</v>
      </c>
      <c r="I2207" t="s">
        <v>53</v>
      </c>
      <c r="J2207" t="s">
        <v>721</v>
      </c>
      <c r="K2207" t="s">
        <v>3594</v>
      </c>
      <c r="L2207" t="s">
        <v>16</v>
      </c>
      <c r="M2207" t="s">
        <v>19</v>
      </c>
      <c r="N2207">
        <v>2745</v>
      </c>
      <c r="O2207">
        <v>166</v>
      </c>
      <c r="P2207">
        <v>0</v>
      </c>
      <c r="Q2207" t="s">
        <v>9164</v>
      </c>
      <c r="R2207" t="s">
        <v>9165</v>
      </c>
      <c r="S2207" t="s">
        <v>1760</v>
      </c>
      <c r="T2207" t="s">
        <v>9166</v>
      </c>
      <c r="U2207" t="s">
        <v>60</v>
      </c>
      <c r="V2207" t="s">
        <v>61</v>
      </c>
      <c r="W2207">
        <v>3</v>
      </c>
      <c r="X2207">
        <v>0.09</v>
      </c>
      <c r="Y2207" t="s">
        <v>197</v>
      </c>
      <c r="Z2207" t="s">
        <v>330</v>
      </c>
      <c r="AA2207">
        <v>2</v>
      </c>
      <c r="AB2207" t="s">
        <v>8997</v>
      </c>
      <c r="AC2207" t="s">
        <v>8998</v>
      </c>
      <c r="AD2207" t="s">
        <v>8999</v>
      </c>
      <c r="AE2207" t="s">
        <v>9000</v>
      </c>
      <c r="AF2207" t="s">
        <v>9001</v>
      </c>
      <c r="AG2207" t="s">
        <v>66</v>
      </c>
      <c r="AH2207" t="s">
        <v>66</v>
      </c>
      <c r="AI2207" t="s">
        <v>66</v>
      </c>
      <c r="AJ2207" t="s">
        <v>66</v>
      </c>
      <c r="AK2207">
        <v>1</v>
      </c>
      <c r="AL2207" t="s">
        <v>9158</v>
      </c>
      <c r="AM2207" t="s">
        <v>9159</v>
      </c>
      <c r="AN2207" t="s">
        <v>9160</v>
      </c>
      <c r="AO2207" t="s">
        <v>66</v>
      </c>
      <c r="AP2207">
        <v>1</v>
      </c>
      <c r="AQ2207" t="s">
        <v>9161</v>
      </c>
      <c r="AR2207" t="s">
        <v>9162</v>
      </c>
      <c r="AS2207" t="s">
        <v>66</v>
      </c>
      <c r="AT2207" t="s">
        <v>66</v>
      </c>
    </row>
    <row r="2208" spans="1:46" x14ac:dyDescent="0.15">
      <c r="A2208" t="s">
        <v>9167</v>
      </c>
      <c r="B2208" t="s">
        <v>8993</v>
      </c>
      <c r="C2208" t="s">
        <v>8994</v>
      </c>
      <c r="D2208">
        <v>42</v>
      </c>
      <c r="E2208" t="s">
        <v>8995</v>
      </c>
      <c r="F2208" t="s">
        <v>4516</v>
      </c>
      <c r="G2208" t="s">
        <v>51</v>
      </c>
      <c r="H2208" t="s">
        <v>8996</v>
      </c>
      <c r="I2208" t="s">
        <v>53</v>
      </c>
      <c r="J2208" t="s">
        <v>721</v>
      </c>
      <c r="K2208" t="s">
        <v>3594</v>
      </c>
      <c r="L2208" t="s">
        <v>16</v>
      </c>
      <c r="M2208" t="s">
        <v>19</v>
      </c>
      <c r="N2208">
        <v>2801</v>
      </c>
      <c r="O2208">
        <v>169</v>
      </c>
      <c r="P2208">
        <v>0</v>
      </c>
      <c r="Q2208" t="s">
        <v>9168</v>
      </c>
      <c r="R2208" t="s">
        <v>9169</v>
      </c>
      <c r="S2208" t="s">
        <v>1765</v>
      </c>
      <c r="T2208" t="s">
        <v>9170</v>
      </c>
      <c r="U2208" t="s">
        <v>60</v>
      </c>
      <c r="V2208" t="s">
        <v>61</v>
      </c>
      <c r="W2208">
        <v>3</v>
      </c>
      <c r="X2208">
        <v>0.09</v>
      </c>
      <c r="Y2208" t="s">
        <v>336</v>
      </c>
      <c r="Z2208" t="s">
        <v>337</v>
      </c>
      <c r="AA2208">
        <v>2</v>
      </c>
      <c r="AB2208" t="s">
        <v>8997</v>
      </c>
      <c r="AC2208" t="s">
        <v>8998</v>
      </c>
      <c r="AD2208" t="s">
        <v>8999</v>
      </c>
      <c r="AE2208" t="s">
        <v>9000</v>
      </c>
      <c r="AF2208" t="s">
        <v>9001</v>
      </c>
      <c r="AG2208" t="s">
        <v>66</v>
      </c>
      <c r="AH2208" t="s">
        <v>66</v>
      </c>
      <c r="AI2208" t="s">
        <v>66</v>
      </c>
      <c r="AJ2208" t="s">
        <v>66</v>
      </c>
      <c r="AK2208">
        <v>1</v>
      </c>
      <c r="AL2208" t="s">
        <v>9158</v>
      </c>
      <c r="AM2208" t="s">
        <v>9159</v>
      </c>
      <c r="AN2208" t="s">
        <v>9160</v>
      </c>
      <c r="AO2208" t="s">
        <v>66</v>
      </c>
      <c r="AP2208">
        <v>1</v>
      </c>
      <c r="AQ2208" t="s">
        <v>9161</v>
      </c>
      <c r="AR2208" t="s">
        <v>9162</v>
      </c>
      <c r="AS2208" t="s">
        <v>66</v>
      </c>
      <c r="AT2208" t="s">
        <v>66</v>
      </c>
    </row>
    <row r="2209" spans="1:46" x14ac:dyDescent="0.15">
      <c r="A2209" t="s">
        <v>9171</v>
      </c>
      <c r="B2209" t="s">
        <v>8993</v>
      </c>
      <c r="C2209" t="s">
        <v>8994</v>
      </c>
      <c r="D2209">
        <v>43</v>
      </c>
      <c r="E2209" t="s">
        <v>8995</v>
      </c>
      <c r="F2209" t="s">
        <v>4516</v>
      </c>
      <c r="G2209" t="s">
        <v>51</v>
      </c>
      <c r="H2209" t="s">
        <v>8996</v>
      </c>
      <c r="I2209" t="s">
        <v>53</v>
      </c>
      <c r="J2209" t="s">
        <v>721</v>
      </c>
      <c r="K2209" t="s">
        <v>3594</v>
      </c>
      <c r="L2209" t="s">
        <v>16</v>
      </c>
      <c r="M2209" t="s">
        <v>19</v>
      </c>
      <c r="N2209">
        <v>2857</v>
      </c>
      <c r="O2209">
        <v>173</v>
      </c>
      <c r="P2209">
        <v>0</v>
      </c>
      <c r="Q2209" t="s">
        <v>9172</v>
      </c>
      <c r="R2209" t="s">
        <v>9173</v>
      </c>
      <c r="S2209" t="s">
        <v>1770</v>
      </c>
      <c r="T2209" t="s">
        <v>9174</v>
      </c>
      <c r="U2209" t="s">
        <v>60</v>
      </c>
      <c r="V2209" t="s">
        <v>61</v>
      </c>
      <c r="W2209">
        <v>3</v>
      </c>
      <c r="X2209">
        <v>0.09</v>
      </c>
      <c r="Y2209" t="s">
        <v>204</v>
      </c>
      <c r="Z2209" t="s">
        <v>343</v>
      </c>
      <c r="AA2209">
        <v>2</v>
      </c>
      <c r="AB2209" t="s">
        <v>8997</v>
      </c>
      <c r="AC2209" t="s">
        <v>8998</v>
      </c>
      <c r="AD2209" t="s">
        <v>8999</v>
      </c>
      <c r="AE2209" t="s">
        <v>9000</v>
      </c>
      <c r="AF2209" t="s">
        <v>9001</v>
      </c>
      <c r="AG2209" t="s">
        <v>66</v>
      </c>
      <c r="AH2209" t="s">
        <v>66</v>
      </c>
      <c r="AI2209" t="s">
        <v>66</v>
      </c>
      <c r="AJ2209" t="s">
        <v>66</v>
      </c>
      <c r="AK2209">
        <v>1</v>
      </c>
      <c r="AL2209" t="s">
        <v>9158</v>
      </c>
      <c r="AM2209" t="s">
        <v>9159</v>
      </c>
      <c r="AN2209" t="s">
        <v>9160</v>
      </c>
      <c r="AO2209" t="s">
        <v>66</v>
      </c>
      <c r="AP2209">
        <v>1</v>
      </c>
      <c r="AQ2209" t="s">
        <v>9161</v>
      </c>
      <c r="AR2209" t="s">
        <v>9162</v>
      </c>
      <c r="AS2209" t="s">
        <v>66</v>
      </c>
      <c r="AT2209" t="s">
        <v>66</v>
      </c>
    </row>
    <row r="2210" spans="1:46" x14ac:dyDescent="0.15">
      <c r="A2210" t="s">
        <v>9175</v>
      </c>
      <c r="B2210" t="s">
        <v>8993</v>
      </c>
      <c r="C2210" t="s">
        <v>8994</v>
      </c>
      <c r="D2210">
        <v>44</v>
      </c>
      <c r="E2210" t="s">
        <v>8995</v>
      </c>
      <c r="F2210" t="s">
        <v>4516</v>
      </c>
      <c r="G2210" t="s">
        <v>51</v>
      </c>
      <c r="H2210" t="s">
        <v>8996</v>
      </c>
      <c r="I2210" t="s">
        <v>53</v>
      </c>
      <c r="J2210" t="s">
        <v>721</v>
      </c>
      <c r="K2210" t="s">
        <v>3594</v>
      </c>
      <c r="L2210" t="s">
        <v>16</v>
      </c>
      <c r="M2210" t="s">
        <v>19</v>
      </c>
      <c r="N2210">
        <v>2913</v>
      </c>
      <c r="O2210">
        <v>176</v>
      </c>
      <c r="P2210">
        <v>0</v>
      </c>
      <c r="Q2210" t="s">
        <v>9176</v>
      </c>
      <c r="R2210" t="s">
        <v>9177</v>
      </c>
      <c r="S2210" t="s">
        <v>1775</v>
      </c>
      <c r="T2210" t="s">
        <v>9178</v>
      </c>
      <c r="U2210" t="s">
        <v>60</v>
      </c>
      <c r="V2210" t="s">
        <v>61</v>
      </c>
      <c r="W2210">
        <v>3</v>
      </c>
      <c r="X2210">
        <v>0.09</v>
      </c>
      <c r="Y2210" t="s">
        <v>349</v>
      </c>
      <c r="Z2210" t="s">
        <v>350</v>
      </c>
      <c r="AA2210">
        <v>2</v>
      </c>
      <c r="AB2210" t="s">
        <v>8997</v>
      </c>
      <c r="AC2210" t="s">
        <v>8998</v>
      </c>
      <c r="AD2210" t="s">
        <v>8999</v>
      </c>
      <c r="AE2210" t="s">
        <v>9000</v>
      </c>
      <c r="AF2210" t="s">
        <v>9001</v>
      </c>
      <c r="AG2210" t="s">
        <v>66</v>
      </c>
      <c r="AH2210" t="s">
        <v>66</v>
      </c>
      <c r="AI2210" t="s">
        <v>66</v>
      </c>
      <c r="AJ2210" t="s">
        <v>66</v>
      </c>
      <c r="AK2210">
        <v>1</v>
      </c>
      <c r="AL2210" t="s">
        <v>9158</v>
      </c>
      <c r="AM2210" t="s">
        <v>9159</v>
      </c>
      <c r="AN2210" t="s">
        <v>9160</v>
      </c>
      <c r="AO2210" t="s">
        <v>66</v>
      </c>
      <c r="AP2210">
        <v>1</v>
      </c>
      <c r="AQ2210" t="s">
        <v>9161</v>
      </c>
      <c r="AR2210" t="s">
        <v>9162</v>
      </c>
      <c r="AS2210" t="s">
        <v>66</v>
      </c>
      <c r="AT2210" t="s">
        <v>66</v>
      </c>
    </row>
    <row r="2211" spans="1:46" x14ac:dyDescent="0.15">
      <c r="A2211" t="s">
        <v>9179</v>
      </c>
      <c r="B2211" t="s">
        <v>8993</v>
      </c>
      <c r="C2211" t="s">
        <v>8994</v>
      </c>
      <c r="D2211">
        <v>45</v>
      </c>
      <c r="E2211" t="s">
        <v>8995</v>
      </c>
      <c r="F2211" t="s">
        <v>4516</v>
      </c>
      <c r="G2211" t="s">
        <v>51</v>
      </c>
      <c r="H2211" t="s">
        <v>8996</v>
      </c>
      <c r="I2211" t="s">
        <v>53</v>
      </c>
      <c r="J2211" t="s">
        <v>721</v>
      </c>
      <c r="K2211" t="s">
        <v>3594</v>
      </c>
      <c r="L2211" t="s">
        <v>16</v>
      </c>
      <c r="M2211" t="s">
        <v>19</v>
      </c>
      <c r="N2211">
        <v>2969</v>
      </c>
      <c r="O2211">
        <v>179</v>
      </c>
      <c r="P2211">
        <v>0</v>
      </c>
      <c r="Q2211" t="s">
        <v>9180</v>
      </c>
      <c r="R2211" t="s">
        <v>9181</v>
      </c>
      <c r="S2211" t="s">
        <v>1780</v>
      </c>
      <c r="T2211" t="s">
        <v>9182</v>
      </c>
      <c r="U2211" t="s">
        <v>60</v>
      </c>
      <c r="V2211" t="s">
        <v>61</v>
      </c>
      <c r="W2211">
        <v>3</v>
      </c>
      <c r="X2211">
        <v>0.09</v>
      </c>
      <c r="Y2211" t="s">
        <v>210</v>
      </c>
      <c r="Z2211" t="s">
        <v>356</v>
      </c>
      <c r="AA2211">
        <v>2</v>
      </c>
      <c r="AB2211" t="s">
        <v>8997</v>
      </c>
      <c r="AC2211" t="s">
        <v>8998</v>
      </c>
      <c r="AD2211" t="s">
        <v>8999</v>
      </c>
      <c r="AE2211" t="s">
        <v>9000</v>
      </c>
      <c r="AF2211" t="s">
        <v>9001</v>
      </c>
      <c r="AG2211" t="s">
        <v>66</v>
      </c>
      <c r="AH2211" t="s">
        <v>66</v>
      </c>
      <c r="AI2211" t="s">
        <v>66</v>
      </c>
      <c r="AJ2211" t="s">
        <v>66</v>
      </c>
      <c r="AK2211">
        <v>1</v>
      </c>
      <c r="AL2211" t="s">
        <v>9158</v>
      </c>
      <c r="AM2211" t="s">
        <v>9159</v>
      </c>
      <c r="AN2211" t="s">
        <v>9160</v>
      </c>
      <c r="AO2211" t="s">
        <v>66</v>
      </c>
      <c r="AP2211">
        <v>1</v>
      </c>
      <c r="AQ2211" t="s">
        <v>9161</v>
      </c>
      <c r="AR2211" t="s">
        <v>9162</v>
      </c>
      <c r="AS2211" t="s">
        <v>66</v>
      </c>
      <c r="AT2211" t="s">
        <v>66</v>
      </c>
    </row>
    <row r="2212" spans="1:46" x14ac:dyDescent="0.15">
      <c r="A2212" t="s">
        <v>9183</v>
      </c>
      <c r="B2212" t="s">
        <v>8993</v>
      </c>
      <c r="C2212" t="s">
        <v>8994</v>
      </c>
      <c r="D2212">
        <v>46</v>
      </c>
      <c r="E2212" t="s">
        <v>8995</v>
      </c>
      <c r="F2212" t="s">
        <v>4516</v>
      </c>
      <c r="G2212" t="s">
        <v>51</v>
      </c>
      <c r="H2212" t="s">
        <v>8996</v>
      </c>
      <c r="I2212" t="s">
        <v>53</v>
      </c>
      <c r="J2212" t="s">
        <v>721</v>
      </c>
      <c r="K2212" t="s">
        <v>3594</v>
      </c>
      <c r="L2212" t="s">
        <v>16</v>
      </c>
      <c r="M2212" t="s">
        <v>19</v>
      </c>
      <c r="N2212">
        <v>3026</v>
      </c>
      <c r="O2212">
        <v>183</v>
      </c>
      <c r="P2212">
        <v>0</v>
      </c>
      <c r="Q2212" t="s">
        <v>9184</v>
      </c>
      <c r="R2212" t="s">
        <v>9185</v>
      </c>
      <c r="S2212" t="s">
        <v>1785</v>
      </c>
      <c r="T2212" t="s">
        <v>9186</v>
      </c>
      <c r="U2212" t="s">
        <v>60</v>
      </c>
      <c r="V2212" t="s">
        <v>61</v>
      </c>
      <c r="W2212">
        <v>3</v>
      </c>
      <c r="X2212">
        <v>0.09</v>
      </c>
      <c r="Y2212" t="s">
        <v>362</v>
      </c>
      <c r="Z2212" t="s">
        <v>363</v>
      </c>
      <c r="AA2212">
        <v>2</v>
      </c>
      <c r="AB2212" t="s">
        <v>8997</v>
      </c>
      <c r="AC2212" t="s">
        <v>8998</v>
      </c>
      <c r="AD2212" t="s">
        <v>8999</v>
      </c>
      <c r="AE2212" t="s">
        <v>9000</v>
      </c>
      <c r="AF2212" t="s">
        <v>9001</v>
      </c>
      <c r="AG2212" t="s">
        <v>66</v>
      </c>
      <c r="AH2212" t="s">
        <v>66</v>
      </c>
      <c r="AI2212" t="s">
        <v>66</v>
      </c>
      <c r="AJ2212" t="s">
        <v>66</v>
      </c>
      <c r="AK2212">
        <v>1</v>
      </c>
      <c r="AL2212" t="s">
        <v>9158</v>
      </c>
      <c r="AM2212" t="s">
        <v>9159</v>
      </c>
      <c r="AN2212" t="s">
        <v>9160</v>
      </c>
      <c r="AO2212" t="s">
        <v>66</v>
      </c>
      <c r="AP2212">
        <v>1</v>
      </c>
      <c r="AQ2212" t="s">
        <v>9161</v>
      </c>
      <c r="AR2212" t="s">
        <v>9162</v>
      </c>
      <c r="AS2212" t="s">
        <v>66</v>
      </c>
      <c r="AT2212" t="s">
        <v>66</v>
      </c>
    </row>
    <row r="2213" spans="1:46" x14ac:dyDescent="0.15">
      <c r="A2213" t="s">
        <v>9187</v>
      </c>
      <c r="B2213" t="s">
        <v>8993</v>
      </c>
      <c r="C2213" t="s">
        <v>8994</v>
      </c>
      <c r="D2213">
        <v>47</v>
      </c>
      <c r="E2213" t="s">
        <v>8995</v>
      </c>
      <c r="F2213" t="s">
        <v>4516</v>
      </c>
      <c r="G2213" t="s">
        <v>51</v>
      </c>
      <c r="H2213" t="s">
        <v>8996</v>
      </c>
      <c r="I2213" t="s">
        <v>53</v>
      </c>
      <c r="J2213" t="s">
        <v>721</v>
      </c>
      <c r="K2213" t="s">
        <v>3594</v>
      </c>
      <c r="L2213" t="s">
        <v>16</v>
      </c>
      <c r="M2213" t="s">
        <v>19</v>
      </c>
      <c r="N2213">
        <v>3082</v>
      </c>
      <c r="O2213">
        <v>186</v>
      </c>
      <c r="P2213">
        <v>0</v>
      </c>
      <c r="Q2213" t="s">
        <v>9188</v>
      </c>
      <c r="R2213" t="s">
        <v>9189</v>
      </c>
      <c r="S2213" t="s">
        <v>1790</v>
      </c>
      <c r="T2213" t="s">
        <v>9190</v>
      </c>
      <c r="U2213" t="s">
        <v>60</v>
      </c>
      <c r="V2213" t="s">
        <v>61</v>
      </c>
      <c r="W2213">
        <v>3</v>
      </c>
      <c r="X2213">
        <v>0.09</v>
      </c>
      <c r="Y2213" t="s">
        <v>217</v>
      </c>
      <c r="Z2213" t="s">
        <v>369</v>
      </c>
      <c r="AA2213">
        <v>2</v>
      </c>
      <c r="AB2213" t="s">
        <v>8997</v>
      </c>
      <c r="AC2213" t="s">
        <v>8998</v>
      </c>
      <c r="AD2213" t="s">
        <v>8999</v>
      </c>
      <c r="AE2213" t="s">
        <v>9000</v>
      </c>
      <c r="AF2213" t="s">
        <v>9001</v>
      </c>
      <c r="AG2213" t="s">
        <v>66</v>
      </c>
      <c r="AH2213" t="s">
        <v>66</v>
      </c>
      <c r="AI2213" t="s">
        <v>66</v>
      </c>
      <c r="AJ2213" t="s">
        <v>66</v>
      </c>
      <c r="AK2213">
        <v>1</v>
      </c>
      <c r="AL2213" t="s">
        <v>9158</v>
      </c>
      <c r="AM2213" t="s">
        <v>9159</v>
      </c>
      <c r="AN2213" t="s">
        <v>9160</v>
      </c>
      <c r="AO2213" t="s">
        <v>66</v>
      </c>
      <c r="AP2213">
        <v>1</v>
      </c>
      <c r="AQ2213" t="s">
        <v>9161</v>
      </c>
      <c r="AR2213" t="s">
        <v>9162</v>
      </c>
      <c r="AS2213" t="s">
        <v>66</v>
      </c>
      <c r="AT2213" t="s">
        <v>66</v>
      </c>
    </row>
    <row r="2214" spans="1:46" x14ac:dyDescent="0.15">
      <c r="A2214" t="s">
        <v>9191</v>
      </c>
      <c r="B2214" t="s">
        <v>8993</v>
      </c>
      <c r="C2214" t="s">
        <v>8994</v>
      </c>
      <c r="D2214">
        <v>48</v>
      </c>
      <c r="E2214" t="s">
        <v>8995</v>
      </c>
      <c r="F2214" t="s">
        <v>4516</v>
      </c>
      <c r="G2214" t="s">
        <v>51</v>
      </c>
      <c r="H2214" t="s">
        <v>8996</v>
      </c>
      <c r="I2214" t="s">
        <v>53</v>
      </c>
      <c r="J2214" t="s">
        <v>721</v>
      </c>
      <c r="K2214" t="s">
        <v>3594</v>
      </c>
      <c r="L2214" t="s">
        <v>16</v>
      </c>
      <c r="M2214" t="s">
        <v>19</v>
      </c>
      <c r="N2214">
        <v>3138</v>
      </c>
      <c r="O2214">
        <v>190</v>
      </c>
      <c r="P2214">
        <v>0</v>
      </c>
      <c r="Q2214" t="s">
        <v>9192</v>
      </c>
      <c r="R2214" t="s">
        <v>9193</v>
      </c>
      <c r="S2214" t="s">
        <v>1795</v>
      </c>
      <c r="T2214" t="s">
        <v>9194</v>
      </c>
      <c r="U2214" t="s">
        <v>60</v>
      </c>
      <c r="V2214" t="s">
        <v>61</v>
      </c>
      <c r="W2214">
        <v>3</v>
      </c>
      <c r="X2214">
        <v>0.09</v>
      </c>
      <c r="Y2214" t="s">
        <v>375</v>
      </c>
      <c r="Z2214" t="s">
        <v>376</v>
      </c>
      <c r="AA2214">
        <v>2</v>
      </c>
      <c r="AB2214" t="s">
        <v>8997</v>
      </c>
      <c r="AC2214" t="s">
        <v>8998</v>
      </c>
      <c r="AD2214" t="s">
        <v>8999</v>
      </c>
      <c r="AE2214" t="s">
        <v>9000</v>
      </c>
      <c r="AF2214" t="s">
        <v>9001</v>
      </c>
      <c r="AG2214" t="s">
        <v>66</v>
      </c>
      <c r="AH2214" t="s">
        <v>66</v>
      </c>
      <c r="AI2214" t="s">
        <v>66</v>
      </c>
      <c r="AJ2214" t="s">
        <v>66</v>
      </c>
      <c r="AK2214">
        <v>1</v>
      </c>
      <c r="AL2214" t="s">
        <v>9158</v>
      </c>
      <c r="AM2214" t="s">
        <v>9159</v>
      </c>
      <c r="AN2214" t="s">
        <v>9160</v>
      </c>
      <c r="AO2214" t="s">
        <v>66</v>
      </c>
      <c r="AP2214">
        <v>1</v>
      </c>
      <c r="AQ2214" t="s">
        <v>9161</v>
      </c>
      <c r="AR2214" t="s">
        <v>9162</v>
      </c>
      <c r="AS2214" t="s">
        <v>66</v>
      </c>
      <c r="AT2214" t="s">
        <v>66</v>
      </c>
    </row>
    <row r="2215" spans="1:46" x14ac:dyDescent="0.15">
      <c r="A2215" t="s">
        <v>9195</v>
      </c>
      <c r="B2215" t="s">
        <v>8993</v>
      </c>
      <c r="C2215" t="s">
        <v>8994</v>
      </c>
      <c r="D2215">
        <v>49</v>
      </c>
      <c r="E2215" t="s">
        <v>8995</v>
      </c>
      <c r="F2215" t="s">
        <v>4516</v>
      </c>
      <c r="G2215" t="s">
        <v>51</v>
      </c>
      <c r="H2215" t="s">
        <v>8996</v>
      </c>
      <c r="I2215" t="s">
        <v>53</v>
      </c>
      <c r="J2215" t="s">
        <v>721</v>
      </c>
      <c r="K2215" t="s">
        <v>3594</v>
      </c>
      <c r="L2215" t="s">
        <v>16</v>
      </c>
      <c r="M2215" t="s">
        <v>19</v>
      </c>
      <c r="N2215">
        <v>3194</v>
      </c>
      <c r="O2215">
        <v>193</v>
      </c>
      <c r="P2215">
        <v>0</v>
      </c>
      <c r="Q2215" t="s">
        <v>9196</v>
      </c>
      <c r="R2215" t="s">
        <v>9197</v>
      </c>
      <c r="S2215" t="s">
        <v>1800</v>
      </c>
      <c r="T2215" t="s">
        <v>9198</v>
      </c>
      <c r="U2215" t="s">
        <v>60</v>
      </c>
      <c r="V2215" t="s">
        <v>61</v>
      </c>
      <c r="W2215">
        <v>3</v>
      </c>
      <c r="X2215">
        <v>0.09</v>
      </c>
      <c r="Y2215" t="s">
        <v>223</v>
      </c>
      <c r="Z2215" t="s">
        <v>382</v>
      </c>
      <c r="AA2215">
        <v>2</v>
      </c>
      <c r="AB2215" t="s">
        <v>8997</v>
      </c>
      <c r="AC2215" t="s">
        <v>8998</v>
      </c>
      <c r="AD2215" t="s">
        <v>8999</v>
      </c>
      <c r="AE2215" t="s">
        <v>9000</v>
      </c>
      <c r="AF2215" t="s">
        <v>9001</v>
      </c>
      <c r="AG2215" t="s">
        <v>66</v>
      </c>
      <c r="AH2215" t="s">
        <v>66</v>
      </c>
      <c r="AI2215" t="s">
        <v>66</v>
      </c>
      <c r="AJ2215" t="s">
        <v>66</v>
      </c>
      <c r="AK2215">
        <v>1</v>
      </c>
      <c r="AL2215" t="s">
        <v>9158</v>
      </c>
      <c r="AM2215" t="s">
        <v>9159</v>
      </c>
      <c r="AN2215" t="s">
        <v>9160</v>
      </c>
      <c r="AO2215" t="s">
        <v>66</v>
      </c>
      <c r="AP2215">
        <v>1</v>
      </c>
      <c r="AQ2215" t="s">
        <v>9161</v>
      </c>
      <c r="AR2215" t="s">
        <v>9162</v>
      </c>
      <c r="AS2215" t="s">
        <v>66</v>
      </c>
      <c r="AT2215" t="s">
        <v>66</v>
      </c>
    </row>
    <row r="2216" spans="1:46" x14ac:dyDescent="0.15">
      <c r="A2216" t="s">
        <v>9199</v>
      </c>
      <c r="B2216" t="s">
        <v>8993</v>
      </c>
      <c r="C2216" t="s">
        <v>8994</v>
      </c>
      <c r="D2216">
        <v>50</v>
      </c>
      <c r="E2216" t="s">
        <v>8995</v>
      </c>
      <c r="F2216" t="s">
        <v>4516</v>
      </c>
      <c r="G2216" t="s">
        <v>51</v>
      </c>
      <c r="H2216" t="s">
        <v>8996</v>
      </c>
      <c r="I2216" t="s">
        <v>53</v>
      </c>
      <c r="J2216" t="s">
        <v>721</v>
      </c>
      <c r="K2216" t="s">
        <v>3594</v>
      </c>
      <c r="L2216" t="s">
        <v>16</v>
      </c>
      <c r="M2216" t="s">
        <v>19</v>
      </c>
      <c r="N2216">
        <v>3250</v>
      </c>
      <c r="O2216">
        <v>196</v>
      </c>
      <c r="P2216">
        <v>0</v>
      </c>
      <c r="Q2216" t="s">
        <v>9200</v>
      </c>
      <c r="R2216" t="s">
        <v>9201</v>
      </c>
      <c r="S2216" t="s">
        <v>1805</v>
      </c>
      <c r="T2216" t="s">
        <v>9202</v>
      </c>
      <c r="U2216" t="s">
        <v>60</v>
      </c>
      <c r="V2216" t="s">
        <v>61</v>
      </c>
      <c r="W2216">
        <v>3</v>
      </c>
      <c r="X2216">
        <v>0.09</v>
      </c>
      <c r="Y2216" t="s">
        <v>388</v>
      </c>
      <c r="Z2216" t="s">
        <v>389</v>
      </c>
      <c r="AA2216">
        <v>2</v>
      </c>
      <c r="AB2216" t="s">
        <v>8997</v>
      </c>
      <c r="AC2216" t="s">
        <v>8998</v>
      </c>
      <c r="AD2216" t="s">
        <v>8999</v>
      </c>
      <c r="AE2216" t="s">
        <v>9000</v>
      </c>
      <c r="AF2216" t="s">
        <v>9001</v>
      </c>
      <c r="AG2216" t="s">
        <v>66</v>
      </c>
      <c r="AH2216" t="s">
        <v>66</v>
      </c>
      <c r="AI2216" t="s">
        <v>66</v>
      </c>
      <c r="AJ2216" t="s">
        <v>66</v>
      </c>
      <c r="AK2216">
        <v>1</v>
      </c>
      <c r="AL2216" t="s">
        <v>9158</v>
      </c>
      <c r="AM2216" t="s">
        <v>9159</v>
      </c>
      <c r="AN2216" t="s">
        <v>9160</v>
      </c>
      <c r="AO2216" t="s">
        <v>66</v>
      </c>
      <c r="AP2216">
        <v>1</v>
      </c>
      <c r="AQ2216" t="s">
        <v>9161</v>
      </c>
      <c r="AR2216" t="s">
        <v>9162</v>
      </c>
      <c r="AS2216" t="s">
        <v>66</v>
      </c>
      <c r="AT2216" t="s">
        <v>66</v>
      </c>
    </row>
    <row r="2217" spans="1:46" x14ac:dyDescent="0.15">
      <c r="A2217" t="s">
        <v>9203</v>
      </c>
      <c r="B2217" t="s">
        <v>8993</v>
      </c>
      <c r="C2217" t="s">
        <v>8994</v>
      </c>
      <c r="D2217">
        <v>51</v>
      </c>
      <c r="E2217" t="s">
        <v>8995</v>
      </c>
      <c r="F2217" t="s">
        <v>4516</v>
      </c>
      <c r="G2217" t="s">
        <v>51</v>
      </c>
      <c r="H2217" t="s">
        <v>8996</v>
      </c>
      <c r="I2217" t="s">
        <v>53</v>
      </c>
      <c r="J2217" t="s">
        <v>721</v>
      </c>
      <c r="K2217" t="s">
        <v>3594</v>
      </c>
      <c r="L2217" t="s">
        <v>16</v>
      </c>
      <c r="M2217" t="s">
        <v>19</v>
      </c>
      <c r="N2217">
        <v>3306</v>
      </c>
      <c r="O2217">
        <v>200</v>
      </c>
      <c r="P2217">
        <v>0</v>
      </c>
      <c r="Q2217" t="s">
        <v>9204</v>
      </c>
      <c r="R2217" t="s">
        <v>9205</v>
      </c>
      <c r="S2217" t="s">
        <v>1810</v>
      </c>
      <c r="T2217" t="s">
        <v>9206</v>
      </c>
      <c r="U2217" t="s">
        <v>60</v>
      </c>
      <c r="V2217" t="s">
        <v>61</v>
      </c>
      <c r="W2217">
        <v>3</v>
      </c>
      <c r="X2217">
        <v>0.09</v>
      </c>
      <c r="Y2217" t="s">
        <v>230</v>
      </c>
      <c r="Z2217" t="s">
        <v>395</v>
      </c>
      <c r="AA2217">
        <v>2</v>
      </c>
      <c r="AB2217" t="s">
        <v>8997</v>
      </c>
      <c r="AC2217" t="s">
        <v>8998</v>
      </c>
      <c r="AD2217" t="s">
        <v>8999</v>
      </c>
      <c r="AE2217" t="s">
        <v>9000</v>
      </c>
      <c r="AF2217" t="s">
        <v>9001</v>
      </c>
      <c r="AG2217" t="s">
        <v>66</v>
      </c>
      <c r="AH2217" t="s">
        <v>66</v>
      </c>
      <c r="AI2217" t="s">
        <v>66</v>
      </c>
      <c r="AJ2217" t="s">
        <v>66</v>
      </c>
      <c r="AK2217">
        <v>1</v>
      </c>
      <c r="AL2217" t="s">
        <v>9158</v>
      </c>
      <c r="AM2217" t="s">
        <v>9159</v>
      </c>
      <c r="AN2217" t="s">
        <v>9160</v>
      </c>
      <c r="AO2217" t="s">
        <v>66</v>
      </c>
      <c r="AP2217">
        <v>1</v>
      </c>
      <c r="AQ2217" t="s">
        <v>9161</v>
      </c>
      <c r="AR2217" t="s">
        <v>9162</v>
      </c>
      <c r="AS2217" t="s">
        <v>66</v>
      </c>
      <c r="AT2217" t="s">
        <v>66</v>
      </c>
    </row>
    <row r="2218" spans="1:46" x14ac:dyDescent="0.15">
      <c r="A2218" t="s">
        <v>9207</v>
      </c>
      <c r="B2218" t="s">
        <v>8993</v>
      </c>
      <c r="C2218" t="s">
        <v>8994</v>
      </c>
      <c r="D2218">
        <v>52</v>
      </c>
      <c r="E2218" t="s">
        <v>8995</v>
      </c>
      <c r="F2218" t="s">
        <v>4516</v>
      </c>
      <c r="G2218" t="s">
        <v>51</v>
      </c>
      <c r="H2218" t="s">
        <v>8996</v>
      </c>
      <c r="I2218" t="s">
        <v>53</v>
      </c>
      <c r="J2218" t="s">
        <v>721</v>
      </c>
      <c r="K2218" t="s">
        <v>3594</v>
      </c>
      <c r="L2218" t="s">
        <v>16</v>
      </c>
      <c r="M2218" t="s">
        <v>19</v>
      </c>
      <c r="N2218">
        <v>3362</v>
      </c>
      <c r="O2218">
        <v>203</v>
      </c>
      <c r="P2218">
        <v>0</v>
      </c>
      <c r="Q2218" t="s">
        <v>9208</v>
      </c>
      <c r="R2218" t="s">
        <v>9209</v>
      </c>
      <c r="S2218" t="s">
        <v>1815</v>
      </c>
      <c r="T2218" t="s">
        <v>9210</v>
      </c>
      <c r="U2218" t="s">
        <v>60</v>
      </c>
      <c r="V2218" t="s">
        <v>61</v>
      </c>
      <c r="W2218">
        <v>3</v>
      </c>
      <c r="X2218">
        <v>0.09</v>
      </c>
      <c r="Y2218" t="s">
        <v>401</v>
      </c>
      <c r="Z2218" t="s">
        <v>402</v>
      </c>
      <c r="AA2218">
        <v>2</v>
      </c>
      <c r="AB2218" t="s">
        <v>8997</v>
      </c>
      <c r="AC2218" t="s">
        <v>8998</v>
      </c>
      <c r="AD2218" t="s">
        <v>8999</v>
      </c>
      <c r="AE2218" t="s">
        <v>9000</v>
      </c>
      <c r="AF2218" t="s">
        <v>9001</v>
      </c>
      <c r="AG2218" t="s">
        <v>66</v>
      </c>
      <c r="AH2218" t="s">
        <v>66</v>
      </c>
      <c r="AI2218" t="s">
        <v>66</v>
      </c>
      <c r="AJ2218" t="s">
        <v>66</v>
      </c>
      <c r="AK2218">
        <v>1</v>
      </c>
      <c r="AL2218" t="s">
        <v>9158</v>
      </c>
      <c r="AM2218" t="s">
        <v>9159</v>
      </c>
      <c r="AN2218" t="s">
        <v>9160</v>
      </c>
      <c r="AO2218" t="s">
        <v>66</v>
      </c>
      <c r="AP2218">
        <v>1</v>
      </c>
      <c r="AQ2218" t="s">
        <v>9161</v>
      </c>
      <c r="AR2218" t="s">
        <v>9162</v>
      </c>
      <c r="AS2218" t="s">
        <v>66</v>
      </c>
      <c r="AT2218" t="s">
        <v>66</v>
      </c>
    </row>
    <row r="2219" spans="1:46" x14ac:dyDescent="0.15">
      <c r="A2219" t="s">
        <v>9211</v>
      </c>
      <c r="B2219" t="s">
        <v>8993</v>
      </c>
      <c r="C2219" t="s">
        <v>8994</v>
      </c>
      <c r="D2219">
        <v>53</v>
      </c>
      <c r="E2219" t="s">
        <v>8995</v>
      </c>
      <c r="F2219" t="s">
        <v>4516</v>
      </c>
      <c r="G2219" t="s">
        <v>51</v>
      </c>
      <c r="H2219" t="s">
        <v>8996</v>
      </c>
      <c r="I2219" t="s">
        <v>53</v>
      </c>
      <c r="J2219" t="s">
        <v>721</v>
      </c>
      <c r="K2219" t="s">
        <v>3594</v>
      </c>
      <c r="L2219" t="s">
        <v>16</v>
      </c>
      <c r="M2219" t="s">
        <v>19</v>
      </c>
      <c r="N2219">
        <v>3418</v>
      </c>
      <c r="O2219">
        <v>207</v>
      </c>
      <c r="P2219">
        <v>0</v>
      </c>
      <c r="Q2219" t="s">
        <v>9212</v>
      </c>
      <c r="R2219" t="s">
        <v>9213</v>
      </c>
      <c r="S2219" t="s">
        <v>1820</v>
      </c>
      <c r="T2219" t="s">
        <v>9214</v>
      </c>
      <c r="U2219" t="s">
        <v>60</v>
      </c>
      <c r="V2219" t="s">
        <v>61</v>
      </c>
      <c r="W2219">
        <v>3</v>
      </c>
      <c r="X2219">
        <v>0.09</v>
      </c>
      <c r="Y2219" t="s">
        <v>236</v>
      </c>
      <c r="Z2219" t="s">
        <v>408</v>
      </c>
      <c r="AA2219">
        <v>2</v>
      </c>
      <c r="AB2219" t="s">
        <v>8997</v>
      </c>
      <c r="AC2219" t="s">
        <v>8998</v>
      </c>
      <c r="AD2219" t="s">
        <v>8999</v>
      </c>
      <c r="AE2219" t="s">
        <v>9000</v>
      </c>
      <c r="AF2219" t="s">
        <v>9001</v>
      </c>
      <c r="AG2219" t="s">
        <v>66</v>
      </c>
      <c r="AH2219" t="s">
        <v>66</v>
      </c>
      <c r="AI2219" t="s">
        <v>66</v>
      </c>
      <c r="AJ2219" t="s">
        <v>66</v>
      </c>
      <c r="AK2219">
        <v>1</v>
      </c>
      <c r="AL2219" t="s">
        <v>9158</v>
      </c>
      <c r="AM2219" t="s">
        <v>9159</v>
      </c>
      <c r="AN2219" t="s">
        <v>9160</v>
      </c>
      <c r="AO2219" t="s">
        <v>66</v>
      </c>
      <c r="AP2219">
        <v>1</v>
      </c>
      <c r="AQ2219" t="s">
        <v>9161</v>
      </c>
      <c r="AR2219" t="s">
        <v>9162</v>
      </c>
      <c r="AS2219" t="s">
        <v>66</v>
      </c>
      <c r="AT2219" t="s">
        <v>66</v>
      </c>
    </row>
    <row r="2220" spans="1:46" x14ac:dyDescent="0.15">
      <c r="A2220" t="s">
        <v>9215</v>
      </c>
      <c r="B2220" t="s">
        <v>8993</v>
      </c>
      <c r="C2220" t="s">
        <v>8994</v>
      </c>
      <c r="D2220">
        <v>54</v>
      </c>
      <c r="E2220" t="s">
        <v>8995</v>
      </c>
      <c r="F2220" t="s">
        <v>4516</v>
      </c>
      <c r="G2220" t="s">
        <v>51</v>
      </c>
      <c r="H2220" t="s">
        <v>8996</v>
      </c>
      <c r="I2220" t="s">
        <v>53</v>
      </c>
      <c r="J2220" t="s">
        <v>721</v>
      </c>
      <c r="K2220" t="s">
        <v>3594</v>
      </c>
      <c r="L2220" t="s">
        <v>16</v>
      </c>
      <c r="M2220" t="s">
        <v>19</v>
      </c>
      <c r="N2220">
        <v>3474</v>
      </c>
      <c r="O2220">
        <v>210</v>
      </c>
      <c r="P2220">
        <v>0</v>
      </c>
      <c r="Q2220" t="s">
        <v>9216</v>
      </c>
      <c r="R2220" t="s">
        <v>9217</v>
      </c>
      <c r="S2220" t="s">
        <v>1825</v>
      </c>
      <c r="T2220" t="s">
        <v>9218</v>
      </c>
      <c r="U2220" t="s">
        <v>60</v>
      </c>
      <c r="V2220" t="s">
        <v>61</v>
      </c>
      <c r="W2220">
        <v>3</v>
      </c>
      <c r="X2220">
        <v>0.09</v>
      </c>
      <c r="Y2220" t="s">
        <v>414</v>
      </c>
      <c r="Z2220" t="s">
        <v>415</v>
      </c>
      <c r="AA2220">
        <v>2</v>
      </c>
      <c r="AB2220" t="s">
        <v>8997</v>
      </c>
      <c r="AC2220" t="s">
        <v>8998</v>
      </c>
      <c r="AD2220" t="s">
        <v>8999</v>
      </c>
      <c r="AE2220" t="s">
        <v>9000</v>
      </c>
      <c r="AF2220" t="s">
        <v>9001</v>
      </c>
      <c r="AG2220" t="s">
        <v>66</v>
      </c>
      <c r="AH2220" t="s">
        <v>66</v>
      </c>
      <c r="AI2220" t="s">
        <v>66</v>
      </c>
      <c r="AJ2220" t="s">
        <v>66</v>
      </c>
      <c r="AK2220">
        <v>1</v>
      </c>
      <c r="AL2220" t="s">
        <v>9158</v>
      </c>
      <c r="AM2220" t="s">
        <v>9159</v>
      </c>
      <c r="AN2220" t="s">
        <v>9160</v>
      </c>
      <c r="AO2220" t="s">
        <v>66</v>
      </c>
      <c r="AP2220">
        <v>1</v>
      </c>
      <c r="AQ2220" t="s">
        <v>9161</v>
      </c>
      <c r="AR2220" t="s">
        <v>9162</v>
      </c>
      <c r="AS2220" t="s">
        <v>66</v>
      </c>
      <c r="AT2220" t="s">
        <v>66</v>
      </c>
    </row>
    <row r="2221" spans="1:46" x14ac:dyDescent="0.15">
      <c r="A2221" t="s">
        <v>9219</v>
      </c>
      <c r="B2221" t="s">
        <v>8993</v>
      </c>
      <c r="C2221" t="s">
        <v>8994</v>
      </c>
      <c r="D2221">
        <v>55</v>
      </c>
      <c r="E2221" t="s">
        <v>8995</v>
      </c>
      <c r="F2221" t="s">
        <v>4516</v>
      </c>
      <c r="G2221" t="s">
        <v>51</v>
      </c>
      <c r="H2221" t="s">
        <v>8996</v>
      </c>
      <c r="I2221" t="s">
        <v>53</v>
      </c>
      <c r="J2221" t="s">
        <v>721</v>
      </c>
      <c r="K2221" t="s">
        <v>3594</v>
      </c>
      <c r="L2221" t="s">
        <v>16</v>
      </c>
      <c r="M2221" t="s">
        <v>19</v>
      </c>
      <c r="N2221">
        <v>3531</v>
      </c>
      <c r="O2221">
        <v>213</v>
      </c>
      <c r="P2221">
        <v>0</v>
      </c>
      <c r="Q2221" t="s">
        <v>9220</v>
      </c>
      <c r="R2221" t="s">
        <v>9221</v>
      </c>
      <c r="S2221" t="s">
        <v>1830</v>
      </c>
      <c r="T2221" t="s">
        <v>9222</v>
      </c>
      <c r="U2221" t="s">
        <v>60</v>
      </c>
      <c r="V2221" t="s">
        <v>61</v>
      </c>
      <c r="W2221">
        <v>3</v>
      </c>
      <c r="X2221">
        <v>0.09</v>
      </c>
      <c r="Y2221" t="s">
        <v>243</v>
      </c>
      <c r="Z2221" t="s">
        <v>421</v>
      </c>
      <c r="AA2221">
        <v>2</v>
      </c>
      <c r="AB2221" t="s">
        <v>8997</v>
      </c>
      <c r="AC2221" t="s">
        <v>8998</v>
      </c>
      <c r="AD2221" t="s">
        <v>8999</v>
      </c>
      <c r="AE2221" t="s">
        <v>9000</v>
      </c>
      <c r="AF2221" t="s">
        <v>9001</v>
      </c>
      <c r="AG2221" t="s">
        <v>66</v>
      </c>
      <c r="AH2221" t="s">
        <v>66</v>
      </c>
      <c r="AI2221" t="s">
        <v>66</v>
      </c>
      <c r="AJ2221" t="s">
        <v>66</v>
      </c>
      <c r="AK2221">
        <v>1</v>
      </c>
      <c r="AL2221" t="s">
        <v>9158</v>
      </c>
      <c r="AM2221" t="s">
        <v>9159</v>
      </c>
      <c r="AN2221" t="s">
        <v>9160</v>
      </c>
      <c r="AO2221" t="s">
        <v>66</v>
      </c>
      <c r="AP2221">
        <v>1</v>
      </c>
      <c r="AQ2221" t="s">
        <v>9161</v>
      </c>
      <c r="AR2221" t="s">
        <v>9162</v>
      </c>
      <c r="AS2221" t="s">
        <v>66</v>
      </c>
      <c r="AT2221" t="s">
        <v>66</v>
      </c>
    </row>
    <row r="2222" spans="1:46" x14ac:dyDescent="0.15">
      <c r="A2222" t="s">
        <v>9223</v>
      </c>
      <c r="B2222" t="s">
        <v>8993</v>
      </c>
      <c r="C2222" t="s">
        <v>8994</v>
      </c>
      <c r="D2222">
        <v>56</v>
      </c>
      <c r="E2222" t="s">
        <v>8995</v>
      </c>
      <c r="F2222" t="s">
        <v>4516</v>
      </c>
      <c r="G2222" t="s">
        <v>51</v>
      </c>
      <c r="H2222" t="s">
        <v>8996</v>
      </c>
      <c r="I2222" t="s">
        <v>53</v>
      </c>
      <c r="J2222" t="s">
        <v>721</v>
      </c>
      <c r="K2222" t="s">
        <v>3594</v>
      </c>
      <c r="L2222" t="s">
        <v>16</v>
      </c>
      <c r="M2222" t="s">
        <v>19</v>
      </c>
      <c r="N2222">
        <v>3587</v>
      </c>
      <c r="O2222">
        <v>217</v>
      </c>
      <c r="P2222">
        <v>0</v>
      </c>
      <c r="Q2222" t="s">
        <v>9224</v>
      </c>
      <c r="R2222" t="s">
        <v>9225</v>
      </c>
      <c r="S2222" t="s">
        <v>1835</v>
      </c>
      <c r="T2222" t="s">
        <v>9226</v>
      </c>
      <c r="U2222" t="s">
        <v>60</v>
      </c>
      <c r="V2222" t="s">
        <v>61</v>
      </c>
      <c r="W2222">
        <v>3</v>
      </c>
      <c r="X2222">
        <v>0.09</v>
      </c>
      <c r="Y2222" t="s">
        <v>427</v>
      </c>
      <c r="Z2222" t="s">
        <v>428</v>
      </c>
      <c r="AA2222">
        <v>2</v>
      </c>
      <c r="AB2222" t="s">
        <v>8997</v>
      </c>
      <c r="AC2222" t="s">
        <v>8998</v>
      </c>
      <c r="AD2222" t="s">
        <v>8999</v>
      </c>
      <c r="AE2222" t="s">
        <v>9000</v>
      </c>
      <c r="AF2222" t="s">
        <v>9001</v>
      </c>
      <c r="AG2222" t="s">
        <v>66</v>
      </c>
      <c r="AH2222" t="s">
        <v>66</v>
      </c>
      <c r="AI2222" t="s">
        <v>66</v>
      </c>
      <c r="AJ2222" t="s">
        <v>66</v>
      </c>
      <c r="AK2222">
        <v>1</v>
      </c>
      <c r="AL2222" t="s">
        <v>9158</v>
      </c>
      <c r="AM2222" t="s">
        <v>9159</v>
      </c>
      <c r="AN2222" t="s">
        <v>9160</v>
      </c>
      <c r="AO2222" t="s">
        <v>66</v>
      </c>
      <c r="AP2222">
        <v>1</v>
      </c>
      <c r="AQ2222" t="s">
        <v>9161</v>
      </c>
      <c r="AR2222" t="s">
        <v>9162</v>
      </c>
      <c r="AS2222" t="s">
        <v>66</v>
      </c>
      <c r="AT2222" t="s">
        <v>66</v>
      </c>
    </row>
    <row r="2223" spans="1:46" x14ac:dyDescent="0.15">
      <c r="A2223" t="s">
        <v>9227</v>
      </c>
      <c r="B2223" t="s">
        <v>8993</v>
      </c>
      <c r="C2223" t="s">
        <v>8994</v>
      </c>
      <c r="D2223">
        <v>57</v>
      </c>
      <c r="E2223" t="s">
        <v>8995</v>
      </c>
      <c r="F2223" t="s">
        <v>4516</v>
      </c>
      <c r="G2223" t="s">
        <v>51</v>
      </c>
      <c r="H2223" t="s">
        <v>8996</v>
      </c>
      <c r="I2223" t="s">
        <v>53</v>
      </c>
      <c r="J2223" t="s">
        <v>721</v>
      </c>
      <c r="K2223" t="s">
        <v>3594</v>
      </c>
      <c r="L2223" t="s">
        <v>16</v>
      </c>
      <c r="M2223" t="s">
        <v>19</v>
      </c>
      <c r="N2223">
        <v>3643</v>
      </c>
      <c r="O2223">
        <v>220</v>
      </c>
      <c r="P2223">
        <v>0</v>
      </c>
      <c r="Q2223" t="s">
        <v>9228</v>
      </c>
      <c r="R2223" t="s">
        <v>9229</v>
      </c>
      <c r="S2223" t="s">
        <v>1840</v>
      </c>
      <c r="T2223" t="s">
        <v>9230</v>
      </c>
      <c r="U2223" t="s">
        <v>60</v>
      </c>
      <c r="V2223" t="s">
        <v>61</v>
      </c>
      <c r="W2223">
        <v>3</v>
      </c>
      <c r="X2223">
        <v>0.09</v>
      </c>
      <c r="Y2223" t="s">
        <v>249</v>
      </c>
      <c r="Z2223" t="s">
        <v>434</v>
      </c>
      <c r="AA2223">
        <v>2</v>
      </c>
      <c r="AB2223" t="s">
        <v>8997</v>
      </c>
      <c r="AC2223" t="s">
        <v>8998</v>
      </c>
      <c r="AD2223" t="s">
        <v>8999</v>
      </c>
      <c r="AE2223" t="s">
        <v>9000</v>
      </c>
      <c r="AF2223" t="s">
        <v>9001</v>
      </c>
      <c r="AG2223" t="s">
        <v>66</v>
      </c>
      <c r="AH2223" t="s">
        <v>66</v>
      </c>
      <c r="AI2223" t="s">
        <v>66</v>
      </c>
      <c r="AJ2223" t="s">
        <v>66</v>
      </c>
      <c r="AK2223">
        <v>1</v>
      </c>
      <c r="AL2223" t="s">
        <v>9158</v>
      </c>
      <c r="AM2223" t="s">
        <v>9159</v>
      </c>
      <c r="AN2223" t="s">
        <v>9160</v>
      </c>
      <c r="AO2223" t="s">
        <v>66</v>
      </c>
      <c r="AP2223">
        <v>1</v>
      </c>
      <c r="AQ2223" t="s">
        <v>9161</v>
      </c>
      <c r="AR2223" t="s">
        <v>9162</v>
      </c>
      <c r="AS2223" t="s">
        <v>66</v>
      </c>
      <c r="AT2223" t="s">
        <v>66</v>
      </c>
    </row>
    <row r="2224" spans="1:46" x14ac:dyDescent="0.15">
      <c r="A2224" t="s">
        <v>9231</v>
      </c>
      <c r="B2224" t="s">
        <v>8993</v>
      </c>
      <c r="C2224" t="s">
        <v>8994</v>
      </c>
      <c r="D2224">
        <v>58</v>
      </c>
      <c r="E2224" t="s">
        <v>8995</v>
      </c>
      <c r="F2224" t="s">
        <v>4516</v>
      </c>
      <c r="G2224" t="s">
        <v>51</v>
      </c>
      <c r="H2224" t="s">
        <v>8996</v>
      </c>
      <c r="I2224" t="s">
        <v>53</v>
      </c>
      <c r="J2224" t="s">
        <v>721</v>
      </c>
      <c r="K2224" t="s">
        <v>3594</v>
      </c>
      <c r="L2224" t="s">
        <v>16</v>
      </c>
      <c r="M2224" t="s">
        <v>19</v>
      </c>
      <c r="N2224">
        <v>3699</v>
      </c>
      <c r="O2224">
        <v>224</v>
      </c>
      <c r="P2224">
        <v>0</v>
      </c>
      <c r="Q2224" t="s">
        <v>9232</v>
      </c>
      <c r="R2224" t="s">
        <v>9233</v>
      </c>
      <c r="S2224" t="s">
        <v>1845</v>
      </c>
      <c r="T2224" t="s">
        <v>9234</v>
      </c>
      <c r="U2224" t="s">
        <v>60</v>
      </c>
      <c r="V2224" t="s">
        <v>61</v>
      </c>
      <c r="W2224">
        <v>3</v>
      </c>
      <c r="X2224">
        <v>0.09</v>
      </c>
      <c r="Y2224" t="s">
        <v>440</v>
      </c>
      <c r="Z2224" t="s">
        <v>441</v>
      </c>
      <c r="AA2224">
        <v>2</v>
      </c>
      <c r="AB2224" t="s">
        <v>8997</v>
      </c>
      <c r="AC2224" t="s">
        <v>8998</v>
      </c>
      <c r="AD2224" t="s">
        <v>8999</v>
      </c>
      <c r="AE2224" t="s">
        <v>9000</v>
      </c>
      <c r="AF2224" t="s">
        <v>9001</v>
      </c>
      <c r="AG2224" t="s">
        <v>66</v>
      </c>
      <c r="AH2224" t="s">
        <v>66</v>
      </c>
      <c r="AI2224" t="s">
        <v>66</v>
      </c>
      <c r="AJ2224" t="s">
        <v>66</v>
      </c>
      <c r="AK2224">
        <v>1</v>
      </c>
      <c r="AL2224" t="s">
        <v>9158</v>
      </c>
      <c r="AM2224" t="s">
        <v>9159</v>
      </c>
      <c r="AN2224" t="s">
        <v>9160</v>
      </c>
      <c r="AO2224" t="s">
        <v>66</v>
      </c>
      <c r="AP2224">
        <v>1</v>
      </c>
      <c r="AQ2224" t="s">
        <v>9161</v>
      </c>
      <c r="AR2224" t="s">
        <v>9162</v>
      </c>
      <c r="AS2224" t="s">
        <v>66</v>
      </c>
      <c r="AT2224" t="s">
        <v>66</v>
      </c>
    </row>
    <row r="2225" spans="1:46" x14ac:dyDescent="0.15">
      <c r="A2225" t="s">
        <v>9235</v>
      </c>
      <c r="B2225" t="s">
        <v>8993</v>
      </c>
      <c r="C2225" t="s">
        <v>8994</v>
      </c>
      <c r="D2225">
        <v>59</v>
      </c>
      <c r="E2225" t="s">
        <v>8995</v>
      </c>
      <c r="F2225" t="s">
        <v>4516</v>
      </c>
      <c r="G2225" t="s">
        <v>51</v>
      </c>
      <c r="H2225" t="s">
        <v>8996</v>
      </c>
      <c r="I2225" t="s">
        <v>53</v>
      </c>
      <c r="J2225" t="s">
        <v>721</v>
      </c>
      <c r="K2225" t="s">
        <v>3594</v>
      </c>
      <c r="L2225" t="s">
        <v>16</v>
      </c>
      <c r="M2225" t="s">
        <v>19</v>
      </c>
      <c r="N2225">
        <v>3755</v>
      </c>
      <c r="O2225">
        <v>227</v>
      </c>
      <c r="P2225">
        <v>0</v>
      </c>
      <c r="Q2225" t="s">
        <v>9236</v>
      </c>
      <c r="R2225" t="s">
        <v>9237</v>
      </c>
      <c r="S2225" t="s">
        <v>1850</v>
      </c>
      <c r="T2225" t="s">
        <v>9238</v>
      </c>
      <c r="U2225" t="s">
        <v>60</v>
      </c>
      <c r="V2225" t="s">
        <v>61</v>
      </c>
      <c r="W2225">
        <v>3</v>
      </c>
      <c r="X2225">
        <v>0.09</v>
      </c>
      <c r="Y2225" t="s">
        <v>256</v>
      </c>
      <c r="Z2225" t="s">
        <v>447</v>
      </c>
      <c r="AA2225">
        <v>2</v>
      </c>
      <c r="AB2225" t="s">
        <v>8997</v>
      </c>
      <c r="AC2225" t="s">
        <v>8998</v>
      </c>
      <c r="AD2225" t="s">
        <v>8999</v>
      </c>
      <c r="AE2225" t="s">
        <v>9000</v>
      </c>
      <c r="AF2225" t="s">
        <v>9001</v>
      </c>
      <c r="AG2225" t="s">
        <v>66</v>
      </c>
      <c r="AH2225" t="s">
        <v>66</v>
      </c>
      <c r="AI2225" t="s">
        <v>66</v>
      </c>
      <c r="AJ2225" t="s">
        <v>66</v>
      </c>
      <c r="AK2225">
        <v>1</v>
      </c>
      <c r="AL2225" t="s">
        <v>9158</v>
      </c>
      <c r="AM2225" t="s">
        <v>9159</v>
      </c>
      <c r="AN2225" t="s">
        <v>9160</v>
      </c>
      <c r="AO2225" t="s">
        <v>66</v>
      </c>
      <c r="AP2225">
        <v>1</v>
      </c>
      <c r="AQ2225" t="s">
        <v>9161</v>
      </c>
      <c r="AR2225" t="s">
        <v>9162</v>
      </c>
      <c r="AS2225" t="s">
        <v>66</v>
      </c>
      <c r="AT2225" t="s">
        <v>66</v>
      </c>
    </row>
    <row r="2226" spans="1:46" x14ac:dyDescent="0.15">
      <c r="A2226" t="s">
        <v>9239</v>
      </c>
      <c r="B2226" t="s">
        <v>8993</v>
      </c>
      <c r="C2226" t="s">
        <v>8994</v>
      </c>
      <c r="D2226">
        <v>60</v>
      </c>
      <c r="E2226" t="s">
        <v>8995</v>
      </c>
      <c r="F2226" t="s">
        <v>4516</v>
      </c>
      <c r="G2226" t="s">
        <v>51</v>
      </c>
      <c r="H2226" t="s">
        <v>8996</v>
      </c>
      <c r="I2226" t="s">
        <v>53</v>
      </c>
      <c r="J2226" t="s">
        <v>721</v>
      </c>
      <c r="K2226" t="s">
        <v>3594</v>
      </c>
      <c r="L2226" t="s">
        <v>16</v>
      </c>
      <c r="M2226" t="s">
        <v>19</v>
      </c>
      <c r="N2226">
        <v>3811</v>
      </c>
      <c r="O2226">
        <v>230</v>
      </c>
      <c r="P2226">
        <v>0</v>
      </c>
      <c r="Q2226" t="s">
        <v>9240</v>
      </c>
      <c r="R2226" t="s">
        <v>9241</v>
      </c>
      <c r="S2226" t="s">
        <v>1854</v>
      </c>
      <c r="T2226" t="s">
        <v>9242</v>
      </c>
      <c r="U2226" t="s">
        <v>60</v>
      </c>
      <c r="V2226" t="s">
        <v>61</v>
      </c>
      <c r="W2226">
        <v>3</v>
      </c>
      <c r="X2226">
        <v>0.09</v>
      </c>
      <c r="Y2226" t="s">
        <v>453</v>
      </c>
      <c r="Z2226" t="s">
        <v>454</v>
      </c>
      <c r="AA2226">
        <v>2</v>
      </c>
      <c r="AB2226" t="s">
        <v>8997</v>
      </c>
      <c r="AC2226" t="s">
        <v>8998</v>
      </c>
      <c r="AD2226" t="s">
        <v>8999</v>
      </c>
      <c r="AE2226" t="s">
        <v>9000</v>
      </c>
      <c r="AF2226" t="s">
        <v>9001</v>
      </c>
      <c r="AG2226" t="s">
        <v>66</v>
      </c>
      <c r="AH2226" t="s">
        <v>66</v>
      </c>
      <c r="AI2226" t="s">
        <v>66</v>
      </c>
      <c r="AJ2226" t="s">
        <v>66</v>
      </c>
      <c r="AK2226">
        <v>1</v>
      </c>
      <c r="AL2226" t="s">
        <v>9158</v>
      </c>
      <c r="AM2226" t="s">
        <v>9159</v>
      </c>
      <c r="AN2226" t="s">
        <v>9160</v>
      </c>
      <c r="AO2226" t="s">
        <v>66</v>
      </c>
      <c r="AP2226">
        <v>1</v>
      </c>
      <c r="AQ2226" t="s">
        <v>9161</v>
      </c>
      <c r="AR2226" t="s">
        <v>9162</v>
      </c>
      <c r="AS2226" t="s">
        <v>66</v>
      </c>
      <c r="AT2226" t="s">
        <v>66</v>
      </c>
    </row>
    <row r="2227" spans="1:46" x14ac:dyDescent="0.15">
      <c r="A2227" t="s">
        <v>9239</v>
      </c>
      <c r="B2227" t="s">
        <v>8993</v>
      </c>
      <c r="C2227" t="s">
        <v>8994</v>
      </c>
      <c r="D2227">
        <v>60</v>
      </c>
      <c r="E2227" t="s">
        <v>8995</v>
      </c>
      <c r="F2227" t="s">
        <v>4516</v>
      </c>
      <c r="G2227" t="s">
        <v>51</v>
      </c>
      <c r="H2227" t="s">
        <v>8996</v>
      </c>
      <c r="I2227" t="s">
        <v>53</v>
      </c>
      <c r="J2227" t="s">
        <v>721</v>
      </c>
      <c r="K2227" t="s">
        <v>3594</v>
      </c>
      <c r="L2227" t="s">
        <v>16</v>
      </c>
      <c r="M2227" t="s">
        <v>19</v>
      </c>
      <c r="N2227">
        <v>3811</v>
      </c>
      <c r="O2227">
        <v>230</v>
      </c>
      <c r="P2227">
        <v>0</v>
      </c>
      <c r="Q2227" t="s">
        <v>9240</v>
      </c>
      <c r="R2227" t="s">
        <v>9241</v>
      </c>
      <c r="S2227" t="s">
        <v>1854</v>
      </c>
      <c r="T2227" t="s">
        <v>9242</v>
      </c>
      <c r="U2227" t="s">
        <v>60</v>
      </c>
      <c r="V2227" t="s">
        <v>61</v>
      </c>
      <c r="W2227">
        <v>3</v>
      </c>
      <c r="X2227">
        <v>0.09</v>
      </c>
      <c r="Y2227" t="s">
        <v>453</v>
      </c>
      <c r="Z2227" t="s">
        <v>454</v>
      </c>
      <c r="AA2227">
        <v>3</v>
      </c>
      <c r="AB2227" t="s">
        <v>8997</v>
      </c>
      <c r="AC2227" t="s">
        <v>8998</v>
      </c>
      <c r="AD2227" t="s">
        <v>8999</v>
      </c>
      <c r="AE2227" t="s">
        <v>9000</v>
      </c>
      <c r="AF2227" t="s">
        <v>9001</v>
      </c>
      <c r="AG2227" t="s">
        <v>66</v>
      </c>
      <c r="AH2227" t="s">
        <v>66</v>
      </c>
      <c r="AI2227" t="s">
        <v>66</v>
      </c>
      <c r="AJ2227" t="s">
        <v>66</v>
      </c>
      <c r="AK2227">
        <v>1</v>
      </c>
      <c r="AL2227" t="s">
        <v>9158</v>
      </c>
      <c r="AM2227" t="s">
        <v>9159</v>
      </c>
      <c r="AN2227" t="s">
        <v>9160</v>
      </c>
      <c r="AO2227" t="s">
        <v>66</v>
      </c>
      <c r="AP2227">
        <v>1</v>
      </c>
      <c r="AQ2227" t="s">
        <v>9161</v>
      </c>
      <c r="AR2227" t="s">
        <v>9162</v>
      </c>
      <c r="AS2227" t="s">
        <v>9243</v>
      </c>
      <c r="AT2227" t="s">
        <v>66</v>
      </c>
    </row>
    <row r="2228" spans="1:46" x14ac:dyDescent="0.15">
      <c r="A2228" t="s">
        <v>9244</v>
      </c>
      <c r="B2228" t="s">
        <v>8993</v>
      </c>
      <c r="C2228" t="s">
        <v>8994</v>
      </c>
      <c r="D2228">
        <v>61</v>
      </c>
      <c r="E2228" t="s">
        <v>8995</v>
      </c>
      <c r="F2228" t="s">
        <v>4516</v>
      </c>
      <c r="G2228" t="s">
        <v>51</v>
      </c>
      <c r="H2228" t="s">
        <v>8996</v>
      </c>
      <c r="I2228" t="s">
        <v>53</v>
      </c>
      <c r="J2228" t="s">
        <v>721</v>
      </c>
      <c r="K2228" t="s">
        <v>3594</v>
      </c>
      <c r="L2228" t="s">
        <v>16</v>
      </c>
      <c r="M2228" t="s">
        <v>19</v>
      </c>
      <c r="N2228">
        <v>3867</v>
      </c>
      <c r="O2228">
        <v>234</v>
      </c>
      <c r="P2228">
        <v>0</v>
      </c>
      <c r="Q2228" t="s">
        <v>9245</v>
      </c>
      <c r="R2228" t="s">
        <v>9246</v>
      </c>
      <c r="S2228" t="s">
        <v>1865</v>
      </c>
      <c r="T2228" t="s">
        <v>9247</v>
      </c>
      <c r="U2228" t="s">
        <v>60</v>
      </c>
      <c r="V2228" t="s">
        <v>61</v>
      </c>
      <c r="W2228">
        <v>3</v>
      </c>
      <c r="X2228">
        <v>0.09</v>
      </c>
      <c r="Y2228" t="s">
        <v>262</v>
      </c>
      <c r="Z2228" t="s">
        <v>465</v>
      </c>
      <c r="AA2228">
        <v>3</v>
      </c>
      <c r="AB2228" t="s">
        <v>8997</v>
      </c>
      <c r="AC2228" t="s">
        <v>8998</v>
      </c>
      <c r="AD2228" t="s">
        <v>8999</v>
      </c>
      <c r="AE2228" t="s">
        <v>9000</v>
      </c>
      <c r="AF2228" t="s">
        <v>9001</v>
      </c>
      <c r="AG2228" t="s">
        <v>66</v>
      </c>
      <c r="AH2228" t="s">
        <v>66</v>
      </c>
      <c r="AI2228" t="s">
        <v>66</v>
      </c>
      <c r="AJ2228" t="s">
        <v>66</v>
      </c>
      <c r="AK2228">
        <v>1</v>
      </c>
      <c r="AL2228" t="s">
        <v>9158</v>
      </c>
      <c r="AM2228" t="s">
        <v>9159</v>
      </c>
      <c r="AN2228" t="s">
        <v>9160</v>
      </c>
      <c r="AO2228" t="s">
        <v>66</v>
      </c>
      <c r="AP2228">
        <v>1</v>
      </c>
      <c r="AQ2228" t="s">
        <v>9161</v>
      </c>
      <c r="AR2228" t="s">
        <v>9162</v>
      </c>
      <c r="AS2228" t="s">
        <v>9243</v>
      </c>
      <c r="AT2228" t="s">
        <v>66</v>
      </c>
    </row>
    <row r="2229" spans="1:46" x14ac:dyDescent="0.15">
      <c r="A2229" t="s">
        <v>9248</v>
      </c>
      <c r="B2229" t="s">
        <v>8993</v>
      </c>
      <c r="C2229" t="s">
        <v>8994</v>
      </c>
      <c r="D2229">
        <v>62</v>
      </c>
      <c r="E2229" t="s">
        <v>8995</v>
      </c>
      <c r="F2229" t="s">
        <v>4516</v>
      </c>
      <c r="G2229" t="s">
        <v>51</v>
      </c>
      <c r="H2229" t="s">
        <v>8996</v>
      </c>
      <c r="I2229" t="s">
        <v>53</v>
      </c>
      <c r="J2229" t="s">
        <v>721</v>
      </c>
      <c r="K2229" t="s">
        <v>3594</v>
      </c>
      <c r="L2229" t="s">
        <v>16</v>
      </c>
      <c r="M2229" t="s">
        <v>19</v>
      </c>
      <c r="N2229">
        <v>3923</v>
      </c>
      <c r="O2229">
        <v>237</v>
      </c>
      <c r="P2229">
        <v>0</v>
      </c>
      <c r="Q2229" t="s">
        <v>9249</v>
      </c>
      <c r="R2229" t="s">
        <v>9250</v>
      </c>
      <c r="S2229" t="s">
        <v>1870</v>
      </c>
      <c r="T2229" t="s">
        <v>9251</v>
      </c>
      <c r="U2229" t="s">
        <v>60</v>
      </c>
      <c r="V2229" t="s">
        <v>61</v>
      </c>
      <c r="W2229">
        <v>3</v>
      </c>
      <c r="X2229">
        <v>0.09</v>
      </c>
      <c r="Y2229" t="s">
        <v>471</v>
      </c>
      <c r="Z2229" t="s">
        <v>472</v>
      </c>
      <c r="AA2229">
        <v>3</v>
      </c>
      <c r="AB2229" t="s">
        <v>8997</v>
      </c>
      <c r="AC2229" t="s">
        <v>8998</v>
      </c>
      <c r="AD2229" t="s">
        <v>8999</v>
      </c>
      <c r="AE2229" t="s">
        <v>9000</v>
      </c>
      <c r="AF2229" t="s">
        <v>9001</v>
      </c>
      <c r="AG2229" t="s">
        <v>66</v>
      </c>
      <c r="AH2229" t="s">
        <v>66</v>
      </c>
      <c r="AI2229" t="s">
        <v>66</v>
      </c>
      <c r="AJ2229" t="s">
        <v>66</v>
      </c>
      <c r="AK2229">
        <v>1</v>
      </c>
      <c r="AL2229" t="s">
        <v>9158</v>
      </c>
      <c r="AM2229" t="s">
        <v>9159</v>
      </c>
      <c r="AN2229" t="s">
        <v>9160</v>
      </c>
      <c r="AO2229" t="s">
        <v>66</v>
      </c>
      <c r="AP2229">
        <v>1</v>
      </c>
      <c r="AQ2229" t="s">
        <v>9161</v>
      </c>
      <c r="AR2229" t="s">
        <v>9162</v>
      </c>
      <c r="AS2229" t="s">
        <v>9243</v>
      </c>
      <c r="AT2229" t="s">
        <v>66</v>
      </c>
    </row>
    <row r="2230" spans="1:46" x14ac:dyDescent="0.15">
      <c r="A2230" t="s">
        <v>9252</v>
      </c>
      <c r="B2230" t="s">
        <v>8993</v>
      </c>
      <c r="C2230" t="s">
        <v>8994</v>
      </c>
      <c r="D2230">
        <v>63</v>
      </c>
      <c r="E2230" t="s">
        <v>8995</v>
      </c>
      <c r="F2230" t="s">
        <v>4516</v>
      </c>
      <c r="G2230" t="s">
        <v>51</v>
      </c>
      <c r="H2230" t="s">
        <v>8996</v>
      </c>
      <c r="I2230" t="s">
        <v>53</v>
      </c>
      <c r="J2230" t="s">
        <v>721</v>
      </c>
      <c r="K2230" t="s">
        <v>3594</v>
      </c>
      <c r="L2230" t="s">
        <v>16</v>
      </c>
      <c r="M2230" t="s">
        <v>19</v>
      </c>
      <c r="N2230">
        <v>3980</v>
      </c>
      <c r="O2230">
        <v>241</v>
      </c>
      <c r="P2230">
        <v>0</v>
      </c>
      <c r="Q2230" t="s">
        <v>9253</v>
      </c>
      <c r="R2230" t="s">
        <v>9254</v>
      </c>
      <c r="S2230" t="s">
        <v>1875</v>
      </c>
      <c r="T2230" t="s">
        <v>9255</v>
      </c>
      <c r="U2230" t="s">
        <v>60</v>
      </c>
      <c r="V2230" t="s">
        <v>61</v>
      </c>
      <c r="W2230">
        <v>3</v>
      </c>
      <c r="X2230">
        <v>0.09</v>
      </c>
      <c r="Y2230" t="s">
        <v>269</v>
      </c>
      <c r="Z2230" t="s">
        <v>478</v>
      </c>
      <c r="AA2230">
        <v>3</v>
      </c>
      <c r="AB2230" t="s">
        <v>8997</v>
      </c>
      <c r="AC2230" t="s">
        <v>8998</v>
      </c>
      <c r="AD2230" t="s">
        <v>8999</v>
      </c>
      <c r="AE2230" t="s">
        <v>9000</v>
      </c>
      <c r="AF2230" t="s">
        <v>9001</v>
      </c>
      <c r="AG2230" t="s">
        <v>66</v>
      </c>
      <c r="AH2230" t="s">
        <v>66</v>
      </c>
      <c r="AI2230" t="s">
        <v>66</v>
      </c>
      <c r="AJ2230" t="s">
        <v>66</v>
      </c>
      <c r="AK2230">
        <v>1</v>
      </c>
      <c r="AL2230" t="s">
        <v>9158</v>
      </c>
      <c r="AM2230" t="s">
        <v>9159</v>
      </c>
      <c r="AN2230" t="s">
        <v>9160</v>
      </c>
      <c r="AO2230" t="s">
        <v>66</v>
      </c>
      <c r="AP2230">
        <v>1</v>
      </c>
      <c r="AQ2230" t="s">
        <v>9161</v>
      </c>
      <c r="AR2230" t="s">
        <v>9162</v>
      </c>
      <c r="AS2230" t="s">
        <v>9243</v>
      </c>
      <c r="AT2230" t="s">
        <v>66</v>
      </c>
    </row>
    <row r="2231" spans="1:46" x14ac:dyDescent="0.15">
      <c r="A2231" t="s">
        <v>9256</v>
      </c>
      <c r="B2231" t="s">
        <v>8993</v>
      </c>
      <c r="C2231" t="s">
        <v>8994</v>
      </c>
      <c r="D2231">
        <v>64</v>
      </c>
      <c r="E2231" t="s">
        <v>8995</v>
      </c>
      <c r="F2231" t="s">
        <v>4516</v>
      </c>
      <c r="G2231" t="s">
        <v>51</v>
      </c>
      <c r="H2231" t="s">
        <v>8996</v>
      </c>
      <c r="I2231" t="s">
        <v>53</v>
      </c>
      <c r="J2231" t="s">
        <v>721</v>
      </c>
      <c r="K2231" t="s">
        <v>3594</v>
      </c>
      <c r="L2231" t="s">
        <v>16</v>
      </c>
      <c r="M2231" t="s">
        <v>19</v>
      </c>
      <c r="N2231">
        <v>4036</v>
      </c>
      <c r="O2231">
        <v>244</v>
      </c>
      <c r="P2231">
        <v>0</v>
      </c>
      <c r="Q2231" t="s">
        <v>9257</v>
      </c>
      <c r="R2231" t="s">
        <v>9258</v>
      </c>
      <c r="S2231" t="s">
        <v>1880</v>
      </c>
      <c r="T2231" t="s">
        <v>9259</v>
      </c>
      <c r="U2231" t="s">
        <v>60</v>
      </c>
      <c r="V2231" t="s">
        <v>61</v>
      </c>
      <c r="W2231">
        <v>3</v>
      </c>
      <c r="X2231">
        <v>0.09</v>
      </c>
      <c r="Y2231" t="s">
        <v>484</v>
      </c>
      <c r="Z2231" t="s">
        <v>485</v>
      </c>
      <c r="AA2231">
        <v>3</v>
      </c>
      <c r="AB2231" t="s">
        <v>8997</v>
      </c>
      <c r="AC2231" t="s">
        <v>8998</v>
      </c>
      <c r="AD2231" t="s">
        <v>8999</v>
      </c>
      <c r="AE2231" t="s">
        <v>9000</v>
      </c>
      <c r="AF2231" t="s">
        <v>9001</v>
      </c>
      <c r="AG2231" t="s">
        <v>66</v>
      </c>
      <c r="AH2231" t="s">
        <v>66</v>
      </c>
      <c r="AI2231" t="s">
        <v>66</v>
      </c>
      <c r="AJ2231" t="s">
        <v>66</v>
      </c>
      <c r="AK2231">
        <v>1</v>
      </c>
      <c r="AL2231" t="s">
        <v>9158</v>
      </c>
      <c r="AM2231" t="s">
        <v>9159</v>
      </c>
      <c r="AN2231" t="s">
        <v>9160</v>
      </c>
      <c r="AO2231" t="s">
        <v>66</v>
      </c>
      <c r="AP2231">
        <v>1</v>
      </c>
      <c r="AQ2231" t="s">
        <v>9161</v>
      </c>
      <c r="AR2231" t="s">
        <v>9162</v>
      </c>
      <c r="AS2231" t="s">
        <v>9243</v>
      </c>
      <c r="AT2231" t="s">
        <v>66</v>
      </c>
    </row>
    <row r="2232" spans="1:46" x14ac:dyDescent="0.15">
      <c r="A2232" t="s">
        <v>9260</v>
      </c>
      <c r="B2232" t="s">
        <v>8993</v>
      </c>
      <c r="C2232" t="s">
        <v>8994</v>
      </c>
      <c r="D2232">
        <v>65</v>
      </c>
      <c r="E2232" t="s">
        <v>8995</v>
      </c>
      <c r="F2232" t="s">
        <v>4516</v>
      </c>
      <c r="G2232" t="s">
        <v>51</v>
      </c>
      <c r="H2232" t="s">
        <v>8996</v>
      </c>
      <c r="I2232" t="s">
        <v>53</v>
      </c>
      <c r="J2232" t="s">
        <v>721</v>
      </c>
      <c r="K2232" t="s">
        <v>3594</v>
      </c>
      <c r="L2232" t="s">
        <v>16</v>
      </c>
      <c r="M2232" t="s">
        <v>19</v>
      </c>
      <c r="N2232">
        <v>4092</v>
      </c>
      <c r="O2232">
        <v>247</v>
      </c>
      <c r="P2232">
        <v>0</v>
      </c>
      <c r="Q2232" t="s">
        <v>9261</v>
      </c>
      <c r="R2232" t="s">
        <v>9262</v>
      </c>
      <c r="S2232" t="s">
        <v>1885</v>
      </c>
      <c r="T2232" t="s">
        <v>9263</v>
      </c>
      <c r="U2232" t="s">
        <v>60</v>
      </c>
      <c r="V2232" t="s">
        <v>61</v>
      </c>
      <c r="W2232">
        <v>3</v>
      </c>
      <c r="X2232">
        <v>0.09</v>
      </c>
      <c r="Y2232" t="s">
        <v>275</v>
      </c>
      <c r="Z2232" t="s">
        <v>491</v>
      </c>
      <c r="AA2232">
        <v>3</v>
      </c>
      <c r="AB2232" t="s">
        <v>8997</v>
      </c>
      <c r="AC2232" t="s">
        <v>8998</v>
      </c>
      <c r="AD2232" t="s">
        <v>8999</v>
      </c>
      <c r="AE2232" t="s">
        <v>9000</v>
      </c>
      <c r="AF2232" t="s">
        <v>9001</v>
      </c>
      <c r="AG2232" t="s">
        <v>66</v>
      </c>
      <c r="AH2232" t="s">
        <v>66</v>
      </c>
      <c r="AI2232" t="s">
        <v>66</v>
      </c>
      <c r="AJ2232" t="s">
        <v>66</v>
      </c>
      <c r="AK2232">
        <v>1</v>
      </c>
      <c r="AL2232" t="s">
        <v>9158</v>
      </c>
      <c r="AM2232" t="s">
        <v>9159</v>
      </c>
      <c r="AN2232" t="s">
        <v>9160</v>
      </c>
      <c r="AO2232" t="s">
        <v>66</v>
      </c>
      <c r="AP2232">
        <v>1</v>
      </c>
      <c r="AQ2232" t="s">
        <v>9161</v>
      </c>
      <c r="AR2232" t="s">
        <v>9162</v>
      </c>
      <c r="AS2232" t="s">
        <v>9243</v>
      </c>
      <c r="AT2232" t="s">
        <v>66</v>
      </c>
    </row>
    <row r="2233" spans="1:46" x14ac:dyDescent="0.15">
      <c r="A2233" t="s">
        <v>9264</v>
      </c>
      <c r="B2233" t="s">
        <v>8993</v>
      </c>
      <c r="C2233" t="s">
        <v>8994</v>
      </c>
      <c r="D2233">
        <v>66</v>
      </c>
      <c r="E2233" t="s">
        <v>8995</v>
      </c>
      <c r="F2233" t="s">
        <v>4516</v>
      </c>
      <c r="G2233" t="s">
        <v>51</v>
      </c>
      <c r="H2233" t="s">
        <v>8996</v>
      </c>
      <c r="I2233" t="s">
        <v>53</v>
      </c>
      <c r="J2233" t="s">
        <v>721</v>
      </c>
      <c r="K2233" t="s">
        <v>3594</v>
      </c>
      <c r="L2233" t="s">
        <v>16</v>
      </c>
      <c r="M2233" t="s">
        <v>19</v>
      </c>
      <c r="N2233">
        <v>4148</v>
      </c>
      <c r="O2233">
        <v>251</v>
      </c>
      <c r="P2233">
        <v>0</v>
      </c>
      <c r="Q2233" t="s">
        <v>9265</v>
      </c>
      <c r="R2233" t="s">
        <v>9266</v>
      </c>
      <c r="S2233" t="s">
        <v>1890</v>
      </c>
      <c r="T2233" t="s">
        <v>9267</v>
      </c>
      <c r="U2233" t="s">
        <v>60</v>
      </c>
      <c r="V2233" t="s">
        <v>61</v>
      </c>
      <c r="W2233">
        <v>3</v>
      </c>
      <c r="X2233">
        <v>0.09</v>
      </c>
      <c r="Y2233" t="s">
        <v>497</v>
      </c>
      <c r="Z2233" t="s">
        <v>498</v>
      </c>
      <c r="AA2233">
        <v>3</v>
      </c>
      <c r="AB2233" t="s">
        <v>8997</v>
      </c>
      <c r="AC2233" t="s">
        <v>8998</v>
      </c>
      <c r="AD2233" t="s">
        <v>8999</v>
      </c>
      <c r="AE2233" t="s">
        <v>9000</v>
      </c>
      <c r="AF2233" t="s">
        <v>9001</v>
      </c>
      <c r="AG2233" t="s">
        <v>66</v>
      </c>
      <c r="AH2233" t="s">
        <v>66</v>
      </c>
      <c r="AI2233" t="s">
        <v>66</v>
      </c>
      <c r="AJ2233" t="s">
        <v>66</v>
      </c>
      <c r="AK2233">
        <v>1</v>
      </c>
      <c r="AL2233" t="s">
        <v>9158</v>
      </c>
      <c r="AM2233" t="s">
        <v>9159</v>
      </c>
      <c r="AN2233" t="s">
        <v>9160</v>
      </c>
      <c r="AO2233" t="s">
        <v>66</v>
      </c>
      <c r="AP2233">
        <v>1</v>
      </c>
      <c r="AQ2233" t="s">
        <v>9161</v>
      </c>
      <c r="AR2233" t="s">
        <v>9162</v>
      </c>
      <c r="AS2233" t="s">
        <v>9243</v>
      </c>
      <c r="AT2233" t="s">
        <v>66</v>
      </c>
    </row>
    <row r="2234" spans="1:46" x14ac:dyDescent="0.15">
      <c r="A2234" t="s">
        <v>9268</v>
      </c>
      <c r="B2234" t="s">
        <v>8993</v>
      </c>
      <c r="C2234" t="s">
        <v>8994</v>
      </c>
      <c r="D2234">
        <v>67</v>
      </c>
      <c r="E2234" t="s">
        <v>8995</v>
      </c>
      <c r="F2234" t="s">
        <v>4516</v>
      </c>
      <c r="G2234" t="s">
        <v>51</v>
      </c>
      <c r="H2234" t="s">
        <v>8996</v>
      </c>
      <c r="I2234" t="s">
        <v>53</v>
      </c>
      <c r="J2234" t="s">
        <v>721</v>
      </c>
      <c r="K2234" t="s">
        <v>3594</v>
      </c>
      <c r="L2234" t="s">
        <v>16</v>
      </c>
      <c r="M2234" t="s">
        <v>19</v>
      </c>
      <c r="N2234">
        <v>4204</v>
      </c>
      <c r="O2234">
        <v>254</v>
      </c>
      <c r="P2234">
        <v>0</v>
      </c>
      <c r="Q2234" t="s">
        <v>9269</v>
      </c>
      <c r="R2234" t="s">
        <v>9270</v>
      </c>
      <c r="S2234" t="s">
        <v>1895</v>
      </c>
      <c r="T2234" t="s">
        <v>9271</v>
      </c>
      <c r="U2234" t="s">
        <v>60</v>
      </c>
      <c r="V2234" t="s">
        <v>61</v>
      </c>
      <c r="W2234">
        <v>3</v>
      </c>
      <c r="X2234">
        <v>0.09</v>
      </c>
      <c r="Y2234" t="s">
        <v>282</v>
      </c>
      <c r="Z2234" t="s">
        <v>504</v>
      </c>
      <c r="AA2234">
        <v>3</v>
      </c>
      <c r="AB2234" t="s">
        <v>8997</v>
      </c>
      <c r="AC2234" t="s">
        <v>8998</v>
      </c>
      <c r="AD2234" t="s">
        <v>8999</v>
      </c>
      <c r="AE2234" t="s">
        <v>9000</v>
      </c>
      <c r="AF2234" t="s">
        <v>9001</v>
      </c>
      <c r="AG2234" t="s">
        <v>66</v>
      </c>
      <c r="AH2234" t="s">
        <v>66</v>
      </c>
      <c r="AI2234" t="s">
        <v>66</v>
      </c>
      <c r="AJ2234" t="s">
        <v>66</v>
      </c>
      <c r="AK2234">
        <v>1</v>
      </c>
      <c r="AL2234" t="s">
        <v>9158</v>
      </c>
      <c r="AM2234" t="s">
        <v>9159</v>
      </c>
      <c r="AN2234" t="s">
        <v>9160</v>
      </c>
      <c r="AO2234" t="s">
        <v>66</v>
      </c>
      <c r="AP2234">
        <v>1</v>
      </c>
      <c r="AQ2234" t="s">
        <v>9161</v>
      </c>
      <c r="AR2234" t="s">
        <v>9162</v>
      </c>
      <c r="AS2234" t="s">
        <v>9243</v>
      </c>
      <c r="AT2234" t="s">
        <v>66</v>
      </c>
    </row>
    <row r="2235" spans="1:46" x14ac:dyDescent="0.15">
      <c r="A2235" t="s">
        <v>9272</v>
      </c>
      <c r="B2235" t="s">
        <v>8993</v>
      </c>
      <c r="C2235" t="s">
        <v>8994</v>
      </c>
      <c r="D2235">
        <v>68</v>
      </c>
      <c r="E2235" t="s">
        <v>8995</v>
      </c>
      <c r="F2235" t="s">
        <v>4516</v>
      </c>
      <c r="G2235" t="s">
        <v>51</v>
      </c>
      <c r="H2235" t="s">
        <v>8996</v>
      </c>
      <c r="I2235" t="s">
        <v>53</v>
      </c>
      <c r="J2235" t="s">
        <v>721</v>
      </c>
      <c r="K2235" t="s">
        <v>3594</v>
      </c>
      <c r="L2235" t="s">
        <v>16</v>
      </c>
      <c r="M2235" t="s">
        <v>19</v>
      </c>
      <c r="N2235">
        <v>4260</v>
      </c>
      <c r="O2235">
        <v>258</v>
      </c>
      <c r="P2235">
        <v>0</v>
      </c>
      <c r="Q2235" t="s">
        <v>9273</v>
      </c>
      <c r="R2235" t="s">
        <v>9274</v>
      </c>
      <c r="S2235" t="s">
        <v>1899</v>
      </c>
      <c r="T2235" t="s">
        <v>9275</v>
      </c>
      <c r="U2235" t="s">
        <v>60</v>
      </c>
      <c r="V2235" t="s">
        <v>61</v>
      </c>
      <c r="W2235">
        <v>3</v>
      </c>
      <c r="X2235">
        <v>0.09</v>
      </c>
      <c r="Y2235" t="s">
        <v>510</v>
      </c>
      <c r="Z2235" t="s">
        <v>511</v>
      </c>
      <c r="AA2235">
        <v>3</v>
      </c>
      <c r="AB2235" t="s">
        <v>8997</v>
      </c>
      <c r="AC2235" t="s">
        <v>8998</v>
      </c>
      <c r="AD2235" t="s">
        <v>8999</v>
      </c>
      <c r="AE2235" t="s">
        <v>9000</v>
      </c>
      <c r="AF2235" t="s">
        <v>9001</v>
      </c>
      <c r="AG2235" t="s">
        <v>66</v>
      </c>
      <c r="AH2235" t="s">
        <v>66</v>
      </c>
      <c r="AI2235" t="s">
        <v>66</v>
      </c>
      <c r="AJ2235" t="s">
        <v>66</v>
      </c>
      <c r="AK2235">
        <v>1</v>
      </c>
      <c r="AL2235" t="s">
        <v>9158</v>
      </c>
      <c r="AM2235" t="s">
        <v>9159</v>
      </c>
      <c r="AN2235" t="s">
        <v>9160</v>
      </c>
      <c r="AO2235" t="s">
        <v>66</v>
      </c>
      <c r="AP2235">
        <v>1</v>
      </c>
      <c r="AQ2235" t="s">
        <v>9161</v>
      </c>
      <c r="AR2235" t="s">
        <v>9162</v>
      </c>
      <c r="AS2235" t="s">
        <v>9243</v>
      </c>
      <c r="AT2235" t="s">
        <v>66</v>
      </c>
    </row>
    <row r="2236" spans="1:46" x14ac:dyDescent="0.15">
      <c r="A2236" t="s">
        <v>9276</v>
      </c>
      <c r="B2236" t="s">
        <v>8993</v>
      </c>
      <c r="C2236" t="s">
        <v>8994</v>
      </c>
      <c r="D2236">
        <v>69</v>
      </c>
      <c r="E2236" t="s">
        <v>8995</v>
      </c>
      <c r="F2236" t="s">
        <v>4516</v>
      </c>
      <c r="G2236" t="s">
        <v>51</v>
      </c>
      <c r="H2236" t="s">
        <v>8996</v>
      </c>
      <c r="I2236" t="s">
        <v>53</v>
      </c>
      <c r="J2236" t="s">
        <v>721</v>
      </c>
      <c r="K2236" t="s">
        <v>3594</v>
      </c>
      <c r="L2236" t="s">
        <v>16</v>
      </c>
      <c r="M2236" t="s">
        <v>19</v>
      </c>
      <c r="N2236">
        <v>4316</v>
      </c>
      <c r="O2236">
        <v>261</v>
      </c>
      <c r="P2236">
        <v>0</v>
      </c>
      <c r="Q2236" t="s">
        <v>9277</v>
      </c>
      <c r="R2236" t="s">
        <v>9278</v>
      </c>
      <c r="S2236" t="s">
        <v>1904</v>
      </c>
      <c r="T2236" t="s">
        <v>9279</v>
      </c>
      <c r="U2236" t="s">
        <v>60</v>
      </c>
      <c r="V2236" t="s">
        <v>61</v>
      </c>
      <c r="W2236">
        <v>3</v>
      </c>
      <c r="X2236">
        <v>0.09</v>
      </c>
      <c r="Y2236" t="s">
        <v>288</v>
      </c>
      <c r="Z2236" t="s">
        <v>517</v>
      </c>
      <c r="AA2236">
        <v>3</v>
      </c>
      <c r="AB2236" t="s">
        <v>8997</v>
      </c>
      <c r="AC2236" t="s">
        <v>8998</v>
      </c>
      <c r="AD2236" t="s">
        <v>8999</v>
      </c>
      <c r="AE2236" t="s">
        <v>9000</v>
      </c>
      <c r="AF2236" t="s">
        <v>9001</v>
      </c>
      <c r="AG2236" t="s">
        <v>66</v>
      </c>
      <c r="AH2236" t="s">
        <v>66</v>
      </c>
      <c r="AI2236" t="s">
        <v>66</v>
      </c>
      <c r="AJ2236" t="s">
        <v>66</v>
      </c>
      <c r="AK2236">
        <v>1</v>
      </c>
      <c r="AL2236" t="s">
        <v>9158</v>
      </c>
      <c r="AM2236" t="s">
        <v>9159</v>
      </c>
      <c r="AN2236" t="s">
        <v>9160</v>
      </c>
      <c r="AO2236" t="s">
        <v>66</v>
      </c>
      <c r="AP2236">
        <v>1</v>
      </c>
      <c r="AQ2236" t="s">
        <v>9161</v>
      </c>
      <c r="AR2236" t="s">
        <v>9162</v>
      </c>
      <c r="AS2236" t="s">
        <v>9243</v>
      </c>
      <c r="AT2236" t="s">
        <v>66</v>
      </c>
    </row>
    <row r="2237" spans="1:46" x14ac:dyDescent="0.15">
      <c r="A2237" t="s">
        <v>9280</v>
      </c>
      <c r="B2237" t="s">
        <v>8993</v>
      </c>
      <c r="C2237" t="s">
        <v>8994</v>
      </c>
      <c r="D2237">
        <v>70</v>
      </c>
      <c r="E2237" t="s">
        <v>8995</v>
      </c>
      <c r="F2237" t="s">
        <v>4516</v>
      </c>
      <c r="G2237" t="s">
        <v>51</v>
      </c>
      <c r="H2237" t="s">
        <v>8996</v>
      </c>
      <c r="I2237" t="s">
        <v>53</v>
      </c>
      <c r="J2237" t="s">
        <v>721</v>
      </c>
      <c r="K2237" t="s">
        <v>3594</v>
      </c>
      <c r="L2237" t="s">
        <v>16</v>
      </c>
      <c r="M2237" t="s">
        <v>19</v>
      </c>
      <c r="N2237">
        <v>4372</v>
      </c>
      <c r="O2237">
        <v>264</v>
      </c>
      <c r="P2237">
        <v>0</v>
      </c>
      <c r="Q2237" t="s">
        <v>9281</v>
      </c>
      <c r="R2237" t="s">
        <v>9282</v>
      </c>
      <c r="S2237" t="s">
        <v>1909</v>
      </c>
      <c r="T2237" t="s">
        <v>9283</v>
      </c>
      <c r="U2237" t="s">
        <v>60</v>
      </c>
      <c r="V2237" t="s">
        <v>61</v>
      </c>
      <c r="W2237">
        <v>3</v>
      </c>
      <c r="X2237">
        <v>0.09</v>
      </c>
      <c r="Y2237" t="s">
        <v>523</v>
      </c>
      <c r="Z2237" t="s">
        <v>524</v>
      </c>
      <c r="AA2237">
        <v>3</v>
      </c>
      <c r="AB2237" t="s">
        <v>8997</v>
      </c>
      <c r="AC2237" t="s">
        <v>8998</v>
      </c>
      <c r="AD2237" t="s">
        <v>8999</v>
      </c>
      <c r="AE2237" t="s">
        <v>9000</v>
      </c>
      <c r="AF2237" t="s">
        <v>9001</v>
      </c>
      <c r="AG2237" t="s">
        <v>66</v>
      </c>
      <c r="AH2237" t="s">
        <v>66</v>
      </c>
      <c r="AI2237" t="s">
        <v>66</v>
      </c>
      <c r="AJ2237" t="s">
        <v>66</v>
      </c>
      <c r="AK2237">
        <v>1</v>
      </c>
      <c r="AL2237" t="s">
        <v>9158</v>
      </c>
      <c r="AM2237" t="s">
        <v>9159</v>
      </c>
      <c r="AN2237" t="s">
        <v>9160</v>
      </c>
      <c r="AO2237" t="s">
        <v>66</v>
      </c>
      <c r="AP2237">
        <v>1</v>
      </c>
      <c r="AQ2237" t="s">
        <v>9161</v>
      </c>
      <c r="AR2237" t="s">
        <v>9162</v>
      </c>
      <c r="AS2237" t="s">
        <v>9243</v>
      </c>
      <c r="AT2237" t="s">
        <v>66</v>
      </c>
    </row>
    <row r="2238" spans="1:46" x14ac:dyDescent="0.15">
      <c r="A2238" t="s">
        <v>9284</v>
      </c>
      <c r="B2238" t="s">
        <v>8993</v>
      </c>
      <c r="C2238" t="s">
        <v>8994</v>
      </c>
      <c r="D2238">
        <v>71</v>
      </c>
      <c r="E2238" t="s">
        <v>8995</v>
      </c>
      <c r="F2238" t="s">
        <v>4516</v>
      </c>
      <c r="G2238" t="s">
        <v>51</v>
      </c>
      <c r="H2238" t="s">
        <v>8996</v>
      </c>
      <c r="I2238" t="s">
        <v>53</v>
      </c>
      <c r="J2238" t="s">
        <v>721</v>
      </c>
      <c r="K2238" t="s">
        <v>3594</v>
      </c>
      <c r="L2238" t="s">
        <v>16</v>
      </c>
      <c r="M2238" t="s">
        <v>19</v>
      </c>
      <c r="N2238">
        <v>4429</v>
      </c>
      <c r="O2238">
        <v>268</v>
      </c>
      <c r="P2238">
        <v>0</v>
      </c>
      <c r="Q2238" t="s">
        <v>9285</v>
      </c>
      <c r="R2238" t="s">
        <v>9286</v>
      </c>
      <c r="S2238" t="s">
        <v>1914</v>
      </c>
      <c r="T2238" t="s">
        <v>9287</v>
      </c>
      <c r="U2238" t="s">
        <v>60</v>
      </c>
      <c r="V2238" t="s">
        <v>61</v>
      </c>
      <c r="W2238">
        <v>3</v>
      </c>
      <c r="X2238">
        <v>0.09</v>
      </c>
      <c r="Y2238" t="s">
        <v>295</v>
      </c>
      <c r="Z2238" t="s">
        <v>530</v>
      </c>
      <c r="AA2238">
        <v>3</v>
      </c>
      <c r="AB2238" t="s">
        <v>8997</v>
      </c>
      <c r="AC2238" t="s">
        <v>8998</v>
      </c>
      <c r="AD2238" t="s">
        <v>8999</v>
      </c>
      <c r="AE2238" t="s">
        <v>9000</v>
      </c>
      <c r="AF2238" t="s">
        <v>9001</v>
      </c>
      <c r="AG2238" t="s">
        <v>66</v>
      </c>
      <c r="AH2238" t="s">
        <v>66</v>
      </c>
      <c r="AI2238" t="s">
        <v>66</v>
      </c>
      <c r="AJ2238" t="s">
        <v>66</v>
      </c>
      <c r="AK2238">
        <v>1</v>
      </c>
      <c r="AL2238" t="s">
        <v>9158</v>
      </c>
      <c r="AM2238" t="s">
        <v>9159</v>
      </c>
      <c r="AN2238" t="s">
        <v>9160</v>
      </c>
      <c r="AO2238" t="s">
        <v>66</v>
      </c>
      <c r="AP2238">
        <v>1</v>
      </c>
      <c r="AQ2238" t="s">
        <v>9161</v>
      </c>
      <c r="AR2238" t="s">
        <v>9162</v>
      </c>
      <c r="AS2238" t="s">
        <v>9243</v>
      </c>
      <c r="AT2238" t="s">
        <v>66</v>
      </c>
    </row>
    <row r="2239" spans="1:46" x14ac:dyDescent="0.15">
      <c r="A2239" t="s">
        <v>9288</v>
      </c>
      <c r="B2239" t="s">
        <v>8993</v>
      </c>
      <c r="C2239" t="s">
        <v>8994</v>
      </c>
      <c r="D2239">
        <v>72</v>
      </c>
      <c r="E2239" t="s">
        <v>8995</v>
      </c>
      <c r="F2239" t="s">
        <v>4516</v>
      </c>
      <c r="G2239" t="s">
        <v>51</v>
      </c>
      <c r="H2239" t="s">
        <v>8996</v>
      </c>
      <c r="I2239" t="s">
        <v>53</v>
      </c>
      <c r="J2239" t="s">
        <v>721</v>
      </c>
      <c r="K2239" t="s">
        <v>3594</v>
      </c>
      <c r="L2239" t="s">
        <v>16</v>
      </c>
      <c r="M2239" t="s">
        <v>19</v>
      </c>
      <c r="N2239">
        <v>4485</v>
      </c>
      <c r="O2239">
        <v>271</v>
      </c>
      <c r="P2239">
        <v>0</v>
      </c>
      <c r="Q2239" t="s">
        <v>9289</v>
      </c>
      <c r="R2239" t="s">
        <v>9290</v>
      </c>
      <c r="S2239" t="s">
        <v>1919</v>
      </c>
      <c r="T2239" t="s">
        <v>9291</v>
      </c>
      <c r="U2239" t="s">
        <v>60</v>
      </c>
      <c r="V2239" t="s">
        <v>61</v>
      </c>
      <c r="W2239">
        <v>3</v>
      </c>
      <c r="X2239">
        <v>0.09</v>
      </c>
      <c r="Y2239" t="s">
        <v>536</v>
      </c>
      <c r="Z2239" t="s">
        <v>537</v>
      </c>
      <c r="AA2239">
        <v>3</v>
      </c>
      <c r="AB2239" t="s">
        <v>8997</v>
      </c>
      <c r="AC2239" t="s">
        <v>8998</v>
      </c>
      <c r="AD2239" t="s">
        <v>8999</v>
      </c>
      <c r="AE2239" t="s">
        <v>9000</v>
      </c>
      <c r="AF2239" t="s">
        <v>9001</v>
      </c>
      <c r="AG2239" t="s">
        <v>66</v>
      </c>
      <c r="AH2239" t="s">
        <v>66</v>
      </c>
      <c r="AI2239" t="s">
        <v>66</v>
      </c>
      <c r="AJ2239" t="s">
        <v>66</v>
      </c>
      <c r="AK2239">
        <v>1</v>
      </c>
      <c r="AL2239" t="s">
        <v>9158</v>
      </c>
      <c r="AM2239" t="s">
        <v>9159</v>
      </c>
      <c r="AN2239" t="s">
        <v>9160</v>
      </c>
      <c r="AO2239" t="s">
        <v>66</v>
      </c>
      <c r="AP2239">
        <v>1</v>
      </c>
      <c r="AQ2239" t="s">
        <v>9161</v>
      </c>
      <c r="AR2239" t="s">
        <v>9162</v>
      </c>
      <c r="AS2239" t="s">
        <v>9243</v>
      </c>
      <c r="AT2239" t="s">
        <v>66</v>
      </c>
    </row>
    <row r="2240" spans="1:46" x14ac:dyDescent="0.15">
      <c r="A2240" t="s">
        <v>9292</v>
      </c>
      <c r="B2240" t="s">
        <v>8993</v>
      </c>
      <c r="C2240" t="s">
        <v>8994</v>
      </c>
      <c r="D2240">
        <v>73</v>
      </c>
      <c r="E2240" t="s">
        <v>8995</v>
      </c>
      <c r="F2240" t="s">
        <v>4516</v>
      </c>
      <c r="G2240" t="s">
        <v>51</v>
      </c>
      <c r="H2240" t="s">
        <v>8996</v>
      </c>
      <c r="I2240" t="s">
        <v>53</v>
      </c>
      <c r="J2240" t="s">
        <v>721</v>
      </c>
      <c r="K2240" t="s">
        <v>3594</v>
      </c>
      <c r="L2240" t="s">
        <v>16</v>
      </c>
      <c r="M2240" t="s">
        <v>19</v>
      </c>
      <c r="N2240">
        <v>4541</v>
      </c>
      <c r="O2240">
        <v>275</v>
      </c>
      <c r="P2240">
        <v>0</v>
      </c>
      <c r="Q2240" t="s">
        <v>9293</v>
      </c>
      <c r="R2240" t="s">
        <v>9294</v>
      </c>
      <c r="S2240" t="s">
        <v>1924</v>
      </c>
      <c r="T2240" t="s">
        <v>9295</v>
      </c>
      <c r="U2240" t="s">
        <v>60</v>
      </c>
      <c r="V2240" t="s">
        <v>61</v>
      </c>
      <c r="W2240">
        <v>3</v>
      </c>
      <c r="X2240">
        <v>0.09</v>
      </c>
      <c r="Y2240" t="s">
        <v>301</v>
      </c>
      <c r="Z2240" t="s">
        <v>543</v>
      </c>
      <c r="AA2240">
        <v>3</v>
      </c>
      <c r="AB2240" t="s">
        <v>8997</v>
      </c>
      <c r="AC2240" t="s">
        <v>8998</v>
      </c>
      <c r="AD2240" t="s">
        <v>8999</v>
      </c>
      <c r="AE2240" t="s">
        <v>9000</v>
      </c>
      <c r="AF2240" t="s">
        <v>9001</v>
      </c>
      <c r="AG2240" t="s">
        <v>66</v>
      </c>
      <c r="AH2240" t="s">
        <v>66</v>
      </c>
      <c r="AI2240" t="s">
        <v>66</v>
      </c>
      <c r="AJ2240" t="s">
        <v>66</v>
      </c>
      <c r="AK2240">
        <v>1</v>
      </c>
      <c r="AL2240" t="s">
        <v>9158</v>
      </c>
      <c r="AM2240" t="s">
        <v>9159</v>
      </c>
      <c r="AN2240" t="s">
        <v>9160</v>
      </c>
      <c r="AO2240" t="s">
        <v>66</v>
      </c>
      <c r="AP2240">
        <v>1</v>
      </c>
      <c r="AQ2240" t="s">
        <v>9161</v>
      </c>
      <c r="AR2240" t="s">
        <v>9162</v>
      </c>
      <c r="AS2240" t="s">
        <v>9243</v>
      </c>
      <c r="AT2240" t="s">
        <v>66</v>
      </c>
    </row>
    <row r="2241" spans="1:46" x14ac:dyDescent="0.15">
      <c r="A2241" t="s">
        <v>9296</v>
      </c>
      <c r="B2241" t="s">
        <v>8993</v>
      </c>
      <c r="C2241" t="s">
        <v>8994</v>
      </c>
      <c r="D2241">
        <v>74</v>
      </c>
      <c r="E2241" t="s">
        <v>8995</v>
      </c>
      <c r="F2241" t="s">
        <v>4516</v>
      </c>
      <c r="G2241" t="s">
        <v>51</v>
      </c>
      <c r="H2241" t="s">
        <v>8996</v>
      </c>
      <c r="I2241" t="s">
        <v>53</v>
      </c>
      <c r="J2241" t="s">
        <v>721</v>
      </c>
      <c r="K2241" t="s">
        <v>3594</v>
      </c>
      <c r="L2241" t="s">
        <v>16</v>
      </c>
      <c r="M2241" t="s">
        <v>19</v>
      </c>
      <c r="N2241">
        <v>4597</v>
      </c>
      <c r="O2241">
        <v>278</v>
      </c>
      <c r="P2241">
        <v>0</v>
      </c>
      <c r="Q2241" t="s">
        <v>9297</v>
      </c>
      <c r="R2241" t="s">
        <v>9298</v>
      </c>
      <c r="S2241" t="s">
        <v>1929</v>
      </c>
      <c r="T2241" t="s">
        <v>9299</v>
      </c>
      <c r="U2241" t="s">
        <v>60</v>
      </c>
      <c r="V2241" t="s">
        <v>61</v>
      </c>
      <c r="W2241">
        <v>3</v>
      </c>
      <c r="X2241">
        <v>0.09</v>
      </c>
      <c r="Y2241" t="s">
        <v>549</v>
      </c>
      <c r="Z2241" t="s">
        <v>550</v>
      </c>
      <c r="AA2241">
        <v>3</v>
      </c>
      <c r="AB2241" t="s">
        <v>8997</v>
      </c>
      <c r="AC2241" t="s">
        <v>8998</v>
      </c>
      <c r="AD2241" t="s">
        <v>8999</v>
      </c>
      <c r="AE2241" t="s">
        <v>9000</v>
      </c>
      <c r="AF2241" t="s">
        <v>9001</v>
      </c>
      <c r="AG2241" t="s">
        <v>66</v>
      </c>
      <c r="AH2241" t="s">
        <v>66</v>
      </c>
      <c r="AI2241" t="s">
        <v>66</v>
      </c>
      <c r="AJ2241" t="s">
        <v>66</v>
      </c>
      <c r="AK2241">
        <v>1</v>
      </c>
      <c r="AL2241" t="s">
        <v>9158</v>
      </c>
      <c r="AM2241" t="s">
        <v>9159</v>
      </c>
      <c r="AN2241" t="s">
        <v>9160</v>
      </c>
      <c r="AO2241" t="s">
        <v>66</v>
      </c>
      <c r="AP2241">
        <v>1</v>
      </c>
      <c r="AQ2241" t="s">
        <v>9161</v>
      </c>
      <c r="AR2241" t="s">
        <v>9162</v>
      </c>
      <c r="AS2241" t="s">
        <v>9243</v>
      </c>
      <c r="AT2241" t="s">
        <v>66</v>
      </c>
    </row>
    <row r="2242" spans="1:46" x14ac:dyDescent="0.15">
      <c r="A2242" t="s">
        <v>9300</v>
      </c>
      <c r="B2242" t="s">
        <v>8993</v>
      </c>
      <c r="C2242" t="s">
        <v>8994</v>
      </c>
      <c r="D2242">
        <v>75</v>
      </c>
      <c r="E2242" t="s">
        <v>8995</v>
      </c>
      <c r="F2242" t="s">
        <v>4516</v>
      </c>
      <c r="G2242" t="s">
        <v>51</v>
      </c>
      <c r="H2242" t="s">
        <v>8996</v>
      </c>
      <c r="I2242" t="s">
        <v>53</v>
      </c>
      <c r="J2242" t="s">
        <v>721</v>
      </c>
      <c r="K2242" t="s">
        <v>3594</v>
      </c>
      <c r="L2242" t="s">
        <v>16</v>
      </c>
      <c r="M2242" t="s">
        <v>19</v>
      </c>
      <c r="N2242">
        <v>4653</v>
      </c>
      <c r="O2242">
        <v>281</v>
      </c>
      <c r="P2242">
        <v>0</v>
      </c>
      <c r="Q2242" t="s">
        <v>9301</v>
      </c>
      <c r="R2242" t="s">
        <v>9302</v>
      </c>
      <c r="S2242" t="s">
        <v>1934</v>
      </c>
      <c r="T2242" t="s">
        <v>9303</v>
      </c>
      <c r="U2242" t="s">
        <v>60</v>
      </c>
      <c r="V2242" t="s">
        <v>61</v>
      </c>
      <c r="W2242">
        <v>3</v>
      </c>
      <c r="X2242">
        <v>0.09</v>
      </c>
      <c r="Y2242" t="s">
        <v>308</v>
      </c>
      <c r="Z2242" t="s">
        <v>556</v>
      </c>
      <c r="AA2242">
        <v>3</v>
      </c>
      <c r="AB2242" t="s">
        <v>8997</v>
      </c>
      <c r="AC2242" t="s">
        <v>8998</v>
      </c>
      <c r="AD2242" t="s">
        <v>8999</v>
      </c>
      <c r="AE2242" t="s">
        <v>9000</v>
      </c>
      <c r="AF2242" t="s">
        <v>9001</v>
      </c>
      <c r="AG2242" t="s">
        <v>66</v>
      </c>
      <c r="AH2242" t="s">
        <v>66</v>
      </c>
      <c r="AI2242" t="s">
        <v>66</v>
      </c>
      <c r="AJ2242" t="s">
        <v>66</v>
      </c>
      <c r="AK2242">
        <v>1</v>
      </c>
      <c r="AL2242" t="s">
        <v>9158</v>
      </c>
      <c r="AM2242" t="s">
        <v>9159</v>
      </c>
      <c r="AN2242" t="s">
        <v>9160</v>
      </c>
      <c r="AO2242" t="s">
        <v>66</v>
      </c>
      <c r="AP2242">
        <v>1</v>
      </c>
      <c r="AQ2242" t="s">
        <v>9161</v>
      </c>
      <c r="AR2242" t="s">
        <v>9162</v>
      </c>
      <c r="AS2242" t="s">
        <v>9243</v>
      </c>
      <c r="AT2242" t="s">
        <v>66</v>
      </c>
    </row>
    <row r="2243" spans="1:46" x14ac:dyDescent="0.15">
      <c r="A2243" t="s">
        <v>9304</v>
      </c>
      <c r="B2243" t="s">
        <v>8993</v>
      </c>
      <c r="C2243" t="s">
        <v>8994</v>
      </c>
      <c r="D2243">
        <v>76</v>
      </c>
      <c r="E2243" t="s">
        <v>8995</v>
      </c>
      <c r="F2243" t="s">
        <v>4516</v>
      </c>
      <c r="G2243" t="s">
        <v>51</v>
      </c>
      <c r="H2243" t="s">
        <v>8996</v>
      </c>
      <c r="I2243" t="s">
        <v>53</v>
      </c>
      <c r="J2243" t="s">
        <v>721</v>
      </c>
      <c r="K2243" t="s">
        <v>3594</v>
      </c>
      <c r="L2243" t="s">
        <v>16</v>
      </c>
      <c r="M2243" t="s">
        <v>19</v>
      </c>
      <c r="N2243">
        <v>4709</v>
      </c>
      <c r="O2243">
        <v>285</v>
      </c>
      <c r="P2243">
        <v>0</v>
      </c>
      <c r="Q2243" t="s">
        <v>9305</v>
      </c>
      <c r="R2243" t="s">
        <v>9306</v>
      </c>
      <c r="S2243" t="s">
        <v>1939</v>
      </c>
      <c r="T2243" t="s">
        <v>9307</v>
      </c>
      <c r="U2243" t="s">
        <v>60</v>
      </c>
      <c r="V2243" t="s">
        <v>61</v>
      </c>
      <c r="W2243">
        <v>3</v>
      </c>
      <c r="X2243">
        <v>0.09</v>
      </c>
      <c r="Y2243" t="s">
        <v>562</v>
      </c>
      <c r="Z2243" t="s">
        <v>563</v>
      </c>
      <c r="AA2243">
        <v>3</v>
      </c>
      <c r="AB2243" t="s">
        <v>8997</v>
      </c>
      <c r="AC2243" t="s">
        <v>8998</v>
      </c>
      <c r="AD2243" t="s">
        <v>8999</v>
      </c>
      <c r="AE2243" t="s">
        <v>9000</v>
      </c>
      <c r="AF2243" t="s">
        <v>9001</v>
      </c>
      <c r="AG2243" t="s">
        <v>66</v>
      </c>
      <c r="AH2243" t="s">
        <v>66</v>
      </c>
      <c r="AI2243" t="s">
        <v>66</v>
      </c>
      <c r="AJ2243" t="s">
        <v>66</v>
      </c>
      <c r="AK2243">
        <v>1</v>
      </c>
      <c r="AL2243" t="s">
        <v>9158</v>
      </c>
      <c r="AM2243" t="s">
        <v>9159</v>
      </c>
      <c r="AN2243" t="s">
        <v>9160</v>
      </c>
      <c r="AO2243" t="s">
        <v>66</v>
      </c>
      <c r="AP2243">
        <v>1</v>
      </c>
      <c r="AQ2243" t="s">
        <v>9161</v>
      </c>
      <c r="AR2243" t="s">
        <v>9162</v>
      </c>
      <c r="AS2243" t="s">
        <v>9243</v>
      </c>
      <c r="AT2243" t="s">
        <v>66</v>
      </c>
    </row>
    <row r="2244" spans="1:46" x14ac:dyDescent="0.15">
      <c r="A2244" t="s">
        <v>9308</v>
      </c>
      <c r="B2244" t="s">
        <v>8993</v>
      </c>
      <c r="C2244" t="s">
        <v>8994</v>
      </c>
      <c r="D2244">
        <v>77</v>
      </c>
      <c r="E2244" t="s">
        <v>8995</v>
      </c>
      <c r="F2244" t="s">
        <v>4516</v>
      </c>
      <c r="G2244" t="s">
        <v>51</v>
      </c>
      <c r="H2244" t="s">
        <v>8996</v>
      </c>
      <c r="I2244" t="s">
        <v>53</v>
      </c>
      <c r="J2244" t="s">
        <v>721</v>
      </c>
      <c r="K2244" t="s">
        <v>3594</v>
      </c>
      <c r="L2244" t="s">
        <v>16</v>
      </c>
      <c r="M2244" t="s">
        <v>19</v>
      </c>
      <c r="N2244">
        <v>4765</v>
      </c>
      <c r="O2244">
        <v>288</v>
      </c>
      <c r="P2244">
        <v>0</v>
      </c>
      <c r="Q2244" t="s">
        <v>9309</v>
      </c>
      <c r="R2244" t="s">
        <v>9310</v>
      </c>
      <c r="S2244" t="s">
        <v>1944</v>
      </c>
      <c r="T2244" t="s">
        <v>9311</v>
      </c>
      <c r="U2244" t="s">
        <v>60</v>
      </c>
      <c r="V2244" t="s">
        <v>61</v>
      </c>
      <c r="W2244">
        <v>3</v>
      </c>
      <c r="X2244">
        <v>0.09</v>
      </c>
      <c r="Y2244" t="s">
        <v>314</v>
      </c>
      <c r="Z2244" t="s">
        <v>569</v>
      </c>
      <c r="AA2244">
        <v>3</v>
      </c>
      <c r="AB2244" t="s">
        <v>8997</v>
      </c>
      <c r="AC2244" t="s">
        <v>8998</v>
      </c>
      <c r="AD2244" t="s">
        <v>8999</v>
      </c>
      <c r="AE2244" t="s">
        <v>9000</v>
      </c>
      <c r="AF2244" t="s">
        <v>9001</v>
      </c>
      <c r="AG2244" t="s">
        <v>66</v>
      </c>
      <c r="AH2244" t="s">
        <v>66</v>
      </c>
      <c r="AI2244" t="s">
        <v>66</v>
      </c>
      <c r="AJ2244" t="s">
        <v>66</v>
      </c>
      <c r="AK2244">
        <v>1</v>
      </c>
      <c r="AL2244" t="s">
        <v>9158</v>
      </c>
      <c r="AM2244" t="s">
        <v>9159</v>
      </c>
      <c r="AN2244" t="s">
        <v>9160</v>
      </c>
      <c r="AO2244" t="s">
        <v>66</v>
      </c>
      <c r="AP2244">
        <v>1</v>
      </c>
      <c r="AQ2244" t="s">
        <v>9161</v>
      </c>
      <c r="AR2244" t="s">
        <v>9162</v>
      </c>
      <c r="AS2244" t="s">
        <v>9243</v>
      </c>
      <c r="AT2244" t="s">
        <v>66</v>
      </c>
    </row>
    <row r="2245" spans="1:46" x14ac:dyDescent="0.15">
      <c r="A2245" t="s">
        <v>9312</v>
      </c>
      <c r="B2245" t="s">
        <v>8993</v>
      </c>
      <c r="C2245" t="s">
        <v>8994</v>
      </c>
      <c r="D2245">
        <v>78</v>
      </c>
      <c r="E2245" t="s">
        <v>8995</v>
      </c>
      <c r="F2245" t="s">
        <v>4516</v>
      </c>
      <c r="G2245" t="s">
        <v>51</v>
      </c>
      <c r="H2245" t="s">
        <v>8996</v>
      </c>
      <c r="I2245" t="s">
        <v>53</v>
      </c>
      <c r="J2245" t="s">
        <v>721</v>
      </c>
      <c r="K2245" t="s">
        <v>3594</v>
      </c>
      <c r="L2245" t="s">
        <v>16</v>
      </c>
      <c r="M2245" t="s">
        <v>19</v>
      </c>
      <c r="N2245">
        <v>4821</v>
      </c>
      <c r="O2245">
        <v>292</v>
      </c>
      <c r="P2245">
        <v>0</v>
      </c>
      <c r="Q2245" t="s">
        <v>9313</v>
      </c>
      <c r="R2245" t="s">
        <v>9314</v>
      </c>
      <c r="S2245" t="s">
        <v>1949</v>
      </c>
      <c r="T2245" t="s">
        <v>9315</v>
      </c>
      <c r="U2245" t="s">
        <v>60</v>
      </c>
      <c r="V2245" t="s">
        <v>61</v>
      </c>
      <c r="W2245">
        <v>3</v>
      </c>
      <c r="X2245">
        <v>0.09</v>
      </c>
      <c r="Y2245" t="s">
        <v>575</v>
      </c>
      <c r="Z2245" t="s">
        <v>576</v>
      </c>
      <c r="AA2245">
        <v>3</v>
      </c>
      <c r="AB2245" t="s">
        <v>8997</v>
      </c>
      <c r="AC2245" t="s">
        <v>8998</v>
      </c>
      <c r="AD2245" t="s">
        <v>8999</v>
      </c>
      <c r="AE2245" t="s">
        <v>9000</v>
      </c>
      <c r="AF2245" t="s">
        <v>9001</v>
      </c>
      <c r="AG2245" t="s">
        <v>66</v>
      </c>
      <c r="AH2245" t="s">
        <v>66</v>
      </c>
      <c r="AI2245" t="s">
        <v>66</v>
      </c>
      <c r="AJ2245" t="s">
        <v>66</v>
      </c>
      <c r="AK2245">
        <v>1</v>
      </c>
      <c r="AL2245" t="s">
        <v>9158</v>
      </c>
      <c r="AM2245" t="s">
        <v>9159</v>
      </c>
      <c r="AN2245" t="s">
        <v>9160</v>
      </c>
      <c r="AO2245" t="s">
        <v>66</v>
      </c>
      <c r="AP2245">
        <v>1</v>
      </c>
      <c r="AQ2245" t="s">
        <v>9161</v>
      </c>
      <c r="AR2245" t="s">
        <v>9162</v>
      </c>
      <c r="AS2245" t="s">
        <v>9243</v>
      </c>
      <c r="AT2245" t="s">
        <v>66</v>
      </c>
    </row>
    <row r="2246" spans="1:46" x14ac:dyDescent="0.15">
      <c r="A2246" t="s">
        <v>9316</v>
      </c>
      <c r="B2246" t="s">
        <v>8993</v>
      </c>
      <c r="C2246" t="s">
        <v>8994</v>
      </c>
      <c r="D2246">
        <v>79</v>
      </c>
      <c r="E2246" t="s">
        <v>8995</v>
      </c>
      <c r="F2246" t="s">
        <v>4516</v>
      </c>
      <c r="G2246" t="s">
        <v>51</v>
      </c>
      <c r="H2246" t="s">
        <v>8996</v>
      </c>
      <c r="I2246" t="s">
        <v>53</v>
      </c>
      <c r="J2246" t="s">
        <v>721</v>
      </c>
      <c r="K2246" t="s">
        <v>3594</v>
      </c>
      <c r="L2246" t="s">
        <v>16</v>
      </c>
      <c r="M2246" t="s">
        <v>19</v>
      </c>
      <c r="N2246">
        <v>4878</v>
      </c>
      <c r="O2246">
        <v>295</v>
      </c>
      <c r="P2246">
        <v>0</v>
      </c>
      <c r="Q2246" t="s">
        <v>9317</v>
      </c>
      <c r="R2246" t="s">
        <v>9318</v>
      </c>
      <c r="S2246" t="s">
        <v>1954</v>
      </c>
      <c r="T2246" t="s">
        <v>9319</v>
      </c>
      <c r="U2246" t="s">
        <v>60</v>
      </c>
      <c r="V2246" t="s">
        <v>61</v>
      </c>
      <c r="W2246">
        <v>3</v>
      </c>
      <c r="X2246">
        <v>0.09</v>
      </c>
      <c r="Y2246" t="s">
        <v>321</v>
      </c>
      <c r="Z2246" t="s">
        <v>582</v>
      </c>
      <c r="AA2246">
        <v>3</v>
      </c>
      <c r="AB2246" t="s">
        <v>8997</v>
      </c>
      <c r="AC2246" t="s">
        <v>8998</v>
      </c>
      <c r="AD2246" t="s">
        <v>8999</v>
      </c>
      <c r="AE2246" t="s">
        <v>9000</v>
      </c>
      <c r="AF2246" t="s">
        <v>9001</v>
      </c>
      <c r="AG2246" t="s">
        <v>66</v>
      </c>
      <c r="AH2246" t="s">
        <v>66</v>
      </c>
      <c r="AI2246" t="s">
        <v>66</v>
      </c>
      <c r="AJ2246" t="s">
        <v>66</v>
      </c>
      <c r="AK2246">
        <v>1</v>
      </c>
      <c r="AL2246" t="s">
        <v>9158</v>
      </c>
      <c r="AM2246" t="s">
        <v>9159</v>
      </c>
      <c r="AN2246" t="s">
        <v>9160</v>
      </c>
      <c r="AO2246" t="s">
        <v>66</v>
      </c>
      <c r="AP2246">
        <v>1</v>
      </c>
      <c r="AQ2246" t="s">
        <v>9161</v>
      </c>
      <c r="AR2246" t="s">
        <v>9162</v>
      </c>
      <c r="AS2246" t="s">
        <v>9243</v>
      </c>
      <c r="AT2246" t="s">
        <v>66</v>
      </c>
    </row>
    <row r="2247" spans="1:46" x14ac:dyDescent="0.15">
      <c r="A2247" t="s">
        <v>9320</v>
      </c>
      <c r="B2247" t="s">
        <v>8993</v>
      </c>
      <c r="C2247" t="s">
        <v>8994</v>
      </c>
      <c r="D2247">
        <v>80</v>
      </c>
      <c r="E2247" t="s">
        <v>8995</v>
      </c>
      <c r="F2247" t="s">
        <v>4516</v>
      </c>
      <c r="G2247" t="s">
        <v>51</v>
      </c>
      <c r="H2247" t="s">
        <v>8996</v>
      </c>
      <c r="I2247" t="s">
        <v>53</v>
      </c>
      <c r="J2247" t="s">
        <v>721</v>
      </c>
      <c r="K2247" t="s">
        <v>3594</v>
      </c>
      <c r="L2247" t="s">
        <v>16</v>
      </c>
      <c r="M2247" t="s">
        <v>19</v>
      </c>
      <c r="N2247">
        <v>4934</v>
      </c>
      <c r="O2247">
        <v>298</v>
      </c>
      <c r="P2247">
        <v>0</v>
      </c>
      <c r="Q2247" t="s">
        <v>9321</v>
      </c>
      <c r="R2247" t="s">
        <v>9322</v>
      </c>
      <c r="S2247" t="s">
        <v>1959</v>
      </c>
      <c r="T2247" t="s">
        <v>9323</v>
      </c>
      <c r="U2247" t="s">
        <v>60</v>
      </c>
      <c r="V2247" t="s">
        <v>61</v>
      </c>
      <c r="W2247">
        <v>3</v>
      </c>
      <c r="X2247">
        <v>0.09</v>
      </c>
      <c r="Y2247" t="s">
        <v>588</v>
      </c>
      <c r="Z2247" t="s">
        <v>589</v>
      </c>
      <c r="AA2247">
        <v>3</v>
      </c>
      <c r="AB2247" t="s">
        <v>8997</v>
      </c>
      <c r="AC2247" t="s">
        <v>8998</v>
      </c>
      <c r="AD2247" t="s">
        <v>8999</v>
      </c>
      <c r="AE2247" t="s">
        <v>9000</v>
      </c>
      <c r="AF2247" t="s">
        <v>9001</v>
      </c>
      <c r="AG2247" t="s">
        <v>66</v>
      </c>
      <c r="AH2247" t="s">
        <v>66</v>
      </c>
      <c r="AI2247" t="s">
        <v>66</v>
      </c>
      <c r="AJ2247" t="s">
        <v>66</v>
      </c>
      <c r="AK2247">
        <v>1</v>
      </c>
      <c r="AL2247" t="s">
        <v>9158</v>
      </c>
      <c r="AM2247" t="s">
        <v>9159</v>
      </c>
      <c r="AN2247" t="s">
        <v>9160</v>
      </c>
      <c r="AO2247" t="s">
        <v>66</v>
      </c>
      <c r="AP2247">
        <v>1</v>
      </c>
      <c r="AQ2247" t="s">
        <v>9161</v>
      </c>
      <c r="AR2247" t="s">
        <v>9162</v>
      </c>
      <c r="AS2247" t="s">
        <v>9243</v>
      </c>
      <c r="AT2247" t="s">
        <v>66</v>
      </c>
    </row>
    <row r="2248" spans="1:46" x14ac:dyDescent="0.15">
      <c r="A2248" t="s">
        <v>9320</v>
      </c>
      <c r="B2248" t="s">
        <v>8993</v>
      </c>
      <c r="C2248" t="s">
        <v>8994</v>
      </c>
      <c r="D2248">
        <v>80</v>
      </c>
      <c r="E2248" t="s">
        <v>8995</v>
      </c>
      <c r="F2248" t="s">
        <v>4516</v>
      </c>
      <c r="G2248" t="s">
        <v>51</v>
      </c>
      <c r="H2248" t="s">
        <v>8996</v>
      </c>
      <c r="I2248" t="s">
        <v>53</v>
      </c>
      <c r="J2248" t="s">
        <v>721</v>
      </c>
      <c r="K2248" t="s">
        <v>3594</v>
      </c>
      <c r="L2248" t="s">
        <v>16</v>
      </c>
      <c r="M2248" t="s">
        <v>19</v>
      </c>
      <c r="N2248">
        <v>4934</v>
      </c>
      <c r="O2248">
        <v>298</v>
      </c>
      <c r="P2248">
        <v>0</v>
      </c>
      <c r="Q2248" t="s">
        <v>9321</v>
      </c>
      <c r="R2248" t="s">
        <v>9322</v>
      </c>
      <c r="S2248" t="s">
        <v>1959</v>
      </c>
      <c r="T2248" t="s">
        <v>9323</v>
      </c>
      <c r="U2248" t="s">
        <v>60</v>
      </c>
      <c r="V2248" t="s">
        <v>61</v>
      </c>
      <c r="W2248">
        <v>3</v>
      </c>
      <c r="X2248">
        <v>0.09</v>
      </c>
      <c r="Y2248" t="s">
        <v>588</v>
      </c>
      <c r="Z2248" t="s">
        <v>589</v>
      </c>
      <c r="AA2248">
        <v>4</v>
      </c>
      <c r="AB2248" t="s">
        <v>8997</v>
      </c>
      <c r="AC2248" t="s">
        <v>8998</v>
      </c>
      <c r="AD2248" t="s">
        <v>8999</v>
      </c>
      <c r="AE2248" t="s">
        <v>9000</v>
      </c>
      <c r="AF2248" t="s">
        <v>9001</v>
      </c>
      <c r="AG2248" t="s">
        <v>1054</v>
      </c>
      <c r="AH2248" t="s">
        <v>806</v>
      </c>
      <c r="AI2248" t="s">
        <v>889</v>
      </c>
      <c r="AJ2248" t="s">
        <v>889</v>
      </c>
      <c r="AK2248">
        <v>1</v>
      </c>
      <c r="AL2248" t="s">
        <v>9158</v>
      </c>
      <c r="AM2248" t="s">
        <v>9159</v>
      </c>
      <c r="AN2248" t="s">
        <v>9160</v>
      </c>
      <c r="AO2248" t="s">
        <v>66</v>
      </c>
      <c r="AP2248">
        <v>1</v>
      </c>
      <c r="AQ2248" t="s">
        <v>9161</v>
      </c>
      <c r="AR2248" t="s">
        <v>9162</v>
      </c>
      <c r="AS2248" t="s">
        <v>9243</v>
      </c>
      <c r="AT2248" t="s">
        <v>66</v>
      </c>
    </row>
    <row r="2249" spans="1:46" x14ac:dyDescent="0.15">
      <c r="A2249" t="s">
        <v>9324</v>
      </c>
      <c r="B2249" t="s">
        <v>8993</v>
      </c>
      <c r="C2249" t="s">
        <v>8994</v>
      </c>
      <c r="D2249">
        <v>81</v>
      </c>
      <c r="E2249" t="s">
        <v>8995</v>
      </c>
      <c r="F2249" t="s">
        <v>4516</v>
      </c>
      <c r="G2249" t="s">
        <v>51</v>
      </c>
      <c r="H2249" t="s">
        <v>8996</v>
      </c>
      <c r="I2249" t="s">
        <v>53</v>
      </c>
      <c r="J2249" t="s">
        <v>721</v>
      </c>
      <c r="K2249" t="s">
        <v>3594</v>
      </c>
      <c r="L2249" t="s">
        <v>16</v>
      </c>
      <c r="M2249" t="s">
        <v>19</v>
      </c>
      <c r="N2249">
        <v>4990</v>
      </c>
      <c r="O2249">
        <v>302</v>
      </c>
      <c r="P2249">
        <v>0</v>
      </c>
      <c r="Q2249" t="s">
        <v>9325</v>
      </c>
      <c r="R2249" t="s">
        <v>9326</v>
      </c>
      <c r="S2249" t="s">
        <v>1966</v>
      </c>
      <c r="T2249" t="s">
        <v>9327</v>
      </c>
      <c r="U2249" t="s">
        <v>60</v>
      </c>
      <c r="V2249" t="s">
        <v>61</v>
      </c>
      <c r="W2249">
        <v>3</v>
      </c>
      <c r="X2249">
        <v>0.09</v>
      </c>
      <c r="Y2249" t="s">
        <v>330</v>
      </c>
      <c r="Z2249" t="s">
        <v>596</v>
      </c>
      <c r="AA2249">
        <v>4</v>
      </c>
      <c r="AB2249" t="s">
        <v>8997</v>
      </c>
      <c r="AC2249" t="s">
        <v>8998</v>
      </c>
      <c r="AD2249" t="s">
        <v>8999</v>
      </c>
      <c r="AE2249" t="s">
        <v>9000</v>
      </c>
      <c r="AF2249" t="s">
        <v>9001</v>
      </c>
      <c r="AG2249" t="s">
        <v>1054</v>
      </c>
      <c r="AH2249" t="s">
        <v>806</v>
      </c>
      <c r="AI2249" t="s">
        <v>889</v>
      </c>
      <c r="AJ2249" t="s">
        <v>889</v>
      </c>
      <c r="AK2249">
        <v>1</v>
      </c>
      <c r="AL2249" t="s">
        <v>9158</v>
      </c>
      <c r="AM2249" t="s">
        <v>9159</v>
      </c>
      <c r="AN2249" t="s">
        <v>9160</v>
      </c>
      <c r="AO2249" t="s">
        <v>66</v>
      </c>
      <c r="AP2249">
        <v>1</v>
      </c>
      <c r="AQ2249" t="s">
        <v>9161</v>
      </c>
      <c r="AR2249" t="s">
        <v>9162</v>
      </c>
      <c r="AS2249" t="s">
        <v>9243</v>
      </c>
      <c r="AT2249" t="s">
        <v>66</v>
      </c>
    </row>
    <row r="2250" spans="1:46" x14ac:dyDescent="0.15">
      <c r="A2250" t="s">
        <v>9328</v>
      </c>
      <c r="B2250" t="s">
        <v>8993</v>
      </c>
      <c r="C2250" t="s">
        <v>8994</v>
      </c>
      <c r="D2250">
        <v>82</v>
      </c>
      <c r="E2250" t="s">
        <v>8995</v>
      </c>
      <c r="F2250" t="s">
        <v>4516</v>
      </c>
      <c r="G2250" t="s">
        <v>51</v>
      </c>
      <c r="H2250" t="s">
        <v>8996</v>
      </c>
      <c r="I2250" t="s">
        <v>53</v>
      </c>
      <c r="J2250" t="s">
        <v>721</v>
      </c>
      <c r="K2250" t="s">
        <v>3594</v>
      </c>
      <c r="L2250" t="s">
        <v>16</v>
      </c>
      <c r="M2250" t="s">
        <v>19</v>
      </c>
      <c r="N2250">
        <v>5046</v>
      </c>
      <c r="O2250">
        <v>305</v>
      </c>
      <c r="P2250">
        <v>0</v>
      </c>
      <c r="Q2250" t="s">
        <v>9329</v>
      </c>
      <c r="R2250" t="s">
        <v>9330</v>
      </c>
      <c r="S2250" t="s">
        <v>1971</v>
      </c>
      <c r="T2250" t="s">
        <v>9331</v>
      </c>
      <c r="U2250" t="s">
        <v>60</v>
      </c>
      <c r="V2250" t="s">
        <v>61</v>
      </c>
      <c r="W2250">
        <v>3</v>
      </c>
      <c r="X2250">
        <v>0.09</v>
      </c>
      <c r="Y2250" t="s">
        <v>602</v>
      </c>
      <c r="Z2250" t="s">
        <v>603</v>
      </c>
      <c r="AA2250">
        <v>4</v>
      </c>
      <c r="AB2250" t="s">
        <v>8997</v>
      </c>
      <c r="AC2250" t="s">
        <v>8998</v>
      </c>
      <c r="AD2250" t="s">
        <v>8999</v>
      </c>
      <c r="AE2250" t="s">
        <v>9000</v>
      </c>
      <c r="AF2250" t="s">
        <v>9001</v>
      </c>
      <c r="AG2250" t="s">
        <v>1054</v>
      </c>
      <c r="AH2250" t="s">
        <v>806</v>
      </c>
      <c r="AI2250" t="s">
        <v>889</v>
      </c>
      <c r="AJ2250" t="s">
        <v>889</v>
      </c>
      <c r="AK2250">
        <v>1</v>
      </c>
      <c r="AL2250" t="s">
        <v>9158</v>
      </c>
      <c r="AM2250" t="s">
        <v>9159</v>
      </c>
      <c r="AN2250" t="s">
        <v>9160</v>
      </c>
      <c r="AO2250" t="s">
        <v>66</v>
      </c>
      <c r="AP2250">
        <v>1</v>
      </c>
      <c r="AQ2250" t="s">
        <v>9161</v>
      </c>
      <c r="AR2250" t="s">
        <v>9162</v>
      </c>
      <c r="AS2250" t="s">
        <v>9243</v>
      </c>
      <c r="AT2250" t="s">
        <v>66</v>
      </c>
    </row>
    <row r="2251" spans="1:46" x14ac:dyDescent="0.15">
      <c r="A2251" t="s">
        <v>9332</v>
      </c>
      <c r="B2251" t="s">
        <v>8993</v>
      </c>
      <c r="C2251" t="s">
        <v>8994</v>
      </c>
      <c r="D2251">
        <v>83</v>
      </c>
      <c r="E2251" t="s">
        <v>8995</v>
      </c>
      <c r="F2251" t="s">
        <v>4516</v>
      </c>
      <c r="G2251" t="s">
        <v>51</v>
      </c>
      <c r="H2251" t="s">
        <v>8996</v>
      </c>
      <c r="I2251" t="s">
        <v>53</v>
      </c>
      <c r="J2251" t="s">
        <v>721</v>
      </c>
      <c r="K2251" t="s">
        <v>3594</v>
      </c>
      <c r="L2251" t="s">
        <v>16</v>
      </c>
      <c r="M2251" t="s">
        <v>19</v>
      </c>
      <c r="N2251">
        <v>5102</v>
      </c>
      <c r="O2251">
        <v>309</v>
      </c>
      <c r="P2251">
        <v>0</v>
      </c>
      <c r="Q2251" t="s">
        <v>9333</v>
      </c>
      <c r="R2251" t="s">
        <v>9334</v>
      </c>
      <c r="S2251" t="s">
        <v>1976</v>
      </c>
      <c r="T2251" t="s">
        <v>9335</v>
      </c>
      <c r="U2251" t="s">
        <v>60</v>
      </c>
      <c r="V2251" t="s">
        <v>61</v>
      </c>
      <c r="W2251">
        <v>3</v>
      </c>
      <c r="X2251">
        <v>0.09</v>
      </c>
      <c r="Y2251" t="s">
        <v>337</v>
      </c>
      <c r="Z2251" t="s">
        <v>609</v>
      </c>
      <c r="AA2251">
        <v>4</v>
      </c>
      <c r="AB2251" t="s">
        <v>8997</v>
      </c>
      <c r="AC2251" t="s">
        <v>8998</v>
      </c>
      <c r="AD2251" t="s">
        <v>8999</v>
      </c>
      <c r="AE2251" t="s">
        <v>9000</v>
      </c>
      <c r="AF2251" t="s">
        <v>9001</v>
      </c>
      <c r="AG2251" t="s">
        <v>1054</v>
      </c>
      <c r="AH2251" t="s">
        <v>806</v>
      </c>
      <c r="AI2251" t="s">
        <v>889</v>
      </c>
      <c r="AJ2251" t="s">
        <v>889</v>
      </c>
      <c r="AK2251">
        <v>1</v>
      </c>
      <c r="AL2251" t="s">
        <v>9158</v>
      </c>
      <c r="AM2251" t="s">
        <v>9159</v>
      </c>
      <c r="AN2251" t="s">
        <v>9160</v>
      </c>
      <c r="AO2251" t="s">
        <v>66</v>
      </c>
      <c r="AP2251">
        <v>1</v>
      </c>
      <c r="AQ2251" t="s">
        <v>9161</v>
      </c>
      <c r="AR2251" t="s">
        <v>9162</v>
      </c>
      <c r="AS2251" t="s">
        <v>9243</v>
      </c>
      <c r="AT2251" t="s">
        <v>66</v>
      </c>
    </row>
    <row r="2252" spans="1:46" x14ac:dyDescent="0.15">
      <c r="A2252" t="s">
        <v>9336</v>
      </c>
      <c r="B2252" t="s">
        <v>8993</v>
      </c>
      <c r="C2252" t="s">
        <v>8994</v>
      </c>
      <c r="D2252">
        <v>84</v>
      </c>
      <c r="E2252" t="s">
        <v>8995</v>
      </c>
      <c r="F2252" t="s">
        <v>4516</v>
      </c>
      <c r="G2252" t="s">
        <v>51</v>
      </c>
      <c r="H2252" t="s">
        <v>8996</v>
      </c>
      <c r="I2252" t="s">
        <v>53</v>
      </c>
      <c r="J2252" t="s">
        <v>721</v>
      </c>
      <c r="K2252" t="s">
        <v>3594</v>
      </c>
      <c r="L2252" t="s">
        <v>16</v>
      </c>
      <c r="M2252" t="s">
        <v>19</v>
      </c>
      <c r="N2252">
        <v>5158</v>
      </c>
      <c r="O2252">
        <v>312</v>
      </c>
      <c r="P2252">
        <v>0</v>
      </c>
      <c r="Q2252" t="s">
        <v>9337</v>
      </c>
      <c r="R2252" t="s">
        <v>9338</v>
      </c>
      <c r="S2252" t="s">
        <v>1981</v>
      </c>
      <c r="T2252" t="s">
        <v>9339</v>
      </c>
      <c r="U2252" t="s">
        <v>60</v>
      </c>
      <c r="V2252" t="s">
        <v>61</v>
      </c>
      <c r="W2252">
        <v>3</v>
      </c>
      <c r="X2252">
        <v>0.09</v>
      </c>
      <c r="Y2252" t="s">
        <v>615</v>
      </c>
      <c r="Z2252" t="s">
        <v>616</v>
      </c>
      <c r="AA2252">
        <v>4</v>
      </c>
      <c r="AB2252" t="s">
        <v>8997</v>
      </c>
      <c r="AC2252" t="s">
        <v>8998</v>
      </c>
      <c r="AD2252" t="s">
        <v>8999</v>
      </c>
      <c r="AE2252" t="s">
        <v>9000</v>
      </c>
      <c r="AF2252" t="s">
        <v>9001</v>
      </c>
      <c r="AG2252" t="s">
        <v>1054</v>
      </c>
      <c r="AH2252" t="s">
        <v>806</v>
      </c>
      <c r="AI2252" t="s">
        <v>889</v>
      </c>
      <c r="AJ2252" t="s">
        <v>889</v>
      </c>
      <c r="AK2252">
        <v>1</v>
      </c>
      <c r="AL2252" t="s">
        <v>9158</v>
      </c>
      <c r="AM2252" t="s">
        <v>9159</v>
      </c>
      <c r="AN2252" t="s">
        <v>9160</v>
      </c>
      <c r="AO2252" t="s">
        <v>66</v>
      </c>
      <c r="AP2252">
        <v>1</v>
      </c>
      <c r="AQ2252" t="s">
        <v>9161</v>
      </c>
      <c r="AR2252" t="s">
        <v>9162</v>
      </c>
      <c r="AS2252" t="s">
        <v>9243</v>
      </c>
      <c r="AT2252" t="s">
        <v>66</v>
      </c>
    </row>
    <row r="2253" spans="1:46" x14ac:dyDescent="0.15">
      <c r="A2253" t="s">
        <v>9340</v>
      </c>
      <c r="B2253" t="s">
        <v>8993</v>
      </c>
      <c r="C2253" t="s">
        <v>8994</v>
      </c>
      <c r="D2253">
        <v>85</v>
      </c>
      <c r="E2253" t="s">
        <v>8995</v>
      </c>
      <c r="F2253" t="s">
        <v>4516</v>
      </c>
      <c r="G2253" t="s">
        <v>51</v>
      </c>
      <c r="H2253" t="s">
        <v>8996</v>
      </c>
      <c r="I2253" t="s">
        <v>53</v>
      </c>
      <c r="J2253" t="s">
        <v>721</v>
      </c>
      <c r="K2253" t="s">
        <v>3594</v>
      </c>
      <c r="L2253" t="s">
        <v>16</v>
      </c>
      <c r="M2253" t="s">
        <v>19</v>
      </c>
      <c r="N2253">
        <v>5214</v>
      </c>
      <c r="O2253">
        <v>315</v>
      </c>
      <c r="P2253">
        <v>0</v>
      </c>
      <c r="Q2253" t="s">
        <v>9341</v>
      </c>
      <c r="R2253" t="s">
        <v>9342</v>
      </c>
      <c r="S2253" t="s">
        <v>1986</v>
      </c>
      <c r="T2253" t="s">
        <v>9343</v>
      </c>
      <c r="U2253" t="s">
        <v>60</v>
      </c>
      <c r="V2253" t="s">
        <v>61</v>
      </c>
      <c r="W2253">
        <v>3</v>
      </c>
      <c r="X2253">
        <v>0.09</v>
      </c>
      <c r="Y2253" t="s">
        <v>343</v>
      </c>
      <c r="Z2253" t="s">
        <v>622</v>
      </c>
      <c r="AA2253">
        <v>4</v>
      </c>
      <c r="AB2253" t="s">
        <v>8997</v>
      </c>
      <c r="AC2253" t="s">
        <v>8998</v>
      </c>
      <c r="AD2253" t="s">
        <v>8999</v>
      </c>
      <c r="AE2253" t="s">
        <v>9000</v>
      </c>
      <c r="AF2253" t="s">
        <v>9001</v>
      </c>
      <c r="AG2253" t="s">
        <v>1054</v>
      </c>
      <c r="AH2253" t="s">
        <v>806</v>
      </c>
      <c r="AI2253" t="s">
        <v>889</v>
      </c>
      <c r="AJ2253" t="s">
        <v>889</v>
      </c>
      <c r="AK2253">
        <v>1</v>
      </c>
      <c r="AL2253" t="s">
        <v>9158</v>
      </c>
      <c r="AM2253" t="s">
        <v>9159</v>
      </c>
      <c r="AN2253" t="s">
        <v>9160</v>
      </c>
      <c r="AO2253" t="s">
        <v>66</v>
      </c>
      <c r="AP2253">
        <v>1</v>
      </c>
      <c r="AQ2253" t="s">
        <v>9161</v>
      </c>
      <c r="AR2253" t="s">
        <v>9162</v>
      </c>
      <c r="AS2253" t="s">
        <v>9243</v>
      </c>
      <c r="AT2253" t="s">
        <v>66</v>
      </c>
    </row>
    <row r="2254" spans="1:46" x14ac:dyDescent="0.15">
      <c r="A2254" t="s">
        <v>9344</v>
      </c>
      <c r="B2254" t="s">
        <v>8993</v>
      </c>
      <c r="C2254" t="s">
        <v>8994</v>
      </c>
      <c r="D2254">
        <v>86</v>
      </c>
      <c r="E2254" t="s">
        <v>8995</v>
      </c>
      <c r="F2254" t="s">
        <v>4516</v>
      </c>
      <c r="G2254" t="s">
        <v>51</v>
      </c>
      <c r="H2254" t="s">
        <v>8996</v>
      </c>
      <c r="I2254" t="s">
        <v>53</v>
      </c>
      <c r="J2254" t="s">
        <v>721</v>
      </c>
      <c r="K2254" t="s">
        <v>3594</v>
      </c>
      <c r="L2254" t="s">
        <v>16</v>
      </c>
      <c r="M2254" t="s">
        <v>19</v>
      </c>
      <c r="N2254">
        <v>5270</v>
      </c>
      <c r="O2254">
        <v>319</v>
      </c>
      <c r="P2254">
        <v>0</v>
      </c>
      <c r="Q2254" t="s">
        <v>9345</v>
      </c>
      <c r="R2254" t="s">
        <v>9346</v>
      </c>
      <c r="S2254" t="s">
        <v>1991</v>
      </c>
      <c r="T2254" t="s">
        <v>9347</v>
      </c>
      <c r="U2254" t="s">
        <v>60</v>
      </c>
      <c r="V2254" t="s">
        <v>61</v>
      </c>
      <c r="W2254">
        <v>3</v>
      </c>
      <c r="X2254">
        <v>0.09</v>
      </c>
      <c r="Y2254" t="s">
        <v>628</v>
      </c>
      <c r="Z2254" t="s">
        <v>629</v>
      </c>
      <c r="AA2254">
        <v>4</v>
      </c>
      <c r="AB2254" t="s">
        <v>8997</v>
      </c>
      <c r="AC2254" t="s">
        <v>8998</v>
      </c>
      <c r="AD2254" t="s">
        <v>8999</v>
      </c>
      <c r="AE2254" t="s">
        <v>9000</v>
      </c>
      <c r="AF2254" t="s">
        <v>9001</v>
      </c>
      <c r="AG2254" t="s">
        <v>1054</v>
      </c>
      <c r="AH2254" t="s">
        <v>806</v>
      </c>
      <c r="AI2254" t="s">
        <v>889</v>
      </c>
      <c r="AJ2254" t="s">
        <v>889</v>
      </c>
      <c r="AK2254">
        <v>1</v>
      </c>
      <c r="AL2254" t="s">
        <v>9158</v>
      </c>
      <c r="AM2254" t="s">
        <v>9159</v>
      </c>
      <c r="AN2254" t="s">
        <v>9160</v>
      </c>
      <c r="AO2254" t="s">
        <v>66</v>
      </c>
      <c r="AP2254">
        <v>1</v>
      </c>
      <c r="AQ2254" t="s">
        <v>9161</v>
      </c>
      <c r="AR2254" t="s">
        <v>9162</v>
      </c>
      <c r="AS2254" t="s">
        <v>9243</v>
      </c>
      <c r="AT2254" t="s">
        <v>66</v>
      </c>
    </row>
    <row r="2255" spans="1:46" x14ac:dyDescent="0.15">
      <c r="A2255" t="s">
        <v>9348</v>
      </c>
      <c r="B2255" t="s">
        <v>8993</v>
      </c>
      <c r="C2255" t="s">
        <v>8994</v>
      </c>
      <c r="D2255">
        <v>87</v>
      </c>
      <c r="E2255" t="s">
        <v>8995</v>
      </c>
      <c r="F2255" t="s">
        <v>4516</v>
      </c>
      <c r="G2255" t="s">
        <v>51</v>
      </c>
      <c r="H2255" t="s">
        <v>8996</v>
      </c>
      <c r="I2255" t="s">
        <v>53</v>
      </c>
      <c r="J2255" t="s">
        <v>721</v>
      </c>
      <c r="K2255" t="s">
        <v>3594</v>
      </c>
      <c r="L2255" t="s">
        <v>16</v>
      </c>
      <c r="M2255" t="s">
        <v>19</v>
      </c>
      <c r="N2255">
        <v>5327</v>
      </c>
      <c r="O2255">
        <v>322</v>
      </c>
      <c r="P2255">
        <v>0</v>
      </c>
      <c r="Q2255" t="s">
        <v>9349</v>
      </c>
      <c r="R2255" t="s">
        <v>9350</v>
      </c>
      <c r="S2255" t="s">
        <v>1996</v>
      </c>
      <c r="T2255" t="s">
        <v>9351</v>
      </c>
      <c r="U2255" t="s">
        <v>60</v>
      </c>
      <c r="V2255" t="s">
        <v>61</v>
      </c>
      <c r="W2255">
        <v>3</v>
      </c>
      <c r="X2255">
        <v>0.09</v>
      </c>
      <c r="Y2255" t="s">
        <v>350</v>
      </c>
      <c r="Z2255" t="s">
        <v>635</v>
      </c>
      <c r="AA2255">
        <v>4</v>
      </c>
      <c r="AB2255" t="s">
        <v>8997</v>
      </c>
      <c r="AC2255" t="s">
        <v>8998</v>
      </c>
      <c r="AD2255" t="s">
        <v>8999</v>
      </c>
      <c r="AE2255" t="s">
        <v>9000</v>
      </c>
      <c r="AF2255" t="s">
        <v>9001</v>
      </c>
      <c r="AG2255" t="s">
        <v>1054</v>
      </c>
      <c r="AH2255" t="s">
        <v>806</v>
      </c>
      <c r="AI2255" t="s">
        <v>889</v>
      </c>
      <c r="AJ2255" t="s">
        <v>889</v>
      </c>
      <c r="AK2255">
        <v>1</v>
      </c>
      <c r="AL2255" t="s">
        <v>9158</v>
      </c>
      <c r="AM2255" t="s">
        <v>9159</v>
      </c>
      <c r="AN2255" t="s">
        <v>9160</v>
      </c>
      <c r="AO2255" t="s">
        <v>66</v>
      </c>
      <c r="AP2255">
        <v>1</v>
      </c>
      <c r="AQ2255" t="s">
        <v>9161</v>
      </c>
      <c r="AR2255" t="s">
        <v>9162</v>
      </c>
      <c r="AS2255" t="s">
        <v>9243</v>
      </c>
      <c r="AT2255" t="s">
        <v>66</v>
      </c>
    </row>
    <row r="2256" spans="1:46" x14ac:dyDescent="0.15">
      <c r="A2256" t="s">
        <v>9352</v>
      </c>
      <c r="B2256" t="s">
        <v>8993</v>
      </c>
      <c r="C2256" t="s">
        <v>8994</v>
      </c>
      <c r="D2256">
        <v>88</v>
      </c>
      <c r="E2256" t="s">
        <v>8995</v>
      </c>
      <c r="F2256" t="s">
        <v>4516</v>
      </c>
      <c r="G2256" t="s">
        <v>51</v>
      </c>
      <c r="H2256" t="s">
        <v>8996</v>
      </c>
      <c r="I2256" t="s">
        <v>53</v>
      </c>
      <c r="J2256" t="s">
        <v>721</v>
      </c>
      <c r="K2256" t="s">
        <v>3594</v>
      </c>
      <c r="L2256" t="s">
        <v>16</v>
      </c>
      <c r="M2256" t="s">
        <v>19</v>
      </c>
      <c r="N2256">
        <v>5383</v>
      </c>
      <c r="O2256">
        <v>326</v>
      </c>
      <c r="P2256">
        <v>0</v>
      </c>
      <c r="Q2256" t="s">
        <v>9353</v>
      </c>
      <c r="R2256" t="s">
        <v>9354</v>
      </c>
      <c r="S2256" t="s">
        <v>2001</v>
      </c>
      <c r="T2256" t="s">
        <v>9355</v>
      </c>
      <c r="U2256" t="s">
        <v>60</v>
      </c>
      <c r="V2256" t="s">
        <v>61</v>
      </c>
      <c r="W2256">
        <v>3</v>
      </c>
      <c r="X2256">
        <v>0.09</v>
      </c>
      <c r="Y2256" t="s">
        <v>641</v>
      </c>
      <c r="Z2256" t="s">
        <v>642</v>
      </c>
      <c r="AA2256">
        <v>4</v>
      </c>
      <c r="AB2256" t="s">
        <v>8997</v>
      </c>
      <c r="AC2256" t="s">
        <v>8998</v>
      </c>
      <c r="AD2256" t="s">
        <v>8999</v>
      </c>
      <c r="AE2256" t="s">
        <v>9000</v>
      </c>
      <c r="AF2256" t="s">
        <v>9001</v>
      </c>
      <c r="AG2256" t="s">
        <v>1054</v>
      </c>
      <c r="AH2256" t="s">
        <v>806</v>
      </c>
      <c r="AI2256" t="s">
        <v>889</v>
      </c>
      <c r="AJ2256" t="s">
        <v>889</v>
      </c>
      <c r="AK2256">
        <v>1</v>
      </c>
      <c r="AL2256" t="s">
        <v>9158</v>
      </c>
      <c r="AM2256" t="s">
        <v>9159</v>
      </c>
      <c r="AN2256" t="s">
        <v>9160</v>
      </c>
      <c r="AO2256" t="s">
        <v>66</v>
      </c>
      <c r="AP2256">
        <v>1</v>
      </c>
      <c r="AQ2256" t="s">
        <v>9161</v>
      </c>
      <c r="AR2256" t="s">
        <v>9162</v>
      </c>
      <c r="AS2256" t="s">
        <v>9243</v>
      </c>
      <c r="AT2256" t="s">
        <v>66</v>
      </c>
    </row>
    <row r="2257" spans="1:46" x14ac:dyDescent="0.15">
      <c r="A2257" t="s">
        <v>9356</v>
      </c>
      <c r="B2257" t="s">
        <v>8993</v>
      </c>
      <c r="C2257" t="s">
        <v>8994</v>
      </c>
      <c r="D2257">
        <v>89</v>
      </c>
      <c r="E2257" t="s">
        <v>8995</v>
      </c>
      <c r="F2257" t="s">
        <v>4516</v>
      </c>
      <c r="G2257" t="s">
        <v>51</v>
      </c>
      <c r="H2257" t="s">
        <v>8996</v>
      </c>
      <c r="I2257" t="s">
        <v>53</v>
      </c>
      <c r="J2257" t="s">
        <v>721</v>
      </c>
      <c r="K2257" t="s">
        <v>3594</v>
      </c>
      <c r="L2257" t="s">
        <v>16</v>
      </c>
      <c r="M2257" t="s">
        <v>19</v>
      </c>
      <c r="N2257">
        <v>5439</v>
      </c>
      <c r="O2257">
        <v>329</v>
      </c>
      <c r="P2257">
        <v>0</v>
      </c>
      <c r="Q2257" t="s">
        <v>9357</v>
      </c>
      <c r="R2257" t="s">
        <v>9358</v>
      </c>
      <c r="S2257" t="s">
        <v>2005</v>
      </c>
      <c r="T2257" t="s">
        <v>9359</v>
      </c>
      <c r="U2257" t="s">
        <v>60</v>
      </c>
      <c r="V2257" t="s">
        <v>61</v>
      </c>
      <c r="W2257">
        <v>3</v>
      </c>
      <c r="X2257">
        <v>0.09</v>
      </c>
      <c r="Y2257" t="s">
        <v>356</v>
      </c>
      <c r="Z2257" t="s">
        <v>648</v>
      </c>
      <c r="AA2257">
        <v>4</v>
      </c>
      <c r="AB2257" t="s">
        <v>8997</v>
      </c>
      <c r="AC2257" t="s">
        <v>8998</v>
      </c>
      <c r="AD2257" t="s">
        <v>8999</v>
      </c>
      <c r="AE2257" t="s">
        <v>9000</v>
      </c>
      <c r="AF2257" t="s">
        <v>9001</v>
      </c>
      <c r="AG2257" t="s">
        <v>1054</v>
      </c>
      <c r="AH2257" t="s">
        <v>806</v>
      </c>
      <c r="AI2257" t="s">
        <v>889</v>
      </c>
      <c r="AJ2257" t="s">
        <v>889</v>
      </c>
      <c r="AK2257">
        <v>1</v>
      </c>
      <c r="AL2257" t="s">
        <v>9158</v>
      </c>
      <c r="AM2257" t="s">
        <v>9159</v>
      </c>
      <c r="AN2257" t="s">
        <v>9160</v>
      </c>
      <c r="AO2257" t="s">
        <v>66</v>
      </c>
      <c r="AP2257">
        <v>1</v>
      </c>
      <c r="AQ2257" t="s">
        <v>9161</v>
      </c>
      <c r="AR2257" t="s">
        <v>9162</v>
      </c>
      <c r="AS2257" t="s">
        <v>9243</v>
      </c>
      <c r="AT2257" t="s">
        <v>66</v>
      </c>
    </row>
    <row r="2258" spans="1:46" x14ac:dyDescent="0.15">
      <c r="A2258" t="s">
        <v>9360</v>
      </c>
      <c r="B2258" t="s">
        <v>8993</v>
      </c>
      <c r="C2258" t="s">
        <v>8994</v>
      </c>
      <c r="D2258">
        <v>90</v>
      </c>
      <c r="E2258" t="s">
        <v>8995</v>
      </c>
      <c r="F2258" t="s">
        <v>4516</v>
      </c>
      <c r="G2258" t="s">
        <v>51</v>
      </c>
      <c r="H2258" t="s">
        <v>8996</v>
      </c>
      <c r="I2258" t="s">
        <v>53</v>
      </c>
      <c r="J2258" t="s">
        <v>721</v>
      </c>
      <c r="K2258" t="s">
        <v>3594</v>
      </c>
      <c r="L2258" t="s">
        <v>16</v>
      </c>
      <c r="M2258" t="s">
        <v>19</v>
      </c>
      <c r="N2258">
        <v>5495</v>
      </c>
      <c r="O2258">
        <v>332</v>
      </c>
      <c r="P2258">
        <v>0</v>
      </c>
      <c r="Q2258" t="s">
        <v>9361</v>
      </c>
      <c r="R2258" t="s">
        <v>9362</v>
      </c>
      <c r="S2258" t="s">
        <v>2010</v>
      </c>
      <c r="T2258" t="s">
        <v>9363</v>
      </c>
      <c r="U2258" t="s">
        <v>60</v>
      </c>
      <c r="V2258" t="s">
        <v>61</v>
      </c>
      <c r="W2258">
        <v>3</v>
      </c>
      <c r="X2258">
        <v>0.09</v>
      </c>
      <c r="Y2258" t="s">
        <v>654</v>
      </c>
      <c r="Z2258" t="s">
        <v>655</v>
      </c>
      <c r="AA2258">
        <v>4</v>
      </c>
      <c r="AB2258" t="s">
        <v>8997</v>
      </c>
      <c r="AC2258" t="s">
        <v>8998</v>
      </c>
      <c r="AD2258" t="s">
        <v>8999</v>
      </c>
      <c r="AE2258" t="s">
        <v>9000</v>
      </c>
      <c r="AF2258" t="s">
        <v>9001</v>
      </c>
      <c r="AG2258" t="s">
        <v>1054</v>
      </c>
      <c r="AH2258" t="s">
        <v>806</v>
      </c>
      <c r="AI2258" t="s">
        <v>889</v>
      </c>
      <c r="AJ2258" t="s">
        <v>889</v>
      </c>
      <c r="AK2258">
        <v>1</v>
      </c>
      <c r="AL2258" t="s">
        <v>9158</v>
      </c>
      <c r="AM2258" t="s">
        <v>9159</v>
      </c>
      <c r="AN2258" t="s">
        <v>9160</v>
      </c>
      <c r="AO2258" t="s">
        <v>66</v>
      </c>
      <c r="AP2258">
        <v>1</v>
      </c>
      <c r="AQ2258" t="s">
        <v>9161</v>
      </c>
      <c r="AR2258" t="s">
        <v>9162</v>
      </c>
      <c r="AS2258" t="s">
        <v>9243</v>
      </c>
      <c r="AT2258" t="s">
        <v>66</v>
      </c>
    </row>
    <row r="2259" spans="1:46" x14ac:dyDescent="0.15">
      <c r="A2259" t="s">
        <v>9364</v>
      </c>
      <c r="B2259" t="s">
        <v>8993</v>
      </c>
      <c r="C2259" t="s">
        <v>8994</v>
      </c>
      <c r="D2259">
        <v>91</v>
      </c>
      <c r="E2259" t="s">
        <v>8995</v>
      </c>
      <c r="F2259" t="s">
        <v>4516</v>
      </c>
      <c r="G2259" t="s">
        <v>51</v>
      </c>
      <c r="H2259" t="s">
        <v>8996</v>
      </c>
      <c r="I2259" t="s">
        <v>53</v>
      </c>
      <c r="J2259" t="s">
        <v>721</v>
      </c>
      <c r="K2259" t="s">
        <v>3594</v>
      </c>
      <c r="L2259" t="s">
        <v>16</v>
      </c>
      <c r="M2259" t="s">
        <v>19</v>
      </c>
      <c r="N2259">
        <v>5551</v>
      </c>
      <c r="O2259">
        <v>336</v>
      </c>
      <c r="P2259">
        <v>0</v>
      </c>
      <c r="Q2259" t="s">
        <v>9365</v>
      </c>
      <c r="R2259" t="s">
        <v>9366</v>
      </c>
      <c r="S2259" t="s">
        <v>2015</v>
      </c>
      <c r="T2259" t="s">
        <v>9367</v>
      </c>
      <c r="U2259" t="s">
        <v>60</v>
      </c>
      <c r="V2259" t="s">
        <v>61</v>
      </c>
      <c r="W2259">
        <v>3</v>
      </c>
      <c r="X2259">
        <v>0.09</v>
      </c>
      <c r="Y2259" t="s">
        <v>363</v>
      </c>
      <c r="Z2259" t="s">
        <v>661</v>
      </c>
      <c r="AA2259">
        <v>4</v>
      </c>
      <c r="AB2259" t="s">
        <v>8997</v>
      </c>
      <c r="AC2259" t="s">
        <v>8998</v>
      </c>
      <c r="AD2259" t="s">
        <v>8999</v>
      </c>
      <c r="AE2259" t="s">
        <v>9000</v>
      </c>
      <c r="AF2259" t="s">
        <v>9001</v>
      </c>
      <c r="AG2259" t="s">
        <v>1054</v>
      </c>
      <c r="AH2259" t="s">
        <v>806</v>
      </c>
      <c r="AI2259" t="s">
        <v>889</v>
      </c>
      <c r="AJ2259" t="s">
        <v>889</v>
      </c>
      <c r="AK2259">
        <v>1</v>
      </c>
      <c r="AL2259" t="s">
        <v>9158</v>
      </c>
      <c r="AM2259" t="s">
        <v>9159</v>
      </c>
      <c r="AN2259" t="s">
        <v>9160</v>
      </c>
      <c r="AO2259" t="s">
        <v>66</v>
      </c>
      <c r="AP2259">
        <v>1</v>
      </c>
      <c r="AQ2259" t="s">
        <v>9161</v>
      </c>
      <c r="AR2259" t="s">
        <v>9162</v>
      </c>
      <c r="AS2259" t="s">
        <v>9243</v>
      </c>
      <c r="AT2259" t="s">
        <v>66</v>
      </c>
    </row>
    <row r="2260" spans="1:46" x14ac:dyDescent="0.15">
      <c r="A2260" t="s">
        <v>9368</v>
      </c>
      <c r="B2260" t="s">
        <v>8993</v>
      </c>
      <c r="C2260" t="s">
        <v>8994</v>
      </c>
      <c r="D2260">
        <v>92</v>
      </c>
      <c r="E2260" t="s">
        <v>8995</v>
      </c>
      <c r="F2260" t="s">
        <v>4516</v>
      </c>
      <c r="G2260" t="s">
        <v>51</v>
      </c>
      <c r="H2260" t="s">
        <v>8996</v>
      </c>
      <c r="I2260" t="s">
        <v>53</v>
      </c>
      <c r="J2260" t="s">
        <v>721</v>
      </c>
      <c r="K2260" t="s">
        <v>3594</v>
      </c>
      <c r="L2260" t="s">
        <v>16</v>
      </c>
      <c r="M2260" t="s">
        <v>19</v>
      </c>
      <c r="N2260">
        <v>5607</v>
      </c>
      <c r="O2260">
        <v>339</v>
      </c>
      <c r="P2260">
        <v>0</v>
      </c>
      <c r="Q2260" t="s">
        <v>9369</v>
      </c>
      <c r="R2260" t="s">
        <v>9370</v>
      </c>
      <c r="S2260" t="s">
        <v>2020</v>
      </c>
      <c r="T2260" t="s">
        <v>9371</v>
      </c>
      <c r="U2260" t="s">
        <v>60</v>
      </c>
      <c r="V2260" t="s">
        <v>61</v>
      </c>
      <c r="W2260">
        <v>3</v>
      </c>
      <c r="X2260">
        <v>0.09</v>
      </c>
      <c r="Y2260" t="s">
        <v>667</v>
      </c>
      <c r="Z2260" t="s">
        <v>668</v>
      </c>
      <c r="AA2260">
        <v>4</v>
      </c>
      <c r="AB2260" t="s">
        <v>8997</v>
      </c>
      <c r="AC2260" t="s">
        <v>8998</v>
      </c>
      <c r="AD2260" t="s">
        <v>8999</v>
      </c>
      <c r="AE2260" t="s">
        <v>9000</v>
      </c>
      <c r="AF2260" t="s">
        <v>9001</v>
      </c>
      <c r="AG2260" t="s">
        <v>1054</v>
      </c>
      <c r="AH2260" t="s">
        <v>806</v>
      </c>
      <c r="AI2260" t="s">
        <v>889</v>
      </c>
      <c r="AJ2260" t="s">
        <v>889</v>
      </c>
      <c r="AK2260">
        <v>1</v>
      </c>
      <c r="AL2260" t="s">
        <v>9158</v>
      </c>
      <c r="AM2260" t="s">
        <v>9159</v>
      </c>
      <c r="AN2260" t="s">
        <v>9160</v>
      </c>
      <c r="AO2260" t="s">
        <v>66</v>
      </c>
      <c r="AP2260">
        <v>1</v>
      </c>
      <c r="AQ2260" t="s">
        <v>9161</v>
      </c>
      <c r="AR2260" t="s">
        <v>9162</v>
      </c>
      <c r="AS2260" t="s">
        <v>9243</v>
      </c>
      <c r="AT2260" t="s">
        <v>66</v>
      </c>
    </row>
    <row r="2261" spans="1:46" x14ac:dyDescent="0.15">
      <c r="A2261" t="s">
        <v>9372</v>
      </c>
      <c r="B2261" t="s">
        <v>8993</v>
      </c>
      <c r="C2261" t="s">
        <v>8994</v>
      </c>
      <c r="D2261">
        <v>93</v>
      </c>
      <c r="E2261" t="s">
        <v>8995</v>
      </c>
      <c r="F2261" t="s">
        <v>4516</v>
      </c>
      <c r="G2261" t="s">
        <v>51</v>
      </c>
      <c r="H2261" t="s">
        <v>8996</v>
      </c>
      <c r="I2261" t="s">
        <v>53</v>
      </c>
      <c r="J2261" t="s">
        <v>721</v>
      </c>
      <c r="K2261" t="s">
        <v>3594</v>
      </c>
      <c r="L2261" t="s">
        <v>16</v>
      </c>
      <c r="M2261" t="s">
        <v>19</v>
      </c>
      <c r="N2261">
        <v>5663</v>
      </c>
      <c r="O2261">
        <v>342</v>
      </c>
      <c r="P2261">
        <v>0</v>
      </c>
      <c r="Q2261" t="s">
        <v>9373</v>
      </c>
      <c r="R2261" t="s">
        <v>9374</v>
      </c>
      <c r="S2261" t="s">
        <v>2025</v>
      </c>
      <c r="T2261" t="s">
        <v>9375</v>
      </c>
      <c r="U2261" t="s">
        <v>60</v>
      </c>
      <c r="V2261" t="s">
        <v>61</v>
      </c>
      <c r="W2261">
        <v>3</v>
      </c>
      <c r="X2261">
        <v>0.09</v>
      </c>
      <c r="Y2261" t="s">
        <v>369</v>
      </c>
      <c r="Z2261" t="s">
        <v>674</v>
      </c>
      <c r="AA2261">
        <v>4</v>
      </c>
      <c r="AB2261" t="s">
        <v>8997</v>
      </c>
      <c r="AC2261" t="s">
        <v>8998</v>
      </c>
      <c r="AD2261" t="s">
        <v>8999</v>
      </c>
      <c r="AE2261" t="s">
        <v>9000</v>
      </c>
      <c r="AF2261" t="s">
        <v>9001</v>
      </c>
      <c r="AG2261" t="s">
        <v>1054</v>
      </c>
      <c r="AH2261" t="s">
        <v>806</v>
      </c>
      <c r="AI2261" t="s">
        <v>889</v>
      </c>
      <c r="AJ2261" t="s">
        <v>889</v>
      </c>
      <c r="AK2261">
        <v>1</v>
      </c>
      <c r="AL2261" t="s">
        <v>9158</v>
      </c>
      <c r="AM2261" t="s">
        <v>9159</v>
      </c>
      <c r="AN2261" t="s">
        <v>9160</v>
      </c>
      <c r="AO2261" t="s">
        <v>66</v>
      </c>
      <c r="AP2261">
        <v>1</v>
      </c>
      <c r="AQ2261" t="s">
        <v>9161</v>
      </c>
      <c r="AR2261" t="s">
        <v>9162</v>
      </c>
      <c r="AS2261" t="s">
        <v>9243</v>
      </c>
      <c r="AT2261" t="s">
        <v>66</v>
      </c>
    </row>
    <row r="2262" spans="1:46" x14ac:dyDescent="0.15">
      <c r="A2262" t="s">
        <v>9376</v>
      </c>
      <c r="B2262" t="s">
        <v>8993</v>
      </c>
      <c r="C2262" t="s">
        <v>8994</v>
      </c>
      <c r="D2262">
        <v>94</v>
      </c>
      <c r="E2262" t="s">
        <v>8995</v>
      </c>
      <c r="F2262" t="s">
        <v>4516</v>
      </c>
      <c r="G2262" t="s">
        <v>51</v>
      </c>
      <c r="H2262" t="s">
        <v>8996</v>
      </c>
      <c r="I2262" t="s">
        <v>53</v>
      </c>
      <c r="J2262" t="s">
        <v>721</v>
      </c>
      <c r="K2262" t="s">
        <v>3594</v>
      </c>
      <c r="L2262" t="s">
        <v>16</v>
      </c>
      <c r="M2262" t="s">
        <v>19</v>
      </c>
      <c r="N2262">
        <v>5719</v>
      </c>
      <c r="O2262">
        <v>346</v>
      </c>
      <c r="P2262">
        <v>0</v>
      </c>
      <c r="Q2262" t="s">
        <v>9377</v>
      </c>
      <c r="R2262" t="s">
        <v>9378</v>
      </c>
      <c r="S2262" t="s">
        <v>2030</v>
      </c>
      <c r="T2262" t="s">
        <v>9379</v>
      </c>
      <c r="U2262" t="s">
        <v>60</v>
      </c>
      <c r="V2262" t="s">
        <v>61</v>
      </c>
      <c r="W2262">
        <v>3</v>
      </c>
      <c r="X2262">
        <v>0.09</v>
      </c>
      <c r="Y2262" t="s">
        <v>680</v>
      </c>
      <c r="Z2262" t="s">
        <v>681</v>
      </c>
      <c r="AA2262">
        <v>4</v>
      </c>
      <c r="AB2262" t="s">
        <v>8997</v>
      </c>
      <c r="AC2262" t="s">
        <v>8998</v>
      </c>
      <c r="AD2262" t="s">
        <v>8999</v>
      </c>
      <c r="AE2262" t="s">
        <v>9000</v>
      </c>
      <c r="AF2262" t="s">
        <v>9001</v>
      </c>
      <c r="AG2262" t="s">
        <v>1054</v>
      </c>
      <c r="AH2262" t="s">
        <v>806</v>
      </c>
      <c r="AI2262" t="s">
        <v>889</v>
      </c>
      <c r="AJ2262" t="s">
        <v>889</v>
      </c>
      <c r="AK2262">
        <v>1</v>
      </c>
      <c r="AL2262" t="s">
        <v>9158</v>
      </c>
      <c r="AM2262" t="s">
        <v>9159</v>
      </c>
      <c r="AN2262" t="s">
        <v>9160</v>
      </c>
      <c r="AO2262" t="s">
        <v>66</v>
      </c>
      <c r="AP2262">
        <v>1</v>
      </c>
      <c r="AQ2262" t="s">
        <v>9161</v>
      </c>
      <c r="AR2262" t="s">
        <v>9162</v>
      </c>
      <c r="AS2262" t="s">
        <v>9243</v>
      </c>
      <c r="AT2262" t="s">
        <v>66</v>
      </c>
    </row>
    <row r="2263" spans="1:46" x14ac:dyDescent="0.15">
      <c r="A2263" t="s">
        <v>9380</v>
      </c>
      <c r="B2263" t="s">
        <v>8993</v>
      </c>
      <c r="C2263" t="s">
        <v>8994</v>
      </c>
      <c r="D2263">
        <v>95</v>
      </c>
      <c r="E2263" t="s">
        <v>8995</v>
      </c>
      <c r="F2263" t="s">
        <v>4516</v>
      </c>
      <c r="G2263" t="s">
        <v>51</v>
      </c>
      <c r="H2263" t="s">
        <v>8996</v>
      </c>
      <c r="I2263" t="s">
        <v>53</v>
      </c>
      <c r="J2263" t="s">
        <v>721</v>
      </c>
      <c r="K2263" t="s">
        <v>3594</v>
      </c>
      <c r="L2263" t="s">
        <v>16</v>
      </c>
      <c r="M2263" t="s">
        <v>19</v>
      </c>
      <c r="N2263">
        <v>5776</v>
      </c>
      <c r="O2263">
        <v>349</v>
      </c>
      <c r="P2263">
        <v>0</v>
      </c>
      <c r="Q2263" t="s">
        <v>9381</v>
      </c>
      <c r="R2263" t="s">
        <v>9382</v>
      </c>
      <c r="S2263" t="s">
        <v>2035</v>
      </c>
      <c r="T2263" t="s">
        <v>9383</v>
      </c>
      <c r="U2263" t="s">
        <v>60</v>
      </c>
      <c r="V2263" t="s">
        <v>61</v>
      </c>
      <c r="W2263">
        <v>3</v>
      </c>
      <c r="X2263">
        <v>0.09</v>
      </c>
      <c r="Y2263" t="s">
        <v>376</v>
      </c>
      <c r="Z2263" t="s">
        <v>687</v>
      </c>
      <c r="AA2263">
        <v>4</v>
      </c>
      <c r="AB2263" t="s">
        <v>8997</v>
      </c>
      <c r="AC2263" t="s">
        <v>8998</v>
      </c>
      <c r="AD2263" t="s">
        <v>8999</v>
      </c>
      <c r="AE2263" t="s">
        <v>9000</v>
      </c>
      <c r="AF2263" t="s">
        <v>9001</v>
      </c>
      <c r="AG2263" t="s">
        <v>1054</v>
      </c>
      <c r="AH2263" t="s">
        <v>806</v>
      </c>
      <c r="AI2263" t="s">
        <v>889</v>
      </c>
      <c r="AJ2263" t="s">
        <v>889</v>
      </c>
      <c r="AK2263">
        <v>1</v>
      </c>
      <c r="AL2263" t="s">
        <v>9158</v>
      </c>
      <c r="AM2263" t="s">
        <v>9159</v>
      </c>
      <c r="AN2263" t="s">
        <v>9160</v>
      </c>
      <c r="AO2263" t="s">
        <v>66</v>
      </c>
      <c r="AP2263">
        <v>1</v>
      </c>
      <c r="AQ2263" t="s">
        <v>9161</v>
      </c>
      <c r="AR2263" t="s">
        <v>9162</v>
      </c>
      <c r="AS2263" t="s">
        <v>9243</v>
      </c>
      <c r="AT2263" t="s">
        <v>66</v>
      </c>
    </row>
    <row r="2264" spans="1:46" x14ac:dyDescent="0.15">
      <c r="A2264" t="s">
        <v>9384</v>
      </c>
      <c r="B2264" t="s">
        <v>8993</v>
      </c>
      <c r="C2264" t="s">
        <v>8994</v>
      </c>
      <c r="D2264">
        <v>96</v>
      </c>
      <c r="E2264" t="s">
        <v>8995</v>
      </c>
      <c r="F2264" t="s">
        <v>4516</v>
      </c>
      <c r="G2264" t="s">
        <v>51</v>
      </c>
      <c r="H2264" t="s">
        <v>8996</v>
      </c>
      <c r="I2264" t="s">
        <v>53</v>
      </c>
      <c r="J2264" t="s">
        <v>721</v>
      </c>
      <c r="K2264" t="s">
        <v>3594</v>
      </c>
      <c r="L2264" t="s">
        <v>16</v>
      </c>
      <c r="M2264" t="s">
        <v>19</v>
      </c>
      <c r="N2264">
        <v>5832</v>
      </c>
      <c r="O2264">
        <v>353</v>
      </c>
      <c r="P2264">
        <v>0</v>
      </c>
      <c r="Q2264" t="s">
        <v>9385</v>
      </c>
      <c r="R2264" t="s">
        <v>9386</v>
      </c>
      <c r="S2264" t="s">
        <v>2039</v>
      </c>
      <c r="T2264" t="s">
        <v>9387</v>
      </c>
      <c r="U2264" t="s">
        <v>60</v>
      </c>
      <c r="V2264" t="s">
        <v>61</v>
      </c>
      <c r="W2264">
        <v>3</v>
      </c>
      <c r="X2264">
        <v>0.09</v>
      </c>
      <c r="Y2264" t="s">
        <v>693</v>
      </c>
      <c r="Z2264" t="s">
        <v>694</v>
      </c>
      <c r="AA2264">
        <v>4</v>
      </c>
      <c r="AB2264" t="s">
        <v>8997</v>
      </c>
      <c r="AC2264" t="s">
        <v>8998</v>
      </c>
      <c r="AD2264" t="s">
        <v>8999</v>
      </c>
      <c r="AE2264" t="s">
        <v>9000</v>
      </c>
      <c r="AF2264" t="s">
        <v>9001</v>
      </c>
      <c r="AG2264" t="s">
        <v>1054</v>
      </c>
      <c r="AH2264" t="s">
        <v>806</v>
      </c>
      <c r="AI2264" t="s">
        <v>889</v>
      </c>
      <c r="AJ2264" t="s">
        <v>889</v>
      </c>
      <c r="AK2264">
        <v>1</v>
      </c>
      <c r="AL2264" t="s">
        <v>9158</v>
      </c>
      <c r="AM2264" t="s">
        <v>9159</v>
      </c>
      <c r="AN2264" t="s">
        <v>9160</v>
      </c>
      <c r="AO2264" t="s">
        <v>66</v>
      </c>
      <c r="AP2264">
        <v>1</v>
      </c>
      <c r="AQ2264" t="s">
        <v>9161</v>
      </c>
      <c r="AR2264" t="s">
        <v>9162</v>
      </c>
      <c r="AS2264" t="s">
        <v>9243</v>
      </c>
      <c r="AT2264" t="s">
        <v>66</v>
      </c>
    </row>
    <row r="2265" spans="1:46" x14ac:dyDescent="0.15">
      <c r="A2265" t="s">
        <v>9388</v>
      </c>
      <c r="B2265" t="s">
        <v>8993</v>
      </c>
      <c r="C2265" t="s">
        <v>8994</v>
      </c>
      <c r="D2265">
        <v>97</v>
      </c>
      <c r="E2265" t="s">
        <v>8995</v>
      </c>
      <c r="F2265" t="s">
        <v>4516</v>
      </c>
      <c r="G2265" t="s">
        <v>51</v>
      </c>
      <c r="H2265" t="s">
        <v>8996</v>
      </c>
      <c r="I2265" t="s">
        <v>53</v>
      </c>
      <c r="J2265" t="s">
        <v>721</v>
      </c>
      <c r="K2265" t="s">
        <v>3594</v>
      </c>
      <c r="L2265" t="s">
        <v>16</v>
      </c>
      <c r="M2265" t="s">
        <v>19</v>
      </c>
      <c r="N2265">
        <v>5888</v>
      </c>
      <c r="O2265">
        <v>356</v>
      </c>
      <c r="P2265">
        <v>0</v>
      </c>
      <c r="Q2265" t="s">
        <v>9389</v>
      </c>
      <c r="R2265" t="s">
        <v>9390</v>
      </c>
      <c r="S2265" t="s">
        <v>2044</v>
      </c>
      <c r="T2265" t="s">
        <v>9391</v>
      </c>
      <c r="U2265" t="s">
        <v>60</v>
      </c>
      <c r="V2265" t="s">
        <v>61</v>
      </c>
      <c r="W2265">
        <v>3</v>
      </c>
      <c r="X2265">
        <v>0.09</v>
      </c>
      <c r="Y2265" t="s">
        <v>382</v>
      </c>
      <c r="Z2265" t="s">
        <v>700</v>
      </c>
      <c r="AA2265">
        <v>4</v>
      </c>
      <c r="AB2265" t="s">
        <v>8997</v>
      </c>
      <c r="AC2265" t="s">
        <v>8998</v>
      </c>
      <c r="AD2265" t="s">
        <v>8999</v>
      </c>
      <c r="AE2265" t="s">
        <v>9000</v>
      </c>
      <c r="AF2265" t="s">
        <v>9001</v>
      </c>
      <c r="AG2265" t="s">
        <v>1054</v>
      </c>
      <c r="AH2265" t="s">
        <v>806</v>
      </c>
      <c r="AI2265" t="s">
        <v>889</v>
      </c>
      <c r="AJ2265" t="s">
        <v>889</v>
      </c>
      <c r="AK2265">
        <v>1</v>
      </c>
      <c r="AL2265" t="s">
        <v>9158</v>
      </c>
      <c r="AM2265" t="s">
        <v>9159</v>
      </c>
      <c r="AN2265" t="s">
        <v>9160</v>
      </c>
      <c r="AO2265" t="s">
        <v>66</v>
      </c>
      <c r="AP2265">
        <v>1</v>
      </c>
      <c r="AQ2265" t="s">
        <v>9161</v>
      </c>
      <c r="AR2265" t="s">
        <v>9162</v>
      </c>
      <c r="AS2265" t="s">
        <v>9243</v>
      </c>
      <c r="AT2265" t="s">
        <v>66</v>
      </c>
    </row>
    <row r="2266" spans="1:46" x14ac:dyDescent="0.15">
      <c r="A2266" t="s">
        <v>9392</v>
      </c>
      <c r="B2266" t="s">
        <v>8993</v>
      </c>
      <c r="C2266" t="s">
        <v>8994</v>
      </c>
      <c r="D2266">
        <v>98</v>
      </c>
      <c r="E2266" t="s">
        <v>8995</v>
      </c>
      <c r="F2266" t="s">
        <v>4516</v>
      </c>
      <c r="G2266" t="s">
        <v>51</v>
      </c>
      <c r="H2266" t="s">
        <v>8996</v>
      </c>
      <c r="I2266" t="s">
        <v>53</v>
      </c>
      <c r="J2266" t="s">
        <v>721</v>
      </c>
      <c r="K2266" t="s">
        <v>3594</v>
      </c>
      <c r="L2266" t="s">
        <v>16</v>
      </c>
      <c r="M2266" t="s">
        <v>19</v>
      </c>
      <c r="N2266">
        <v>5944</v>
      </c>
      <c r="O2266">
        <v>359</v>
      </c>
      <c r="P2266">
        <v>0</v>
      </c>
      <c r="Q2266" t="s">
        <v>9393</v>
      </c>
      <c r="R2266" t="s">
        <v>9394</v>
      </c>
      <c r="S2266" t="s">
        <v>2049</v>
      </c>
      <c r="T2266" t="s">
        <v>9395</v>
      </c>
      <c r="U2266" t="s">
        <v>60</v>
      </c>
      <c r="V2266" t="s">
        <v>61</v>
      </c>
      <c r="W2266">
        <v>3</v>
      </c>
      <c r="X2266">
        <v>0.09</v>
      </c>
      <c r="Y2266" t="s">
        <v>706</v>
      </c>
      <c r="Z2266" t="s">
        <v>707</v>
      </c>
      <c r="AA2266">
        <v>4</v>
      </c>
      <c r="AB2266" t="s">
        <v>8997</v>
      </c>
      <c r="AC2266" t="s">
        <v>8998</v>
      </c>
      <c r="AD2266" t="s">
        <v>8999</v>
      </c>
      <c r="AE2266" t="s">
        <v>9000</v>
      </c>
      <c r="AF2266" t="s">
        <v>9001</v>
      </c>
      <c r="AG2266" t="s">
        <v>1054</v>
      </c>
      <c r="AH2266" t="s">
        <v>806</v>
      </c>
      <c r="AI2266" t="s">
        <v>889</v>
      </c>
      <c r="AJ2266" t="s">
        <v>889</v>
      </c>
      <c r="AK2266">
        <v>1</v>
      </c>
      <c r="AL2266" t="s">
        <v>9158</v>
      </c>
      <c r="AM2266" t="s">
        <v>9159</v>
      </c>
      <c r="AN2266" t="s">
        <v>9160</v>
      </c>
      <c r="AO2266" t="s">
        <v>66</v>
      </c>
      <c r="AP2266">
        <v>1</v>
      </c>
      <c r="AQ2266" t="s">
        <v>9161</v>
      </c>
      <c r="AR2266" t="s">
        <v>9162</v>
      </c>
      <c r="AS2266" t="s">
        <v>9243</v>
      </c>
      <c r="AT2266" t="s">
        <v>66</v>
      </c>
    </row>
    <row r="2267" spans="1:46" x14ac:dyDescent="0.15">
      <c r="A2267" t="s">
        <v>9396</v>
      </c>
      <c r="B2267" t="s">
        <v>8993</v>
      </c>
      <c r="C2267" t="s">
        <v>8994</v>
      </c>
      <c r="D2267">
        <v>99</v>
      </c>
      <c r="E2267" t="s">
        <v>8995</v>
      </c>
      <c r="F2267" t="s">
        <v>4516</v>
      </c>
      <c r="G2267" t="s">
        <v>51</v>
      </c>
      <c r="H2267" t="s">
        <v>8996</v>
      </c>
      <c r="I2267" t="s">
        <v>53</v>
      </c>
      <c r="J2267" t="s">
        <v>721</v>
      </c>
      <c r="K2267" t="s">
        <v>3594</v>
      </c>
      <c r="L2267" t="s">
        <v>16</v>
      </c>
      <c r="M2267" t="s">
        <v>19</v>
      </c>
      <c r="N2267">
        <v>6000</v>
      </c>
      <c r="O2267">
        <v>363</v>
      </c>
      <c r="P2267">
        <v>0</v>
      </c>
      <c r="Q2267" t="s">
        <v>4509</v>
      </c>
      <c r="R2267" t="s">
        <v>8989</v>
      </c>
      <c r="S2267" t="s">
        <v>2054</v>
      </c>
      <c r="T2267" t="s">
        <v>4511</v>
      </c>
      <c r="U2267" t="s">
        <v>60</v>
      </c>
      <c r="V2267" t="s">
        <v>61</v>
      </c>
      <c r="W2267">
        <v>3</v>
      </c>
      <c r="X2267">
        <v>0.09</v>
      </c>
      <c r="Y2267" t="s">
        <v>389</v>
      </c>
      <c r="Z2267" t="s">
        <v>713</v>
      </c>
      <c r="AA2267">
        <v>4</v>
      </c>
      <c r="AB2267" t="s">
        <v>8997</v>
      </c>
      <c r="AC2267" t="s">
        <v>8998</v>
      </c>
      <c r="AD2267" t="s">
        <v>8999</v>
      </c>
      <c r="AE2267" t="s">
        <v>9000</v>
      </c>
      <c r="AF2267" t="s">
        <v>9001</v>
      </c>
      <c r="AG2267" t="s">
        <v>1054</v>
      </c>
      <c r="AH2267" t="s">
        <v>806</v>
      </c>
      <c r="AI2267" t="s">
        <v>889</v>
      </c>
      <c r="AJ2267" t="s">
        <v>889</v>
      </c>
      <c r="AK2267">
        <v>1</v>
      </c>
      <c r="AL2267" t="s">
        <v>9158</v>
      </c>
      <c r="AM2267" t="s">
        <v>9159</v>
      </c>
      <c r="AN2267" t="s">
        <v>9160</v>
      </c>
      <c r="AO2267" t="s">
        <v>66</v>
      </c>
      <c r="AP2267">
        <v>1</v>
      </c>
      <c r="AQ2267" t="s">
        <v>9161</v>
      </c>
      <c r="AR2267" t="s">
        <v>9162</v>
      </c>
      <c r="AS2267" t="s">
        <v>9243</v>
      </c>
      <c r="AT2267" t="s">
        <v>66</v>
      </c>
    </row>
    <row r="2268" spans="1:46" x14ac:dyDescent="0.15">
      <c r="A2268" t="s">
        <v>9397</v>
      </c>
      <c r="B2268" t="s">
        <v>9398</v>
      </c>
      <c r="C2268" t="s">
        <v>9399</v>
      </c>
      <c r="D2268">
        <v>1</v>
      </c>
      <c r="E2268" t="s">
        <v>9400</v>
      </c>
      <c r="F2268" t="s">
        <v>1551</v>
      </c>
      <c r="G2268" t="s">
        <v>51</v>
      </c>
      <c r="H2268" t="s">
        <v>9401</v>
      </c>
      <c r="I2268" t="s">
        <v>720</v>
      </c>
      <c r="J2268" t="s">
        <v>2572</v>
      </c>
      <c r="K2268" t="s">
        <v>5939</v>
      </c>
      <c r="L2268" t="s">
        <v>17</v>
      </c>
      <c r="M2268" t="s">
        <v>18</v>
      </c>
      <c r="N2268">
        <v>500</v>
      </c>
      <c r="O2268">
        <v>30</v>
      </c>
      <c r="P2268">
        <v>0</v>
      </c>
      <c r="Q2268" t="s">
        <v>3085</v>
      </c>
      <c r="R2268" t="s">
        <v>3086</v>
      </c>
      <c r="S2268" t="s">
        <v>3087</v>
      </c>
      <c r="T2268" t="s">
        <v>3088</v>
      </c>
      <c r="U2268" t="s">
        <v>60</v>
      </c>
      <c r="V2268" t="s">
        <v>61</v>
      </c>
      <c r="W2268">
        <v>10</v>
      </c>
      <c r="X2268">
        <v>0.1150625</v>
      </c>
      <c r="Y2268" t="s">
        <v>62</v>
      </c>
      <c r="Z2268" t="s">
        <v>62</v>
      </c>
      <c r="AA2268">
        <v>0</v>
      </c>
      <c r="AB2268" t="s">
        <v>9402</v>
      </c>
      <c r="AC2268" t="s">
        <v>9403</v>
      </c>
      <c r="AD2268" t="s">
        <v>9404</v>
      </c>
      <c r="AE2268" t="s">
        <v>9405</v>
      </c>
      <c r="AF2268" t="s">
        <v>9406</v>
      </c>
      <c r="AG2268" t="s">
        <v>66</v>
      </c>
      <c r="AH2268" t="s">
        <v>66</v>
      </c>
      <c r="AI2268" t="s">
        <v>66</v>
      </c>
      <c r="AJ2268" t="s">
        <v>66</v>
      </c>
      <c r="AK2268">
        <v>1</v>
      </c>
      <c r="AL2268" t="s">
        <v>66</v>
      </c>
      <c r="AM2268" t="s">
        <v>66</v>
      </c>
      <c r="AN2268" t="s">
        <v>66</v>
      </c>
      <c r="AO2268" t="s">
        <v>66</v>
      </c>
      <c r="AP2268">
        <v>1</v>
      </c>
      <c r="AQ2268" t="s">
        <v>66</v>
      </c>
      <c r="AR2268" t="s">
        <v>66</v>
      </c>
      <c r="AS2268" t="s">
        <v>66</v>
      </c>
      <c r="AT2268" t="s">
        <v>66</v>
      </c>
    </row>
    <row r="2269" spans="1:46" x14ac:dyDescent="0.15">
      <c r="A2269" t="s">
        <v>9407</v>
      </c>
      <c r="B2269" t="s">
        <v>9398</v>
      </c>
      <c r="C2269" t="s">
        <v>9399</v>
      </c>
      <c r="D2269">
        <v>2</v>
      </c>
      <c r="E2269" t="s">
        <v>9400</v>
      </c>
      <c r="F2269" t="s">
        <v>1551</v>
      </c>
      <c r="G2269" t="s">
        <v>51</v>
      </c>
      <c r="H2269" t="s">
        <v>9401</v>
      </c>
      <c r="I2269" t="s">
        <v>720</v>
      </c>
      <c r="J2269" t="s">
        <v>2572</v>
      </c>
      <c r="K2269" t="s">
        <v>5939</v>
      </c>
      <c r="L2269" t="s">
        <v>17</v>
      </c>
      <c r="M2269" t="s">
        <v>18</v>
      </c>
      <c r="N2269">
        <v>556</v>
      </c>
      <c r="O2269">
        <v>33</v>
      </c>
      <c r="P2269">
        <v>0</v>
      </c>
      <c r="Q2269" t="s">
        <v>9408</v>
      </c>
      <c r="R2269" t="s">
        <v>9409</v>
      </c>
      <c r="S2269" t="s">
        <v>9410</v>
      </c>
      <c r="T2269" t="s">
        <v>9411</v>
      </c>
      <c r="U2269" t="s">
        <v>60</v>
      </c>
      <c r="V2269" t="s">
        <v>61</v>
      </c>
      <c r="W2269">
        <v>10</v>
      </c>
      <c r="X2269">
        <v>0.1150625</v>
      </c>
      <c r="Y2269" t="s">
        <v>72</v>
      </c>
      <c r="Z2269" t="s">
        <v>73</v>
      </c>
      <c r="AA2269">
        <v>0</v>
      </c>
      <c r="AB2269" t="s">
        <v>9402</v>
      </c>
      <c r="AC2269" t="s">
        <v>9403</v>
      </c>
      <c r="AD2269" t="s">
        <v>9404</v>
      </c>
      <c r="AE2269" t="s">
        <v>9405</v>
      </c>
      <c r="AF2269" t="s">
        <v>9406</v>
      </c>
      <c r="AG2269" t="s">
        <v>66</v>
      </c>
      <c r="AH2269" t="s">
        <v>66</v>
      </c>
      <c r="AI2269" t="s">
        <v>66</v>
      </c>
      <c r="AJ2269" t="s">
        <v>66</v>
      </c>
      <c r="AK2269">
        <v>1</v>
      </c>
      <c r="AL2269" t="s">
        <v>66</v>
      </c>
      <c r="AM2269" t="s">
        <v>66</v>
      </c>
      <c r="AN2269" t="s">
        <v>66</v>
      </c>
      <c r="AO2269" t="s">
        <v>66</v>
      </c>
      <c r="AP2269">
        <v>1</v>
      </c>
      <c r="AQ2269" t="s">
        <v>66</v>
      </c>
      <c r="AR2269" t="s">
        <v>66</v>
      </c>
      <c r="AS2269" t="s">
        <v>66</v>
      </c>
      <c r="AT2269" t="s">
        <v>66</v>
      </c>
    </row>
    <row r="2270" spans="1:46" x14ac:dyDescent="0.15">
      <c r="A2270" t="s">
        <v>9412</v>
      </c>
      <c r="B2270" t="s">
        <v>9398</v>
      </c>
      <c r="C2270" t="s">
        <v>9399</v>
      </c>
      <c r="D2270">
        <v>3</v>
      </c>
      <c r="E2270" t="s">
        <v>9400</v>
      </c>
      <c r="F2270" t="s">
        <v>1551</v>
      </c>
      <c r="G2270" t="s">
        <v>51</v>
      </c>
      <c r="H2270" t="s">
        <v>9401</v>
      </c>
      <c r="I2270" t="s">
        <v>720</v>
      </c>
      <c r="J2270" t="s">
        <v>2572</v>
      </c>
      <c r="K2270" t="s">
        <v>5939</v>
      </c>
      <c r="L2270" t="s">
        <v>17</v>
      </c>
      <c r="M2270" t="s">
        <v>18</v>
      </c>
      <c r="N2270">
        <v>612</v>
      </c>
      <c r="O2270">
        <v>36</v>
      </c>
      <c r="P2270">
        <v>0</v>
      </c>
      <c r="Q2270" t="s">
        <v>9413</v>
      </c>
      <c r="R2270" t="s">
        <v>9414</v>
      </c>
      <c r="S2270" t="s">
        <v>9415</v>
      </c>
      <c r="T2270" t="s">
        <v>9416</v>
      </c>
      <c r="U2270" t="s">
        <v>60</v>
      </c>
      <c r="V2270" t="s">
        <v>61</v>
      </c>
      <c r="W2270">
        <v>10</v>
      </c>
      <c r="X2270">
        <v>0.1150625</v>
      </c>
      <c r="Y2270" t="s">
        <v>73</v>
      </c>
      <c r="Z2270" t="s">
        <v>79</v>
      </c>
      <c r="AA2270">
        <v>0</v>
      </c>
      <c r="AB2270" t="s">
        <v>9402</v>
      </c>
      <c r="AC2270" t="s">
        <v>9403</v>
      </c>
      <c r="AD2270" t="s">
        <v>9404</v>
      </c>
      <c r="AE2270" t="s">
        <v>9405</v>
      </c>
      <c r="AF2270" t="s">
        <v>9406</v>
      </c>
      <c r="AG2270" t="s">
        <v>66</v>
      </c>
      <c r="AH2270" t="s">
        <v>66</v>
      </c>
      <c r="AI2270" t="s">
        <v>66</v>
      </c>
      <c r="AJ2270" t="s">
        <v>66</v>
      </c>
      <c r="AK2270">
        <v>1</v>
      </c>
      <c r="AL2270" t="s">
        <v>66</v>
      </c>
      <c r="AM2270" t="s">
        <v>66</v>
      </c>
      <c r="AN2270" t="s">
        <v>66</v>
      </c>
      <c r="AO2270" t="s">
        <v>66</v>
      </c>
      <c r="AP2270">
        <v>1</v>
      </c>
      <c r="AQ2270" t="s">
        <v>66</v>
      </c>
      <c r="AR2270" t="s">
        <v>66</v>
      </c>
      <c r="AS2270" t="s">
        <v>66</v>
      </c>
      <c r="AT2270" t="s">
        <v>66</v>
      </c>
    </row>
    <row r="2271" spans="1:46" x14ac:dyDescent="0.15">
      <c r="A2271" t="s">
        <v>9417</v>
      </c>
      <c r="B2271" t="s">
        <v>9398</v>
      </c>
      <c r="C2271" t="s">
        <v>9399</v>
      </c>
      <c r="D2271">
        <v>4</v>
      </c>
      <c r="E2271" t="s">
        <v>9400</v>
      </c>
      <c r="F2271" t="s">
        <v>1551</v>
      </c>
      <c r="G2271" t="s">
        <v>51</v>
      </c>
      <c r="H2271" t="s">
        <v>9401</v>
      </c>
      <c r="I2271" t="s">
        <v>720</v>
      </c>
      <c r="J2271" t="s">
        <v>2572</v>
      </c>
      <c r="K2271" t="s">
        <v>5939</v>
      </c>
      <c r="L2271" t="s">
        <v>17</v>
      </c>
      <c r="M2271" t="s">
        <v>18</v>
      </c>
      <c r="N2271">
        <v>668</v>
      </c>
      <c r="O2271">
        <v>39</v>
      </c>
      <c r="P2271">
        <v>0</v>
      </c>
      <c r="Q2271" t="s">
        <v>9418</v>
      </c>
      <c r="R2271" t="s">
        <v>9419</v>
      </c>
      <c r="S2271" t="s">
        <v>9420</v>
      </c>
      <c r="T2271" t="s">
        <v>9421</v>
      </c>
      <c r="U2271" t="s">
        <v>60</v>
      </c>
      <c r="V2271" t="s">
        <v>61</v>
      </c>
      <c r="W2271">
        <v>10</v>
      </c>
      <c r="X2271">
        <v>0.1150625</v>
      </c>
      <c r="Y2271" t="s">
        <v>85</v>
      </c>
      <c r="Z2271" t="s">
        <v>86</v>
      </c>
      <c r="AA2271">
        <v>0</v>
      </c>
      <c r="AB2271" t="s">
        <v>9402</v>
      </c>
      <c r="AC2271" t="s">
        <v>9403</v>
      </c>
      <c r="AD2271" t="s">
        <v>9404</v>
      </c>
      <c r="AE2271" t="s">
        <v>9405</v>
      </c>
      <c r="AF2271" t="s">
        <v>9406</v>
      </c>
      <c r="AG2271" t="s">
        <v>66</v>
      </c>
      <c r="AH2271" t="s">
        <v>66</v>
      </c>
      <c r="AI2271" t="s">
        <v>66</v>
      </c>
      <c r="AJ2271" t="s">
        <v>66</v>
      </c>
      <c r="AK2271">
        <v>1</v>
      </c>
      <c r="AL2271" t="s">
        <v>66</v>
      </c>
      <c r="AM2271" t="s">
        <v>66</v>
      </c>
      <c r="AN2271" t="s">
        <v>66</v>
      </c>
      <c r="AO2271" t="s">
        <v>66</v>
      </c>
      <c r="AP2271">
        <v>1</v>
      </c>
      <c r="AQ2271" t="s">
        <v>66</v>
      </c>
      <c r="AR2271" t="s">
        <v>66</v>
      </c>
      <c r="AS2271" t="s">
        <v>66</v>
      </c>
      <c r="AT2271" t="s">
        <v>66</v>
      </c>
    </row>
    <row r="2272" spans="1:46" x14ac:dyDescent="0.15">
      <c r="A2272" t="s">
        <v>9422</v>
      </c>
      <c r="B2272" t="s">
        <v>9398</v>
      </c>
      <c r="C2272" t="s">
        <v>9399</v>
      </c>
      <c r="D2272">
        <v>5</v>
      </c>
      <c r="E2272" t="s">
        <v>9400</v>
      </c>
      <c r="F2272" t="s">
        <v>1551</v>
      </c>
      <c r="G2272" t="s">
        <v>51</v>
      </c>
      <c r="H2272" t="s">
        <v>9401</v>
      </c>
      <c r="I2272" t="s">
        <v>720</v>
      </c>
      <c r="J2272" t="s">
        <v>2572</v>
      </c>
      <c r="K2272" t="s">
        <v>5939</v>
      </c>
      <c r="L2272" t="s">
        <v>17</v>
      </c>
      <c r="M2272" t="s">
        <v>18</v>
      </c>
      <c r="N2272">
        <v>724</v>
      </c>
      <c r="O2272">
        <v>42</v>
      </c>
      <c r="P2272">
        <v>0</v>
      </c>
      <c r="Q2272" t="s">
        <v>9423</v>
      </c>
      <c r="R2272" t="s">
        <v>9424</v>
      </c>
      <c r="S2272" t="s">
        <v>9425</v>
      </c>
      <c r="T2272" t="s">
        <v>9426</v>
      </c>
      <c r="U2272" t="s">
        <v>60</v>
      </c>
      <c r="V2272" t="s">
        <v>61</v>
      </c>
      <c r="W2272">
        <v>10</v>
      </c>
      <c r="X2272">
        <v>0.1150625</v>
      </c>
      <c r="Y2272" t="s">
        <v>79</v>
      </c>
      <c r="Z2272" t="s">
        <v>92</v>
      </c>
      <c r="AA2272">
        <v>0</v>
      </c>
      <c r="AB2272" t="s">
        <v>9402</v>
      </c>
      <c r="AC2272" t="s">
        <v>9403</v>
      </c>
      <c r="AD2272" t="s">
        <v>9404</v>
      </c>
      <c r="AE2272" t="s">
        <v>9405</v>
      </c>
      <c r="AF2272" t="s">
        <v>9406</v>
      </c>
      <c r="AG2272" t="s">
        <v>66</v>
      </c>
      <c r="AH2272" t="s">
        <v>66</v>
      </c>
      <c r="AI2272" t="s">
        <v>66</v>
      </c>
      <c r="AJ2272" t="s">
        <v>66</v>
      </c>
      <c r="AK2272">
        <v>1</v>
      </c>
      <c r="AL2272" t="s">
        <v>66</v>
      </c>
      <c r="AM2272" t="s">
        <v>66</v>
      </c>
      <c r="AN2272" t="s">
        <v>66</v>
      </c>
      <c r="AO2272" t="s">
        <v>66</v>
      </c>
      <c r="AP2272">
        <v>1</v>
      </c>
      <c r="AQ2272" t="s">
        <v>66</v>
      </c>
      <c r="AR2272" t="s">
        <v>66</v>
      </c>
      <c r="AS2272" t="s">
        <v>66</v>
      </c>
      <c r="AT2272" t="s">
        <v>66</v>
      </c>
    </row>
    <row r="2273" spans="1:46" x14ac:dyDescent="0.15">
      <c r="A2273" t="s">
        <v>9427</v>
      </c>
      <c r="B2273" t="s">
        <v>9398</v>
      </c>
      <c r="C2273" t="s">
        <v>9399</v>
      </c>
      <c r="D2273">
        <v>6</v>
      </c>
      <c r="E2273" t="s">
        <v>9400</v>
      </c>
      <c r="F2273" t="s">
        <v>1551</v>
      </c>
      <c r="G2273" t="s">
        <v>51</v>
      </c>
      <c r="H2273" t="s">
        <v>9401</v>
      </c>
      <c r="I2273" t="s">
        <v>720</v>
      </c>
      <c r="J2273" t="s">
        <v>2572</v>
      </c>
      <c r="K2273" t="s">
        <v>5939</v>
      </c>
      <c r="L2273" t="s">
        <v>17</v>
      </c>
      <c r="M2273" t="s">
        <v>18</v>
      </c>
      <c r="N2273">
        <v>781</v>
      </c>
      <c r="O2273">
        <v>45</v>
      </c>
      <c r="P2273">
        <v>0</v>
      </c>
      <c r="Q2273" t="s">
        <v>9428</v>
      </c>
      <c r="R2273" t="s">
        <v>9429</v>
      </c>
      <c r="S2273" t="s">
        <v>9430</v>
      </c>
      <c r="T2273" t="s">
        <v>9431</v>
      </c>
      <c r="U2273" t="s">
        <v>60</v>
      </c>
      <c r="V2273" t="s">
        <v>61</v>
      </c>
      <c r="W2273">
        <v>10</v>
      </c>
      <c r="X2273">
        <v>0.1150625</v>
      </c>
      <c r="Y2273" t="s">
        <v>98</v>
      </c>
      <c r="Z2273" t="s">
        <v>99</v>
      </c>
      <c r="AA2273">
        <v>0</v>
      </c>
      <c r="AB2273" t="s">
        <v>9402</v>
      </c>
      <c r="AC2273" t="s">
        <v>9403</v>
      </c>
      <c r="AD2273" t="s">
        <v>9404</v>
      </c>
      <c r="AE2273" t="s">
        <v>9405</v>
      </c>
      <c r="AF2273" t="s">
        <v>9406</v>
      </c>
      <c r="AG2273" t="s">
        <v>66</v>
      </c>
      <c r="AH2273" t="s">
        <v>66</v>
      </c>
      <c r="AI2273" t="s">
        <v>66</v>
      </c>
      <c r="AJ2273" t="s">
        <v>66</v>
      </c>
      <c r="AK2273">
        <v>1</v>
      </c>
      <c r="AL2273" t="s">
        <v>66</v>
      </c>
      <c r="AM2273" t="s">
        <v>66</v>
      </c>
      <c r="AN2273" t="s">
        <v>66</v>
      </c>
      <c r="AO2273" t="s">
        <v>66</v>
      </c>
      <c r="AP2273">
        <v>1</v>
      </c>
      <c r="AQ2273" t="s">
        <v>66</v>
      </c>
      <c r="AR2273" t="s">
        <v>66</v>
      </c>
      <c r="AS2273" t="s">
        <v>66</v>
      </c>
      <c r="AT2273" t="s">
        <v>66</v>
      </c>
    </row>
    <row r="2274" spans="1:46" x14ac:dyDescent="0.15">
      <c r="A2274" t="s">
        <v>9432</v>
      </c>
      <c r="B2274" t="s">
        <v>9398</v>
      </c>
      <c r="C2274" t="s">
        <v>9399</v>
      </c>
      <c r="D2274">
        <v>7</v>
      </c>
      <c r="E2274" t="s">
        <v>9400</v>
      </c>
      <c r="F2274" t="s">
        <v>1551</v>
      </c>
      <c r="G2274" t="s">
        <v>51</v>
      </c>
      <c r="H2274" t="s">
        <v>9401</v>
      </c>
      <c r="I2274" t="s">
        <v>720</v>
      </c>
      <c r="J2274" t="s">
        <v>2572</v>
      </c>
      <c r="K2274" t="s">
        <v>5939</v>
      </c>
      <c r="L2274" t="s">
        <v>17</v>
      </c>
      <c r="M2274" t="s">
        <v>18</v>
      </c>
      <c r="N2274">
        <v>837</v>
      </c>
      <c r="O2274">
        <v>48</v>
      </c>
      <c r="P2274">
        <v>0</v>
      </c>
      <c r="Q2274" t="s">
        <v>9433</v>
      </c>
      <c r="R2274" t="s">
        <v>9434</v>
      </c>
      <c r="S2274" t="s">
        <v>9435</v>
      </c>
      <c r="T2274" t="s">
        <v>9436</v>
      </c>
      <c r="U2274" t="s">
        <v>60</v>
      </c>
      <c r="V2274" t="s">
        <v>61</v>
      </c>
      <c r="W2274">
        <v>10</v>
      </c>
      <c r="X2274">
        <v>0.1150625</v>
      </c>
      <c r="Y2274" t="s">
        <v>86</v>
      </c>
      <c r="Z2274" t="s">
        <v>105</v>
      </c>
      <c r="AA2274">
        <v>0</v>
      </c>
      <c r="AB2274" t="s">
        <v>9402</v>
      </c>
      <c r="AC2274" t="s">
        <v>9403</v>
      </c>
      <c r="AD2274" t="s">
        <v>9404</v>
      </c>
      <c r="AE2274" t="s">
        <v>9405</v>
      </c>
      <c r="AF2274" t="s">
        <v>9406</v>
      </c>
      <c r="AG2274" t="s">
        <v>66</v>
      </c>
      <c r="AH2274" t="s">
        <v>66</v>
      </c>
      <c r="AI2274" t="s">
        <v>66</v>
      </c>
      <c r="AJ2274" t="s">
        <v>66</v>
      </c>
      <c r="AK2274">
        <v>1</v>
      </c>
      <c r="AL2274" t="s">
        <v>66</v>
      </c>
      <c r="AM2274" t="s">
        <v>66</v>
      </c>
      <c r="AN2274" t="s">
        <v>66</v>
      </c>
      <c r="AO2274" t="s">
        <v>66</v>
      </c>
      <c r="AP2274">
        <v>1</v>
      </c>
      <c r="AQ2274" t="s">
        <v>66</v>
      </c>
      <c r="AR2274" t="s">
        <v>66</v>
      </c>
      <c r="AS2274" t="s">
        <v>66</v>
      </c>
      <c r="AT2274" t="s">
        <v>66</v>
      </c>
    </row>
    <row r="2275" spans="1:46" x14ac:dyDescent="0.15">
      <c r="A2275" t="s">
        <v>9437</v>
      </c>
      <c r="B2275" t="s">
        <v>9398</v>
      </c>
      <c r="C2275" t="s">
        <v>9399</v>
      </c>
      <c r="D2275">
        <v>8</v>
      </c>
      <c r="E2275" t="s">
        <v>9400</v>
      </c>
      <c r="F2275" t="s">
        <v>1551</v>
      </c>
      <c r="G2275" t="s">
        <v>51</v>
      </c>
      <c r="H2275" t="s">
        <v>9401</v>
      </c>
      <c r="I2275" t="s">
        <v>720</v>
      </c>
      <c r="J2275" t="s">
        <v>2572</v>
      </c>
      <c r="K2275" t="s">
        <v>5939</v>
      </c>
      <c r="L2275" t="s">
        <v>17</v>
      </c>
      <c r="M2275" t="s">
        <v>18</v>
      </c>
      <c r="N2275">
        <v>893</v>
      </c>
      <c r="O2275">
        <v>51</v>
      </c>
      <c r="P2275">
        <v>0</v>
      </c>
      <c r="Q2275" t="s">
        <v>9438</v>
      </c>
      <c r="R2275" t="s">
        <v>9439</v>
      </c>
      <c r="S2275" t="s">
        <v>9440</v>
      </c>
      <c r="T2275" t="s">
        <v>9441</v>
      </c>
      <c r="U2275" t="s">
        <v>60</v>
      </c>
      <c r="V2275" t="s">
        <v>61</v>
      </c>
      <c r="W2275">
        <v>10</v>
      </c>
      <c r="X2275">
        <v>0.1150625</v>
      </c>
      <c r="Y2275" t="s">
        <v>111</v>
      </c>
      <c r="Z2275" t="s">
        <v>112</v>
      </c>
      <c r="AA2275">
        <v>0</v>
      </c>
      <c r="AB2275" t="s">
        <v>9402</v>
      </c>
      <c r="AC2275" t="s">
        <v>9403</v>
      </c>
      <c r="AD2275" t="s">
        <v>9404</v>
      </c>
      <c r="AE2275" t="s">
        <v>9405</v>
      </c>
      <c r="AF2275" t="s">
        <v>9406</v>
      </c>
      <c r="AG2275" t="s">
        <v>66</v>
      </c>
      <c r="AH2275" t="s">
        <v>66</v>
      </c>
      <c r="AI2275" t="s">
        <v>66</v>
      </c>
      <c r="AJ2275" t="s">
        <v>66</v>
      </c>
      <c r="AK2275">
        <v>1</v>
      </c>
      <c r="AL2275" t="s">
        <v>66</v>
      </c>
      <c r="AM2275" t="s">
        <v>66</v>
      </c>
      <c r="AN2275" t="s">
        <v>66</v>
      </c>
      <c r="AO2275" t="s">
        <v>66</v>
      </c>
      <c r="AP2275">
        <v>1</v>
      </c>
      <c r="AQ2275" t="s">
        <v>66</v>
      </c>
      <c r="AR2275" t="s">
        <v>66</v>
      </c>
      <c r="AS2275" t="s">
        <v>66</v>
      </c>
      <c r="AT2275" t="s">
        <v>66</v>
      </c>
    </row>
    <row r="2276" spans="1:46" x14ac:dyDescent="0.15">
      <c r="A2276" t="s">
        <v>9442</v>
      </c>
      <c r="B2276" t="s">
        <v>9398</v>
      </c>
      <c r="C2276" t="s">
        <v>9399</v>
      </c>
      <c r="D2276">
        <v>9</v>
      </c>
      <c r="E2276" t="s">
        <v>9400</v>
      </c>
      <c r="F2276" t="s">
        <v>1551</v>
      </c>
      <c r="G2276" t="s">
        <v>51</v>
      </c>
      <c r="H2276" t="s">
        <v>9401</v>
      </c>
      <c r="I2276" t="s">
        <v>720</v>
      </c>
      <c r="J2276" t="s">
        <v>2572</v>
      </c>
      <c r="K2276" t="s">
        <v>5939</v>
      </c>
      <c r="L2276" t="s">
        <v>17</v>
      </c>
      <c r="M2276" t="s">
        <v>18</v>
      </c>
      <c r="N2276">
        <v>949</v>
      </c>
      <c r="O2276">
        <v>55</v>
      </c>
      <c r="P2276">
        <v>0</v>
      </c>
      <c r="Q2276" t="s">
        <v>9443</v>
      </c>
      <c r="R2276" t="s">
        <v>9444</v>
      </c>
      <c r="S2276" t="s">
        <v>9445</v>
      </c>
      <c r="T2276" t="s">
        <v>9446</v>
      </c>
      <c r="U2276" t="s">
        <v>60</v>
      </c>
      <c r="V2276" t="s">
        <v>61</v>
      </c>
      <c r="W2276">
        <v>10</v>
      </c>
      <c r="X2276">
        <v>0.1150625</v>
      </c>
      <c r="Y2276" t="s">
        <v>92</v>
      </c>
      <c r="Z2276" t="s">
        <v>118</v>
      </c>
      <c r="AA2276">
        <v>0</v>
      </c>
      <c r="AB2276" t="s">
        <v>9402</v>
      </c>
      <c r="AC2276" t="s">
        <v>9403</v>
      </c>
      <c r="AD2276" t="s">
        <v>9404</v>
      </c>
      <c r="AE2276" t="s">
        <v>9405</v>
      </c>
      <c r="AF2276" t="s">
        <v>9406</v>
      </c>
      <c r="AG2276" t="s">
        <v>66</v>
      </c>
      <c r="AH2276" t="s">
        <v>66</v>
      </c>
      <c r="AI2276" t="s">
        <v>66</v>
      </c>
      <c r="AJ2276" t="s">
        <v>66</v>
      </c>
      <c r="AK2276">
        <v>1</v>
      </c>
      <c r="AL2276" t="s">
        <v>66</v>
      </c>
      <c r="AM2276" t="s">
        <v>66</v>
      </c>
      <c r="AN2276" t="s">
        <v>66</v>
      </c>
      <c r="AO2276" t="s">
        <v>66</v>
      </c>
      <c r="AP2276">
        <v>1</v>
      </c>
      <c r="AQ2276" t="s">
        <v>66</v>
      </c>
      <c r="AR2276" t="s">
        <v>66</v>
      </c>
      <c r="AS2276" t="s">
        <v>66</v>
      </c>
      <c r="AT2276" t="s">
        <v>66</v>
      </c>
    </row>
    <row r="2277" spans="1:46" x14ac:dyDescent="0.15">
      <c r="A2277" t="s">
        <v>9447</v>
      </c>
      <c r="B2277" t="s">
        <v>9398</v>
      </c>
      <c r="C2277" t="s">
        <v>9399</v>
      </c>
      <c r="D2277">
        <v>10</v>
      </c>
      <c r="E2277" t="s">
        <v>9400</v>
      </c>
      <c r="F2277" t="s">
        <v>1551</v>
      </c>
      <c r="G2277" t="s">
        <v>51</v>
      </c>
      <c r="H2277" t="s">
        <v>9401</v>
      </c>
      <c r="I2277" t="s">
        <v>720</v>
      </c>
      <c r="J2277" t="s">
        <v>2572</v>
      </c>
      <c r="K2277" t="s">
        <v>5939</v>
      </c>
      <c r="L2277" t="s">
        <v>17</v>
      </c>
      <c r="M2277" t="s">
        <v>18</v>
      </c>
      <c r="N2277">
        <v>1005</v>
      </c>
      <c r="O2277">
        <v>58</v>
      </c>
      <c r="P2277">
        <v>0</v>
      </c>
      <c r="Q2277" t="s">
        <v>9448</v>
      </c>
      <c r="R2277" t="s">
        <v>9449</v>
      </c>
      <c r="S2277" t="s">
        <v>9450</v>
      </c>
      <c r="T2277" t="s">
        <v>9451</v>
      </c>
      <c r="U2277" t="s">
        <v>60</v>
      </c>
      <c r="V2277" t="s">
        <v>61</v>
      </c>
      <c r="W2277">
        <v>10</v>
      </c>
      <c r="X2277">
        <v>0.1150625</v>
      </c>
      <c r="Y2277" t="s">
        <v>124</v>
      </c>
      <c r="Z2277" t="s">
        <v>125</v>
      </c>
      <c r="AA2277">
        <v>0</v>
      </c>
      <c r="AB2277" t="s">
        <v>9402</v>
      </c>
      <c r="AC2277" t="s">
        <v>9403</v>
      </c>
      <c r="AD2277" t="s">
        <v>9404</v>
      </c>
      <c r="AE2277" t="s">
        <v>9405</v>
      </c>
      <c r="AF2277" t="s">
        <v>9406</v>
      </c>
      <c r="AG2277" t="s">
        <v>66</v>
      </c>
      <c r="AH2277" t="s">
        <v>66</v>
      </c>
      <c r="AI2277" t="s">
        <v>66</v>
      </c>
      <c r="AJ2277" t="s">
        <v>66</v>
      </c>
      <c r="AK2277">
        <v>1</v>
      </c>
      <c r="AL2277" t="s">
        <v>66</v>
      </c>
      <c r="AM2277" t="s">
        <v>66</v>
      </c>
      <c r="AN2277" t="s">
        <v>66</v>
      </c>
      <c r="AO2277" t="s">
        <v>66</v>
      </c>
      <c r="AP2277">
        <v>1</v>
      </c>
      <c r="AQ2277" t="s">
        <v>66</v>
      </c>
      <c r="AR2277" t="s">
        <v>66</v>
      </c>
      <c r="AS2277" t="s">
        <v>66</v>
      </c>
      <c r="AT2277" t="s">
        <v>66</v>
      </c>
    </row>
    <row r="2278" spans="1:46" x14ac:dyDescent="0.15">
      <c r="A2278" t="s">
        <v>9452</v>
      </c>
      <c r="B2278" t="s">
        <v>9398</v>
      </c>
      <c r="C2278" t="s">
        <v>9399</v>
      </c>
      <c r="D2278">
        <v>11</v>
      </c>
      <c r="E2278" t="s">
        <v>9400</v>
      </c>
      <c r="F2278" t="s">
        <v>1551</v>
      </c>
      <c r="G2278" t="s">
        <v>51</v>
      </c>
      <c r="H2278" t="s">
        <v>9401</v>
      </c>
      <c r="I2278" t="s">
        <v>720</v>
      </c>
      <c r="J2278" t="s">
        <v>2572</v>
      </c>
      <c r="K2278" t="s">
        <v>5939</v>
      </c>
      <c r="L2278" t="s">
        <v>17</v>
      </c>
      <c r="M2278" t="s">
        <v>18</v>
      </c>
      <c r="N2278">
        <v>1061</v>
      </c>
      <c r="O2278">
        <v>61</v>
      </c>
      <c r="P2278">
        <v>0</v>
      </c>
      <c r="Q2278" t="s">
        <v>9453</v>
      </c>
      <c r="R2278" t="s">
        <v>9454</v>
      </c>
      <c r="S2278" t="s">
        <v>9455</v>
      </c>
      <c r="T2278" t="s">
        <v>9456</v>
      </c>
      <c r="U2278" t="s">
        <v>60</v>
      </c>
      <c r="V2278" t="s">
        <v>61</v>
      </c>
      <c r="W2278">
        <v>10</v>
      </c>
      <c r="X2278">
        <v>0.1150625</v>
      </c>
      <c r="Y2278" t="s">
        <v>99</v>
      </c>
      <c r="Z2278" t="s">
        <v>131</v>
      </c>
      <c r="AA2278">
        <v>0</v>
      </c>
      <c r="AB2278" t="s">
        <v>9402</v>
      </c>
      <c r="AC2278" t="s">
        <v>9403</v>
      </c>
      <c r="AD2278" t="s">
        <v>9404</v>
      </c>
      <c r="AE2278" t="s">
        <v>9405</v>
      </c>
      <c r="AF2278" t="s">
        <v>9406</v>
      </c>
      <c r="AG2278" t="s">
        <v>66</v>
      </c>
      <c r="AH2278" t="s">
        <v>66</v>
      </c>
      <c r="AI2278" t="s">
        <v>66</v>
      </c>
      <c r="AJ2278" t="s">
        <v>66</v>
      </c>
      <c r="AK2278">
        <v>1</v>
      </c>
      <c r="AL2278" t="s">
        <v>66</v>
      </c>
      <c r="AM2278" t="s">
        <v>66</v>
      </c>
      <c r="AN2278" t="s">
        <v>66</v>
      </c>
      <c r="AO2278" t="s">
        <v>66</v>
      </c>
      <c r="AP2278">
        <v>1</v>
      </c>
      <c r="AQ2278" t="s">
        <v>66</v>
      </c>
      <c r="AR2278" t="s">
        <v>66</v>
      </c>
      <c r="AS2278" t="s">
        <v>66</v>
      </c>
      <c r="AT2278" t="s">
        <v>66</v>
      </c>
    </row>
    <row r="2279" spans="1:46" x14ac:dyDescent="0.15">
      <c r="A2279" t="s">
        <v>9457</v>
      </c>
      <c r="B2279" t="s">
        <v>9398</v>
      </c>
      <c r="C2279" t="s">
        <v>9399</v>
      </c>
      <c r="D2279">
        <v>12</v>
      </c>
      <c r="E2279" t="s">
        <v>9400</v>
      </c>
      <c r="F2279" t="s">
        <v>1551</v>
      </c>
      <c r="G2279" t="s">
        <v>51</v>
      </c>
      <c r="H2279" t="s">
        <v>9401</v>
      </c>
      <c r="I2279" t="s">
        <v>720</v>
      </c>
      <c r="J2279" t="s">
        <v>2572</v>
      </c>
      <c r="K2279" t="s">
        <v>5939</v>
      </c>
      <c r="L2279" t="s">
        <v>17</v>
      </c>
      <c r="M2279" t="s">
        <v>18</v>
      </c>
      <c r="N2279">
        <v>1117</v>
      </c>
      <c r="O2279">
        <v>64</v>
      </c>
      <c r="P2279">
        <v>0</v>
      </c>
      <c r="Q2279" t="s">
        <v>9458</v>
      </c>
      <c r="R2279" t="s">
        <v>9459</v>
      </c>
      <c r="S2279" t="s">
        <v>9460</v>
      </c>
      <c r="T2279" t="s">
        <v>9461</v>
      </c>
      <c r="U2279" t="s">
        <v>60</v>
      </c>
      <c r="V2279" t="s">
        <v>61</v>
      </c>
      <c r="W2279">
        <v>10</v>
      </c>
      <c r="X2279">
        <v>0.1150625</v>
      </c>
      <c r="Y2279" t="s">
        <v>137</v>
      </c>
      <c r="Z2279" t="s">
        <v>138</v>
      </c>
      <c r="AA2279">
        <v>0</v>
      </c>
      <c r="AB2279" t="s">
        <v>9402</v>
      </c>
      <c r="AC2279" t="s">
        <v>9403</v>
      </c>
      <c r="AD2279" t="s">
        <v>9404</v>
      </c>
      <c r="AE2279" t="s">
        <v>9405</v>
      </c>
      <c r="AF2279" t="s">
        <v>9406</v>
      </c>
      <c r="AG2279" t="s">
        <v>66</v>
      </c>
      <c r="AH2279" t="s">
        <v>66</v>
      </c>
      <c r="AI2279" t="s">
        <v>66</v>
      </c>
      <c r="AJ2279" t="s">
        <v>66</v>
      </c>
      <c r="AK2279">
        <v>1</v>
      </c>
      <c r="AL2279" t="s">
        <v>66</v>
      </c>
      <c r="AM2279" t="s">
        <v>66</v>
      </c>
      <c r="AN2279" t="s">
        <v>66</v>
      </c>
      <c r="AO2279" t="s">
        <v>66</v>
      </c>
      <c r="AP2279">
        <v>1</v>
      </c>
      <c r="AQ2279" t="s">
        <v>66</v>
      </c>
      <c r="AR2279" t="s">
        <v>66</v>
      </c>
      <c r="AS2279" t="s">
        <v>66</v>
      </c>
      <c r="AT2279" t="s">
        <v>66</v>
      </c>
    </row>
    <row r="2280" spans="1:46" x14ac:dyDescent="0.15">
      <c r="A2280" t="s">
        <v>9462</v>
      </c>
      <c r="B2280" t="s">
        <v>9398</v>
      </c>
      <c r="C2280" t="s">
        <v>9399</v>
      </c>
      <c r="D2280">
        <v>13</v>
      </c>
      <c r="E2280" t="s">
        <v>9400</v>
      </c>
      <c r="F2280" t="s">
        <v>1551</v>
      </c>
      <c r="G2280" t="s">
        <v>51</v>
      </c>
      <c r="H2280" t="s">
        <v>9401</v>
      </c>
      <c r="I2280" t="s">
        <v>720</v>
      </c>
      <c r="J2280" t="s">
        <v>2572</v>
      </c>
      <c r="K2280" t="s">
        <v>5939</v>
      </c>
      <c r="L2280" t="s">
        <v>17</v>
      </c>
      <c r="M2280" t="s">
        <v>18</v>
      </c>
      <c r="N2280">
        <v>1173</v>
      </c>
      <c r="O2280">
        <v>67</v>
      </c>
      <c r="P2280">
        <v>0</v>
      </c>
      <c r="Q2280" t="s">
        <v>9463</v>
      </c>
      <c r="R2280" t="s">
        <v>9464</v>
      </c>
      <c r="S2280" t="s">
        <v>9465</v>
      </c>
      <c r="T2280" t="s">
        <v>9466</v>
      </c>
      <c r="U2280" t="s">
        <v>60</v>
      </c>
      <c r="V2280" t="s">
        <v>61</v>
      </c>
      <c r="W2280">
        <v>10</v>
      </c>
      <c r="X2280">
        <v>0.1150625</v>
      </c>
      <c r="Y2280" t="s">
        <v>105</v>
      </c>
      <c r="Z2280" t="s">
        <v>144</v>
      </c>
      <c r="AA2280">
        <v>0</v>
      </c>
      <c r="AB2280" t="s">
        <v>9402</v>
      </c>
      <c r="AC2280" t="s">
        <v>9403</v>
      </c>
      <c r="AD2280" t="s">
        <v>9404</v>
      </c>
      <c r="AE2280" t="s">
        <v>9405</v>
      </c>
      <c r="AF2280" t="s">
        <v>9406</v>
      </c>
      <c r="AG2280" t="s">
        <v>66</v>
      </c>
      <c r="AH2280" t="s">
        <v>66</v>
      </c>
      <c r="AI2280" t="s">
        <v>66</v>
      </c>
      <c r="AJ2280" t="s">
        <v>66</v>
      </c>
      <c r="AK2280">
        <v>1</v>
      </c>
      <c r="AL2280" t="s">
        <v>66</v>
      </c>
      <c r="AM2280" t="s">
        <v>66</v>
      </c>
      <c r="AN2280" t="s">
        <v>66</v>
      </c>
      <c r="AO2280" t="s">
        <v>66</v>
      </c>
      <c r="AP2280">
        <v>1</v>
      </c>
      <c r="AQ2280" t="s">
        <v>66</v>
      </c>
      <c r="AR2280" t="s">
        <v>66</v>
      </c>
      <c r="AS2280" t="s">
        <v>66</v>
      </c>
      <c r="AT2280" t="s">
        <v>66</v>
      </c>
    </row>
    <row r="2281" spans="1:46" x14ac:dyDescent="0.15">
      <c r="A2281" t="s">
        <v>9467</v>
      </c>
      <c r="B2281" t="s">
        <v>9398</v>
      </c>
      <c r="C2281" t="s">
        <v>9399</v>
      </c>
      <c r="D2281">
        <v>14</v>
      </c>
      <c r="E2281" t="s">
        <v>9400</v>
      </c>
      <c r="F2281" t="s">
        <v>1551</v>
      </c>
      <c r="G2281" t="s">
        <v>51</v>
      </c>
      <c r="H2281" t="s">
        <v>9401</v>
      </c>
      <c r="I2281" t="s">
        <v>720</v>
      </c>
      <c r="J2281" t="s">
        <v>2572</v>
      </c>
      <c r="K2281" t="s">
        <v>5939</v>
      </c>
      <c r="L2281" t="s">
        <v>17</v>
      </c>
      <c r="M2281" t="s">
        <v>18</v>
      </c>
      <c r="N2281">
        <v>1230</v>
      </c>
      <c r="O2281">
        <v>70</v>
      </c>
      <c r="P2281">
        <v>0</v>
      </c>
      <c r="Q2281" t="s">
        <v>9468</v>
      </c>
      <c r="R2281" t="s">
        <v>9469</v>
      </c>
      <c r="S2281" t="s">
        <v>9470</v>
      </c>
      <c r="T2281" t="s">
        <v>9471</v>
      </c>
      <c r="U2281" t="s">
        <v>60</v>
      </c>
      <c r="V2281" t="s">
        <v>61</v>
      </c>
      <c r="W2281">
        <v>10</v>
      </c>
      <c r="X2281">
        <v>0.1150625</v>
      </c>
      <c r="Y2281" t="s">
        <v>150</v>
      </c>
      <c r="Z2281" t="s">
        <v>151</v>
      </c>
      <c r="AA2281">
        <v>0</v>
      </c>
      <c r="AB2281" t="s">
        <v>9402</v>
      </c>
      <c r="AC2281" t="s">
        <v>9403</v>
      </c>
      <c r="AD2281" t="s">
        <v>9404</v>
      </c>
      <c r="AE2281" t="s">
        <v>9405</v>
      </c>
      <c r="AF2281" t="s">
        <v>9406</v>
      </c>
      <c r="AG2281" t="s">
        <v>66</v>
      </c>
      <c r="AH2281" t="s">
        <v>66</v>
      </c>
      <c r="AI2281" t="s">
        <v>66</v>
      </c>
      <c r="AJ2281" t="s">
        <v>66</v>
      </c>
      <c r="AK2281">
        <v>1</v>
      </c>
      <c r="AL2281" t="s">
        <v>66</v>
      </c>
      <c r="AM2281" t="s">
        <v>66</v>
      </c>
      <c r="AN2281" t="s">
        <v>66</v>
      </c>
      <c r="AO2281" t="s">
        <v>66</v>
      </c>
      <c r="AP2281">
        <v>1</v>
      </c>
      <c r="AQ2281" t="s">
        <v>66</v>
      </c>
      <c r="AR2281" t="s">
        <v>66</v>
      </c>
      <c r="AS2281" t="s">
        <v>66</v>
      </c>
      <c r="AT2281" t="s">
        <v>66</v>
      </c>
    </row>
    <row r="2282" spans="1:46" x14ac:dyDescent="0.15">
      <c r="A2282" t="s">
        <v>9472</v>
      </c>
      <c r="B2282" t="s">
        <v>9398</v>
      </c>
      <c r="C2282" t="s">
        <v>9399</v>
      </c>
      <c r="D2282">
        <v>15</v>
      </c>
      <c r="E2282" t="s">
        <v>9400</v>
      </c>
      <c r="F2282" t="s">
        <v>1551</v>
      </c>
      <c r="G2282" t="s">
        <v>51</v>
      </c>
      <c r="H2282" t="s">
        <v>9401</v>
      </c>
      <c r="I2282" t="s">
        <v>720</v>
      </c>
      <c r="J2282" t="s">
        <v>2572</v>
      </c>
      <c r="K2282" t="s">
        <v>5939</v>
      </c>
      <c r="L2282" t="s">
        <v>17</v>
      </c>
      <c r="M2282" t="s">
        <v>18</v>
      </c>
      <c r="N2282">
        <v>1286</v>
      </c>
      <c r="O2282">
        <v>73</v>
      </c>
      <c r="P2282">
        <v>0</v>
      </c>
      <c r="Q2282" t="s">
        <v>9473</v>
      </c>
      <c r="R2282" t="s">
        <v>9474</v>
      </c>
      <c r="S2282" t="s">
        <v>9475</v>
      </c>
      <c r="T2282" t="s">
        <v>9476</v>
      </c>
      <c r="U2282" t="s">
        <v>60</v>
      </c>
      <c r="V2282" t="s">
        <v>61</v>
      </c>
      <c r="W2282">
        <v>10</v>
      </c>
      <c r="X2282">
        <v>0.1150625</v>
      </c>
      <c r="Y2282" t="s">
        <v>112</v>
      </c>
      <c r="Z2282" t="s">
        <v>157</v>
      </c>
      <c r="AA2282">
        <v>0</v>
      </c>
      <c r="AB2282" t="s">
        <v>9402</v>
      </c>
      <c r="AC2282" t="s">
        <v>9403</v>
      </c>
      <c r="AD2282" t="s">
        <v>9404</v>
      </c>
      <c r="AE2282" t="s">
        <v>9405</v>
      </c>
      <c r="AF2282" t="s">
        <v>9406</v>
      </c>
      <c r="AG2282" t="s">
        <v>66</v>
      </c>
      <c r="AH2282" t="s">
        <v>66</v>
      </c>
      <c r="AI2282" t="s">
        <v>66</v>
      </c>
      <c r="AJ2282" t="s">
        <v>66</v>
      </c>
      <c r="AK2282">
        <v>1</v>
      </c>
      <c r="AL2282" t="s">
        <v>66</v>
      </c>
      <c r="AM2282" t="s">
        <v>66</v>
      </c>
      <c r="AN2282" t="s">
        <v>66</v>
      </c>
      <c r="AO2282" t="s">
        <v>66</v>
      </c>
      <c r="AP2282">
        <v>1</v>
      </c>
      <c r="AQ2282" t="s">
        <v>66</v>
      </c>
      <c r="AR2282" t="s">
        <v>66</v>
      </c>
      <c r="AS2282" t="s">
        <v>66</v>
      </c>
      <c r="AT2282" t="s">
        <v>66</v>
      </c>
    </row>
    <row r="2283" spans="1:46" x14ac:dyDescent="0.15">
      <c r="A2283" t="s">
        <v>9477</v>
      </c>
      <c r="B2283" t="s">
        <v>9398</v>
      </c>
      <c r="C2283" t="s">
        <v>9399</v>
      </c>
      <c r="D2283">
        <v>16</v>
      </c>
      <c r="E2283" t="s">
        <v>9400</v>
      </c>
      <c r="F2283" t="s">
        <v>1551</v>
      </c>
      <c r="G2283" t="s">
        <v>51</v>
      </c>
      <c r="H2283" t="s">
        <v>9401</v>
      </c>
      <c r="I2283" t="s">
        <v>720</v>
      </c>
      <c r="J2283" t="s">
        <v>2572</v>
      </c>
      <c r="K2283" t="s">
        <v>5939</v>
      </c>
      <c r="L2283" t="s">
        <v>17</v>
      </c>
      <c r="M2283" t="s">
        <v>18</v>
      </c>
      <c r="N2283">
        <v>1342</v>
      </c>
      <c r="O2283">
        <v>76</v>
      </c>
      <c r="P2283">
        <v>0</v>
      </c>
      <c r="Q2283" t="s">
        <v>9478</v>
      </c>
      <c r="R2283" t="s">
        <v>9479</v>
      </c>
      <c r="S2283" t="s">
        <v>9480</v>
      </c>
      <c r="T2283" t="s">
        <v>9481</v>
      </c>
      <c r="U2283" t="s">
        <v>60</v>
      </c>
      <c r="V2283" t="s">
        <v>61</v>
      </c>
      <c r="W2283">
        <v>10</v>
      </c>
      <c r="X2283">
        <v>0.1150625</v>
      </c>
      <c r="Y2283" t="s">
        <v>163</v>
      </c>
      <c r="Z2283" t="s">
        <v>164</v>
      </c>
      <c r="AA2283">
        <v>0</v>
      </c>
      <c r="AB2283" t="s">
        <v>9402</v>
      </c>
      <c r="AC2283" t="s">
        <v>9403</v>
      </c>
      <c r="AD2283" t="s">
        <v>9404</v>
      </c>
      <c r="AE2283" t="s">
        <v>9405</v>
      </c>
      <c r="AF2283" t="s">
        <v>9406</v>
      </c>
      <c r="AG2283" t="s">
        <v>66</v>
      </c>
      <c r="AH2283" t="s">
        <v>66</v>
      </c>
      <c r="AI2283" t="s">
        <v>66</v>
      </c>
      <c r="AJ2283" t="s">
        <v>66</v>
      </c>
      <c r="AK2283">
        <v>1</v>
      </c>
      <c r="AL2283" t="s">
        <v>66</v>
      </c>
      <c r="AM2283" t="s">
        <v>66</v>
      </c>
      <c r="AN2283" t="s">
        <v>66</v>
      </c>
      <c r="AO2283" t="s">
        <v>66</v>
      </c>
      <c r="AP2283">
        <v>1</v>
      </c>
      <c r="AQ2283" t="s">
        <v>66</v>
      </c>
      <c r="AR2283" t="s">
        <v>66</v>
      </c>
      <c r="AS2283" t="s">
        <v>66</v>
      </c>
      <c r="AT2283" t="s">
        <v>66</v>
      </c>
    </row>
    <row r="2284" spans="1:46" x14ac:dyDescent="0.15">
      <c r="A2284" t="s">
        <v>9482</v>
      </c>
      <c r="B2284" t="s">
        <v>9398</v>
      </c>
      <c r="C2284" t="s">
        <v>9399</v>
      </c>
      <c r="D2284">
        <v>17</v>
      </c>
      <c r="E2284" t="s">
        <v>9400</v>
      </c>
      <c r="F2284" t="s">
        <v>1551</v>
      </c>
      <c r="G2284" t="s">
        <v>51</v>
      </c>
      <c r="H2284" t="s">
        <v>9401</v>
      </c>
      <c r="I2284" t="s">
        <v>720</v>
      </c>
      <c r="J2284" t="s">
        <v>2572</v>
      </c>
      <c r="K2284" t="s">
        <v>5939</v>
      </c>
      <c r="L2284" t="s">
        <v>17</v>
      </c>
      <c r="M2284" t="s">
        <v>18</v>
      </c>
      <c r="N2284">
        <v>1398</v>
      </c>
      <c r="O2284">
        <v>79</v>
      </c>
      <c r="P2284">
        <v>0</v>
      </c>
      <c r="Q2284" t="s">
        <v>9483</v>
      </c>
      <c r="R2284" t="s">
        <v>9484</v>
      </c>
      <c r="S2284" t="s">
        <v>9485</v>
      </c>
      <c r="T2284" t="s">
        <v>9486</v>
      </c>
      <c r="U2284" t="s">
        <v>60</v>
      </c>
      <c r="V2284" t="s">
        <v>61</v>
      </c>
      <c r="W2284">
        <v>10</v>
      </c>
      <c r="X2284">
        <v>0.1150625</v>
      </c>
      <c r="Y2284" t="s">
        <v>118</v>
      </c>
      <c r="Z2284" t="s">
        <v>170</v>
      </c>
      <c r="AA2284">
        <v>0</v>
      </c>
      <c r="AB2284" t="s">
        <v>9402</v>
      </c>
      <c r="AC2284" t="s">
        <v>9403</v>
      </c>
      <c r="AD2284" t="s">
        <v>9404</v>
      </c>
      <c r="AE2284" t="s">
        <v>9405</v>
      </c>
      <c r="AF2284" t="s">
        <v>9406</v>
      </c>
      <c r="AG2284" t="s">
        <v>66</v>
      </c>
      <c r="AH2284" t="s">
        <v>66</v>
      </c>
      <c r="AI2284" t="s">
        <v>66</v>
      </c>
      <c r="AJ2284" t="s">
        <v>66</v>
      </c>
      <c r="AK2284">
        <v>1</v>
      </c>
      <c r="AL2284" t="s">
        <v>66</v>
      </c>
      <c r="AM2284" t="s">
        <v>66</v>
      </c>
      <c r="AN2284" t="s">
        <v>66</v>
      </c>
      <c r="AO2284" t="s">
        <v>66</v>
      </c>
      <c r="AP2284">
        <v>1</v>
      </c>
      <c r="AQ2284" t="s">
        <v>66</v>
      </c>
      <c r="AR2284" t="s">
        <v>66</v>
      </c>
      <c r="AS2284" t="s">
        <v>66</v>
      </c>
      <c r="AT2284" t="s">
        <v>66</v>
      </c>
    </row>
    <row r="2285" spans="1:46" x14ac:dyDescent="0.15">
      <c r="A2285" t="s">
        <v>9487</v>
      </c>
      <c r="B2285" t="s">
        <v>9398</v>
      </c>
      <c r="C2285" t="s">
        <v>9399</v>
      </c>
      <c r="D2285">
        <v>18</v>
      </c>
      <c r="E2285" t="s">
        <v>9400</v>
      </c>
      <c r="F2285" t="s">
        <v>1551</v>
      </c>
      <c r="G2285" t="s">
        <v>51</v>
      </c>
      <c r="H2285" t="s">
        <v>9401</v>
      </c>
      <c r="I2285" t="s">
        <v>720</v>
      </c>
      <c r="J2285" t="s">
        <v>2572</v>
      </c>
      <c r="K2285" t="s">
        <v>5939</v>
      </c>
      <c r="L2285" t="s">
        <v>17</v>
      </c>
      <c r="M2285" t="s">
        <v>18</v>
      </c>
      <c r="N2285">
        <v>1454</v>
      </c>
      <c r="O2285">
        <v>82</v>
      </c>
      <c r="P2285">
        <v>0</v>
      </c>
      <c r="Q2285" t="s">
        <v>9488</v>
      </c>
      <c r="R2285" t="s">
        <v>9489</v>
      </c>
      <c r="S2285" t="s">
        <v>9490</v>
      </c>
      <c r="T2285" t="s">
        <v>9491</v>
      </c>
      <c r="U2285" t="s">
        <v>60</v>
      </c>
      <c r="V2285" t="s">
        <v>61</v>
      </c>
      <c r="W2285">
        <v>10</v>
      </c>
      <c r="X2285">
        <v>0.1150625</v>
      </c>
      <c r="Y2285" t="s">
        <v>176</v>
      </c>
      <c r="Z2285" t="s">
        <v>177</v>
      </c>
      <c r="AA2285">
        <v>0</v>
      </c>
      <c r="AB2285" t="s">
        <v>9402</v>
      </c>
      <c r="AC2285" t="s">
        <v>9403</v>
      </c>
      <c r="AD2285" t="s">
        <v>9404</v>
      </c>
      <c r="AE2285" t="s">
        <v>9405</v>
      </c>
      <c r="AF2285" t="s">
        <v>9406</v>
      </c>
      <c r="AG2285" t="s">
        <v>66</v>
      </c>
      <c r="AH2285" t="s">
        <v>66</v>
      </c>
      <c r="AI2285" t="s">
        <v>66</v>
      </c>
      <c r="AJ2285" t="s">
        <v>66</v>
      </c>
      <c r="AK2285">
        <v>1</v>
      </c>
      <c r="AL2285" t="s">
        <v>66</v>
      </c>
      <c r="AM2285" t="s">
        <v>66</v>
      </c>
      <c r="AN2285" t="s">
        <v>66</v>
      </c>
      <c r="AO2285" t="s">
        <v>66</v>
      </c>
      <c r="AP2285">
        <v>1</v>
      </c>
      <c r="AQ2285" t="s">
        <v>66</v>
      </c>
      <c r="AR2285" t="s">
        <v>66</v>
      </c>
      <c r="AS2285" t="s">
        <v>66</v>
      </c>
      <c r="AT2285" t="s">
        <v>66</v>
      </c>
    </row>
    <row r="2286" spans="1:46" x14ac:dyDescent="0.15">
      <c r="A2286" t="s">
        <v>9492</v>
      </c>
      <c r="B2286" t="s">
        <v>9398</v>
      </c>
      <c r="C2286" t="s">
        <v>9399</v>
      </c>
      <c r="D2286">
        <v>19</v>
      </c>
      <c r="E2286" t="s">
        <v>9400</v>
      </c>
      <c r="F2286" t="s">
        <v>1551</v>
      </c>
      <c r="G2286" t="s">
        <v>51</v>
      </c>
      <c r="H2286" t="s">
        <v>9401</v>
      </c>
      <c r="I2286" t="s">
        <v>720</v>
      </c>
      <c r="J2286" t="s">
        <v>2572</v>
      </c>
      <c r="K2286" t="s">
        <v>5939</v>
      </c>
      <c r="L2286" t="s">
        <v>17</v>
      </c>
      <c r="M2286" t="s">
        <v>18</v>
      </c>
      <c r="N2286">
        <v>1510</v>
      </c>
      <c r="O2286">
        <v>85</v>
      </c>
      <c r="P2286">
        <v>0</v>
      </c>
      <c r="Q2286" t="s">
        <v>9493</v>
      </c>
      <c r="R2286" t="s">
        <v>9494</v>
      </c>
      <c r="S2286" t="s">
        <v>9495</v>
      </c>
      <c r="T2286" t="s">
        <v>9496</v>
      </c>
      <c r="U2286" t="s">
        <v>60</v>
      </c>
      <c r="V2286" t="s">
        <v>61</v>
      </c>
      <c r="W2286">
        <v>10</v>
      </c>
      <c r="X2286">
        <v>0.1150625</v>
      </c>
      <c r="Y2286" t="s">
        <v>125</v>
      </c>
      <c r="Z2286" t="s">
        <v>183</v>
      </c>
      <c r="AA2286">
        <v>0</v>
      </c>
      <c r="AB2286" t="s">
        <v>9402</v>
      </c>
      <c r="AC2286" t="s">
        <v>9403</v>
      </c>
      <c r="AD2286" t="s">
        <v>9404</v>
      </c>
      <c r="AE2286" t="s">
        <v>9405</v>
      </c>
      <c r="AF2286" t="s">
        <v>9406</v>
      </c>
      <c r="AG2286" t="s">
        <v>66</v>
      </c>
      <c r="AH2286" t="s">
        <v>66</v>
      </c>
      <c r="AI2286" t="s">
        <v>66</v>
      </c>
      <c r="AJ2286" t="s">
        <v>66</v>
      </c>
      <c r="AK2286">
        <v>1</v>
      </c>
      <c r="AL2286" t="s">
        <v>66</v>
      </c>
      <c r="AM2286" t="s">
        <v>66</v>
      </c>
      <c r="AN2286" t="s">
        <v>66</v>
      </c>
      <c r="AO2286" t="s">
        <v>66</v>
      </c>
      <c r="AP2286">
        <v>1</v>
      </c>
      <c r="AQ2286" t="s">
        <v>66</v>
      </c>
      <c r="AR2286" t="s">
        <v>66</v>
      </c>
      <c r="AS2286" t="s">
        <v>66</v>
      </c>
      <c r="AT2286" t="s">
        <v>66</v>
      </c>
    </row>
    <row r="2287" spans="1:46" x14ac:dyDescent="0.15">
      <c r="A2287" t="s">
        <v>9497</v>
      </c>
      <c r="B2287" t="s">
        <v>9398</v>
      </c>
      <c r="C2287" t="s">
        <v>9399</v>
      </c>
      <c r="D2287">
        <v>20</v>
      </c>
      <c r="E2287" t="s">
        <v>9400</v>
      </c>
      <c r="F2287" t="s">
        <v>1551</v>
      </c>
      <c r="G2287" t="s">
        <v>51</v>
      </c>
      <c r="H2287" t="s">
        <v>9401</v>
      </c>
      <c r="I2287" t="s">
        <v>720</v>
      </c>
      <c r="J2287" t="s">
        <v>2572</v>
      </c>
      <c r="K2287" t="s">
        <v>5939</v>
      </c>
      <c r="L2287" t="s">
        <v>17</v>
      </c>
      <c r="M2287" t="s">
        <v>18</v>
      </c>
      <c r="N2287">
        <v>1566</v>
      </c>
      <c r="O2287">
        <v>88</v>
      </c>
      <c r="P2287">
        <v>0</v>
      </c>
      <c r="Q2287" t="s">
        <v>9498</v>
      </c>
      <c r="R2287" t="s">
        <v>9499</v>
      </c>
      <c r="S2287" t="s">
        <v>9500</v>
      </c>
      <c r="T2287" t="s">
        <v>9501</v>
      </c>
      <c r="U2287" t="s">
        <v>60</v>
      </c>
      <c r="V2287" t="s">
        <v>61</v>
      </c>
      <c r="W2287">
        <v>10</v>
      </c>
      <c r="X2287">
        <v>0.1150625</v>
      </c>
      <c r="Y2287" t="s">
        <v>189</v>
      </c>
      <c r="Z2287" t="s">
        <v>190</v>
      </c>
      <c r="AA2287">
        <v>0</v>
      </c>
      <c r="AB2287" t="s">
        <v>9402</v>
      </c>
      <c r="AC2287" t="s">
        <v>9403</v>
      </c>
      <c r="AD2287" t="s">
        <v>9404</v>
      </c>
      <c r="AE2287" t="s">
        <v>9405</v>
      </c>
      <c r="AF2287" t="s">
        <v>9406</v>
      </c>
      <c r="AG2287" t="s">
        <v>66</v>
      </c>
      <c r="AH2287" t="s">
        <v>66</v>
      </c>
      <c r="AI2287" t="s">
        <v>66</v>
      </c>
      <c r="AJ2287" t="s">
        <v>66</v>
      </c>
      <c r="AK2287">
        <v>1</v>
      </c>
      <c r="AL2287" t="s">
        <v>66</v>
      </c>
      <c r="AM2287" t="s">
        <v>66</v>
      </c>
      <c r="AN2287" t="s">
        <v>66</v>
      </c>
      <c r="AO2287" t="s">
        <v>66</v>
      </c>
      <c r="AP2287">
        <v>1</v>
      </c>
      <c r="AQ2287" t="s">
        <v>66</v>
      </c>
      <c r="AR2287" t="s">
        <v>66</v>
      </c>
      <c r="AS2287" t="s">
        <v>66</v>
      </c>
      <c r="AT2287" t="s">
        <v>66</v>
      </c>
    </row>
    <row r="2288" spans="1:46" x14ac:dyDescent="0.15">
      <c r="A2288" t="s">
        <v>9497</v>
      </c>
      <c r="B2288" t="s">
        <v>9398</v>
      </c>
      <c r="C2288" t="s">
        <v>9399</v>
      </c>
      <c r="D2288">
        <v>20</v>
      </c>
      <c r="E2288" t="s">
        <v>9400</v>
      </c>
      <c r="F2288" t="s">
        <v>1551</v>
      </c>
      <c r="G2288" t="s">
        <v>51</v>
      </c>
      <c r="H2288" t="s">
        <v>9401</v>
      </c>
      <c r="I2288" t="s">
        <v>720</v>
      </c>
      <c r="J2288" t="s">
        <v>2572</v>
      </c>
      <c r="K2288" t="s">
        <v>5939</v>
      </c>
      <c r="L2288" t="s">
        <v>17</v>
      </c>
      <c r="M2288" t="s">
        <v>18</v>
      </c>
      <c r="N2288">
        <v>1566</v>
      </c>
      <c r="O2288">
        <v>88</v>
      </c>
      <c r="P2288">
        <v>0</v>
      </c>
      <c r="Q2288" t="s">
        <v>9498</v>
      </c>
      <c r="R2288" t="s">
        <v>9499</v>
      </c>
      <c r="S2288" t="s">
        <v>9500</v>
      </c>
      <c r="T2288" t="s">
        <v>9501</v>
      </c>
      <c r="U2288" t="s">
        <v>60</v>
      </c>
      <c r="V2288" t="s">
        <v>61</v>
      </c>
      <c r="W2288">
        <v>10</v>
      </c>
      <c r="X2288">
        <v>0.1150625</v>
      </c>
      <c r="Y2288" t="s">
        <v>189</v>
      </c>
      <c r="Z2288" t="s">
        <v>190</v>
      </c>
      <c r="AA2288">
        <v>1</v>
      </c>
      <c r="AB2288" t="s">
        <v>9402</v>
      </c>
      <c r="AC2288" t="s">
        <v>9403</v>
      </c>
      <c r="AD2288" t="s">
        <v>9404</v>
      </c>
      <c r="AE2288" t="s">
        <v>9405</v>
      </c>
      <c r="AF2288" t="s">
        <v>9406</v>
      </c>
      <c r="AG2288" t="s">
        <v>66</v>
      </c>
      <c r="AH2288" t="s">
        <v>66</v>
      </c>
      <c r="AI2288" t="s">
        <v>66</v>
      </c>
      <c r="AJ2288" t="s">
        <v>66</v>
      </c>
      <c r="AK2288">
        <v>1</v>
      </c>
      <c r="AL2288" t="s">
        <v>66</v>
      </c>
      <c r="AM2288" t="s">
        <v>66</v>
      </c>
      <c r="AN2288" t="s">
        <v>66</v>
      </c>
      <c r="AO2288" t="s">
        <v>66</v>
      </c>
      <c r="AP2288">
        <v>1</v>
      </c>
      <c r="AQ2288" t="s">
        <v>66</v>
      </c>
      <c r="AR2288" t="s">
        <v>66</v>
      </c>
      <c r="AS2288" t="s">
        <v>66</v>
      </c>
      <c r="AT2288" t="s">
        <v>66</v>
      </c>
    </row>
    <row r="2289" spans="1:46" x14ac:dyDescent="0.15">
      <c r="A2289" t="s">
        <v>9502</v>
      </c>
      <c r="B2289" t="s">
        <v>9398</v>
      </c>
      <c r="C2289" t="s">
        <v>9399</v>
      </c>
      <c r="D2289">
        <v>21</v>
      </c>
      <c r="E2289" t="s">
        <v>9400</v>
      </c>
      <c r="F2289" t="s">
        <v>1551</v>
      </c>
      <c r="G2289" t="s">
        <v>51</v>
      </c>
      <c r="H2289" t="s">
        <v>9401</v>
      </c>
      <c r="I2289" t="s">
        <v>720</v>
      </c>
      <c r="J2289" t="s">
        <v>2572</v>
      </c>
      <c r="K2289" t="s">
        <v>5939</v>
      </c>
      <c r="L2289" t="s">
        <v>17</v>
      </c>
      <c r="M2289" t="s">
        <v>18</v>
      </c>
      <c r="N2289">
        <v>1622</v>
      </c>
      <c r="O2289">
        <v>91</v>
      </c>
      <c r="P2289">
        <v>0</v>
      </c>
      <c r="Q2289" t="s">
        <v>9503</v>
      </c>
      <c r="R2289" t="s">
        <v>9504</v>
      </c>
      <c r="S2289" t="s">
        <v>9505</v>
      </c>
      <c r="T2289" t="s">
        <v>9506</v>
      </c>
      <c r="U2289" t="s">
        <v>60</v>
      </c>
      <c r="V2289" t="s">
        <v>61</v>
      </c>
      <c r="W2289">
        <v>10</v>
      </c>
      <c r="X2289">
        <v>0.1150625</v>
      </c>
      <c r="Y2289" t="s">
        <v>131</v>
      </c>
      <c r="Z2289" t="s">
        <v>197</v>
      </c>
      <c r="AA2289">
        <v>1</v>
      </c>
      <c r="AB2289" t="s">
        <v>9402</v>
      </c>
      <c r="AC2289" t="s">
        <v>9403</v>
      </c>
      <c r="AD2289" t="s">
        <v>9404</v>
      </c>
      <c r="AE2289" t="s">
        <v>9405</v>
      </c>
      <c r="AF2289" t="s">
        <v>9406</v>
      </c>
      <c r="AG2289" t="s">
        <v>66</v>
      </c>
      <c r="AH2289" t="s">
        <v>66</v>
      </c>
      <c r="AI2289" t="s">
        <v>66</v>
      </c>
      <c r="AJ2289" t="s">
        <v>66</v>
      </c>
      <c r="AK2289">
        <v>1</v>
      </c>
      <c r="AL2289" t="s">
        <v>66</v>
      </c>
      <c r="AM2289" t="s">
        <v>66</v>
      </c>
      <c r="AN2289" t="s">
        <v>66</v>
      </c>
      <c r="AO2289" t="s">
        <v>66</v>
      </c>
      <c r="AP2289">
        <v>1</v>
      </c>
      <c r="AQ2289" t="s">
        <v>66</v>
      </c>
      <c r="AR2289" t="s">
        <v>66</v>
      </c>
      <c r="AS2289" t="s">
        <v>66</v>
      </c>
      <c r="AT2289" t="s">
        <v>66</v>
      </c>
    </row>
    <row r="2290" spans="1:46" x14ac:dyDescent="0.15">
      <c r="A2290" t="s">
        <v>9507</v>
      </c>
      <c r="B2290" t="s">
        <v>9398</v>
      </c>
      <c r="C2290" t="s">
        <v>9399</v>
      </c>
      <c r="D2290">
        <v>22</v>
      </c>
      <c r="E2290" t="s">
        <v>9400</v>
      </c>
      <c r="F2290" t="s">
        <v>1551</v>
      </c>
      <c r="G2290" t="s">
        <v>51</v>
      </c>
      <c r="H2290" t="s">
        <v>9401</v>
      </c>
      <c r="I2290" t="s">
        <v>720</v>
      </c>
      <c r="J2290" t="s">
        <v>2572</v>
      </c>
      <c r="K2290" t="s">
        <v>5939</v>
      </c>
      <c r="L2290" t="s">
        <v>17</v>
      </c>
      <c r="M2290" t="s">
        <v>18</v>
      </c>
      <c r="N2290">
        <v>1679</v>
      </c>
      <c r="O2290">
        <v>94</v>
      </c>
      <c r="P2290">
        <v>0</v>
      </c>
      <c r="Q2290" t="s">
        <v>9508</v>
      </c>
      <c r="R2290" t="s">
        <v>9509</v>
      </c>
      <c r="S2290" t="s">
        <v>9510</v>
      </c>
      <c r="T2290" t="s">
        <v>9511</v>
      </c>
      <c r="U2290" t="s">
        <v>60</v>
      </c>
      <c r="V2290" t="s">
        <v>61</v>
      </c>
      <c r="W2290">
        <v>10</v>
      </c>
      <c r="X2290">
        <v>0.1150625</v>
      </c>
      <c r="Y2290" t="s">
        <v>203</v>
      </c>
      <c r="Z2290" t="s">
        <v>204</v>
      </c>
      <c r="AA2290">
        <v>1</v>
      </c>
      <c r="AB2290" t="s">
        <v>9402</v>
      </c>
      <c r="AC2290" t="s">
        <v>9403</v>
      </c>
      <c r="AD2290" t="s">
        <v>9404</v>
      </c>
      <c r="AE2290" t="s">
        <v>9405</v>
      </c>
      <c r="AF2290" t="s">
        <v>9406</v>
      </c>
      <c r="AG2290" t="s">
        <v>66</v>
      </c>
      <c r="AH2290" t="s">
        <v>66</v>
      </c>
      <c r="AI2290" t="s">
        <v>66</v>
      </c>
      <c r="AJ2290" t="s">
        <v>66</v>
      </c>
      <c r="AK2290">
        <v>1</v>
      </c>
      <c r="AL2290" t="s">
        <v>66</v>
      </c>
      <c r="AM2290" t="s">
        <v>66</v>
      </c>
      <c r="AN2290" t="s">
        <v>66</v>
      </c>
      <c r="AO2290" t="s">
        <v>66</v>
      </c>
      <c r="AP2290">
        <v>1</v>
      </c>
      <c r="AQ2290" t="s">
        <v>66</v>
      </c>
      <c r="AR2290" t="s">
        <v>66</v>
      </c>
      <c r="AS2290" t="s">
        <v>66</v>
      </c>
      <c r="AT2290" t="s">
        <v>66</v>
      </c>
    </row>
    <row r="2291" spans="1:46" x14ac:dyDescent="0.15">
      <c r="A2291" t="s">
        <v>9512</v>
      </c>
      <c r="B2291" t="s">
        <v>9398</v>
      </c>
      <c r="C2291" t="s">
        <v>9399</v>
      </c>
      <c r="D2291">
        <v>23</v>
      </c>
      <c r="E2291" t="s">
        <v>9400</v>
      </c>
      <c r="F2291" t="s">
        <v>1551</v>
      </c>
      <c r="G2291" t="s">
        <v>51</v>
      </c>
      <c r="H2291" t="s">
        <v>9401</v>
      </c>
      <c r="I2291" t="s">
        <v>720</v>
      </c>
      <c r="J2291" t="s">
        <v>2572</v>
      </c>
      <c r="K2291" t="s">
        <v>5939</v>
      </c>
      <c r="L2291" t="s">
        <v>17</v>
      </c>
      <c r="M2291" t="s">
        <v>18</v>
      </c>
      <c r="N2291">
        <v>1735</v>
      </c>
      <c r="O2291">
        <v>97</v>
      </c>
      <c r="P2291">
        <v>0</v>
      </c>
      <c r="Q2291" t="s">
        <v>9513</v>
      </c>
      <c r="R2291" t="s">
        <v>9514</v>
      </c>
      <c r="S2291" t="s">
        <v>9515</v>
      </c>
      <c r="T2291" t="s">
        <v>9516</v>
      </c>
      <c r="U2291" t="s">
        <v>60</v>
      </c>
      <c r="V2291" t="s">
        <v>61</v>
      </c>
      <c r="W2291">
        <v>10</v>
      </c>
      <c r="X2291">
        <v>0.1150625</v>
      </c>
      <c r="Y2291" t="s">
        <v>138</v>
      </c>
      <c r="Z2291" t="s">
        <v>210</v>
      </c>
      <c r="AA2291">
        <v>1</v>
      </c>
      <c r="AB2291" t="s">
        <v>9402</v>
      </c>
      <c r="AC2291" t="s">
        <v>9403</v>
      </c>
      <c r="AD2291" t="s">
        <v>9404</v>
      </c>
      <c r="AE2291" t="s">
        <v>9405</v>
      </c>
      <c r="AF2291" t="s">
        <v>9406</v>
      </c>
      <c r="AG2291" t="s">
        <v>66</v>
      </c>
      <c r="AH2291" t="s">
        <v>66</v>
      </c>
      <c r="AI2291" t="s">
        <v>66</v>
      </c>
      <c r="AJ2291" t="s">
        <v>66</v>
      </c>
      <c r="AK2291">
        <v>1</v>
      </c>
      <c r="AL2291" t="s">
        <v>66</v>
      </c>
      <c r="AM2291" t="s">
        <v>66</v>
      </c>
      <c r="AN2291" t="s">
        <v>66</v>
      </c>
      <c r="AO2291" t="s">
        <v>66</v>
      </c>
      <c r="AP2291">
        <v>1</v>
      </c>
      <c r="AQ2291" t="s">
        <v>66</v>
      </c>
      <c r="AR2291" t="s">
        <v>66</v>
      </c>
      <c r="AS2291" t="s">
        <v>66</v>
      </c>
      <c r="AT2291" t="s">
        <v>66</v>
      </c>
    </row>
    <row r="2292" spans="1:46" x14ac:dyDescent="0.15">
      <c r="A2292" t="s">
        <v>9517</v>
      </c>
      <c r="B2292" t="s">
        <v>9398</v>
      </c>
      <c r="C2292" t="s">
        <v>9399</v>
      </c>
      <c r="D2292">
        <v>24</v>
      </c>
      <c r="E2292" t="s">
        <v>9400</v>
      </c>
      <c r="F2292" t="s">
        <v>1551</v>
      </c>
      <c r="G2292" t="s">
        <v>51</v>
      </c>
      <c r="H2292" t="s">
        <v>9401</v>
      </c>
      <c r="I2292" t="s">
        <v>720</v>
      </c>
      <c r="J2292" t="s">
        <v>2572</v>
      </c>
      <c r="K2292" t="s">
        <v>5939</v>
      </c>
      <c r="L2292" t="s">
        <v>17</v>
      </c>
      <c r="M2292" t="s">
        <v>18</v>
      </c>
      <c r="N2292">
        <v>1791</v>
      </c>
      <c r="O2292">
        <v>101</v>
      </c>
      <c r="P2292">
        <v>0</v>
      </c>
      <c r="Q2292" t="s">
        <v>9518</v>
      </c>
      <c r="R2292" t="s">
        <v>9519</v>
      </c>
      <c r="S2292" t="s">
        <v>9520</v>
      </c>
      <c r="T2292" t="s">
        <v>9521</v>
      </c>
      <c r="U2292" t="s">
        <v>60</v>
      </c>
      <c r="V2292" t="s">
        <v>61</v>
      </c>
      <c r="W2292">
        <v>10</v>
      </c>
      <c r="X2292">
        <v>0.1150625</v>
      </c>
      <c r="Y2292" t="s">
        <v>216</v>
      </c>
      <c r="Z2292" t="s">
        <v>217</v>
      </c>
      <c r="AA2292">
        <v>1</v>
      </c>
      <c r="AB2292" t="s">
        <v>9402</v>
      </c>
      <c r="AC2292" t="s">
        <v>9403</v>
      </c>
      <c r="AD2292" t="s">
        <v>9404</v>
      </c>
      <c r="AE2292" t="s">
        <v>9405</v>
      </c>
      <c r="AF2292" t="s">
        <v>9406</v>
      </c>
      <c r="AG2292" t="s">
        <v>66</v>
      </c>
      <c r="AH2292" t="s">
        <v>66</v>
      </c>
      <c r="AI2292" t="s">
        <v>66</v>
      </c>
      <c r="AJ2292" t="s">
        <v>66</v>
      </c>
      <c r="AK2292">
        <v>1</v>
      </c>
      <c r="AL2292" t="s">
        <v>66</v>
      </c>
      <c r="AM2292" t="s">
        <v>66</v>
      </c>
      <c r="AN2292" t="s">
        <v>66</v>
      </c>
      <c r="AO2292" t="s">
        <v>66</v>
      </c>
      <c r="AP2292">
        <v>1</v>
      </c>
      <c r="AQ2292" t="s">
        <v>66</v>
      </c>
      <c r="AR2292" t="s">
        <v>66</v>
      </c>
      <c r="AS2292" t="s">
        <v>66</v>
      </c>
      <c r="AT2292" t="s">
        <v>66</v>
      </c>
    </row>
    <row r="2293" spans="1:46" x14ac:dyDescent="0.15">
      <c r="A2293" t="s">
        <v>9522</v>
      </c>
      <c r="B2293" t="s">
        <v>9398</v>
      </c>
      <c r="C2293" t="s">
        <v>9399</v>
      </c>
      <c r="D2293">
        <v>25</v>
      </c>
      <c r="E2293" t="s">
        <v>9400</v>
      </c>
      <c r="F2293" t="s">
        <v>1551</v>
      </c>
      <c r="G2293" t="s">
        <v>51</v>
      </c>
      <c r="H2293" t="s">
        <v>9401</v>
      </c>
      <c r="I2293" t="s">
        <v>720</v>
      </c>
      <c r="J2293" t="s">
        <v>2572</v>
      </c>
      <c r="K2293" t="s">
        <v>5939</v>
      </c>
      <c r="L2293" t="s">
        <v>17</v>
      </c>
      <c r="M2293" t="s">
        <v>18</v>
      </c>
      <c r="N2293">
        <v>1847</v>
      </c>
      <c r="O2293">
        <v>104</v>
      </c>
      <c r="P2293">
        <v>0</v>
      </c>
      <c r="Q2293" t="s">
        <v>9523</v>
      </c>
      <c r="R2293" t="s">
        <v>9524</v>
      </c>
      <c r="S2293" t="s">
        <v>9525</v>
      </c>
      <c r="T2293" t="s">
        <v>9526</v>
      </c>
      <c r="U2293" t="s">
        <v>60</v>
      </c>
      <c r="V2293" t="s">
        <v>61</v>
      </c>
      <c r="W2293">
        <v>10</v>
      </c>
      <c r="X2293">
        <v>0.1150625</v>
      </c>
      <c r="Y2293" t="s">
        <v>144</v>
      </c>
      <c r="Z2293" t="s">
        <v>223</v>
      </c>
      <c r="AA2293">
        <v>1</v>
      </c>
      <c r="AB2293" t="s">
        <v>9402</v>
      </c>
      <c r="AC2293" t="s">
        <v>9403</v>
      </c>
      <c r="AD2293" t="s">
        <v>9404</v>
      </c>
      <c r="AE2293" t="s">
        <v>9405</v>
      </c>
      <c r="AF2293" t="s">
        <v>9406</v>
      </c>
      <c r="AG2293" t="s">
        <v>66</v>
      </c>
      <c r="AH2293" t="s">
        <v>66</v>
      </c>
      <c r="AI2293" t="s">
        <v>66</v>
      </c>
      <c r="AJ2293" t="s">
        <v>66</v>
      </c>
      <c r="AK2293">
        <v>1</v>
      </c>
      <c r="AL2293" t="s">
        <v>66</v>
      </c>
      <c r="AM2293" t="s">
        <v>66</v>
      </c>
      <c r="AN2293" t="s">
        <v>66</v>
      </c>
      <c r="AO2293" t="s">
        <v>66</v>
      </c>
      <c r="AP2293">
        <v>1</v>
      </c>
      <c r="AQ2293" t="s">
        <v>66</v>
      </c>
      <c r="AR2293" t="s">
        <v>66</v>
      </c>
      <c r="AS2293" t="s">
        <v>66</v>
      </c>
      <c r="AT2293" t="s">
        <v>66</v>
      </c>
    </row>
    <row r="2294" spans="1:46" x14ac:dyDescent="0.15">
      <c r="A2294" t="s">
        <v>9527</v>
      </c>
      <c r="B2294" t="s">
        <v>9398</v>
      </c>
      <c r="C2294" t="s">
        <v>9399</v>
      </c>
      <c r="D2294">
        <v>26</v>
      </c>
      <c r="E2294" t="s">
        <v>9400</v>
      </c>
      <c r="F2294" t="s">
        <v>1551</v>
      </c>
      <c r="G2294" t="s">
        <v>51</v>
      </c>
      <c r="H2294" t="s">
        <v>9401</v>
      </c>
      <c r="I2294" t="s">
        <v>720</v>
      </c>
      <c r="J2294" t="s">
        <v>2572</v>
      </c>
      <c r="K2294" t="s">
        <v>5939</v>
      </c>
      <c r="L2294" t="s">
        <v>17</v>
      </c>
      <c r="M2294" t="s">
        <v>18</v>
      </c>
      <c r="N2294">
        <v>1903</v>
      </c>
      <c r="O2294">
        <v>107</v>
      </c>
      <c r="P2294">
        <v>0</v>
      </c>
      <c r="Q2294" t="s">
        <v>9528</v>
      </c>
      <c r="R2294" t="s">
        <v>9529</v>
      </c>
      <c r="S2294" t="s">
        <v>9530</v>
      </c>
      <c r="T2294" t="s">
        <v>9531</v>
      </c>
      <c r="U2294" t="s">
        <v>60</v>
      </c>
      <c r="V2294" t="s">
        <v>61</v>
      </c>
      <c r="W2294">
        <v>10</v>
      </c>
      <c r="X2294">
        <v>0.1150625</v>
      </c>
      <c r="Y2294" t="s">
        <v>229</v>
      </c>
      <c r="Z2294" t="s">
        <v>230</v>
      </c>
      <c r="AA2294">
        <v>1</v>
      </c>
      <c r="AB2294" t="s">
        <v>9402</v>
      </c>
      <c r="AC2294" t="s">
        <v>9403</v>
      </c>
      <c r="AD2294" t="s">
        <v>9404</v>
      </c>
      <c r="AE2294" t="s">
        <v>9405</v>
      </c>
      <c r="AF2294" t="s">
        <v>9406</v>
      </c>
      <c r="AG2294" t="s">
        <v>66</v>
      </c>
      <c r="AH2294" t="s">
        <v>66</v>
      </c>
      <c r="AI2294" t="s">
        <v>66</v>
      </c>
      <c r="AJ2294" t="s">
        <v>66</v>
      </c>
      <c r="AK2294">
        <v>1</v>
      </c>
      <c r="AL2294" t="s">
        <v>66</v>
      </c>
      <c r="AM2294" t="s">
        <v>66</v>
      </c>
      <c r="AN2294" t="s">
        <v>66</v>
      </c>
      <c r="AO2294" t="s">
        <v>66</v>
      </c>
      <c r="AP2294">
        <v>1</v>
      </c>
      <c r="AQ2294" t="s">
        <v>66</v>
      </c>
      <c r="AR2294" t="s">
        <v>66</v>
      </c>
      <c r="AS2294" t="s">
        <v>66</v>
      </c>
      <c r="AT2294" t="s">
        <v>66</v>
      </c>
    </row>
    <row r="2295" spans="1:46" x14ac:dyDescent="0.15">
      <c r="A2295" t="s">
        <v>9532</v>
      </c>
      <c r="B2295" t="s">
        <v>9398</v>
      </c>
      <c r="C2295" t="s">
        <v>9399</v>
      </c>
      <c r="D2295">
        <v>27</v>
      </c>
      <c r="E2295" t="s">
        <v>9400</v>
      </c>
      <c r="F2295" t="s">
        <v>1551</v>
      </c>
      <c r="G2295" t="s">
        <v>51</v>
      </c>
      <c r="H2295" t="s">
        <v>9401</v>
      </c>
      <c r="I2295" t="s">
        <v>720</v>
      </c>
      <c r="J2295" t="s">
        <v>2572</v>
      </c>
      <c r="K2295" t="s">
        <v>5939</v>
      </c>
      <c r="L2295" t="s">
        <v>17</v>
      </c>
      <c r="M2295" t="s">
        <v>18</v>
      </c>
      <c r="N2295">
        <v>1959</v>
      </c>
      <c r="O2295">
        <v>110</v>
      </c>
      <c r="P2295">
        <v>0</v>
      </c>
      <c r="Q2295" t="s">
        <v>9533</v>
      </c>
      <c r="R2295" t="s">
        <v>9534</v>
      </c>
      <c r="S2295" t="s">
        <v>9535</v>
      </c>
      <c r="T2295" t="s">
        <v>9536</v>
      </c>
      <c r="U2295" t="s">
        <v>60</v>
      </c>
      <c r="V2295" t="s">
        <v>61</v>
      </c>
      <c r="W2295">
        <v>10</v>
      </c>
      <c r="X2295">
        <v>0.1150625</v>
      </c>
      <c r="Y2295" t="s">
        <v>151</v>
      </c>
      <c r="Z2295" t="s">
        <v>236</v>
      </c>
      <c r="AA2295">
        <v>1</v>
      </c>
      <c r="AB2295" t="s">
        <v>9402</v>
      </c>
      <c r="AC2295" t="s">
        <v>9403</v>
      </c>
      <c r="AD2295" t="s">
        <v>9404</v>
      </c>
      <c r="AE2295" t="s">
        <v>9405</v>
      </c>
      <c r="AF2295" t="s">
        <v>9406</v>
      </c>
      <c r="AG2295" t="s">
        <v>66</v>
      </c>
      <c r="AH2295" t="s">
        <v>66</v>
      </c>
      <c r="AI2295" t="s">
        <v>66</v>
      </c>
      <c r="AJ2295" t="s">
        <v>66</v>
      </c>
      <c r="AK2295">
        <v>1</v>
      </c>
      <c r="AL2295" t="s">
        <v>66</v>
      </c>
      <c r="AM2295" t="s">
        <v>66</v>
      </c>
      <c r="AN2295" t="s">
        <v>66</v>
      </c>
      <c r="AO2295" t="s">
        <v>66</v>
      </c>
      <c r="AP2295">
        <v>1</v>
      </c>
      <c r="AQ2295" t="s">
        <v>66</v>
      </c>
      <c r="AR2295" t="s">
        <v>66</v>
      </c>
      <c r="AS2295" t="s">
        <v>66</v>
      </c>
      <c r="AT2295" t="s">
        <v>66</v>
      </c>
    </row>
    <row r="2296" spans="1:46" x14ac:dyDescent="0.15">
      <c r="A2296" t="s">
        <v>9537</v>
      </c>
      <c r="B2296" t="s">
        <v>9398</v>
      </c>
      <c r="C2296" t="s">
        <v>9399</v>
      </c>
      <c r="D2296">
        <v>28</v>
      </c>
      <c r="E2296" t="s">
        <v>9400</v>
      </c>
      <c r="F2296" t="s">
        <v>1551</v>
      </c>
      <c r="G2296" t="s">
        <v>51</v>
      </c>
      <c r="H2296" t="s">
        <v>9401</v>
      </c>
      <c r="I2296" t="s">
        <v>720</v>
      </c>
      <c r="J2296" t="s">
        <v>2572</v>
      </c>
      <c r="K2296" t="s">
        <v>5939</v>
      </c>
      <c r="L2296" t="s">
        <v>17</v>
      </c>
      <c r="M2296" t="s">
        <v>18</v>
      </c>
      <c r="N2296">
        <v>2015</v>
      </c>
      <c r="O2296">
        <v>113</v>
      </c>
      <c r="P2296">
        <v>0</v>
      </c>
      <c r="Q2296" t="s">
        <v>9538</v>
      </c>
      <c r="R2296" t="s">
        <v>9539</v>
      </c>
      <c r="S2296" t="s">
        <v>9540</v>
      </c>
      <c r="T2296" t="s">
        <v>9541</v>
      </c>
      <c r="U2296" t="s">
        <v>60</v>
      </c>
      <c r="V2296" t="s">
        <v>61</v>
      </c>
      <c r="W2296">
        <v>10</v>
      </c>
      <c r="X2296">
        <v>0.1150625</v>
      </c>
      <c r="Y2296" t="s">
        <v>242</v>
      </c>
      <c r="Z2296" t="s">
        <v>243</v>
      </c>
      <c r="AA2296">
        <v>1</v>
      </c>
      <c r="AB2296" t="s">
        <v>9402</v>
      </c>
      <c r="AC2296" t="s">
        <v>9403</v>
      </c>
      <c r="AD2296" t="s">
        <v>9404</v>
      </c>
      <c r="AE2296" t="s">
        <v>9405</v>
      </c>
      <c r="AF2296" t="s">
        <v>9406</v>
      </c>
      <c r="AG2296" t="s">
        <v>66</v>
      </c>
      <c r="AH2296" t="s">
        <v>66</v>
      </c>
      <c r="AI2296" t="s">
        <v>66</v>
      </c>
      <c r="AJ2296" t="s">
        <v>66</v>
      </c>
      <c r="AK2296">
        <v>1</v>
      </c>
      <c r="AL2296" t="s">
        <v>66</v>
      </c>
      <c r="AM2296" t="s">
        <v>66</v>
      </c>
      <c r="AN2296" t="s">
        <v>66</v>
      </c>
      <c r="AO2296" t="s">
        <v>66</v>
      </c>
      <c r="AP2296">
        <v>1</v>
      </c>
      <c r="AQ2296" t="s">
        <v>66</v>
      </c>
      <c r="AR2296" t="s">
        <v>66</v>
      </c>
      <c r="AS2296" t="s">
        <v>66</v>
      </c>
      <c r="AT2296" t="s">
        <v>66</v>
      </c>
    </row>
    <row r="2297" spans="1:46" x14ac:dyDescent="0.15">
      <c r="A2297" t="s">
        <v>9542</v>
      </c>
      <c r="B2297" t="s">
        <v>9398</v>
      </c>
      <c r="C2297" t="s">
        <v>9399</v>
      </c>
      <c r="D2297">
        <v>29</v>
      </c>
      <c r="E2297" t="s">
        <v>9400</v>
      </c>
      <c r="F2297" t="s">
        <v>1551</v>
      </c>
      <c r="G2297" t="s">
        <v>51</v>
      </c>
      <c r="H2297" t="s">
        <v>9401</v>
      </c>
      <c r="I2297" t="s">
        <v>720</v>
      </c>
      <c r="J2297" t="s">
        <v>2572</v>
      </c>
      <c r="K2297" t="s">
        <v>5939</v>
      </c>
      <c r="L2297" t="s">
        <v>17</v>
      </c>
      <c r="M2297" t="s">
        <v>18</v>
      </c>
      <c r="N2297">
        <v>2071</v>
      </c>
      <c r="O2297">
        <v>116</v>
      </c>
      <c r="P2297">
        <v>0</v>
      </c>
      <c r="Q2297" t="s">
        <v>9543</v>
      </c>
      <c r="R2297" t="s">
        <v>9544</v>
      </c>
      <c r="S2297" t="s">
        <v>9545</v>
      </c>
      <c r="T2297" t="s">
        <v>9546</v>
      </c>
      <c r="U2297" t="s">
        <v>60</v>
      </c>
      <c r="V2297" t="s">
        <v>61</v>
      </c>
      <c r="W2297">
        <v>10</v>
      </c>
      <c r="X2297">
        <v>0.1150625</v>
      </c>
      <c r="Y2297" t="s">
        <v>157</v>
      </c>
      <c r="Z2297" t="s">
        <v>249</v>
      </c>
      <c r="AA2297">
        <v>1</v>
      </c>
      <c r="AB2297" t="s">
        <v>9402</v>
      </c>
      <c r="AC2297" t="s">
        <v>9403</v>
      </c>
      <c r="AD2297" t="s">
        <v>9404</v>
      </c>
      <c r="AE2297" t="s">
        <v>9405</v>
      </c>
      <c r="AF2297" t="s">
        <v>9406</v>
      </c>
      <c r="AG2297" t="s">
        <v>66</v>
      </c>
      <c r="AH2297" t="s">
        <v>66</v>
      </c>
      <c r="AI2297" t="s">
        <v>66</v>
      </c>
      <c r="AJ2297" t="s">
        <v>66</v>
      </c>
      <c r="AK2297">
        <v>1</v>
      </c>
      <c r="AL2297" t="s">
        <v>66</v>
      </c>
      <c r="AM2297" t="s">
        <v>66</v>
      </c>
      <c r="AN2297" t="s">
        <v>66</v>
      </c>
      <c r="AO2297" t="s">
        <v>66</v>
      </c>
      <c r="AP2297">
        <v>1</v>
      </c>
      <c r="AQ2297" t="s">
        <v>66</v>
      </c>
      <c r="AR2297" t="s">
        <v>66</v>
      </c>
      <c r="AS2297" t="s">
        <v>66</v>
      </c>
      <c r="AT2297" t="s">
        <v>66</v>
      </c>
    </row>
    <row r="2298" spans="1:46" x14ac:dyDescent="0.15">
      <c r="A2298" t="s">
        <v>9547</v>
      </c>
      <c r="B2298" t="s">
        <v>9398</v>
      </c>
      <c r="C2298" t="s">
        <v>9399</v>
      </c>
      <c r="D2298">
        <v>30</v>
      </c>
      <c r="E2298" t="s">
        <v>9400</v>
      </c>
      <c r="F2298" t="s">
        <v>1551</v>
      </c>
      <c r="G2298" t="s">
        <v>51</v>
      </c>
      <c r="H2298" t="s">
        <v>9401</v>
      </c>
      <c r="I2298" t="s">
        <v>720</v>
      </c>
      <c r="J2298" t="s">
        <v>2572</v>
      </c>
      <c r="K2298" t="s">
        <v>5939</v>
      </c>
      <c r="L2298" t="s">
        <v>17</v>
      </c>
      <c r="M2298" t="s">
        <v>18</v>
      </c>
      <c r="N2298">
        <v>2128</v>
      </c>
      <c r="O2298">
        <v>119</v>
      </c>
      <c r="P2298">
        <v>0</v>
      </c>
      <c r="Q2298" t="s">
        <v>9548</v>
      </c>
      <c r="R2298" t="s">
        <v>9549</v>
      </c>
      <c r="S2298" t="s">
        <v>9550</v>
      </c>
      <c r="T2298" t="s">
        <v>9551</v>
      </c>
      <c r="U2298" t="s">
        <v>60</v>
      </c>
      <c r="V2298" t="s">
        <v>61</v>
      </c>
      <c r="W2298">
        <v>10</v>
      </c>
      <c r="X2298">
        <v>0.1150625</v>
      </c>
      <c r="Y2298" t="s">
        <v>255</v>
      </c>
      <c r="Z2298" t="s">
        <v>256</v>
      </c>
      <c r="AA2298">
        <v>1</v>
      </c>
      <c r="AB2298" t="s">
        <v>9402</v>
      </c>
      <c r="AC2298" t="s">
        <v>9403</v>
      </c>
      <c r="AD2298" t="s">
        <v>9404</v>
      </c>
      <c r="AE2298" t="s">
        <v>9405</v>
      </c>
      <c r="AF2298" t="s">
        <v>9406</v>
      </c>
      <c r="AG2298" t="s">
        <v>66</v>
      </c>
      <c r="AH2298" t="s">
        <v>66</v>
      </c>
      <c r="AI2298" t="s">
        <v>66</v>
      </c>
      <c r="AJ2298" t="s">
        <v>66</v>
      </c>
      <c r="AK2298">
        <v>1</v>
      </c>
      <c r="AL2298" t="s">
        <v>66</v>
      </c>
      <c r="AM2298" t="s">
        <v>66</v>
      </c>
      <c r="AN2298" t="s">
        <v>66</v>
      </c>
      <c r="AO2298" t="s">
        <v>66</v>
      </c>
      <c r="AP2298">
        <v>1</v>
      </c>
      <c r="AQ2298" t="s">
        <v>66</v>
      </c>
      <c r="AR2298" t="s">
        <v>66</v>
      </c>
      <c r="AS2298" t="s">
        <v>66</v>
      </c>
      <c r="AT2298" t="s">
        <v>66</v>
      </c>
    </row>
    <row r="2299" spans="1:46" x14ac:dyDescent="0.15">
      <c r="A2299" t="s">
        <v>9552</v>
      </c>
      <c r="B2299" t="s">
        <v>9398</v>
      </c>
      <c r="C2299" t="s">
        <v>9399</v>
      </c>
      <c r="D2299">
        <v>31</v>
      </c>
      <c r="E2299" t="s">
        <v>9400</v>
      </c>
      <c r="F2299" t="s">
        <v>1551</v>
      </c>
      <c r="G2299" t="s">
        <v>51</v>
      </c>
      <c r="H2299" t="s">
        <v>9401</v>
      </c>
      <c r="I2299" t="s">
        <v>720</v>
      </c>
      <c r="J2299" t="s">
        <v>2572</v>
      </c>
      <c r="K2299" t="s">
        <v>5939</v>
      </c>
      <c r="L2299" t="s">
        <v>17</v>
      </c>
      <c r="M2299" t="s">
        <v>18</v>
      </c>
      <c r="N2299">
        <v>2184</v>
      </c>
      <c r="O2299">
        <v>122</v>
      </c>
      <c r="P2299">
        <v>0</v>
      </c>
      <c r="Q2299" t="s">
        <v>9553</v>
      </c>
      <c r="R2299" t="s">
        <v>9554</v>
      </c>
      <c r="S2299" t="s">
        <v>9555</v>
      </c>
      <c r="T2299" t="s">
        <v>9556</v>
      </c>
      <c r="U2299" t="s">
        <v>60</v>
      </c>
      <c r="V2299" t="s">
        <v>61</v>
      </c>
      <c r="W2299">
        <v>10</v>
      </c>
      <c r="X2299">
        <v>0.1150625</v>
      </c>
      <c r="Y2299" t="s">
        <v>164</v>
      </c>
      <c r="Z2299" t="s">
        <v>262</v>
      </c>
      <c r="AA2299">
        <v>1</v>
      </c>
      <c r="AB2299" t="s">
        <v>9402</v>
      </c>
      <c r="AC2299" t="s">
        <v>9403</v>
      </c>
      <c r="AD2299" t="s">
        <v>9404</v>
      </c>
      <c r="AE2299" t="s">
        <v>9405</v>
      </c>
      <c r="AF2299" t="s">
        <v>9406</v>
      </c>
      <c r="AG2299" t="s">
        <v>66</v>
      </c>
      <c r="AH2299" t="s">
        <v>66</v>
      </c>
      <c r="AI2299" t="s">
        <v>66</v>
      </c>
      <c r="AJ2299" t="s">
        <v>66</v>
      </c>
      <c r="AK2299">
        <v>1</v>
      </c>
      <c r="AL2299" t="s">
        <v>66</v>
      </c>
      <c r="AM2299" t="s">
        <v>66</v>
      </c>
      <c r="AN2299" t="s">
        <v>66</v>
      </c>
      <c r="AO2299" t="s">
        <v>66</v>
      </c>
      <c r="AP2299">
        <v>1</v>
      </c>
      <c r="AQ2299" t="s">
        <v>66</v>
      </c>
      <c r="AR2299" t="s">
        <v>66</v>
      </c>
      <c r="AS2299" t="s">
        <v>66</v>
      </c>
      <c r="AT2299" t="s">
        <v>66</v>
      </c>
    </row>
    <row r="2300" spans="1:46" x14ac:dyDescent="0.15">
      <c r="A2300" t="s">
        <v>9557</v>
      </c>
      <c r="B2300" t="s">
        <v>9398</v>
      </c>
      <c r="C2300" t="s">
        <v>9399</v>
      </c>
      <c r="D2300">
        <v>32</v>
      </c>
      <c r="E2300" t="s">
        <v>9400</v>
      </c>
      <c r="F2300" t="s">
        <v>1551</v>
      </c>
      <c r="G2300" t="s">
        <v>51</v>
      </c>
      <c r="H2300" t="s">
        <v>9401</v>
      </c>
      <c r="I2300" t="s">
        <v>720</v>
      </c>
      <c r="J2300" t="s">
        <v>2572</v>
      </c>
      <c r="K2300" t="s">
        <v>5939</v>
      </c>
      <c r="L2300" t="s">
        <v>17</v>
      </c>
      <c r="M2300" t="s">
        <v>18</v>
      </c>
      <c r="N2300">
        <v>2240</v>
      </c>
      <c r="O2300">
        <v>125</v>
      </c>
      <c r="P2300">
        <v>0</v>
      </c>
      <c r="Q2300" t="s">
        <v>9558</v>
      </c>
      <c r="R2300" t="s">
        <v>9559</v>
      </c>
      <c r="S2300" t="s">
        <v>9560</v>
      </c>
      <c r="T2300" t="s">
        <v>9561</v>
      </c>
      <c r="U2300" t="s">
        <v>60</v>
      </c>
      <c r="V2300" t="s">
        <v>61</v>
      </c>
      <c r="W2300">
        <v>10</v>
      </c>
      <c r="X2300">
        <v>0.1150625</v>
      </c>
      <c r="Y2300" t="s">
        <v>268</v>
      </c>
      <c r="Z2300" t="s">
        <v>269</v>
      </c>
      <c r="AA2300">
        <v>1</v>
      </c>
      <c r="AB2300" t="s">
        <v>9402</v>
      </c>
      <c r="AC2300" t="s">
        <v>9403</v>
      </c>
      <c r="AD2300" t="s">
        <v>9404</v>
      </c>
      <c r="AE2300" t="s">
        <v>9405</v>
      </c>
      <c r="AF2300" t="s">
        <v>9406</v>
      </c>
      <c r="AG2300" t="s">
        <v>66</v>
      </c>
      <c r="AH2300" t="s">
        <v>66</v>
      </c>
      <c r="AI2300" t="s">
        <v>66</v>
      </c>
      <c r="AJ2300" t="s">
        <v>66</v>
      </c>
      <c r="AK2300">
        <v>1</v>
      </c>
      <c r="AL2300" t="s">
        <v>66</v>
      </c>
      <c r="AM2300" t="s">
        <v>66</v>
      </c>
      <c r="AN2300" t="s">
        <v>66</v>
      </c>
      <c r="AO2300" t="s">
        <v>66</v>
      </c>
      <c r="AP2300">
        <v>1</v>
      </c>
      <c r="AQ2300" t="s">
        <v>66</v>
      </c>
      <c r="AR2300" t="s">
        <v>66</v>
      </c>
      <c r="AS2300" t="s">
        <v>66</v>
      </c>
      <c r="AT2300" t="s">
        <v>66</v>
      </c>
    </row>
    <row r="2301" spans="1:46" x14ac:dyDescent="0.15">
      <c r="A2301" t="s">
        <v>9562</v>
      </c>
      <c r="B2301" t="s">
        <v>9398</v>
      </c>
      <c r="C2301" t="s">
        <v>9399</v>
      </c>
      <c r="D2301">
        <v>33</v>
      </c>
      <c r="E2301" t="s">
        <v>9400</v>
      </c>
      <c r="F2301" t="s">
        <v>1551</v>
      </c>
      <c r="G2301" t="s">
        <v>51</v>
      </c>
      <c r="H2301" t="s">
        <v>9401</v>
      </c>
      <c r="I2301" t="s">
        <v>720</v>
      </c>
      <c r="J2301" t="s">
        <v>2572</v>
      </c>
      <c r="K2301" t="s">
        <v>5939</v>
      </c>
      <c r="L2301" t="s">
        <v>17</v>
      </c>
      <c r="M2301" t="s">
        <v>18</v>
      </c>
      <c r="N2301">
        <v>2296</v>
      </c>
      <c r="O2301">
        <v>128</v>
      </c>
      <c r="P2301">
        <v>0</v>
      </c>
      <c r="Q2301" t="s">
        <v>9563</v>
      </c>
      <c r="R2301" t="s">
        <v>9564</v>
      </c>
      <c r="S2301" t="s">
        <v>9565</v>
      </c>
      <c r="T2301" t="s">
        <v>9566</v>
      </c>
      <c r="U2301" t="s">
        <v>60</v>
      </c>
      <c r="V2301" t="s">
        <v>61</v>
      </c>
      <c r="W2301">
        <v>10</v>
      </c>
      <c r="X2301">
        <v>0.1150625</v>
      </c>
      <c r="Y2301" t="s">
        <v>170</v>
      </c>
      <c r="Z2301" t="s">
        <v>275</v>
      </c>
      <c r="AA2301">
        <v>1</v>
      </c>
      <c r="AB2301" t="s">
        <v>9402</v>
      </c>
      <c r="AC2301" t="s">
        <v>9403</v>
      </c>
      <c r="AD2301" t="s">
        <v>9404</v>
      </c>
      <c r="AE2301" t="s">
        <v>9405</v>
      </c>
      <c r="AF2301" t="s">
        <v>9406</v>
      </c>
      <c r="AG2301" t="s">
        <v>66</v>
      </c>
      <c r="AH2301" t="s">
        <v>66</v>
      </c>
      <c r="AI2301" t="s">
        <v>66</v>
      </c>
      <c r="AJ2301" t="s">
        <v>66</v>
      </c>
      <c r="AK2301">
        <v>1</v>
      </c>
      <c r="AL2301" t="s">
        <v>66</v>
      </c>
      <c r="AM2301" t="s">
        <v>66</v>
      </c>
      <c r="AN2301" t="s">
        <v>66</v>
      </c>
      <c r="AO2301" t="s">
        <v>66</v>
      </c>
      <c r="AP2301">
        <v>1</v>
      </c>
      <c r="AQ2301" t="s">
        <v>66</v>
      </c>
      <c r="AR2301" t="s">
        <v>66</v>
      </c>
      <c r="AS2301" t="s">
        <v>66</v>
      </c>
      <c r="AT2301" t="s">
        <v>66</v>
      </c>
    </row>
    <row r="2302" spans="1:46" x14ac:dyDescent="0.15">
      <c r="A2302" t="s">
        <v>9567</v>
      </c>
      <c r="B2302" t="s">
        <v>9398</v>
      </c>
      <c r="C2302" t="s">
        <v>9399</v>
      </c>
      <c r="D2302">
        <v>34</v>
      </c>
      <c r="E2302" t="s">
        <v>9400</v>
      </c>
      <c r="F2302" t="s">
        <v>1551</v>
      </c>
      <c r="G2302" t="s">
        <v>51</v>
      </c>
      <c r="H2302" t="s">
        <v>9401</v>
      </c>
      <c r="I2302" t="s">
        <v>720</v>
      </c>
      <c r="J2302" t="s">
        <v>2572</v>
      </c>
      <c r="K2302" t="s">
        <v>5939</v>
      </c>
      <c r="L2302" t="s">
        <v>17</v>
      </c>
      <c r="M2302" t="s">
        <v>18</v>
      </c>
      <c r="N2302">
        <v>2352</v>
      </c>
      <c r="O2302">
        <v>131</v>
      </c>
      <c r="P2302">
        <v>0</v>
      </c>
      <c r="Q2302" t="s">
        <v>9568</v>
      </c>
      <c r="R2302" t="s">
        <v>9569</v>
      </c>
      <c r="S2302" t="s">
        <v>9570</v>
      </c>
      <c r="T2302" t="s">
        <v>9571</v>
      </c>
      <c r="U2302" t="s">
        <v>60</v>
      </c>
      <c r="V2302" t="s">
        <v>61</v>
      </c>
      <c r="W2302">
        <v>10</v>
      </c>
      <c r="X2302">
        <v>0.1150625</v>
      </c>
      <c r="Y2302" t="s">
        <v>281</v>
      </c>
      <c r="Z2302" t="s">
        <v>282</v>
      </c>
      <c r="AA2302">
        <v>1</v>
      </c>
      <c r="AB2302" t="s">
        <v>9402</v>
      </c>
      <c r="AC2302" t="s">
        <v>9403</v>
      </c>
      <c r="AD2302" t="s">
        <v>9404</v>
      </c>
      <c r="AE2302" t="s">
        <v>9405</v>
      </c>
      <c r="AF2302" t="s">
        <v>9406</v>
      </c>
      <c r="AG2302" t="s">
        <v>66</v>
      </c>
      <c r="AH2302" t="s">
        <v>66</v>
      </c>
      <c r="AI2302" t="s">
        <v>66</v>
      </c>
      <c r="AJ2302" t="s">
        <v>66</v>
      </c>
      <c r="AK2302">
        <v>1</v>
      </c>
      <c r="AL2302" t="s">
        <v>66</v>
      </c>
      <c r="AM2302" t="s">
        <v>66</v>
      </c>
      <c r="AN2302" t="s">
        <v>66</v>
      </c>
      <c r="AO2302" t="s">
        <v>66</v>
      </c>
      <c r="AP2302">
        <v>1</v>
      </c>
      <c r="AQ2302" t="s">
        <v>66</v>
      </c>
      <c r="AR2302" t="s">
        <v>66</v>
      </c>
      <c r="AS2302" t="s">
        <v>66</v>
      </c>
      <c r="AT2302" t="s">
        <v>66</v>
      </c>
    </row>
    <row r="2303" spans="1:46" x14ac:dyDescent="0.15">
      <c r="A2303" t="s">
        <v>9572</v>
      </c>
      <c r="B2303" t="s">
        <v>9398</v>
      </c>
      <c r="C2303" t="s">
        <v>9399</v>
      </c>
      <c r="D2303">
        <v>35</v>
      </c>
      <c r="E2303" t="s">
        <v>9400</v>
      </c>
      <c r="F2303" t="s">
        <v>1551</v>
      </c>
      <c r="G2303" t="s">
        <v>51</v>
      </c>
      <c r="H2303" t="s">
        <v>9401</v>
      </c>
      <c r="I2303" t="s">
        <v>720</v>
      </c>
      <c r="J2303" t="s">
        <v>2572</v>
      </c>
      <c r="K2303" t="s">
        <v>5939</v>
      </c>
      <c r="L2303" t="s">
        <v>17</v>
      </c>
      <c r="M2303" t="s">
        <v>18</v>
      </c>
      <c r="N2303">
        <v>2408</v>
      </c>
      <c r="O2303">
        <v>134</v>
      </c>
      <c r="P2303">
        <v>0</v>
      </c>
      <c r="Q2303" t="s">
        <v>9573</v>
      </c>
      <c r="R2303" t="s">
        <v>9574</v>
      </c>
      <c r="S2303" t="s">
        <v>9575</v>
      </c>
      <c r="T2303" t="s">
        <v>9576</v>
      </c>
      <c r="U2303" t="s">
        <v>60</v>
      </c>
      <c r="V2303" t="s">
        <v>61</v>
      </c>
      <c r="W2303">
        <v>10</v>
      </c>
      <c r="X2303">
        <v>0.1150625</v>
      </c>
      <c r="Y2303" t="s">
        <v>177</v>
      </c>
      <c r="Z2303" t="s">
        <v>288</v>
      </c>
      <c r="AA2303">
        <v>1</v>
      </c>
      <c r="AB2303" t="s">
        <v>9402</v>
      </c>
      <c r="AC2303" t="s">
        <v>9403</v>
      </c>
      <c r="AD2303" t="s">
        <v>9404</v>
      </c>
      <c r="AE2303" t="s">
        <v>9405</v>
      </c>
      <c r="AF2303" t="s">
        <v>9406</v>
      </c>
      <c r="AG2303" t="s">
        <v>66</v>
      </c>
      <c r="AH2303" t="s">
        <v>66</v>
      </c>
      <c r="AI2303" t="s">
        <v>66</v>
      </c>
      <c r="AJ2303" t="s">
        <v>66</v>
      </c>
      <c r="AK2303">
        <v>1</v>
      </c>
      <c r="AL2303" t="s">
        <v>66</v>
      </c>
      <c r="AM2303" t="s">
        <v>66</v>
      </c>
      <c r="AN2303" t="s">
        <v>66</v>
      </c>
      <c r="AO2303" t="s">
        <v>66</v>
      </c>
      <c r="AP2303">
        <v>1</v>
      </c>
      <c r="AQ2303" t="s">
        <v>66</v>
      </c>
      <c r="AR2303" t="s">
        <v>66</v>
      </c>
      <c r="AS2303" t="s">
        <v>66</v>
      </c>
      <c r="AT2303" t="s">
        <v>66</v>
      </c>
    </row>
    <row r="2304" spans="1:46" x14ac:dyDescent="0.15">
      <c r="A2304" t="s">
        <v>9577</v>
      </c>
      <c r="B2304" t="s">
        <v>9398</v>
      </c>
      <c r="C2304" t="s">
        <v>9399</v>
      </c>
      <c r="D2304">
        <v>36</v>
      </c>
      <c r="E2304" t="s">
        <v>9400</v>
      </c>
      <c r="F2304" t="s">
        <v>1551</v>
      </c>
      <c r="G2304" t="s">
        <v>51</v>
      </c>
      <c r="H2304" t="s">
        <v>9401</v>
      </c>
      <c r="I2304" t="s">
        <v>720</v>
      </c>
      <c r="J2304" t="s">
        <v>2572</v>
      </c>
      <c r="K2304" t="s">
        <v>5939</v>
      </c>
      <c r="L2304" t="s">
        <v>17</v>
      </c>
      <c r="M2304" t="s">
        <v>18</v>
      </c>
      <c r="N2304">
        <v>2464</v>
      </c>
      <c r="O2304">
        <v>137</v>
      </c>
      <c r="P2304">
        <v>0</v>
      </c>
      <c r="Q2304" t="s">
        <v>9578</v>
      </c>
      <c r="R2304" t="s">
        <v>9579</v>
      </c>
      <c r="S2304" t="s">
        <v>9580</v>
      </c>
      <c r="T2304" t="s">
        <v>9581</v>
      </c>
      <c r="U2304" t="s">
        <v>60</v>
      </c>
      <c r="V2304" t="s">
        <v>61</v>
      </c>
      <c r="W2304">
        <v>10</v>
      </c>
      <c r="X2304">
        <v>0.1150625</v>
      </c>
      <c r="Y2304" t="s">
        <v>294</v>
      </c>
      <c r="Z2304" t="s">
        <v>295</v>
      </c>
      <c r="AA2304">
        <v>1</v>
      </c>
      <c r="AB2304" t="s">
        <v>9402</v>
      </c>
      <c r="AC2304" t="s">
        <v>9403</v>
      </c>
      <c r="AD2304" t="s">
        <v>9404</v>
      </c>
      <c r="AE2304" t="s">
        <v>9405</v>
      </c>
      <c r="AF2304" t="s">
        <v>9406</v>
      </c>
      <c r="AG2304" t="s">
        <v>66</v>
      </c>
      <c r="AH2304" t="s">
        <v>66</v>
      </c>
      <c r="AI2304" t="s">
        <v>66</v>
      </c>
      <c r="AJ2304" t="s">
        <v>66</v>
      </c>
      <c r="AK2304">
        <v>1</v>
      </c>
      <c r="AL2304" t="s">
        <v>66</v>
      </c>
      <c r="AM2304" t="s">
        <v>66</v>
      </c>
      <c r="AN2304" t="s">
        <v>66</v>
      </c>
      <c r="AO2304" t="s">
        <v>66</v>
      </c>
      <c r="AP2304">
        <v>1</v>
      </c>
      <c r="AQ2304" t="s">
        <v>66</v>
      </c>
      <c r="AR2304" t="s">
        <v>66</v>
      </c>
      <c r="AS2304" t="s">
        <v>66</v>
      </c>
      <c r="AT2304" t="s">
        <v>66</v>
      </c>
    </row>
    <row r="2305" spans="1:46" x14ac:dyDescent="0.15">
      <c r="A2305" t="s">
        <v>9582</v>
      </c>
      <c r="B2305" t="s">
        <v>9398</v>
      </c>
      <c r="C2305" t="s">
        <v>9399</v>
      </c>
      <c r="D2305">
        <v>37</v>
      </c>
      <c r="E2305" t="s">
        <v>9400</v>
      </c>
      <c r="F2305" t="s">
        <v>1551</v>
      </c>
      <c r="G2305" t="s">
        <v>51</v>
      </c>
      <c r="H2305" t="s">
        <v>9401</v>
      </c>
      <c r="I2305" t="s">
        <v>720</v>
      </c>
      <c r="J2305" t="s">
        <v>2572</v>
      </c>
      <c r="K2305" t="s">
        <v>5939</v>
      </c>
      <c r="L2305" t="s">
        <v>17</v>
      </c>
      <c r="M2305" t="s">
        <v>18</v>
      </c>
      <c r="N2305">
        <v>2520</v>
      </c>
      <c r="O2305">
        <v>140</v>
      </c>
      <c r="P2305">
        <v>0</v>
      </c>
      <c r="Q2305" t="s">
        <v>9583</v>
      </c>
      <c r="R2305" t="s">
        <v>9584</v>
      </c>
      <c r="S2305" t="s">
        <v>9585</v>
      </c>
      <c r="T2305" t="s">
        <v>9586</v>
      </c>
      <c r="U2305" t="s">
        <v>60</v>
      </c>
      <c r="V2305" t="s">
        <v>61</v>
      </c>
      <c r="W2305">
        <v>10</v>
      </c>
      <c r="X2305">
        <v>0.1150625</v>
      </c>
      <c r="Y2305" t="s">
        <v>183</v>
      </c>
      <c r="Z2305" t="s">
        <v>301</v>
      </c>
      <c r="AA2305">
        <v>1</v>
      </c>
      <c r="AB2305" t="s">
        <v>9402</v>
      </c>
      <c r="AC2305" t="s">
        <v>9403</v>
      </c>
      <c r="AD2305" t="s">
        <v>9404</v>
      </c>
      <c r="AE2305" t="s">
        <v>9405</v>
      </c>
      <c r="AF2305" t="s">
        <v>9406</v>
      </c>
      <c r="AG2305" t="s">
        <v>66</v>
      </c>
      <c r="AH2305" t="s">
        <v>66</v>
      </c>
      <c r="AI2305" t="s">
        <v>66</v>
      </c>
      <c r="AJ2305" t="s">
        <v>66</v>
      </c>
      <c r="AK2305">
        <v>1</v>
      </c>
      <c r="AL2305" t="s">
        <v>66</v>
      </c>
      <c r="AM2305" t="s">
        <v>66</v>
      </c>
      <c r="AN2305" t="s">
        <v>66</v>
      </c>
      <c r="AO2305" t="s">
        <v>66</v>
      </c>
      <c r="AP2305">
        <v>1</v>
      </c>
      <c r="AQ2305" t="s">
        <v>66</v>
      </c>
      <c r="AR2305" t="s">
        <v>66</v>
      </c>
      <c r="AS2305" t="s">
        <v>66</v>
      </c>
      <c r="AT2305" t="s">
        <v>66</v>
      </c>
    </row>
    <row r="2306" spans="1:46" x14ac:dyDescent="0.15">
      <c r="A2306" t="s">
        <v>9587</v>
      </c>
      <c r="B2306" t="s">
        <v>9398</v>
      </c>
      <c r="C2306" t="s">
        <v>9399</v>
      </c>
      <c r="D2306">
        <v>38</v>
      </c>
      <c r="E2306" t="s">
        <v>9400</v>
      </c>
      <c r="F2306" t="s">
        <v>1551</v>
      </c>
      <c r="G2306" t="s">
        <v>51</v>
      </c>
      <c r="H2306" t="s">
        <v>9401</v>
      </c>
      <c r="I2306" t="s">
        <v>720</v>
      </c>
      <c r="J2306" t="s">
        <v>2572</v>
      </c>
      <c r="K2306" t="s">
        <v>5939</v>
      </c>
      <c r="L2306" t="s">
        <v>17</v>
      </c>
      <c r="M2306" t="s">
        <v>18</v>
      </c>
      <c r="N2306">
        <v>2577</v>
      </c>
      <c r="O2306">
        <v>143</v>
      </c>
      <c r="P2306">
        <v>0</v>
      </c>
      <c r="Q2306" t="s">
        <v>9588</v>
      </c>
      <c r="R2306" t="s">
        <v>9589</v>
      </c>
      <c r="S2306" t="s">
        <v>9590</v>
      </c>
      <c r="T2306" t="s">
        <v>9591</v>
      </c>
      <c r="U2306" t="s">
        <v>60</v>
      </c>
      <c r="V2306" t="s">
        <v>61</v>
      </c>
      <c r="W2306">
        <v>10</v>
      </c>
      <c r="X2306">
        <v>0.1150625</v>
      </c>
      <c r="Y2306" t="s">
        <v>307</v>
      </c>
      <c r="Z2306" t="s">
        <v>308</v>
      </c>
      <c r="AA2306">
        <v>1</v>
      </c>
      <c r="AB2306" t="s">
        <v>9402</v>
      </c>
      <c r="AC2306" t="s">
        <v>9403</v>
      </c>
      <c r="AD2306" t="s">
        <v>9404</v>
      </c>
      <c r="AE2306" t="s">
        <v>9405</v>
      </c>
      <c r="AF2306" t="s">
        <v>9406</v>
      </c>
      <c r="AG2306" t="s">
        <v>66</v>
      </c>
      <c r="AH2306" t="s">
        <v>66</v>
      </c>
      <c r="AI2306" t="s">
        <v>66</v>
      </c>
      <c r="AJ2306" t="s">
        <v>66</v>
      </c>
      <c r="AK2306">
        <v>1</v>
      </c>
      <c r="AL2306" t="s">
        <v>66</v>
      </c>
      <c r="AM2306" t="s">
        <v>66</v>
      </c>
      <c r="AN2306" t="s">
        <v>66</v>
      </c>
      <c r="AO2306" t="s">
        <v>66</v>
      </c>
      <c r="AP2306">
        <v>1</v>
      </c>
      <c r="AQ2306" t="s">
        <v>66</v>
      </c>
      <c r="AR2306" t="s">
        <v>66</v>
      </c>
      <c r="AS2306" t="s">
        <v>66</v>
      </c>
      <c r="AT2306" t="s">
        <v>66</v>
      </c>
    </row>
    <row r="2307" spans="1:46" x14ac:dyDescent="0.15">
      <c r="A2307" t="s">
        <v>9592</v>
      </c>
      <c r="B2307" t="s">
        <v>9398</v>
      </c>
      <c r="C2307" t="s">
        <v>9399</v>
      </c>
      <c r="D2307">
        <v>39</v>
      </c>
      <c r="E2307" t="s">
        <v>9400</v>
      </c>
      <c r="F2307" t="s">
        <v>1551</v>
      </c>
      <c r="G2307" t="s">
        <v>51</v>
      </c>
      <c r="H2307" t="s">
        <v>9401</v>
      </c>
      <c r="I2307" t="s">
        <v>720</v>
      </c>
      <c r="J2307" t="s">
        <v>2572</v>
      </c>
      <c r="K2307" t="s">
        <v>5939</v>
      </c>
      <c r="L2307" t="s">
        <v>17</v>
      </c>
      <c r="M2307" t="s">
        <v>18</v>
      </c>
      <c r="N2307">
        <v>2633</v>
      </c>
      <c r="O2307">
        <v>147</v>
      </c>
      <c r="P2307">
        <v>0</v>
      </c>
      <c r="Q2307" t="s">
        <v>9593</v>
      </c>
      <c r="R2307" t="s">
        <v>9594</v>
      </c>
      <c r="S2307" t="s">
        <v>9595</v>
      </c>
      <c r="T2307" t="s">
        <v>9596</v>
      </c>
      <c r="U2307" t="s">
        <v>60</v>
      </c>
      <c r="V2307" t="s">
        <v>61</v>
      </c>
      <c r="W2307">
        <v>10</v>
      </c>
      <c r="X2307">
        <v>0.1150625</v>
      </c>
      <c r="Y2307" t="s">
        <v>190</v>
      </c>
      <c r="Z2307" t="s">
        <v>314</v>
      </c>
      <c r="AA2307">
        <v>1</v>
      </c>
      <c r="AB2307" t="s">
        <v>9402</v>
      </c>
      <c r="AC2307" t="s">
        <v>9403</v>
      </c>
      <c r="AD2307" t="s">
        <v>9404</v>
      </c>
      <c r="AE2307" t="s">
        <v>9405</v>
      </c>
      <c r="AF2307" t="s">
        <v>9406</v>
      </c>
      <c r="AG2307" t="s">
        <v>66</v>
      </c>
      <c r="AH2307" t="s">
        <v>66</v>
      </c>
      <c r="AI2307" t="s">
        <v>66</v>
      </c>
      <c r="AJ2307" t="s">
        <v>66</v>
      </c>
      <c r="AK2307">
        <v>1</v>
      </c>
      <c r="AL2307" t="s">
        <v>66</v>
      </c>
      <c r="AM2307" t="s">
        <v>66</v>
      </c>
      <c r="AN2307" t="s">
        <v>66</v>
      </c>
      <c r="AO2307" t="s">
        <v>66</v>
      </c>
      <c r="AP2307">
        <v>1</v>
      </c>
      <c r="AQ2307" t="s">
        <v>66</v>
      </c>
      <c r="AR2307" t="s">
        <v>66</v>
      </c>
      <c r="AS2307" t="s">
        <v>66</v>
      </c>
      <c r="AT2307" t="s">
        <v>66</v>
      </c>
    </row>
    <row r="2308" spans="1:46" x14ac:dyDescent="0.15">
      <c r="A2308" t="s">
        <v>9597</v>
      </c>
      <c r="B2308" t="s">
        <v>9398</v>
      </c>
      <c r="C2308" t="s">
        <v>9399</v>
      </c>
      <c r="D2308">
        <v>40</v>
      </c>
      <c r="E2308" t="s">
        <v>9400</v>
      </c>
      <c r="F2308" t="s">
        <v>1551</v>
      </c>
      <c r="G2308" t="s">
        <v>51</v>
      </c>
      <c r="H2308" t="s">
        <v>9401</v>
      </c>
      <c r="I2308" t="s">
        <v>720</v>
      </c>
      <c r="J2308" t="s">
        <v>2572</v>
      </c>
      <c r="K2308" t="s">
        <v>5939</v>
      </c>
      <c r="L2308" t="s">
        <v>17</v>
      </c>
      <c r="M2308" t="s">
        <v>18</v>
      </c>
      <c r="N2308">
        <v>2689</v>
      </c>
      <c r="O2308">
        <v>150</v>
      </c>
      <c r="P2308">
        <v>0</v>
      </c>
      <c r="Q2308" t="s">
        <v>9598</v>
      </c>
      <c r="R2308" t="s">
        <v>9599</v>
      </c>
      <c r="S2308" t="s">
        <v>9600</v>
      </c>
      <c r="T2308" t="s">
        <v>9601</v>
      </c>
      <c r="U2308" t="s">
        <v>60</v>
      </c>
      <c r="V2308" t="s">
        <v>61</v>
      </c>
      <c r="W2308">
        <v>10</v>
      </c>
      <c r="X2308">
        <v>0.1150625</v>
      </c>
      <c r="Y2308" t="s">
        <v>320</v>
      </c>
      <c r="Z2308" t="s">
        <v>321</v>
      </c>
      <c r="AA2308">
        <v>1</v>
      </c>
      <c r="AB2308" t="s">
        <v>9402</v>
      </c>
      <c r="AC2308" t="s">
        <v>9403</v>
      </c>
      <c r="AD2308" t="s">
        <v>9404</v>
      </c>
      <c r="AE2308" t="s">
        <v>9405</v>
      </c>
      <c r="AF2308" t="s">
        <v>9406</v>
      </c>
      <c r="AG2308" t="s">
        <v>66</v>
      </c>
      <c r="AH2308" t="s">
        <v>66</v>
      </c>
      <c r="AI2308" t="s">
        <v>66</v>
      </c>
      <c r="AJ2308" t="s">
        <v>66</v>
      </c>
      <c r="AK2308">
        <v>1</v>
      </c>
      <c r="AL2308" t="s">
        <v>66</v>
      </c>
      <c r="AM2308" t="s">
        <v>66</v>
      </c>
      <c r="AN2308" t="s">
        <v>66</v>
      </c>
      <c r="AO2308" t="s">
        <v>66</v>
      </c>
      <c r="AP2308">
        <v>1</v>
      </c>
      <c r="AQ2308" t="s">
        <v>66</v>
      </c>
      <c r="AR2308" t="s">
        <v>66</v>
      </c>
      <c r="AS2308" t="s">
        <v>66</v>
      </c>
      <c r="AT2308" t="s">
        <v>66</v>
      </c>
    </row>
    <row r="2309" spans="1:46" x14ac:dyDescent="0.15">
      <c r="A2309" t="s">
        <v>9597</v>
      </c>
      <c r="B2309" t="s">
        <v>9398</v>
      </c>
      <c r="C2309" t="s">
        <v>9399</v>
      </c>
      <c r="D2309">
        <v>40</v>
      </c>
      <c r="E2309" t="s">
        <v>9400</v>
      </c>
      <c r="F2309" t="s">
        <v>1551</v>
      </c>
      <c r="G2309" t="s">
        <v>51</v>
      </c>
      <c r="H2309" t="s">
        <v>9401</v>
      </c>
      <c r="I2309" t="s">
        <v>720</v>
      </c>
      <c r="J2309" t="s">
        <v>2572</v>
      </c>
      <c r="K2309" t="s">
        <v>5939</v>
      </c>
      <c r="L2309" t="s">
        <v>17</v>
      </c>
      <c r="M2309" t="s">
        <v>18</v>
      </c>
      <c r="N2309">
        <v>2689</v>
      </c>
      <c r="O2309">
        <v>150</v>
      </c>
      <c r="P2309">
        <v>0</v>
      </c>
      <c r="Q2309" t="s">
        <v>9598</v>
      </c>
      <c r="R2309" t="s">
        <v>9599</v>
      </c>
      <c r="S2309" t="s">
        <v>9600</v>
      </c>
      <c r="T2309" t="s">
        <v>9601</v>
      </c>
      <c r="U2309" t="s">
        <v>60</v>
      </c>
      <c r="V2309" t="s">
        <v>61</v>
      </c>
      <c r="W2309">
        <v>10</v>
      </c>
      <c r="X2309">
        <v>0.1150625</v>
      </c>
      <c r="Y2309" t="s">
        <v>320</v>
      </c>
      <c r="Z2309" t="s">
        <v>321</v>
      </c>
      <c r="AA2309">
        <v>2</v>
      </c>
      <c r="AB2309" t="s">
        <v>9402</v>
      </c>
      <c r="AC2309" t="s">
        <v>9403</v>
      </c>
      <c r="AD2309" t="s">
        <v>9404</v>
      </c>
      <c r="AE2309" t="s">
        <v>9405</v>
      </c>
      <c r="AF2309" t="s">
        <v>9406</v>
      </c>
      <c r="AG2309" t="s">
        <v>322</v>
      </c>
      <c r="AH2309" t="s">
        <v>191</v>
      </c>
      <c r="AI2309" t="s">
        <v>66</v>
      </c>
      <c r="AJ2309" t="s">
        <v>66</v>
      </c>
      <c r="AK2309">
        <v>1</v>
      </c>
      <c r="AL2309" t="s">
        <v>9602</v>
      </c>
      <c r="AM2309" t="s">
        <v>9603</v>
      </c>
      <c r="AN2309" t="s">
        <v>9604</v>
      </c>
      <c r="AO2309" t="s">
        <v>66</v>
      </c>
      <c r="AP2309">
        <v>1</v>
      </c>
      <c r="AQ2309" t="s">
        <v>9605</v>
      </c>
      <c r="AR2309" t="s">
        <v>9606</v>
      </c>
      <c r="AS2309" t="s">
        <v>66</v>
      </c>
      <c r="AT2309" t="s">
        <v>66</v>
      </c>
    </row>
    <row r="2310" spans="1:46" x14ac:dyDescent="0.15">
      <c r="A2310" t="s">
        <v>9607</v>
      </c>
      <c r="B2310" t="s">
        <v>9398</v>
      </c>
      <c r="C2310" t="s">
        <v>9399</v>
      </c>
      <c r="D2310">
        <v>41</v>
      </c>
      <c r="E2310" t="s">
        <v>9400</v>
      </c>
      <c r="F2310" t="s">
        <v>1551</v>
      </c>
      <c r="G2310" t="s">
        <v>51</v>
      </c>
      <c r="H2310" t="s">
        <v>9401</v>
      </c>
      <c r="I2310" t="s">
        <v>720</v>
      </c>
      <c r="J2310" t="s">
        <v>2572</v>
      </c>
      <c r="K2310" t="s">
        <v>5939</v>
      </c>
      <c r="L2310" t="s">
        <v>17</v>
      </c>
      <c r="M2310" t="s">
        <v>18</v>
      </c>
      <c r="N2310">
        <v>2745</v>
      </c>
      <c r="O2310">
        <v>153</v>
      </c>
      <c r="P2310">
        <v>0</v>
      </c>
      <c r="Q2310" t="s">
        <v>9608</v>
      </c>
      <c r="R2310" t="s">
        <v>9609</v>
      </c>
      <c r="S2310" t="s">
        <v>9610</v>
      </c>
      <c r="T2310" t="s">
        <v>9611</v>
      </c>
      <c r="U2310" t="s">
        <v>60</v>
      </c>
      <c r="V2310" t="s">
        <v>61</v>
      </c>
      <c r="W2310">
        <v>10</v>
      </c>
      <c r="X2310">
        <v>0.1150625</v>
      </c>
      <c r="Y2310" t="s">
        <v>197</v>
      </c>
      <c r="Z2310" t="s">
        <v>330</v>
      </c>
      <c r="AA2310">
        <v>2</v>
      </c>
      <c r="AB2310" t="s">
        <v>9402</v>
      </c>
      <c r="AC2310" t="s">
        <v>9403</v>
      </c>
      <c r="AD2310" t="s">
        <v>9404</v>
      </c>
      <c r="AE2310" t="s">
        <v>9405</v>
      </c>
      <c r="AF2310" t="s">
        <v>9406</v>
      </c>
      <c r="AG2310" t="s">
        <v>322</v>
      </c>
      <c r="AH2310" t="s">
        <v>191</v>
      </c>
      <c r="AI2310" t="s">
        <v>66</v>
      </c>
      <c r="AJ2310" t="s">
        <v>66</v>
      </c>
      <c r="AK2310">
        <v>1</v>
      </c>
      <c r="AL2310" t="s">
        <v>9602</v>
      </c>
      <c r="AM2310" t="s">
        <v>9603</v>
      </c>
      <c r="AN2310" t="s">
        <v>9604</v>
      </c>
      <c r="AO2310" t="s">
        <v>66</v>
      </c>
      <c r="AP2310">
        <v>1</v>
      </c>
      <c r="AQ2310" t="s">
        <v>9605</v>
      </c>
      <c r="AR2310" t="s">
        <v>9606</v>
      </c>
      <c r="AS2310" t="s">
        <v>66</v>
      </c>
      <c r="AT2310" t="s">
        <v>66</v>
      </c>
    </row>
    <row r="2311" spans="1:46" x14ac:dyDescent="0.15">
      <c r="A2311" t="s">
        <v>9612</v>
      </c>
      <c r="B2311" t="s">
        <v>9398</v>
      </c>
      <c r="C2311" t="s">
        <v>9399</v>
      </c>
      <c r="D2311">
        <v>42</v>
      </c>
      <c r="E2311" t="s">
        <v>9400</v>
      </c>
      <c r="F2311" t="s">
        <v>1551</v>
      </c>
      <c r="G2311" t="s">
        <v>51</v>
      </c>
      <c r="H2311" t="s">
        <v>9401</v>
      </c>
      <c r="I2311" t="s">
        <v>720</v>
      </c>
      <c r="J2311" t="s">
        <v>2572</v>
      </c>
      <c r="K2311" t="s">
        <v>5939</v>
      </c>
      <c r="L2311" t="s">
        <v>17</v>
      </c>
      <c r="M2311" t="s">
        <v>18</v>
      </c>
      <c r="N2311">
        <v>2801</v>
      </c>
      <c r="O2311">
        <v>156</v>
      </c>
      <c r="P2311">
        <v>0</v>
      </c>
      <c r="Q2311" t="s">
        <v>9613</v>
      </c>
      <c r="R2311" t="s">
        <v>9614</v>
      </c>
      <c r="S2311" t="s">
        <v>9615</v>
      </c>
      <c r="T2311" t="s">
        <v>9616</v>
      </c>
      <c r="U2311" t="s">
        <v>60</v>
      </c>
      <c r="V2311" t="s">
        <v>61</v>
      </c>
      <c r="W2311">
        <v>10</v>
      </c>
      <c r="X2311">
        <v>0.1150625</v>
      </c>
      <c r="Y2311" t="s">
        <v>336</v>
      </c>
      <c r="Z2311" t="s">
        <v>337</v>
      </c>
      <c r="AA2311">
        <v>2</v>
      </c>
      <c r="AB2311" t="s">
        <v>9402</v>
      </c>
      <c r="AC2311" t="s">
        <v>9403</v>
      </c>
      <c r="AD2311" t="s">
        <v>9404</v>
      </c>
      <c r="AE2311" t="s">
        <v>9405</v>
      </c>
      <c r="AF2311" t="s">
        <v>9406</v>
      </c>
      <c r="AG2311" t="s">
        <v>322</v>
      </c>
      <c r="AH2311" t="s">
        <v>191</v>
      </c>
      <c r="AI2311" t="s">
        <v>66</v>
      </c>
      <c r="AJ2311" t="s">
        <v>66</v>
      </c>
      <c r="AK2311">
        <v>1</v>
      </c>
      <c r="AL2311" t="s">
        <v>9602</v>
      </c>
      <c r="AM2311" t="s">
        <v>9603</v>
      </c>
      <c r="AN2311" t="s">
        <v>9604</v>
      </c>
      <c r="AO2311" t="s">
        <v>66</v>
      </c>
      <c r="AP2311">
        <v>1</v>
      </c>
      <c r="AQ2311" t="s">
        <v>9605</v>
      </c>
      <c r="AR2311" t="s">
        <v>9606</v>
      </c>
      <c r="AS2311" t="s">
        <v>66</v>
      </c>
      <c r="AT2311" t="s">
        <v>66</v>
      </c>
    </row>
    <row r="2312" spans="1:46" x14ac:dyDescent="0.15">
      <c r="A2312" t="s">
        <v>9617</v>
      </c>
      <c r="B2312" t="s">
        <v>9398</v>
      </c>
      <c r="C2312" t="s">
        <v>9399</v>
      </c>
      <c r="D2312">
        <v>43</v>
      </c>
      <c r="E2312" t="s">
        <v>9400</v>
      </c>
      <c r="F2312" t="s">
        <v>1551</v>
      </c>
      <c r="G2312" t="s">
        <v>51</v>
      </c>
      <c r="H2312" t="s">
        <v>9401</v>
      </c>
      <c r="I2312" t="s">
        <v>720</v>
      </c>
      <c r="J2312" t="s">
        <v>2572</v>
      </c>
      <c r="K2312" t="s">
        <v>5939</v>
      </c>
      <c r="L2312" t="s">
        <v>17</v>
      </c>
      <c r="M2312" t="s">
        <v>18</v>
      </c>
      <c r="N2312">
        <v>2857</v>
      </c>
      <c r="O2312">
        <v>159</v>
      </c>
      <c r="P2312">
        <v>0</v>
      </c>
      <c r="Q2312" t="s">
        <v>9618</v>
      </c>
      <c r="R2312" t="s">
        <v>9619</v>
      </c>
      <c r="S2312" t="s">
        <v>9620</v>
      </c>
      <c r="T2312" t="s">
        <v>9621</v>
      </c>
      <c r="U2312" t="s">
        <v>60</v>
      </c>
      <c r="V2312" t="s">
        <v>61</v>
      </c>
      <c r="W2312">
        <v>10</v>
      </c>
      <c r="X2312">
        <v>0.1150625</v>
      </c>
      <c r="Y2312" t="s">
        <v>204</v>
      </c>
      <c r="Z2312" t="s">
        <v>343</v>
      </c>
      <c r="AA2312">
        <v>2</v>
      </c>
      <c r="AB2312" t="s">
        <v>9402</v>
      </c>
      <c r="AC2312" t="s">
        <v>9403</v>
      </c>
      <c r="AD2312" t="s">
        <v>9404</v>
      </c>
      <c r="AE2312" t="s">
        <v>9405</v>
      </c>
      <c r="AF2312" t="s">
        <v>9406</v>
      </c>
      <c r="AG2312" t="s">
        <v>322</v>
      </c>
      <c r="AH2312" t="s">
        <v>191</v>
      </c>
      <c r="AI2312" t="s">
        <v>66</v>
      </c>
      <c r="AJ2312" t="s">
        <v>66</v>
      </c>
      <c r="AK2312">
        <v>1</v>
      </c>
      <c r="AL2312" t="s">
        <v>9602</v>
      </c>
      <c r="AM2312" t="s">
        <v>9603</v>
      </c>
      <c r="AN2312" t="s">
        <v>9604</v>
      </c>
      <c r="AO2312" t="s">
        <v>66</v>
      </c>
      <c r="AP2312">
        <v>1</v>
      </c>
      <c r="AQ2312" t="s">
        <v>9605</v>
      </c>
      <c r="AR2312" t="s">
        <v>9606</v>
      </c>
      <c r="AS2312" t="s">
        <v>66</v>
      </c>
      <c r="AT2312" t="s">
        <v>66</v>
      </c>
    </row>
    <row r="2313" spans="1:46" x14ac:dyDescent="0.15">
      <c r="A2313" t="s">
        <v>9622</v>
      </c>
      <c r="B2313" t="s">
        <v>9398</v>
      </c>
      <c r="C2313" t="s">
        <v>9399</v>
      </c>
      <c r="D2313">
        <v>44</v>
      </c>
      <c r="E2313" t="s">
        <v>9400</v>
      </c>
      <c r="F2313" t="s">
        <v>1551</v>
      </c>
      <c r="G2313" t="s">
        <v>51</v>
      </c>
      <c r="H2313" t="s">
        <v>9401</v>
      </c>
      <c r="I2313" t="s">
        <v>720</v>
      </c>
      <c r="J2313" t="s">
        <v>2572</v>
      </c>
      <c r="K2313" t="s">
        <v>5939</v>
      </c>
      <c r="L2313" t="s">
        <v>17</v>
      </c>
      <c r="M2313" t="s">
        <v>18</v>
      </c>
      <c r="N2313">
        <v>2913</v>
      </c>
      <c r="O2313">
        <v>162</v>
      </c>
      <c r="P2313">
        <v>0</v>
      </c>
      <c r="Q2313" t="s">
        <v>9623</v>
      </c>
      <c r="R2313" t="s">
        <v>9624</v>
      </c>
      <c r="S2313" t="s">
        <v>9625</v>
      </c>
      <c r="T2313" t="s">
        <v>9626</v>
      </c>
      <c r="U2313" t="s">
        <v>60</v>
      </c>
      <c r="V2313" t="s">
        <v>61</v>
      </c>
      <c r="W2313">
        <v>10</v>
      </c>
      <c r="X2313">
        <v>0.1150625</v>
      </c>
      <c r="Y2313" t="s">
        <v>349</v>
      </c>
      <c r="Z2313" t="s">
        <v>350</v>
      </c>
      <c r="AA2313">
        <v>2</v>
      </c>
      <c r="AB2313" t="s">
        <v>9402</v>
      </c>
      <c r="AC2313" t="s">
        <v>9403</v>
      </c>
      <c r="AD2313" t="s">
        <v>9404</v>
      </c>
      <c r="AE2313" t="s">
        <v>9405</v>
      </c>
      <c r="AF2313" t="s">
        <v>9406</v>
      </c>
      <c r="AG2313" t="s">
        <v>322</v>
      </c>
      <c r="AH2313" t="s">
        <v>191</v>
      </c>
      <c r="AI2313" t="s">
        <v>66</v>
      </c>
      <c r="AJ2313" t="s">
        <v>66</v>
      </c>
      <c r="AK2313">
        <v>1</v>
      </c>
      <c r="AL2313" t="s">
        <v>9602</v>
      </c>
      <c r="AM2313" t="s">
        <v>9603</v>
      </c>
      <c r="AN2313" t="s">
        <v>9604</v>
      </c>
      <c r="AO2313" t="s">
        <v>66</v>
      </c>
      <c r="AP2313">
        <v>1</v>
      </c>
      <c r="AQ2313" t="s">
        <v>9605</v>
      </c>
      <c r="AR2313" t="s">
        <v>9606</v>
      </c>
      <c r="AS2313" t="s">
        <v>66</v>
      </c>
      <c r="AT2313" t="s">
        <v>66</v>
      </c>
    </row>
    <row r="2314" spans="1:46" x14ac:dyDescent="0.15">
      <c r="A2314" t="s">
        <v>9627</v>
      </c>
      <c r="B2314" t="s">
        <v>9398</v>
      </c>
      <c r="C2314" t="s">
        <v>9399</v>
      </c>
      <c r="D2314">
        <v>45</v>
      </c>
      <c r="E2314" t="s">
        <v>9400</v>
      </c>
      <c r="F2314" t="s">
        <v>1551</v>
      </c>
      <c r="G2314" t="s">
        <v>51</v>
      </c>
      <c r="H2314" t="s">
        <v>9401</v>
      </c>
      <c r="I2314" t="s">
        <v>720</v>
      </c>
      <c r="J2314" t="s">
        <v>2572</v>
      </c>
      <c r="K2314" t="s">
        <v>5939</v>
      </c>
      <c r="L2314" t="s">
        <v>17</v>
      </c>
      <c r="M2314" t="s">
        <v>18</v>
      </c>
      <c r="N2314">
        <v>2969</v>
      </c>
      <c r="O2314">
        <v>165</v>
      </c>
      <c r="P2314">
        <v>0</v>
      </c>
      <c r="Q2314" t="s">
        <v>9628</v>
      </c>
      <c r="R2314" t="s">
        <v>9629</v>
      </c>
      <c r="S2314" t="s">
        <v>9630</v>
      </c>
      <c r="T2314" t="s">
        <v>9631</v>
      </c>
      <c r="U2314" t="s">
        <v>60</v>
      </c>
      <c r="V2314" t="s">
        <v>61</v>
      </c>
      <c r="W2314">
        <v>10</v>
      </c>
      <c r="X2314">
        <v>0.1150625</v>
      </c>
      <c r="Y2314" t="s">
        <v>210</v>
      </c>
      <c r="Z2314" t="s">
        <v>356</v>
      </c>
      <c r="AA2314">
        <v>2</v>
      </c>
      <c r="AB2314" t="s">
        <v>9402</v>
      </c>
      <c r="AC2314" t="s">
        <v>9403</v>
      </c>
      <c r="AD2314" t="s">
        <v>9404</v>
      </c>
      <c r="AE2314" t="s">
        <v>9405</v>
      </c>
      <c r="AF2314" t="s">
        <v>9406</v>
      </c>
      <c r="AG2314" t="s">
        <v>322</v>
      </c>
      <c r="AH2314" t="s">
        <v>191</v>
      </c>
      <c r="AI2314" t="s">
        <v>66</v>
      </c>
      <c r="AJ2314" t="s">
        <v>66</v>
      </c>
      <c r="AK2314">
        <v>1</v>
      </c>
      <c r="AL2314" t="s">
        <v>9602</v>
      </c>
      <c r="AM2314" t="s">
        <v>9603</v>
      </c>
      <c r="AN2314" t="s">
        <v>9604</v>
      </c>
      <c r="AO2314" t="s">
        <v>66</v>
      </c>
      <c r="AP2314">
        <v>1</v>
      </c>
      <c r="AQ2314" t="s">
        <v>9605</v>
      </c>
      <c r="AR2314" t="s">
        <v>9606</v>
      </c>
      <c r="AS2314" t="s">
        <v>66</v>
      </c>
      <c r="AT2314" t="s">
        <v>66</v>
      </c>
    </row>
    <row r="2315" spans="1:46" x14ac:dyDescent="0.15">
      <c r="A2315" t="s">
        <v>9632</v>
      </c>
      <c r="B2315" t="s">
        <v>9398</v>
      </c>
      <c r="C2315" t="s">
        <v>9399</v>
      </c>
      <c r="D2315">
        <v>46</v>
      </c>
      <c r="E2315" t="s">
        <v>9400</v>
      </c>
      <c r="F2315" t="s">
        <v>1551</v>
      </c>
      <c r="G2315" t="s">
        <v>51</v>
      </c>
      <c r="H2315" t="s">
        <v>9401</v>
      </c>
      <c r="I2315" t="s">
        <v>720</v>
      </c>
      <c r="J2315" t="s">
        <v>2572</v>
      </c>
      <c r="K2315" t="s">
        <v>5939</v>
      </c>
      <c r="L2315" t="s">
        <v>17</v>
      </c>
      <c r="M2315" t="s">
        <v>18</v>
      </c>
      <c r="N2315">
        <v>3026</v>
      </c>
      <c r="O2315">
        <v>168</v>
      </c>
      <c r="P2315">
        <v>0</v>
      </c>
      <c r="Q2315" t="s">
        <v>9633</v>
      </c>
      <c r="R2315" t="s">
        <v>9634</v>
      </c>
      <c r="S2315" t="s">
        <v>9635</v>
      </c>
      <c r="T2315" t="s">
        <v>9636</v>
      </c>
      <c r="U2315" t="s">
        <v>60</v>
      </c>
      <c r="V2315" t="s">
        <v>61</v>
      </c>
      <c r="W2315">
        <v>10</v>
      </c>
      <c r="X2315">
        <v>0.1150625</v>
      </c>
      <c r="Y2315" t="s">
        <v>362</v>
      </c>
      <c r="Z2315" t="s">
        <v>363</v>
      </c>
      <c r="AA2315">
        <v>2</v>
      </c>
      <c r="AB2315" t="s">
        <v>9402</v>
      </c>
      <c r="AC2315" t="s">
        <v>9403</v>
      </c>
      <c r="AD2315" t="s">
        <v>9404</v>
      </c>
      <c r="AE2315" t="s">
        <v>9405</v>
      </c>
      <c r="AF2315" t="s">
        <v>9406</v>
      </c>
      <c r="AG2315" t="s">
        <v>322</v>
      </c>
      <c r="AH2315" t="s">
        <v>191</v>
      </c>
      <c r="AI2315" t="s">
        <v>66</v>
      </c>
      <c r="AJ2315" t="s">
        <v>66</v>
      </c>
      <c r="AK2315">
        <v>1</v>
      </c>
      <c r="AL2315" t="s">
        <v>9602</v>
      </c>
      <c r="AM2315" t="s">
        <v>9603</v>
      </c>
      <c r="AN2315" t="s">
        <v>9604</v>
      </c>
      <c r="AO2315" t="s">
        <v>66</v>
      </c>
      <c r="AP2315">
        <v>1</v>
      </c>
      <c r="AQ2315" t="s">
        <v>9605</v>
      </c>
      <c r="AR2315" t="s">
        <v>9606</v>
      </c>
      <c r="AS2315" t="s">
        <v>66</v>
      </c>
      <c r="AT2315" t="s">
        <v>66</v>
      </c>
    </row>
    <row r="2316" spans="1:46" x14ac:dyDescent="0.15">
      <c r="A2316" t="s">
        <v>9637</v>
      </c>
      <c r="B2316" t="s">
        <v>9398</v>
      </c>
      <c r="C2316" t="s">
        <v>9399</v>
      </c>
      <c r="D2316">
        <v>47</v>
      </c>
      <c r="E2316" t="s">
        <v>9400</v>
      </c>
      <c r="F2316" t="s">
        <v>1551</v>
      </c>
      <c r="G2316" t="s">
        <v>51</v>
      </c>
      <c r="H2316" t="s">
        <v>9401</v>
      </c>
      <c r="I2316" t="s">
        <v>720</v>
      </c>
      <c r="J2316" t="s">
        <v>2572</v>
      </c>
      <c r="K2316" t="s">
        <v>5939</v>
      </c>
      <c r="L2316" t="s">
        <v>17</v>
      </c>
      <c r="M2316" t="s">
        <v>18</v>
      </c>
      <c r="N2316">
        <v>3082</v>
      </c>
      <c r="O2316">
        <v>171</v>
      </c>
      <c r="P2316">
        <v>0</v>
      </c>
      <c r="Q2316" t="s">
        <v>9638</v>
      </c>
      <c r="R2316" t="s">
        <v>9639</v>
      </c>
      <c r="S2316" t="s">
        <v>9640</v>
      </c>
      <c r="T2316" t="s">
        <v>9641</v>
      </c>
      <c r="U2316" t="s">
        <v>60</v>
      </c>
      <c r="V2316" t="s">
        <v>61</v>
      </c>
      <c r="W2316">
        <v>10</v>
      </c>
      <c r="X2316">
        <v>0.1150625</v>
      </c>
      <c r="Y2316" t="s">
        <v>217</v>
      </c>
      <c r="Z2316" t="s">
        <v>369</v>
      </c>
      <c r="AA2316">
        <v>2</v>
      </c>
      <c r="AB2316" t="s">
        <v>9402</v>
      </c>
      <c r="AC2316" t="s">
        <v>9403</v>
      </c>
      <c r="AD2316" t="s">
        <v>9404</v>
      </c>
      <c r="AE2316" t="s">
        <v>9405</v>
      </c>
      <c r="AF2316" t="s">
        <v>9406</v>
      </c>
      <c r="AG2316" t="s">
        <v>322</v>
      </c>
      <c r="AH2316" t="s">
        <v>191</v>
      </c>
      <c r="AI2316" t="s">
        <v>66</v>
      </c>
      <c r="AJ2316" t="s">
        <v>66</v>
      </c>
      <c r="AK2316">
        <v>1</v>
      </c>
      <c r="AL2316" t="s">
        <v>9602</v>
      </c>
      <c r="AM2316" t="s">
        <v>9603</v>
      </c>
      <c r="AN2316" t="s">
        <v>9604</v>
      </c>
      <c r="AO2316" t="s">
        <v>66</v>
      </c>
      <c r="AP2316">
        <v>1</v>
      </c>
      <c r="AQ2316" t="s">
        <v>9605</v>
      </c>
      <c r="AR2316" t="s">
        <v>9606</v>
      </c>
      <c r="AS2316" t="s">
        <v>66</v>
      </c>
      <c r="AT2316" t="s">
        <v>66</v>
      </c>
    </row>
    <row r="2317" spans="1:46" x14ac:dyDescent="0.15">
      <c r="A2317" t="s">
        <v>9642</v>
      </c>
      <c r="B2317" t="s">
        <v>9398</v>
      </c>
      <c r="C2317" t="s">
        <v>9399</v>
      </c>
      <c r="D2317">
        <v>48</v>
      </c>
      <c r="E2317" t="s">
        <v>9400</v>
      </c>
      <c r="F2317" t="s">
        <v>1551</v>
      </c>
      <c r="G2317" t="s">
        <v>51</v>
      </c>
      <c r="H2317" t="s">
        <v>9401</v>
      </c>
      <c r="I2317" t="s">
        <v>720</v>
      </c>
      <c r="J2317" t="s">
        <v>2572</v>
      </c>
      <c r="K2317" t="s">
        <v>5939</v>
      </c>
      <c r="L2317" t="s">
        <v>17</v>
      </c>
      <c r="M2317" t="s">
        <v>18</v>
      </c>
      <c r="N2317">
        <v>3138</v>
      </c>
      <c r="O2317">
        <v>174</v>
      </c>
      <c r="P2317">
        <v>0</v>
      </c>
      <c r="Q2317" t="s">
        <v>9643</v>
      </c>
      <c r="R2317" t="s">
        <v>9644</v>
      </c>
      <c r="S2317" t="s">
        <v>9645</v>
      </c>
      <c r="T2317" t="s">
        <v>9646</v>
      </c>
      <c r="U2317" t="s">
        <v>60</v>
      </c>
      <c r="V2317" t="s">
        <v>61</v>
      </c>
      <c r="W2317">
        <v>10</v>
      </c>
      <c r="X2317">
        <v>0.1150625</v>
      </c>
      <c r="Y2317" t="s">
        <v>375</v>
      </c>
      <c r="Z2317" t="s">
        <v>376</v>
      </c>
      <c r="AA2317">
        <v>2</v>
      </c>
      <c r="AB2317" t="s">
        <v>9402</v>
      </c>
      <c r="AC2317" t="s">
        <v>9403</v>
      </c>
      <c r="AD2317" t="s">
        <v>9404</v>
      </c>
      <c r="AE2317" t="s">
        <v>9405</v>
      </c>
      <c r="AF2317" t="s">
        <v>9406</v>
      </c>
      <c r="AG2317" t="s">
        <v>322</v>
      </c>
      <c r="AH2317" t="s">
        <v>191</v>
      </c>
      <c r="AI2317" t="s">
        <v>66</v>
      </c>
      <c r="AJ2317" t="s">
        <v>66</v>
      </c>
      <c r="AK2317">
        <v>1</v>
      </c>
      <c r="AL2317" t="s">
        <v>9602</v>
      </c>
      <c r="AM2317" t="s">
        <v>9603</v>
      </c>
      <c r="AN2317" t="s">
        <v>9604</v>
      </c>
      <c r="AO2317" t="s">
        <v>66</v>
      </c>
      <c r="AP2317">
        <v>1</v>
      </c>
      <c r="AQ2317" t="s">
        <v>9605</v>
      </c>
      <c r="AR2317" t="s">
        <v>9606</v>
      </c>
      <c r="AS2317" t="s">
        <v>66</v>
      </c>
      <c r="AT2317" t="s">
        <v>66</v>
      </c>
    </row>
    <row r="2318" spans="1:46" x14ac:dyDescent="0.15">
      <c r="A2318" t="s">
        <v>9647</v>
      </c>
      <c r="B2318" t="s">
        <v>9398</v>
      </c>
      <c r="C2318" t="s">
        <v>9399</v>
      </c>
      <c r="D2318">
        <v>49</v>
      </c>
      <c r="E2318" t="s">
        <v>9400</v>
      </c>
      <c r="F2318" t="s">
        <v>1551</v>
      </c>
      <c r="G2318" t="s">
        <v>51</v>
      </c>
      <c r="H2318" t="s">
        <v>9401</v>
      </c>
      <c r="I2318" t="s">
        <v>720</v>
      </c>
      <c r="J2318" t="s">
        <v>2572</v>
      </c>
      <c r="K2318" t="s">
        <v>5939</v>
      </c>
      <c r="L2318" t="s">
        <v>17</v>
      </c>
      <c r="M2318" t="s">
        <v>18</v>
      </c>
      <c r="N2318">
        <v>3194</v>
      </c>
      <c r="O2318">
        <v>177</v>
      </c>
      <c r="P2318">
        <v>0</v>
      </c>
      <c r="Q2318" t="s">
        <v>9648</v>
      </c>
      <c r="R2318" t="s">
        <v>9649</v>
      </c>
      <c r="S2318" t="s">
        <v>9650</v>
      </c>
      <c r="T2318" t="s">
        <v>9651</v>
      </c>
      <c r="U2318" t="s">
        <v>60</v>
      </c>
      <c r="V2318" t="s">
        <v>61</v>
      </c>
      <c r="W2318">
        <v>10</v>
      </c>
      <c r="X2318">
        <v>0.1150625</v>
      </c>
      <c r="Y2318" t="s">
        <v>223</v>
      </c>
      <c r="Z2318" t="s">
        <v>382</v>
      </c>
      <c r="AA2318">
        <v>2</v>
      </c>
      <c r="AB2318" t="s">
        <v>9402</v>
      </c>
      <c r="AC2318" t="s">
        <v>9403</v>
      </c>
      <c r="AD2318" t="s">
        <v>9404</v>
      </c>
      <c r="AE2318" t="s">
        <v>9405</v>
      </c>
      <c r="AF2318" t="s">
        <v>9406</v>
      </c>
      <c r="AG2318" t="s">
        <v>322</v>
      </c>
      <c r="AH2318" t="s">
        <v>191</v>
      </c>
      <c r="AI2318" t="s">
        <v>66</v>
      </c>
      <c r="AJ2318" t="s">
        <v>66</v>
      </c>
      <c r="AK2318">
        <v>1</v>
      </c>
      <c r="AL2318" t="s">
        <v>9602</v>
      </c>
      <c r="AM2318" t="s">
        <v>9603</v>
      </c>
      <c r="AN2318" t="s">
        <v>9604</v>
      </c>
      <c r="AO2318" t="s">
        <v>66</v>
      </c>
      <c r="AP2318">
        <v>1</v>
      </c>
      <c r="AQ2318" t="s">
        <v>9605</v>
      </c>
      <c r="AR2318" t="s">
        <v>9606</v>
      </c>
      <c r="AS2318" t="s">
        <v>66</v>
      </c>
      <c r="AT2318" t="s">
        <v>66</v>
      </c>
    </row>
    <row r="2319" spans="1:46" x14ac:dyDescent="0.15">
      <c r="A2319" t="s">
        <v>9652</v>
      </c>
      <c r="B2319" t="s">
        <v>9398</v>
      </c>
      <c r="C2319" t="s">
        <v>9399</v>
      </c>
      <c r="D2319">
        <v>50</v>
      </c>
      <c r="E2319" t="s">
        <v>9400</v>
      </c>
      <c r="F2319" t="s">
        <v>1551</v>
      </c>
      <c r="G2319" t="s">
        <v>51</v>
      </c>
      <c r="H2319" t="s">
        <v>9401</v>
      </c>
      <c r="I2319" t="s">
        <v>720</v>
      </c>
      <c r="J2319" t="s">
        <v>2572</v>
      </c>
      <c r="K2319" t="s">
        <v>5939</v>
      </c>
      <c r="L2319" t="s">
        <v>17</v>
      </c>
      <c r="M2319" t="s">
        <v>18</v>
      </c>
      <c r="N2319">
        <v>3250</v>
      </c>
      <c r="O2319">
        <v>180</v>
      </c>
      <c r="P2319">
        <v>0</v>
      </c>
      <c r="Q2319" t="s">
        <v>9653</v>
      </c>
      <c r="R2319" t="s">
        <v>9654</v>
      </c>
      <c r="S2319" t="s">
        <v>9655</v>
      </c>
      <c r="T2319" t="s">
        <v>9656</v>
      </c>
      <c r="U2319" t="s">
        <v>60</v>
      </c>
      <c r="V2319" t="s">
        <v>61</v>
      </c>
      <c r="W2319">
        <v>10</v>
      </c>
      <c r="X2319">
        <v>0.1150625</v>
      </c>
      <c r="Y2319" t="s">
        <v>388</v>
      </c>
      <c r="Z2319" t="s">
        <v>389</v>
      </c>
      <c r="AA2319">
        <v>2</v>
      </c>
      <c r="AB2319" t="s">
        <v>9402</v>
      </c>
      <c r="AC2319" t="s">
        <v>9403</v>
      </c>
      <c r="AD2319" t="s">
        <v>9404</v>
      </c>
      <c r="AE2319" t="s">
        <v>9405</v>
      </c>
      <c r="AF2319" t="s">
        <v>9406</v>
      </c>
      <c r="AG2319" t="s">
        <v>322</v>
      </c>
      <c r="AH2319" t="s">
        <v>191</v>
      </c>
      <c r="AI2319" t="s">
        <v>66</v>
      </c>
      <c r="AJ2319" t="s">
        <v>66</v>
      </c>
      <c r="AK2319">
        <v>1</v>
      </c>
      <c r="AL2319" t="s">
        <v>9602</v>
      </c>
      <c r="AM2319" t="s">
        <v>9603</v>
      </c>
      <c r="AN2319" t="s">
        <v>9604</v>
      </c>
      <c r="AO2319" t="s">
        <v>66</v>
      </c>
      <c r="AP2319">
        <v>1</v>
      </c>
      <c r="AQ2319" t="s">
        <v>9605</v>
      </c>
      <c r="AR2319" t="s">
        <v>9606</v>
      </c>
      <c r="AS2319" t="s">
        <v>66</v>
      </c>
      <c r="AT2319" t="s">
        <v>66</v>
      </c>
    </row>
    <row r="2320" spans="1:46" x14ac:dyDescent="0.15">
      <c r="A2320" t="s">
        <v>9657</v>
      </c>
      <c r="B2320" t="s">
        <v>9398</v>
      </c>
      <c r="C2320" t="s">
        <v>9399</v>
      </c>
      <c r="D2320">
        <v>51</v>
      </c>
      <c r="E2320" t="s">
        <v>9400</v>
      </c>
      <c r="F2320" t="s">
        <v>1551</v>
      </c>
      <c r="G2320" t="s">
        <v>51</v>
      </c>
      <c r="H2320" t="s">
        <v>9401</v>
      </c>
      <c r="I2320" t="s">
        <v>720</v>
      </c>
      <c r="J2320" t="s">
        <v>2572</v>
      </c>
      <c r="K2320" t="s">
        <v>5939</v>
      </c>
      <c r="L2320" t="s">
        <v>17</v>
      </c>
      <c r="M2320" t="s">
        <v>18</v>
      </c>
      <c r="N2320">
        <v>3306</v>
      </c>
      <c r="O2320">
        <v>183</v>
      </c>
      <c r="P2320">
        <v>0</v>
      </c>
      <c r="Q2320" t="s">
        <v>9658</v>
      </c>
      <c r="R2320" t="s">
        <v>9659</v>
      </c>
      <c r="S2320" t="s">
        <v>9660</v>
      </c>
      <c r="T2320" t="s">
        <v>9661</v>
      </c>
      <c r="U2320" t="s">
        <v>60</v>
      </c>
      <c r="V2320" t="s">
        <v>61</v>
      </c>
      <c r="W2320">
        <v>10</v>
      </c>
      <c r="X2320">
        <v>0.1150625</v>
      </c>
      <c r="Y2320" t="s">
        <v>230</v>
      </c>
      <c r="Z2320" t="s">
        <v>395</v>
      </c>
      <c r="AA2320">
        <v>2</v>
      </c>
      <c r="AB2320" t="s">
        <v>9402</v>
      </c>
      <c r="AC2320" t="s">
        <v>9403</v>
      </c>
      <c r="AD2320" t="s">
        <v>9404</v>
      </c>
      <c r="AE2320" t="s">
        <v>9405</v>
      </c>
      <c r="AF2320" t="s">
        <v>9406</v>
      </c>
      <c r="AG2320" t="s">
        <v>322</v>
      </c>
      <c r="AH2320" t="s">
        <v>191</v>
      </c>
      <c r="AI2320" t="s">
        <v>66</v>
      </c>
      <c r="AJ2320" t="s">
        <v>66</v>
      </c>
      <c r="AK2320">
        <v>1</v>
      </c>
      <c r="AL2320" t="s">
        <v>9602</v>
      </c>
      <c r="AM2320" t="s">
        <v>9603</v>
      </c>
      <c r="AN2320" t="s">
        <v>9604</v>
      </c>
      <c r="AO2320" t="s">
        <v>66</v>
      </c>
      <c r="AP2320">
        <v>1</v>
      </c>
      <c r="AQ2320" t="s">
        <v>9605</v>
      </c>
      <c r="AR2320" t="s">
        <v>9606</v>
      </c>
      <c r="AS2320" t="s">
        <v>66</v>
      </c>
      <c r="AT2320" t="s">
        <v>66</v>
      </c>
    </row>
    <row r="2321" spans="1:46" x14ac:dyDescent="0.15">
      <c r="A2321" t="s">
        <v>9662</v>
      </c>
      <c r="B2321" t="s">
        <v>9398</v>
      </c>
      <c r="C2321" t="s">
        <v>9399</v>
      </c>
      <c r="D2321">
        <v>52</v>
      </c>
      <c r="E2321" t="s">
        <v>9400</v>
      </c>
      <c r="F2321" t="s">
        <v>1551</v>
      </c>
      <c r="G2321" t="s">
        <v>51</v>
      </c>
      <c r="H2321" t="s">
        <v>9401</v>
      </c>
      <c r="I2321" t="s">
        <v>720</v>
      </c>
      <c r="J2321" t="s">
        <v>2572</v>
      </c>
      <c r="K2321" t="s">
        <v>5939</v>
      </c>
      <c r="L2321" t="s">
        <v>17</v>
      </c>
      <c r="M2321" t="s">
        <v>18</v>
      </c>
      <c r="N2321">
        <v>3362</v>
      </c>
      <c r="O2321">
        <v>186</v>
      </c>
      <c r="P2321">
        <v>0</v>
      </c>
      <c r="Q2321" t="s">
        <v>9663</v>
      </c>
      <c r="R2321" t="s">
        <v>9664</v>
      </c>
      <c r="S2321" t="s">
        <v>9665</v>
      </c>
      <c r="T2321" t="s">
        <v>9666</v>
      </c>
      <c r="U2321" t="s">
        <v>60</v>
      </c>
      <c r="V2321" t="s">
        <v>61</v>
      </c>
      <c r="W2321">
        <v>10</v>
      </c>
      <c r="X2321">
        <v>0.1150625</v>
      </c>
      <c r="Y2321" t="s">
        <v>401</v>
      </c>
      <c r="Z2321" t="s">
        <v>402</v>
      </c>
      <c r="AA2321">
        <v>2</v>
      </c>
      <c r="AB2321" t="s">
        <v>9402</v>
      </c>
      <c r="AC2321" t="s">
        <v>9403</v>
      </c>
      <c r="AD2321" t="s">
        <v>9404</v>
      </c>
      <c r="AE2321" t="s">
        <v>9405</v>
      </c>
      <c r="AF2321" t="s">
        <v>9406</v>
      </c>
      <c r="AG2321" t="s">
        <v>322</v>
      </c>
      <c r="AH2321" t="s">
        <v>191</v>
      </c>
      <c r="AI2321" t="s">
        <v>66</v>
      </c>
      <c r="AJ2321" t="s">
        <v>66</v>
      </c>
      <c r="AK2321">
        <v>1</v>
      </c>
      <c r="AL2321" t="s">
        <v>9602</v>
      </c>
      <c r="AM2321" t="s">
        <v>9603</v>
      </c>
      <c r="AN2321" t="s">
        <v>9604</v>
      </c>
      <c r="AO2321" t="s">
        <v>66</v>
      </c>
      <c r="AP2321">
        <v>1</v>
      </c>
      <c r="AQ2321" t="s">
        <v>9605</v>
      </c>
      <c r="AR2321" t="s">
        <v>9606</v>
      </c>
      <c r="AS2321" t="s">
        <v>66</v>
      </c>
      <c r="AT2321" t="s">
        <v>66</v>
      </c>
    </row>
    <row r="2322" spans="1:46" x14ac:dyDescent="0.15">
      <c r="A2322" t="s">
        <v>9667</v>
      </c>
      <c r="B2322" t="s">
        <v>9398</v>
      </c>
      <c r="C2322" t="s">
        <v>9399</v>
      </c>
      <c r="D2322">
        <v>53</v>
      </c>
      <c r="E2322" t="s">
        <v>9400</v>
      </c>
      <c r="F2322" t="s">
        <v>1551</v>
      </c>
      <c r="G2322" t="s">
        <v>51</v>
      </c>
      <c r="H2322" t="s">
        <v>9401</v>
      </c>
      <c r="I2322" t="s">
        <v>720</v>
      </c>
      <c r="J2322" t="s">
        <v>2572</v>
      </c>
      <c r="K2322" t="s">
        <v>5939</v>
      </c>
      <c r="L2322" t="s">
        <v>17</v>
      </c>
      <c r="M2322" t="s">
        <v>18</v>
      </c>
      <c r="N2322">
        <v>3418</v>
      </c>
      <c r="O2322">
        <v>189</v>
      </c>
      <c r="P2322">
        <v>0</v>
      </c>
      <c r="Q2322" t="s">
        <v>9668</v>
      </c>
      <c r="R2322" t="s">
        <v>9669</v>
      </c>
      <c r="S2322" t="s">
        <v>9670</v>
      </c>
      <c r="T2322" t="s">
        <v>9671</v>
      </c>
      <c r="U2322" t="s">
        <v>60</v>
      </c>
      <c r="V2322" t="s">
        <v>61</v>
      </c>
      <c r="W2322">
        <v>10</v>
      </c>
      <c r="X2322">
        <v>0.1150625</v>
      </c>
      <c r="Y2322" t="s">
        <v>236</v>
      </c>
      <c r="Z2322" t="s">
        <v>408</v>
      </c>
      <c r="AA2322">
        <v>2</v>
      </c>
      <c r="AB2322" t="s">
        <v>9402</v>
      </c>
      <c r="AC2322" t="s">
        <v>9403</v>
      </c>
      <c r="AD2322" t="s">
        <v>9404</v>
      </c>
      <c r="AE2322" t="s">
        <v>9405</v>
      </c>
      <c r="AF2322" t="s">
        <v>9406</v>
      </c>
      <c r="AG2322" t="s">
        <v>322</v>
      </c>
      <c r="AH2322" t="s">
        <v>191</v>
      </c>
      <c r="AI2322" t="s">
        <v>66</v>
      </c>
      <c r="AJ2322" t="s">
        <v>66</v>
      </c>
      <c r="AK2322">
        <v>1</v>
      </c>
      <c r="AL2322" t="s">
        <v>9602</v>
      </c>
      <c r="AM2322" t="s">
        <v>9603</v>
      </c>
      <c r="AN2322" t="s">
        <v>9604</v>
      </c>
      <c r="AO2322" t="s">
        <v>66</v>
      </c>
      <c r="AP2322">
        <v>1</v>
      </c>
      <c r="AQ2322" t="s">
        <v>9605</v>
      </c>
      <c r="AR2322" t="s">
        <v>9606</v>
      </c>
      <c r="AS2322" t="s">
        <v>66</v>
      </c>
      <c r="AT2322" t="s">
        <v>66</v>
      </c>
    </row>
    <row r="2323" spans="1:46" x14ac:dyDescent="0.15">
      <c r="A2323" t="s">
        <v>9672</v>
      </c>
      <c r="B2323" t="s">
        <v>9398</v>
      </c>
      <c r="C2323" t="s">
        <v>9399</v>
      </c>
      <c r="D2323">
        <v>54</v>
      </c>
      <c r="E2323" t="s">
        <v>9400</v>
      </c>
      <c r="F2323" t="s">
        <v>1551</v>
      </c>
      <c r="G2323" t="s">
        <v>51</v>
      </c>
      <c r="H2323" t="s">
        <v>9401</v>
      </c>
      <c r="I2323" t="s">
        <v>720</v>
      </c>
      <c r="J2323" t="s">
        <v>2572</v>
      </c>
      <c r="K2323" t="s">
        <v>5939</v>
      </c>
      <c r="L2323" t="s">
        <v>17</v>
      </c>
      <c r="M2323" t="s">
        <v>18</v>
      </c>
      <c r="N2323">
        <v>3474</v>
      </c>
      <c r="O2323">
        <v>193</v>
      </c>
      <c r="P2323">
        <v>0</v>
      </c>
      <c r="Q2323" t="s">
        <v>9673</v>
      </c>
      <c r="R2323" t="s">
        <v>9674</v>
      </c>
      <c r="S2323" t="s">
        <v>9675</v>
      </c>
      <c r="T2323" t="s">
        <v>9676</v>
      </c>
      <c r="U2323" t="s">
        <v>60</v>
      </c>
      <c r="V2323" t="s">
        <v>61</v>
      </c>
      <c r="W2323">
        <v>10</v>
      </c>
      <c r="X2323">
        <v>0.1150625</v>
      </c>
      <c r="Y2323" t="s">
        <v>414</v>
      </c>
      <c r="Z2323" t="s">
        <v>415</v>
      </c>
      <c r="AA2323">
        <v>2</v>
      </c>
      <c r="AB2323" t="s">
        <v>9402</v>
      </c>
      <c r="AC2323" t="s">
        <v>9403</v>
      </c>
      <c r="AD2323" t="s">
        <v>9404</v>
      </c>
      <c r="AE2323" t="s">
        <v>9405</v>
      </c>
      <c r="AF2323" t="s">
        <v>9406</v>
      </c>
      <c r="AG2323" t="s">
        <v>322</v>
      </c>
      <c r="AH2323" t="s">
        <v>191</v>
      </c>
      <c r="AI2323" t="s">
        <v>66</v>
      </c>
      <c r="AJ2323" t="s">
        <v>66</v>
      </c>
      <c r="AK2323">
        <v>1</v>
      </c>
      <c r="AL2323" t="s">
        <v>9602</v>
      </c>
      <c r="AM2323" t="s">
        <v>9603</v>
      </c>
      <c r="AN2323" t="s">
        <v>9604</v>
      </c>
      <c r="AO2323" t="s">
        <v>66</v>
      </c>
      <c r="AP2323">
        <v>1</v>
      </c>
      <c r="AQ2323" t="s">
        <v>9605</v>
      </c>
      <c r="AR2323" t="s">
        <v>9606</v>
      </c>
      <c r="AS2323" t="s">
        <v>66</v>
      </c>
      <c r="AT2323" t="s">
        <v>66</v>
      </c>
    </row>
    <row r="2324" spans="1:46" x14ac:dyDescent="0.15">
      <c r="A2324" t="s">
        <v>9677</v>
      </c>
      <c r="B2324" t="s">
        <v>9398</v>
      </c>
      <c r="C2324" t="s">
        <v>9399</v>
      </c>
      <c r="D2324">
        <v>55</v>
      </c>
      <c r="E2324" t="s">
        <v>9400</v>
      </c>
      <c r="F2324" t="s">
        <v>1551</v>
      </c>
      <c r="G2324" t="s">
        <v>51</v>
      </c>
      <c r="H2324" t="s">
        <v>9401</v>
      </c>
      <c r="I2324" t="s">
        <v>720</v>
      </c>
      <c r="J2324" t="s">
        <v>2572</v>
      </c>
      <c r="K2324" t="s">
        <v>5939</v>
      </c>
      <c r="L2324" t="s">
        <v>17</v>
      </c>
      <c r="M2324" t="s">
        <v>18</v>
      </c>
      <c r="N2324">
        <v>3531</v>
      </c>
      <c r="O2324">
        <v>196</v>
      </c>
      <c r="P2324">
        <v>0</v>
      </c>
      <c r="Q2324" t="s">
        <v>9678</v>
      </c>
      <c r="R2324" t="s">
        <v>9679</v>
      </c>
      <c r="S2324" t="s">
        <v>9680</v>
      </c>
      <c r="T2324" t="s">
        <v>9681</v>
      </c>
      <c r="U2324" t="s">
        <v>60</v>
      </c>
      <c r="V2324" t="s">
        <v>61</v>
      </c>
      <c r="W2324">
        <v>10</v>
      </c>
      <c r="X2324">
        <v>0.1150625</v>
      </c>
      <c r="Y2324" t="s">
        <v>243</v>
      </c>
      <c r="Z2324" t="s">
        <v>421</v>
      </c>
      <c r="AA2324">
        <v>2</v>
      </c>
      <c r="AB2324" t="s">
        <v>9402</v>
      </c>
      <c r="AC2324" t="s">
        <v>9403</v>
      </c>
      <c r="AD2324" t="s">
        <v>9404</v>
      </c>
      <c r="AE2324" t="s">
        <v>9405</v>
      </c>
      <c r="AF2324" t="s">
        <v>9406</v>
      </c>
      <c r="AG2324" t="s">
        <v>322</v>
      </c>
      <c r="AH2324" t="s">
        <v>191</v>
      </c>
      <c r="AI2324" t="s">
        <v>66</v>
      </c>
      <c r="AJ2324" t="s">
        <v>66</v>
      </c>
      <c r="AK2324">
        <v>1</v>
      </c>
      <c r="AL2324" t="s">
        <v>9602</v>
      </c>
      <c r="AM2324" t="s">
        <v>9603</v>
      </c>
      <c r="AN2324" t="s">
        <v>9604</v>
      </c>
      <c r="AO2324" t="s">
        <v>66</v>
      </c>
      <c r="AP2324">
        <v>1</v>
      </c>
      <c r="AQ2324" t="s">
        <v>9605</v>
      </c>
      <c r="AR2324" t="s">
        <v>9606</v>
      </c>
      <c r="AS2324" t="s">
        <v>66</v>
      </c>
      <c r="AT2324" t="s">
        <v>66</v>
      </c>
    </row>
    <row r="2325" spans="1:46" x14ac:dyDescent="0.15">
      <c r="A2325" t="s">
        <v>9682</v>
      </c>
      <c r="B2325" t="s">
        <v>9398</v>
      </c>
      <c r="C2325" t="s">
        <v>9399</v>
      </c>
      <c r="D2325">
        <v>56</v>
      </c>
      <c r="E2325" t="s">
        <v>9400</v>
      </c>
      <c r="F2325" t="s">
        <v>1551</v>
      </c>
      <c r="G2325" t="s">
        <v>51</v>
      </c>
      <c r="H2325" t="s">
        <v>9401</v>
      </c>
      <c r="I2325" t="s">
        <v>720</v>
      </c>
      <c r="J2325" t="s">
        <v>2572</v>
      </c>
      <c r="K2325" t="s">
        <v>5939</v>
      </c>
      <c r="L2325" t="s">
        <v>17</v>
      </c>
      <c r="M2325" t="s">
        <v>18</v>
      </c>
      <c r="N2325">
        <v>3587</v>
      </c>
      <c r="O2325">
        <v>199</v>
      </c>
      <c r="P2325">
        <v>0</v>
      </c>
      <c r="Q2325" t="s">
        <v>9683</v>
      </c>
      <c r="R2325" t="s">
        <v>9684</v>
      </c>
      <c r="S2325" t="s">
        <v>9685</v>
      </c>
      <c r="T2325" t="s">
        <v>9686</v>
      </c>
      <c r="U2325" t="s">
        <v>60</v>
      </c>
      <c r="V2325" t="s">
        <v>61</v>
      </c>
      <c r="W2325">
        <v>10</v>
      </c>
      <c r="X2325">
        <v>0.1150625</v>
      </c>
      <c r="Y2325" t="s">
        <v>427</v>
      </c>
      <c r="Z2325" t="s">
        <v>428</v>
      </c>
      <c r="AA2325">
        <v>2</v>
      </c>
      <c r="AB2325" t="s">
        <v>9402</v>
      </c>
      <c r="AC2325" t="s">
        <v>9403</v>
      </c>
      <c r="AD2325" t="s">
        <v>9404</v>
      </c>
      <c r="AE2325" t="s">
        <v>9405</v>
      </c>
      <c r="AF2325" t="s">
        <v>9406</v>
      </c>
      <c r="AG2325" t="s">
        <v>322</v>
      </c>
      <c r="AH2325" t="s">
        <v>191</v>
      </c>
      <c r="AI2325" t="s">
        <v>66</v>
      </c>
      <c r="AJ2325" t="s">
        <v>66</v>
      </c>
      <c r="AK2325">
        <v>1</v>
      </c>
      <c r="AL2325" t="s">
        <v>9602</v>
      </c>
      <c r="AM2325" t="s">
        <v>9603</v>
      </c>
      <c r="AN2325" t="s">
        <v>9604</v>
      </c>
      <c r="AO2325" t="s">
        <v>66</v>
      </c>
      <c r="AP2325">
        <v>1</v>
      </c>
      <c r="AQ2325" t="s">
        <v>9605</v>
      </c>
      <c r="AR2325" t="s">
        <v>9606</v>
      </c>
      <c r="AS2325" t="s">
        <v>66</v>
      </c>
      <c r="AT2325" t="s">
        <v>66</v>
      </c>
    </row>
    <row r="2326" spans="1:46" x14ac:dyDescent="0.15">
      <c r="A2326" t="s">
        <v>9687</v>
      </c>
      <c r="B2326" t="s">
        <v>9398</v>
      </c>
      <c r="C2326" t="s">
        <v>9399</v>
      </c>
      <c r="D2326">
        <v>57</v>
      </c>
      <c r="E2326" t="s">
        <v>9400</v>
      </c>
      <c r="F2326" t="s">
        <v>1551</v>
      </c>
      <c r="G2326" t="s">
        <v>51</v>
      </c>
      <c r="H2326" t="s">
        <v>9401</v>
      </c>
      <c r="I2326" t="s">
        <v>720</v>
      </c>
      <c r="J2326" t="s">
        <v>2572</v>
      </c>
      <c r="K2326" t="s">
        <v>5939</v>
      </c>
      <c r="L2326" t="s">
        <v>17</v>
      </c>
      <c r="M2326" t="s">
        <v>18</v>
      </c>
      <c r="N2326">
        <v>3643</v>
      </c>
      <c r="O2326">
        <v>202</v>
      </c>
      <c r="P2326">
        <v>0</v>
      </c>
      <c r="Q2326" t="s">
        <v>9688</v>
      </c>
      <c r="R2326" t="s">
        <v>9689</v>
      </c>
      <c r="S2326" t="s">
        <v>9690</v>
      </c>
      <c r="T2326" t="s">
        <v>9691</v>
      </c>
      <c r="U2326" t="s">
        <v>60</v>
      </c>
      <c r="V2326" t="s">
        <v>61</v>
      </c>
      <c r="W2326">
        <v>10</v>
      </c>
      <c r="X2326">
        <v>0.1150625</v>
      </c>
      <c r="Y2326" t="s">
        <v>249</v>
      </c>
      <c r="Z2326" t="s">
        <v>434</v>
      </c>
      <c r="AA2326">
        <v>2</v>
      </c>
      <c r="AB2326" t="s">
        <v>9402</v>
      </c>
      <c r="AC2326" t="s">
        <v>9403</v>
      </c>
      <c r="AD2326" t="s">
        <v>9404</v>
      </c>
      <c r="AE2326" t="s">
        <v>9405</v>
      </c>
      <c r="AF2326" t="s">
        <v>9406</v>
      </c>
      <c r="AG2326" t="s">
        <v>322</v>
      </c>
      <c r="AH2326" t="s">
        <v>191</v>
      </c>
      <c r="AI2326" t="s">
        <v>66</v>
      </c>
      <c r="AJ2326" t="s">
        <v>66</v>
      </c>
      <c r="AK2326">
        <v>1</v>
      </c>
      <c r="AL2326" t="s">
        <v>9602</v>
      </c>
      <c r="AM2326" t="s">
        <v>9603</v>
      </c>
      <c r="AN2326" t="s">
        <v>9604</v>
      </c>
      <c r="AO2326" t="s">
        <v>66</v>
      </c>
      <c r="AP2326">
        <v>1</v>
      </c>
      <c r="AQ2326" t="s">
        <v>9605</v>
      </c>
      <c r="AR2326" t="s">
        <v>9606</v>
      </c>
      <c r="AS2326" t="s">
        <v>66</v>
      </c>
      <c r="AT2326" t="s">
        <v>66</v>
      </c>
    </row>
    <row r="2327" spans="1:46" x14ac:dyDescent="0.15">
      <c r="A2327" t="s">
        <v>9692</v>
      </c>
      <c r="B2327" t="s">
        <v>9398</v>
      </c>
      <c r="C2327" t="s">
        <v>9399</v>
      </c>
      <c r="D2327">
        <v>58</v>
      </c>
      <c r="E2327" t="s">
        <v>9400</v>
      </c>
      <c r="F2327" t="s">
        <v>1551</v>
      </c>
      <c r="G2327" t="s">
        <v>51</v>
      </c>
      <c r="H2327" t="s">
        <v>9401</v>
      </c>
      <c r="I2327" t="s">
        <v>720</v>
      </c>
      <c r="J2327" t="s">
        <v>2572</v>
      </c>
      <c r="K2327" t="s">
        <v>5939</v>
      </c>
      <c r="L2327" t="s">
        <v>17</v>
      </c>
      <c r="M2327" t="s">
        <v>18</v>
      </c>
      <c r="N2327">
        <v>3699</v>
      </c>
      <c r="O2327">
        <v>205</v>
      </c>
      <c r="P2327">
        <v>0</v>
      </c>
      <c r="Q2327" t="s">
        <v>9693</v>
      </c>
      <c r="R2327" t="s">
        <v>9694</v>
      </c>
      <c r="S2327" t="s">
        <v>9695</v>
      </c>
      <c r="T2327" t="s">
        <v>9696</v>
      </c>
      <c r="U2327" t="s">
        <v>60</v>
      </c>
      <c r="V2327" t="s">
        <v>61</v>
      </c>
      <c r="W2327">
        <v>10</v>
      </c>
      <c r="X2327">
        <v>0.1150625</v>
      </c>
      <c r="Y2327" t="s">
        <v>440</v>
      </c>
      <c r="Z2327" t="s">
        <v>441</v>
      </c>
      <c r="AA2327">
        <v>2</v>
      </c>
      <c r="AB2327" t="s">
        <v>9402</v>
      </c>
      <c r="AC2327" t="s">
        <v>9403</v>
      </c>
      <c r="AD2327" t="s">
        <v>9404</v>
      </c>
      <c r="AE2327" t="s">
        <v>9405</v>
      </c>
      <c r="AF2327" t="s">
        <v>9406</v>
      </c>
      <c r="AG2327" t="s">
        <v>322</v>
      </c>
      <c r="AH2327" t="s">
        <v>191</v>
      </c>
      <c r="AI2327" t="s">
        <v>66</v>
      </c>
      <c r="AJ2327" t="s">
        <v>66</v>
      </c>
      <c r="AK2327">
        <v>1</v>
      </c>
      <c r="AL2327" t="s">
        <v>9602</v>
      </c>
      <c r="AM2327" t="s">
        <v>9603</v>
      </c>
      <c r="AN2327" t="s">
        <v>9604</v>
      </c>
      <c r="AO2327" t="s">
        <v>66</v>
      </c>
      <c r="AP2327">
        <v>1</v>
      </c>
      <c r="AQ2327" t="s">
        <v>9605</v>
      </c>
      <c r="AR2327" t="s">
        <v>9606</v>
      </c>
      <c r="AS2327" t="s">
        <v>66</v>
      </c>
      <c r="AT2327" t="s">
        <v>66</v>
      </c>
    </row>
    <row r="2328" spans="1:46" x14ac:dyDescent="0.15">
      <c r="A2328" t="s">
        <v>9697</v>
      </c>
      <c r="B2328" t="s">
        <v>9398</v>
      </c>
      <c r="C2328" t="s">
        <v>9399</v>
      </c>
      <c r="D2328">
        <v>59</v>
      </c>
      <c r="E2328" t="s">
        <v>9400</v>
      </c>
      <c r="F2328" t="s">
        <v>1551</v>
      </c>
      <c r="G2328" t="s">
        <v>51</v>
      </c>
      <c r="H2328" t="s">
        <v>9401</v>
      </c>
      <c r="I2328" t="s">
        <v>720</v>
      </c>
      <c r="J2328" t="s">
        <v>2572</v>
      </c>
      <c r="K2328" t="s">
        <v>5939</v>
      </c>
      <c r="L2328" t="s">
        <v>17</v>
      </c>
      <c r="M2328" t="s">
        <v>18</v>
      </c>
      <c r="N2328">
        <v>3755</v>
      </c>
      <c r="O2328">
        <v>208</v>
      </c>
      <c r="P2328">
        <v>0</v>
      </c>
      <c r="Q2328" t="s">
        <v>9698</v>
      </c>
      <c r="R2328" t="s">
        <v>9699</v>
      </c>
      <c r="S2328" t="s">
        <v>9700</v>
      </c>
      <c r="T2328" t="s">
        <v>9701</v>
      </c>
      <c r="U2328" t="s">
        <v>60</v>
      </c>
      <c r="V2328" t="s">
        <v>61</v>
      </c>
      <c r="W2328">
        <v>10</v>
      </c>
      <c r="X2328">
        <v>0.1150625</v>
      </c>
      <c r="Y2328" t="s">
        <v>256</v>
      </c>
      <c r="Z2328" t="s">
        <v>447</v>
      </c>
      <c r="AA2328">
        <v>2</v>
      </c>
      <c r="AB2328" t="s">
        <v>9402</v>
      </c>
      <c r="AC2328" t="s">
        <v>9403</v>
      </c>
      <c r="AD2328" t="s">
        <v>9404</v>
      </c>
      <c r="AE2328" t="s">
        <v>9405</v>
      </c>
      <c r="AF2328" t="s">
        <v>9406</v>
      </c>
      <c r="AG2328" t="s">
        <v>322</v>
      </c>
      <c r="AH2328" t="s">
        <v>191</v>
      </c>
      <c r="AI2328" t="s">
        <v>66</v>
      </c>
      <c r="AJ2328" t="s">
        <v>66</v>
      </c>
      <c r="AK2328">
        <v>1</v>
      </c>
      <c r="AL2328" t="s">
        <v>9602</v>
      </c>
      <c r="AM2328" t="s">
        <v>9603</v>
      </c>
      <c r="AN2328" t="s">
        <v>9604</v>
      </c>
      <c r="AO2328" t="s">
        <v>66</v>
      </c>
      <c r="AP2328">
        <v>1</v>
      </c>
      <c r="AQ2328" t="s">
        <v>9605</v>
      </c>
      <c r="AR2328" t="s">
        <v>9606</v>
      </c>
      <c r="AS2328" t="s">
        <v>66</v>
      </c>
      <c r="AT2328" t="s">
        <v>66</v>
      </c>
    </row>
    <row r="2329" spans="1:46" x14ac:dyDescent="0.15">
      <c r="A2329" t="s">
        <v>9702</v>
      </c>
      <c r="B2329" t="s">
        <v>9398</v>
      </c>
      <c r="C2329" t="s">
        <v>9399</v>
      </c>
      <c r="D2329">
        <v>60</v>
      </c>
      <c r="E2329" t="s">
        <v>9400</v>
      </c>
      <c r="F2329" t="s">
        <v>1551</v>
      </c>
      <c r="G2329" t="s">
        <v>51</v>
      </c>
      <c r="H2329" t="s">
        <v>9401</v>
      </c>
      <c r="I2329" t="s">
        <v>720</v>
      </c>
      <c r="J2329" t="s">
        <v>2572</v>
      </c>
      <c r="K2329" t="s">
        <v>5939</v>
      </c>
      <c r="L2329" t="s">
        <v>17</v>
      </c>
      <c r="M2329" t="s">
        <v>18</v>
      </c>
      <c r="N2329">
        <v>3811</v>
      </c>
      <c r="O2329">
        <v>211</v>
      </c>
      <c r="P2329">
        <v>0</v>
      </c>
      <c r="Q2329" t="s">
        <v>9703</v>
      </c>
      <c r="R2329" t="s">
        <v>9704</v>
      </c>
      <c r="S2329" t="s">
        <v>9705</v>
      </c>
      <c r="T2329" t="s">
        <v>9706</v>
      </c>
      <c r="U2329" t="s">
        <v>60</v>
      </c>
      <c r="V2329" t="s">
        <v>61</v>
      </c>
      <c r="W2329">
        <v>10</v>
      </c>
      <c r="X2329">
        <v>0.1150625</v>
      </c>
      <c r="Y2329" t="s">
        <v>453</v>
      </c>
      <c r="Z2329" t="s">
        <v>454</v>
      </c>
      <c r="AA2329">
        <v>2</v>
      </c>
      <c r="AB2329" t="s">
        <v>9402</v>
      </c>
      <c r="AC2329" t="s">
        <v>9403</v>
      </c>
      <c r="AD2329" t="s">
        <v>9404</v>
      </c>
      <c r="AE2329" t="s">
        <v>9405</v>
      </c>
      <c r="AF2329" t="s">
        <v>9406</v>
      </c>
      <c r="AG2329" t="s">
        <v>322</v>
      </c>
      <c r="AH2329" t="s">
        <v>191</v>
      </c>
      <c r="AI2329" t="s">
        <v>66</v>
      </c>
      <c r="AJ2329" t="s">
        <v>66</v>
      </c>
      <c r="AK2329">
        <v>1</v>
      </c>
      <c r="AL2329" t="s">
        <v>9602</v>
      </c>
      <c r="AM2329" t="s">
        <v>9603</v>
      </c>
      <c r="AN2329" t="s">
        <v>9604</v>
      </c>
      <c r="AO2329" t="s">
        <v>66</v>
      </c>
      <c r="AP2329">
        <v>1</v>
      </c>
      <c r="AQ2329" t="s">
        <v>9605</v>
      </c>
      <c r="AR2329" t="s">
        <v>9606</v>
      </c>
      <c r="AS2329" t="s">
        <v>66</v>
      </c>
      <c r="AT2329" t="s">
        <v>66</v>
      </c>
    </row>
    <row r="2330" spans="1:46" x14ac:dyDescent="0.15">
      <c r="A2330" t="s">
        <v>9702</v>
      </c>
      <c r="B2330" t="s">
        <v>9398</v>
      </c>
      <c r="C2330" t="s">
        <v>9399</v>
      </c>
      <c r="D2330">
        <v>60</v>
      </c>
      <c r="E2330" t="s">
        <v>9400</v>
      </c>
      <c r="F2330" t="s">
        <v>1551</v>
      </c>
      <c r="G2330" t="s">
        <v>51</v>
      </c>
      <c r="H2330" t="s">
        <v>9401</v>
      </c>
      <c r="I2330" t="s">
        <v>720</v>
      </c>
      <c r="J2330" t="s">
        <v>2572</v>
      </c>
      <c r="K2330" t="s">
        <v>5939</v>
      </c>
      <c r="L2330" t="s">
        <v>17</v>
      </c>
      <c r="M2330" t="s">
        <v>18</v>
      </c>
      <c r="N2330">
        <v>3811</v>
      </c>
      <c r="O2330">
        <v>211</v>
      </c>
      <c r="P2330">
        <v>0</v>
      </c>
      <c r="Q2330" t="s">
        <v>9703</v>
      </c>
      <c r="R2330" t="s">
        <v>9704</v>
      </c>
      <c r="S2330" t="s">
        <v>9705</v>
      </c>
      <c r="T2330" t="s">
        <v>9706</v>
      </c>
      <c r="U2330" t="s">
        <v>60</v>
      </c>
      <c r="V2330" t="s">
        <v>61</v>
      </c>
      <c r="W2330">
        <v>10</v>
      </c>
      <c r="X2330">
        <v>0.1150625</v>
      </c>
      <c r="Y2330" t="s">
        <v>453</v>
      </c>
      <c r="Z2330" t="s">
        <v>454</v>
      </c>
      <c r="AA2330">
        <v>3</v>
      </c>
      <c r="AB2330" t="s">
        <v>9402</v>
      </c>
      <c r="AC2330" t="s">
        <v>9403</v>
      </c>
      <c r="AD2330" t="s">
        <v>9404</v>
      </c>
      <c r="AE2330" t="s">
        <v>9405</v>
      </c>
      <c r="AF2330" t="s">
        <v>9406</v>
      </c>
      <c r="AG2330" t="s">
        <v>322</v>
      </c>
      <c r="AH2330" t="s">
        <v>191</v>
      </c>
      <c r="AI2330" t="s">
        <v>322</v>
      </c>
      <c r="AJ2330" t="s">
        <v>66</v>
      </c>
      <c r="AK2330">
        <v>1</v>
      </c>
      <c r="AL2330" t="s">
        <v>9602</v>
      </c>
      <c r="AM2330" t="s">
        <v>9603</v>
      </c>
      <c r="AN2330" t="s">
        <v>9604</v>
      </c>
      <c r="AO2330" t="s">
        <v>66</v>
      </c>
      <c r="AP2330">
        <v>1</v>
      </c>
      <c r="AQ2330" t="s">
        <v>9605</v>
      </c>
      <c r="AR2330" t="s">
        <v>9606</v>
      </c>
      <c r="AS2330" t="s">
        <v>9707</v>
      </c>
      <c r="AT2330" t="s">
        <v>66</v>
      </c>
    </row>
    <row r="2331" spans="1:46" x14ac:dyDescent="0.15">
      <c r="A2331" t="s">
        <v>9708</v>
      </c>
      <c r="B2331" t="s">
        <v>9398</v>
      </c>
      <c r="C2331" t="s">
        <v>9399</v>
      </c>
      <c r="D2331">
        <v>61</v>
      </c>
      <c r="E2331" t="s">
        <v>9400</v>
      </c>
      <c r="F2331" t="s">
        <v>1551</v>
      </c>
      <c r="G2331" t="s">
        <v>51</v>
      </c>
      <c r="H2331" t="s">
        <v>9401</v>
      </c>
      <c r="I2331" t="s">
        <v>720</v>
      </c>
      <c r="J2331" t="s">
        <v>2572</v>
      </c>
      <c r="K2331" t="s">
        <v>5939</v>
      </c>
      <c r="L2331" t="s">
        <v>17</v>
      </c>
      <c r="M2331" t="s">
        <v>18</v>
      </c>
      <c r="N2331">
        <v>3867</v>
      </c>
      <c r="O2331">
        <v>214</v>
      </c>
      <c r="P2331">
        <v>0</v>
      </c>
      <c r="Q2331" t="s">
        <v>9709</v>
      </c>
      <c r="R2331" t="s">
        <v>9710</v>
      </c>
      <c r="S2331" t="s">
        <v>9711</v>
      </c>
      <c r="T2331" t="s">
        <v>9712</v>
      </c>
      <c r="U2331" t="s">
        <v>60</v>
      </c>
      <c r="V2331" t="s">
        <v>61</v>
      </c>
      <c r="W2331">
        <v>10</v>
      </c>
      <c r="X2331">
        <v>0.1150625</v>
      </c>
      <c r="Y2331" t="s">
        <v>262</v>
      </c>
      <c r="Z2331" t="s">
        <v>465</v>
      </c>
      <c r="AA2331">
        <v>3</v>
      </c>
      <c r="AB2331" t="s">
        <v>9402</v>
      </c>
      <c r="AC2331" t="s">
        <v>9403</v>
      </c>
      <c r="AD2331" t="s">
        <v>9404</v>
      </c>
      <c r="AE2331" t="s">
        <v>9405</v>
      </c>
      <c r="AF2331" t="s">
        <v>9406</v>
      </c>
      <c r="AG2331" t="s">
        <v>322</v>
      </c>
      <c r="AH2331" t="s">
        <v>191</v>
      </c>
      <c r="AI2331" t="s">
        <v>322</v>
      </c>
      <c r="AJ2331" t="s">
        <v>66</v>
      </c>
      <c r="AK2331">
        <v>1</v>
      </c>
      <c r="AL2331" t="s">
        <v>9602</v>
      </c>
      <c r="AM2331" t="s">
        <v>9603</v>
      </c>
      <c r="AN2331" t="s">
        <v>9604</v>
      </c>
      <c r="AO2331" t="s">
        <v>66</v>
      </c>
      <c r="AP2331">
        <v>1</v>
      </c>
      <c r="AQ2331" t="s">
        <v>9605</v>
      </c>
      <c r="AR2331" t="s">
        <v>9606</v>
      </c>
      <c r="AS2331" t="s">
        <v>9707</v>
      </c>
      <c r="AT2331" t="s">
        <v>66</v>
      </c>
    </row>
    <row r="2332" spans="1:46" x14ac:dyDescent="0.15">
      <c r="A2332" t="s">
        <v>9713</v>
      </c>
      <c r="B2332" t="s">
        <v>9398</v>
      </c>
      <c r="C2332" t="s">
        <v>9399</v>
      </c>
      <c r="D2332">
        <v>62</v>
      </c>
      <c r="E2332" t="s">
        <v>9400</v>
      </c>
      <c r="F2332" t="s">
        <v>1551</v>
      </c>
      <c r="G2332" t="s">
        <v>51</v>
      </c>
      <c r="H2332" t="s">
        <v>9401</v>
      </c>
      <c r="I2332" t="s">
        <v>720</v>
      </c>
      <c r="J2332" t="s">
        <v>2572</v>
      </c>
      <c r="K2332" t="s">
        <v>5939</v>
      </c>
      <c r="L2332" t="s">
        <v>17</v>
      </c>
      <c r="M2332" t="s">
        <v>18</v>
      </c>
      <c r="N2332">
        <v>3923</v>
      </c>
      <c r="O2332">
        <v>217</v>
      </c>
      <c r="P2332">
        <v>0</v>
      </c>
      <c r="Q2332" t="s">
        <v>9714</v>
      </c>
      <c r="R2332" t="s">
        <v>9715</v>
      </c>
      <c r="S2332" t="s">
        <v>9716</v>
      </c>
      <c r="T2332" t="s">
        <v>9717</v>
      </c>
      <c r="U2332" t="s">
        <v>60</v>
      </c>
      <c r="V2332" t="s">
        <v>61</v>
      </c>
      <c r="W2332">
        <v>10</v>
      </c>
      <c r="X2332">
        <v>0.1150625</v>
      </c>
      <c r="Y2332" t="s">
        <v>471</v>
      </c>
      <c r="Z2332" t="s">
        <v>472</v>
      </c>
      <c r="AA2332">
        <v>3</v>
      </c>
      <c r="AB2332" t="s">
        <v>9402</v>
      </c>
      <c r="AC2332" t="s">
        <v>9403</v>
      </c>
      <c r="AD2332" t="s">
        <v>9404</v>
      </c>
      <c r="AE2332" t="s">
        <v>9405</v>
      </c>
      <c r="AF2332" t="s">
        <v>9406</v>
      </c>
      <c r="AG2332" t="s">
        <v>322</v>
      </c>
      <c r="AH2332" t="s">
        <v>191</v>
      </c>
      <c r="AI2332" t="s">
        <v>322</v>
      </c>
      <c r="AJ2332" t="s">
        <v>66</v>
      </c>
      <c r="AK2332">
        <v>1</v>
      </c>
      <c r="AL2332" t="s">
        <v>9602</v>
      </c>
      <c r="AM2332" t="s">
        <v>9603</v>
      </c>
      <c r="AN2332" t="s">
        <v>9604</v>
      </c>
      <c r="AO2332" t="s">
        <v>66</v>
      </c>
      <c r="AP2332">
        <v>1</v>
      </c>
      <c r="AQ2332" t="s">
        <v>9605</v>
      </c>
      <c r="AR2332" t="s">
        <v>9606</v>
      </c>
      <c r="AS2332" t="s">
        <v>9707</v>
      </c>
      <c r="AT2332" t="s">
        <v>66</v>
      </c>
    </row>
    <row r="2333" spans="1:46" x14ac:dyDescent="0.15">
      <c r="A2333" t="s">
        <v>9718</v>
      </c>
      <c r="B2333" t="s">
        <v>9398</v>
      </c>
      <c r="C2333" t="s">
        <v>9399</v>
      </c>
      <c r="D2333">
        <v>63</v>
      </c>
      <c r="E2333" t="s">
        <v>9400</v>
      </c>
      <c r="F2333" t="s">
        <v>1551</v>
      </c>
      <c r="G2333" t="s">
        <v>51</v>
      </c>
      <c r="H2333" t="s">
        <v>9401</v>
      </c>
      <c r="I2333" t="s">
        <v>720</v>
      </c>
      <c r="J2333" t="s">
        <v>2572</v>
      </c>
      <c r="K2333" t="s">
        <v>5939</v>
      </c>
      <c r="L2333" t="s">
        <v>17</v>
      </c>
      <c r="M2333" t="s">
        <v>18</v>
      </c>
      <c r="N2333">
        <v>3980</v>
      </c>
      <c r="O2333">
        <v>220</v>
      </c>
      <c r="P2333">
        <v>0</v>
      </c>
      <c r="Q2333" t="s">
        <v>9719</v>
      </c>
      <c r="R2333" t="s">
        <v>9720</v>
      </c>
      <c r="S2333" t="s">
        <v>9721</v>
      </c>
      <c r="T2333" t="s">
        <v>9722</v>
      </c>
      <c r="U2333" t="s">
        <v>60</v>
      </c>
      <c r="V2333" t="s">
        <v>61</v>
      </c>
      <c r="W2333">
        <v>10</v>
      </c>
      <c r="X2333">
        <v>0.1150625</v>
      </c>
      <c r="Y2333" t="s">
        <v>269</v>
      </c>
      <c r="Z2333" t="s">
        <v>478</v>
      </c>
      <c r="AA2333">
        <v>3</v>
      </c>
      <c r="AB2333" t="s">
        <v>9402</v>
      </c>
      <c r="AC2333" t="s">
        <v>9403</v>
      </c>
      <c r="AD2333" t="s">
        <v>9404</v>
      </c>
      <c r="AE2333" t="s">
        <v>9405</v>
      </c>
      <c r="AF2333" t="s">
        <v>9406</v>
      </c>
      <c r="AG2333" t="s">
        <v>322</v>
      </c>
      <c r="AH2333" t="s">
        <v>191</v>
      </c>
      <c r="AI2333" t="s">
        <v>322</v>
      </c>
      <c r="AJ2333" t="s">
        <v>66</v>
      </c>
      <c r="AK2333">
        <v>1</v>
      </c>
      <c r="AL2333" t="s">
        <v>9602</v>
      </c>
      <c r="AM2333" t="s">
        <v>9603</v>
      </c>
      <c r="AN2333" t="s">
        <v>9604</v>
      </c>
      <c r="AO2333" t="s">
        <v>66</v>
      </c>
      <c r="AP2333">
        <v>1</v>
      </c>
      <c r="AQ2333" t="s">
        <v>9605</v>
      </c>
      <c r="AR2333" t="s">
        <v>9606</v>
      </c>
      <c r="AS2333" t="s">
        <v>9707</v>
      </c>
      <c r="AT2333" t="s">
        <v>66</v>
      </c>
    </row>
    <row r="2334" spans="1:46" x14ac:dyDescent="0.15">
      <c r="A2334" t="s">
        <v>9723</v>
      </c>
      <c r="B2334" t="s">
        <v>9398</v>
      </c>
      <c r="C2334" t="s">
        <v>9399</v>
      </c>
      <c r="D2334">
        <v>64</v>
      </c>
      <c r="E2334" t="s">
        <v>9400</v>
      </c>
      <c r="F2334" t="s">
        <v>1551</v>
      </c>
      <c r="G2334" t="s">
        <v>51</v>
      </c>
      <c r="H2334" t="s">
        <v>9401</v>
      </c>
      <c r="I2334" t="s">
        <v>720</v>
      </c>
      <c r="J2334" t="s">
        <v>2572</v>
      </c>
      <c r="K2334" t="s">
        <v>5939</v>
      </c>
      <c r="L2334" t="s">
        <v>17</v>
      </c>
      <c r="M2334" t="s">
        <v>18</v>
      </c>
      <c r="N2334">
        <v>4036</v>
      </c>
      <c r="O2334">
        <v>223</v>
      </c>
      <c r="P2334">
        <v>0</v>
      </c>
      <c r="Q2334" t="s">
        <v>9724</v>
      </c>
      <c r="R2334" t="s">
        <v>9725</v>
      </c>
      <c r="S2334" t="s">
        <v>9726</v>
      </c>
      <c r="T2334" t="s">
        <v>9727</v>
      </c>
      <c r="U2334" t="s">
        <v>60</v>
      </c>
      <c r="V2334" t="s">
        <v>61</v>
      </c>
      <c r="W2334">
        <v>10</v>
      </c>
      <c r="X2334">
        <v>0.1150625</v>
      </c>
      <c r="Y2334" t="s">
        <v>484</v>
      </c>
      <c r="Z2334" t="s">
        <v>485</v>
      </c>
      <c r="AA2334">
        <v>3</v>
      </c>
      <c r="AB2334" t="s">
        <v>9402</v>
      </c>
      <c r="AC2334" t="s">
        <v>9403</v>
      </c>
      <c r="AD2334" t="s">
        <v>9404</v>
      </c>
      <c r="AE2334" t="s">
        <v>9405</v>
      </c>
      <c r="AF2334" t="s">
        <v>9406</v>
      </c>
      <c r="AG2334" t="s">
        <v>322</v>
      </c>
      <c r="AH2334" t="s">
        <v>191</v>
      </c>
      <c r="AI2334" t="s">
        <v>322</v>
      </c>
      <c r="AJ2334" t="s">
        <v>66</v>
      </c>
      <c r="AK2334">
        <v>1</v>
      </c>
      <c r="AL2334" t="s">
        <v>9602</v>
      </c>
      <c r="AM2334" t="s">
        <v>9603</v>
      </c>
      <c r="AN2334" t="s">
        <v>9604</v>
      </c>
      <c r="AO2334" t="s">
        <v>66</v>
      </c>
      <c r="AP2334">
        <v>1</v>
      </c>
      <c r="AQ2334" t="s">
        <v>9605</v>
      </c>
      <c r="AR2334" t="s">
        <v>9606</v>
      </c>
      <c r="AS2334" t="s">
        <v>9707</v>
      </c>
      <c r="AT2334" t="s">
        <v>66</v>
      </c>
    </row>
    <row r="2335" spans="1:46" x14ac:dyDescent="0.15">
      <c r="A2335" t="s">
        <v>9728</v>
      </c>
      <c r="B2335" t="s">
        <v>9398</v>
      </c>
      <c r="C2335" t="s">
        <v>9399</v>
      </c>
      <c r="D2335">
        <v>65</v>
      </c>
      <c r="E2335" t="s">
        <v>9400</v>
      </c>
      <c r="F2335" t="s">
        <v>1551</v>
      </c>
      <c r="G2335" t="s">
        <v>51</v>
      </c>
      <c r="H2335" t="s">
        <v>9401</v>
      </c>
      <c r="I2335" t="s">
        <v>720</v>
      </c>
      <c r="J2335" t="s">
        <v>2572</v>
      </c>
      <c r="K2335" t="s">
        <v>5939</v>
      </c>
      <c r="L2335" t="s">
        <v>17</v>
      </c>
      <c r="M2335" t="s">
        <v>18</v>
      </c>
      <c r="N2335">
        <v>4092</v>
      </c>
      <c r="O2335">
        <v>226</v>
      </c>
      <c r="P2335">
        <v>0</v>
      </c>
      <c r="Q2335" t="s">
        <v>9729</v>
      </c>
      <c r="R2335" t="s">
        <v>9730</v>
      </c>
      <c r="S2335" t="s">
        <v>9731</v>
      </c>
      <c r="T2335" t="s">
        <v>9732</v>
      </c>
      <c r="U2335" t="s">
        <v>60</v>
      </c>
      <c r="V2335" t="s">
        <v>61</v>
      </c>
      <c r="W2335">
        <v>10</v>
      </c>
      <c r="X2335">
        <v>0.1150625</v>
      </c>
      <c r="Y2335" t="s">
        <v>275</v>
      </c>
      <c r="Z2335" t="s">
        <v>491</v>
      </c>
      <c r="AA2335">
        <v>3</v>
      </c>
      <c r="AB2335" t="s">
        <v>9402</v>
      </c>
      <c r="AC2335" t="s">
        <v>9403</v>
      </c>
      <c r="AD2335" t="s">
        <v>9404</v>
      </c>
      <c r="AE2335" t="s">
        <v>9405</v>
      </c>
      <c r="AF2335" t="s">
        <v>9406</v>
      </c>
      <c r="AG2335" t="s">
        <v>322</v>
      </c>
      <c r="AH2335" t="s">
        <v>191</v>
      </c>
      <c r="AI2335" t="s">
        <v>322</v>
      </c>
      <c r="AJ2335" t="s">
        <v>66</v>
      </c>
      <c r="AK2335">
        <v>1</v>
      </c>
      <c r="AL2335" t="s">
        <v>9602</v>
      </c>
      <c r="AM2335" t="s">
        <v>9603</v>
      </c>
      <c r="AN2335" t="s">
        <v>9604</v>
      </c>
      <c r="AO2335" t="s">
        <v>66</v>
      </c>
      <c r="AP2335">
        <v>1</v>
      </c>
      <c r="AQ2335" t="s">
        <v>9605</v>
      </c>
      <c r="AR2335" t="s">
        <v>9606</v>
      </c>
      <c r="AS2335" t="s">
        <v>9707</v>
      </c>
      <c r="AT2335" t="s">
        <v>66</v>
      </c>
    </row>
    <row r="2336" spans="1:46" x14ac:dyDescent="0.15">
      <c r="A2336" t="s">
        <v>9733</v>
      </c>
      <c r="B2336" t="s">
        <v>9398</v>
      </c>
      <c r="C2336" t="s">
        <v>9399</v>
      </c>
      <c r="D2336">
        <v>66</v>
      </c>
      <c r="E2336" t="s">
        <v>9400</v>
      </c>
      <c r="F2336" t="s">
        <v>1551</v>
      </c>
      <c r="G2336" t="s">
        <v>51</v>
      </c>
      <c r="H2336" t="s">
        <v>9401</v>
      </c>
      <c r="I2336" t="s">
        <v>720</v>
      </c>
      <c r="J2336" t="s">
        <v>2572</v>
      </c>
      <c r="K2336" t="s">
        <v>5939</v>
      </c>
      <c r="L2336" t="s">
        <v>17</v>
      </c>
      <c r="M2336" t="s">
        <v>18</v>
      </c>
      <c r="N2336">
        <v>4148</v>
      </c>
      <c r="O2336">
        <v>229</v>
      </c>
      <c r="P2336">
        <v>0</v>
      </c>
      <c r="Q2336" t="s">
        <v>9734</v>
      </c>
      <c r="R2336" t="s">
        <v>9735</v>
      </c>
      <c r="S2336" t="s">
        <v>9736</v>
      </c>
      <c r="T2336" t="s">
        <v>9737</v>
      </c>
      <c r="U2336" t="s">
        <v>60</v>
      </c>
      <c r="V2336" t="s">
        <v>61</v>
      </c>
      <c r="W2336">
        <v>10</v>
      </c>
      <c r="X2336">
        <v>0.1150625</v>
      </c>
      <c r="Y2336" t="s">
        <v>497</v>
      </c>
      <c r="Z2336" t="s">
        <v>498</v>
      </c>
      <c r="AA2336">
        <v>3</v>
      </c>
      <c r="AB2336" t="s">
        <v>9402</v>
      </c>
      <c r="AC2336" t="s">
        <v>9403</v>
      </c>
      <c r="AD2336" t="s">
        <v>9404</v>
      </c>
      <c r="AE2336" t="s">
        <v>9405</v>
      </c>
      <c r="AF2336" t="s">
        <v>9406</v>
      </c>
      <c r="AG2336" t="s">
        <v>322</v>
      </c>
      <c r="AH2336" t="s">
        <v>191</v>
      </c>
      <c r="AI2336" t="s">
        <v>322</v>
      </c>
      <c r="AJ2336" t="s">
        <v>66</v>
      </c>
      <c r="AK2336">
        <v>1</v>
      </c>
      <c r="AL2336" t="s">
        <v>9602</v>
      </c>
      <c r="AM2336" t="s">
        <v>9603</v>
      </c>
      <c r="AN2336" t="s">
        <v>9604</v>
      </c>
      <c r="AO2336" t="s">
        <v>66</v>
      </c>
      <c r="AP2336">
        <v>1</v>
      </c>
      <c r="AQ2336" t="s">
        <v>9605</v>
      </c>
      <c r="AR2336" t="s">
        <v>9606</v>
      </c>
      <c r="AS2336" t="s">
        <v>9707</v>
      </c>
      <c r="AT2336" t="s">
        <v>66</v>
      </c>
    </row>
    <row r="2337" spans="1:46" x14ac:dyDescent="0.15">
      <c r="A2337" t="s">
        <v>9738</v>
      </c>
      <c r="B2337" t="s">
        <v>9398</v>
      </c>
      <c r="C2337" t="s">
        <v>9399</v>
      </c>
      <c r="D2337">
        <v>67</v>
      </c>
      <c r="E2337" t="s">
        <v>9400</v>
      </c>
      <c r="F2337" t="s">
        <v>1551</v>
      </c>
      <c r="G2337" t="s">
        <v>51</v>
      </c>
      <c r="H2337" t="s">
        <v>9401</v>
      </c>
      <c r="I2337" t="s">
        <v>720</v>
      </c>
      <c r="J2337" t="s">
        <v>2572</v>
      </c>
      <c r="K2337" t="s">
        <v>5939</v>
      </c>
      <c r="L2337" t="s">
        <v>17</v>
      </c>
      <c r="M2337" t="s">
        <v>18</v>
      </c>
      <c r="N2337">
        <v>4204</v>
      </c>
      <c r="O2337">
        <v>232</v>
      </c>
      <c r="P2337">
        <v>0</v>
      </c>
      <c r="Q2337" t="s">
        <v>9739</v>
      </c>
      <c r="R2337" t="s">
        <v>9740</v>
      </c>
      <c r="S2337" t="s">
        <v>9741</v>
      </c>
      <c r="T2337" t="s">
        <v>9742</v>
      </c>
      <c r="U2337" t="s">
        <v>60</v>
      </c>
      <c r="V2337" t="s">
        <v>61</v>
      </c>
      <c r="W2337">
        <v>10</v>
      </c>
      <c r="X2337">
        <v>0.1150625</v>
      </c>
      <c r="Y2337" t="s">
        <v>282</v>
      </c>
      <c r="Z2337" t="s">
        <v>504</v>
      </c>
      <c r="AA2337">
        <v>3</v>
      </c>
      <c r="AB2337" t="s">
        <v>9402</v>
      </c>
      <c r="AC2337" t="s">
        <v>9403</v>
      </c>
      <c r="AD2337" t="s">
        <v>9404</v>
      </c>
      <c r="AE2337" t="s">
        <v>9405</v>
      </c>
      <c r="AF2337" t="s">
        <v>9406</v>
      </c>
      <c r="AG2337" t="s">
        <v>322</v>
      </c>
      <c r="AH2337" t="s">
        <v>191</v>
      </c>
      <c r="AI2337" t="s">
        <v>322</v>
      </c>
      <c r="AJ2337" t="s">
        <v>66</v>
      </c>
      <c r="AK2337">
        <v>1</v>
      </c>
      <c r="AL2337" t="s">
        <v>9602</v>
      </c>
      <c r="AM2337" t="s">
        <v>9603</v>
      </c>
      <c r="AN2337" t="s">
        <v>9604</v>
      </c>
      <c r="AO2337" t="s">
        <v>66</v>
      </c>
      <c r="AP2337">
        <v>1</v>
      </c>
      <c r="AQ2337" t="s">
        <v>9605</v>
      </c>
      <c r="AR2337" t="s">
        <v>9606</v>
      </c>
      <c r="AS2337" t="s">
        <v>9707</v>
      </c>
      <c r="AT2337" t="s">
        <v>66</v>
      </c>
    </row>
    <row r="2338" spans="1:46" x14ac:dyDescent="0.15">
      <c r="A2338" t="s">
        <v>9743</v>
      </c>
      <c r="B2338" t="s">
        <v>9398</v>
      </c>
      <c r="C2338" t="s">
        <v>9399</v>
      </c>
      <c r="D2338">
        <v>68</v>
      </c>
      <c r="E2338" t="s">
        <v>9400</v>
      </c>
      <c r="F2338" t="s">
        <v>1551</v>
      </c>
      <c r="G2338" t="s">
        <v>51</v>
      </c>
      <c r="H2338" t="s">
        <v>9401</v>
      </c>
      <c r="I2338" t="s">
        <v>720</v>
      </c>
      <c r="J2338" t="s">
        <v>2572</v>
      </c>
      <c r="K2338" t="s">
        <v>5939</v>
      </c>
      <c r="L2338" t="s">
        <v>17</v>
      </c>
      <c r="M2338" t="s">
        <v>18</v>
      </c>
      <c r="N2338">
        <v>4260</v>
      </c>
      <c r="O2338">
        <v>235</v>
      </c>
      <c r="P2338">
        <v>0</v>
      </c>
      <c r="Q2338" t="s">
        <v>9744</v>
      </c>
      <c r="R2338" t="s">
        <v>9745</v>
      </c>
      <c r="S2338" t="s">
        <v>9746</v>
      </c>
      <c r="T2338" t="s">
        <v>9747</v>
      </c>
      <c r="U2338" t="s">
        <v>60</v>
      </c>
      <c r="V2338" t="s">
        <v>61</v>
      </c>
      <c r="W2338">
        <v>10</v>
      </c>
      <c r="X2338">
        <v>0.1150625</v>
      </c>
      <c r="Y2338" t="s">
        <v>510</v>
      </c>
      <c r="Z2338" t="s">
        <v>511</v>
      </c>
      <c r="AA2338">
        <v>3</v>
      </c>
      <c r="AB2338" t="s">
        <v>9402</v>
      </c>
      <c r="AC2338" t="s">
        <v>9403</v>
      </c>
      <c r="AD2338" t="s">
        <v>9404</v>
      </c>
      <c r="AE2338" t="s">
        <v>9405</v>
      </c>
      <c r="AF2338" t="s">
        <v>9406</v>
      </c>
      <c r="AG2338" t="s">
        <v>322</v>
      </c>
      <c r="AH2338" t="s">
        <v>191</v>
      </c>
      <c r="AI2338" t="s">
        <v>322</v>
      </c>
      <c r="AJ2338" t="s">
        <v>66</v>
      </c>
      <c r="AK2338">
        <v>1</v>
      </c>
      <c r="AL2338" t="s">
        <v>9602</v>
      </c>
      <c r="AM2338" t="s">
        <v>9603</v>
      </c>
      <c r="AN2338" t="s">
        <v>9604</v>
      </c>
      <c r="AO2338" t="s">
        <v>66</v>
      </c>
      <c r="AP2338">
        <v>1</v>
      </c>
      <c r="AQ2338" t="s">
        <v>9605</v>
      </c>
      <c r="AR2338" t="s">
        <v>9606</v>
      </c>
      <c r="AS2338" t="s">
        <v>9707</v>
      </c>
      <c r="AT2338" t="s">
        <v>66</v>
      </c>
    </row>
    <row r="2339" spans="1:46" x14ac:dyDescent="0.15">
      <c r="A2339" t="s">
        <v>9748</v>
      </c>
      <c r="B2339" t="s">
        <v>9398</v>
      </c>
      <c r="C2339" t="s">
        <v>9399</v>
      </c>
      <c r="D2339">
        <v>69</v>
      </c>
      <c r="E2339" t="s">
        <v>9400</v>
      </c>
      <c r="F2339" t="s">
        <v>1551</v>
      </c>
      <c r="G2339" t="s">
        <v>51</v>
      </c>
      <c r="H2339" t="s">
        <v>9401</v>
      </c>
      <c r="I2339" t="s">
        <v>720</v>
      </c>
      <c r="J2339" t="s">
        <v>2572</v>
      </c>
      <c r="K2339" t="s">
        <v>5939</v>
      </c>
      <c r="L2339" t="s">
        <v>17</v>
      </c>
      <c r="M2339" t="s">
        <v>18</v>
      </c>
      <c r="N2339">
        <v>4316</v>
      </c>
      <c r="O2339">
        <v>238</v>
      </c>
      <c r="P2339">
        <v>0</v>
      </c>
      <c r="Q2339" t="s">
        <v>9749</v>
      </c>
      <c r="R2339" t="s">
        <v>9750</v>
      </c>
      <c r="S2339" t="s">
        <v>9751</v>
      </c>
      <c r="T2339" t="s">
        <v>9752</v>
      </c>
      <c r="U2339" t="s">
        <v>60</v>
      </c>
      <c r="V2339" t="s">
        <v>61</v>
      </c>
      <c r="W2339">
        <v>10</v>
      </c>
      <c r="X2339">
        <v>0.1150625</v>
      </c>
      <c r="Y2339" t="s">
        <v>288</v>
      </c>
      <c r="Z2339" t="s">
        <v>517</v>
      </c>
      <c r="AA2339">
        <v>3</v>
      </c>
      <c r="AB2339" t="s">
        <v>9402</v>
      </c>
      <c r="AC2339" t="s">
        <v>9403</v>
      </c>
      <c r="AD2339" t="s">
        <v>9404</v>
      </c>
      <c r="AE2339" t="s">
        <v>9405</v>
      </c>
      <c r="AF2339" t="s">
        <v>9406</v>
      </c>
      <c r="AG2339" t="s">
        <v>322</v>
      </c>
      <c r="AH2339" t="s">
        <v>191</v>
      </c>
      <c r="AI2339" t="s">
        <v>322</v>
      </c>
      <c r="AJ2339" t="s">
        <v>66</v>
      </c>
      <c r="AK2339">
        <v>1</v>
      </c>
      <c r="AL2339" t="s">
        <v>9602</v>
      </c>
      <c r="AM2339" t="s">
        <v>9603</v>
      </c>
      <c r="AN2339" t="s">
        <v>9604</v>
      </c>
      <c r="AO2339" t="s">
        <v>66</v>
      </c>
      <c r="AP2339">
        <v>1</v>
      </c>
      <c r="AQ2339" t="s">
        <v>9605</v>
      </c>
      <c r="AR2339" t="s">
        <v>9606</v>
      </c>
      <c r="AS2339" t="s">
        <v>9707</v>
      </c>
      <c r="AT2339" t="s">
        <v>66</v>
      </c>
    </row>
    <row r="2340" spans="1:46" x14ac:dyDescent="0.15">
      <c r="A2340" t="s">
        <v>9753</v>
      </c>
      <c r="B2340" t="s">
        <v>9398</v>
      </c>
      <c r="C2340" t="s">
        <v>9399</v>
      </c>
      <c r="D2340">
        <v>70</v>
      </c>
      <c r="E2340" t="s">
        <v>9400</v>
      </c>
      <c r="F2340" t="s">
        <v>1551</v>
      </c>
      <c r="G2340" t="s">
        <v>51</v>
      </c>
      <c r="H2340" t="s">
        <v>9401</v>
      </c>
      <c r="I2340" t="s">
        <v>720</v>
      </c>
      <c r="J2340" t="s">
        <v>2572</v>
      </c>
      <c r="K2340" t="s">
        <v>5939</v>
      </c>
      <c r="L2340" t="s">
        <v>17</v>
      </c>
      <c r="M2340" t="s">
        <v>18</v>
      </c>
      <c r="N2340">
        <v>4372</v>
      </c>
      <c r="O2340">
        <v>242</v>
      </c>
      <c r="P2340">
        <v>0</v>
      </c>
      <c r="Q2340" t="s">
        <v>9754</v>
      </c>
      <c r="R2340" t="s">
        <v>9755</v>
      </c>
      <c r="S2340" t="s">
        <v>9756</v>
      </c>
      <c r="T2340" t="s">
        <v>9757</v>
      </c>
      <c r="U2340" t="s">
        <v>60</v>
      </c>
      <c r="V2340" t="s">
        <v>61</v>
      </c>
      <c r="W2340">
        <v>10</v>
      </c>
      <c r="X2340">
        <v>0.1150625</v>
      </c>
      <c r="Y2340" t="s">
        <v>523</v>
      </c>
      <c r="Z2340" t="s">
        <v>524</v>
      </c>
      <c r="AA2340">
        <v>3</v>
      </c>
      <c r="AB2340" t="s">
        <v>9402</v>
      </c>
      <c r="AC2340" t="s">
        <v>9403</v>
      </c>
      <c r="AD2340" t="s">
        <v>9404</v>
      </c>
      <c r="AE2340" t="s">
        <v>9405</v>
      </c>
      <c r="AF2340" t="s">
        <v>9406</v>
      </c>
      <c r="AG2340" t="s">
        <v>322</v>
      </c>
      <c r="AH2340" t="s">
        <v>191</v>
      </c>
      <c r="AI2340" t="s">
        <v>322</v>
      </c>
      <c r="AJ2340" t="s">
        <v>66</v>
      </c>
      <c r="AK2340">
        <v>1</v>
      </c>
      <c r="AL2340" t="s">
        <v>9602</v>
      </c>
      <c r="AM2340" t="s">
        <v>9603</v>
      </c>
      <c r="AN2340" t="s">
        <v>9604</v>
      </c>
      <c r="AO2340" t="s">
        <v>66</v>
      </c>
      <c r="AP2340">
        <v>1</v>
      </c>
      <c r="AQ2340" t="s">
        <v>9605</v>
      </c>
      <c r="AR2340" t="s">
        <v>9606</v>
      </c>
      <c r="AS2340" t="s">
        <v>9707</v>
      </c>
      <c r="AT2340" t="s">
        <v>66</v>
      </c>
    </row>
    <row r="2341" spans="1:46" x14ac:dyDescent="0.15">
      <c r="A2341" t="s">
        <v>9758</v>
      </c>
      <c r="B2341" t="s">
        <v>9398</v>
      </c>
      <c r="C2341" t="s">
        <v>9399</v>
      </c>
      <c r="D2341">
        <v>71</v>
      </c>
      <c r="E2341" t="s">
        <v>9400</v>
      </c>
      <c r="F2341" t="s">
        <v>1551</v>
      </c>
      <c r="G2341" t="s">
        <v>51</v>
      </c>
      <c r="H2341" t="s">
        <v>9401</v>
      </c>
      <c r="I2341" t="s">
        <v>720</v>
      </c>
      <c r="J2341" t="s">
        <v>2572</v>
      </c>
      <c r="K2341" t="s">
        <v>5939</v>
      </c>
      <c r="L2341" t="s">
        <v>17</v>
      </c>
      <c r="M2341" t="s">
        <v>18</v>
      </c>
      <c r="N2341">
        <v>4429</v>
      </c>
      <c r="O2341">
        <v>245</v>
      </c>
      <c r="P2341">
        <v>0</v>
      </c>
      <c r="Q2341" t="s">
        <v>9759</v>
      </c>
      <c r="R2341" t="s">
        <v>9760</v>
      </c>
      <c r="S2341" t="s">
        <v>9761</v>
      </c>
      <c r="T2341" t="s">
        <v>9762</v>
      </c>
      <c r="U2341" t="s">
        <v>60</v>
      </c>
      <c r="V2341" t="s">
        <v>61</v>
      </c>
      <c r="W2341">
        <v>10</v>
      </c>
      <c r="X2341">
        <v>0.1150625</v>
      </c>
      <c r="Y2341" t="s">
        <v>295</v>
      </c>
      <c r="Z2341" t="s">
        <v>530</v>
      </c>
      <c r="AA2341">
        <v>3</v>
      </c>
      <c r="AB2341" t="s">
        <v>9402</v>
      </c>
      <c r="AC2341" t="s">
        <v>9403</v>
      </c>
      <c r="AD2341" t="s">
        <v>9404</v>
      </c>
      <c r="AE2341" t="s">
        <v>9405</v>
      </c>
      <c r="AF2341" t="s">
        <v>9406</v>
      </c>
      <c r="AG2341" t="s">
        <v>322</v>
      </c>
      <c r="AH2341" t="s">
        <v>191</v>
      </c>
      <c r="AI2341" t="s">
        <v>322</v>
      </c>
      <c r="AJ2341" t="s">
        <v>66</v>
      </c>
      <c r="AK2341">
        <v>1</v>
      </c>
      <c r="AL2341" t="s">
        <v>9602</v>
      </c>
      <c r="AM2341" t="s">
        <v>9603</v>
      </c>
      <c r="AN2341" t="s">
        <v>9604</v>
      </c>
      <c r="AO2341" t="s">
        <v>66</v>
      </c>
      <c r="AP2341">
        <v>1</v>
      </c>
      <c r="AQ2341" t="s">
        <v>9605</v>
      </c>
      <c r="AR2341" t="s">
        <v>9606</v>
      </c>
      <c r="AS2341" t="s">
        <v>9707</v>
      </c>
      <c r="AT2341" t="s">
        <v>66</v>
      </c>
    </row>
    <row r="2342" spans="1:46" x14ac:dyDescent="0.15">
      <c r="A2342" t="s">
        <v>9763</v>
      </c>
      <c r="B2342" t="s">
        <v>9398</v>
      </c>
      <c r="C2342" t="s">
        <v>9399</v>
      </c>
      <c r="D2342">
        <v>72</v>
      </c>
      <c r="E2342" t="s">
        <v>9400</v>
      </c>
      <c r="F2342" t="s">
        <v>1551</v>
      </c>
      <c r="G2342" t="s">
        <v>51</v>
      </c>
      <c r="H2342" t="s">
        <v>9401</v>
      </c>
      <c r="I2342" t="s">
        <v>720</v>
      </c>
      <c r="J2342" t="s">
        <v>2572</v>
      </c>
      <c r="K2342" t="s">
        <v>5939</v>
      </c>
      <c r="L2342" t="s">
        <v>17</v>
      </c>
      <c r="M2342" t="s">
        <v>18</v>
      </c>
      <c r="N2342">
        <v>4485</v>
      </c>
      <c r="O2342">
        <v>248</v>
      </c>
      <c r="P2342">
        <v>0</v>
      </c>
      <c r="Q2342" t="s">
        <v>9764</v>
      </c>
      <c r="R2342" t="s">
        <v>9765</v>
      </c>
      <c r="S2342" t="s">
        <v>9766</v>
      </c>
      <c r="T2342" t="s">
        <v>9767</v>
      </c>
      <c r="U2342" t="s">
        <v>60</v>
      </c>
      <c r="V2342" t="s">
        <v>61</v>
      </c>
      <c r="W2342">
        <v>10</v>
      </c>
      <c r="X2342">
        <v>0.1150625</v>
      </c>
      <c r="Y2342" t="s">
        <v>536</v>
      </c>
      <c r="Z2342" t="s">
        <v>537</v>
      </c>
      <c r="AA2342">
        <v>3</v>
      </c>
      <c r="AB2342" t="s">
        <v>9402</v>
      </c>
      <c r="AC2342" t="s">
        <v>9403</v>
      </c>
      <c r="AD2342" t="s">
        <v>9404</v>
      </c>
      <c r="AE2342" t="s">
        <v>9405</v>
      </c>
      <c r="AF2342" t="s">
        <v>9406</v>
      </c>
      <c r="AG2342" t="s">
        <v>322</v>
      </c>
      <c r="AH2342" t="s">
        <v>191</v>
      </c>
      <c r="AI2342" t="s">
        <v>322</v>
      </c>
      <c r="AJ2342" t="s">
        <v>66</v>
      </c>
      <c r="AK2342">
        <v>1</v>
      </c>
      <c r="AL2342" t="s">
        <v>9602</v>
      </c>
      <c r="AM2342" t="s">
        <v>9603</v>
      </c>
      <c r="AN2342" t="s">
        <v>9604</v>
      </c>
      <c r="AO2342" t="s">
        <v>66</v>
      </c>
      <c r="AP2342">
        <v>1</v>
      </c>
      <c r="AQ2342" t="s">
        <v>9605</v>
      </c>
      <c r="AR2342" t="s">
        <v>9606</v>
      </c>
      <c r="AS2342" t="s">
        <v>9707</v>
      </c>
      <c r="AT2342" t="s">
        <v>66</v>
      </c>
    </row>
    <row r="2343" spans="1:46" x14ac:dyDescent="0.15">
      <c r="A2343" t="s">
        <v>9768</v>
      </c>
      <c r="B2343" t="s">
        <v>9398</v>
      </c>
      <c r="C2343" t="s">
        <v>9399</v>
      </c>
      <c r="D2343">
        <v>73</v>
      </c>
      <c r="E2343" t="s">
        <v>9400</v>
      </c>
      <c r="F2343" t="s">
        <v>1551</v>
      </c>
      <c r="G2343" t="s">
        <v>51</v>
      </c>
      <c r="H2343" t="s">
        <v>9401</v>
      </c>
      <c r="I2343" t="s">
        <v>720</v>
      </c>
      <c r="J2343" t="s">
        <v>2572</v>
      </c>
      <c r="K2343" t="s">
        <v>5939</v>
      </c>
      <c r="L2343" t="s">
        <v>17</v>
      </c>
      <c r="M2343" t="s">
        <v>18</v>
      </c>
      <c r="N2343">
        <v>4541</v>
      </c>
      <c r="O2343">
        <v>251</v>
      </c>
      <c r="P2343">
        <v>0</v>
      </c>
      <c r="Q2343" t="s">
        <v>9769</v>
      </c>
      <c r="R2343" t="s">
        <v>9770</v>
      </c>
      <c r="S2343" t="s">
        <v>9771</v>
      </c>
      <c r="T2343" t="s">
        <v>9772</v>
      </c>
      <c r="U2343" t="s">
        <v>60</v>
      </c>
      <c r="V2343" t="s">
        <v>61</v>
      </c>
      <c r="W2343">
        <v>10</v>
      </c>
      <c r="X2343">
        <v>0.1150625</v>
      </c>
      <c r="Y2343" t="s">
        <v>301</v>
      </c>
      <c r="Z2343" t="s">
        <v>543</v>
      </c>
      <c r="AA2343">
        <v>3</v>
      </c>
      <c r="AB2343" t="s">
        <v>9402</v>
      </c>
      <c r="AC2343" t="s">
        <v>9403</v>
      </c>
      <c r="AD2343" t="s">
        <v>9404</v>
      </c>
      <c r="AE2343" t="s">
        <v>9405</v>
      </c>
      <c r="AF2343" t="s">
        <v>9406</v>
      </c>
      <c r="AG2343" t="s">
        <v>322</v>
      </c>
      <c r="AH2343" t="s">
        <v>191</v>
      </c>
      <c r="AI2343" t="s">
        <v>322</v>
      </c>
      <c r="AJ2343" t="s">
        <v>66</v>
      </c>
      <c r="AK2343">
        <v>1</v>
      </c>
      <c r="AL2343" t="s">
        <v>9602</v>
      </c>
      <c r="AM2343" t="s">
        <v>9603</v>
      </c>
      <c r="AN2343" t="s">
        <v>9604</v>
      </c>
      <c r="AO2343" t="s">
        <v>66</v>
      </c>
      <c r="AP2343">
        <v>1</v>
      </c>
      <c r="AQ2343" t="s">
        <v>9605</v>
      </c>
      <c r="AR2343" t="s">
        <v>9606</v>
      </c>
      <c r="AS2343" t="s">
        <v>9707</v>
      </c>
      <c r="AT2343" t="s">
        <v>66</v>
      </c>
    </row>
    <row r="2344" spans="1:46" x14ac:dyDescent="0.15">
      <c r="A2344" t="s">
        <v>9773</v>
      </c>
      <c r="B2344" t="s">
        <v>9398</v>
      </c>
      <c r="C2344" t="s">
        <v>9399</v>
      </c>
      <c r="D2344">
        <v>74</v>
      </c>
      <c r="E2344" t="s">
        <v>9400</v>
      </c>
      <c r="F2344" t="s">
        <v>1551</v>
      </c>
      <c r="G2344" t="s">
        <v>51</v>
      </c>
      <c r="H2344" t="s">
        <v>9401</v>
      </c>
      <c r="I2344" t="s">
        <v>720</v>
      </c>
      <c r="J2344" t="s">
        <v>2572</v>
      </c>
      <c r="K2344" t="s">
        <v>5939</v>
      </c>
      <c r="L2344" t="s">
        <v>17</v>
      </c>
      <c r="M2344" t="s">
        <v>18</v>
      </c>
      <c r="N2344">
        <v>4597</v>
      </c>
      <c r="O2344">
        <v>254</v>
      </c>
      <c r="P2344">
        <v>0</v>
      </c>
      <c r="Q2344" t="s">
        <v>9774</v>
      </c>
      <c r="R2344" t="s">
        <v>9775</v>
      </c>
      <c r="S2344" t="s">
        <v>9776</v>
      </c>
      <c r="T2344" t="s">
        <v>9777</v>
      </c>
      <c r="U2344" t="s">
        <v>60</v>
      </c>
      <c r="V2344" t="s">
        <v>61</v>
      </c>
      <c r="W2344">
        <v>10</v>
      </c>
      <c r="X2344">
        <v>0.1150625</v>
      </c>
      <c r="Y2344" t="s">
        <v>549</v>
      </c>
      <c r="Z2344" t="s">
        <v>550</v>
      </c>
      <c r="AA2344">
        <v>3</v>
      </c>
      <c r="AB2344" t="s">
        <v>9402</v>
      </c>
      <c r="AC2344" t="s">
        <v>9403</v>
      </c>
      <c r="AD2344" t="s">
        <v>9404</v>
      </c>
      <c r="AE2344" t="s">
        <v>9405</v>
      </c>
      <c r="AF2344" t="s">
        <v>9406</v>
      </c>
      <c r="AG2344" t="s">
        <v>322</v>
      </c>
      <c r="AH2344" t="s">
        <v>191</v>
      </c>
      <c r="AI2344" t="s">
        <v>322</v>
      </c>
      <c r="AJ2344" t="s">
        <v>66</v>
      </c>
      <c r="AK2344">
        <v>1</v>
      </c>
      <c r="AL2344" t="s">
        <v>9602</v>
      </c>
      <c r="AM2344" t="s">
        <v>9603</v>
      </c>
      <c r="AN2344" t="s">
        <v>9604</v>
      </c>
      <c r="AO2344" t="s">
        <v>66</v>
      </c>
      <c r="AP2344">
        <v>1</v>
      </c>
      <c r="AQ2344" t="s">
        <v>9605</v>
      </c>
      <c r="AR2344" t="s">
        <v>9606</v>
      </c>
      <c r="AS2344" t="s">
        <v>9707</v>
      </c>
      <c r="AT2344" t="s">
        <v>66</v>
      </c>
    </row>
    <row r="2345" spans="1:46" x14ac:dyDescent="0.15">
      <c r="A2345" t="s">
        <v>9778</v>
      </c>
      <c r="B2345" t="s">
        <v>9398</v>
      </c>
      <c r="C2345" t="s">
        <v>9399</v>
      </c>
      <c r="D2345">
        <v>75</v>
      </c>
      <c r="E2345" t="s">
        <v>9400</v>
      </c>
      <c r="F2345" t="s">
        <v>1551</v>
      </c>
      <c r="G2345" t="s">
        <v>51</v>
      </c>
      <c r="H2345" t="s">
        <v>9401</v>
      </c>
      <c r="I2345" t="s">
        <v>720</v>
      </c>
      <c r="J2345" t="s">
        <v>2572</v>
      </c>
      <c r="K2345" t="s">
        <v>5939</v>
      </c>
      <c r="L2345" t="s">
        <v>17</v>
      </c>
      <c r="M2345" t="s">
        <v>18</v>
      </c>
      <c r="N2345">
        <v>4653</v>
      </c>
      <c r="O2345">
        <v>257</v>
      </c>
      <c r="P2345">
        <v>0</v>
      </c>
      <c r="Q2345" t="s">
        <v>9779</v>
      </c>
      <c r="R2345" t="s">
        <v>9780</v>
      </c>
      <c r="S2345" t="s">
        <v>9781</v>
      </c>
      <c r="T2345" t="s">
        <v>9782</v>
      </c>
      <c r="U2345" t="s">
        <v>60</v>
      </c>
      <c r="V2345" t="s">
        <v>61</v>
      </c>
      <c r="W2345">
        <v>10</v>
      </c>
      <c r="X2345">
        <v>0.1150625</v>
      </c>
      <c r="Y2345" t="s">
        <v>308</v>
      </c>
      <c r="Z2345" t="s">
        <v>556</v>
      </c>
      <c r="AA2345">
        <v>3</v>
      </c>
      <c r="AB2345" t="s">
        <v>9402</v>
      </c>
      <c r="AC2345" t="s">
        <v>9403</v>
      </c>
      <c r="AD2345" t="s">
        <v>9404</v>
      </c>
      <c r="AE2345" t="s">
        <v>9405</v>
      </c>
      <c r="AF2345" t="s">
        <v>9406</v>
      </c>
      <c r="AG2345" t="s">
        <v>322</v>
      </c>
      <c r="AH2345" t="s">
        <v>191</v>
      </c>
      <c r="AI2345" t="s">
        <v>322</v>
      </c>
      <c r="AJ2345" t="s">
        <v>66</v>
      </c>
      <c r="AK2345">
        <v>1</v>
      </c>
      <c r="AL2345" t="s">
        <v>9602</v>
      </c>
      <c r="AM2345" t="s">
        <v>9603</v>
      </c>
      <c r="AN2345" t="s">
        <v>9604</v>
      </c>
      <c r="AO2345" t="s">
        <v>66</v>
      </c>
      <c r="AP2345">
        <v>1</v>
      </c>
      <c r="AQ2345" t="s">
        <v>9605</v>
      </c>
      <c r="AR2345" t="s">
        <v>9606</v>
      </c>
      <c r="AS2345" t="s">
        <v>9707</v>
      </c>
      <c r="AT2345" t="s">
        <v>66</v>
      </c>
    </row>
    <row r="2346" spans="1:46" x14ac:dyDescent="0.15">
      <c r="A2346" t="s">
        <v>9783</v>
      </c>
      <c r="B2346" t="s">
        <v>9398</v>
      </c>
      <c r="C2346" t="s">
        <v>9399</v>
      </c>
      <c r="D2346">
        <v>76</v>
      </c>
      <c r="E2346" t="s">
        <v>9400</v>
      </c>
      <c r="F2346" t="s">
        <v>1551</v>
      </c>
      <c r="G2346" t="s">
        <v>51</v>
      </c>
      <c r="H2346" t="s">
        <v>9401</v>
      </c>
      <c r="I2346" t="s">
        <v>720</v>
      </c>
      <c r="J2346" t="s">
        <v>2572</v>
      </c>
      <c r="K2346" t="s">
        <v>5939</v>
      </c>
      <c r="L2346" t="s">
        <v>17</v>
      </c>
      <c r="M2346" t="s">
        <v>18</v>
      </c>
      <c r="N2346">
        <v>4709</v>
      </c>
      <c r="O2346">
        <v>260</v>
      </c>
      <c r="P2346">
        <v>0</v>
      </c>
      <c r="Q2346" t="s">
        <v>9784</v>
      </c>
      <c r="R2346" t="s">
        <v>9785</v>
      </c>
      <c r="S2346" t="s">
        <v>9786</v>
      </c>
      <c r="T2346" t="s">
        <v>9787</v>
      </c>
      <c r="U2346" t="s">
        <v>60</v>
      </c>
      <c r="V2346" t="s">
        <v>61</v>
      </c>
      <c r="W2346">
        <v>10</v>
      </c>
      <c r="X2346">
        <v>0.1150625</v>
      </c>
      <c r="Y2346" t="s">
        <v>562</v>
      </c>
      <c r="Z2346" t="s">
        <v>563</v>
      </c>
      <c r="AA2346">
        <v>3</v>
      </c>
      <c r="AB2346" t="s">
        <v>9402</v>
      </c>
      <c r="AC2346" t="s">
        <v>9403</v>
      </c>
      <c r="AD2346" t="s">
        <v>9404</v>
      </c>
      <c r="AE2346" t="s">
        <v>9405</v>
      </c>
      <c r="AF2346" t="s">
        <v>9406</v>
      </c>
      <c r="AG2346" t="s">
        <v>322</v>
      </c>
      <c r="AH2346" t="s">
        <v>191</v>
      </c>
      <c r="AI2346" t="s">
        <v>322</v>
      </c>
      <c r="AJ2346" t="s">
        <v>66</v>
      </c>
      <c r="AK2346">
        <v>1</v>
      </c>
      <c r="AL2346" t="s">
        <v>9602</v>
      </c>
      <c r="AM2346" t="s">
        <v>9603</v>
      </c>
      <c r="AN2346" t="s">
        <v>9604</v>
      </c>
      <c r="AO2346" t="s">
        <v>66</v>
      </c>
      <c r="AP2346">
        <v>1</v>
      </c>
      <c r="AQ2346" t="s">
        <v>9605</v>
      </c>
      <c r="AR2346" t="s">
        <v>9606</v>
      </c>
      <c r="AS2346" t="s">
        <v>9707</v>
      </c>
      <c r="AT2346" t="s">
        <v>66</v>
      </c>
    </row>
    <row r="2347" spans="1:46" x14ac:dyDescent="0.15">
      <c r="A2347" t="s">
        <v>9788</v>
      </c>
      <c r="B2347" t="s">
        <v>9398</v>
      </c>
      <c r="C2347" t="s">
        <v>9399</v>
      </c>
      <c r="D2347">
        <v>77</v>
      </c>
      <c r="E2347" t="s">
        <v>9400</v>
      </c>
      <c r="F2347" t="s">
        <v>1551</v>
      </c>
      <c r="G2347" t="s">
        <v>51</v>
      </c>
      <c r="H2347" t="s">
        <v>9401</v>
      </c>
      <c r="I2347" t="s">
        <v>720</v>
      </c>
      <c r="J2347" t="s">
        <v>2572</v>
      </c>
      <c r="K2347" t="s">
        <v>5939</v>
      </c>
      <c r="L2347" t="s">
        <v>17</v>
      </c>
      <c r="M2347" t="s">
        <v>18</v>
      </c>
      <c r="N2347">
        <v>4765</v>
      </c>
      <c r="O2347">
        <v>263</v>
      </c>
      <c r="P2347">
        <v>0</v>
      </c>
      <c r="Q2347" t="s">
        <v>9789</v>
      </c>
      <c r="R2347" t="s">
        <v>9790</v>
      </c>
      <c r="S2347" t="s">
        <v>9791</v>
      </c>
      <c r="T2347" t="s">
        <v>9792</v>
      </c>
      <c r="U2347" t="s">
        <v>60</v>
      </c>
      <c r="V2347" t="s">
        <v>61</v>
      </c>
      <c r="W2347">
        <v>10</v>
      </c>
      <c r="X2347">
        <v>0.1150625</v>
      </c>
      <c r="Y2347" t="s">
        <v>314</v>
      </c>
      <c r="Z2347" t="s">
        <v>569</v>
      </c>
      <c r="AA2347">
        <v>3</v>
      </c>
      <c r="AB2347" t="s">
        <v>9402</v>
      </c>
      <c r="AC2347" t="s">
        <v>9403</v>
      </c>
      <c r="AD2347" t="s">
        <v>9404</v>
      </c>
      <c r="AE2347" t="s">
        <v>9405</v>
      </c>
      <c r="AF2347" t="s">
        <v>9406</v>
      </c>
      <c r="AG2347" t="s">
        <v>322</v>
      </c>
      <c r="AH2347" t="s">
        <v>191</v>
      </c>
      <c r="AI2347" t="s">
        <v>322</v>
      </c>
      <c r="AJ2347" t="s">
        <v>66</v>
      </c>
      <c r="AK2347">
        <v>1</v>
      </c>
      <c r="AL2347" t="s">
        <v>9602</v>
      </c>
      <c r="AM2347" t="s">
        <v>9603</v>
      </c>
      <c r="AN2347" t="s">
        <v>9604</v>
      </c>
      <c r="AO2347" t="s">
        <v>66</v>
      </c>
      <c r="AP2347">
        <v>1</v>
      </c>
      <c r="AQ2347" t="s">
        <v>9605</v>
      </c>
      <c r="AR2347" t="s">
        <v>9606</v>
      </c>
      <c r="AS2347" t="s">
        <v>9707</v>
      </c>
      <c r="AT2347" t="s">
        <v>66</v>
      </c>
    </row>
    <row r="2348" spans="1:46" x14ac:dyDescent="0.15">
      <c r="A2348" t="s">
        <v>9793</v>
      </c>
      <c r="B2348" t="s">
        <v>9398</v>
      </c>
      <c r="C2348" t="s">
        <v>9399</v>
      </c>
      <c r="D2348">
        <v>78</v>
      </c>
      <c r="E2348" t="s">
        <v>9400</v>
      </c>
      <c r="F2348" t="s">
        <v>1551</v>
      </c>
      <c r="G2348" t="s">
        <v>51</v>
      </c>
      <c r="H2348" t="s">
        <v>9401</v>
      </c>
      <c r="I2348" t="s">
        <v>720</v>
      </c>
      <c r="J2348" t="s">
        <v>2572</v>
      </c>
      <c r="K2348" t="s">
        <v>5939</v>
      </c>
      <c r="L2348" t="s">
        <v>17</v>
      </c>
      <c r="M2348" t="s">
        <v>18</v>
      </c>
      <c r="N2348">
        <v>4821</v>
      </c>
      <c r="O2348">
        <v>266</v>
      </c>
      <c r="P2348">
        <v>0</v>
      </c>
      <c r="Q2348" t="s">
        <v>9794</v>
      </c>
      <c r="R2348" t="s">
        <v>9795</v>
      </c>
      <c r="S2348" t="s">
        <v>9796</v>
      </c>
      <c r="T2348" t="s">
        <v>9797</v>
      </c>
      <c r="U2348" t="s">
        <v>60</v>
      </c>
      <c r="V2348" t="s">
        <v>61</v>
      </c>
      <c r="W2348">
        <v>10</v>
      </c>
      <c r="X2348">
        <v>0.1150625</v>
      </c>
      <c r="Y2348" t="s">
        <v>575</v>
      </c>
      <c r="Z2348" t="s">
        <v>576</v>
      </c>
      <c r="AA2348">
        <v>3</v>
      </c>
      <c r="AB2348" t="s">
        <v>9402</v>
      </c>
      <c r="AC2348" t="s">
        <v>9403</v>
      </c>
      <c r="AD2348" t="s">
        <v>9404</v>
      </c>
      <c r="AE2348" t="s">
        <v>9405</v>
      </c>
      <c r="AF2348" t="s">
        <v>9406</v>
      </c>
      <c r="AG2348" t="s">
        <v>322</v>
      </c>
      <c r="AH2348" t="s">
        <v>191</v>
      </c>
      <c r="AI2348" t="s">
        <v>322</v>
      </c>
      <c r="AJ2348" t="s">
        <v>66</v>
      </c>
      <c r="AK2348">
        <v>1</v>
      </c>
      <c r="AL2348" t="s">
        <v>9602</v>
      </c>
      <c r="AM2348" t="s">
        <v>9603</v>
      </c>
      <c r="AN2348" t="s">
        <v>9604</v>
      </c>
      <c r="AO2348" t="s">
        <v>66</v>
      </c>
      <c r="AP2348">
        <v>1</v>
      </c>
      <c r="AQ2348" t="s">
        <v>9605</v>
      </c>
      <c r="AR2348" t="s">
        <v>9606</v>
      </c>
      <c r="AS2348" t="s">
        <v>9707</v>
      </c>
      <c r="AT2348" t="s">
        <v>66</v>
      </c>
    </row>
    <row r="2349" spans="1:46" x14ac:dyDescent="0.15">
      <c r="A2349" t="s">
        <v>9798</v>
      </c>
      <c r="B2349" t="s">
        <v>9398</v>
      </c>
      <c r="C2349" t="s">
        <v>9399</v>
      </c>
      <c r="D2349">
        <v>79</v>
      </c>
      <c r="E2349" t="s">
        <v>9400</v>
      </c>
      <c r="F2349" t="s">
        <v>1551</v>
      </c>
      <c r="G2349" t="s">
        <v>51</v>
      </c>
      <c r="H2349" t="s">
        <v>9401</v>
      </c>
      <c r="I2349" t="s">
        <v>720</v>
      </c>
      <c r="J2349" t="s">
        <v>2572</v>
      </c>
      <c r="K2349" t="s">
        <v>5939</v>
      </c>
      <c r="L2349" t="s">
        <v>17</v>
      </c>
      <c r="M2349" t="s">
        <v>18</v>
      </c>
      <c r="N2349">
        <v>4878</v>
      </c>
      <c r="O2349">
        <v>269</v>
      </c>
      <c r="P2349">
        <v>0</v>
      </c>
      <c r="Q2349" t="s">
        <v>9799</v>
      </c>
      <c r="R2349" t="s">
        <v>9800</v>
      </c>
      <c r="S2349" t="s">
        <v>9801</v>
      </c>
      <c r="T2349" t="s">
        <v>9802</v>
      </c>
      <c r="U2349" t="s">
        <v>60</v>
      </c>
      <c r="V2349" t="s">
        <v>61</v>
      </c>
      <c r="W2349">
        <v>10</v>
      </c>
      <c r="X2349">
        <v>0.1150625</v>
      </c>
      <c r="Y2349" t="s">
        <v>321</v>
      </c>
      <c r="Z2349" t="s">
        <v>582</v>
      </c>
      <c r="AA2349">
        <v>3</v>
      </c>
      <c r="AB2349" t="s">
        <v>9402</v>
      </c>
      <c r="AC2349" t="s">
        <v>9403</v>
      </c>
      <c r="AD2349" t="s">
        <v>9404</v>
      </c>
      <c r="AE2349" t="s">
        <v>9405</v>
      </c>
      <c r="AF2349" t="s">
        <v>9406</v>
      </c>
      <c r="AG2349" t="s">
        <v>322</v>
      </c>
      <c r="AH2349" t="s">
        <v>191</v>
      </c>
      <c r="AI2349" t="s">
        <v>322</v>
      </c>
      <c r="AJ2349" t="s">
        <v>66</v>
      </c>
      <c r="AK2349">
        <v>1</v>
      </c>
      <c r="AL2349" t="s">
        <v>9602</v>
      </c>
      <c r="AM2349" t="s">
        <v>9603</v>
      </c>
      <c r="AN2349" t="s">
        <v>9604</v>
      </c>
      <c r="AO2349" t="s">
        <v>66</v>
      </c>
      <c r="AP2349">
        <v>1</v>
      </c>
      <c r="AQ2349" t="s">
        <v>9605</v>
      </c>
      <c r="AR2349" t="s">
        <v>9606</v>
      </c>
      <c r="AS2349" t="s">
        <v>9707</v>
      </c>
      <c r="AT2349" t="s">
        <v>66</v>
      </c>
    </row>
    <row r="2350" spans="1:46" x14ac:dyDescent="0.15">
      <c r="A2350" t="s">
        <v>9803</v>
      </c>
      <c r="B2350" t="s">
        <v>9398</v>
      </c>
      <c r="C2350" t="s">
        <v>9399</v>
      </c>
      <c r="D2350">
        <v>80</v>
      </c>
      <c r="E2350" t="s">
        <v>9400</v>
      </c>
      <c r="F2350" t="s">
        <v>1551</v>
      </c>
      <c r="G2350" t="s">
        <v>51</v>
      </c>
      <c r="H2350" t="s">
        <v>9401</v>
      </c>
      <c r="I2350" t="s">
        <v>720</v>
      </c>
      <c r="J2350" t="s">
        <v>2572</v>
      </c>
      <c r="K2350" t="s">
        <v>5939</v>
      </c>
      <c r="L2350" t="s">
        <v>17</v>
      </c>
      <c r="M2350" t="s">
        <v>18</v>
      </c>
      <c r="N2350">
        <v>4934</v>
      </c>
      <c r="O2350">
        <v>272</v>
      </c>
      <c r="P2350">
        <v>0</v>
      </c>
      <c r="Q2350" t="s">
        <v>9804</v>
      </c>
      <c r="R2350" t="s">
        <v>9805</v>
      </c>
      <c r="S2350" t="s">
        <v>9806</v>
      </c>
      <c r="T2350" t="s">
        <v>9807</v>
      </c>
      <c r="U2350" t="s">
        <v>60</v>
      </c>
      <c r="V2350" t="s">
        <v>61</v>
      </c>
      <c r="W2350">
        <v>10</v>
      </c>
      <c r="X2350">
        <v>0.1150625</v>
      </c>
      <c r="Y2350" t="s">
        <v>588</v>
      </c>
      <c r="Z2350" t="s">
        <v>589</v>
      </c>
      <c r="AA2350">
        <v>3</v>
      </c>
      <c r="AB2350" t="s">
        <v>9402</v>
      </c>
      <c r="AC2350" t="s">
        <v>9403</v>
      </c>
      <c r="AD2350" t="s">
        <v>9404</v>
      </c>
      <c r="AE2350" t="s">
        <v>9405</v>
      </c>
      <c r="AF2350" t="s">
        <v>9406</v>
      </c>
      <c r="AG2350" t="s">
        <v>322</v>
      </c>
      <c r="AH2350" t="s">
        <v>191</v>
      </c>
      <c r="AI2350" t="s">
        <v>322</v>
      </c>
      <c r="AJ2350" t="s">
        <v>66</v>
      </c>
      <c r="AK2350">
        <v>1</v>
      </c>
      <c r="AL2350" t="s">
        <v>9602</v>
      </c>
      <c r="AM2350" t="s">
        <v>9603</v>
      </c>
      <c r="AN2350" t="s">
        <v>9604</v>
      </c>
      <c r="AO2350" t="s">
        <v>66</v>
      </c>
      <c r="AP2350">
        <v>1</v>
      </c>
      <c r="AQ2350" t="s">
        <v>9605</v>
      </c>
      <c r="AR2350" t="s">
        <v>9606</v>
      </c>
      <c r="AS2350" t="s">
        <v>9707</v>
      </c>
      <c r="AT2350" t="s">
        <v>66</v>
      </c>
    </row>
    <row r="2351" spans="1:46" x14ac:dyDescent="0.15">
      <c r="A2351" t="s">
        <v>9803</v>
      </c>
      <c r="B2351" t="s">
        <v>9398</v>
      </c>
      <c r="C2351" t="s">
        <v>9399</v>
      </c>
      <c r="D2351">
        <v>80</v>
      </c>
      <c r="E2351" t="s">
        <v>9400</v>
      </c>
      <c r="F2351" t="s">
        <v>1551</v>
      </c>
      <c r="G2351" t="s">
        <v>51</v>
      </c>
      <c r="H2351" t="s">
        <v>9401</v>
      </c>
      <c r="I2351" t="s">
        <v>720</v>
      </c>
      <c r="J2351" t="s">
        <v>2572</v>
      </c>
      <c r="K2351" t="s">
        <v>5939</v>
      </c>
      <c r="L2351" t="s">
        <v>17</v>
      </c>
      <c r="M2351" t="s">
        <v>18</v>
      </c>
      <c r="N2351">
        <v>4934</v>
      </c>
      <c r="O2351">
        <v>272</v>
      </c>
      <c r="P2351">
        <v>0</v>
      </c>
      <c r="Q2351" t="s">
        <v>9804</v>
      </c>
      <c r="R2351" t="s">
        <v>9805</v>
      </c>
      <c r="S2351" t="s">
        <v>9806</v>
      </c>
      <c r="T2351" t="s">
        <v>9807</v>
      </c>
      <c r="U2351" t="s">
        <v>60</v>
      </c>
      <c r="V2351" t="s">
        <v>61</v>
      </c>
      <c r="W2351">
        <v>10</v>
      </c>
      <c r="X2351">
        <v>0.1150625</v>
      </c>
      <c r="Y2351" t="s">
        <v>588</v>
      </c>
      <c r="Z2351" t="s">
        <v>589</v>
      </c>
      <c r="AA2351">
        <v>4</v>
      </c>
      <c r="AB2351" t="s">
        <v>9402</v>
      </c>
      <c r="AC2351" t="s">
        <v>9403</v>
      </c>
      <c r="AD2351" t="s">
        <v>9404</v>
      </c>
      <c r="AE2351" t="s">
        <v>9405</v>
      </c>
      <c r="AF2351" t="s">
        <v>9406</v>
      </c>
      <c r="AG2351" t="s">
        <v>322</v>
      </c>
      <c r="AH2351" t="s">
        <v>191</v>
      </c>
      <c r="AI2351" t="s">
        <v>322</v>
      </c>
      <c r="AJ2351" t="s">
        <v>590</v>
      </c>
      <c r="AK2351">
        <v>1</v>
      </c>
      <c r="AL2351" t="s">
        <v>9602</v>
      </c>
      <c r="AM2351" t="s">
        <v>9603</v>
      </c>
      <c r="AN2351" t="s">
        <v>9604</v>
      </c>
      <c r="AO2351" t="s">
        <v>66</v>
      </c>
      <c r="AP2351">
        <v>1</v>
      </c>
      <c r="AQ2351" t="s">
        <v>9605</v>
      </c>
      <c r="AR2351" t="s">
        <v>9606</v>
      </c>
      <c r="AS2351" t="s">
        <v>9707</v>
      </c>
      <c r="AT2351" t="s">
        <v>66</v>
      </c>
    </row>
    <row r="2352" spans="1:46" x14ac:dyDescent="0.15">
      <c r="A2352" t="s">
        <v>9808</v>
      </c>
      <c r="B2352" t="s">
        <v>9398</v>
      </c>
      <c r="C2352" t="s">
        <v>9399</v>
      </c>
      <c r="D2352">
        <v>81</v>
      </c>
      <c r="E2352" t="s">
        <v>9400</v>
      </c>
      <c r="F2352" t="s">
        <v>1551</v>
      </c>
      <c r="G2352" t="s">
        <v>51</v>
      </c>
      <c r="H2352" t="s">
        <v>9401</v>
      </c>
      <c r="I2352" t="s">
        <v>720</v>
      </c>
      <c r="J2352" t="s">
        <v>2572</v>
      </c>
      <c r="K2352" t="s">
        <v>5939</v>
      </c>
      <c r="L2352" t="s">
        <v>17</v>
      </c>
      <c r="M2352" t="s">
        <v>18</v>
      </c>
      <c r="N2352">
        <v>4990</v>
      </c>
      <c r="O2352">
        <v>275</v>
      </c>
      <c r="P2352">
        <v>0</v>
      </c>
      <c r="Q2352" t="s">
        <v>9809</v>
      </c>
      <c r="R2352" t="s">
        <v>9810</v>
      </c>
      <c r="S2352" t="s">
        <v>9811</v>
      </c>
      <c r="T2352" t="s">
        <v>9812</v>
      </c>
      <c r="U2352" t="s">
        <v>60</v>
      </c>
      <c r="V2352" t="s">
        <v>61</v>
      </c>
      <c r="W2352">
        <v>10</v>
      </c>
      <c r="X2352">
        <v>0.1150625</v>
      </c>
      <c r="Y2352" t="s">
        <v>330</v>
      </c>
      <c r="Z2352" t="s">
        <v>596</v>
      </c>
      <c r="AA2352">
        <v>4</v>
      </c>
      <c r="AB2352" t="s">
        <v>9402</v>
      </c>
      <c r="AC2352" t="s">
        <v>9403</v>
      </c>
      <c r="AD2352" t="s">
        <v>9404</v>
      </c>
      <c r="AE2352" t="s">
        <v>9405</v>
      </c>
      <c r="AF2352" t="s">
        <v>9406</v>
      </c>
      <c r="AG2352" t="s">
        <v>322</v>
      </c>
      <c r="AH2352" t="s">
        <v>191</v>
      </c>
      <c r="AI2352" t="s">
        <v>322</v>
      </c>
      <c r="AJ2352" t="s">
        <v>590</v>
      </c>
      <c r="AK2352">
        <v>1</v>
      </c>
      <c r="AL2352" t="s">
        <v>9602</v>
      </c>
      <c r="AM2352" t="s">
        <v>9603</v>
      </c>
      <c r="AN2352" t="s">
        <v>9604</v>
      </c>
      <c r="AO2352" t="s">
        <v>66</v>
      </c>
      <c r="AP2352">
        <v>1</v>
      </c>
      <c r="AQ2352" t="s">
        <v>9605</v>
      </c>
      <c r="AR2352" t="s">
        <v>9606</v>
      </c>
      <c r="AS2352" t="s">
        <v>9707</v>
      </c>
      <c r="AT2352" t="s">
        <v>66</v>
      </c>
    </row>
    <row r="2353" spans="1:46" x14ac:dyDescent="0.15">
      <c r="A2353" t="s">
        <v>9813</v>
      </c>
      <c r="B2353" t="s">
        <v>9398</v>
      </c>
      <c r="C2353" t="s">
        <v>9399</v>
      </c>
      <c r="D2353">
        <v>82</v>
      </c>
      <c r="E2353" t="s">
        <v>9400</v>
      </c>
      <c r="F2353" t="s">
        <v>1551</v>
      </c>
      <c r="G2353" t="s">
        <v>51</v>
      </c>
      <c r="H2353" t="s">
        <v>9401</v>
      </c>
      <c r="I2353" t="s">
        <v>720</v>
      </c>
      <c r="J2353" t="s">
        <v>2572</v>
      </c>
      <c r="K2353" t="s">
        <v>5939</v>
      </c>
      <c r="L2353" t="s">
        <v>17</v>
      </c>
      <c r="M2353" t="s">
        <v>18</v>
      </c>
      <c r="N2353">
        <v>5046</v>
      </c>
      <c r="O2353">
        <v>278</v>
      </c>
      <c r="P2353">
        <v>0</v>
      </c>
      <c r="Q2353" t="s">
        <v>9814</v>
      </c>
      <c r="R2353" t="s">
        <v>9815</v>
      </c>
      <c r="S2353" t="s">
        <v>9816</v>
      </c>
      <c r="T2353" t="s">
        <v>9817</v>
      </c>
      <c r="U2353" t="s">
        <v>60</v>
      </c>
      <c r="V2353" t="s">
        <v>61</v>
      </c>
      <c r="W2353">
        <v>10</v>
      </c>
      <c r="X2353">
        <v>0.1150625</v>
      </c>
      <c r="Y2353" t="s">
        <v>602</v>
      </c>
      <c r="Z2353" t="s">
        <v>603</v>
      </c>
      <c r="AA2353">
        <v>4</v>
      </c>
      <c r="AB2353" t="s">
        <v>9402</v>
      </c>
      <c r="AC2353" t="s">
        <v>9403</v>
      </c>
      <c r="AD2353" t="s">
        <v>9404</v>
      </c>
      <c r="AE2353" t="s">
        <v>9405</v>
      </c>
      <c r="AF2353" t="s">
        <v>9406</v>
      </c>
      <c r="AG2353" t="s">
        <v>322</v>
      </c>
      <c r="AH2353" t="s">
        <v>191</v>
      </c>
      <c r="AI2353" t="s">
        <v>322</v>
      </c>
      <c r="AJ2353" t="s">
        <v>590</v>
      </c>
      <c r="AK2353">
        <v>1</v>
      </c>
      <c r="AL2353" t="s">
        <v>9602</v>
      </c>
      <c r="AM2353" t="s">
        <v>9603</v>
      </c>
      <c r="AN2353" t="s">
        <v>9604</v>
      </c>
      <c r="AO2353" t="s">
        <v>66</v>
      </c>
      <c r="AP2353">
        <v>1</v>
      </c>
      <c r="AQ2353" t="s">
        <v>9605</v>
      </c>
      <c r="AR2353" t="s">
        <v>9606</v>
      </c>
      <c r="AS2353" t="s">
        <v>9707</v>
      </c>
      <c r="AT2353" t="s">
        <v>66</v>
      </c>
    </row>
    <row r="2354" spans="1:46" x14ac:dyDescent="0.15">
      <c r="A2354" t="s">
        <v>9818</v>
      </c>
      <c r="B2354" t="s">
        <v>9398</v>
      </c>
      <c r="C2354" t="s">
        <v>9399</v>
      </c>
      <c r="D2354">
        <v>83</v>
      </c>
      <c r="E2354" t="s">
        <v>9400</v>
      </c>
      <c r="F2354" t="s">
        <v>1551</v>
      </c>
      <c r="G2354" t="s">
        <v>51</v>
      </c>
      <c r="H2354" t="s">
        <v>9401</v>
      </c>
      <c r="I2354" t="s">
        <v>720</v>
      </c>
      <c r="J2354" t="s">
        <v>2572</v>
      </c>
      <c r="K2354" t="s">
        <v>5939</v>
      </c>
      <c r="L2354" t="s">
        <v>17</v>
      </c>
      <c r="M2354" t="s">
        <v>18</v>
      </c>
      <c r="N2354">
        <v>5102</v>
      </c>
      <c r="O2354">
        <v>281</v>
      </c>
      <c r="P2354">
        <v>0</v>
      </c>
      <c r="Q2354" t="s">
        <v>9819</v>
      </c>
      <c r="R2354" t="s">
        <v>9820</v>
      </c>
      <c r="S2354" t="s">
        <v>9821</v>
      </c>
      <c r="T2354" t="s">
        <v>9822</v>
      </c>
      <c r="U2354" t="s">
        <v>60</v>
      </c>
      <c r="V2354" t="s">
        <v>61</v>
      </c>
      <c r="W2354">
        <v>10</v>
      </c>
      <c r="X2354">
        <v>0.1150625</v>
      </c>
      <c r="Y2354" t="s">
        <v>337</v>
      </c>
      <c r="Z2354" t="s">
        <v>609</v>
      </c>
      <c r="AA2354">
        <v>4</v>
      </c>
      <c r="AB2354" t="s">
        <v>9402</v>
      </c>
      <c r="AC2354" t="s">
        <v>9403</v>
      </c>
      <c r="AD2354" t="s">
        <v>9404</v>
      </c>
      <c r="AE2354" t="s">
        <v>9405</v>
      </c>
      <c r="AF2354" t="s">
        <v>9406</v>
      </c>
      <c r="AG2354" t="s">
        <v>322</v>
      </c>
      <c r="AH2354" t="s">
        <v>191</v>
      </c>
      <c r="AI2354" t="s">
        <v>322</v>
      </c>
      <c r="AJ2354" t="s">
        <v>590</v>
      </c>
      <c r="AK2354">
        <v>1</v>
      </c>
      <c r="AL2354" t="s">
        <v>9602</v>
      </c>
      <c r="AM2354" t="s">
        <v>9603</v>
      </c>
      <c r="AN2354" t="s">
        <v>9604</v>
      </c>
      <c r="AO2354" t="s">
        <v>66</v>
      </c>
      <c r="AP2354">
        <v>1</v>
      </c>
      <c r="AQ2354" t="s">
        <v>9605</v>
      </c>
      <c r="AR2354" t="s">
        <v>9606</v>
      </c>
      <c r="AS2354" t="s">
        <v>9707</v>
      </c>
      <c r="AT2354" t="s">
        <v>66</v>
      </c>
    </row>
    <row r="2355" spans="1:46" x14ac:dyDescent="0.15">
      <c r="A2355" t="s">
        <v>9823</v>
      </c>
      <c r="B2355" t="s">
        <v>9398</v>
      </c>
      <c r="C2355" t="s">
        <v>9399</v>
      </c>
      <c r="D2355">
        <v>84</v>
      </c>
      <c r="E2355" t="s">
        <v>9400</v>
      </c>
      <c r="F2355" t="s">
        <v>1551</v>
      </c>
      <c r="G2355" t="s">
        <v>51</v>
      </c>
      <c r="H2355" t="s">
        <v>9401</v>
      </c>
      <c r="I2355" t="s">
        <v>720</v>
      </c>
      <c r="J2355" t="s">
        <v>2572</v>
      </c>
      <c r="K2355" t="s">
        <v>5939</v>
      </c>
      <c r="L2355" t="s">
        <v>17</v>
      </c>
      <c r="M2355" t="s">
        <v>18</v>
      </c>
      <c r="N2355">
        <v>5158</v>
      </c>
      <c r="O2355">
        <v>284</v>
      </c>
      <c r="P2355">
        <v>0</v>
      </c>
      <c r="Q2355" t="s">
        <v>9824</v>
      </c>
      <c r="R2355" t="s">
        <v>9825</v>
      </c>
      <c r="S2355" t="s">
        <v>9826</v>
      </c>
      <c r="T2355" t="s">
        <v>9827</v>
      </c>
      <c r="U2355" t="s">
        <v>60</v>
      </c>
      <c r="V2355" t="s">
        <v>61</v>
      </c>
      <c r="W2355">
        <v>10</v>
      </c>
      <c r="X2355">
        <v>0.1150625</v>
      </c>
      <c r="Y2355" t="s">
        <v>615</v>
      </c>
      <c r="Z2355" t="s">
        <v>616</v>
      </c>
      <c r="AA2355">
        <v>4</v>
      </c>
      <c r="AB2355" t="s">
        <v>9402</v>
      </c>
      <c r="AC2355" t="s">
        <v>9403</v>
      </c>
      <c r="AD2355" t="s">
        <v>9404</v>
      </c>
      <c r="AE2355" t="s">
        <v>9405</v>
      </c>
      <c r="AF2355" t="s">
        <v>9406</v>
      </c>
      <c r="AG2355" t="s">
        <v>322</v>
      </c>
      <c r="AH2355" t="s">
        <v>191</v>
      </c>
      <c r="AI2355" t="s">
        <v>322</v>
      </c>
      <c r="AJ2355" t="s">
        <v>590</v>
      </c>
      <c r="AK2355">
        <v>1</v>
      </c>
      <c r="AL2355" t="s">
        <v>9602</v>
      </c>
      <c r="AM2355" t="s">
        <v>9603</v>
      </c>
      <c r="AN2355" t="s">
        <v>9604</v>
      </c>
      <c r="AO2355" t="s">
        <v>66</v>
      </c>
      <c r="AP2355">
        <v>1</v>
      </c>
      <c r="AQ2355" t="s">
        <v>9605</v>
      </c>
      <c r="AR2355" t="s">
        <v>9606</v>
      </c>
      <c r="AS2355" t="s">
        <v>9707</v>
      </c>
      <c r="AT2355" t="s">
        <v>66</v>
      </c>
    </row>
    <row r="2356" spans="1:46" x14ac:dyDescent="0.15">
      <c r="A2356" t="s">
        <v>9828</v>
      </c>
      <c r="B2356" t="s">
        <v>9398</v>
      </c>
      <c r="C2356" t="s">
        <v>9399</v>
      </c>
      <c r="D2356">
        <v>85</v>
      </c>
      <c r="E2356" t="s">
        <v>9400</v>
      </c>
      <c r="F2356" t="s">
        <v>1551</v>
      </c>
      <c r="G2356" t="s">
        <v>51</v>
      </c>
      <c r="H2356" t="s">
        <v>9401</v>
      </c>
      <c r="I2356" t="s">
        <v>720</v>
      </c>
      <c r="J2356" t="s">
        <v>2572</v>
      </c>
      <c r="K2356" t="s">
        <v>5939</v>
      </c>
      <c r="L2356" t="s">
        <v>17</v>
      </c>
      <c r="M2356" t="s">
        <v>18</v>
      </c>
      <c r="N2356">
        <v>5214</v>
      </c>
      <c r="O2356">
        <v>288</v>
      </c>
      <c r="P2356">
        <v>0</v>
      </c>
      <c r="Q2356" t="s">
        <v>9829</v>
      </c>
      <c r="R2356" t="s">
        <v>9830</v>
      </c>
      <c r="S2356" t="s">
        <v>9831</v>
      </c>
      <c r="T2356" t="s">
        <v>9832</v>
      </c>
      <c r="U2356" t="s">
        <v>60</v>
      </c>
      <c r="V2356" t="s">
        <v>61</v>
      </c>
      <c r="W2356">
        <v>10</v>
      </c>
      <c r="X2356">
        <v>0.1150625</v>
      </c>
      <c r="Y2356" t="s">
        <v>343</v>
      </c>
      <c r="Z2356" t="s">
        <v>622</v>
      </c>
      <c r="AA2356">
        <v>4</v>
      </c>
      <c r="AB2356" t="s">
        <v>9402</v>
      </c>
      <c r="AC2356" t="s">
        <v>9403</v>
      </c>
      <c r="AD2356" t="s">
        <v>9404</v>
      </c>
      <c r="AE2356" t="s">
        <v>9405</v>
      </c>
      <c r="AF2356" t="s">
        <v>9406</v>
      </c>
      <c r="AG2356" t="s">
        <v>322</v>
      </c>
      <c r="AH2356" t="s">
        <v>191</v>
      </c>
      <c r="AI2356" t="s">
        <v>322</v>
      </c>
      <c r="AJ2356" t="s">
        <v>590</v>
      </c>
      <c r="AK2356">
        <v>1</v>
      </c>
      <c r="AL2356" t="s">
        <v>9602</v>
      </c>
      <c r="AM2356" t="s">
        <v>9603</v>
      </c>
      <c r="AN2356" t="s">
        <v>9604</v>
      </c>
      <c r="AO2356" t="s">
        <v>66</v>
      </c>
      <c r="AP2356">
        <v>1</v>
      </c>
      <c r="AQ2356" t="s">
        <v>9605</v>
      </c>
      <c r="AR2356" t="s">
        <v>9606</v>
      </c>
      <c r="AS2356" t="s">
        <v>9707</v>
      </c>
      <c r="AT2356" t="s">
        <v>66</v>
      </c>
    </row>
    <row r="2357" spans="1:46" x14ac:dyDescent="0.15">
      <c r="A2357" t="s">
        <v>9833</v>
      </c>
      <c r="B2357" t="s">
        <v>9398</v>
      </c>
      <c r="C2357" t="s">
        <v>9399</v>
      </c>
      <c r="D2357">
        <v>86</v>
      </c>
      <c r="E2357" t="s">
        <v>9400</v>
      </c>
      <c r="F2357" t="s">
        <v>1551</v>
      </c>
      <c r="G2357" t="s">
        <v>51</v>
      </c>
      <c r="H2357" t="s">
        <v>9401</v>
      </c>
      <c r="I2357" t="s">
        <v>720</v>
      </c>
      <c r="J2357" t="s">
        <v>2572</v>
      </c>
      <c r="K2357" t="s">
        <v>5939</v>
      </c>
      <c r="L2357" t="s">
        <v>17</v>
      </c>
      <c r="M2357" t="s">
        <v>18</v>
      </c>
      <c r="N2357">
        <v>5270</v>
      </c>
      <c r="O2357">
        <v>291</v>
      </c>
      <c r="P2357">
        <v>0</v>
      </c>
      <c r="Q2357" t="s">
        <v>9834</v>
      </c>
      <c r="R2357" t="s">
        <v>9835</v>
      </c>
      <c r="S2357" t="s">
        <v>9836</v>
      </c>
      <c r="T2357" t="s">
        <v>9837</v>
      </c>
      <c r="U2357" t="s">
        <v>60</v>
      </c>
      <c r="V2357" t="s">
        <v>61</v>
      </c>
      <c r="W2357">
        <v>10</v>
      </c>
      <c r="X2357">
        <v>0.1150625</v>
      </c>
      <c r="Y2357" t="s">
        <v>628</v>
      </c>
      <c r="Z2357" t="s">
        <v>629</v>
      </c>
      <c r="AA2357">
        <v>4</v>
      </c>
      <c r="AB2357" t="s">
        <v>9402</v>
      </c>
      <c r="AC2357" t="s">
        <v>9403</v>
      </c>
      <c r="AD2357" t="s">
        <v>9404</v>
      </c>
      <c r="AE2357" t="s">
        <v>9405</v>
      </c>
      <c r="AF2357" t="s">
        <v>9406</v>
      </c>
      <c r="AG2357" t="s">
        <v>322</v>
      </c>
      <c r="AH2357" t="s">
        <v>191</v>
      </c>
      <c r="AI2357" t="s">
        <v>322</v>
      </c>
      <c r="AJ2357" t="s">
        <v>590</v>
      </c>
      <c r="AK2357">
        <v>1</v>
      </c>
      <c r="AL2357" t="s">
        <v>9602</v>
      </c>
      <c r="AM2357" t="s">
        <v>9603</v>
      </c>
      <c r="AN2357" t="s">
        <v>9604</v>
      </c>
      <c r="AO2357" t="s">
        <v>66</v>
      </c>
      <c r="AP2357">
        <v>1</v>
      </c>
      <c r="AQ2357" t="s">
        <v>9605</v>
      </c>
      <c r="AR2357" t="s">
        <v>9606</v>
      </c>
      <c r="AS2357" t="s">
        <v>9707</v>
      </c>
      <c r="AT2357" t="s">
        <v>66</v>
      </c>
    </row>
    <row r="2358" spans="1:46" x14ac:dyDescent="0.15">
      <c r="A2358" t="s">
        <v>9838</v>
      </c>
      <c r="B2358" t="s">
        <v>9398</v>
      </c>
      <c r="C2358" t="s">
        <v>9399</v>
      </c>
      <c r="D2358">
        <v>87</v>
      </c>
      <c r="E2358" t="s">
        <v>9400</v>
      </c>
      <c r="F2358" t="s">
        <v>1551</v>
      </c>
      <c r="G2358" t="s">
        <v>51</v>
      </c>
      <c r="H2358" t="s">
        <v>9401</v>
      </c>
      <c r="I2358" t="s">
        <v>720</v>
      </c>
      <c r="J2358" t="s">
        <v>2572</v>
      </c>
      <c r="K2358" t="s">
        <v>5939</v>
      </c>
      <c r="L2358" t="s">
        <v>17</v>
      </c>
      <c r="M2358" t="s">
        <v>18</v>
      </c>
      <c r="N2358">
        <v>5327</v>
      </c>
      <c r="O2358">
        <v>294</v>
      </c>
      <c r="P2358">
        <v>0</v>
      </c>
      <c r="Q2358" t="s">
        <v>9839</v>
      </c>
      <c r="R2358" t="s">
        <v>9840</v>
      </c>
      <c r="S2358" t="s">
        <v>9841</v>
      </c>
      <c r="T2358" t="s">
        <v>9842</v>
      </c>
      <c r="U2358" t="s">
        <v>60</v>
      </c>
      <c r="V2358" t="s">
        <v>61</v>
      </c>
      <c r="W2358">
        <v>10</v>
      </c>
      <c r="X2358">
        <v>0.1150625</v>
      </c>
      <c r="Y2358" t="s">
        <v>350</v>
      </c>
      <c r="Z2358" t="s">
        <v>635</v>
      </c>
      <c r="AA2358">
        <v>4</v>
      </c>
      <c r="AB2358" t="s">
        <v>9402</v>
      </c>
      <c r="AC2358" t="s">
        <v>9403</v>
      </c>
      <c r="AD2358" t="s">
        <v>9404</v>
      </c>
      <c r="AE2358" t="s">
        <v>9405</v>
      </c>
      <c r="AF2358" t="s">
        <v>9406</v>
      </c>
      <c r="AG2358" t="s">
        <v>322</v>
      </c>
      <c r="AH2358" t="s">
        <v>191</v>
      </c>
      <c r="AI2358" t="s">
        <v>322</v>
      </c>
      <c r="AJ2358" t="s">
        <v>590</v>
      </c>
      <c r="AK2358">
        <v>1</v>
      </c>
      <c r="AL2358" t="s">
        <v>9602</v>
      </c>
      <c r="AM2358" t="s">
        <v>9603</v>
      </c>
      <c r="AN2358" t="s">
        <v>9604</v>
      </c>
      <c r="AO2358" t="s">
        <v>66</v>
      </c>
      <c r="AP2358">
        <v>1</v>
      </c>
      <c r="AQ2358" t="s">
        <v>9605</v>
      </c>
      <c r="AR2358" t="s">
        <v>9606</v>
      </c>
      <c r="AS2358" t="s">
        <v>9707</v>
      </c>
      <c r="AT2358" t="s">
        <v>66</v>
      </c>
    </row>
    <row r="2359" spans="1:46" x14ac:dyDescent="0.15">
      <c r="A2359" t="s">
        <v>9843</v>
      </c>
      <c r="B2359" t="s">
        <v>9398</v>
      </c>
      <c r="C2359" t="s">
        <v>9399</v>
      </c>
      <c r="D2359">
        <v>88</v>
      </c>
      <c r="E2359" t="s">
        <v>9400</v>
      </c>
      <c r="F2359" t="s">
        <v>1551</v>
      </c>
      <c r="G2359" t="s">
        <v>51</v>
      </c>
      <c r="H2359" t="s">
        <v>9401</v>
      </c>
      <c r="I2359" t="s">
        <v>720</v>
      </c>
      <c r="J2359" t="s">
        <v>2572</v>
      </c>
      <c r="K2359" t="s">
        <v>5939</v>
      </c>
      <c r="L2359" t="s">
        <v>17</v>
      </c>
      <c r="M2359" t="s">
        <v>18</v>
      </c>
      <c r="N2359">
        <v>5383</v>
      </c>
      <c r="O2359">
        <v>297</v>
      </c>
      <c r="P2359">
        <v>0</v>
      </c>
      <c r="Q2359" t="s">
        <v>9844</v>
      </c>
      <c r="R2359" t="s">
        <v>9845</v>
      </c>
      <c r="S2359" t="s">
        <v>9846</v>
      </c>
      <c r="T2359" t="s">
        <v>9847</v>
      </c>
      <c r="U2359" t="s">
        <v>60</v>
      </c>
      <c r="V2359" t="s">
        <v>61</v>
      </c>
      <c r="W2359">
        <v>10</v>
      </c>
      <c r="X2359">
        <v>0.1150625</v>
      </c>
      <c r="Y2359" t="s">
        <v>641</v>
      </c>
      <c r="Z2359" t="s">
        <v>642</v>
      </c>
      <c r="AA2359">
        <v>4</v>
      </c>
      <c r="AB2359" t="s">
        <v>9402</v>
      </c>
      <c r="AC2359" t="s">
        <v>9403</v>
      </c>
      <c r="AD2359" t="s">
        <v>9404</v>
      </c>
      <c r="AE2359" t="s">
        <v>9405</v>
      </c>
      <c r="AF2359" t="s">
        <v>9406</v>
      </c>
      <c r="AG2359" t="s">
        <v>322</v>
      </c>
      <c r="AH2359" t="s">
        <v>191</v>
      </c>
      <c r="AI2359" t="s">
        <v>322</v>
      </c>
      <c r="AJ2359" t="s">
        <v>590</v>
      </c>
      <c r="AK2359">
        <v>1</v>
      </c>
      <c r="AL2359" t="s">
        <v>9602</v>
      </c>
      <c r="AM2359" t="s">
        <v>9603</v>
      </c>
      <c r="AN2359" t="s">
        <v>9604</v>
      </c>
      <c r="AO2359" t="s">
        <v>66</v>
      </c>
      <c r="AP2359">
        <v>1</v>
      </c>
      <c r="AQ2359" t="s">
        <v>9605</v>
      </c>
      <c r="AR2359" t="s">
        <v>9606</v>
      </c>
      <c r="AS2359" t="s">
        <v>9707</v>
      </c>
      <c r="AT2359" t="s">
        <v>66</v>
      </c>
    </row>
    <row r="2360" spans="1:46" x14ac:dyDescent="0.15">
      <c r="A2360" t="s">
        <v>9848</v>
      </c>
      <c r="B2360" t="s">
        <v>9398</v>
      </c>
      <c r="C2360" t="s">
        <v>9399</v>
      </c>
      <c r="D2360">
        <v>89</v>
      </c>
      <c r="E2360" t="s">
        <v>9400</v>
      </c>
      <c r="F2360" t="s">
        <v>1551</v>
      </c>
      <c r="G2360" t="s">
        <v>51</v>
      </c>
      <c r="H2360" t="s">
        <v>9401</v>
      </c>
      <c r="I2360" t="s">
        <v>720</v>
      </c>
      <c r="J2360" t="s">
        <v>2572</v>
      </c>
      <c r="K2360" t="s">
        <v>5939</v>
      </c>
      <c r="L2360" t="s">
        <v>17</v>
      </c>
      <c r="M2360" t="s">
        <v>18</v>
      </c>
      <c r="N2360">
        <v>5439</v>
      </c>
      <c r="O2360">
        <v>300</v>
      </c>
      <c r="P2360">
        <v>0</v>
      </c>
      <c r="Q2360" t="s">
        <v>9849</v>
      </c>
      <c r="R2360" t="s">
        <v>9850</v>
      </c>
      <c r="S2360" t="s">
        <v>9851</v>
      </c>
      <c r="T2360" t="s">
        <v>9852</v>
      </c>
      <c r="U2360" t="s">
        <v>60</v>
      </c>
      <c r="V2360" t="s">
        <v>61</v>
      </c>
      <c r="W2360">
        <v>10</v>
      </c>
      <c r="X2360">
        <v>0.1150625</v>
      </c>
      <c r="Y2360" t="s">
        <v>356</v>
      </c>
      <c r="Z2360" t="s">
        <v>648</v>
      </c>
      <c r="AA2360">
        <v>4</v>
      </c>
      <c r="AB2360" t="s">
        <v>9402</v>
      </c>
      <c r="AC2360" t="s">
        <v>9403</v>
      </c>
      <c r="AD2360" t="s">
        <v>9404</v>
      </c>
      <c r="AE2360" t="s">
        <v>9405</v>
      </c>
      <c r="AF2360" t="s">
        <v>9406</v>
      </c>
      <c r="AG2360" t="s">
        <v>322</v>
      </c>
      <c r="AH2360" t="s">
        <v>191</v>
      </c>
      <c r="AI2360" t="s">
        <v>322</v>
      </c>
      <c r="AJ2360" t="s">
        <v>590</v>
      </c>
      <c r="AK2360">
        <v>1</v>
      </c>
      <c r="AL2360" t="s">
        <v>9602</v>
      </c>
      <c r="AM2360" t="s">
        <v>9603</v>
      </c>
      <c r="AN2360" t="s">
        <v>9604</v>
      </c>
      <c r="AO2360" t="s">
        <v>66</v>
      </c>
      <c r="AP2360">
        <v>1</v>
      </c>
      <c r="AQ2360" t="s">
        <v>9605</v>
      </c>
      <c r="AR2360" t="s">
        <v>9606</v>
      </c>
      <c r="AS2360" t="s">
        <v>9707</v>
      </c>
      <c r="AT2360" t="s">
        <v>66</v>
      </c>
    </row>
    <row r="2361" spans="1:46" x14ac:dyDescent="0.15">
      <c r="A2361" t="s">
        <v>9853</v>
      </c>
      <c r="B2361" t="s">
        <v>9398</v>
      </c>
      <c r="C2361" t="s">
        <v>9399</v>
      </c>
      <c r="D2361">
        <v>90</v>
      </c>
      <c r="E2361" t="s">
        <v>9400</v>
      </c>
      <c r="F2361" t="s">
        <v>1551</v>
      </c>
      <c r="G2361" t="s">
        <v>51</v>
      </c>
      <c r="H2361" t="s">
        <v>9401</v>
      </c>
      <c r="I2361" t="s">
        <v>720</v>
      </c>
      <c r="J2361" t="s">
        <v>2572</v>
      </c>
      <c r="K2361" t="s">
        <v>5939</v>
      </c>
      <c r="L2361" t="s">
        <v>17</v>
      </c>
      <c r="M2361" t="s">
        <v>18</v>
      </c>
      <c r="N2361">
        <v>5495</v>
      </c>
      <c r="O2361">
        <v>303</v>
      </c>
      <c r="P2361">
        <v>0</v>
      </c>
      <c r="Q2361" t="s">
        <v>9854</v>
      </c>
      <c r="R2361" t="s">
        <v>9855</v>
      </c>
      <c r="S2361" t="s">
        <v>9856</v>
      </c>
      <c r="T2361" t="s">
        <v>9857</v>
      </c>
      <c r="U2361" t="s">
        <v>60</v>
      </c>
      <c r="V2361" t="s">
        <v>61</v>
      </c>
      <c r="W2361">
        <v>10</v>
      </c>
      <c r="X2361">
        <v>0.1150625</v>
      </c>
      <c r="Y2361" t="s">
        <v>654</v>
      </c>
      <c r="Z2361" t="s">
        <v>655</v>
      </c>
      <c r="AA2361">
        <v>4</v>
      </c>
      <c r="AB2361" t="s">
        <v>9402</v>
      </c>
      <c r="AC2361" t="s">
        <v>9403</v>
      </c>
      <c r="AD2361" t="s">
        <v>9404</v>
      </c>
      <c r="AE2361" t="s">
        <v>9405</v>
      </c>
      <c r="AF2361" t="s">
        <v>9406</v>
      </c>
      <c r="AG2361" t="s">
        <v>322</v>
      </c>
      <c r="AH2361" t="s">
        <v>191</v>
      </c>
      <c r="AI2361" t="s">
        <v>322</v>
      </c>
      <c r="AJ2361" t="s">
        <v>590</v>
      </c>
      <c r="AK2361">
        <v>1</v>
      </c>
      <c r="AL2361" t="s">
        <v>9602</v>
      </c>
      <c r="AM2361" t="s">
        <v>9603</v>
      </c>
      <c r="AN2361" t="s">
        <v>9604</v>
      </c>
      <c r="AO2361" t="s">
        <v>66</v>
      </c>
      <c r="AP2361">
        <v>1</v>
      </c>
      <c r="AQ2361" t="s">
        <v>9605</v>
      </c>
      <c r="AR2361" t="s">
        <v>9606</v>
      </c>
      <c r="AS2361" t="s">
        <v>9707</v>
      </c>
      <c r="AT2361" t="s">
        <v>66</v>
      </c>
    </row>
    <row r="2362" spans="1:46" x14ac:dyDescent="0.15">
      <c r="A2362" t="s">
        <v>9858</v>
      </c>
      <c r="B2362" t="s">
        <v>9398</v>
      </c>
      <c r="C2362" t="s">
        <v>9399</v>
      </c>
      <c r="D2362">
        <v>91</v>
      </c>
      <c r="E2362" t="s">
        <v>9400</v>
      </c>
      <c r="F2362" t="s">
        <v>1551</v>
      </c>
      <c r="G2362" t="s">
        <v>51</v>
      </c>
      <c r="H2362" t="s">
        <v>9401</v>
      </c>
      <c r="I2362" t="s">
        <v>720</v>
      </c>
      <c r="J2362" t="s">
        <v>2572</v>
      </c>
      <c r="K2362" t="s">
        <v>5939</v>
      </c>
      <c r="L2362" t="s">
        <v>17</v>
      </c>
      <c r="M2362" t="s">
        <v>18</v>
      </c>
      <c r="N2362">
        <v>5551</v>
      </c>
      <c r="O2362">
        <v>306</v>
      </c>
      <c r="P2362">
        <v>0</v>
      </c>
      <c r="Q2362" t="s">
        <v>9859</v>
      </c>
      <c r="R2362" t="s">
        <v>9860</v>
      </c>
      <c r="S2362" t="s">
        <v>9861</v>
      </c>
      <c r="T2362" t="s">
        <v>9862</v>
      </c>
      <c r="U2362" t="s">
        <v>60</v>
      </c>
      <c r="V2362" t="s">
        <v>61</v>
      </c>
      <c r="W2362">
        <v>10</v>
      </c>
      <c r="X2362">
        <v>0.1150625</v>
      </c>
      <c r="Y2362" t="s">
        <v>363</v>
      </c>
      <c r="Z2362" t="s">
        <v>661</v>
      </c>
      <c r="AA2362">
        <v>4</v>
      </c>
      <c r="AB2362" t="s">
        <v>9402</v>
      </c>
      <c r="AC2362" t="s">
        <v>9403</v>
      </c>
      <c r="AD2362" t="s">
        <v>9404</v>
      </c>
      <c r="AE2362" t="s">
        <v>9405</v>
      </c>
      <c r="AF2362" t="s">
        <v>9406</v>
      </c>
      <c r="AG2362" t="s">
        <v>322</v>
      </c>
      <c r="AH2362" t="s">
        <v>191</v>
      </c>
      <c r="AI2362" t="s">
        <v>322</v>
      </c>
      <c r="AJ2362" t="s">
        <v>590</v>
      </c>
      <c r="AK2362">
        <v>1</v>
      </c>
      <c r="AL2362" t="s">
        <v>9602</v>
      </c>
      <c r="AM2362" t="s">
        <v>9603</v>
      </c>
      <c r="AN2362" t="s">
        <v>9604</v>
      </c>
      <c r="AO2362" t="s">
        <v>66</v>
      </c>
      <c r="AP2362">
        <v>1</v>
      </c>
      <c r="AQ2362" t="s">
        <v>9605</v>
      </c>
      <c r="AR2362" t="s">
        <v>9606</v>
      </c>
      <c r="AS2362" t="s">
        <v>9707</v>
      </c>
      <c r="AT2362" t="s">
        <v>66</v>
      </c>
    </row>
    <row r="2363" spans="1:46" x14ac:dyDescent="0.15">
      <c r="A2363" t="s">
        <v>9863</v>
      </c>
      <c r="B2363" t="s">
        <v>9398</v>
      </c>
      <c r="C2363" t="s">
        <v>9399</v>
      </c>
      <c r="D2363">
        <v>92</v>
      </c>
      <c r="E2363" t="s">
        <v>9400</v>
      </c>
      <c r="F2363" t="s">
        <v>1551</v>
      </c>
      <c r="G2363" t="s">
        <v>51</v>
      </c>
      <c r="H2363" t="s">
        <v>9401</v>
      </c>
      <c r="I2363" t="s">
        <v>720</v>
      </c>
      <c r="J2363" t="s">
        <v>2572</v>
      </c>
      <c r="K2363" t="s">
        <v>5939</v>
      </c>
      <c r="L2363" t="s">
        <v>17</v>
      </c>
      <c r="M2363" t="s">
        <v>18</v>
      </c>
      <c r="N2363">
        <v>5607</v>
      </c>
      <c r="O2363">
        <v>309</v>
      </c>
      <c r="P2363">
        <v>0</v>
      </c>
      <c r="Q2363" t="s">
        <v>9864</v>
      </c>
      <c r="R2363" t="s">
        <v>9865</v>
      </c>
      <c r="S2363" t="s">
        <v>9866</v>
      </c>
      <c r="T2363" t="s">
        <v>9867</v>
      </c>
      <c r="U2363" t="s">
        <v>60</v>
      </c>
      <c r="V2363" t="s">
        <v>61</v>
      </c>
      <c r="W2363">
        <v>10</v>
      </c>
      <c r="X2363">
        <v>0.1150625</v>
      </c>
      <c r="Y2363" t="s">
        <v>667</v>
      </c>
      <c r="Z2363" t="s">
        <v>668</v>
      </c>
      <c r="AA2363">
        <v>4</v>
      </c>
      <c r="AB2363" t="s">
        <v>9402</v>
      </c>
      <c r="AC2363" t="s">
        <v>9403</v>
      </c>
      <c r="AD2363" t="s">
        <v>9404</v>
      </c>
      <c r="AE2363" t="s">
        <v>9405</v>
      </c>
      <c r="AF2363" t="s">
        <v>9406</v>
      </c>
      <c r="AG2363" t="s">
        <v>322</v>
      </c>
      <c r="AH2363" t="s">
        <v>191</v>
      </c>
      <c r="AI2363" t="s">
        <v>322</v>
      </c>
      <c r="AJ2363" t="s">
        <v>590</v>
      </c>
      <c r="AK2363">
        <v>1</v>
      </c>
      <c r="AL2363" t="s">
        <v>9602</v>
      </c>
      <c r="AM2363" t="s">
        <v>9603</v>
      </c>
      <c r="AN2363" t="s">
        <v>9604</v>
      </c>
      <c r="AO2363" t="s">
        <v>66</v>
      </c>
      <c r="AP2363">
        <v>1</v>
      </c>
      <c r="AQ2363" t="s">
        <v>9605</v>
      </c>
      <c r="AR2363" t="s">
        <v>9606</v>
      </c>
      <c r="AS2363" t="s">
        <v>9707</v>
      </c>
      <c r="AT2363" t="s">
        <v>66</v>
      </c>
    </row>
    <row r="2364" spans="1:46" x14ac:dyDescent="0.15">
      <c r="A2364" t="s">
        <v>9868</v>
      </c>
      <c r="B2364" t="s">
        <v>9398</v>
      </c>
      <c r="C2364" t="s">
        <v>9399</v>
      </c>
      <c r="D2364">
        <v>93</v>
      </c>
      <c r="E2364" t="s">
        <v>9400</v>
      </c>
      <c r="F2364" t="s">
        <v>1551</v>
      </c>
      <c r="G2364" t="s">
        <v>51</v>
      </c>
      <c r="H2364" t="s">
        <v>9401</v>
      </c>
      <c r="I2364" t="s">
        <v>720</v>
      </c>
      <c r="J2364" t="s">
        <v>2572</v>
      </c>
      <c r="K2364" t="s">
        <v>5939</v>
      </c>
      <c r="L2364" t="s">
        <v>17</v>
      </c>
      <c r="M2364" t="s">
        <v>18</v>
      </c>
      <c r="N2364">
        <v>5663</v>
      </c>
      <c r="O2364">
        <v>312</v>
      </c>
      <c r="P2364">
        <v>0</v>
      </c>
      <c r="Q2364" t="s">
        <v>9869</v>
      </c>
      <c r="R2364" t="s">
        <v>9870</v>
      </c>
      <c r="S2364" t="s">
        <v>9871</v>
      </c>
      <c r="T2364" t="s">
        <v>9872</v>
      </c>
      <c r="U2364" t="s">
        <v>60</v>
      </c>
      <c r="V2364" t="s">
        <v>61</v>
      </c>
      <c r="W2364">
        <v>10</v>
      </c>
      <c r="X2364">
        <v>0.1150625</v>
      </c>
      <c r="Y2364" t="s">
        <v>369</v>
      </c>
      <c r="Z2364" t="s">
        <v>674</v>
      </c>
      <c r="AA2364">
        <v>4</v>
      </c>
      <c r="AB2364" t="s">
        <v>9402</v>
      </c>
      <c r="AC2364" t="s">
        <v>9403</v>
      </c>
      <c r="AD2364" t="s">
        <v>9404</v>
      </c>
      <c r="AE2364" t="s">
        <v>9405</v>
      </c>
      <c r="AF2364" t="s">
        <v>9406</v>
      </c>
      <c r="AG2364" t="s">
        <v>322</v>
      </c>
      <c r="AH2364" t="s">
        <v>191</v>
      </c>
      <c r="AI2364" t="s">
        <v>322</v>
      </c>
      <c r="AJ2364" t="s">
        <v>590</v>
      </c>
      <c r="AK2364">
        <v>1</v>
      </c>
      <c r="AL2364" t="s">
        <v>9602</v>
      </c>
      <c r="AM2364" t="s">
        <v>9603</v>
      </c>
      <c r="AN2364" t="s">
        <v>9604</v>
      </c>
      <c r="AO2364" t="s">
        <v>66</v>
      </c>
      <c r="AP2364">
        <v>1</v>
      </c>
      <c r="AQ2364" t="s">
        <v>9605</v>
      </c>
      <c r="AR2364" t="s">
        <v>9606</v>
      </c>
      <c r="AS2364" t="s">
        <v>9707</v>
      </c>
      <c r="AT2364" t="s">
        <v>66</v>
      </c>
    </row>
    <row r="2365" spans="1:46" x14ac:dyDescent="0.15">
      <c r="A2365" t="s">
        <v>9873</v>
      </c>
      <c r="B2365" t="s">
        <v>9398</v>
      </c>
      <c r="C2365" t="s">
        <v>9399</v>
      </c>
      <c r="D2365">
        <v>94</v>
      </c>
      <c r="E2365" t="s">
        <v>9400</v>
      </c>
      <c r="F2365" t="s">
        <v>1551</v>
      </c>
      <c r="G2365" t="s">
        <v>51</v>
      </c>
      <c r="H2365" t="s">
        <v>9401</v>
      </c>
      <c r="I2365" t="s">
        <v>720</v>
      </c>
      <c r="J2365" t="s">
        <v>2572</v>
      </c>
      <c r="K2365" t="s">
        <v>5939</v>
      </c>
      <c r="L2365" t="s">
        <v>17</v>
      </c>
      <c r="M2365" t="s">
        <v>18</v>
      </c>
      <c r="N2365">
        <v>5719</v>
      </c>
      <c r="O2365">
        <v>315</v>
      </c>
      <c r="P2365">
        <v>0</v>
      </c>
      <c r="Q2365" t="s">
        <v>9874</v>
      </c>
      <c r="R2365" t="s">
        <v>9875</v>
      </c>
      <c r="S2365" t="s">
        <v>9876</v>
      </c>
      <c r="T2365" t="s">
        <v>9877</v>
      </c>
      <c r="U2365" t="s">
        <v>60</v>
      </c>
      <c r="V2365" t="s">
        <v>61</v>
      </c>
      <c r="W2365">
        <v>10</v>
      </c>
      <c r="X2365">
        <v>0.1150625</v>
      </c>
      <c r="Y2365" t="s">
        <v>680</v>
      </c>
      <c r="Z2365" t="s">
        <v>681</v>
      </c>
      <c r="AA2365">
        <v>4</v>
      </c>
      <c r="AB2365" t="s">
        <v>9402</v>
      </c>
      <c r="AC2365" t="s">
        <v>9403</v>
      </c>
      <c r="AD2365" t="s">
        <v>9404</v>
      </c>
      <c r="AE2365" t="s">
        <v>9405</v>
      </c>
      <c r="AF2365" t="s">
        <v>9406</v>
      </c>
      <c r="AG2365" t="s">
        <v>322</v>
      </c>
      <c r="AH2365" t="s">
        <v>191</v>
      </c>
      <c r="AI2365" t="s">
        <v>322</v>
      </c>
      <c r="AJ2365" t="s">
        <v>590</v>
      </c>
      <c r="AK2365">
        <v>1</v>
      </c>
      <c r="AL2365" t="s">
        <v>9602</v>
      </c>
      <c r="AM2365" t="s">
        <v>9603</v>
      </c>
      <c r="AN2365" t="s">
        <v>9604</v>
      </c>
      <c r="AO2365" t="s">
        <v>66</v>
      </c>
      <c r="AP2365">
        <v>1</v>
      </c>
      <c r="AQ2365" t="s">
        <v>9605</v>
      </c>
      <c r="AR2365" t="s">
        <v>9606</v>
      </c>
      <c r="AS2365" t="s">
        <v>9707</v>
      </c>
      <c r="AT2365" t="s">
        <v>66</v>
      </c>
    </row>
    <row r="2366" spans="1:46" x14ac:dyDescent="0.15">
      <c r="A2366" t="s">
        <v>9878</v>
      </c>
      <c r="B2366" t="s">
        <v>9398</v>
      </c>
      <c r="C2366" t="s">
        <v>9399</v>
      </c>
      <c r="D2366">
        <v>95</v>
      </c>
      <c r="E2366" t="s">
        <v>9400</v>
      </c>
      <c r="F2366" t="s">
        <v>1551</v>
      </c>
      <c r="G2366" t="s">
        <v>51</v>
      </c>
      <c r="H2366" t="s">
        <v>9401</v>
      </c>
      <c r="I2366" t="s">
        <v>720</v>
      </c>
      <c r="J2366" t="s">
        <v>2572</v>
      </c>
      <c r="K2366" t="s">
        <v>5939</v>
      </c>
      <c r="L2366" t="s">
        <v>17</v>
      </c>
      <c r="M2366" t="s">
        <v>18</v>
      </c>
      <c r="N2366">
        <v>5776</v>
      </c>
      <c r="O2366">
        <v>318</v>
      </c>
      <c r="P2366">
        <v>0</v>
      </c>
      <c r="Q2366" t="s">
        <v>9879</v>
      </c>
      <c r="R2366" t="s">
        <v>9880</v>
      </c>
      <c r="S2366" t="s">
        <v>9881</v>
      </c>
      <c r="T2366" t="s">
        <v>9882</v>
      </c>
      <c r="U2366" t="s">
        <v>60</v>
      </c>
      <c r="V2366" t="s">
        <v>61</v>
      </c>
      <c r="W2366">
        <v>10</v>
      </c>
      <c r="X2366">
        <v>0.1150625</v>
      </c>
      <c r="Y2366" t="s">
        <v>376</v>
      </c>
      <c r="Z2366" t="s">
        <v>687</v>
      </c>
      <c r="AA2366">
        <v>4</v>
      </c>
      <c r="AB2366" t="s">
        <v>9402</v>
      </c>
      <c r="AC2366" t="s">
        <v>9403</v>
      </c>
      <c r="AD2366" t="s">
        <v>9404</v>
      </c>
      <c r="AE2366" t="s">
        <v>9405</v>
      </c>
      <c r="AF2366" t="s">
        <v>9406</v>
      </c>
      <c r="AG2366" t="s">
        <v>322</v>
      </c>
      <c r="AH2366" t="s">
        <v>191</v>
      </c>
      <c r="AI2366" t="s">
        <v>322</v>
      </c>
      <c r="AJ2366" t="s">
        <v>590</v>
      </c>
      <c r="AK2366">
        <v>1</v>
      </c>
      <c r="AL2366" t="s">
        <v>9602</v>
      </c>
      <c r="AM2366" t="s">
        <v>9603</v>
      </c>
      <c r="AN2366" t="s">
        <v>9604</v>
      </c>
      <c r="AO2366" t="s">
        <v>66</v>
      </c>
      <c r="AP2366">
        <v>1</v>
      </c>
      <c r="AQ2366" t="s">
        <v>9605</v>
      </c>
      <c r="AR2366" t="s">
        <v>9606</v>
      </c>
      <c r="AS2366" t="s">
        <v>9707</v>
      </c>
      <c r="AT2366" t="s">
        <v>66</v>
      </c>
    </row>
    <row r="2367" spans="1:46" x14ac:dyDescent="0.15">
      <c r="A2367" t="s">
        <v>9883</v>
      </c>
      <c r="B2367" t="s">
        <v>9398</v>
      </c>
      <c r="C2367" t="s">
        <v>9399</v>
      </c>
      <c r="D2367">
        <v>96</v>
      </c>
      <c r="E2367" t="s">
        <v>9400</v>
      </c>
      <c r="F2367" t="s">
        <v>1551</v>
      </c>
      <c r="G2367" t="s">
        <v>51</v>
      </c>
      <c r="H2367" t="s">
        <v>9401</v>
      </c>
      <c r="I2367" t="s">
        <v>720</v>
      </c>
      <c r="J2367" t="s">
        <v>2572</v>
      </c>
      <c r="K2367" t="s">
        <v>5939</v>
      </c>
      <c r="L2367" t="s">
        <v>17</v>
      </c>
      <c r="M2367" t="s">
        <v>18</v>
      </c>
      <c r="N2367">
        <v>5832</v>
      </c>
      <c r="O2367">
        <v>321</v>
      </c>
      <c r="P2367">
        <v>0</v>
      </c>
      <c r="Q2367" t="s">
        <v>9884</v>
      </c>
      <c r="R2367" t="s">
        <v>9885</v>
      </c>
      <c r="S2367" t="s">
        <v>9886</v>
      </c>
      <c r="T2367" t="s">
        <v>9887</v>
      </c>
      <c r="U2367" t="s">
        <v>60</v>
      </c>
      <c r="V2367" t="s">
        <v>61</v>
      </c>
      <c r="W2367">
        <v>10</v>
      </c>
      <c r="X2367">
        <v>0.1150625</v>
      </c>
      <c r="Y2367" t="s">
        <v>693</v>
      </c>
      <c r="Z2367" t="s">
        <v>694</v>
      </c>
      <c r="AA2367">
        <v>4</v>
      </c>
      <c r="AB2367" t="s">
        <v>9402</v>
      </c>
      <c r="AC2367" t="s">
        <v>9403</v>
      </c>
      <c r="AD2367" t="s">
        <v>9404</v>
      </c>
      <c r="AE2367" t="s">
        <v>9405</v>
      </c>
      <c r="AF2367" t="s">
        <v>9406</v>
      </c>
      <c r="AG2367" t="s">
        <v>322</v>
      </c>
      <c r="AH2367" t="s">
        <v>191</v>
      </c>
      <c r="AI2367" t="s">
        <v>322</v>
      </c>
      <c r="AJ2367" t="s">
        <v>590</v>
      </c>
      <c r="AK2367">
        <v>1</v>
      </c>
      <c r="AL2367" t="s">
        <v>9602</v>
      </c>
      <c r="AM2367" t="s">
        <v>9603</v>
      </c>
      <c r="AN2367" t="s">
        <v>9604</v>
      </c>
      <c r="AO2367" t="s">
        <v>66</v>
      </c>
      <c r="AP2367">
        <v>1</v>
      </c>
      <c r="AQ2367" t="s">
        <v>9605</v>
      </c>
      <c r="AR2367" t="s">
        <v>9606</v>
      </c>
      <c r="AS2367" t="s">
        <v>9707</v>
      </c>
      <c r="AT2367" t="s">
        <v>66</v>
      </c>
    </row>
    <row r="2368" spans="1:46" x14ac:dyDescent="0.15">
      <c r="A2368" t="s">
        <v>9888</v>
      </c>
      <c r="B2368" t="s">
        <v>9398</v>
      </c>
      <c r="C2368" t="s">
        <v>9399</v>
      </c>
      <c r="D2368">
        <v>97</v>
      </c>
      <c r="E2368" t="s">
        <v>9400</v>
      </c>
      <c r="F2368" t="s">
        <v>1551</v>
      </c>
      <c r="G2368" t="s">
        <v>51</v>
      </c>
      <c r="H2368" t="s">
        <v>9401</v>
      </c>
      <c r="I2368" t="s">
        <v>720</v>
      </c>
      <c r="J2368" t="s">
        <v>2572</v>
      </c>
      <c r="K2368" t="s">
        <v>5939</v>
      </c>
      <c r="L2368" t="s">
        <v>17</v>
      </c>
      <c r="M2368" t="s">
        <v>18</v>
      </c>
      <c r="N2368">
        <v>5888</v>
      </c>
      <c r="O2368">
        <v>324</v>
      </c>
      <c r="P2368">
        <v>0</v>
      </c>
      <c r="Q2368" t="s">
        <v>9889</v>
      </c>
      <c r="R2368" t="s">
        <v>9890</v>
      </c>
      <c r="S2368" t="s">
        <v>9891</v>
      </c>
      <c r="T2368" t="s">
        <v>9892</v>
      </c>
      <c r="U2368" t="s">
        <v>60</v>
      </c>
      <c r="V2368" t="s">
        <v>61</v>
      </c>
      <c r="W2368">
        <v>10</v>
      </c>
      <c r="X2368">
        <v>0.1150625</v>
      </c>
      <c r="Y2368" t="s">
        <v>382</v>
      </c>
      <c r="Z2368" t="s">
        <v>700</v>
      </c>
      <c r="AA2368">
        <v>4</v>
      </c>
      <c r="AB2368" t="s">
        <v>9402</v>
      </c>
      <c r="AC2368" t="s">
        <v>9403</v>
      </c>
      <c r="AD2368" t="s">
        <v>9404</v>
      </c>
      <c r="AE2368" t="s">
        <v>9405</v>
      </c>
      <c r="AF2368" t="s">
        <v>9406</v>
      </c>
      <c r="AG2368" t="s">
        <v>322</v>
      </c>
      <c r="AH2368" t="s">
        <v>191</v>
      </c>
      <c r="AI2368" t="s">
        <v>322</v>
      </c>
      <c r="AJ2368" t="s">
        <v>590</v>
      </c>
      <c r="AK2368">
        <v>1</v>
      </c>
      <c r="AL2368" t="s">
        <v>9602</v>
      </c>
      <c r="AM2368" t="s">
        <v>9603</v>
      </c>
      <c r="AN2368" t="s">
        <v>9604</v>
      </c>
      <c r="AO2368" t="s">
        <v>66</v>
      </c>
      <c r="AP2368">
        <v>1</v>
      </c>
      <c r="AQ2368" t="s">
        <v>9605</v>
      </c>
      <c r="AR2368" t="s">
        <v>9606</v>
      </c>
      <c r="AS2368" t="s">
        <v>9707</v>
      </c>
      <c r="AT2368" t="s">
        <v>66</v>
      </c>
    </row>
    <row r="2369" spans="1:46" x14ac:dyDescent="0.15">
      <c r="A2369" t="s">
        <v>9893</v>
      </c>
      <c r="B2369" t="s">
        <v>9398</v>
      </c>
      <c r="C2369" t="s">
        <v>9399</v>
      </c>
      <c r="D2369">
        <v>98</v>
      </c>
      <c r="E2369" t="s">
        <v>9400</v>
      </c>
      <c r="F2369" t="s">
        <v>1551</v>
      </c>
      <c r="G2369" t="s">
        <v>51</v>
      </c>
      <c r="H2369" t="s">
        <v>9401</v>
      </c>
      <c r="I2369" t="s">
        <v>720</v>
      </c>
      <c r="J2369" t="s">
        <v>2572</v>
      </c>
      <c r="K2369" t="s">
        <v>5939</v>
      </c>
      <c r="L2369" t="s">
        <v>17</v>
      </c>
      <c r="M2369" t="s">
        <v>18</v>
      </c>
      <c r="N2369">
        <v>5944</v>
      </c>
      <c r="O2369">
        <v>327</v>
      </c>
      <c r="P2369">
        <v>0</v>
      </c>
      <c r="Q2369" t="s">
        <v>9894</v>
      </c>
      <c r="R2369" t="s">
        <v>9895</v>
      </c>
      <c r="S2369" t="s">
        <v>9896</v>
      </c>
      <c r="T2369" t="s">
        <v>9897</v>
      </c>
      <c r="U2369" t="s">
        <v>60</v>
      </c>
      <c r="V2369" t="s">
        <v>61</v>
      </c>
      <c r="W2369">
        <v>10</v>
      </c>
      <c r="X2369">
        <v>0.1150625</v>
      </c>
      <c r="Y2369" t="s">
        <v>706</v>
      </c>
      <c r="Z2369" t="s">
        <v>707</v>
      </c>
      <c r="AA2369">
        <v>4</v>
      </c>
      <c r="AB2369" t="s">
        <v>9402</v>
      </c>
      <c r="AC2369" t="s">
        <v>9403</v>
      </c>
      <c r="AD2369" t="s">
        <v>9404</v>
      </c>
      <c r="AE2369" t="s">
        <v>9405</v>
      </c>
      <c r="AF2369" t="s">
        <v>9406</v>
      </c>
      <c r="AG2369" t="s">
        <v>322</v>
      </c>
      <c r="AH2369" t="s">
        <v>191</v>
      </c>
      <c r="AI2369" t="s">
        <v>322</v>
      </c>
      <c r="AJ2369" t="s">
        <v>590</v>
      </c>
      <c r="AK2369">
        <v>1</v>
      </c>
      <c r="AL2369" t="s">
        <v>9602</v>
      </c>
      <c r="AM2369" t="s">
        <v>9603</v>
      </c>
      <c r="AN2369" t="s">
        <v>9604</v>
      </c>
      <c r="AO2369" t="s">
        <v>66</v>
      </c>
      <c r="AP2369">
        <v>1</v>
      </c>
      <c r="AQ2369" t="s">
        <v>9605</v>
      </c>
      <c r="AR2369" t="s">
        <v>9606</v>
      </c>
      <c r="AS2369" t="s">
        <v>9707</v>
      </c>
      <c r="AT2369" t="s">
        <v>66</v>
      </c>
    </row>
    <row r="2370" spans="1:46" x14ac:dyDescent="0.15">
      <c r="A2370" t="s">
        <v>9898</v>
      </c>
      <c r="B2370" t="s">
        <v>9398</v>
      </c>
      <c r="C2370" t="s">
        <v>9399</v>
      </c>
      <c r="D2370">
        <v>99</v>
      </c>
      <c r="E2370" t="s">
        <v>9400</v>
      </c>
      <c r="F2370" t="s">
        <v>1551</v>
      </c>
      <c r="G2370" t="s">
        <v>51</v>
      </c>
      <c r="H2370" t="s">
        <v>9401</v>
      </c>
      <c r="I2370" t="s">
        <v>720</v>
      </c>
      <c r="J2370" t="s">
        <v>2572</v>
      </c>
      <c r="K2370" t="s">
        <v>5939</v>
      </c>
      <c r="L2370" t="s">
        <v>17</v>
      </c>
      <c r="M2370" t="s">
        <v>18</v>
      </c>
      <c r="N2370">
        <v>6000</v>
      </c>
      <c r="O2370">
        <v>330</v>
      </c>
      <c r="P2370">
        <v>0</v>
      </c>
      <c r="Q2370" t="s">
        <v>6343</v>
      </c>
      <c r="R2370" t="s">
        <v>9899</v>
      </c>
      <c r="S2370" t="s">
        <v>9900</v>
      </c>
      <c r="T2370" t="s">
        <v>4099</v>
      </c>
      <c r="U2370" t="s">
        <v>60</v>
      </c>
      <c r="V2370" t="s">
        <v>61</v>
      </c>
      <c r="W2370">
        <v>10</v>
      </c>
      <c r="X2370">
        <v>0.1150625</v>
      </c>
      <c r="Y2370" t="s">
        <v>389</v>
      </c>
      <c r="Z2370" t="s">
        <v>713</v>
      </c>
      <c r="AA2370">
        <v>4</v>
      </c>
      <c r="AB2370" t="s">
        <v>9402</v>
      </c>
      <c r="AC2370" t="s">
        <v>9403</v>
      </c>
      <c r="AD2370" t="s">
        <v>9404</v>
      </c>
      <c r="AE2370" t="s">
        <v>9405</v>
      </c>
      <c r="AF2370" t="s">
        <v>9406</v>
      </c>
      <c r="AG2370" t="s">
        <v>322</v>
      </c>
      <c r="AH2370" t="s">
        <v>191</v>
      </c>
      <c r="AI2370" t="s">
        <v>322</v>
      </c>
      <c r="AJ2370" t="s">
        <v>590</v>
      </c>
      <c r="AK2370">
        <v>1</v>
      </c>
      <c r="AL2370" t="s">
        <v>9602</v>
      </c>
      <c r="AM2370" t="s">
        <v>9603</v>
      </c>
      <c r="AN2370" t="s">
        <v>9604</v>
      </c>
      <c r="AO2370" t="s">
        <v>66</v>
      </c>
      <c r="AP2370">
        <v>1</v>
      </c>
      <c r="AQ2370" t="s">
        <v>9605</v>
      </c>
      <c r="AR2370" t="s">
        <v>9606</v>
      </c>
      <c r="AS2370" t="s">
        <v>9707</v>
      </c>
      <c r="AT2370" t="s">
        <v>66</v>
      </c>
    </row>
    <row r="2371" spans="1:46" x14ac:dyDescent="0.15">
      <c r="A2371" t="s">
        <v>9901</v>
      </c>
      <c r="B2371" t="s">
        <v>9902</v>
      </c>
      <c r="C2371" t="s">
        <v>9903</v>
      </c>
      <c r="D2371">
        <v>1</v>
      </c>
      <c r="E2371" t="s">
        <v>9904</v>
      </c>
      <c r="F2371" t="s">
        <v>3592</v>
      </c>
      <c r="G2371" t="s">
        <v>51</v>
      </c>
      <c r="H2371" t="s">
        <v>9905</v>
      </c>
      <c r="I2371" t="s">
        <v>53</v>
      </c>
      <c r="J2371" t="s">
        <v>1554</v>
      </c>
      <c r="K2371" t="s">
        <v>5939</v>
      </c>
      <c r="L2371" t="s">
        <v>18</v>
      </c>
      <c r="M2371" t="s">
        <v>19</v>
      </c>
      <c r="N2371">
        <v>500</v>
      </c>
      <c r="O2371">
        <v>30</v>
      </c>
      <c r="P2371">
        <v>0</v>
      </c>
      <c r="Q2371" t="s">
        <v>58</v>
      </c>
      <c r="R2371" t="s">
        <v>1557</v>
      </c>
      <c r="S2371" t="s">
        <v>6350</v>
      </c>
      <c r="T2371" t="s">
        <v>3596</v>
      </c>
      <c r="U2371" t="s">
        <v>60</v>
      </c>
      <c r="V2371" t="s">
        <v>61</v>
      </c>
      <c r="W2371">
        <v>10</v>
      </c>
      <c r="X2371">
        <v>0.112</v>
      </c>
      <c r="Y2371" t="s">
        <v>62</v>
      </c>
      <c r="Z2371" t="s">
        <v>62</v>
      </c>
      <c r="AA2371">
        <v>0</v>
      </c>
      <c r="AB2371" t="s">
        <v>9906</v>
      </c>
      <c r="AC2371" t="s">
        <v>9907</v>
      </c>
      <c r="AD2371" t="s">
        <v>9908</v>
      </c>
      <c r="AE2371" t="s">
        <v>9909</v>
      </c>
      <c r="AF2371" t="s">
        <v>9910</v>
      </c>
      <c r="AG2371" t="s">
        <v>66</v>
      </c>
      <c r="AH2371" t="s">
        <v>66</v>
      </c>
      <c r="AI2371" t="s">
        <v>66</v>
      </c>
      <c r="AJ2371" t="s">
        <v>66</v>
      </c>
      <c r="AK2371">
        <v>1</v>
      </c>
      <c r="AL2371" t="s">
        <v>66</v>
      </c>
      <c r="AM2371" t="s">
        <v>66</v>
      </c>
      <c r="AN2371" t="s">
        <v>66</v>
      </c>
      <c r="AO2371" t="s">
        <v>66</v>
      </c>
      <c r="AP2371">
        <v>1</v>
      </c>
      <c r="AQ2371" t="s">
        <v>66</v>
      </c>
      <c r="AR2371" t="s">
        <v>66</v>
      </c>
      <c r="AS2371" t="s">
        <v>66</v>
      </c>
      <c r="AT2371" t="s">
        <v>66</v>
      </c>
    </row>
    <row r="2372" spans="1:46" x14ac:dyDescent="0.15">
      <c r="A2372" t="s">
        <v>9911</v>
      </c>
      <c r="B2372" t="s">
        <v>9902</v>
      </c>
      <c r="C2372" t="s">
        <v>9903</v>
      </c>
      <c r="D2372">
        <v>2</v>
      </c>
      <c r="E2372" t="s">
        <v>9904</v>
      </c>
      <c r="F2372" t="s">
        <v>3592</v>
      </c>
      <c r="G2372" t="s">
        <v>51</v>
      </c>
      <c r="H2372" t="s">
        <v>9905</v>
      </c>
      <c r="I2372" t="s">
        <v>53</v>
      </c>
      <c r="J2372" t="s">
        <v>1554</v>
      </c>
      <c r="K2372" t="s">
        <v>5939</v>
      </c>
      <c r="L2372" t="s">
        <v>18</v>
      </c>
      <c r="M2372" t="s">
        <v>19</v>
      </c>
      <c r="N2372">
        <v>556</v>
      </c>
      <c r="O2372">
        <v>33</v>
      </c>
      <c r="P2372">
        <v>0</v>
      </c>
      <c r="Q2372" t="s">
        <v>9912</v>
      </c>
      <c r="R2372" t="s">
        <v>1565</v>
      </c>
      <c r="S2372" t="s">
        <v>9913</v>
      </c>
      <c r="T2372" t="s">
        <v>9914</v>
      </c>
      <c r="U2372" t="s">
        <v>60</v>
      </c>
      <c r="V2372" t="s">
        <v>61</v>
      </c>
      <c r="W2372">
        <v>10</v>
      </c>
      <c r="X2372">
        <v>0.112</v>
      </c>
      <c r="Y2372" t="s">
        <v>72</v>
      </c>
      <c r="Z2372" t="s">
        <v>73</v>
      </c>
      <c r="AA2372">
        <v>0</v>
      </c>
      <c r="AB2372" t="s">
        <v>9906</v>
      </c>
      <c r="AC2372" t="s">
        <v>9907</v>
      </c>
      <c r="AD2372" t="s">
        <v>9908</v>
      </c>
      <c r="AE2372" t="s">
        <v>9909</v>
      </c>
      <c r="AF2372" t="s">
        <v>9910</v>
      </c>
      <c r="AG2372" t="s">
        <v>66</v>
      </c>
      <c r="AH2372" t="s">
        <v>66</v>
      </c>
      <c r="AI2372" t="s">
        <v>66</v>
      </c>
      <c r="AJ2372" t="s">
        <v>66</v>
      </c>
      <c r="AK2372">
        <v>1</v>
      </c>
      <c r="AL2372" t="s">
        <v>66</v>
      </c>
      <c r="AM2372" t="s">
        <v>66</v>
      </c>
      <c r="AN2372" t="s">
        <v>66</v>
      </c>
      <c r="AO2372" t="s">
        <v>66</v>
      </c>
      <c r="AP2372">
        <v>1</v>
      </c>
      <c r="AQ2372" t="s">
        <v>66</v>
      </c>
      <c r="AR2372" t="s">
        <v>66</v>
      </c>
      <c r="AS2372" t="s">
        <v>66</v>
      </c>
      <c r="AT2372" t="s">
        <v>66</v>
      </c>
    </row>
    <row r="2373" spans="1:46" x14ac:dyDescent="0.15">
      <c r="A2373" t="s">
        <v>9915</v>
      </c>
      <c r="B2373" t="s">
        <v>9902</v>
      </c>
      <c r="C2373" t="s">
        <v>9903</v>
      </c>
      <c r="D2373">
        <v>3</v>
      </c>
      <c r="E2373" t="s">
        <v>9904</v>
      </c>
      <c r="F2373" t="s">
        <v>3592</v>
      </c>
      <c r="G2373" t="s">
        <v>51</v>
      </c>
      <c r="H2373" t="s">
        <v>9905</v>
      </c>
      <c r="I2373" t="s">
        <v>53</v>
      </c>
      <c r="J2373" t="s">
        <v>1554</v>
      </c>
      <c r="K2373" t="s">
        <v>5939</v>
      </c>
      <c r="L2373" t="s">
        <v>18</v>
      </c>
      <c r="M2373" t="s">
        <v>19</v>
      </c>
      <c r="N2373">
        <v>612</v>
      </c>
      <c r="O2373">
        <v>37</v>
      </c>
      <c r="P2373">
        <v>0</v>
      </c>
      <c r="Q2373" t="s">
        <v>9916</v>
      </c>
      <c r="R2373" t="s">
        <v>1570</v>
      </c>
      <c r="S2373" t="s">
        <v>9917</v>
      </c>
      <c r="T2373" t="s">
        <v>9918</v>
      </c>
      <c r="U2373" t="s">
        <v>60</v>
      </c>
      <c r="V2373" t="s">
        <v>61</v>
      </c>
      <c r="W2373">
        <v>10</v>
      </c>
      <c r="X2373">
        <v>0.112</v>
      </c>
      <c r="Y2373" t="s">
        <v>73</v>
      </c>
      <c r="Z2373" t="s">
        <v>79</v>
      </c>
      <c r="AA2373">
        <v>0</v>
      </c>
      <c r="AB2373" t="s">
        <v>9906</v>
      </c>
      <c r="AC2373" t="s">
        <v>9907</v>
      </c>
      <c r="AD2373" t="s">
        <v>9908</v>
      </c>
      <c r="AE2373" t="s">
        <v>9909</v>
      </c>
      <c r="AF2373" t="s">
        <v>9910</v>
      </c>
      <c r="AG2373" t="s">
        <v>66</v>
      </c>
      <c r="AH2373" t="s">
        <v>66</v>
      </c>
      <c r="AI2373" t="s">
        <v>66</v>
      </c>
      <c r="AJ2373" t="s">
        <v>66</v>
      </c>
      <c r="AK2373">
        <v>1</v>
      </c>
      <c r="AL2373" t="s">
        <v>66</v>
      </c>
      <c r="AM2373" t="s">
        <v>66</v>
      </c>
      <c r="AN2373" t="s">
        <v>66</v>
      </c>
      <c r="AO2373" t="s">
        <v>66</v>
      </c>
      <c r="AP2373">
        <v>1</v>
      </c>
      <c r="AQ2373" t="s">
        <v>66</v>
      </c>
      <c r="AR2373" t="s">
        <v>66</v>
      </c>
      <c r="AS2373" t="s">
        <v>66</v>
      </c>
      <c r="AT2373" t="s">
        <v>66</v>
      </c>
    </row>
    <row r="2374" spans="1:46" x14ac:dyDescent="0.15">
      <c r="A2374" t="s">
        <v>9919</v>
      </c>
      <c r="B2374" t="s">
        <v>9902</v>
      </c>
      <c r="C2374" t="s">
        <v>9903</v>
      </c>
      <c r="D2374">
        <v>4</v>
      </c>
      <c r="E2374" t="s">
        <v>9904</v>
      </c>
      <c r="F2374" t="s">
        <v>3592</v>
      </c>
      <c r="G2374" t="s">
        <v>51</v>
      </c>
      <c r="H2374" t="s">
        <v>9905</v>
      </c>
      <c r="I2374" t="s">
        <v>53</v>
      </c>
      <c r="J2374" t="s">
        <v>1554</v>
      </c>
      <c r="K2374" t="s">
        <v>5939</v>
      </c>
      <c r="L2374" t="s">
        <v>18</v>
      </c>
      <c r="M2374" t="s">
        <v>19</v>
      </c>
      <c r="N2374">
        <v>668</v>
      </c>
      <c r="O2374">
        <v>40</v>
      </c>
      <c r="P2374">
        <v>0</v>
      </c>
      <c r="Q2374" t="s">
        <v>9920</v>
      </c>
      <c r="R2374" t="s">
        <v>1575</v>
      </c>
      <c r="S2374" t="s">
        <v>9921</v>
      </c>
      <c r="T2374" t="s">
        <v>9922</v>
      </c>
      <c r="U2374" t="s">
        <v>60</v>
      </c>
      <c r="V2374" t="s">
        <v>61</v>
      </c>
      <c r="W2374">
        <v>10</v>
      </c>
      <c r="X2374">
        <v>0.112</v>
      </c>
      <c r="Y2374" t="s">
        <v>85</v>
      </c>
      <c r="Z2374" t="s">
        <v>86</v>
      </c>
      <c r="AA2374">
        <v>0</v>
      </c>
      <c r="AB2374" t="s">
        <v>9906</v>
      </c>
      <c r="AC2374" t="s">
        <v>9907</v>
      </c>
      <c r="AD2374" t="s">
        <v>9908</v>
      </c>
      <c r="AE2374" t="s">
        <v>9909</v>
      </c>
      <c r="AF2374" t="s">
        <v>9910</v>
      </c>
      <c r="AG2374" t="s">
        <v>66</v>
      </c>
      <c r="AH2374" t="s">
        <v>66</v>
      </c>
      <c r="AI2374" t="s">
        <v>66</v>
      </c>
      <c r="AJ2374" t="s">
        <v>66</v>
      </c>
      <c r="AK2374">
        <v>1</v>
      </c>
      <c r="AL2374" t="s">
        <v>66</v>
      </c>
      <c r="AM2374" t="s">
        <v>66</v>
      </c>
      <c r="AN2374" t="s">
        <v>66</v>
      </c>
      <c r="AO2374" t="s">
        <v>66</v>
      </c>
      <c r="AP2374">
        <v>1</v>
      </c>
      <c r="AQ2374" t="s">
        <v>66</v>
      </c>
      <c r="AR2374" t="s">
        <v>66</v>
      </c>
      <c r="AS2374" t="s">
        <v>66</v>
      </c>
      <c r="AT2374" t="s">
        <v>66</v>
      </c>
    </row>
    <row r="2375" spans="1:46" x14ac:dyDescent="0.15">
      <c r="A2375" t="s">
        <v>9923</v>
      </c>
      <c r="B2375" t="s">
        <v>9902</v>
      </c>
      <c r="C2375" t="s">
        <v>9903</v>
      </c>
      <c r="D2375">
        <v>5</v>
      </c>
      <c r="E2375" t="s">
        <v>9904</v>
      </c>
      <c r="F2375" t="s">
        <v>3592</v>
      </c>
      <c r="G2375" t="s">
        <v>51</v>
      </c>
      <c r="H2375" t="s">
        <v>9905</v>
      </c>
      <c r="I2375" t="s">
        <v>53</v>
      </c>
      <c r="J2375" t="s">
        <v>1554</v>
      </c>
      <c r="K2375" t="s">
        <v>5939</v>
      </c>
      <c r="L2375" t="s">
        <v>18</v>
      </c>
      <c r="M2375" t="s">
        <v>19</v>
      </c>
      <c r="N2375">
        <v>724</v>
      </c>
      <c r="O2375">
        <v>43</v>
      </c>
      <c r="P2375">
        <v>0</v>
      </c>
      <c r="Q2375" t="s">
        <v>9924</v>
      </c>
      <c r="R2375" t="s">
        <v>1580</v>
      </c>
      <c r="S2375" t="s">
        <v>9925</v>
      </c>
      <c r="T2375" t="s">
        <v>9926</v>
      </c>
      <c r="U2375" t="s">
        <v>60</v>
      </c>
      <c r="V2375" t="s">
        <v>61</v>
      </c>
      <c r="W2375">
        <v>10</v>
      </c>
      <c r="X2375">
        <v>0.112</v>
      </c>
      <c r="Y2375" t="s">
        <v>79</v>
      </c>
      <c r="Z2375" t="s">
        <v>92</v>
      </c>
      <c r="AA2375">
        <v>0</v>
      </c>
      <c r="AB2375" t="s">
        <v>9906</v>
      </c>
      <c r="AC2375" t="s">
        <v>9907</v>
      </c>
      <c r="AD2375" t="s">
        <v>9908</v>
      </c>
      <c r="AE2375" t="s">
        <v>9909</v>
      </c>
      <c r="AF2375" t="s">
        <v>9910</v>
      </c>
      <c r="AG2375" t="s">
        <v>66</v>
      </c>
      <c r="AH2375" t="s">
        <v>66</v>
      </c>
      <c r="AI2375" t="s">
        <v>66</v>
      </c>
      <c r="AJ2375" t="s">
        <v>66</v>
      </c>
      <c r="AK2375">
        <v>1</v>
      </c>
      <c r="AL2375" t="s">
        <v>66</v>
      </c>
      <c r="AM2375" t="s">
        <v>66</v>
      </c>
      <c r="AN2375" t="s">
        <v>66</v>
      </c>
      <c r="AO2375" t="s">
        <v>66</v>
      </c>
      <c r="AP2375">
        <v>1</v>
      </c>
      <c r="AQ2375" t="s">
        <v>66</v>
      </c>
      <c r="AR2375" t="s">
        <v>66</v>
      </c>
      <c r="AS2375" t="s">
        <v>66</v>
      </c>
      <c r="AT2375" t="s">
        <v>66</v>
      </c>
    </row>
    <row r="2376" spans="1:46" x14ac:dyDescent="0.15">
      <c r="A2376" t="s">
        <v>9927</v>
      </c>
      <c r="B2376" t="s">
        <v>9902</v>
      </c>
      <c r="C2376" t="s">
        <v>9903</v>
      </c>
      <c r="D2376">
        <v>6</v>
      </c>
      <c r="E2376" t="s">
        <v>9904</v>
      </c>
      <c r="F2376" t="s">
        <v>3592</v>
      </c>
      <c r="G2376" t="s">
        <v>51</v>
      </c>
      <c r="H2376" t="s">
        <v>9905</v>
      </c>
      <c r="I2376" t="s">
        <v>53</v>
      </c>
      <c r="J2376" t="s">
        <v>1554</v>
      </c>
      <c r="K2376" t="s">
        <v>5939</v>
      </c>
      <c r="L2376" t="s">
        <v>18</v>
      </c>
      <c r="M2376" t="s">
        <v>19</v>
      </c>
      <c r="N2376">
        <v>781</v>
      </c>
      <c r="O2376">
        <v>46</v>
      </c>
      <c r="P2376">
        <v>0</v>
      </c>
      <c r="Q2376" t="s">
        <v>9928</v>
      </c>
      <c r="R2376" t="s">
        <v>1585</v>
      </c>
      <c r="S2376" t="s">
        <v>9929</v>
      </c>
      <c r="T2376" t="s">
        <v>9930</v>
      </c>
      <c r="U2376" t="s">
        <v>60</v>
      </c>
      <c r="V2376" t="s">
        <v>61</v>
      </c>
      <c r="W2376">
        <v>10</v>
      </c>
      <c r="X2376">
        <v>0.112</v>
      </c>
      <c r="Y2376" t="s">
        <v>98</v>
      </c>
      <c r="Z2376" t="s">
        <v>99</v>
      </c>
      <c r="AA2376">
        <v>0</v>
      </c>
      <c r="AB2376" t="s">
        <v>9906</v>
      </c>
      <c r="AC2376" t="s">
        <v>9907</v>
      </c>
      <c r="AD2376" t="s">
        <v>9908</v>
      </c>
      <c r="AE2376" t="s">
        <v>9909</v>
      </c>
      <c r="AF2376" t="s">
        <v>9910</v>
      </c>
      <c r="AG2376" t="s">
        <v>66</v>
      </c>
      <c r="AH2376" t="s">
        <v>66</v>
      </c>
      <c r="AI2376" t="s">
        <v>66</v>
      </c>
      <c r="AJ2376" t="s">
        <v>66</v>
      </c>
      <c r="AK2376">
        <v>1</v>
      </c>
      <c r="AL2376" t="s">
        <v>66</v>
      </c>
      <c r="AM2376" t="s">
        <v>66</v>
      </c>
      <c r="AN2376" t="s">
        <v>66</v>
      </c>
      <c r="AO2376" t="s">
        <v>66</v>
      </c>
      <c r="AP2376">
        <v>1</v>
      </c>
      <c r="AQ2376" t="s">
        <v>66</v>
      </c>
      <c r="AR2376" t="s">
        <v>66</v>
      </c>
      <c r="AS2376" t="s">
        <v>66</v>
      </c>
      <c r="AT2376" t="s">
        <v>66</v>
      </c>
    </row>
    <row r="2377" spans="1:46" x14ac:dyDescent="0.15">
      <c r="A2377" t="s">
        <v>9931</v>
      </c>
      <c r="B2377" t="s">
        <v>9902</v>
      </c>
      <c r="C2377" t="s">
        <v>9903</v>
      </c>
      <c r="D2377">
        <v>7</v>
      </c>
      <c r="E2377" t="s">
        <v>9904</v>
      </c>
      <c r="F2377" t="s">
        <v>3592</v>
      </c>
      <c r="G2377" t="s">
        <v>51</v>
      </c>
      <c r="H2377" t="s">
        <v>9905</v>
      </c>
      <c r="I2377" t="s">
        <v>53</v>
      </c>
      <c r="J2377" t="s">
        <v>1554</v>
      </c>
      <c r="K2377" t="s">
        <v>5939</v>
      </c>
      <c r="L2377" t="s">
        <v>18</v>
      </c>
      <c r="M2377" t="s">
        <v>19</v>
      </c>
      <c r="N2377">
        <v>837</v>
      </c>
      <c r="O2377">
        <v>50</v>
      </c>
      <c r="P2377">
        <v>0</v>
      </c>
      <c r="Q2377" t="s">
        <v>9932</v>
      </c>
      <c r="R2377" t="s">
        <v>1590</v>
      </c>
      <c r="S2377" t="s">
        <v>9933</v>
      </c>
      <c r="T2377" t="s">
        <v>9934</v>
      </c>
      <c r="U2377" t="s">
        <v>60</v>
      </c>
      <c r="V2377" t="s">
        <v>61</v>
      </c>
      <c r="W2377">
        <v>10</v>
      </c>
      <c r="X2377">
        <v>0.112</v>
      </c>
      <c r="Y2377" t="s">
        <v>86</v>
      </c>
      <c r="Z2377" t="s">
        <v>105</v>
      </c>
      <c r="AA2377">
        <v>0</v>
      </c>
      <c r="AB2377" t="s">
        <v>9906</v>
      </c>
      <c r="AC2377" t="s">
        <v>9907</v>
      </c>
      <c r="AD2377" t="s">
        <v>9908</v>
      </c>
      <c r="AE2377" t="s">
        <v>9909</v>
      </c>
      <c r="AF2377" t="s">
        <v>9910</v>
      </c>
      <c r="AG2377" t="s">
        <v>66</v>
      </c>
      <c r="AH2377" t="s">
        <v>66</v>
      </c>
      <c r="AI2377" t="s">
        <v>66</v>
      </c>
      <c r="AJ2377" t="s">
        <v>66</v>
      </c>
      <c r="AK2377">
        <v>1</v>
      </c>
      <c r="AL2377" t="s">
        <v>66</v>
      </c>
      <c r="AM2377" t="s">
        <v>66</v>
      </c>
      <c r="AN2377" t="s">
        <v>66</v>
      </c>
      <c r="AO2377" t="s">
        <v>66</v>
      </c>
      <c r="AP2377">
        <v>1</v>
      </c>
      <c r="AQ2377" t="s">
        <v>66</v>
      </c>
      <c r="AR2377" t="s">
        <v>66</v>
      </c>
      <c r="AS2377" t="s">
        <v>66</v>
      </c>
      <c r="AT2377" t="s">
        <v>66</v>
      </c>
    </row>
    <row r="2378" spans="1:46" x14ac:dyDescent="0.15">
      <c r="A2378" t="s">
        <v>9935</v>
      </c>
      <c r="B2378" t="s">
        <v>9902</v>
      </c>
      <c r="C2378" t="s">
        <v>9903</v>
      </c>
      <c r="D2378">
        <v>8</v>
      </c>
      <c r="E2378" t="s">
        <v>9904</v>
      </c>
      <c r="F2378" t="s">
        <v>3592</v>
      </c>
      <c r="G2378" t="s">
        <v>51</v>
      </c>
      <c r="H2378" t="s">
        <v>9905</v>
      </c>
      <c r="I2378" t="s">
        <v>53</v>
      </c>
      <c r="J2378" t="s">
        <v>1554</v>
      </c>
      <c r="K2378" t="s">
        <v>5939</v>
      </c>
      <c r="L2378" t="s">
        <v>18</v>
      </c>
      <c r="M2378" t="s">
        <v>19</v>
      </c>
      <c r="N2378">
        <v>893</v>
      </c>
      <c r="O2378">
        <v>53</v>
      </c>
      <c r="P2378">
        <v>0</v>
      </c>
      <c r="Q2378" t="s">
        <v>9936</v>
      </c>
      <c r="R2378" t="s">
        <v>1595</v>
      </c>
      <c r="S2378" t="s">
        <v>9937</v>
      </c>
      <c r="T2378" t="s">
        <v>9938</v>
      </c>
      <c r="U2378" t="s">
        <v>60</v>
      </c>
      <c r="V2378" t="s">
        <v>61</v>
      </c>
      <c r="W2378">
        <v>10</v>
      </c>
      <c r="X2378">
        <v>0.112</v>
      </c>
      <c r="Y2378" t="s">
        <v>111</v>
      </c>
      <c r="Z2378" t="s">
        <v>112</v>
      </c>
      <c r="AA2378">
        <v>0</v>
      </c>
      <c r="AB2378" t="s">
        <v>9906</v>
      </c>
      <c r="AC2378" t="s">
        <v>9907</v>
      </c>
      <c r="AD2378" t="s">
        <v>9908</v>
      </c>
      <c r="AE2378" t="s">
        <v>9909</v>
      </c>
      <c r="AF2378" t="s">
        <v>9910</v>
      </c>
      <c r="AG2378" t="s">
        <v>66</v>
      </c>
      <c r="AH2378" t="s">
        <v>66</v>
      </c>
      <c r="AI2378" t="s">
        <v>66</v>
      </c>
      <c r="AJ2378" t="s">
        <v>66</v>
      </c>
      <c r="AK2378">
        <v>1</v>
      </c>
      <c r="AL2378" t="s">
        <v>66</v>
      </c>
      <c r="AM2378" t="s">
        <v>66</v>
      </c>
      <c r="AN2378" t="s">
        <v>66</v>
      </c>
      <c r="AO2378" t="s">
        <v>66</v>
      </c>
      <c r="AP2378">
        <v>1</v>
      </c>
      <c r="AQ2378" t="s">
        <v>66</v>
      </c>
      <c r="AR2378" t="s">
        <v>66</v>
      </c>
      <c r="AS2378" t="s">
        <v>66</v>
      </c>
      <c r="AT2378" t="s">
        <v>66</v>
      </c>
    </row>
    <row r="2379" spans="1:46" x14ac:dyDescent="0.15">
      <c r="A2379" t="s">
        <v>9939</v>
      </c>
      <c r="B2379" t="s">
        <v>9902</v>
      </c>
      <c r="C2379" t="s">
        <v>9903</v>
      </c>
      <c r="D2379">
        <v>9</v>
      </c>
      <c r="E2379" t="s">
        <v>9904</v>
      </c>
      <c r="F2379" t="s">
        <v>3592</v>
      </c>
      <c r="G2379" t="s">
        <v>51</v>
      </c>
      <c r="H2379" t="s">
        <v>9905</v>
      </c>
      <c r="I2379" t="s">
        <v>53</v>
      </c>
      <c r="J2379" t="s">
        <v>1554</v>
      </c>
      <c r="K2379" t="s">
        <v>5939</v>
      </c>
      <c r="L2379" t="s">
        <v>18</v>
      </c>
      <c r="M2379" t="s">
        <v>19</v>
      </c>
      <c r="N2379">
        <v>949</v>
      </c>
      <c r="O2379">
        <v>56</v>
      </c>
      <c r="P2379">
        <v>0</v>
      </c>
      <c r="Q2379" t="s">
        <v>9940</v>
      </c>
      <c r="R2379" t="s">
        <v>1600</v>
      </c>
      <c r="S2379" t="s">
        <v>9941</v>
      </c>
      <c r="T2379" t="s">
        <v>9942</v>
      </c>
      <c r="U2379" t="s">
        <v>60</v>
      </c>
      <c r="V2379" t="s">
        <v>61</v>
      </c>
      <c r="W2379">
        <v>10</v>
      </c>
      <c r="X2379">
        <v>0.112</v>
      </c>
      <c r="Y2379" t="s">
        <v>92</v>
      </c>
      <c r="Z2379" t="s">
        <v>118</v>
      </c>
      <c r="AA2379">
        <v>0</v>
      </c>
      <c r="AB2379" t="s">
        <v>9906</v>
      </c>
      <c r="AC2379" t="s">
        <v>9907</v>
      </c>
      <c r="AD2379" t="s">
        <v>9908</v>
      </c>
      <c r="AE2379" t="s">
        <v>9909</v>
      </c>
      <c r="AF2379" t="s">
        <v>9910</v>
      </c>
      <c r="AG2379" t="s">
        <v>66</v>
      </c>
      <c r="AH2379" t="s">
        <v>66</v>
      </c>
      <c r="AI2379" t="s">
        <v>66</v>
      </c>
      <c r="AJ2379" t="s">
        <v>66</v>
      </c>
      <c r="AK2379">
        <v>1</v>
      </c>
      <c r="AL2379" t="s">
        <v>66</v>
      </c>
      <c r="AM2379" t="s">
        <v>66</v>
      </c>
      <c r="AN2379" t="s">
        <v>66</v>
      </c>
      <c r="AO2379" t="s">
        <v>66</v>
      </c>
      <c r="AP2379">
        <v>1</v>
      </c>
      <c r="AQ2379" t="s">
        <v>66</v>
      </c>
      <c r="AR2379" t="s">
        <v>66</v>
      </c>
      <c r="AS2379" t="s">
        <v>66</v>
      </c>
      <c r="AT2379" t="s">
        <v>66</v>
      </c>
    </row>
    <row r="2380" spans="1:46" x14ac:dyDescent="0.15">
      <c r="A2380" t="s">
        <v>9943</v>
      </c>
      <c r="B2380" t="s">
        <v>9902</v>
      </c>
      <c r="C2380" t="s">
        <v>9903</v>
      </c>
      <c r="D2380">
        <v>10</v>
      </c>
      <c r="E2380" t="s">
        <v>9904</v>
      </c>
      <c r="F2380" t="s">
        <v>3592</v>
      </c>
      <c r="G2380" t="s">
        <v>51</v>
      </c>
      <c r="H2380" t="s">
        <v>9905</v>
      </c>
      <c r="I2380" t="s">
        <v>53</v>
      </c>
      <c r="J2380" t="s">
        <v>1554</v>
      </c>
      <c r="K2380" t="s">
        <v>5939</v>
      </c>
      <c r="L2380" t="s">
        <v>18</v>
      </c>
      <c r="M2380" t="s">
        <v>19</v>
      </c>
      <c r="N2380">
        <v>1005</v>
      </c>
      <c r="O2380">
        <v>60</v>
      </c>
      <c r="P2380">
        <v>0</v>
      </c>
      <c r="Q2380" t="s">
        <v>9944</v>
      </c>
      <c r="R2380" t="s">
        <v>1605</v>
      </c>
      <c r="S2380" t="s">
        <v>9945</v>
      </c>
      <c r="T2380" t="s">
        <v>9946</v>
      </c>
      <c r="U2380" t="s">
        <v>60</v>
      </c>
      <c r="V2380" t="s">
        <v>61</v>
      </c>
      <c r="W2380">
        <v>10</v>
      </c>
      <c r="X2380">
        <v>0.112</v>
      </c>
      <c r="Y2380" t="s">
        <v>124</v>
      </c>
      <c r="Z2380" t="s">
        <v>125</v>
      </c>
      <c r="AA2380">
        <v>0</v>
      </c>
      <c r="AB2380" t="s">
        <v>9906</v>
      </c>
      <c r="AC2380" t="s">
        <v>9907</v>
      </c>
      <c r="AD2380" t="s">
        <v>9908</v>
      </c>
      <c r="AE2380" t="s">
        <v>9909</v>
      </c>
      <c r="AF2380" t="s">
        <v>9910</v>
      </c>
      <c r="AG2380" t="s">
        <v>66</v>
      </c>
      <c r="AH2380" t="s">
        <v>66</v>
      </c>
      <c r="AI2380" t="s">
        <v>66</v>
      </c>
      <c r="AJ2380" t="s">
        <v>66</v>
      </c>
      <c r="AK2380">
        <v>1</v>
      </c>
      <c r="AL2380" t="s">
        <v>66</v>
      </c>
      <c r="AM2380" t="s">
        <v>66</v>
      </c>
      <c r="AN2380" t="s">
        <v>66</v>
      </c>
      <c r="AO2380" t="s">
        <v>66</v>
      </c>
      <c r="AP2380">
        <v>1</v>
      </c>
      <c r="AQ2380" t="s">
        <v>66</v>
      </c>
      <c r="AR2380" t="s">
        <v>66</v>
      </c>
      <c r="AS2380" t="s">
        <v>66</v>
      </c>
      <c r="AT2380" t="s">
        <v>66</v>
      </c>
    </row>
    <row r="2381" spans="1:46" x14ac:dyDescent="0.15">
      <c r="A2381" t="s">
        <v>9947</v>
      </c>
      <c r="B2381" t="s">
        <v>9902</v>
      </c>
      <c r="C2381" t="s">
        <v>9903</v>
      </c>
      <c r="D2381">
        <v>11</v>
      </c>
      <c r="E2381" t="s">
        <v>9904</v>
      </c>
      <c r="F2381" t="s">
        <v>3592</v>
      </c>
      <c r="G2381" t="s">
        <v>51</v>
      </c>
      <c r="H2381" t="s">
        <v>9905</v>
      </c>
      <c r="I2381" t="s">
        <v>53</v>
      </c>
      <c r="J2381" t="s">
        <v>1554</v>
      </c>
      <c r="K2381" t="s">
        <v>5939</v>
      </c>
      <c r="L2381" t="s">
        <v>18</v>
      </c>
      <c r="M2381" t="s">
        <v>19</v>
      </c>
      <c r="N2381">
        <v>1061</v>
      </c>
      <c r="O2381">
        <v>63</v>
      </c>
      <c r="P2381">
        <v>0</v>
      </c>
      <c r="Q2381" t="s">
        <v>9948</v>
      </c>
      <c r="R2381" t="s">
        <v>1610</v>
      </c>
      <c r="S2381" t="s">
        <v>9949</v>
      </c>
      <c r="T2381" t="s">
        <v>9950</v>
      </c>
      <c r="U2381" t="s">
        <v>60</v>
      </c>
      <c r="V2381" t="s">
        <v>61</v>
      </c>
      <c r="W2381">
        <v>10</v>
      </c>
      <c r="X2381">
        <v>0.112</v>
      </c>
      <c r="Y2381" t="s">
        <v>99</v>
      </c>
      <c r="Z2381" t="s">
        <v>131</v>
      </c>
      <c r="AA2381">
        <v>0</v>
      </c>
      <c r="AB2381" t="s">
        <v>9906</v>
      </c>
      <c r="AC2381" t="s">
        <v>9907</v>
      </c>
      <c r="AD2381" t="s">
        <v>9908</v>
      </c>
      <c r="AE2381" t="s">
        <v>9909</v>
      </c>
      <c r="AF2381" t="s">
        <v>9910</v>
      </c>
      <c r="AG2381" t="s">
        <v>66</v>
      </c>
      <c r="AH2381" t="s">
        <v>66</v>
      </c>
      <c r="AI2381" t="s">
        <v>66</v>
      </c>
      <c r="AJ2381" t="s">
        <v>66</v>
      </c>
      <c r="AK2381">
        <v>1</v>
      </c>
      <c r="AL2381" t="s">
        <v>66</v>
      </c>
      <c r="AM2381" t="s">
        <v>66</v>
      </c>
      <c r="AN2381" t="s">
        <v>66</v>
      </c>
      <c r="AO2381" t="s">
        <v>66</v>
      </c>
      <c r="AP2381">
        <v>1</v>
      </c>
      <c r="AQ2381" t="s">
        <v>66</v>
      </c>
      <c r="AR2381" t="s">
        <v>66</v>
      </c>
      <c r="AS2381" t="s">
        <v>66</v>
      </c>
      <c r="AT2381" t="s">
        <v>66</v>
      </c>
    </row>
    <row r="2382" spans="1:46" x14ac:dyDescent="0.15">
      <c r="A2382" t="s">
        <v>9951</v>
      </c>
      <c r="B2382" t="s">
        <v>9902</v>
      </c>
      <c r="C2382" t="s">
        <v>9903</v>
      </c>
      <c r="D2382">
        <v>12</v>
      </c>
      <c r="E2382" t="s">
        <v>9904</v>
      </c>
      <c r="F2382" t="s">
        <v>3592</v>
      </c>
      <c r="G2382" t="s">
        <v>51</v>
      </c>
      <c r="H2382" t="s">
        <v>9905</v>
      </c>
      <c r="I2382" t="s">
        <v>53</v>
      </c>
      <c r="J2382" t="s">
        <v>1554</v>
      </c>
      <c r="K2382" t="s">
        <v>5939</v>
      </c>
      <c r="L2382" t="s">
        <v>18</v>
      </c>
      <c r="M2382" t="s">
        <v>19</v>
      </c>
      <c r="N2382">
        <v>1117</v>
      </c>
      <c r="O2382">
        <v>66</v>
      </c>
      <c r="P2382">
        <v>0</v>
      </c>
      <c r="Q2382" t="s">
        <v>9952</v>
      </c>
      <c r="R2382" t="s">
        <v>1615</v>
      </c>
      <c r="S2382" t="s">
        <v>9953</v>
      </c>
      <c r="T2382" t="s">
        <v>9954</v>
      </c>
      <c r="U2382" t="s">
        <v>60</v>
      </c>
      <c r="V2382" t="s">
        <v>61</v>
      </c>
      <c r="W2382">
        <v>10</v>
      </c>
      <c r="X2382">
        <v>0.112</v>
      </c>
      <c r="Y2382" t="s">
        <v>137</v>
      </c>
      <c r="Z2382" t="s">
        <v>138</v>
      </c>
      <c r="AA2382">
        <v>0</v>
      </c>
      <c r="AB2382" t="s">
        <v>9906</v>
      </c>
      <c r="AC2382" t="s">
        <v>9907</v>
      </c>
      <c r="AD2382" t="s">
        <v>9908</v>
      </c>
      <c r="AE2382" t="s">
        <v>9909</v>
      </c>
      <c r="AF2382" t="s">
        <v>9910</v>
      </c>
      <c r="AG2382" t="s">
        <v>66</v>
      </c>
      <c r="AH2382" t="s">
        <v>66</v>
      </c>
      <c r="AI2382" t="s">
        <v>66</v>
      </c>
      <c r="AJ2382" t="s">
        <v>66</v>
      </c>
      <c r="AK2382">
        <v>1</v>
      </c>
      <c r="AL2382" t="s">
        <v>66</v>
      </c>
      <c r="AM2382" t="s">
        <v>66</v>
      </c>
      <c r="AN2382" t="s">
        <v>66</v>
      </c>
      <c r="AO2382" t="s">
        <v>66</v>
      </c>
      <c r="AP2382">
        <v>1</v>
      </c>
      <c r="AQ2382" t="s">
        <v>66</v>
      </c>
      <c r="AR2382" t="s">
        <v>66</v>
      </c>
      <c r="AS2382" t="s">
        <v>66</v>
      </c>
      <c r="AT2382" t="s">
        <v>66</v>
      </c>
    </row>
    <row r="2383" spans="1:46" x14ac:dyDescent="0.15">
      <c r="A2383" t="s">
        <v>9955</v>
      </c>
      <c r="B2383" t="s">
        <v>9902</v>
      </c>
      <c r="C2383" t="s">
        <v>9903</v>
      </c>
      <c r="D2383">
        <v>13</v>
      </c>
      <c r="E2383" t="s">
        <v>9904</v>
      </c>
      <c r="F2383" t="s">
        <v>3592</v>
      </c>
      <c r="G2383" t="s">
        <v>51</v>
      </c>
      <c r="H2383" t="s">
        <v>9905</v>
      </c>
      <c r="I2383" t="s">
        <v>53</v>
      </c>
      <c r="J2383" t="s">
        <v>1554</v>
      </c>
      <c r="K2383" t="s">
        <v>5939</v>
      </c>
      <c r="L2383" t="s">
        <v>18</v>
      </c>
      <c r="M2383" t="s">
        <v>19</v>
      </c>
      <c r="N2383">
        <v>1173</v>
      </c>
      <c r="O2383">
        <v>70</v>
      </c>
      <c r="P2383">
        <v>0</v>
      </c>
      <c r="Q2383" t="s">
        <v>9956</v>
      </c>
      <c r="R2383" t="s">
        <v>1620</v>
      </c>
      <c r="S2383" t="s">
        <v>9957</v>
      </c>
      <c r="T2383" t="s">
        <v>9958</v>
      </c>
      <c r="U2383" t="s">
        <v>60</v>
      </c>
      <c r="V2383" t="s">
        <v>61</v>
      </c>
      <c r="W2383">
        <v>10</v>
      </c>
      <c r="X2383">
        <v>0.112</v>
      </c>
      <c r="Y2383" t="s">
        <v>105</v>
      </c>
      <c r="Z2383" t="s">
        <v>144</v>
      </c>
      <c r="AA2383">
        <v>0</v>
      </c>
      <c r="AB2383" t="s">
        <v>9906</v>
      </c>
      <c r="AC2383" t="s">
        <v>9907</v>
      </c>
      <c r="AD2383" t="s">
        <v>9908</v>
      </c>
      <c r="AE2383" t="s">
        <v>9909</v>
      </c>
      <c r="AF2383" t="s">
        <v>9910</v>
      </c>
      <c r="AG2383" t="s">
        <v>66</v>
      </c>
      <c r="AH2383" t="s">
        <v>66</v>
      </c>
      <c r="AI2383" t="s">
        <v>66</v>
      </c>
      <c r="AJ2383" t="s">
        <v>66</v>
      </c>
      <c r="AK2383">
        <v>1</v>
      </c>
      <c r="AL2383" t="s">
        <v>66</v>
      </c>
      <c r="AM2383" t="s">
        <v>66</v>
      </c>
      <c r="AN2383" t="s">
        <v>66</v>
      </c>
      <c r="AO2383" t="s">
        <v>66</v>
      </c>
      <c r="AP2383">
        <v>1</v>
      </c>
      <c r="AQ2383" t="s">
        <v>66</v>
      </c>
      <c r="AR2383" t="s">
        <v>66</v>
      </c>
      <c r="AS2383" t="s">
        <v>66</v>
      </c>
      <c r="AT2383" t="s">
        <v>66</v>
      </c>
    </row>
    <row r="2384" spans="1:46" x14ac:dyDescent="0.15">
      <c r="A2384" t="s">
        <v>9959</v>
      </c>
      <c r="B2384" t="s">
        <v>9902</v>
      </c>
      <c r="C2384" t="s">
        <v>9903</v>
      </c>
      <c r="D2384">
        <v>14</v>
      </c>
      <c r="E2384" t="s">
        <v>9904</v>
      </c>
      <c r="F2384" t="s">
        <v>3592</v>
      </c>
      <c r="G2384" t="s">
        <v>51</v>
      </c>
      <c r="H2384" t="s">
        <v>9905</v>
      </c>
      <c r="I2384" t="s">
        <v>53</v>
      </c>
      <c r="J2384" t="s">
        <v>1554</v>
      </c>
      <c r="K2384" t="s">
        <v>5939</v>
      </c>
      <c r="L2384" t="s">
        <v>18</v>
      </c>
      <c r="M2384" t="s">
        <v>19</v>
      </c>
      <c r="N2384">
        <v>1230</v>
      </c>
      <c r="O2384">
        <v>73</v>
      </c>
      <c r="P2384">
        <v>0</v>
      </c>
      <c r="Q2384" t="s">
        <v>9960</v>
      </c>
      <c r="R2384" t="s">
        <v>1625</v>
      </c>
      <c r="S2384" t="s">
        <v>9961</v>
      </c>
      <c r="T2384" t="s">
        <v>9962</v>
      </c>
      <c r="U2384" t="s">
        <v>60</v>
      </c>
      <c r="V2384" t="s">
        <v>61</v>
      </c>
      <c r="W2384">
        <v>10</v>
      </c>
      <c r="X2384">
        <v>0.112</v>
      </c>
      <c r="Y2384" t="s">
        <v>150</v>
      </c>
      <c r="Z2384" t="s">
        <v>151</v>
      </c>
      <c r="AA2384">
        <v>0</v>
      </c>
      <c r="AB2384" t="s">
        <v>9906</v>
      </c>
      <c r="AC2384" t="s">
        <v>9907</v>
      </c>
      <c r="AD2384" t="s">
        <v>9908</v>
      </c>
      <c r="AE2384" t="s">
        <v>9909</v>
      </c>
      <c r="AF2384" t="s">
        <v>9910</v>
      </c>
      <c r="AG2384" t="s">
        <v>66</v>
      </c>
      <c r="AH2384" t="s">
        <v>66</v>
      </c>
      <c r="AI2384" t="s">
        <v>66</v>
      </c>
      <c r="AJ2384" t="s">
        <v>66</v>
      </c>
      <c r="AK2384">
        <v>1</v>
      </c>
      <c r="AL2384" t="s">
        <v>66</v>
      </c>
      <c r="AM2384" t="s">
        <v>66</v>
      </c>
      <c r="AN2384" t="s">
        <v>66</v>
      </c>
      <c r="AO2384" t="s">
        <v>66</v>
      </c>
      <c r="AP2384">
        <v>1</v>
      </c>
      <c r="AQ2384" t="s">
        <v>66</v>
      </c>
      <c r="AR2384" t="s">
        <v>66</v>
      </c>
      <c r="AS2384" t="s">
        <v>66</v>
      </c>
      <c r="AT2384" t="s">
        <v>66</v>
      </c>
    </row>
    <row r="2385" spans="1:46" x14ac:dyDescent="0.15">
      <c r="A2385" t="s">
        <v>9963</v>
      </c>
      <c r="B2385" t="s">
        <v>9902</v>
      </c>
      <c r="C2385" t="s">
        <v>9903</v>
      </c>
      <c r="D2385">
        <v>15</v>
      </c>
      <c r="E2385" t="s">
        <v>9904</v>
      </c>
      <c r="F2385" t="s">
        <v>3592</v>
      </c>
      <c r="G2385" t="s">
        <v>51</v>
      </c>
      <c r="H2385" t="s">
        <v>9905</v>
      </c>
      <c r="I2385" t="s">
        <v>53</v>
      </c>
      <c r="J2385" t="s">
        <v>1554</v>
      </c>
      <c r="K2385" t="s">
        <v>5939</v>
      </c>
      <c r="L2385" t="s">
        <v>18</v>
      </c>
      <c r="M2385" t="s">
        <v>19</v>
      </c>
      <c r="N2385">
        <v>1286</v>
      </c>
      <c r="O2385">
        <v>76</v>
      </c>
      <c r="P2385">
        <v>0</v>
      </c>
      <c r="Q2385" t="s">
        <v>9964</v>
      </c>
      <c r="R2385" t="s">
        <v>1630</v>
      </c>
      <c r="S2385" t="s">
        <v>9965</v>
      </c>
      <c r="T2385" t="s">
        <v>9966</v>
      </c>
      <c r="U2385" t="s">
        <v>60</v>
      </c>
      <c r="V2385" t="s">
        <v>61</v>
      </c>
      <c r="W2385">
        <v>10</v>
      </c>
      <c r="X2385">
        <v>0.112</v>
      </c>
      <c r="Y2385" t="s">
        <v>112</v>
      </c>
      <c r="Z2385" t="s">
        <v>157</v>
      </c>
      <c r="AA2385">
        <v>0</v>
      </c>
      <c r="AB2385" t="s">
        <v>9906</v>
      </c>
      <c r="AC2385" t="s">
        <v>9907</v>
      </c>
      <c r="AD2385" t="s">
        <v>9908</v>
      </c>
      <c r="AE2385" t="s">
        <v>9909</v>
      </c>
      <c r="AF2385" t="s">
        <v>9910</v>
      </c>
      <c r="AG2385" t="s">
        <v>66</v>
      </c>
      <c r="AH2385" t="s">
        <v>66</v>
      </c>
      <c r="AI2385" t="s">
        <v>66</v>
      </c>
      <c r="AJ2385" t="s">
        <v>66</v>
      </c>
      <c r="AK2385">
        <v>1</v>
      </c>
      <c r="AL2385" t="s">
        <v>66</v>
      </c>
      <c r="AM2385" t="s">
        <v>66</v>
      </c>
      <c r="AN2385" t="s">
        <v>66</v>
      </c>
      <c r="AO2385" t="s">
        <v>66</v>
      </c>
      <c r="AP2385">
        <v>1</v>
      </c>
      <c r="AQ2385" t="s">
        <v>66</v>
      </c>
      <c r="AR2385" t="s">
        <v>66</v>
      </c>
      <c r="AS2385" t="s">
        <v>66</v>
      </c>
      <c r="AT2385" t="s">
        <v>66</v>
      </c>
    </row>
    <row r="2386" spans="1:46" x14ac:dyDescent="0.15">
      <c r="A2386" t="s">
        <v>9967</v>
      </c>
      <c r="B2386" t="s">
        <v>9902</v>
      </c>
      <c r="C2386" t="s">
        <v>9903</v>
      </c>
      <c r="D2386">
        <v>16</v>
      </c>
      <c r="E2386" t="s">
        <v>9904</v>
      </c>
      <c r="F2386" t="s">
        <v>3592</v>
      </c>
      <c r="G2386" t="s">
        <v>51</v>
      </c>
      <c r="H2386" t="s">
        <v>9905</v>
      </c>
      <c r="I2386" t="s">
        <v>53</v>
      </c>
      <c r="J2386" t="s">
        <v>1554</v>
      </c>
      <c r="K2386" t="s">
        <v>5939</v>
      </c>
      <c r="L2386" t="s">
        <v>18</v>
      </c>
      <c r="M2386" t="s">
        <v>19</v>
      </c>
      <c r="N2386">
        <v>1342</v>
      </c>
      <c r="O2386">
        <v>79</v>
      </c>
      <c r="P2386">
        <v>0</v>
      </c>
      <c r="Q2386" t="s">
        <v>9968</v>
      </c>
      <c r="R2386" t="s">
        <v>1635</v>
      </c>
      <c r="S2386" t="s">
        <v>9969</v>
      </c>
      <c r="T2386" t="s">
        <v>9970</v>
      </c>
      <c r="U2386" t="s">
        <v>60</v>
      </c>
      <c r="V2386" t="s">
        <v>61</v>
      </c>
      <c r="W2386">
        <v>10</v>
      </c>
      <c r="X2386">
        <v>0.112</v>
      </c>
      <c r="Y2386" t="s">
        <v>163</v>
      </c>
      <c r="Z2386" t="s">
        <v>164</v>
      </c>
      <c r="AA2386">
        <v>0</v>
      </c>
      <c r="AB2386" t="s">
        <v>9906</v>
      </c>
      <c r="AC2386" t="s">
        <v>9907</v>
      </c>
      <c r="AD2386" t="s">
        <v>9908</v>
      </c>
      <c r="AE2386" t="s">
        <v>9909</v>
      </c>
      <c r="AF2386" t="s">
        <v>9910</v>
      </c>
      <c r="AG2386" t="s">
        <v>66</v>
      </c>
      <c r="AH2386" t="s">
        <v>66</v>
      </c>
      <c r="AI2386" t="s">
        <v>66</v>
      </c>
      <c r="AJ2386" t="s">
        <v>66</v>
      </c>
      <c r="AK2386">
        <v>1</v>
      </c>
      <c r="AL2386" t="s">
        <v>66</v>
      </c>
      <c r="AM2386" t="s">
        <v>66</v>
      </c>
      <c r="AN2386" t="s">
        <v>66</v>
      </c>
      <c r="AO2386" t="s">
        <v>66</v>
      </c>
      <c r="AP2386">
        <v>1</v>
      </c>
      <c r="AQ2386" t="s">
        <v>66</v>
      </c>
      <c r="AR2386" t="s">
        <v>66</v>
      </c>
      <c r="AS2386" t="s">
        <v>66</v>
      </c>
      <c r="AT2386" t="s">
        <v>66</v>
      </c>
    </row>
    <row r="2387" spans="1:46" x14ac:dyDescent="0.15">
      <c r="A2387" t="s">
        <v>9971</v>
      </c>
      <c r="B2387" t="s">
        <v>9902</v>
      </c>
      <c r="C2387" t="s">
        <v>9903</v>
      </c>
      <c r="D2387">
        <v>17</v>
      </c>
      <c r="E2387" t="s">
        <v>9904</v>
      </c>
      <c r="F2387" t="s">
        <v>3592</v>
      </c>
      <c r="G2387" t="s">
        <v>51</v>
      </c>
      <c r="H2387" t="s">
        <v>9905</v>
      </c>
      <c r="I2387" t="s">
        <v>53</v>
      </c>
      <c r="J2387" t="s">
        <v>1554</v>
      </c>
      <c r="K2387" t="s">
        <v>5939</v>
      </c>
      <c r="L2387" t="s">
        <v>18</v>
      </c>
      <c r="M2387" t="s">
        <v>19</v>
      </c>
      <c r="N2387">
        <v>1398</v>
      </c>
      <c r="O2387">
        <v>83</v>
      </c>
      <c r="P2387">
        <v>0</v>
      </c>
      <c r="Q2387" t="s">
        <v>9972</v>
      </c>
      <c r="R2387" t="s">
        <v>1640</v>
      </c>
      <c r="S2387" t="s">
        <v>9973</v>
      </c>
      <c r="T2387" t="s">
        <v>9974</v>
      </c>
      <c r="U2387" t="s">
        <v>60</v>
      </c>
      <c r="V2387" t="s">
        <v>61</v>
      </c>
      <c r="W2387">
        <v>10</v>
      </c>
      <c r="X2387">
        <v>0.112</v>
      </c>
      <c r="Y2387" t="s">
        <v>118</v>
      </c>
      <c r="Z2387" t="s">
        <v>170</v>
      </c>
      <c r="AA2387">
        <v>0</v>
      </c>
      <c r="AB2387" t="s">
        <v>9906</v>
      </c>
      <c r="AC2387" t="s">
        <v>9907</v>
      </c>
      <c r="AD2387" t="s">
        <v>9908</v>
      </c>
      <c r="AE2387" t="s">
        <v>9909</v>
      </c>
      <c r="AF2387" t="s">
        <v>9910</v>
      </c>
      <c r="AG2387" t="s">
        <v>66</v>
      </c>
      <c r="AH2387" t="s">
        <v>66</v>
      </c>
      <c r="AI2387" t="s">
        <v>66</v>
      </c>
      <c r="AJ2387" t="s">
        <v>66</v>
      </c>
      <c r="AK2387">
        <v>1</v>
      </c>
      <c r="AL2387" t="s">
        <v>66</v>
      </c>
      <c r="AM2387" t="s">
        <v>66</v>
      </c>
      <c r="AN2387" t="s">
        <v>66</v>
      </c>
      <c r="AO2387" t="s">
        <v>66</v>
      </c>
      <c r="AP2387">
        <v>1</v>
      </c>
      <c r="AQ2387" t="s">
        <v>66</v>
      </c>
      <c r="AR2387" t="s">
        <v>66</v>
      </c>
      <c r="AS2387" t="s">
        <v>66</v>
      </c>
      <c r="AT2387" t="s">
        <v>66</v>
      </c>
    </row>
    <row r="2388" spans="1:46" x14ac:dyDescent="0.15">
      <c r="A2388" t="s">
        <v>9975</v>
      </c>
      <c r="B2388" t="s">
        <v>9902</v>
      </c>
      <c r="C2388" t="s">
        <v>9903</v>
      </c>
      <c r="D2388">
        <v>18</v>
      </c>
      <c r="E2388" t="s">
        <v>9904</v>
      </c>
      <c r="F2388" t="s">
        <v>3592</v>
      </c>
      <c r="G2388" t="s">
        <v>51</v>
      </c>
      <c r="H2388" t="s">
        <v>9905</v>
      </c>
      <c r="I2388" t="s">
        <v>53</v>
      </c>
      <c r="J2388" t="s">
        <v>1554</v>
      </c>
      <c r="K2388" t="s">
        <v>5939</v>
      </c>
      <c r="L2388" t="s">
        <v>18</v>
      </c>
      <c r="M2388" t="s">
        <v>19</v>
      </c>
      <c r="N2388">
        <v>1454</v>
      </c>
      <c r="O2388">
        <v>86</v>
      </c>
      <c r="P2388">
        <v>0</v>
      </c>
      <c r="Q2388" t="s">
        <v>9976</v>
      </c>
      <c r="R2388" t="s">
        <v>1645</v>
      </c>
      <c r="S2388" t="s">
        <v>9977</v>
      </c>
      <c r="T2388" t="s">
        <v>9978</v>
      </c>
      <c r="U2388" t="s">
        <v>60</v>
      </c>
      <c r="V2388" t="s">
        <v>61</v>
      </c>
      <c r="W2388">
        <v>10</v>
      </c>
      <c r="X2388">
        <v>0.112</v>
      </c>
      <c r="Y2388" t="s">
        <v>176</v>
      </c>
      <c r="Z2388" t="s">
        <v>177</v>
      </c>
      <c r="AA2388">
        <v>0</v>
      </c>
      <c r="AB2388" t="s">
        <v>9906</v>
      </c>
      <c r="AC2388" t="s">
        <v>9907</v>
      </c>
      <c r="AD2388" t="s">
        <v>9908</v>
      </c>
      <c r="AE2388" t="s">
        <v>9909</v>
      </c>
      <c r="AF2388" t="s">
        <v>9910</v>
      </c>
      <c r="AG2388" t="s">
        <v>66</v>
      </c>
      <c r="AH2388" t="s">
        <v>66</v>
      </c>
      <c r="AI2388" t="s">
        <v>66</v>
      </c>
      <c r="AJ2388" t="s">
        <v>66</v>
      </c>
      <c r="AK2388">
        <v>1</v>
      </c>
      <c r="AL2388" t="s">
        <v>66</v>
      </c>
      <c r="AM2388" t="s">
        <v>66</v>
      </c>
      <c r="AN2388" t="s">
        <v>66</v>
      </c>
      <c r="AO2388" t="s">
        <v>66</v>
      </c>
      <c r="AP2388">
        <v>1</v>
      </c>
      <c r="AQ2388" t="s">
        <v>66</v>
      </c>
      <c r="AR2388" t="s">
        <v>66</v>
      </c>
      <c r="AS2388" t="s">
        <v>66</v>
      </c>
      <c r="AT2388" t="s">
        <v>66</v>
      </c>
    </row>
    <row r="2389" spans="1:46" x14ac:dyDescent="0.15">
      <c r="A2389" t="s">
        <v>9979</v>
      </c>
      <c r="B2389" t="s">
        <v>9902</v>
      </c>
      <c r="C2389" t="s">
        <v>9903</v>
      </c>
      <c r="D2389">
        <v>19</v>
      </c>
      <c r="E2389" t="s">
        <v>9904</v>
      </c>
      <c r="F2389" t="s">
        <v>3592</v>
      </c>
      <c r="G2389" t="s">
        <v>51</v>
      </c>
      <c r="H2389" t="s">
        <v>9905</v>
      </c>
      <c r="I2389" t="s">
        <v>53</v>
      </c>
      <c r="J2389" t="s">
        <v>1554</v>
      </c>
      <c r="K2389" t="s">
        <v>5939</v>
      </c>
      <c r="L2389" t="s">
        <v>18</v>
      </c>
      <c r="M2389" t="s">
        <v>19</v>
      </c>
      <c r="N2389">
        <v>1510</v>
      </c>
      <c r="O2389">
        <v>89</v>
      </c>
      <c r="P2389">
        <v>0</v>
      </c>
      <c r="Q2389" t="s">
        <v>9980</v>
      </c>
      <c r="R2389" t="s">
        <v>1650</v>
      </c>
      <c r="S2389" t="s">
        <v>9981</v>
      </c>
      <c r="T2389" t="s">
        <v>9982</v>
      </c>
      <c r="U2389" t="s">
        <v>60</v>
      </c>
      <c r="V2389" t="s">
        <v>61</v>
      </c>
      <c r="W2389">
        <v>10</v>
      </c>
      <c r="X2389">
        <v>0.112</v>
      </c>
      <c r="Y2389" t="s">
        <v>125</v>
      </c>
      <c r="Z2389" t="s">
        <v>183</v>
      </c>
      <c r="AA2389">
        <v>0</v>
      </c>
      <c r="AB2389" t="s">
        <v>9906</v>
      </c>
      <c r="AC2389" t="s">
        <v>9907</v>
      </c>
      <c r="AD2389" t="s">
        <v>9908</v>
      </c>
      <c r="AE2389" t="s">
        <v>9909</v>
      </c>
      <c r="AF2389" t="s">
        <v>9910</v>
      </c>
      <c r="AG2389" t="s">
        <v>66</v>
      </c>
      <c r="AH2389" t="s">
        <v>66</v>
      </c>
      <c r="AI2389" t="s">
        <v>66</v>
      </c>
      <c r="AJ2389" t="s">
        <v>66</v>
      </c>
      <c r="AK2389">
        <v>1</v>
      </c>
      <c r="AL2389" t="s">
        <v>66</v>
      </c>
      <c r="AM2389" t="s">
        <v>66</v>
      </c>
      <c r="AN2389" t="s">
        <v>66</v>
      </c>
      <c r="AO2389" t="s">
        <v>66</v>
      </c>
      <c r="AP2389">
        <v>1</v>
      </c>
      <c r="AQ2389" t="s">
        <v>66</v>
      </c>
      <c r="AR2389" t="s">
        <v>66</v>
      </c>
      <c r="AS2389" t="s">
        <v>66</v>
      </c>
      <c r="AT2389" t="s">
        <v>66</v>
      </c>
    </row>
    <row r="2390" spans="1:46" x14ac:dyDescent="0.15">
      <c r="A2390" t="s">
        <v>9983</v>
      </c>
      <c r="B2390" t="s">
        <v>9902</v>
      </c>
      <c r="C2390" t="s">
        <v>9903</v>
      </c>
      <c r="D2390">
        <v>20</v>
      </c>
      <c r="E2390" t="s">
        <v>9904</v>
      </c>
      <c r="F2390" t="s">
        <v>3592</v>
      </c>
      <c r="G2390" t="s">
        <v>51</v>
      </c>
      <c r="H2390" t="s">
        <v>9905</v>
      </c>
      <c r="I2390" t="s">
        <v>53</v>
      </c>
      <c r="J2390" t="s">
        <v>1554</v>
      </c>
      <c r="K2390" t="s">
        <v>5939</v>
      </c>
      <c r="L2390" t="s">
        <v>18</v>
      </c>
      <c r="M2390" t="s">
        <v>19</v>
      </c>
      <c r="N2390">
        <v>1566</v>
      </c>
      <c r="O2390">
        <v>93</v>
      </c>
      <c r="P2390">
        <v>0</v>
      </c>
      <c r="Q2390" t="s">
        <v>9984</v>
      </c>
      <c r="R2390" t="s">
        <v>1655</v>
      </c>
      <c r="S2390" t="s">
        <v>9985</v>
      </c>
      <c r="T2390" t="s">
        <v>9986</v>
      </c>
      <c r="U2390" t="s">
        <v>60</v>
      </c>
      <c r="V2390" t="s">
        <v>61</v>
      </c>
      <c r="W2390">
        <v>10</v>
      </c>
      <c r="X2390">
        <v>0.112</v>
      </c>
      <c r="Y2390" t="s">
        <v>189</v>
      </c>
      <c r="Z2390" t="s">
        <v>190</v>
      </c>
      <c r="AA2390">
        <v>0</v>
      </c>
      <c r="AB2390" t="s">
        <v>9906</v>
      </c>
      <c r="AC2390" t="s">
        <v>9907</v>
      </c>
      <c r="AD2390" t="s">
        <v>9908</v>
      </c>
      <c r="AE2390" t="s">
        <v>9909</v>
      </c>
      <c r="AF2390" t="s">
        <v>9910</v>
      </c>
      <c r="AG2390" t="s">
        <v>66</v>
      </c>
      <c r="AH2390" t="s">
        <v>66</v>
      </c>
      <c r="AI2390" t="s">
        <v>66</v>
      </c>
      <c r="AJ2390" t="s">
        <v>66</v>
      </c>
      <c r="AK2390">
        <v>1</v>
      </c>
      <c r="AL2390" t="s">
        <v>66</v>
      </c>
      <c r="AM2390" t="s">
        <v>66</v>
      </c>
      <c r="AN2390" t="s">
        <v>66</v>
      </c>
      <c r="AO2390" t="s">
        <v>66</v>
      </c>
      <c r="AP2390">
        <v>1</v>
      </c>
      <c r="AQ2390" t="s">
        <v>66</v>
      </c>
      <c r="AR2390" t="s">
        <v>66</v>
      </c>
      <c r="AS2390" t="s">
        <v>66</v>
      </c>
      <c r="AT2390" t="s">
        <v>66</v>
      </c>
    </row>
    <row r="2391" spans="1:46" x14ac:dyDescent="0.15">
      <c r="A2391" t="s">
        <v>9983</v>
      </c>
      <c r="B2391" t="s">
        <v>9902</v>
      </c>
      <c r="C2391" t="s">
        <v>9903</v>
      </c>
      <c r="D2391">
        <v>20</v>
      </c>
      <c r="E2391" t="s">
        <v>9904</v>
      </c>
      <c r="F2391" t="s">
        <v>3592</v>
      </c>
      <c r="G2391" t="s">
        <v>51</v>
      </c>
      <c r="H2391" t="s">
        <v>9905</v>
      </c>
      <c r="I2391" t="s">
        <v>53</v>
      </c>
      <c r="J2391" t="s">
        <v>1554</v>
      </c>
      <c r="K2391" t="s">
        <v>5939</v>
      </c>
      <c r="L2391" t="s">
        <v>18</v>
      </c>
      <c r="M2391" t="s">
        <v>19</v>
      </c>
      <c r="N2391">
        <v>1566</v>
      </c>
      <c r="O2391">
        <v>93</v>
      </c>
      <c r="P2391">
        <v>0</v>
      </c>
      <c r="Q2391" t="s">
        <v>9984</v>
      </c>
      <c r="R2391" t="s">
        <v>1655</v>
      </c>
      <c r="S2391" t="s">
        <v>9985</v>
      </c>
      <c r="T2391" t="s">
        <v>9986</v>
      </c>
      <c r="U2391" t="s">
        <v>60</v>
      </c>
      <c r="V2391" t="s">
        <v>61</v>
      </c>
      <c r="W2391">
        <v>10</v>
      </c>
      <c r="X2391">
        <v>0.112</v>
      </c>
      <c r="Y2391" t="s">
        <v>189</v>
      </c>
      <c r="Z2391" t="s">
        <v>190</v>
      </c>
      <c r="AA2391">
        <v>1</v>
      </c>
      <c r="AB2391" t="s">
        <v>9906</v>
      </c>
      <c r="AC2391" t="s">
        <v>9907</v>
      </c>
      <c r="AD2391" t="s">
        <v>9908</v>
      </c>
      <c r="AE2391" t="s">
        <v>9909</v>
      </c>
      <c r="AF2391" t="s">
        <v>9910</v>
      </c>
      <c r="AG2391" t="s">
        <v>66</v>
      </c>
      <c r="AH2391" t="s">
        <v>66</v>
      </c>
      <c r="AI2391" t="s">
        <v>66</v>
      </c>
      <c r="AJ2391" t="s">
        <v>66</v>
      </c>
      <c r="AK2391">
        <v>1</v>
      </c>
      <c r="AL2391" t="s">
        <v>9987</v>
      </c>
      <c r="AM2391" t="s">
        <v>66</v>
      </c>
      <c r="AN2391" t="s">
        <v>9988</v>
      </c>
      <c r="AO2391" t="s">
        <v>66</v>
      </c>
      <c r="AP2391">
        <v>1</v>
      </c>
      <c r="AQ2391" t="s">
        <v>66</v>
      </c>
      <c r="AR2391" t="s">
        <v>66</v>
      </c>
      <c r="AS2391" t="s">
        <v>66</v>
      </c>
      <c r="AT2391" t="s">
        <v>66</v>
      </c>
    </row>
    <row r="2392" spans="1:46" x14ac:dyDescent="0.15">
      <c r="A2392" t="s">
        <v>9989</v>
      </c>
      <c r="B2392" t="s">
        <v>9902</v>
      </c>
      <c r="C2392" t="s">
        <v>9903</v>
      </c>
      <c r="D2392">
        <v>21</v>
      </c>
      <c r="E2392" t="s">
        <v>9904</v>
      </c>
      <c r="F2392" t="s">
        <v>3592</v>
      </c>
      <c r="G2392" t="s">
        <v>51</v>
      </c>
      <c r="H2392" t="s">
        <v>9905</v>
      </c>
      <c r="I2392" t="s">
        <v>53</v>
      </c>
      <c r="J2392" t="s">
        <v>1554</v>
      </c>
      <c r="K2392" t="s">
        <v>5939</v>
      </c>
      <c r="L2392" t="s">
        <v>18</v>
      </c>
      <c r="M2392" t="s">
        <v>19</v>
      </c>
      <c r="N2392">
        <v>1622</v>
      </c>
      <c r="O2392">
        <v>96</v>
      </c>
      <c r="P2392">
        <v>0</v>
      </c>
      <c r="Q2392" t="s">
        <v>9990</v>
      </c>
      <c r="R2392" t="s">
        <v>1660</v>
      </c>
      <c r="S2392" t="s">
        <v>9991</v>
      </c>
      <c r="T2392" t="s">
        <v>9992</v>
      </c>
      <c r="U2392" t="s">
        <v>60</v>
      </c>
      <c r="V2392" t="s">
        <v>61</v>
      </c>
      <c r="W2392">
        <v>10</v>
      </c>
      <c r="X2392">
        <v>0.112</v>
      </c>
      <c r="Y2392" t="s">
        <v>131</v>
      </c>
      <c r="Z2392" t="s">
        <v>197</v>
      </c>
      <c r="AA2392">
        <v>1</v>
      </c>
      <c r="AB2392" t="s">
        <v>9906</v>
      </c>
      <c r="AC2392" t="s">
        <v>9907</v>
      </c>
      <c r="AD2392" t="s">
        <v>9908</v>
      </c>
      <c r="AE2392" t="s">
        <v>9909</v>
      </c>
      <c r="AF2392" t="s">
        <v>9910</v>
      </c>
      <c r="AG2392" t="s">
        <v>66</v>
      </c>
      <c r="AH2392" t="s">
        <v>66</v>
      </c>
      <c r="AI2392" t="s">
        <v>66</v>
      </c>
      <c r="AJ2392" t="s">
        <v>66</v>
      </c>
      <c r="AK2392">
        <v>1</v>
      </c>
      <c r="AL2392" t="s">
        <v>9987</v>
      </c>
      <c r="AM2392" t="s">
        <v>66</v>
      </c>
      <c r="AN2392" t="s">
        <v>9988</v>
      </c>
      <c r="AO2392" t="s">
        <v>66</v>
      </c>
      <c r="AP2392">
        <v>1</v>
      </c>
      <c r="AQ2392" t="s">
        <v>66</v>
      </c>
      <c r="AR2392" t="s">
        <v>66</v>
      </c>
      <c r="AS2392" t="s">
        <v>66</v>
      </c>
      <c r="AT2392" t="s">
        <v>66</v>
      </c>
    </row>
    <row r="2393" spans="1:46" x14ac:dyDescent="0.15">
      <c r="A2393" t="s">
        <v>9993</v>
      </c>
      <c r="B2393" t="s">
        <v>9902</v>
      </c>
      <c r="C2393" t="s">
        <v>9903</v>
      </c>
      <c r="D2393">
        <v>22</v>
      </c>
      <c r="E2393" t="s">
        <v>9904</v>
      </c>
      <c r="F2393" t="s">
        <v>3592</v>
      </c>
      <c r="G2393" t="s">
        <v>51</v>
      </c>
      <c r="H2393" t="s">
        <v>9905</v>
      </c>
      <c r="I2393" t="s">
        <v>53</v>
      </c>
      <c r="J2393" t="s">
        <v>1554</v>
      </c>
      <c r="K2393" t="s">
        <v>5939</v>
      </c>
      <c r="L2393" t="s">
        <v>18</v>
      </c>
      <c r="M2393" t="s">
        <v>19</v>
      </c>
      <c r="N2393">
        <v>1679</v>
      </c>
      <c r="O2393">
        <v>99</v>
      </c>
      <c r="P2393">
        <v>0</v>
      </c>
      <c r="Q2393" t="s">
        <v>9994</v>
      </c>
      <c r="R2393" t="s">
        <v>1665</v>
      </c>
      <c r="S2393" t="s">
        <v>9995</v>
      </c>
      <c r="T2393" t="s">
        <v>9996</v>
      </c>
      <c r="U2393" t="s">
        <v>60</v>
      </c>
      <c r="V2393" t="s">
        <v>61</v>
      </c>
      <c r="W2393">
        <v>10</v>
      </c>
      <c r="X2393">
        <v>0.112</v>
      </c>
      <c r="Y2393" t="s">
        <v>203</v>
      </c>
      <c r="Z2393" t="s">
        <v>204</v>
      </c>
      <c r="AA2393">
        <v>1</v>
      </c>
      <c r="AB2393" t="s">
        <v>9906</v>
      </c>
      <c r="AC2393" t="s">
        <v>9907</v>
      </c>
      <c r="AD2393" t="s">
        <v>9908</v>
      </c>
      <c r="AE2393" t="s">
        <v>9909</v>
      </c>
      <c r="AF2393" t="s">
        <v>9910</v>
      </c>
      <c r="AG2393" t="s">
        <v>66</v>
      </c>
      <c r="AH2393" t="s">
        <v>66</v>
      </c>
      <c r="AI2393" t="s">
        <v>66</v>
      </c>
      <c r="AJ2393" t="s">
        <v>66</v>
      </c>
      <c r="AK2393">
        <v>1</v>
      </c>
      <c r="AL2393" t="s">
        <v>9987</v>
      </c>
      <c r="AM2393" t="s">
        <v>66</v>
      </c>
      <c r="AN2393" t="s">
        <v>9988</v>
      </c>
      <c r="AO2393" t="s">
        <v>66</v>
      </c>
      <c r="AP2393">
        <v>1</v>
      </c>
      <c r="AQ2393" t="s">
        <v>66</v>
      </c>
      <c r="AR2393" t="s">
        <v>66</v>
      </c>
      <c r="AS2393" t="s">
        <v>66</v>
      </c>
      <c r="AT2393" t="s">
        <v>66</v>
      </c>
    </row>
    <row r="2394" spans="1:46" x14ac:dyDescent="0.15">
      <c r="A2394" t="s">
        <v>9997</v>
      </c>
      <c r="B2394" t="s">
        <v>9902</v>
      </c>
      <c r="C2394" t="s">
        <v>9903</v>
      </c>
      <c r="D2394">
        <v>23</v>
      </c>
      <c r="E2394" t="s">
        <v>9904</v>
      </c>
      <c r="F2394" t="s">
        <v>3592</v>
      </c>
      <c r="G2394" t="s">
        <v>51</v>
      </c>
      <c r="H2394" t="s">
        <v>9905</v>
      </c>
      <c r="I2394" t="s">
        <v>53</v>
      </c>
      <c r="J2394" t="s">
        <v>1554</v>
      </c>
      <c r="K2394" t="s">
        <v>5939</v>
      </c>
      <c r="L2394" t="s">
        <v>18</v>
      </c>
      <c r="M2394" t="s">
        <v>19</v>
      </c>
      <c r="N2394">
        <v>1735</v>
      </c>
      <c r="O2394">
        <v>103</v>
      </c>
      <c r="P2394">
        <v>0</v>
      </c>
      <c r="Q2394" t="s">
        <v>9998</v>
      </c>
      <c r="R2394" t="s">
        <v>1670</v>
      </c>
      <c r="S2394" t="s">
        <v>9999</v>
      </c>
      <c r="T2394" t="s">
        <v>10000</v>
      </c>
      <c r="U2394" t="s">
        <v>60</v>
      </c>
      <c r="V2394" t="s">
        <v>61</v>
      </c>
      <c r="W2394">
        <v>10</v>
      </c>
      <c r="X2394">
        <v>0.112</v>
      </c>
      <c r="Y2394" t="s">
        <v>138</v>
      </c>
      <c r="Z2394" t="s">
        <v>210</v>
      </c>
      <c r="AA2394">
        <v>1</v>
      </c>
      <c r="AB2394" t="s">
        <v>9906</v>
      </c>
      <c r="AC2394" t="s">
        <v>9907</v>
      </c>
      <c r="AD2394" t="s">
        <v>9908</v>
      </c>
      <c r="AE2394" t="s">
        <v>9909</v>
      </c>
      <c r="AF2394" t="s">
        <v>9910</v>
      </c>
      <c r="AG2394" t="s">
        <v>66</v>
      </c>
      <c r="AH2394" t="s">
        <v>66</v>
      </c>
      <c r="AI2394" t="s">
        <v>66</v>
      </c>
      <c r="AJ2394" t="s">
        <v>66</v>
      </c>
      <c r="AK2394">
        <v>1</v>
      </c>
      <c r="AL2394" t="s">
        <v>9987</v>
      </c>
      <c r="AM2394" t="s">
        <v>66</v>
      </c>
      <c r="AN2394" t="s">
        <v>9988</v>
      </c>
      <c r="AO2394" t="s">
        <v>66</v>
      </c>
      <c r="AP2394">
        <v>1</v>
      </c>
      <c r="AQ2394" t="s">
        <v>66</v>
      </c>
      <c r="AR2394" t="s">
        <v>66</v>
      </c>
      <c r="AS2394" t="s">
        <v>66</v>
      </c>
      <c r="AT2394" t="s">
        <v>66</v>
      </c>
    </row>
    <row r="2395" spans="1:46" x14ac:dyDescent="0.15">
      <c r="A2395" t="s">
        <v>10001</v>
      </c>
      <c r="B2395" t="s">
        <v>9902</v>
      </c>
      <c r="C2395" t="s">
        <v>9903</v>
      </c>
      <c r="D2395">
        <v>24</v>
      </c>
      <c r="E2395" t="s">
        <v>9904</v>
      </c>
      <c r="F2395" t="s">
        <v>3592</v>
      </c>
      <c r="G2395" t="s">
        <v>51</v>
      </c>
      <c r="H2395" t="s">
        <v>9905</v>
      </c>
      <c r="I2395" t="s">
        <v>53</v>
      </c>
      <c r="J2395" t="s">
        <v>1554</v>
      </c>
      <c r="K2395" t="s">
        <v>5939</v>
      </c>
      <c r="L2395" t="s">
        <v>18</v>
      </c>
      <c r="M2395" t="s">
        <v>19</v>
      </c>
      <c r="N2395">
        <v>1791</v>
      </c>
      <c r="O2395">
        <v>106</v>
      </c>
      <c r="P2395">
        <v>0</v>
      </c>
      <c r="Q2395" t="s">
        <v>10002</v>
      </c>
      <c r="R2395" t="s">
        <v>1675</v>
      </c>
      <c r="S2395" t="s">
        <v>10003</v>
      </c>
      <c r="T2395" t="s">
        <v>10004</v>
      </c>
      <c r="U2395" t="s">
        <v>60</v>
      </c>
      <c r="V2395" t="s">
        <v>61</v>
      </c>
      <c r="W2395">
        <v>10</v>
      </c>
      <c r="X2395">
        <v>0.112</v>
      </c>
      <c r="Y2395" t="s">
        <v>216</v>
      </c>
      <c r="Z2395" t="s">
        <v>217</v>
      </c>
      <c r="AA2395">
        <v>1</v>
      </c>
      <c r="AB2395" t="s">
        <v>9906</v>
      </c>
      <c r="AC2395" t="s">
        <v>9907</v>
      </c>
      <c r="AD2395" t="s">
        <v>9908</v>
      </c>
      <c r="AE2395" t="s">
        <v>9909</v>
      </c>
      <c r="AF2395" t="s">
        <v>9910</v>
      </c>
      <c r="AG2395" t="s">
        <v>66</v>
      </c>
      <c r="AH2395" t="s">
        <v>66</v>
      </c>
      <c r="AI2395" t="s">
        <v>66</v>
      </c>
      <c r="AJ2395" t="s">
        <v>66</v>
      </c>
      <c r="AK2395">
        <v>1</v>
      </c>
      <c r="AL2395" t="s">
        <v>9987</v>
      </c>
      <c r="AM2395" t="s">
        <v>66</v>
      </c>
      <c r="AN2395" t="s">
        <v>9988</v>
      </c>
      <c r="AO2395" t="s">
        <v>66</v>
      </c>
      <c r="AP2395">
        <v>1</v>
      </c>
      <c r="AQ2395" t="s">
        <v>66</v>
      </c>
      <c r="AR2395" t="s">
        <v>66</v>
      </c>
      <c r="AS2395" t="s">
        <v>66</v>
      </c>
      <c r="AT2395" t="s">
        <v>66</v>
      </c>
    </row>
    <row r="2396" spans="1:46" x14ac:dyDescent="0.15">
      <c r="A2396" t="s">
        <v>10005</v>
      </c>
      <c r="B2396" t="s">
        <v>9902</v>
      </c>
      <c r="C2396" t="s">
        <v>9903</v>
      </c>
      <c r="D2396">
        <v>25</v>
      </c>
      <c r="E2396" t="s">
        <v>9904</v>
      </c>
      <c r="F2396" t="s">
        <v>3592</v>
      </c>
      <c r="G2396" t="s">
        <v>51</v>
      </c>
      <c r="H2396" t="s">
        <v>9905</v>
      </c>
      <c r="I2396" t="s">
        <v>53</v>
      </c>
      <c r="J2396" t="s">
        <v>1554</v>
      </c>
      <c r="K2396" t="s">
        <v>5939</v>
      </c>
      <c r="L2396" t="s">
        <v>18</v>
      </c>
      <c r="M2396" t="s">
        <v>19</v>
      </c>
      <c r="N2396">
        <v>1847</v>
      </c>
      <c r="O2396">
        <v>109</v>
      </c>
      <c r="P2396">
        <v>0</v>
      </c>
      <c r="Q2396" t="s">
        <v>10006</v>
      </c>
      <c r="R2396" t="s">
        <v>1680</v>
      </c>
      <c r="S2396" t="s">
        <v>10007</v>
      </c>
      <c r="T2396" t="s">
        <v>10008</v>
      </c>
      <c r="U2396" t="s">
        <v>60</v>
      </c>
      <c r="V2396" t="s">
        <v>61</v>
      </c>
      <c r="W2396">
        <v>10</v>
      </c>
      <c r="X2396">
        <v>0.112</v>
      </c>
      <c r="Y2396" t="s">
        <v>144</v>
      </c>
      <c r="Z2396" t="s">
        <v>223</v>
      </c>
      <c r="AA2396">
        <v>1</v>
      </c>
      <c r="AB2396" t="s">
        <v>9906</v>
      </c>
      <c r="AC2396" t="s">
        <v>9907</v>
      </c>
      <c r="AD2396" t="s">
        <v>9908</v>
      </c>
      <c r="AE2396" t="s">
        <v>9909</v>
      </c>
      <c r="AF2396" t="s">
        <v>9910</v>
      </c>
      <c r="AG2396" t="s">
        <v>66</v>
      </c>
      <c r="AH2396" t="s">
        <v>66</v>
      </c>
      <c r="AI2396" t="s">
        <v>66</v>
      </c>
      <c r="AJ2396" t="s">
        <v>66</v>
      </c>
      <c r="AK2396">
        <v>1</v>
      </c>
      <c r="AL2396" t="s">
        <v>9987</v>
      </c>
      <c r="AM2396" t="s">
        <v>66</v>
      </c>
      <c r="AN2396" t="s">
        <v>9988</v>
      </c>
      <c r="AO2396" t="s">
        <v>66</v>
      </c>
      <c r="AP2396">
        <v>1</v>
      </c>
      <c r="AQ2396" t="s">
        <v>66</v>
      </c>
      <c r="AR2396" t="s">
        <v>66</v>
      </c>
      <c r="AS2396" t="s">
        <v>66</v>
      </c>
      <c r="AT2396" t="s">
        <v>66</v>
      </c>
    </row>
    <row r="2397" spans="1:46" x14ac:dyDescent="0.15">
      <c r="A2397" t="s">
        <v>10009</v>
      </c>
      <c r="B2397" t="s">
        <v>9902</v>
      </c>
      <c r="C2397" t="s">
        <v>9903</v>
      </c>
      <c r="D2397">
        <v>26</v>
      </c>
      <c r="E2397" t="s">
        <v>9904</v>
      </c>
      <c r="F2397" t="s">
        <v>3592</v>
      </c>
      <c r="G2397" t="s">
        <v>51</v>
      </c>
      <c r="H2397" t="s">
        <v>9905</v>
      </c>
      <c r="I2397" t="s">
        <v>53</v>
      </c>
      <c r="J2397" t="s">
        <v>1554</v>
      </c>
      <c r="K2397" t="s">
        <v>5939</v>
      </c>
      <c r="L2397" t="s">
        <v>18</v>
      </c>
      <c r="M2397" t="s">
        <v>19</v>
      </c>
      <c r="N2397">
        <v>1903</v>
      </c>
      <c r="O2397">
        <v>112</v>
      </c>
      <c r="P2397">
        <v>0</v>
      </c>
      <c r="Q2397" t="s">
        <v>10010</v>
      </c>
      <c r="R2397" t="s">
        <v>1685</v>
      </c>
      <c r="S2397" t="s">
        <v>10011</v>
      </c>
      <c r="T2397" t="s">
        <v>10012</v>
      </c>
      <c r="U2397" t="s">
        <v>60</v>
      </c>
      <c r="V2397" t="s">
        <v>61</v>
      </c>
      <c r="W2397">
        <v>10</v>
      </c>
      <c r="X2397">
        <v>0.112</v>
      </c>
      <c r="Y2397" t="s">
        <v>229</v>
      </c>
      <c r="Z2397" t="s">
        <v>230</v>
      </c>
      <c r="AA2397">
        <v>1</v>
      </c>
      <c r="AB2397" t="s">
        <v>9906</v>
      </c>
      <c r="AC2397" t="s">
        <v>9907</v>
      </c>
      <c r="AD2397" t="s">
        <v>9908</v>
      </c>
      <c r="AE2397" t="s">
        <v>9909</v>
      </c>
      <c r="AF2397" t="s">
        <v>9910</v>
      </c>
      <c r="AG2397" t="s">
        <v>66</v>
      </c>
      <c r="AH2397" t="s">
        <v>66</v>
      </c>
      <c r="AI2397" t="s">
        <v>66</v>
      </c>
      <c r="AJ2397" t="s">
        <v>66</v>
      </c>
      <c r="AK2397">
        <v>1</v>
      </c>
      <c r="AL2397" t="s">
        <v>9987</v>
      </c>
      <c r="AM2397" t="s">
        <v>66</v>
      </c>
      <c r="AN2397" t="s">
        <v>9988</v>
      </c>
      <c r="AO2397" t="s">
        <v>66</v>
      </c>
      <c r="AP2397">
        <v>1</v>
      </c>
      <c r="AQ2397" t="s">
        <v>66</v>
      </c>
      <c r="AR2397" t="s">
        <v>66</v>
      </c>
      <c r="AS2397" t="s">
        <v>66</v>
      </c>
      <c r="AT2397" t="s">
        <v>66</v>
      </c>
    </row>
    <row r="2398" spans="1:46" x14ac:dyDescent="0.15">
      <c r="A2398" t="s">
        <v>10013</v>
      </c>
      <c r="B2398" t="s">
        <v>9902</v>
      </c>
      <c r="C2398" t="s">
        <v>9903</v>
      </c>
      <c r="D2398">
        <v>27</v>
      </c>
      <c r="E2398" t="s">
        <v>9904</v>
      </c>
      <c r="F2398" t="s">
        <v>3592</v>
      </c>
      <c r="G2398" t="s">
        <v>51</v>
      </c>
      <c r="H2398" t="s">
        <v>9905</v>
      </c>
      <c r="I2398" t="s">
        <v>53</v>
      </c>
      <c r="J2398" t="s">
        <v>1554</v>
      </c>
      <c r="K2398" t="s">
        <v>5939</v>
      </c>
      <c r="L2398" t="s">
        <v>18</v>
      </c>
      <c r="M2398" t="s">
        <v>19</v>
      </c>
      <c r="N2398">
        <v>1959</v>
      </c>
      <c r="O2398">
        <v>116</v>
      </c>
      <c r="P2398">
        <v>0</v>
      </c>
      <c r="Q2398" t="s">
        <v>10014</v>
      </c>
      <c r="R2398" t="s">
        <v>1690</v>
      </c>
      <c r="S2398" t="s">
        <v>10015</v>
      </c>
      <c r="T2398" t="s">
        <v>10016</v>
      </c>
      <c r="U2398" t="s">
        <v>60</v>
      </c>
      <c r="V2398" t="s">
        <v>61</v>
      </c>
      <c r="W2398">
        <v>10</v>
      </c>
      <c r="X2398">
        <v>0.112</v>
      </c>
      <c r="Y2398" t="s">
        <v>151</v>
      </c>
      <c r="Z2398" t="s">
        <v>236</v>
      </c>
      <c r="AA2398">
        <v>1</v>
      </c>
      <c r="AB2398" t="s">
        <v>9906</v>
      </c>
      <c r="AC2398" t="s">
        <v>9907</v>
      </c>
      <c r="AD2398" t="s">
        <v>9908</v>
      </c>
      <c r="AE2398" t="s">
        <v>9909</v>
      </c>
      <c r="AF2398" t="s">
        <v>9910</v>
      </c>
      <c r="AG2398" t="s">
        <v>66</v>
      </c>
      <c r="AH2398" t="s">
        <v>66</v>
      </c>
      <c r="AI2398" t="s">
        <v>66</v>
      </c>
      <c r="AJ2398" t="s">
        <v>66</v>
      </c>
      <c r="AK2398">
        <v>1</v>
      </c>
      <c r="AL2398" t="s">
        <v>9987</v>
      </c>
      <c r="AM2398" t="s">
        <v>66</v>
      </c>
      <c r="AN2398" t="s">
        <v>9988</v>
      </c>
      <c r="AO2398" t="s">
        <v>66</v>
      </c>
      <c r="AP2398">
        <v>1</v>
      </c>
      <c r="AQ2398" t="s">
        <v>66</v>
      </c>
      <c r="AR2398" t="s">
        <v>66</v>
      </c>
      <c r="AS2398" t="s">
        <v>66</v>
      </c>
      <c r="AT2398" t="s">
        <v>66</v>
      </c>
    </row>
    <row r="2399" spans="1:46" x14ac:dyDescent="0.15">
      <c r="A2399" t="s">
        <v>10017</v>
      </c>
      <c r="B2399" t="s">
        <v>9902</v>
      </c>
      <c r="C2399" t="s">
        <v>9903</v>
      </c>
      <c r="D2399">
        <v>28</v>
      </c>
      <c r="E2399" t="s">
        <v>9904</v>
      </c>
      <c r="F2399" t="s">
        <v>3592</v>
      </c>
      <c r="G2399" t="s">
        <v>51</v>
      </c>
      <c r="H2399" t="s">
        <v>9905</v>
      </c>
      <c r="I2399" t="s">
        <v>53</v>
      </c>
      <c r="J2399" t="s">
        <v>1554</v>
      </c>
      <c r="K2399" t="s">
        <v>5939</v>
      </c>
      <c r="L2399" t="s">
        <v>18</v>
      </c>
      <c r="M2399" t="s">
        <v>19</v>
      </c>
      <c r="N2399">
        <v>2015</v>
      </c>
      <c r="O2399">
        <v>119</v>
      </c>
      <c r="P2399">
        <v>0</v>
      </c>
      <c r="Q2399" t="s">
        <v>10018</v>
      </c>
      <c r="R2399" t="s">
        <v>1695</v>
      </c>
      <c r="S2399" t="s">
        <v>10019</v>
      </c>
      <c r="T2399" t="s">
        <v>10020</v>
      </c>
      <c r="U2399" t="s">
        <v>60</v>
      </c>
      <c r="V2399" t="s">
        <v>61</v>
      </c>
      <c r="W2399">
        <v>10</v>
      </c>
      <c r="X2399">
        <v>0.112</v>
      </c>
      <c r="Y2399" t="s">
        <v>242</v>
      </c>
      <c r="Z2399" t="s">
        <v>243</v>
      </c>
      <c r="AA2399">
        <v>1</v>
      </c>
      <c r="AB2399" t="s">
        <v>9906</v>
      </c>
      <c r="AC2399" t="s">
        <v>9907</v>
      </c>
      <c r="AD2399" t="s">
        <v>9908</v>
      </c>
      <c r="AE2399" t="s">
        <v>9909</v>
      </c>
      <c r="AF2399" t="s">
        <v>9910</v>
      </c>
      <c r="AG2399" t="s">
        <v>66</v>
      </c>
      <c r="AH2399" t="s">
        <v>66</v>
      </c>
      <c r="AI2399" t="s">
        <v>66</v>
      </c>
      <c r="AJ2399" t="s">
        <v>66</v>
      </c>
      <c r="AK2399">
        <v>1</v>
      </c>
      <c r="AL2399" t="s">
        <v>9987</v>
      </c>
      <c r="AM2399" t="s">
        <v>66</v>
      </c>
      <c r="AN2399" t="s">
        <v>9988</v>
      </c>
      <c r="AO2399" t="s">
        <v>66</v>
      </c>
      <c r="AP2399">
        <v>1</v>
      </c>
      <c r="AQ2399" t="s">
        <v>66</v>
      </c>
      <c r="AR2399" t="s">
        <v>66</v>
      </c>
      <c r="AS2399" t="s">
        <v>66</v>
      </c>
      <c r="AT2399" t="s">
        <v>66</v>
      </c>
    </row>
    <row r="2400" spans="1:46" x14ac:dyDescent="0.15">
      <c r="A2400" t="s">
        <v>10021</v>
      </c>
      <c r="B2400" t="s">
        <v>9902</v>
      </c>
      <c r="C2400" t="s">
        <v>9903</v>
      </c>
      <c r="D2400">
        <v>29</v>
      </c>
      <c r="E2400" t="s">
        <v>9904</v>
      </c>
      <c r="F2400" t="s">
        <v>3592</v>
      </c>
      <c r="G2400" t="s">
        <v>51</v>
      </c>
      <c r="H2400" t="s">
        <v>9905</v>
      </c>
      <c r="I2400" t="s">
        <v>53</v>
      </c>
      <c r="J2400" t="s">
        <v>1554</v>
      </c>
      <c r="K2400" t="s">
        <v>5939</v>
      </c>
      <c r="L2400" t="s">
        <v>18</v>
      </c>
      <c r="M2400" t="s">
        <v>19</v>
      </c>
      <c r="N2400">
        <v>2071</v>
      </c>
      <c r="O2400">
        <v>122</v>
      </c>
      <c r="P2400">
        <v>0</v>
      </c>
      <c r="Q2400" t="s">
        <v>10022</v>
      </c>
      <c r="R2400" t="s">
        <v>1700</v>
      </c>
      <c r="S2400" t="s">
        <v>10023</v>
      </c>
      <c r="T2400" t="s">
        <v>10024</v>
      </c>
      <c r="U2400" t="s">
        <v>60</v>
      </c>
      <c r="V2400" t="s">
        <v>61</v>
      </c>
      <c r="W2400">
        <v>10</v>
      </c>
      <c r="X2400">
        <v>0.112</v>
      </c>
      <c r="Y2400" t="s">
        <v>157</v>
      </c>
      <c r="Z2400" t="s">
        <v>249</v>
      </c>
      <c r="AA2400">
        <v>1</v>
      </c>
      <c r="AB2400" t="s">
        <v>9906</v>
      </c>
      <c r="AC2400" t="s">
        <v>9907</v>
      </c>
      <c r="AD2400" t="s">
        <v>9908</v>
      </c>
      <c r="AE2400" t="s">
        <v>9909</v>
      </c>
      <c r="AF2400" t="s">
        <v>9910</v>
      </c>
      <c r="AG2400" t="s">
        <v>66</v>
      </c>
      <c r="AH2400" t="s">
        <v>66</v>
      </c>
      <c r="AI2400" t="s">
        <v>66</v>
      </c>
      <c r="AJ2400" t="s">
        <v>66</v>
      </c>
      <c r="AK2400">
        <v>1</v>
      </c>
      <c r="AL2400" t="s">
        <v>9987</v>
      </c>
      <c r="AM2400" t="s">
        <v>66</v>
      </c>
      <c r="AN2400" t="s">
        <v>9988</v>
      </c>
      <c r="AO2400" t="s">
        <v>66</v>
      </c>
      <c r="AP2400">
        <v>1</v>
      </c>
      <c r="AQ2400" t="s">
        <v>66</v>
      </c>
      <c r="AR2400" t="s">
        <v>66</v>
      </c>
      <c r="AS2400" t="s">
        <v>66</v>
      </c>
      <c r="AT2400" t="s">
        <v>66</v>
      </c>
    </row>
    <row r="2401" spans="1:46" x14ac:dyDescent="0.15">
      <c r="A2401" t="s">
        <v>10025</v>
      </c>
      <c r="B2401" t="s">
        <v>9902</v>
      </c>
      <c r="C2401" t="s">
        <v>9903</v>
      </c>
      <c r="D2401">
        <v>30</v>
      </c>
      <c r="E2401" t="s">
        <v>9904</v>
      </c>
      <c r="F2401" t="s">
        <v>3592</v>
      </c>
      <c r="G2401" t="s">
        <v>51</v>
      </c>
      <c r="H2401" t="s">
        <v>9905</v>
      </c>
      <c r="I2401" t="s">
        <v>53</v>
      </c>
      <c r="J2401" t="s">
        <v>1554</v>
      </c>
      <c r="K2401" t="s">
        <v>5939</v>
      </c>
      <c r="L2401" t="s">
        <v>18</v>
      </c>
      <c r="M2401" t="s">
        <v>19</v>
      </c>
      <c r="N2401">
        <v>2128</v>
      </c>
      <c r="O2401">
        <v>126</v>
      </c>
      <c r="P2401">
        <v>0</v>
      </c>
      <c r="Q2401" t="s">
        <v>10026</v>
      </c>
      <c r="R2401" t="s">
        <v>1705</v>
      </c>
      <c r="S2401" t="s">
        <v>10027</v>
      </c>
      <c r="T2401" t="s">
        <v>10028</v>
      </c>
      <c r="U2401" t="s">
        <v>60</v>
      </c>
      <c r="V2401" t="s">
        <v>61</v>
      </c>
      <c r="W2401">
        <v>10</v>
      </c>
      <c r="X2401">
        <v>0.112</v>
      </c>
      <c r="Y2401" t="s">
        <v>255</v>
      </c>
      <c r="Z2401" t="s">
        <v>256</v>
      </c>
      <c r="AA2401">
        <v>1</v>
      </c>
      <c r="AB2401" t="s">
        <v>9906</v>
      </c>
      <c r="AC2401" t="s">
        <v>9907</v>
      </c>
      <c r="AD2401" t="s">
        <v>9908</v>
      </c>
      <c r="AE2401" t="s">
        <v>9909</v>
      </c>
      <c r="AF2401" t="s">
        <v>9910</v>
      </c>
      <c r="AG2401" t="s">
        <v>66</v>
      </c>
      <c r="AH2401" t="s">
        <v>66</v>
      </c>
      <c r="AI2401" t="s">
        <v>66</v>
      </c>
      <c r="AJ2401" t="s">
        <v>66</v>
      </c>
      <c r="AK2401">
        <v>1</v>
      </c>
      <c r="AL2401" t="s">
        <v>9987</v>
      </c>
      <c r="AM2401" t="s">
        <v>66</v>
      </c>
      <c r="AN2401" t="s">
        <v>9988</v>
      </c>
      <c r="AO2401" t="s">
        <v>66</v>
      </c>
      <c r="AP2401">
        <v>1</v>
      </c>
      <c r="AQ2401" t="s">
        <v>66</v>
      </c>
      <c r="AR2401" t="s">
        <v>66</v>
      </c>
      <c r="AS2401" t="s">
        <v>66</v>
      </c>
      <c r="AT2401" t="s">
        <v>66</v>
      </c>
    </row>
    <row r="2402" spans="1:46" x14ac:dyDescent="0.15">
      <c r="A2402" t="s">
        <v>10029</v>
      </c>
      <c r="B2402" t="s">
        <v>9902</v>
      </c>
      <c r="C2402" t="s">
        <v>9903</v>
      </c>
      <c r="D2402">
        <v>31</v>
      </c>
      <c r="E2402" t="s">
        <v>9904</v>
      </c>
      <c r="F2402" t="s">
        <v>3592</v>
      </c>
      <c r="G2402" t="s">
        <v>51</v>
      </c>
      <c r="H2402" t="s">
        <v>9905</v>
      </c>
      <c r="I2402" t="s">
        <v>53</v>
      </c>
      <c r="J2402" t="s">
        <v>1554</v>
      </c>
      <c r="K2402" t="s">
        <v>5939</v>
      </c>
      <c r="L2402" t="s">
        <v>18</v>
      </c>
      <c r="M2402" t="s">
        <v>19</v>
      </c>
      <c r="N2402">
        <v>2184</v>
      </c>
      <c r="O2402">
        <v>129</v>
      </c>
      <c r="P2402">
        <v>0</v>
      </c>
      <c r="Q2402" t="s">
        <v>10030</v>
      </c>
      <c r="R2402" t="s">
        <v>1710</v>
      </c>
      <c r="S2402" t="s">
        <v>10031</v>
      </c>
      <c r="T2402" t="s">
        <v>10032</v>
      </c>
      <c r="U2402" t="s">
        <v>60</v>
      </c>
      <c r="V2402" t="s">
        <v>61</v>
      </c>
      <c r="W2402">
        <v>10</v>
      </c>
      <c r="X2402">
        <v>0.112</v>
      </c>
      <c r="Y2402" t="s">
        <v>164</v>
      </c>
      <c r="Z2402" t="s">
        <v>262</v>
      </c>
      <c r="AA2402">
        <v>1</v>
      </c>
      <c r="AB2402" t="s">
        <v>9906</v>
      </c>
      <c r="AC2402" t="s">
        <v>9907</v>
      </c>
      <c r="AD2402" t="s">
        <v>9908</v>
      </c>
      <c r="AE2402" t="s">
        <v>9909</v>
      </c>
      <c r="AF2402" t="s">
        <v>9910</v>
      </c>
      <c r="AG2402" t="s">
        <v>66</v>
      </c>
      <c r="AH2402" t="s">
        <v>66</v>
      </c>
      <c r="AI2402" t="s">
        <v>66</v>
      </c>
      <c r="AJ2402" t="s">
        <v>66</v>
      </c>
      <c r="AK2402">
        <v>1</v>
      </c>
      <c r="AL2402" t="s">
        <v>9987</v>
      </c>
      <c r="AM2402" t="s">
        <v>66</v>
      </c>
      <c r="AN2402" t="s">
        <v>9988</v>
      </c>
      <c r="AO2402" t="s">
        <v>66</v>
      </c>
      <c r="AP2402">
        <v>1</v>
      </c>
      <c r="AQ2402" t="s">
        <v>66</v>
      </c>
      <c r="AR2402" t="s">
        <v>66</v>
      </c>
      <c r="AS2402" t="s">
        <v>66</v>
      </c>
      <c r="AT2402" t="s">
        <v>66</v>
      </c>
    </row>
    <row r="2403" spans="1:46" x14ac:dyDescent="0.15">
      <c r="A2403" t="s">
        <v>10033</v>
      </c>
      <c r="B2403" t="s">
        <v>9902</v>
      </c>
      <c r="C2403" t="s">
        <v>9903</v>
      </c>
      <c r="D2403">
        <v>32</v>
      </c>
      <c r="E2403" t="s">
        <v>9904</v>
      </c>
      <c r="F2403" t="s">
        <v>3592</v>
      </c>
      <c r="G2403" t="s">
        <v>51</v>
      </c>
      <c r="H2403" t="s">
        <v>9905</v>
      </c>
      <c r="I2403" t="s">
        <v>53</v>
      </c>
      <c r="J2403" t="s">
        <v>1554</v>
      </c>
      <c r="K2403" t="s">
        <v>5939</v>
      </c>
      <c r="L2403" t="s">
        <v>18</v>
      </c>
      <c r="M2403" t="s">
        <v>19</v>
      </c>
      <c r="N2403">
        <v>2240</v>
      </c>
      <c r="O2403">
        <v>132</v>
      </c>
      <c r="P2403">
        <v>0</v>
      </c>
      <c r="Q2403" t="s">
        <v>10034</v>
      </c>
      <c r="R2403" t="s">
        <v>1715</v>
      </c>
      <c r="S2403" t="s">
        <v>10035</v>
      </c>
      <c r="T2403" t="s">
        <v>10036</v>
      </c>
      <c r="U2403" t="s">
        <v>60</v>
      </c>
      <c r="V2403" t="s">
        <v>61</v>
      </c>
      <c r="W2403">
        <v>10</v>
      </c>
      <c r="X2403">
        <v>0.112</v>
      </c>
      <c r="Y2403" t="s">
        <v>268</v>
      </c>
      <c r="Z2403" t="s">
        <v>269</v>
      </c>
      <c r="AA2403">
        <v>1</v>
      </c>
      <c r="AB2403" t="s">
        <v>9906</v>
      </c>
      <c r="AC2403" t="s">
        <v>9907</v>
      </c>
      <c r="AD2403" t="s">
        <v>9908</v>
      </c>
      <c r="AE2403" t="s">
        <v>9909</v>
      </c>
      <c r="AF2403" t="s">
        <v>9910</v>
      </c>
      <c r="AG2403" t="s">
        <v>66</v>
      </c>
      <c r="AH2403" t="s">
        <v>66</v>
      </c>
      <c r="AI2403" t="s">
        <v>66</v>
      </c>
      <c r="AJ2403" t="s">
        <v>66</v>
      </c>
      <c r="AK2403">
        <v>1</v>
      </c>
      <c r="AL2403" t="s">
        <v>9987</v>
      </c>
      <c r="AM2403" t="s">
        <v>66</v>
      </c>
      <c r="AN2403" t="s">
        <v>9988</v>
      </c>
      <c r="AO2403" t="s">
        <v>66</v>
      </c>
      <c r="AP2403">
        <v>1</v>
      </c>
      <c r="AQ2403" t="s">
        <v>66</v>
      </c>
      <c r="AR2403" t="s">
        <v>66</v>
      </c>
      <c r="AS2403" t="s">
        <v>66</v>
      </c>
      <c r="AT2403" t="s">
        <v>66</v>
      </c>
    </row>
    <row r="2404" spans="1:46" x14ac:dyDescent="0.15">
      <c r="A2404" t="s">
        <v>10037</v>
      </c>
      <c r="B2404" t="s">
        <v>9902</v>
      </c>
      <c r="C2404" t="s">
        <v>9903</v>
      </c>
      <c r="D2404">
        <v>33</v>
      </c>
      <c r="E2404" t="s">
        <v>9904</v>
      </c>
      <c r="F2404" t="s">
        <v>3592</v>
      </c>
      <c r="G2404" t="s">
        <v>51</v>
      </c>
      <c r="H2404" t="s">
        <v>9905</v>
      </c>
      <c r="I2404" t="s">
        <v>53</v>
      </c>
      <c r="J2404" t="s">
        <v>1554</v>
      </c>
      <c r="K2404" t="s">
        <v>5939</v>
      </c>
      <c r="L2404" t="s">
        <v>18</v>
      </c>
      <c r="M2404" t="s">
        <v>19</v>
      </c>
      <c r="N2404">
        <v>2296</v>
      </c>
      <c r="O2404">
        <v>136</v>
      </c>
      <c r="P2404">
        <v>0</v>
      </c>
      <c r="Q2404" t="s">
        <v>10038</v>
      </c>
      <c r="R2404" t="s">
        <v>1720</v>
      </c>
      <c r="S2404" t="s">
        <v>10039</v>
      </c>
      <c r="T2404" t="s">
        <v>10040</v>
      </c>
      <c r="U2404" t="s">
        <v>60</v>
      </c>
      <c r="V2404" t="s">
        <v>61</v>
      </c>
      <c r="W2404">
        <v>10</v>
      </c>
      <c r="X2404">
        <v>0.112</v>
      </c>
      <c r="Y2404" t="s">
        <v>170</v>
      </c>
      <c r="Z2404" t="s">
        <v>275</v>
      </c>
      <c r="AA2404">
        <v>1</v>
      </c>
      <c r="AB2404" t="s">
        <v>9906</v>
      </c>
      <c r="AC2404" t="s">
        <v>9907</v>
      </c>
      <c r="AD2404" t="s">
        <v>9908</v>
      </c>
      <c r="AE2404" t="s">
        <v>9909</v>
      </c>
      <c r="AF2404" t="s">
        <v>9910</v>
      </c>
      <c r="AG2404" t="s">
        <v>66</v>
      </c>
      <c r="AH2404" t="s">
        <v>66</v>
      </c>
      <c r="AI2404" t="s">
        <v>66</v>
      </c>
      <c r="AJ2404" t="s">
        <v>66</v>
      </c>
      <c r="AK2404">
        <v>1</v>
      </c>
      <c r="AL2404" t="s">
        <v>9987</v>
      </c>
      <c r="AM2404" t="s">
        <v>66</v>
      </c>
      <c r="AN2404" t="s">
        <v>9988</v>
      </c>
      <c r="AO2404" t="s">
        <v>66</v>
      </c>
      <c r="AP2404">
        <v>1</v>
      </c>
      <c r="AQ2404" t="s">
        <v>66</v>
      </c>
      <c r="AR2404" t="s">
        <v>66</v>
      </c>
      <c r="AS2404" t="s">
        <v>66</v>
      </c>
      <c r="AT2404" t="s">
        <v>66</v>
      </c>
    </row>
    <row r="2405" spans="1:46" x14ac:dyDescent="0.15">
      <c r="A2405" t="s">
        <v>10041</v>
      </c>
      <c r="B2405" t="s">
        <v>9902</v>
      </c>
      <c r="C2405" t="s">
        <v>9903</v>
      </c>
      <c r="D2405">
        <v>34</v>
      </c>
      <c r="E2405" t="s">
        <v>9904</v>
      </c>
      <c r="F2405" t="s">
        <v>3592</v>
      </c>
      <c r="G2405" t="s">
        <v>51</v>
      </c>
      <c r="H2405" t="s">
        <v>9905</v>
      </c>
      <c r="I2405" t="s">
        <v>53</v>
      </c>
      <c r="J2405" t="s">
        <v>1554</v>
      </c>
      <c r="K2405" t="s">
        <v>5939</v>
      </c>
      <c r="L2405" t="s">
        <v>18</v>
      </c>
      <c r="M2405" t="s">
        <v>19</v>
      </c>
      <c r="N2405">
        <v>2352</v>
      </c>
      <c r="O2405">
        <v>139</v>
      </c>
      <c r="P2405">
        <v>0</v>
      </c>
      <c r="Q2405" t="s">
        <v>10042</v>
      </c>
      <c r="R2405" t="s">
        <v>1725</v>
      </c>
      <c r="S2405" t="s">
        <v>10043</v>
      </c>
      <c r="T2405" t="s">
        <v>10044</v>
      </c>
      <c r="U2405" t="s">
        <v>60</v>
      </c>
      <c r="V2405" t="s">
        <v>61</v>
      </c>
      <c r="W2405">
        <v>10</v>
      </c>
      <c r="X2405">
        <v>0.112</v>
      </c>
      <c r="Y2405" t="s">
        <v>281</v>
      </c>
      <c r="Z2405" t="s">
        <v>282</v>
      </c>
      <c r="AA2405">
        <v>1</v>
      </c>
      <c r="AB2405" t="s">
        <v>9906</v>
      </c>
      <c r="AC2405" t="s">
        <v>9907</v>
      </c>
      <c r="AD2405" t="s">
        <v>9908</v>
      </c>
      <c r="AE2405" t="s">
        <v>9909</v>
      </c>
      <c r="AF2405" t="s">
        <v>9910</v>
      </c>
      <c r="AG2405" t="s">
        <v>66</v>
      </c>
      <c r="AH2405" t="s">
        <v>66</v>
      </c>
      <c r="AI2405" t="s">
        <v>66</v>
      </c>
      <c r="AJ2405" t="s">
        <v>66</v>
      </c>
      <c r="AK2405">
        <v>1</v>
      </c>
      <c r="AL2405" t="s">
        <v>9987</v>
      </c>
      <c r="AM2405" t="s">
        <v>66</v>
      </c>
      <c r="AN2405" t="s">
        <v>9988</v>
      </c>
      <c r="AO2405" t="s">
        <v>66</v>
      </c>
      <c r="AP2405">
        <v>1</v>
      </c>
      <c r="AQ2405" t="s">
        <v>66</v>
      </c>
      <c r="AR2405" t="s">
        <v>66</v>
      </c>
      <c r="AS2405" t="s">
        <v>66</v>
      </c>
      <c r="AT2405" t="s">
        <v>66</v>
      </c>
    </row>
    <row r="2406" spans="1:46" x14ac:dyDescent="0.15">
      <c r="A2406" t="s">
        <v>10045</v>
      </c>
      <c r="B2406" t="s">
        <v>9902</v>
      </c>
      <c r="C2406" t="s">
        <v>9903</v>
      </c>
      <c r="D2406">
        <v>35</v>
      </c>
      <c r="E2406" t="s">
        <v>9904</v>
      </c>
      <c r="F2406" t="s">
        <v>3592</v>
      </c>
      <c r="G2406" t="s">
        <v>51</v>
      </c>
      <c r="H2406" t="s">
        <v>9905</v>
      </c>
      <c r="I2406" t="s">
        <v>53</v>
      </c>
      <c r="J2406" t="s">
        <v>1554</v>
      </c>
      <c r="K2406" t="s">
        <v>5939</v>
      </c>
      <c r="L2406" t="s">
        <v>18</v>
      </c>
      <c r="M2406" t="s">
        <v>19</v>
      </c>
      <c r="N2406">
        <v>2408</v>
      </c>
      <c r="O2406">
        <v>142</v>
      </c>
      <c r="P2406">
        <v>0</v>
      </c>
      <c r="Q2406" t="s">
        <v>10046</v>
      </c>
      <c r="R2406" t="s">
        <v>1730</v>
      </c>
      <c r="S2406" t="s">
        <v>10047</v>
      </c>
      <c r="T2406" t="s">
        <v>10048</v>
      </c>
      <c r="U2406" t="s">
        <v>60</v>
      </c>
      <c r="V2406" t="s">
        <v>61</v>
      </c>
      <c r="W2406">
        <v>10</v>
      </c>
      <c r="X2406">
        <v>0.112</v>
      </c>
      <c r="Y2406" t="s">
        <v>177</v>
      </c>
      <c r="Z2406" t="s">
        <v>288</v>
      </c>
      <c r="AA2406">
        <v>1</v>
      </c>
      <c r="AB2406" t="s">
        <v>9906</v>
      </c>
      <c r="AC2406" t="s">
        <v>9907</v>
      </c>
      <c r="AD2406" t="s">
        <v>9908</v>
      </c>
      <c r="AE2406" t="s">
        <v>9909</v>
      </c>
      <c r="AF2406" t="s">
        <v>9910</v>
      </c>
      <c r="AG2406" t="s">
        <v>66</v>
      </c>
      <c r="AH2406" t="s">
        <v>66</v>
      </c>
      <c r="AI2406" t="s">
        <v>66</v>
      </c>
      <c r="AJ2406" t="s">
        <v>66</v>
      </c>
      <c r="AK2406">
        <v>1</v>
      </c>
      <c r="AL2406" t="s">
        <v>9987</v>
      </c>
      <c r="AM2406" t="s">
        <v>66</v>
      </c>
      <c r="AN2406" t="s">
        <v>9988</v>
      </c>
      <c r="AO2406" t="s">
        <v>66</v>
      </c>
      <c r="AP2406">
        <v>1</v>
      </c>
      <c r="AQ2406" t="s">
        <v>66</v>
      </c>
      <c r="AR2406" t="s">
        <v>66</v>
      </c>
      <c r="AS2406" t="s">
        <v>66</v>
      </c>
      <c r="AT2406" t="s">
        <v>66</v>
      </c>
    </row>
    <row r="2407" spans="1:46" x14ac:dyDescent="0.15">
      <c r="A2407" t="s">
        <v>10049</v>
      </c>
      <c r="B2407" t="s">
        <v>9902</v>
      </c>
      <c r="C2407" t="s">
        <v>9903</v>
      </c>
      <c r="D2407">
        <v>36</v>
      </c>
      <c r="E2407" t="s">
        <v>9904</v>
      </c>
      <c r="F2407" t="s">
        <v>3592</v>
      </c>
      <c r="G2407" t="s">
        <v>51</v>
      </c>
      <c r="H2407" t="s">
        <v>9905</v>
      </c>
      <c r="I2407" t="s">
        <v>53</v>
      </c>
      <c r="J2407" t="s">
        <v>1554</v>
      </c>
      <c r="K2407" t="s">
        <v>5939</v>
      </c>
      <c r="L2407" t="s">
        <v>18</v>
      </c>
      <c r="M2407" t="s">
        <v>19</v>
      </c>
      <c r="N2407">
        <v>2464</v>
      </c>
      <c r="O2407">
        <v>145</v>
      </c>
      <c r="P2407">
        <v>0</v>
      </c>
      <c r="Q2407" t="s">
        <v>10050</v>
      </c>
      <c r="R2407" t="s">
        <v>1735</v>
      </c>
      <c r="S2407" t="s">
        <v>10051</v>
      </c>
      <c r="T2407" t="s">
        <v>10052</v>
      </c>
      <c r="U2407" t="s">
        <v>60</v>
      </c>
      <c r="V2407" t="s">
        <v>61</v>
      </c>
      <c r="W2407">
        <v>10</v>
      </c>
      <c r="X2407">
        <v>0.112</v>
      </c>
      <c r="Y2407" t="s">
        <v>294</v>
      </c>
      <c r="Z2407" t="s">
        <v>295</v>
      </c>
      <c r="AA2407">
        <v>1</v>
      </c>
      <c r="AB2407" t="s">
        <v>9906</v>
      </c>
      <c r="AC2407" t="s">
        <v>9907</v>
      </c>
      <c r="AD2407" t="s">
        <v>9908</v>
      </c>
      <c r="AE2407" t="s">
        <v>9909</v>
      </c>
      <c r="AF2407" t="s">
        <v>9910</v>
      </c>
      <c r="AG2407" t="s">
        <v>66</v>
      </c>
      <c r="AH2407" t="s">
        <v>66</v>
      </c>
      <c r="AI2407" t="s">
        <v>66</v>
      </c>
      <c r="AJ2407" t="s">
        <v>66</v>
      </c>
      <c r="AK2407">
        <v>1</v>
      </c>
      <c r="AL2407" t="s">
        <v>9987</v>
      </c>
      <c r="AM2407" t="s">
        <v>66</v>
      </c>
      <c r="AN2407" t="s">
        <v>9988</v>
      </c>
      <c r="AO2407" t="s">
        <v>66</v>
      </c>
      <c r="AP2407">
        <v>1</v>
      </c>
      <c r="AQ2407" t="s">
        <v>66</v>
      </c>
      <c r="AR2407" t="s">
        <v>66</v>
      </c>
      <c r="AS2407" t="s">
        <v>66</v>
      </c>
      <c r="AT2407" t="s">
        <v>66</v>
      </c>
    </row>
    <row r="2408" spans="1:46" x14ac:dyDescent="0.15">
      <c r="A2408" t="s">
        <v>10053</v>
      </c>
      <c r="B2408" t="s">
        <v>9902</v>
      </c>
      <c r="C2408" t="s">
        <v>9903</v>
      </c>
      <c r="D2408">
        <v>37</v>
      </c>
      <c r="E2408" t="s">
        <v>9904</v>
      </c>
      <c r="F2408" t="s">
        <v>3592</v>
      </c>
      <c r="G2408" t="s">
        <v>51</v>
      </c>
      <c r="H2408" t="s">
        <v>9905</v>
      </c>
      <c r="I2408" t="s">
        <v>53</v>
      </c>
      <c r="J2408" t="s">
        <v>1554</v>
      </c>
      <c r="K2408" t="s">
        <v>5939</v>
      </c>
      <c r="L2408" t="s">
        <v>18</v>
      </c>
      <c r="M2408" t="s">
        <v>19</v>
      </c>
      <c r="N2408">
        <v>2520</v>
      </c>
      <c r="O2408">
        <v>149</v>
      </c>
      <c r="P2408">
        <v>0</v>
      </c>
      <c r="Q2408" t="s">
        <v>10054</v>
      </c>
      <c r="R2408" t="s">
        <v>1740</v>
      </c>
      <c r="S2408" t="s">
        <v>10055</v>
      </c>
      <c r="T2408" t="s">
        <v>10056</v>
      </c>
      <c r="U2408" t="s">
        <v>60</v>
      </c>
      <c r="V2408" t="s">
        <v>61</v>
      </c>
      <c r="W2408">
        <v>10</v>
      </c>
      <c r="X2408">
        <v>0.112</v>
      </c>
      <c r="Y2408" t="s">
        <v>183</v>
      </c>
      <c r="Z2408" t="s">
        <v>301</v>
      </c>
      <c r="AA2408">
        <v>1</v>
      </c>
      <c r="AB2408" t="s">
        <v>9906</v>
      </c>
      <c r="AC2408" t="s">
        <v>9907</v>
      </c>
      <c r="AD2408" t="s">
        <v>9908</v>
      </c>
      <c r="AE2408" t="s">
        <v>9909</v>
      </c>
      <c r="AF2408" t="s">
        <v>9910</v>
      </c>
      <c r="AG2408" t="s">
        <v>66</v>
      </c>
      <c r="AH2408" t="s">
        <v>66</v>
      </c>
      <c r="AI2408" t="s">
        <v>66</v>
      </c>
      <c r="AJ2408" t="s">
        <v>66</v>
      </c>
      <c r="AK2408">
        <v>1</v>
      </c>
      <c r="AL2408" t="s">
        <v>9987</v>
      </c>
      <c r="AM2408" t="s">
        <v>66</v>
      </c>
      <c r="AN2408" t="s">
        <v>9988</v>
      </c>
      <c r="AO2408" t="s">
        <v>66</v>
      </c>
      <c r="AP2408">
        <v>1</v>
      </c>
      <c r="AQ2408" t="s">
        <v>66</v>
      </c>
      <c r="AR2408" t="s">
        <v>66</v>
      </c>
      <c r="AS2408" t="s">
        <v>66</v>
      </c>
      <c r="AT2408" t="s">
        <v>66</v>
      </c>
    </row>
    <row r="2409" spans="1:46" x14ac:dyDescent="0.15">
      <c r="A2409" t="s">
        <v>10057</v>
      </c>
      <c r="B2409" t="s">
        <v>9902</v>
      </c>
      <c r="C2409" t="s">
        <v>9903</v>
      </c>
      <c r="D2409">
        <v>38</v>
      </c>
      <c r="E2409" t="s">
        <v>9904</v>
      </c>
      <c r="F2409" t="s">
        <v>3592</v>
      </c>
      <c r="G2409" t="s">
        <v>51</v>
      </c>
      <c r="H2409" t="s">
        <v>9905</v>
      </c>
      <c r="I2409" t="s">
        <v>53</v>
      </c>
      <c r="J2409" t="s">
        <v>1554</v>
      </c>
      <c r="K2409" t="s">
        <v>5939</v>
      </c>
      <c r="L2409" t="s">
        <v>18</v>
      </c>
      <c r="M2409" t="s">
        <v>19</v>
      </c>
      <c r="N2409">
        <v>2577</v>
      </c>
      <c r="O2409">
        <v>152</v>
      </c>
      <c r="P2409">
        <v>0</v>
      </c>
      <c r="Q2409" t="s">
        <v>10058</v>
      </c>
      <c r="R2409" t="s">
        <v>1745</v>
      </c>
      <c r="S2409" t="s">
        <v>10059</v>
      </c>
      <c r="T2409" t="s">
        <v>10060</v>
      </c>
      <c r="U2409" t="s">
        <v>60</v>
      </c>
      <c r="V2409" t="s">
        <v>61</v>
      </c>
      <c r="W2409">
        <v>10</v>
      </c>
      <c r="X2409">
        <v>0.112</v>
      </c>
      <c r="Y2409" t="s">
        <v>307</v>
      </c>
      <c r="Z2409" t="s">
        <v>308</v>
      </c>
      <c r="AA2409">
        <v>1</v>
      </c>
      <c r="AB2409" t="s">
        <v>9906</v>
      </c>
      <c r="AC2409" t="s">
        <v>9907</v>
      </c>
      <c r="AD2409" t="s">
        <v>9908</v>
      </c>
      <c r="AE2409" t="s">
        <v>9909</v>
      </c>
      <c r="AF2409" t="s">
        <v>9910</v>
      </c>
      <c r="AG2409" t="s">
        <v>66</v>
      </c>
      <c r="AH2409" t="s">
        <v>66</v>
      </c>
      <c r="AI2409" t="s">
        <v>66</v>
      </c>
      <c r="AJ2409" t="s">
        <v>66</v>
      </c>
      <c r="AK2409">
        <v>1</v>
      </c>
      <c r="AL2409" t="s">
        <v>9987</v>
      </c>
      <c r="AM2409" t="s">
        <v>66</v>
      </c>
      <c r="AN2409" t="s">
        <v>9988</v>
      </c>
      <c r="AO2409" t="s">
        <v>66</v>
      </c>
      <c r="AP2409">
        <v>1</v>
      </c>
      <c r="AQ2409" t="s">
        <v>66</v>
      </c>
      <c r="AR2409" t="s">
        <v>66</v>
      </c>
      <c r="AS2409" t="s">
        <v>66</v>
      </c>
      <c r="AT2409" t="s">
        <v>66</v>
      </c>
    </row>
    <row r="2410" spans="1:46" x14ac:dyDescent="0.15">
      <c r="A2410" t="s">
        <v>10061</v>
      </c>
      <c r="B2410" t="s">
        <v>9902</v>
      </c>
      <c r="C2410" t="s">
        <v>9903</v>
      </c>
      <c r="D2410">
        <v>39</v>
      </c>
      <c r="E2410" t="s">
        <v>9904</v>
      </c>
      <c r="F2410" t="s">
        <v>3592</v>
      </c>
      <c r="G2410" t="s">
        <v>51</v>
      </c>
      <c r="H2410" t="s">
        <v>9905</v>
      </c>
      <c r="I2410" t="s">
        <v>53</v>
      </c>
      <c r="J2410" t="s">
        <v>1554</v>
      </c>
      <c r="K2410" t="s">
        <v>5939</v>
      </c>
      <c r="L2410" t="s">
        <v>18</v>
      </c>
      <c r="M2410" t="s">
        <v>19</v>
      </c>
      <c r="N2410">
        <v>2633</v>
      </c>
      <c r="O2410">
        <v>155</v>
      </c>
      <c r="P2410">
        <v>0</v>
      </c>
      <c r="Q2410" t="s">
        <v>10062</v>
      </c>
      <c r="R2410" t="s">
        <v>1750</v>
      </c>
      <c r="S2410" t="s">
        <v>10063</v>
      </c>
      <c r="T2410" t="s">
        <v>10064</v>
      </c>
      <c r="U2410" t="s">
        <v>60</v>
      </c>
      <c r="V2410" t="s">
        <v>61</v>
      </c>
      <c r="W2410">
        <v>10</v>
      </c>
      <c r="X2410">
        <v>0.112</v>
      </c>
      <c r="Y2410" t="s">
        <v>190</v>
      </c>
      <c r="Z2410" t="s">
        <v>314</v>
      </c>
      <c r="AA2410">
        <v>1</v>
      </c>
      <c r="AB2410" t="s">
        <v>9906</v>
      </c>
      <c r="AC2410" t="s">
        <v>9907</v>
      </c>
      <c r="AD2410" t="s">
        <v>9908</v>
      </c>
      <c r="AE2410" t="s">
        <v>9909</v>
      </c>
      <c r="AF2410" t="s">
        <v>9910</v>
      </c>
      <c r="AG2410" t="s">
        <v>66</v>
      </c>
      <c r="AH2410" t="s">
        <v>66</v>
      </c>
      <c r="AI2410" t="s">
        <v>66</v>
      </c>
      <c r="AJ2410" t="s">
        <v>66</v>
      </c>
      <c r="AK2410">
        <v>1</v>
      </c>
      <c r="AL2410" t="s">
        <v>9987</v>
      </c>
      <c r="AM2410" t="s">
        <v>66</v>
      </c>
      <c r="AN2410" t="s">
        <v>9988</v>
      </c>
      <c r="AO2410" t="s">
        <v>66</v>
      </c>
      <c r="AP2410">
        <v>1</v>
      </c>
      <c r="AQ2410" t="s">
        <v>66</v>
      </c>
      <c r="AR2410" t="s">
        <v>66</v>
      </c>
      <c r="AS2410" t="s">
        <v>66</v>
      </c>
      <c r="AT2410" t="s">
        <v>66</v>
      </c>
    </row>
    <row r="2411" spans="1:46" x14ac:dyDescent="0.15">
      <c r="A2411" t="s">
        <v>10065</v>
      </c>
      <c r="B2411" t="s">
        <v>9902</v>
      </c>
      <c r="C2411" t="s">
        <v>9903</v>
      </c>
      <c r="D2411">
        <v>40</v>
      </c>
      <c r="E2411" t="s">
        <v>9904</v>
      </c>
      <c r="F2411" t="s">
        <v>3592</v>
      </c>
      <c r="G2411" t="s">
        <v>51</v>
      </c>
      <c r="H2411" t="s">
        <v>9905</v>
      </c>
      <c r="I2411" t="s">
        <v>53</v>
      </c>
      <c r="J2411" t="s">
        <v>1554</v>
      </c>
      <c r="K2411" t="s">
        <v>5939</v>
      </c>
      <c r="L2411" t="s">
        <v>18</v>
      </c>
      <c r="M2411" t="s">
        <v>19</v>
      </c>
      <c r="N2411">
        <v>2689</v>
      </c>
      <c r="O2411">
        <v>159</v>
      </c>
      <c r="P2411">
        <v>0</v>
      </c>
      <c r="Q2411" t="s">
        <v>10066</v>
      </c>
      <c r="R2411" t="s">
        <v>1755</v>
      </c>
      <c r="S2411" t="s">
        <v>10067</v>
      </c>
      <c r="T2411" t="s">
        <v>10068</v>
      </c>
      <c r="U2411" t="s">
        <v>60</v>
      </c>
      <c r="V2411" t="s">
        <v>61</v>
      </c>
      <c r="W2411">
        <v>10</v>
      </c>
      <c r="X2411">
        <v>0.112</v>
      </c>
      <c r="Y2411" t="s">
        <v>320</v>
      </c>
      <c r="Z2411" t="s">
        <v>321</v>
      </c>
      <c r="AA2411">
        <v>1</v>
      </c>
      <c r="AB2411" t="s">
        <v>9906</v>
      </c>
      <c r="AC2411" t="s">
        <v>9907</v>
      </c>
      <c r="AD2411" t="s">
        <v>9908</v>
      </c>
      <c r="AE2411" t="s">
        <v>9909</v>
      </c>
      <c r="AF2411" t="s">
        <v>9910</v>
      </c>
      <c r="AG2411" t="s">
        <v>66</v>
      </c>
      <c r="AH2411" t="s">
        <v>66</v>
      </c>
      <c r="AI2411" t="s">
        <v>66</v>
      </c>
      <c r="AJ2411" t="s">
        <v>66</v>
      </c>
      <c r="AK2411">
        <v>1</v>
      </c>
      <c r="AL2411" t="s">
        <v>9987</v>
      </c>
      <c r="AM2411" t="s">
        <v>66</v>
      </c>
      <c r="AN2411" t="s">
        <v>9988</v>
      </c>
      <c r="AO2411" t="s">
        <v>66</v>
      </c>
      <c r="AP2411">
        <v>1</v>
      </c>
      <c r="AQ2411" t="s">
        <v>66</v>
      </c>
      <c r="AR2411" t="s">
        <v>66</v>
      </c>
      <c r="AS2411" t="s">
        <v>66</v>
      </c>
      <c r="AT2411" t="s">
        <v>66</v>
      </c>
    </row>
    <row r="2412" spans="1:46" x14ac:dyDescent="0.15">
      <c r="A2412" t="s">
        <v>10065</v>
      </c>
      <c r="B2412" t="s">
        <v>9902</v>
      </c>
      <c r="C2412" t="s">
        <v>9903</v>
      </c>
      <c r="D2412">
        <v>40</v>
      </c>
      <c r="E2412" t="s">
        <v>9904</v>
      </c>
      <c r="F2412" t="s">
        <v>3592</v>
      </c>
      <c r="G2412" t="s">
        <v>51</v>
      </c>
      <c r="H2412" t="s">
        <v>9905</v>
      </c>
      <c r="I2412" t="s">
        <v>53</v>
      </c>
      <c r="J2412" t="s">
        <v>1554</v>
      </c>
      <c r="K2412" t="s">
        <v>5939</v>
      </c>
      <c r="L2412" t="s">
        <v>18</v>
      </c>
      <c r="M2412" t="s">
        <v>19</v>
      </c>
      <c r="N2412">
        <v>2689</v>
      </c>
      <c r="O2412">
        <v>159</v>
      </c>
      <c r="P2412">
        <v>0</v>
      </c>
      <c r="Q2412" t="s">
        <v>10066</v>
      </c>
      <c r="R2412" t="s">
        <v>1755</v>
      </c>
      <c r="S2412" t="s">
        <v>10067</v>
      </c>
      <c r="T2412" t="s">
        <v>10068</v>
      </c>
      <c r="U2412" t="s">
        <v>60</v>
      </c>
      <c r="V2412" t="s">
        <v>61</v>
      </c>
      <c r="W2412">
        <v>10</v>
      </c>
      <c r="X2412">
        <v>0.112</v>
      </c>
      <c r="Y2412" t="s">
        <v>320</v>
      </c>
      <c r="Z2412" t="s">
        <v>321</v>
      </c>
      <c r="AA2412">
        <v>2</v>
      </c>
      <c r="AB2412" t="s">
        <v>9906</v>
      </c>
      <c r="AC2412" t="s">
        <v>9907</v>
      </c>
      <c r="AD2412" t="s">
        <v>9908</v>
      </c>
      <c r="AE2412" t="s">
        <v>9909</v>
      </c>
      <c r="AF2412" t="s">
        <v>9910</v>
      </c>
      <c r="AG2412" t="s">
        <v>1857</v>
      </c>
      <c r="AH2412" t="s">
        <v>1963</v>
      </c>
      <c r="AI2412" t="s">
        <v>66</v>
      </c>
      <c r="AJ2412" t="s">
        <v>66</v>
      </c>
      <c r="AK2412">
        <v>1</v>
      </c>
      <c r="AL2412" t="s">
        <v>10069</v>
      </c>
      <c r="AM2412" t="s">
        <v>10070</v>
      </c>
      <c r="AN2412" t="s">
        <v>9988</v>
      </c>
      <c r="AO2412" t="s">
        <v>10071</v>
      </c>
      <c r="AP2412">
        <v>1</v>
      </c>
      <c r="AQ2412" t="s">
        <v>10072</v>
      </c>
      <c r="AR2412" t="s">
        <v>10073</v>
      </c>
      <c r="AS2412" t="s">
        <v>66</v>
      </c>
      <c r="AT2412" t="s">
        <v>66</v>
      </c>
    </row>
    <row r="2413" spans="1:46" x14ac:dyDescent="0.15">
      <c r="A2413" t="s">
        <v>10074</v>
      </c>
      <c r="B2413" t="s">
        <v>9902</v>
      </c>
      <c r="C2413" t="s">
        <v>9903</v>
      </c>
      <c r="D2413">
        <v>41</v>
      </c>
      <c r="E2413" t="s">
        <v>9904</v>
      </c>
      <c r="F2413" t="s">
        <v>3592</v>
      </c>
      <c r="G2413" t="s">
        <v>51</v>
      </c>
      <c r="H2413" t="s">
        <v>9905</v>
      </c>
      <c r="I2413" t="s">
        <v>53</v>
      </c>
      <c r="J2413" t="s">
        <v>1554</v>
      </c>
      <c r="K2413" t="s">
        <v>5939</v>
      </c>
      <c r="L2413" t="s">
        <v>18</v>
      </c>
      <c r="M2413" t="s">
        <v>19</v>
      </c>
      <c r="N2413">
        <v>2745</v>
      </c>
      <c r="O2413">
        <v>162</v>
      </c>
      <c r="P2413">
        <v>0</v>
      </c>
      <c r="Q2413" t="s">
        <v>10075</v>
      </c>
      <c r="R2413" t="s">
        <v>1760</v>
      </c>
      <c r="S2413" t="s">
        <v>10076</v>
      </c>
      <c r="T2413" t="s">
        <v>10077</v>
      </c>
      <c r="U2413" t="s">
        <v>60</v>
      </c>
      <c r="V2413" t="s">
        <v>61</v>
      </c>
      <c r="W2413">
        <v>10</v>
      </c>
      <c r="X2413">
        <v>0.112</v>
      </c>
      <c r="Y2413" t="s">
        <v>197</v>
      </c>
      <c r="Z2413" t="s">
        <v>330</v>
      </c>
      <c r="AA2413">
        <v>2</v>
      </c>
      <c r="AB2413" t="s">
        <v>9906</v>
      </c>
      <c r="AC2413" t="s">
        <v>9907</v>
      </c>
      <c r="AD2413" t="s">
        <v>9908</v>
      </c>
      <c r="AE2413" t="s">
        <v>9909</v>
      </c>
      <c r="AF2413" t="s">
        <v>9910</v>
      </c>
      <c r="AG2413" t="s">
        <v>1857</v>
      </c>
      <c r="AH2413" t="s">
        <v>1963</v>
      </c>
      <c r="AI2413" t="s">
        <v>66</v>
      </c>
      <c r="AJ2413" t="s">
        <v>66</v>
      </c>
      <c r="AK2413">
        <v>1</v>
      </c>
      <c r="AL2413" t="s">
        <v>10069</v>
      </c>
      <c r="AM2413" t="s">
        <v>10070</v>
      </c>
      <c r="AN2413" t="s">
        <v>9988</v>
      </c>
      <c r="AO2413" t="s">
        <v>10071</v>
      </c>
      <c r="AP2413">
        <v>1</v>
      </c>
      <c r="AQ2413" t="s">
        <v>10072</v>
      </c>
      <c r="AR2413" t="s">
        <v>10073</v>
      </c>
      <c r="AS2413" t="s">
        <v>66</v>
      </c>
      <c r="AT2413" t="s">
        <v>66</v>
      </c>
    </row>
    <row r="2414" spans="1:46" x14ac:dyDescent="0.15">
      <c r="A2414" t="s">
        <v>10078</v>
      </c>
      <c r="B2414" t="s">
        <v>9902</v>
      </c>
      <c r="C2414" t="s">
        <v>9903</v>
      </c>
      <c r="D2414">
        <v>42</v>
      </c>
      <c r="E2414" t="s">
        <v>9904</v>
      </c>
      <c r="F2414" t="s">
        <v>3592</v>
      </c>
      <c r="G2414" t="s">
        <v>51</v>
      </c>
      <c r="H2414" t="s">
        <v>9905</v>
      </c>
      <c r="I2414" t="s">
        <v>53</v>
      </c>
      <c r="J2414" t="s">
        <v>1554</v>
      </c>
      <c r="K2414" t="s">
        <v>5939</v>
      </c>
      <c r="L2414" t="s">
        <v>18</v>
      </c>
      <c r="M2414" t="s">
        <v>19</v>
      </c>
      <c r="N2414">
        <v>2801</v>
      </c>
      <c r="O2414">
        <v>165</v>
      </c>
      <c r="P2414">
        <v>0</v>
      </c>
      <c r="Q2414" t="s">
        <v>10079</v>
      </c>
      <c r="R2414" t="s">
        <v>1765</v>
      </c>
      <c r="S2414" t="s">
        <v>10080</v>
      </c>
      <c r="T2414" t="s">
        <v>10081</v>
      </c>
      <c r="U2414" t="s">
        <v>60</v>
      </c>
      <c r="V2414" t="s">
        <v>61</v>
      </c>
      <c r="W2414">
        <v>10</v>
      </c>
      <c r="X2414">
        <v>0.112</v>
      </c>
      <c r="Y2414" t="s">
        <v>336</v>
      </c>
      <c r="Z2414" t="s">
        <v>337</v>
      </c>
      <c r="AA2414">
        <v>2</v>
      </c>
      <c r="AB2414" t="s">
        <v>9906</v>
      </c>
      <c r="AC2414" t="s">
        <v>9907</v>
      </c>
      <c r="AD2414" t="s">
        <v>9908</v>
      </c>
      <c r="AE2414" t="s">
        <v>9909</v>
      </c>
      <c r="AF2414" t="s">
        <v>9910</v>
      </c>
      <c r="AG2414" t="s">
        <v>1857</v>
      </c>
      <c r="AH2414" t="s">
        <v>1963</v>
      </c>
      <c r="AI2414" t="s">
        <v>66</v>
      </c>
      <c r="AJ2414" t="s">
        <v>66</v>
      </c>
      <c r="AK2414">
        <v>1</v>
      </c>
      <c r="AL2414" t="s">
        <v>10069</v>
      </c>
      <c r="AM2414" t="s">
        <v>10070</v>
      </c>
      <c r="AN2414" t="s">
        <v>9988</v>
      </c>
      <c r="AO2414" t="s">
        <v>10071</v>
      </c>
      <c r="AP2414">
        <v>1</v>
      </c>
      <c r="AQ2414" t="s">
        <v>10072</v>
      </c>
      <c r="AR2414" t="s">
        <v>10073</v>
      </c>
      <c r="AS2414" t="s">
        <v>66</v>
      </c>
      <c r="AT2414" t="s">
        <v>66</v>
      </c>
    </row>
    <row r="2415" spans="1:46" x14ac:dyDescent="0.15">
      <c r="A2415" t="s">
        <v>10082</v>
      </c>
      <c r="B2415" t="s">
        <v>9902</v>
      </c>
      <c r="C2415" t="s">
        <v>9903</v>
      </c>
      <c r="D2415">
        <v>43</v>
      </c>
      <c r="E2415" t="s">
        <v>9904</v>
      </c>
      <c r="F2415" t="s">
        <v>3592</v>
      </c>
      <c r="G2415" t="s">
        <v>51</v>
      </c>
      <c r="H2415" t="s">
        <v>9905</v>
      </c>
      <c r="I2415" t="s">
        <v>53</v>
      </c>
      <c r="J2415" t="s">
        <v>1554</v>
      </c>
      <c r="K2415" t="s">
        <v>5939</v>
      </c>
      <c r="L2415" t="s">
        <v>18</v>
      </c>
      <c r="M2415" t="s">
        <v>19</v>
      </c>
      <c r="N2415">
        <v>2857</v>
      </c>
      <c r="O2415">
        <v>168</v>
      </c>
      <c r="P2415">
        <v>0</v>
      </c>
      <c r="Q2415" t="s">
        <v>10083</v>
      </c>
      <c r="R2415" t="s">
        <v>1770</v>
      </c>
      <c r="S2415" t="s">
        <v>10084</v>
      </c>
      <c r="T2415" t="s">
        <v>10085</v>
      </c>
      <c r="U2415" t="s">
        <v>60</v>
      </c>
      <c r="V2415" t="s">
        <v>61</v>
      </c>
      <c r="W2415">
        <v>10</v>
      </c>
      <c r="X2415">
        <v>0.112</v>
      </c>
      <c r="Y2415" t="s">
        <v>204</v>
      </c>
      <c r="Z2415" t="s">
        <v>343</v>
      </c>
      <c r="AA2415">
        <v>2</v>
      </c>
      <c r="AB2415" t="s">
        <v>9906</v>
      </c>
      <c r="AC2415" t="s">
        <v>9907</v>
      </c>
      <c r="AD2415" t="s">
        <v>9908</v>
      </c>
      <c r="AE2415" t="s">
        <v>9909</v>
      </c>
      <c r="AF2415" t="s">
        <v>9910</v>
      </c>
      <c r="AG2415" t="s">
        <v>1857</v>
      </c>
      <c r="AH2415" t="s">
        <v>1963</v>
      </c>
      <c r="AI2415" t="s">
        <v>66</v>
      </c>
      <c r="AJ2415" t="s">
        <v>66</v>
      </c>
      <c r="AK2415">
        <v>1</v>
      </c>
      <c r="AL2415" t="s">
        <v>10069</v>
      </c>
      <c r="AM2415" t="s">
        <v>10070</v>
      </c>
      <c r="AN2415" t="s">
        <v>9988</v>
      </c>
      <c r="AO2415" t="s">
        <v>10071</v>
      </c>
      <c r="AP2415">
        <v>1</v>
      </c>
      <c r="AQ2415" t="s">
        <v>10072</v>
      </c>
      <c r="AR2415" t="s">
        <v>10073</v>
      </c>
      <c r="AS2415" t="s">
        <v>66</v>
      </c>
      <c r="AT2415" t="s">
        <v>66</v>
      </c>
    </row>
    <row r="2416" spans="1:46" x14ac:dyDescent="0.15">
      <c r="A2416" t="s">
        <v>10086</v>
      </c>
      <c r="B2416" t="s">
        <v>9902</v>
      </c>
      <c r="C2416" t="s">
        <v>9903</v>
      </c>
      <c r="D2416">
        <v>44</v>
      </c>
      <c r="E2416" t="s">
        <v>9904</v>
      </c>
      <c r="F2416" t="s">
        <v>3592</v>
      </c>
      <c r="G2416" t="s">
        <v>51</v>
      </c>
      <c r="H2416" t="s">
        <v>9905</v>
      </c>
      <c r="I2416" t="s">
        <v>53</v>
      </c>
      <c r="J2416" t="s">
        <v>1554</v>
      </c>
      <c r="K2416" t="s">
        <v>5939</v>
      </c>
      <c r="L2416" t="s">
        <v>18</v>
      </c>
      <c r="M2416" t="s">
        <v>19</v>
      </c>
      <c r="N2416">
        <v>2913</v>
      </c>
      <c r="O2416">
        <v>172</v>
      </c>
      <c r="P2416">
        <v>0</v>
      </c>
      <c r="Q2416" t="s">
        <v>10087</v>
      </c>
      <c r="R2416" t="s">
        <v>1775</v>
      </c>
      <c r="S2416" t="s">
        <v>10088</v>
      </c>
      <c r="T2416" t="s">
        <v>10089</v>
      </c>
      <c r="U2416" t="s">
        <v>60</v>
      </c>
      <c r="V2416" t="s">
        <v>61</v>
      </c>
      <c r="W2416">
        <v>10</v>
      </c>
      <c r="X2416">
        <v>0.112</v>
      </c>
      <c r="Y2416" t="s">
        <v>349</v>
      </c>
      <c r="Z2416" t="s">
        <v>350</v>
      </c>
      <c r="AA2416">
        <v>2</v>
      </c>
      <c r="AB2416" t="s">
        <v>9906</v>
      </c>
      <c r="AC2416" t="s">
        <v>9907</v>
      </c>
      <c r="AD2416" t="s">
        <v>9908</v>
      </c>
      <c r="AE2416" t="s">
        <v>9909</v>
      </c>
      <c r="AF2416" t="s">
        <v>9910</v>
      </c>
      <c r="AG2416" t="s">
        <v>1857</v>
      </c>
      <c r="AH2416" t="s">
        <v>1963</v>
      </c>
      <c r="AI2416" t="s">
        <v>66</v>
      </c>
      <c r="AJ2416" t="s">
        <v>66</v>
      </c>
      <c r="AK2416">
        <v>1</v>
      </c>
      <c r="AL2416" t="s">
        <v>10069</v>
      </c>
      <c r="AM2416" t="s">
        <v>10070</v>
      </c>
      <c r="AN2416" t="s">
        <v>9988</v>
      </c>
      <c r="AO2416" t="s">
        <v>10071</v>
      </c>
      <c r="AP2416">
        <v>1</v>
      </c>
      <c r="AQ2416" t="s">
        <v>10072</v>
      </c>
      <c r="AR2416" t="s">
        <v>10073</v>
      </c>
      <c r="AS2416" t="s">
        <v>66</v>
      </c>
      <c r="AT2416" t="s">
        <v>66</v>
      </c>
    </row>
    <row r="2417" spans="1:46" x14ac:dyDescent="0.15">
      <c r="A2417" t="s">
        <v>10090</v>
      </c>
      <c r="B2417" t="s">
        <v>9902</v>
      </c>
      <c r="C2417" t="s">
        <v>9903</v>
      </c>
      <c r="D2417">
        <v>45</v>
      </c>
      <c r="E2417" t="s">
        <v>9904</v>
      </c>
      <c r="F2417" t="s">
        <v>3592</v>
      </c>
      <c r="G2417" t="s">
        <v>51</v>
      </c>
      <c r="H2417" t="s">
        <v>9905</v>
      </c>
      <c r="I2417" t="s">
        <v>53</v>
      </c>
      <c r="J2417" t="s">
        <v>1554</v>
      </c>
      <c r="K2417" t="s">
        <v>5939</v>
      </c>
      <c r="L2417" t="s">
        <v>18</v>
      </c>
      <c r="M2417" t="s">
        <v>19</v>
      </c>
      <c r="N2417">
        <v>2969</v>
      </c>
      <c r="O2417">
        <v>175</v>
      </c>
      <c r="P2417">
        <v>0</v>
      </c>
      <c r="Q2417" t="s">
        <v>10091</v>
      </c>
      <c r="R2417" t="s">
        <v>1780</v>
      </c>
      <c r="S2417" t="s">
        <v>10092</v>
      </c>
      <c r="T2417" t="s">
        <v>10093</v>
      </c>
      <c r="U2417" t="s">
        <v>60</v>
      </c>
      <c r="V2417" t="s">
        <v>61</v>
      </c>
      <c r="W2417">
        <v>10</v>
      </c>
      <c r="X2417">
        <v>0.112</v>
      </c>
      <c r="Y2417" t="s">
        <v>210</v>
      </c>
      <c r="Z2417" t="s">
        <v>356</v>
      </c>
      <c r="AA2417">
        <v>2</v>
      </c>
      <c r="AB2417" t="s">
        <v>9906</v>
      </c>
      <c r="AC2417" t="s">
        <v>9907</v>
      </c>
      <c r="AD2417" t="s">
        <v>9908</v>
      </c>
      <c r="AE2417" t="s">
        <v>9909</v>
      </c>
      <c r="AF2417" t="s">
        <v>9910</v>
      </c>
      <c r="AG2417" t="s">
        <v>1857</v>
      </c>
      <c r="AH2417" t="s">
        <v>1963</v>
      </c>
      <c r="AI2417" t="s">
        <v>66</v>
      </c>
      <c r="AJ2417" t="s">
        <v>66</v>
      </c>
      <c r="AK2417">
        <v>1</v>
      </c>
      <c r="AL2417" t="s">
        <v>10069</v>
      </c>
      <c r="AM2417" t="s">
        <v>10070</v>
      </c>
      <c r="AN2417" t="s">
        <v>9988</v>
      </c>
      <c r="AO2417" t="s">
        <v>10071</v>
      </c>
      <c r="AP2417">
        <v>1</v>
      </c>
      <c r="AQ2417" t="s">
        <v>10072</v>
      </c>
      <c r="AR2417" t="s">
        <v>10073</v>
      </c>
      <c r="AS2417" t="s">
        <v>66</v>
      </c>
      <c r="AT2417" t="s">
        <v>66</v>
      </c>
    </row>
    <row r="2418" spans="1:46" x14ac:dyDescent="0.15">
      <c r="A2418" t="s">
        <v>10094</v>
      </c>
      <c r="B2418" t="s">
        <v>9902</v>
      </c>
      <c r="C2418" t="s">
        <v>9903</v>
      </c>
      <c r="D2418">
        <v>46</v>
      </c>
      <c r="E2418" t="s">
        <v>9904</v>
      </c>
      <c r="F2418" t="s">
        <v>3592</v>
      </c>
      <c r="G2418" t="s">
        <v>51</v>
      </c>
      <c r="H2418" t="s">
        <v>9905</v>
      </c>
      <c r="I2418" t="s">
        <v>53</v>
      </c>
      <c r="J2418" t="s">
        <v>1554</v>
      </c>
      <c r="K2418" t="s">
        <v>5939</v>
      </c>
      <c r="L2418" t="s">
        <v>18</v>
      </c>
      <c r="M2418" t="s">
        <v>19</v>
      </c>
      <c r="N2418">
        <v>3026</v>
      </c>
      <c r="O2418">
        <v>178</v>
      </c>
      <c r="P2418">
        <v>0</v>
      </c>
      <c r="Q2418" t="s">
        <v>10095</v>
      </c>
      <c r="R2418" t="s">
        <v>1785</v>
      </c>
      <c r="S2418" t="s">
        <v>10096</v>
      </c>
      <c r="T2418" t="s">
        <v>10097</v>
      </c>
      <c r="U2418" t="s">
        <v>60</v>
      </c>
      <c r="V2418" t="s">
        <v>61</v>
      </c>
      <c r="W2418">
        <v>10</v>
      </c>
      <c r="X2418">
        <v>0.112</v>
      </c>
      <c r="Y2418" t="s">
        <v>362</v>
      </c>
      <c r="Z2418" t="s">
        <v>363</v>
      </c>
      <c r="AA2418">
        <v>2</v>
      </c>
      <c r="AB2418" t="s">
        <v>9906</v>
      </c>
      <c r="AC2418" t="s">
        <v>9907</v>
      </c>
      <c r="AD2418" t="s">
        <v>9908</v>
      </c>
      <c r="AE2418" t="s">
        <v>9909</v>
      </c>
      <c r="AF2418" t="s">
        <v>9910</v>
      </c>
      <c r="AG2418" t="s">
        <v>1857</v>
      </c>
      <c r="AH2418" t="s">
        <v>1963</v>
      </c>
      <c r="AI2418" t="s">
        <v>66</v>
      </c>
      <c r="AJ2418" t="s">
        <v>66</v>
      </c>
      <c r="AK2418">
        <v>1</v>
      </c>
      <c r="AL2418" t="s">
        <v>10069</v>
      </c>
      <c r="AM2418" t="s">
        <v>10070</v>
      </c>
      <c r="AN2418" t="s">
        <v>9988</v>
      </c>
      <c r="AO2418" t="s">
        <v>10071</v>
      </c>
      <c r="AP2418">
        <v>1</v>
      </c>
      <c r="AQ2418" t="s">
        <v>10072</v>
      </c>
      <c r="AR2418" t="s">
        <v>10073</v>
      </c>
      <c r="AS2418" t="s">
        <v>66</v>
      </c>
      <c r="AT2418" t="s">
        <v>66</v>
      </c>
    </row>
    <row r="2419" spans="1:46" x14ac:dyDescent="0.15">
      <c r="A2419" t="s">
        <v>10098</v>
      </c>
      <c r="B2419" t="s">
        <v>9902</v>
      </c>
      <c r="C2419" t="s">
        <v>9903</v>
      </c>
      <c r="D2419">
        <v>47</v>
      </c>
      <c r="E2419" t="s">
        <v>9904</v>
      </c>
      <c r="F2419" t="s">
        <v>3592</v>
      </c>
      <c r="G2419" t="s">
        <v>51</v>
      </c>
      <c r="H2419" t="s">
        <v>9905</v>
      </c>
      <c r="I2419" t="s">
        <v>53</v>
      </c>
      <c r="J2419" t="s">
        <v>1554</v>
      </c>
      <c r="K2419" t="s">
        <v>5939</v>
      </c>
      <c r="L2419" t="s">
        <v>18</v>
      </c>
      <c r="M2419" t="s">
        <v>19</v>
      </c>
      <c r="N2419">
        <v>3082</v>
      </c>
      <c r="O2419">
        <v>182</v>
      </c>
      <c r="P2419">
        <v>0</v>
      </c>
      <c r="Q2419" t="s">
        <v>10099</v>
      </c>
      <c r="R2419" t="s">
        <v>1790</v>
      </c>
      <c r="S2419" t="s">
        <v>10100</v>
      </c>
      <c r="T2419" t="s">
        <v>10101</v>
      </c>
      <c r="U2419" t="s">
        <v>60</v>
      </c>
      <c r="V2419" t="s">
        <v>61</v>
      </c>
      <c r="W2419">
        <v>10</v>
      </c>
      <c r="X2419">
        <v>0.112</v>
      </c>
      <c r="Y2419" t="s">
        <v>217</v>
      </c>
      <c r="Z2419" t="s">
        <v>369</v>
      </c>
      <c r="AA2419">
        <v>2</v>
      </c>
      <c r="AB2419" t="s">
        <v>9906</v>
      </c>
      <c r="AC2419" t="s">
        <v>9907</v>
      </c>
      <c r="AD2419" t="s">
        <v>9908</v>
      </c>
      <c r="AE2419" t="s">
        <v>9909</v>
      </c>
      <c r="AF2419" t="s">
        <v>9910</v>
      </c>
      <c r="AG2419" t="s">
        <v>1857</v>
      </c>
      <c r="AH2419" t="s">
        <v>1963</v>
      </c>
      <c r="AI2419" t="s">
        <v>66</v>
      </c>
      <c r="AJ2419" t="s">
        <v>66</v>
      </c>
      <c r="AK2419">
        <v>1</v>
      </c>
      <c r="AL2419" t="s">
        <v>10069</v>
      </c>
      <c r="AM2419" t="s">
        <v>10070</v>
      </c>
      <c r="AN2419" t="s">
        <v>9988</v>
      </c>
      <c r="AO2419" t="s">
        <v>10071</v>
      </c>
      <c r="AP2419">
        <v>1</v>
      </c>
      <c r="AQ2419" t="s">
        <v>10072</v>
      </c>
      <c r="AR2419" t="s">
        <v>10073</v>
      </c>
      <c r="AS2419" t="s">
        <v>66</v>
      </c>
      <c r="AT2419" t="s">
        <v>66</v>
      </c>
    </row>
    <row r="2420" spans="1:46" x14ac:dyDescent="0.15">
      <c r="A2420" t="s">
        <v>10102</v>
      </c>
      <c r="B2420" t="s">
        <v>9902</v>
      </c>
      <c r="C2420" t="s">
        <v>9903</v>
      </c>
      <c r="D2420">
        <v>48</v>
      </c>
      <c r="E2420" t="s">
        <v>9904</v>
      </c>
      <c r="F2420" t="s">
        <v>3592</v>
      </c>
      <c r="G2420" t="s">
        <v>51</v>
      </c>
      <c r="H2420" t="s">
        <v>9905</v>
      </c>
      <c r="I2420" t="s">
        <v>53</v>
      </c>
      <c r="J2420" t="s">
        <v>1554</v>
      </c>
      <c r="K2420" t="s">
        <v>5939</v>
      </c>
      <c r="L2420" t="s">
        <v>18</v>
      </c>
      <c r="M2420" t="s">
        <v>19</v>
      </c>
      <c r="N2420">
        <v>3138</v>
      </c>
      <c r="O2420">
        <v>185</v>
      </c>
      <c r="P2420">
        <v>0</v>
      </c>
      <c r="Q2420" t="s">
        <v>10103</v>
      </c>
      <c r="R2420" t="s">
        <v>1795</v>
      </c>
      <c r="S2420" t="s">
        <v>10104</v>
      </c>
      <c r="T2420" t="s">
        <v>10105</v>
      </c>
      <c r="U2420" t="s">
        <v>60</v>
      </c>
      <c r="V2420" t="s">
        <v>61</v>
      </c>
      <c r="W2420">
        <v>10</v>
      </c>
      <c r="X2420">
        <v>0.112</v>
      </c>
      <c r="Y2420" t="s">
        <v>375</v>
      </c>
      <c r="Z2420" t="s">
        <v>376</v>
      </c>
      <c r="AA2420">
        <v>2</v>
      </c>
      <c r="AB2420" t="s">
        <v>9906</v>
      </c>
      <c r="AC2420" t="s">
        <v>9907</v>
      </c>
      <c r="AD2420" t="s">
        <v>9908</v>
      </c>
      <c r="AE2420" t="s">
        <v>9909</v>
      </c>
      <c r="AF2420" t="s">
        <v>9910</v>
      </c>
      <c r="AG2420" t="s">
        <v>1857</v>
      </c>
      <c r="AH2420" t="s">
        <v>1963</v>
      </c>
      <c r="AI2420" t="s">
        <v>66</v>
      </c>
      <c r="AJ2420" t="s">
        <v>66</v>
      </c>
      <c r="AK2420">
        <v>1</v>
      </c>
      <c r="AL2420" t="s">
        <v>10069</v>
      </c>
      <c r="AM2420" t="s">
        <v>10070</v>
      </c>
      <c r="AN2420" t="s">
        <v>9988</v>
      </c>
      <c r="AO2420" t="s">
        <v>10071</v>
      </c>
      <c r="AP2420">
        <v>1</v>
      </c>
      <c r="AQ2420" t="s">
        <v>10072</v>
      </c>
      <c r="AR2420" t="s">
        <v>10073</v>
      </c>
      <c r="AS2420" t="s">
        <v>66</v>
      </c>
      <c r="AT2420" t="s">
        <v>66</v>
      </c>
    </row>
    <row r="2421" spans="1:46" x14ac:dyDescent="0.15">
      <c r="A2421" t="s">
        <v>10106</v>
      </c>
      <c r="B2421" t="s">
        <v>9902</v>
      </c>
      <c r="C2421" t="s">
        <v>9903</v>
      </c>
      <c r="D2421">
        <v>49</v>
      </c>
      <c r="E2421" t="s">
        <v>9904</v>
      </c>
      <c r="F2421" t="s">
        <v>3592</v>
      </c>
      <c r="G2421" t="s">
        <v>51</v>
      </c>
      <c r="H2421" t="s">
        <v>9905</v>
      </c>
      <c r="I2421" t="s">
        <v>53</v>
      </c>
      <c r="J2421" t="s">
        <v>1554</v>
      </c>
      <c r="K2421" t="s">
        <v>5939</v>
      </c>
      <c r="L2421" t="s">
        <v>18</v>
      </c>
      <c r="M2421" t="s">
        <v>19</v>
      </c>
      <c r="N2421">
        <v>3194</v>
      </c>
      <c r="O2421">
        <v>188</v>
      </c>
      <c r="P2421">
        <v>0</v>
      </c>
      <c r="Q2421" t="s">
        <v>10107</v>
      </c>
      <c r="R2421" t="s">
        <v>1800</v>
      </c>
      <c r="S2421" t="s">
        <v>10108</v>
      </c>
      <c r="T2421" t="s">
        <v>10109</v>
      </c>
      <c r="U2421" t="s">
        <v>60</v>
      </c>
      <c r="V2421" t="s">
        <v>61</v>
      </c>
      <c r="W2421">
        <v>10</v>
      </c>
      <c r="X2421">
        <v>0.112</v>
      </c>
      <c r="Y2421" t="s">
        <v>223</v>
      </c>
      <c r="Z2421" t="s">
        <v>382</v>
      </c>
      <c r="AA2421">
        <v>2</v>
      </c>
      <c r="AB2421" t="s">
        <v>9906</v>
      </c>
      <c r="AC2421" t="s">
        <v>9907</v>
      </c>
      <c r="AD2421" t="s">
        <v>9908</v>
      </c>
      <c r="AE2421" t="s">
        <v>9909</v>
      </c>
      <c r="AF2421" t="s">
        <v>9910</v>
      </c>
      <c r="AG2421" t="s">
        <v>1857</v>
      </c>
      <c r="AH2421" t="s">
        <v>1963</v>
      </c>
      <c r="AI2421" t="s">
        <v>66</v>
      </c>
      <c r="AJ2421" t="s">
        <v>66</v>
      </c>
      <c r="AK2421">
        <v>1</v>
      </c>
      <c r="AL2421" t="s">
        <v>10069</v>
      </c>
      <c r="AM2421" t="s">
        <v>10070</v>
      </c>
      <c r="AN2421" t="s">
        <v>9988</v>
      </c>
      <c r="AO2421" t="s">
        <v>10071</v>
      </c>
      <c r="AP2421">
        <v>1</v>
      </c>
      <c r="AQ2421" t="s">
        <v>10072</v>
      </c>
      <c r="AR2421" t="s">
        <v>10073</v>
      </c>
      <c r="AS2421" t="s">
        <v>66</v>
      </c>
      <c r="AT2421" t="s">
        <v>66</v>
      </c>
    </row>
    <row r="2422" spans="1:46" x14ac:dyDescent="0.15">
      <c r="A2422" t="s">
        <v>10110</v>
      </c>
      <c r="B2422" t="s">
        <v>9902</v>
      </c>
      <c r="C2422" t="s">
        <v>9903</v>
      </c>
      <c r="D2422">
        <v>50</v>
      </c>
      <c r="E2422" t="s">
        <v>9904</v>
      </c>
      <c r="F2422" t="s">
        <v>3592</v>
      </c>
      <c r="G2422" t="s">
        <v>51</v>
      </c>
      <c r="H2422" t="s">
        <v>9905</v>
      </c>
      <c r="I2422" t="s">
        <v>53</v>
      </c>
      <c r="J2422" t="s">
        <v>1554</v>
      </c>
      <c r="K2422" t="s">
        <v>5939</v>
      </c>
      <c r="L2422" t="s">
        <v>18</v>
      </c>
      <c r="M2422" t="s">
        <v>19</v>
      </c>
      <c r="N2422">
        <v>3250</v>
      </c>
      <c r="O2422">
        <v>192</v>
      </c>
      <c r="P2422">
        <v>0</v>
      </c>
      <c r="Q2422" t="s">
        <v>10111</v>
      </c>
      <c r="R2422" t="s">
        <v>1805</v>
      </c>
      <c r="S2422" t="s">
        <v>10112</v>
      </c>
      <c r="T2422" t="s">
        <v>10113</v>
      </c>
      <c r="U2422" t="s">
        <v>60</v>
      </c>
      <c r="V2422" t="s">
        <v>61</v>
      </c>
      <c r="W2422">
        <v>10</v>
      </c>
      <c r="X2422">
        <v>0.112</v>
      </c>
      <c r="Y2422" t="s">
        <v>388</v>
      </c>
      <c r="Z2422" t="s">
        <v>389</v>
      </c>
      <c r="AA2422">
        <v>2</v>
      </c>
      <c r="AB2422" t="s">
        <v>9906</v>
      </c>
      <c r="AC2422" t="s">
        <v>9907</v>
      </c>
      <c r="AD2422" t="s">
        <v>9908</v>
      </c>
      <c r="AE2422" t="s">
        <v>9909</v>
      </c>
      <c r="AF2422" t="s">
        <v>9910</v>
      </c>
      <c r="AG2422" t="s">
        <v>1857</v>
      </c>
      <c r="AH2422" t="s">
        <v>1963</v>
      </c>
      <c r="AI2422" t="s">
        <v>66</v>
      </c>
      <c r="AJ2422" t="s">
        <v>66</v>
      </c>
      <c r="AK2422">
        <v>1</v>
      </c>
      <c r="AL2422" t="s">
        <v>10069</v>
      </c>
      <c r="AM2422" t="s">
        <v>10070</v>
      </c>
      <c r="AN2422" t="s">
        <v>9988</v>
      </c>
      <c r="AO2422" t="s">
        <v>10071</v>
      </c>
      <c r="AP2422">
        <v>1</v>
      </c>
      <c r="AQ2422" t="s">
        <v>10072</v>
      </c>
      <c r="AR2422" t="s">
        <v>10073</v>
      </c>
      <c r="AS2422" t="s">
        <v>66</v>
      </c>
      <c r="AT2422" t="s">
        <v>66</v>
      </c>
    </row>
    <row r="2423" spans="1:46" x14ac:dyDescent="0.15">
      <c r="A2423" t="s">
        <v>10114</v>
      </c>
      <c r="B2423" t="s">
        <v>9902</v>
      </c>
      <c r="C2423" t="s">
        <v>9903</v>
      </c>
      <c r="D2423">
        <v>51</v>
      </c>
      <c r="E2423" t="s">
        <v>9904</v>
      </c>
      <c r="F2423" t="s">
        <v>3592</v>
      </c>
      <c r="G2423" t="s">
        <v>51</v>
      </c>
      <c r="H2423" t="s">
        <v>9905</v>
      </c>
      <c r="I2423" t="s">
        <v>53</v>
      </c>
      <c r="J2423" t="s">
        <v>1554</v>
      </c>
      <c r="K2423" t="s">
        <v>5939</v>
      </c>
      <c r="L2423" t="s">
        <v>18</v>
      </c>
      <c r="M2423" t="s">
        <v>19</v>
      </c>
      <c r="N2423">
        <v>3306</v>
      </c>
      <c r="O2423">
        <v>195</v>
      </c>
      <c r="P2423">
        <v>0</v>
      </c>
      <c r="Q2423" t="s">
        <v>10115</v>
      </c>
      <c r="R2423" t="s">
        <v>1810</v>
      </c>
      <c r="S2423" t="s">
        <v>10116</v>
      </c>
      <c r="T2423" t="s">
        <v>10117</v>
      </c>
      <c r="U2423" t="s">
        <v>60</v>
      </c>
      <c r="V2423" t="s">
        <v>61</v>
      </c>
      <c r="W2423">
        <v>10</v>
      </c>
      <c r="X2423">
        <v>0.112</v>
      </c>
      <c r="Y2423" t="s">
        <v>230</v>
      </c>
      <c r="Z2423" t="s">
        <v>395</v>
      </c>
      <c r="AA2423">
        <v>2</v>
      </c>
      <c r="AB2423" t="s">
        <v>9906</v>
      </c>
      <c r="AC2423" t="s">
        <v>9907</v>
      </c>
      <c r="AD2423" t="s">
        <v>9908</v>
      </c>
      <c r="AE2423" t="s">
        <v>9909</v>
      </c>
      <c r="AF2423" t="s">
        <v>9910</v>
      </c>
      <c r="AG2423" t="s">
        <v>1857</v>
      </c>
      <c r="AH2423" t="s">
        <v>1963</v>
      </c>
      <c r="AI2423" t="s">
        <v>66</v>
      </c>
      <c r="AJ2423" t="s">
        <v>66</v>
      </c>
      <c r="AK2423">
        <v>1</v>
      </c>
      <c r="AL2423" t="s">
        <v>10069</v>
      </c>
      <c r="AM2423" t="s">
        <v>10070</v>
      </c>
      <c r="AN2423" t="s">
        <v>9988</v>
      </c>
      <c r="AO2423" t="s">
        <v>10071</v>
      </c>
      <c r="AP2423">
        <v>1</v>
      </c>
      <c r="AQ2423" t="s">
        <v>10072</v>
      </c>
      <c r="AR2423" t="s">
        <v>10073</v>
      </c>
      <c r="AS2423" t="s">
        <v>66</v>
      </c>
      <c r="AT2423" t="s">
        <v>66</v>
      </c>
    </row>
    <row r="2424" spans="1:46" x14ac:dyDescent="0.15">
      <c r="A2424" t="s">
        <v>10118</v>
      </c>
      <c r="B2424" t="s">
        <v>9902</v>
      </c>
      <c r="C2424" t="s">
        <v>9903</v>
      </c>
      <c r="D2424">
        <v>52</v>
      </c>
      <c r="E2424" t="s">
        <v>9904</v>
      </c>
      <c r="F2424" t="s">
        <v>3592</v>
      </c>
      <c r="G2424" t="s">
        <v>51</v>
      </c>
      <c r="H2424" t="s">
        <v>9905</v>
      </c>
      <c r="I2424" t="s">
        <v>53</v>
      </c>
      <c r="J2424" t="s">
        <v>1554</v>
      </c>
      <c r="K2424" t="s">
        <v>5939</v>
      </c>
      <c r="L2424" t="s">
        <v>18</v>
      </c>
      <c r="M2424" t="s">
        <v>19</v>
      </c>
      <c r="N2424">
        <v>3362</v>
      </c>
      <c r="O2424">
        <v>198</v>
      </c>
      <c r="P2424">
        <v>0</v>
      </c>
      <c r="Q2424" t="s">
        <v>10119</v>
      </c>
      <c r="R2424" t="s">
        <v>1815</v>
      </c>
      <c r="S2424" t="s">
        <v>10120</v>
      </c>
      <c r="T2424" t="s">
        <v>10121</v>
      </c>
      <c r="U2424" t="s">
        <v>60</v>
      </c>
      <c r="V2424" t="s">
        <v>61</v>
      </c>
      <c r="W2424">
        <v>10</v>
      </c>
      <c r="X2424">
        <v>0.112</v>
      </c>
      <c r="Y2424" t="s">
        <v>401</v>
      </c>
      <c r="Z2424" t="s">
        <v>402</v>
      </c>
      <c r="AA2424">
        <v>2</v>
      </c>
      <c r="AB2424" t="s">
        <v>9906</v>
      </c>
      <c r="AC2424" t="s">
        <v>9907</v>
      </c>
      <c r="AD2424" t="s">
        <v>9908</v>
      </c>
      <c r="AE2424" t="s">
        <v>9909</v>
      </c>
      <c r="AF2424" t="s">
        <v>9910</v>
      </c>
      <c r="AG2424" t="s">
        <v>1857</v>
      </c>
      <c r="AH2424" t="s">
        <v>1963</v>
      </c>
      <c r="AI2424" t="s">
        <v>66</v>
      </c>
      <c r="AJ2424" t="s">
        <v>66</v>
      </c>
      <c r="AK2424">
        <v>1</v>
      </c>
      <c r="AL2424" t="s">
        <v>10069</v>
      </c>
      <c r="AM2424" t="s">
        <v>10070</v>
      </c>
      <c r="AN2424" t="s">
        <v>9988</v>
      </c>
      <c r="AO2424" t="s">
        <v>10071</v>
      </c>
      <c r="AP2424">
        <v>1</v>
      </c>
      <c r="AQ2424" t="s">
        <v>10072</v>
      </c>
      <c r="AR2424" t="s">
        <v>10073</v>
      </c>
      <c r="AS2424" t="s">
        <v>66</v>
      </c>
      <c r="AT2424" t="s">
        <v>66</v>
      </c>
    </row>
    <row r="2425" spans="1:46" x14ac:dyDescent="0.15">
      <c r="A2425" t="s">
        <v>10122</v>
      </c>
      <c r="B2425" t="s">
        <v>9902</v>
      </c>
      <c r="C2425" t="s">
        <v>9903</v>
      </c>
      <c r="D2425">
        <v>53</v>
      </c>
      <c r="E2425" t="s">
        <v>9904</v>
      </c>
      <c r="F2425" t="s">
        <v>3592</v>
      </c>
      <c r="G2425" t="s">
        <v>51</v>
      </c>
      <c r="H2425" t="s">
        <v>9905</v>
      </c>
      <c r="I2425" t="s">
        <v>53</v>
      </c>
      <c r="J2425" t="s">
        <v>1554</v>
      </c>
      <c r="K2425" t="s">
        <v>5939</v>
      </c>
      <c r="L2425" t="s">
        <v>18</v>
      </c>
      <c r="M2425" t="s">
        <v>19</v>
      </c>
      <c r="N2425">
        <v>3418</v>
      </c>
      <c r="O2425">
        <v>201</v>
      </c>
      <c r="P2425">
        <v>0</v>
      </c>
      <c r="Q2425" t="s">
        <v>10123</v>
      </c>
      <c r="R2425" t="s">
        <v>1820</v>
      </c>
      <c r="S2425" t="s">
        <v>10124</v>
      </c>
      <c r="T2425" t="s">
        <v>10125</v>
      </c>
      <c r="U2425" t="s">
        <v>60</v>
      </c>
      <c r="V2425" t="s">
        <v>61</v>
      </c>
      <c r="W2425">
        <v>10</v>
      </c>
      <c r="X2425">
        <v>0.112</v>
      </c>
      <c r="Y2425" t="s">
        <v>236</v>
      </c>
      <c r="Z2425" t="s">
        <v>408</v>
      </c>
      <c r="AA2425">
        <v>2</v>
      </c>
      <c r="AB2425" t="s">
        <v>9906</v>
      </c>
      <c r="AC2425" t="s">
        <v>9907</v>
      </c>
      <c r="AD2425" t="s">
        <v>9908</v>
      </c>
      <c r="AE2425" t="s">
        <v>9909</v>
      </c>
      <c r="AF2425" t="s">
        <v>9910</v>
      </c>
      <c r="AG2425" t="s">
        <v>1857</v>
      </c>
      <c r="AH2425" t="s">
        <v>1963</v>
      </c>
      <c r="AI2425" t="s">
        <v>66</v>
      </c>
      <c r="AJ2425" t="s">
        <v>66</v>
      </c>
      <c r="AK2425">
        <v>1</v>
      </c>
      <c r="AL2425" t="s">
        <v>10069</v>
      </c>
      <c r="AM2425" t="s">
        <v>10070</v>
      </c>
      <c r="AN2425" t="s">
        <v>9988</v>
      </c>
      <c r="AO2425" t="s">
        <v>10071</v>
      </c>
      <c r="AP2425">
        <v>1</v>
      </c>
      <c r="AQ2425" t="s">
        <v>10072</v>
      </c>
      <c r="AR2425" t="s">
        <v>10073</v>
      </c>
      <c r="AS2425" t="s">
        <v>66</v>
      </c>
      <c r="AT2425" t="s">
        <v>66</v>
      </c>
    </row>
    <row r="2426" spans="1:46" x14ac:dyDescent="0.15">
      <c r="A2426" t="s">
        <v>10126</v>
      </c>
      <c r="B2426" t="s">
        <v>9902</v>
      </c>
      <c r="C2426" t="s">
        <v>9903</v>
      </c>
      <c r="D2426">
        <v>54</v>
      </c>
      <c r="E2426" t="s">
        <v>9904</v>
      </c>
      <c r="F2426" t="s">
        <v>3592</v>
      </c>
      <c r="G2426" t="s">
        <v>51</v>
      </c>
      <c r="H2426" t="s">
        <v>9905</v>
      </c>
      <c r="I2426" t="s">
        <v>53</v>
      </c>
      <c r="J2426" t="s">
        <v>1554</v>
      </c>
      <c r="K2426" t="s">
        <v>5939</v>
      </c>
      <c r="L2426" t="s">
        <v>18</v>
      </c>
      <c r="M2426" t="s">
        <v>19</v>
      </c>
      <c r="N2426">
        <v>3474</v>
      </c>
      <c r="O2426">
        <v>205</v>
      </c>
      <c r="P2426">
        <v>0</v>
      </c>
      <c r="Q2426" t="s">
        <v>10127</v>
      </c>
      <c r="R2426" t="s">
        <v>1825</v>
      </c>
      <c r="S2426" t="s">
        <v>10128</v>
      </c>
      <c r="T2426" t="s">
        <v>10129</v>
      </c>
      <c r="U2426" t="s">
        <v>60</v>
      </c>
      <c r="V2426" t="s">
        <v>61</v>
      </c>
      <c r="W2426">
        <v>10</v>
      </c>
      <c r="X2426">
        <v>0.112</v>
      </c>
      <c r="Y2426" t="s">
        <v>414</v>
      </c>
      <c r="Z2426" t="s">
        <v>415</v>
      </c>
      <c r="AA2426">
        <v>2</v>
      </c>
      <c r="AB2426" t="s">
        <v>9906</v>
      </c>
      <c r="AC2426" t="s">
        <v>9907</v>
      </c>
      <c r="AD2426" t="s">
        <v>9908</v>
      </c>
      <c r="AE2426" t="s">
        <v>9909</v>
      </c>
      <c r="AF2426" t="s">
        <v>9910</v>
      </c>
      <c r="AG2426" t="s">
        <v>1857</v>
      </c>
      <c r="AH2426" t="s">
        <v>1963</v>
      </c>
      <c r="AI2426" t="s">
        <v>66</v>
      </c>
      <c r="AJ2426" t="s">
        <v>66</v>
      </c>
      <c r="AK2426">
        <v>1</v>
      </c>
      <c r="AL2426" t="s">
        <v>10069</v>
      </c>
      <c r="AM2426" t="s">
        <v>10070</v>
      </c>
      <c r="AN2426" t="s">
        <v>9988</v>
      </c>
      <c r="AO2426" t="s">
        <v>10071</v>
      </c>
      <c r="AP2426">
        <v>1</v>
      </c>
      <c r="AQ2426" t="s">
        <v>10072</v>
      </c>
      <c r="AR2426" t="s">
        <v>10073</v>
      </c>
      <c r="AS2426" t="s">
        <v>66</v>
      </c>
      <c r="AT2426" t="s">
        <v>66</v>
      </c>
    </row>
    <row r="2427" spans="1:46" x14ac:dyDescent="0.15">
      <c r="A2427" t="s">
        <v>10130</v>
      </c>
      <c r="B2427" t="s">
        <v>9902</v>
      </c>
      <c r="C2427" t="s">
        <v>9903</v>
      </c>
      <c r="D2427">
        <v>55</v>
      </c>
      <c r="E2427" t="s">
        <v>9904</v>
      </c>
      <c r="F2427" t="s">
        <v>3592</v>
      </c>
      <c r="G2427" t="s">
        <v>51</v>
      </c>
      <c r="H2427" t="s">
        <v>9905</v>
      </c>
      <c r="I2427" t="s">
        <v>53</v>
      </c>
      <c r="J2427" t="s">
        <v>1554</v>
      </c>
      <c r="K2427" t="s">
        <v>5939</v>
      </c>
      <c r="L2427" t="s">
        <v>18</v>
      </c>
      <c r="M2427" t="s">
        <v>19</v>
      </c>
      <c r="N2427">
        <v>3531</v>
      </c>
      <c r="O2427">
        <v>208</v>
      </c>
      <c r="P2427">
        <v>0</v>
      </c>
      <c r="Q2427" t="s">
        <v>10131</v>
      </c>
      <c r="R2427" t="s">
        <v>1830</v>
      </c>
      <c r="S2427" t="s">
        <v>10132</v>
      </c>
      <c r="T2427" t="s">
        <v>10133</v>
      </c>
      <c r="U2427" t="s">
        <v>60</v>
      </c>
      <c r="V2427" t="s">
        <v>61</v>
      </c>
      <c r="W2427">
        <v>10</v>
      </c>
      <c r="X2427">
        <v>0.112</v>
      </c>
      <c r="Y2427" t="s">
        <v>243</v>
      </c>
      <c r="Z2427" t="s">
        <v>421</v>
      </c>
      <c r="AA2427">
        <v>2</v>
      </c>
      <c r="AB2427" t="s">
        <v>9906</v>
      </c>
      <c r="AC2427" t="s">
        <v>9907</v>
      </c>
      <c r="AD2427" t="s">
        <v>9908</v>
      </c>
      <c r="AE2427" t="s">
        <v>9909</v>
      </c>
      <c r="AF2427" t="s">
        <v>9910</v>
      </c>
      <c r="AG2427" t="s">
        <v>1857</v>
      </c>
      <c r="AH2427" t="s">
        <v>1963</v>
      </c>
      <c r="AI2427" t="s">
        <v>66</v>
      </c>
      <c r="AJ2427" t="s">
        <v>66</v>
      </c>
      <c r="AK2427">
        <v>1</v>
      </c>
      <c r="AL2427" t="s">
        <v>10069</v>
      </c>
      <c r="AM2427" t="s">
        <v>10070</v>
      </c>
      <c r="AN2427" t="s">
        <v>9988</v>
      </c>
      <c r="AO2427" t="s">
        <v>10071</v>
      </c>
      <c r="AP2427">
        <v>1</v>
      </c>
      <c r="AQ2427" t="s">
        <v>10072</v>
      </c>
      <c r="AR2427" t="s">
        <v>10073</v>
      </c>
      <c r="AS2427" t="s">
        <v>66</v>
      </c>
      <c r="AT2427" t="s">
        <v>66</v>
      </c>
    </row>
    <row r="2428" spans="1:46" x14ac:dyDescent="0.15">
      <c r="A2428" t="s">
        <v>10134</v>
      </c>
      <c r="B2428" t="s">
        <v>9902</v>
      </c>
      <c r="C2428" t="s">
        <v>9903</v>
      </c>
      <c r="D2428">
        <v>56</v>
      </c>
      <c r="E2428" t="s">
        <v>9904</v>
      </c>
      <c r="F2428" t="s">
        <v>3592</v>
      </c>
      <c r="G2428" t="s">
        <v>51</v>
      </c>
      <c r="H2428" t="s">
        <v>9905</v>
      </c>
      <c r="I2428" t="s">
        <v>53</v>
      </c>
      <c r="J2428" t="s">
        <v>1554</v>
      </c>
      <c r="K2428" t="s">
        <v>5939</v>
      </c>
      <c r="L2428" t="s">
        <v>18</v>
      </c>
      <c r="M2428" t="s">
        <v>19</v>
      </c>
      <c r="N2428">
        <v>3587</v>
      </c>
      <c r="O2428">
        <v>211</v>
      </c>
      <c r="P2428">
        <v>0</v>
      </c>
      <c r="Q2428" t="s">
        <v>10135</v>
      </c>
      <c r="R2428" t="s">
        <v>1835</v>
      </c>
      <c r="S2428" t="s">
        <v>10136</v>
      </c>
      <c r="T2428" t="s">
        <v>10137</v>
      </c>
      <c r="U2428" t="s">
        <v>60</v>
      </c>
      <c r="V2428" t="s">
        <v>61</v>
      </c>
      <c r="W2428">
        <v>10</v>
      </c>
      <c r="X2428">
        <v>0.112</v>
      </c>
      <c r="Y2428" t="s">
        <v>427</v>
      </c>
      <c r="Z2428" t="s">
        <v>428</v>
      </c>
      <c r="AA2428">
        <v>2</v>
      </c>
      <c r="AB2428" t="s">
        <v>9906</v>
      </c>
      <c r="AC2428" t="s">
        <v>9907</v>
      </c>
      <c r="AD2428" t="s">
        <v>9908</v>
      </c>
      <c r="AE2428" t="s">
        <v>9909</v>
      </c>
      <c r="AF2428" t="s">
        <v>9910</v>
      </c>
      <c r="AG2428" t="s">
        <v>1857</v>
      </c>
      <c r="AH2428" t="s">
        <v>1963</v>
      </c>
      <c r="AI2428" t="s">
        <v>66</v>
      </c>
      <c r="AJ2428" t="s">
        <v>66</v>
      </c>
      <c r="AK2428">
        <v>1</v>
      </c>
      <c r="AL2428" t="s">
        <v>10069</v>
      </c>
      <c r="AM2428" t="s">
        <v>10070</v>
      </c>
      <c r="AN2428" t="s">
        <v>9988</v>
      </c>
      <c r="AO2428" t="s">
        <v>10071</v>
      </c>
      <c r="AP2428">
        <v>1</v>
      </c>
      <c r="AQ2428" t="s">
        <v>10072</v>
      </c>
      <c r="AR2428" t="s">
        <v>10073</v>
      </c>
      <c r="AS2428" t="s">
        <v>66</v>
      </c>
      <c r="AT2428" t="s">
        <v>66</v>
      </c>
    </row>
    <row r="2429" spans="1:46" x14ac:dyDescent="0.15">
      <c r="A2429" t="s">
        <v>10138</v>
      </c>
      <c r="B2429" t="s">
        <v>9902</v>
      </c>
      <c r="C2429" t="s">
        <v>9903</v>
      </c>
      <c r="D2429">
        <v>57</v>
      </c>
      <c r="E2429" t="s">
        <v>9904</v>
      </c>
      <c r="F2429" t="s">
        <v>3592</v>
      </c>
      <c r="G2429" t="s">
        <v>51</v>
      </c>
      <c r="H2429" t="s">
        <v>9905</v>
      </c>
      <c r="I2429" t="s">
        <v>53</v>
      </c>
      <c r="J2429" t="s">
        <v>1554</v>
      </c>
      <c r="K2429" t="s">
        <v>5939</v>
      </c>
      <c r="L2429" t="s">
        <v>18</v>
      </c>
      <c r="M2429" t="s">
        <v>19</v>
      </c>
      <c r="N2429">
        <v>3643</v>
      </c>
      <c r="O2429">
        <v>215</v>
      </c>
      <c r="P2429">
        <v>0</v>
      </c>
      <c r="Q2429" t="s">
        <v>10139</v>
      </c>
      <c r="R2429" t="s">
        <v>1840</v>
      </c>
      <c r="S2429" t="s">
        <v>10140</v>
      </c>
      <c r="T2429" t="s">
        <v>10141</v>
      </c>
      <c r="U2429" t="s">
        <v>60</v>
      </c>
      <c r="V2429" t="s">
        <v>61</v>
      </c>
      <c r="W2429">
        <v>10</v>
      </c>
      <c r="X2429">
        <v>0.112</v>
      </c>
      <c r="Y2429" t="s">
        <v>249</v>
      </c>
      <c r="Z2429" t="s">
        <v>434</v>
      </c>
      <c r="AA2429">
        <v>2</v>
      </c>
      <c r="AB2429" t="s">
        <v>9906</v>
      </c>
      <c r="AC2429" t="s">
        <v>9907</v>
      </c>
      <c r="AD2429" t="s">
        <v>9908</v>
      </c>
      <c r="AE2429" t="s">
        <v>9909</v>
      </c>
      <c r="AF2429" t="s">
        <v>9910</v>
      </c>
      <c r="AG2429" t="s">
        <v>1857</v>
      </c>
      <c r="AH2429" t="s">
        <v>1963</v>
      </c>
      <c r="AI2429" t="s">
        <v>66</v>
      </c>
      <c r="AJ2429" t="s">
        <v>66</v>
      </c>
      <c r="AK2429">
        <v>1</v>
      </c>
      <c r="AL2429" t="s">
        <v>10069</v>
      </c>
      <c r="AM2429" t="s">
        <v>10070</v>
      </c>
      <c r="AN2429" t="s">
        <v>9988</v>
      </c>
      <c r="AO2429" t="s">
        <v>10071</v>
      </c>
      <c r="AP2429">
        <v>1</v>
      </c>
      <c r="AQ2429" t="s">
        <v>10072</v>
      </c>
      <c r="AR2429" t="s">
        <v>10073</v>
      </c>
      <c r="AS2429" t="s">
        <v>66</v>
      </c>
      <c r="AT2429" t="s">
        <v>66</v>
      </c>
    </row>
    <row r="2430" spans="1:46" x14ac:dyDescent="0.15">
      <c r="A2430" t="s">
        <v>10142</v>
      </c>
      <c r="B2430" t="s">
        <v>9902</v>
      </c>
      <c r="C2430" t="s">
        <v>9903</v>
      </c>
      <c r="D2430">
        <v>58</v>
      </c>
      <c r="E2430" t="s">
        <v>9904</v>
      </c>
      <c r="F2430" t="s">
        <v>3592</v>
      </c>
      <c r="G2430" t="s">
        <v>51</v>
      </c>
      <c r="H2430" t="s">
        <v>9905</v>
      </c>
      <c r="I2430" t="s">
        <v>53</v>
      </c>
      <c r="J2430" t="s">
        <v>1554</v>
      </c>
      <c r="K2430" t="s">
        <v>5939</v>
      </c>
      <c r="L2430" t="s">
        <v>18</v>
      </c>
      <c r="M2430" t="s">
        <v>19</v>
      </c>
      <c r="N2430">
        <v>3699</v>
      </c>
      <c r="O2430">
        <v>218</v>
      </c>
      <c r="P2430">
        <v>0</v>
      </c>
      <c r="Q2430" t="s">
        <v>10143</v>
      </c>
      <c r="R2430" t="s">
        <v>1845</v>
      </c>
      <c r="S2430" t="s">
        <v>10144</v>
      </c>
      <c r="T2430" t="s">
        <v>10145</v>
      </c>
      <c r="U2430" t="s">
        <v>60</v>
      </c>
      <c r="V2430" t="s">
        <v>61</v>
      </c>
      <c r="W2430">
        <v>10</v>
      </c>
      <c r="X2430">
        <v>0.112</v>
      </c>
      <c r="Y2430" t="s">
        <v>440</v>
      </c>
      <c r="Z2430" t="s">
        <v>441</v>
      </c>
      <c r="AA2430">
        <v>2</v>
      </c>
      <c r="AB2430" t="s">
        <v>9906</v>
      </c>
      <c r="AC2430" t="s">
        <v>9907</v>
      </c>
      <c r="AD2430" t="s">
        <v>9908</v>
      </c>
      <c r="AE2430" t="s">
        <v>9909</v>
      </c>
      <c r="AF2430" t="s">
        <v>9910</v>
      </c>
      <c r="AG2430" t="s">
        <v>1857</v>
      </c>
      <c r="AH2430" t="s">
        <v>1963</v>
      </c>
      <c r="AI2430" t="s">
        <v>66</v>
      </c>
      <c r="AJ2430" t="s">
        <v>66</v>
      </c>
      <c r="AK2430">
        <v>1</v>
      </c>
      <c r="AL2430" t="s">
        <v>10069</v>
      </c>
      <c r="AM2430" t="s">
        <v>10070</v>
      </c>
      <c r="AN2430" t="s">
        <v>9988</v>
      </c>
      <c r="AO2430" t="s">
        <v>10071</v>
      </c>
      <c r="AP2430">
        <v>1</v>
      </c>
      <c r="AQ2430" t="s">
        <v>10072</v>
      </c>
      <c r="AR2430" t="s">
        <v>10073</v>
      </c>
      <c r="AS2430" t="s">
        <v>66</v>
      </c>
      <c r="AT2430" t="s">
        <v>66</v>
      </c>
    </row>
    <row r="2431" spans="1:46" x14ac:dyDescent="0.15">
      <c r="A2431" t="s">
        <v>10146</v>
      </c>
      <c r="B2431" t="s">
        <v>9902</v>
      </c>
      <c r="C2431" t="s">
        <v>9903</v>
      </c>
      <c r="D2431">
        <v>59</v>
      </c>
      <c r="E2431" t="s">
        <v>9904</v>
      </c>
      <c r="F2431" t="s">
        <v>3592</v>
      </c>
      <c r="G2431" t="s">
        <v>51</v>
      </c>
      <c r="H2431" t="s">
        <v>9905</v>
      </c>
      <c r="I2431" t="s">
        <v>53</v>
      </c>
      <c r="J2431" t="s">
        <v>1554</v>
      </c>
      <c r="K2431" t="s">
        <v>5939</v>
      </c>
      <c r="L2431" t="s">
        <v>18</v>
      </c>
      <c r="M2431" t="s">
        <v>19</v>
      </c>
      <c r="N2431">
        <v>3755</v>
      </c>
      <c r="O2431">
        <v>221</v>
      </c>
      <c r="P2431">
        <v>0</v>
      </c>
      <c r="Q2431" t="s">
        <v>10147</v>
      </c>
      <c r="R2431" t="s">
        <v>1850</v>
      </c>
      <c r="S2431" t="s">
        <v>10148</v>
      </c>
      <c r="T2431" t="s">
        <v>10149</v>
      </c>
      <c r="U2431" t="s">
        <v>60</v>
      </c>
      <c r="V2431" t="s">
        <v>61</v>
      </c>
      <c r="W2431">
        <v>10</v>
      </c>
      <c r="X2431">
        <v>0.112</v>
      </c>
      <c r="Y2431" t="s">
        <v>256</v>
      </c>
      <c r="Z2431" t="s">
        <v>447</v>
      </c>
      <c r="AA2431">
        <v>2</v>
      </c>
      <c r="AB2431" t="s">
        <v>9906</v>
      </c>
      <c r="AC2431" t="s">
        <v>9907</v>
      </c>
      <c r="AD2431" t="s">
        <v>9908</v>
      </c>
      <c r="AE2431" t="s">
        <v>9909</v>
      </c>
      <c r="AF2431" t="s">
        <v>9910</v>
      </c>
      <c r="AG2431" t="s">
        <v>1857</v>
      </c>
      <c r="AH2431" t="s">
        <v>1963</v>
      </c>
      <c r="AI2431" t="s">
        <v>66</v>
      </c>
      <c r="AJ2431" t="s">
        <v>66</v>
      </c>
      <c r="AK2431">
        <v>1</v>
      </c>
      <c r="AL2431" t="s">
        <v>10069</v>
      </c>
      <c r="AM2431" t="s">
        <v>10070</v>
      </c>
      <c r="AN2431" t="s">
        <v>9988</v>
      </c>
      <c r="AO2431" t="s">
        <v>10071</v>
      </c>
      <c r="AP2431">
        <v>1</v>
      </c>
      <c r="AQ2431" t="s">
        <v>10072</v>
      </c>
      <c r="AR2431" t="s">
        <v>10073</v>
      </c>
      <c r="AS2431" t="s">
        <v>66</v>
      </c>
      <c r="AT2431" t="s">
        <v>66</v>
      </c>
    </row>
    <row r="2432" spans="1:46" x14ac:dyDescent="0.15">
      <c r="A2432" t="s">
        <v>10150</v>
      </c>
      <c r="B2432" t="s">
        <v>9902</v>
      </c>
      <c r="C2432" t="s">
        <v>9903</v>
      </c>
      <c r="D2432">
        <v>60</v>
      </c>
      <c r="E2432" t="s">
        <v>9904</v>
      </c>
      <c r="F2432" t="s">
        <v>3592</v>
      </c>
      <c r="G2432" t="s">
        <v>51</v>
      </c>
      <c r="H2432" t="s">
        <v>9905</v>
      </c>
      <c r="I2432" t="s">
        <v>53</v>
      </c>
      <c r="J2432" t="s">
        <v>1554</v>
      </c>
      <c r="K2432" t="s">
        <v>5939</v>
      </c>
      <c r="L2432" t="s">
        <v>18</v>
      </c>
      <c r="M2432" t="s">
        <v>19</v>
      </c>
      <c r="N2432">
        <v>3811</v>
      </c>
      <c r="O2432">
        <v>225</v>
      </c>
      <c r="P2432">
        <v>0</v>
      </c>
      <c r="Q2432" t="s">
        <v>10151</v>
      </c>
      <c r="R2432" t="s">
        <v>1854</v>
      </c>
      <c r="S2432" t="s">
        <v>10152</v>
      </c>
      <c r="T2432" t="s">
        <v>10153</v>
      </c>
      <c r="U2432" t="s">
        <v>60</v>
      </c>
      <c r="V2432" t="s">
        <v>61</v>
      </c>
      <c r="W2432">
        <v>10</v>
      </c>
      <c r="X2432">
        <v>0.112</v>
      </c>
      <c r="Y2432" t="s">
        <v>453</v>
      </c>
      <c r="Z2432" t="s">
        <v>454</v>
      </c>
      <c r="AA2432">
        <v>2</v>
      </c>
      <c r="AB2432" t="s">
        <v>9906</v>
      </c>
      <c r="AC2432" t="s">
        <v>9907</v>
      </c>
      <c r="AD2432" t="s">
        <v>9908</v>
      </c>
      <c r="AE2432" t="s">
        <v>9909</v>
      </c>
      <c r="AF2432" t="s">
        <v>9910</v>
      </c>
      <c r="AG2432" t="s">
        <v>1857</v>
      </c>
      <c r="AH2432" t="s">
        <v>1963</v>
      </c>
      <c r="AI2432" t="s">
        <v>66</v>
      </c>
      <c r="AJ2432" t="s">
        <v>66</v>
      </c>
      <c r="AK2432">
        <v>1</v>
      </c>
      <c r="AL2432" t="s">
        <v>10069</v>
      </c>
      <c r="AM2432" t="s">
        <v>10070</v>
      </c>
      <c r="AN2432" t="s">
        <v>9988</v>
      </c>
      <c r="AO2432" t="s">
        <v>10071</v>
      </c>
      <c r="AP2432">
        <v>1</v>
      </c>
      <c r="AQ2432" t="s">
        <v>10072</v>
      </c>
      <c r="AR2432" t="s">
        <v>10073</v>
      </c>
      <c r="AS2432" t="s">
        <v>66</v>
      </c>
      <c r="AT2432" t="s">
        <v>66</v>
      </c>
    </row>
    <row r="2433" spans="1:46" x14ac:dyDescent="0.15">
      <c r="A2433" t="s">
        <v>10150</v>
      </c>
      <c r="B2433" t="s">
        <v>9902</v>
      </c>
      <c r="C2433" t="s">
        <v>9903</v>
      </c>
      <c r="D2433">
        <v>60</v>
      </c>
      <c r="E2433" t="s">
        <v>9904</v>
      </c>
      <c r="F2433" t="s">
        <v>3592</v>
      </c>
      <c r="G2433" t="s">
        <v>51</v>
      </c>
      <c r="H2433" t="s">
        <v>9905</v>
      </c>
      <c r="I2433" t="s">
        <v>53</v>
      </c>
      <c r="J2433" t="s">
        <v>1554</v>
      </c>
      <c r="K2433" t="s">
        <v>5939</v>
      </c>
      <c r="L2433" t="s">
        <v>18</v>
      </c>
      <c r="M2433" t="s">
        <v>19</v>
      </c>
      <c r="N2433">
        <v>3811</v>
      </c>
      <c r="O2433">
        <v>225</v>
      </c>
      <c r="P2433">
        <v>0</v>
      </c>
      <c r="Q2433" t="s">
        <v>10151</v>
      </c>
      <c r="R2433" t="s">
        <v>1854</v>
      </c>
      <c r="S2433" t="s">
        <v>10152</v>
      </c>
      <c r="T2433" t="s">
        <v>10153</v>
      </c>
      <c r="U2433" t="s">
        <v>60</v>
      </c>
      <c r="V2433" t="s">
        <v>61</v>
      </c>
      <c r="W2433">
        <v>10</v>
      </c>
      <c r="X2433">
        <v>0.112</v>
      </c>
      <c r="Y2433" t="s">
        <v>453</v>
      </c>
      <c r="Z2433" t="s">
        <v>454</v>
      </c>
      <c r="AA2433">
        <v>3</v>
      </c>
      <c r="AB2433" t="s">
        <v>9906</v>
      </c>
      <c r="AC2433" t="s">
        <v>9907</v>
      </c>
      <c r="AD2433" t="s">
        <v>9908</v>
      </c>
      <c r="AE2433" t="s">
        <v>9909</v>
      </c>
      <c r="AF2433" t="s">
        <v>9910</v>
      </c>
      <c r="AG2433" t="s">
        <v>1857</v>
      </c>
      <c r="AH2433" t="s">
        <v>1963</v>
      </c>
      <c r="AI2433" t="s">
        <v>1857</v>
      </c>
      <c r="AJ2433" t="s">
        <v>66</v>
      </c>
      <c r="AK2433">
        <v>1</v>
      </c>
      <c r="AL2433" t="s">
        <v>10069</v>
      </c>
      <c r="AM2433" t="s">
        <v>10070</v>
      </c>
      <c r="AN2433" t="s">
        <v>9988</v>
      </c>
      <c r="AO2433" t="s">
        <v>10071</v>
      </c>
      <c r="AP2433">
        <v>1</v>
      </c>
      <c r="AQ2433" t="s">
        <v>10072</v>
      </c>
      <c r="AR2433" t="s">
        <v>10073</v>
      </c>
      <c r="AS2433" t="s">
        <v>66</v>
      </c>
      <c r="AT2433" t="s">
        <v>66</v>
      </c>
    </row>
    <row r="2434" spans="1:46" x14ac:dyDescent="0.15">
      <c r="A2434" t="s">
        <v>10154</v>
      </c>
      <c r="B2434" t="s">
        <v>9902</v>
      </c>
      <c r="C2434" t="s">
        <v>9903</v>
      </c>
      <c r="D2434">
        <v>61</v>
      </c>
      <c r="E2434" t="s">
        <v>9904</v>
      </c>
      <c r="F2434" t="s">
        <v>3592</v>
      </c>
      <c r="G2434" t="s">
        <v>51</v>
      </c>
      <c r="H2434" t="s">
        <v>9905</v>
      </c>
      <c r="I2434" t="s">
        <v>53</v>
      </c>
      <c r="J2434" t="s">
        <v>1554</v>
      </c>
      <c r="K2434" t="s">
        <v>5939</v>
      </c>
      <c r="L2434" t="s">
        <v>18</v>
      </c>
      <c r="M2434" t="s">
        <v>19</v>
      </c>
      <c r="N2434">
        <v>3867</v>
      </c>
      <c r="O2434">
        <v>228</v>
      </c>
      <c r="P2434">
        <v>0</v>
      </c>
      <c r="Q2434" t="s">
        <v>10155</v>
      </c>
      <c r="R2434" t="s">
        <v>1865</v>
      </c>
      <c r="S2434" t="s">
        <v>10156</v>
      </c>
      <c r="T2434" t="s">
        <v>10157</v>
      </c>
      <c r="U2434" t="s">
        <v>60</v>
      </c>
      <c r="V2434" t="s">
        <v>61</v>
      </c>
      <c r="W2434">
        <v>10</v>
      </c>
      <c r="X2434">
        <v>0.112</v>
      </c>
      <c r="Y2434" t="s">
        <v>262</v>
      </c>
      <c r="Z2434" t="s">
        <v>465</v>
      </c>
      <c r="AA2434">
        <v>3</v>
      </c>
      <c r="AB2434" t="s">
        <v>9906</v>
      </c>
      <c r="AC2434" t="s">
        <v>9907</v>
      </c>
      <c r="AD2434" t="s">
        <v>9908</v>
      </c>
      <c r="AE2434" t="s">
        <v>9909</v>
      </c>
      <c r="AF2434" t="s">
        <v>9910</v>
      </c>
      <c r="AG2434" t="s">
        <v>1857</v>
      </c>
      <c r="AH2434" t="s">
        <v>1963</v>
      </c>
      <c r="AI2434" t="s">
        <v>1857</v>
      </c>
      <c r="AJ2434" t="s">
        <v>66</v>
      </c>
      <c r="AK2434">
        <v>1</v>
      </c>
      <c r="AL2434" t="s">
        <v>10069</v>
      </c>
      <c r="AM2434" t="s">
        <v>10070</v>
      </c>
      <c r="AN2434" t="s">
        <v>9988</v>
      </c>
      <c r="AO2434" t="s">
        <v>10071</v>
      </c>
      <c r="AP2434">
        <v>1</v>
      </c>
      <c r="AQ2434" t="s">
        <v>10072</v>
      </c>
      <c r="AR2434" t="s">
        <v>10073</v>
      </c>
      <c r="AS2434" t="s">
        <v>66</v>
      </c>
      <c r="AT2434" t="s">
        <v>66</v>
      </c>
    </row>
    <row r="2435" spans="1:46" x14ac:dyDescent="0.15">
      <c r="A2435" t="s">
        <v>10158</v>
      </c>
      <c r="B2435" t="s">
        <v>9902</v>
      </c>
      <c r="C2435" t="s">
        <v>9903</v>
      </c>
      <c r="D2435">
        <v>62</v>
      </c>
      <c r="E2435" t="s">
        <v>9904</v>
      </c>
      <c r="F2435" t="s">
        <v>3592</v>
      </c>
      <c r="G2435" t="s">
        <v>51</v>
      </c>
      <c r="H2435" t="s">
        <v>9905</v>
      </c>
      <c r="I2435" t="s">
        <v>53</v>
      </c>
      <c r="J2435" t="s">
        <v>1554</v>
      </c>
      <c r="K2435" t="s">
        <v>5939</v>
      </c>
      <c r="L2435" t="s">
        <v>18</v>
      </c>
      <c r="M2435" t="s">
        <v>19</v>
      </c>
      <c r="N2435">
        <v>3923</v>
      </c>
      <c r="O2435">
        <v>231</v>
      </c>
      <c r="P2435">
        <v>0</v>
      </c>
      <c r="Q2435" t="s">
        <v>10159</v>
      </c>
      <c r="R2435" t="s">
        <v>1870</v>
      </c>
      <c r="S2435" t="s">
        <v>10160</v>
      </c>
      <c r="T2435" t="s">
        <v>10161</v>
      </c>
      <c r="U2435" t="s">
        <v>60</v>
      </c>
      <c r="V2435" t="s">
        <v>61</v>
      </c>
      <c r="W2435">
        <v>10</v>
      </c>
      <c r="X2435">
        <v>0.112</v>
      </c>
      <c r="Y2435" t="s">
        <v>471</v>
      </c>
      <c r="Z2435" t="s">
        <v>472</v>
      </c>
      <c r="AA2435">
        <v>3</v>
      </c>
      <c r="AB2435" t="s">
        <v>9906</v>
      </c>
      <c r="AC2435" t="s">
        <v>9907</v>
      </c>
      <c r="AD2435" t="s">
        <v>9908</v>
      </c>
      <c r="AE2435" t="s">
        <v>9909</v>
      </c>
      <c r="AF2435" t="s">
        <v>9910</v>
      </c>
      <c r="AG2435" t="s">
        <v>1857</v>
      </c>
      <c r="AH2435" t="s">
        <v>1963</v>
      </c>
      <c r="AI2435" t="s">
        <v>1857</v>
      </c>
      <c r="AJ2435" t="s">
        <v>66</v>
      </c>
      <c r="AK2435">
        <v>1</v>
      </c>
      <c r="AL2435" t="s">
        <v>10069</v>
      </c>
      <c r="AM2435" t="s">
        <v>10070</v>
      </c>
      <c r="AN2435" t="s">
        <v>9988</v>
      </c>
      <c r="AO2435" t="s">
        <v>10071</v>
      </c>
      <c r="AP2435">
        <v>1</v>
      </c>
      <c r="AQ2435" t="s">
        <v>10072</v>
      </c>
      <c r="AR2435" t="s">
        <v>10073</v>
      </c>
      <c r="AS2435" t="s">
        <v>66</v>
      </c>
      <c r="AT2435" t="s">
        <v>66</v>
      </c>
    </row>
    <row r="2436" spans="1:46" x14ac:dyDescent="0.15">
      <c r="A2436" t="s">
        <v>10162</v>
      </c>
      <c r="B2436" t="s">
        <v>9902</v>
      </c>
      <c r="C2436" t="s">
        <v>9903</v>
      </c>
      <c r="D2436">
        <v>63</v>
      </c>
      <c r="E2436" t="s">
        <v>9904</v>
      </c>
      <c r="F2436" t="s">
        <v>3592</v>
      </c>
      <c r="G2436" t="s">
        <v>51</v>
      </c>
      <c r="H2436" t="s">
        <v>9905</v>
      </c>
      <c r="I2436" t="s">
        <v>53</v>
      </c>
      <c r="J2436" t="s">
        <v>1554</v>
      </c>
      <c r="K2436" t="s">
        <v>5939</v>
      </c>
      <c r="L2436" t="s">
        <v>18</v>
      </c>
      <c r="M2436" t="s">
        <v>19</v>
      </c>
      <c r="N2436">
        <v>3980</v>
      </c>
      <c r="O2436">
        <v>234</v>
      </c>
      <c r="P2436">
        <v>0</v>
      </c>
      <c r="Q2436" t="s">
        <v>10163</v>
      </c>
      <c r="R2436" t="s">
        <v>1875</v>
      </c>
      <c r="S2436" t="s">
        <v>10164</v>
      </c>
      <c r="T2436" t="s">
        <v>10165</v>
      </c>
      <c r="U2436" t="s">
        <v>60</v>
      </c>
      <c r="V2436" t="s">
        <v>61</v>
      </c>
      <c r="W2436">
        <v>10</v>
      </c>
      <c r="X2436">
        <v>0.112</v>
      </c>
      <c r="Y2436" t="s">
        <v>269</v>
      </c>
      <c r="Z2436" t="s">
        <v>478</v>
      </c>
      <c r="AA2436">
        <v>3</v>
      </c>
      <c r="AB2436" t="s">
        <v>9906</v>
      </c>
      <c r="AC2436" t="s">
        <v>9907</v>
      </c>
      <c r="AD2436" t="s">
        <v>9908</v>
      </c>
      <c r="AE2436" t="s">
        <v>9909</v>
      </c>
      <c r="AF2436" t="s">
        <v>9910</v>
      </c>
      <c r="AG2436" t="s">
        <v>1857</v>
      </c>
      <c r="AH2436" t="s">
        <v>1963</v>
      </c>
      <c r="AI2436" t="s">
        <v>1857</v>
      </c>
      <c r="AJ2436" t="s">
        <v>66</v>
      </c>
      <c r="AK2436">
        <v>1</v>
      </c>
      <c r="AL2436" t="s">
        <v>10069</v>
      </c>
      <c r="AM2436" t="s">
        <v>10070</v>
      </c>
      <c r="AN2436" t="s">
        <v>9988</v>
      </c>
      <c r="AO2436" t="s">
        <v>10071</v>
      </c>
      <c r="AP2436">
        <v>1</v>
      </c>
      <c r="AQ2436" t="s">
        <v>10072</v>
      </c>
      <c r="AR2436" t="s">
        <v>10073</v>
      </c>
      <c r="AS2436" t="s">
        <v>66</v>
      </c>
      <c r="AT2436" t="s">
        <v>66</v>
      </c>
    </row>
    <row r="2437" spans="1:46" x14ac:dyDescent="0.15">
      <c r="A2437" t="s">
        <v>10166</v>
      </c>
      <c r="B2437" t="s">
        <v>9902</v>
      </c>
      <c r="C2437" t="s">
        <v>9903</v>
      </c>
      <c r="D2437">
        <v>64</v>
      </c>
      <c r="E2437" t="s">
        <v>9904</v>
      </c>
      <c r="F2437" t="s">
        <v>3592</v>
      </c>
      <c r="G2437" t="s">
        <v>51</v>
      </c>
      <c r="H2437" t="s">
        <v>9905</v>
      </c>
      <c r="I2437" t="s">
        <v>53</v>
      </c>
      <c r="J2437" t="s">
        <v>1554</v>
      </c>
      <c r="K2437" t="s">
        <v>5939</v>
      </c>
      <c r="L2437" t="s">
        <v>18</v>
      </c>
      <c r="M2437" t="s">
        <v>19</v>
      </c>
      <c r="N2437">
        <v>4036</v>
      </c>
      <c r="O2437">
        <v>238</v>
      </c>
      <c r="P2437">
        <v>0</v>
      </c>
      <c r="Q2437" t="s">
        <v>10167</v>
      </c>
      <c r="R2437" t="s">
        <v>1880</v>
      </c>
      <c r="S2437" t="s">
        <v>10168</v>
      </c>
      <c r="T2437" t="s">
        <v>10169</v>
      </c>
      <c r="U2437" t="s">
        <v>60</v>
      </c>
      <c r="V2437" t="s">
        <v>61</v>
      </c>
      <c r="W2437">
        <v>10</v>
      </c>
      <c r="X2437">
        <v>0.112</v>
      </c>
      <c r="Y2437" t="s">
        <v>484</v>
      </c>
      <c r="Z2437" t="s">
        <v>485</v>
      </c>
      <c r="AA2437">
        <v>3</v>
      </c>
      <c r="AB2437" t="s">
        <v>9906</v>
      </c>
      <c r="AC2437" t="s">
        <v>9907</v>
      </c>
      <c r="AD2437" t="s">
        <v>9908</v>
      </c>
      <c r="AE2437" t="s">
        <v>9909</v>
      </c>
      <c r="AF2437" t="s">
        <v>9910</v>
      </c>
      <c r="AG2437" t="s">
        <v>1857</v>
      </c>
      <c r="AH2437" t="s">
        <v>1963</v>
      </c>
      <c r="AI2437" t="s">
        <v>1857</v>
      </c>
      <c r="AJ2437" t="s">
        <v>66</v>
      </c>
      <c r="AK2437">
        <v>1</v>
      </c>
      <c r="AL2437" t="s">
        <v>10069</v>
      </c>
      <c r="AM2437" t="s">
        <v>10070</v>
      </c>
      <c r="AN2437" t="s">
        <v>9988</v>
      </c>
      <c r="AO2437" t="s">
        <v>10071</v>
      </c>
      <c r="AP2437">
        <v>1</v>
      </c>
      <c r="AQ2437" t="s">
        <v>10072</v>
      </c>
      <c r="AR2437" t="s">
        <v>10073</v>
      </c>
      <c r="AS2437" t="s">
        <v>66</v>
      </c>
      <c r="AT2437" t="s">
        <v>66</v>
      </c>
    </row>
    <row r="2438" spans="1:46" x14ac:dyDescent="0.15">
      <c r="A2438" t="s">
        <v>10170</v>
      </c>
      <c r="B2438" t="s">
        <v>9902</v>
      </c>
      <c r="C2438" t="s">
        <v>9903</v>
      </c>
      <c r="D2438">
        <v>65</v>
      </c>
      <c r="E2438" t="s">
        <v>9904</v>
      </c>
      <c r="F2438" t="s">
        <v>3592</v>
      </c>
      <c r="G2438" t="s">
        <v>51</v>
      </c>
      <c r="H2438" t="s">
        <v>9905</v>
      </c>
      <c r="I2438" t="s">
        <v>53</v>
      </c>
      <c r="J2438" t="s">
        <v>1554</v>
      </c>
      <c r="K2438" t="s">
        <v>5939</v>
      </c>
      <c r="L2438" t="s">
        <v>18</v>
      </c>
      <c r="M2438" t="s">
        <v>19</v>
      </c>
      <c r="N2438">
        <v>4092</v>
      </c>
      <c r="O2438">
        <v>241</v>
      </c>
      <c r="P2438">
        <v>0</v>
      </c>
      <c r="Q2438" t="s">
        <v>10171</v>
      </c>
      <c r="R2438" t="s">
        <v>1885</v>
      </c>
      <c r="S2438" t="s">
        <v>10172</v>
      </c>
      <c r="T2438" t="s">
        <v>10173</v>
      </c>
      <c r="U2438" t="s">
        <v>60</v>
      </c>
      <c r="V2438" t="s">
        <v>61</v>
      </c>
      <c r="W2438">
        <v>10</v>
      </c>
      <c r="X2438">
        <v>0.112</v>
      </c>
      <c r="Y2438" t="s">
        <v>275</v>
      </c>
      <c r="Z2438" t="s">
        <v>491</v>
      </c>
      <c r="AA2438">
        <v>3</v>
      </c>
      <c r="AB2438" t="s">
        <v>9906</v>
      </c>
      <c r="AC2438" t="s">
        <v>9907</v>
      </c>
      <c r="AD2438" t="s">
        <v>9908</v>
      </c>
      <c r="AE2438" t="s">
        <v>9909</v>
      </c>
      <c r="AF2438" t="s">
        <v>9910</v>
      </c>
      <c r="AG2438" t="s">
        <v>1857</v>
      </c>
      <c r="AH2438" t="s">
        <v>1963</v>
      </c>
      <c r="AI2438" t="s">
        <v>1857</v>
      </c>
      <c r="AJ2438" t="s">
        <v>66</v>
      </c>
      <c r="AK2438">
        <v>1</v>
      </c>
      <c r="AL2438" t="s">
        <v>10069</v>
      </c>
      <c r="AM2438" t="s">
        <v>10070</v>
      </c>
      <c r="AN2438" t="s">
        <v>9988</v>
      </c>
      <c r="AO2438" t="s">
        <v>10071</v>
      </c>
      <c r="AP2438">
        <v>1</v>
      </c>
      <c r="AQ2438" t="s">
        <v>10072</v>
      </c>
      <c r="AR2438" t="s">
        <v>10073</v>
      </c>
      <c r="AS2438" t="s">
        <v>66</v>
      </c>
      <c r="AT2438" t="s">
        <v>66</v>
      </c>
    </row>
    <row r="2439" spans="1:46" x14ac:dyDescent="0.15">
      <c r="A2439" t="s">
        <v>10174</v>
      </c>
      <c r="B2439" t="s">
        <v>9902</v>
      </c>
      <c r="C2439" t="s">
        <v>9903</v>
      </c>
      <c r="D2439">
        <v>66</v>
      </c>
      <c r="E2439" t="s">
        <v>9904</v>
      </c>
      <c r="F2439" t="s">
        <v>3592</v>
      </c>
      <c r="G2439" t="s">
        <v>51</v>
      </c>
      <c r="H2439" t="s">
        <v>9905</v>
      </c>
      <c r="I2439" t="s">
        <v>53</v>
      </c>
      <c r="J2439" t="s">
        <v>1554</v>
      </c>
      <c r="K2439" t="s">
        <v>5939</v>
      </c>
      <c r="L2439" t="s">
        <v>18</v>
      </c>
      <c r="M2439" t="s">
        <v>19</v>
      </c>
      <c r="N2439">
        <v>4148</v>
      </c>
      <c r="O2439">
        <v>244</v>
      </c>
      <c r="P2439">
        <v>0</v>
      </c>
      <c r="Q2439" t="s">
        <v>10175</v>
      </c>
      <c r="R2439" t="s">
        <v>1890</v>
      </c>
      <c r="S2439" t="s">
        <v>10176</v>
      </c>
      <c r="T2439" t="s">
        <v>10177</v>
      </c>
      <c r="U2439" t="s">
        <v>60</v>
      </c>
      <c r="V2439" t="s">
        <v>61</v>
      </c>
      <c r="W2439">
        <v>10</v>
      </c>
      <c r="X2439">
        <v>0.112</v>
      </c>
      <c r="Y2439" t="s">
        <v>497</v>
      </c>
      <c r="Z2439" t="s">
        <v>498</v>
      </c>
      <c r="AA2439">
        <v>3</v>
      </c>
      <c r="AB2439" t="s">
        <v>9906</v>
      </c>
      <c r="AC2439" t="s">
        <v>9907</v>
      </c>
      <c r="AD2439" t="s">
        <v>9908</v>
      </c>
      <c r="AE2439" t="s">
        <v>9909</v>
      </c>
      <c r="AF2439" t="s">
        <v>9910</v>
      </c>
      <c r="AG2439" t="s">
        <v>1857</v>
      </c>
      <c r="AH2439" t="s">
        <v>1963</v>
      </c>
      <c r="AI2439" t="s">
        <v>1857</v>
      </c>
      <c r="AJ2439" t="s">
        <v>66</v>
      </c>
      <c r="AK2439">
        <v>1</v>
      </c>
      <c r="AL2439" t="s">
        <v>10069</v>
      </c>
      <c r="AM2439" t="s">
        <v>10070</v>
      </c>
      <c r="AN2439" t="s">
        <v>9988</v>
      </c>
      <c r="AO2439" t="s">
        <v>10071</v>
      </c>
      <c r="AP2439">
        <v>1</v>
      </c>
      <c r="AQ2439" t="s">
        <v>10072</v>
      </c>
      <c r="AR2439" t="s">
        <v>10073</v>
      </c>
      <c r="AS2439" t="s">
        <v>66</v>
      </c>
      <c r="AT2439" t="s">
        <v>66</v>
      </c>
    </row>
    <row r="2440" spans="1:46" x14ac:dyDescent="0.15">
      <c r="A2440" t="s">
        <v>10178</v>
      </c>
      <c r="B2440" t="s">
        <v>9902</v>
      </c>
      <c r="C2440" t="s">
        <v>9903</v>
      </c>
      <c r="D2440">
        <v>67</v>
      </c>
      <c r="E2440" t="s">
        <v>9904</v>
      </c>
      <c r="F2440" t="s">
        <v>3592</v>
      </c>
      <c r="G2440" t="s">
        <v>51</v>
      </c>
      <c r="H2440" t="s">
        <v>9905</v>
      </c>
      <c r="I2440" t="s">
        <v>53</v>
      </c>
      <c r="J2440" t="s">
        <v>1554</v>
      </c>
      <c r="K2440" t="s">
        <v>5939</v>
      </c>
      <c r="L2440" t="s">
        <v>18</v>
      </c>
      <c r="M2440" t="s">
        <v>19</v>
      </c>
      <c r="N2440">
        <v>4204</v>
      </c>
      <c r="O2440">
        <v>248</v>
      </c>
      <c r="P2440">
        <v>0</v>
      </c>
      <c r="Q2440" t="s">
        <v>10179</v>
      </c>
      <c r="R2440" t="s">
        <v>1895</v>
      </c>
      <c r="S2440" t="s">
        <v>10180</v>
      </c>
      <c r="T2440" t="s">
        <v>10181</v>
      </c>
      <c r="U2440" t="s">
        <v>60</v>
      </c>
      <c r="V2440" t="s">
        <v>61</v>
      </c>
      <c r="W2440">
        <v>10</v>
      </c>
      <c r="X2440">
        <v>0.112</v>
      </c>
      <c r="Y2440" t="s">
        <v>282</v>
      </c>
      <c r="Z2440" t="s">
        <v>504</v>
      </c>
      <c r="AA2440">
        <v>3</v>
      </c>
      <c r="AB2440" t="s">
        <v>9906</v>
      </c>
      <c r="AC2440" t="s">
        <v>9907</v>
      </c>
      <c r="AD2440" t="s">
        <v>9908</v>
      </c>
      <c r="AE2440" t="s">
        <v>9909</v>
      </c>
      <c r="AF2440" t="s">
        <v>9910</v>
      </c>
      <c r="AG2440" t="s">
        <v>1857</v>
      </c>
      <c r="AH2440" t="s">
        <v>1963</v>
      </c>
      <c r="AI2440" t="s">
        <v>1857</v>
      </c>
      <c r="AJ2440" t="s">
        <v>66</v>
      </c>
      <c r="AK2440">
        <v>1</v>
      </c>
      <c r="AL2440" t="s">
        <v>10069</v>
      </c>
      <c r="AM2440" t="s">
        <v>10070</v>
      </c>
      <c r="AN2440" t="s">
        <v>9988</v>
      </c>
      <c r="AO2440" t="s">
        <v>10071</v>
      </c>
      <c r="AP2440">
        <v>1</v>
      </c>
      <c r="AQ2440" t="s">
        <v>10072</v>
      </c>
      <c r="AR2440" t="s">
        <v>10073</v>
      </c>
      <c r="AS2440" t="s">
        <v>66</v>
      </c>
      <c r="AT2440" t="s">
        <v>66</v>
      </c>
    </row>
    <row r="2441" spans="1:46" x14ac:dyDescent="0.15">
      <c r="A2441" t="s">
        <v>10182</v>
      </c>
      <c r="B2441" t="s">
        <v>9902</v>
      </c>
      <c r="C2441" t="s">
        <v>9903</v>
      </c>
      <c r="D2441">
        <v>68</v>
      </c>
      <c r="E2441" t="s">
        <v>9904</v>
      </c>
      <c r="F2441" t="s">
        <v>3592</v>
      </c>
      <c r="G2441" t="s">
        <v>51</v>
      </c>
      <c r="H2441" t="s">
        <v>9905</v>
      </c>
      <c r="I2441" t="s">
        <v>53</v>
      </c>
      <c r="J2441" t="s">
        <v>1554</v>
      </c>
      <c r="K2441" t="s">
        <v>5939</v>
      </c>
      <c r="L2441" t="s">
        <v>18</v>
      </c>
      <c r="M2441" t="s">
        <v>19</v>
      </c>
      <c r="N2441">
        <v>4260</v>
      </c>
      <c r="O2441">
        <v>251</v>
      </c>
      <c r="P2441">
        <v>0</v>
      </c>
      <c r="Q2441" t="s">
        <v>10183</v>
      </c>
      <c r="R2441" t="s">
        <v>1899</v>
      </c>
      <c r="S2441" t="s">
        <v>10184</v>
      </c>
      <c r="T2441" t="s">
        <v>10185</v>
      </c>
      <c r="U2441" t="s">
        <v>60</v>
      </c>
      <c r="V2441" t="s">
        <v>61</v>
      </c>
      <c r="W2441">
        <v>10</v>
      </c>
      <c r="X2441">
        <v>0.112</v>
      </c>
      <c r="Y2441" t="s">
        <v>510</v>
      </c>
      <c r="Z2441" t="s">
        <v>511</v>
      </c>
      <c r="AA2441">
        <v>3</v>
      </c>
      <c r="AB2441" t="s">
        <v>9906</v>
      </c>
      <c r="AC2441" t="s">
        <v>9907</v>
      </c>
      <c r="AD2441" t="s">
        <v>9908</v>
      </c>
      <c r="AE2441" t="s">
        <v>9909</v>
      </c>
      <c r="AF2441" t="s">
        <v>9910</v>
      </c>
      <c r="AG2441" t="s">
        <v>1857</v>
      </c>
      <c r="AH2441" t="s">
        <v>1963</v>
      </c>
      <c r="AI2441" t="s">
        <v>1857</v>
      </c>
      <c r="AJ2441" t="s">
        <v>66</v>
      </c>
      <c r="AK2441">
        <v>1</v>
      </c>
      <c r="AL2441" t="s">
        <v>10069</v>
      </c>
      <c r="AM2441" t="s">
        <v>10070</v>
      </c>
      <c r="AN2441" t="s">
        <v>9988</v>
      </c>
      <c r="AO2441" t="s">
        <v>10071</v>
      </c>
      <c r="AP2441">
        <v>1</v>
      </c>
      <c r="AQ2441" t="s">
        <v>10072</v>
      </c>
      <c r="AR2441" t="s">
        <v>10073</v>
      </c>
      <c r="AS2441" t="s">
        <v>66</v>
      </c>
      <c r="AT2441" t="s">
        <v>66</v>
      </c>
    </row>
    <row r="2442" spans="1:46" x14ac:dyDescent="0.15">
      <c r="A2442" t="s">
        <v>10186</v>
      </c>
      <c r="B2442" t="s">
        <v>9902</v>
      </c>
      <c r="C2442" t="s">
        <v>9903</v>
      </c>
      <c r="D2442">
        <v>69</v>
      </c>
      <c r="E2442" t="s">
        <v>9904</v>
      </c>
      <c r="F2442" t="s">
        <v>3592</v>
      </c>
      <c r="G2442" t="s">
        <v>51</v>
      </c>
      <c r="H2442" t="s">
        <v>9905</v>
      </c>
      <c r="I2442" t="s">
        <v>53</v>
      </c>
      <c r="J2442" t="s">
        <v>1554</v>
      </c>
      <c r="K2442" t="s">
        <v>5939</v>
      </c>
      <c r="L2442" t="s">
        <v>18</v>
      </c>
      <c r="M2442" t="s">
        <v>19</v>
      </c>
      <c r="N2442">
        <v>4316</v>
      </c>
      <c r="O2442">
        <v>254</v>
      </c>
      <c r="P2442">
        <v>0</v>
      </c>
      <c r="Q2442" t="s">
        <v>10187</v>
      </c>
      <c r="R2442" t="s">
        <v>1904</v>
      </c>
      <c r="S2442" t="s">
        <v>10188</v>
      </c>
      <c r="T2442" t="s">
        <v>10189</v>
      </c>
      <c r="U2442" t="s">
        <v>60</v>
      </c>
      <c r="V2442" t="s">
        <v>61</v>
      </c>
      <c r="W2442">
        <v>10</v>
      </c>
      <c r="X2442">
        <v>0.112</v>
      </c>
      <c r="Y2442" t="s">
        <v>288</v>
      </c>
      <c r="Z2442" t="s">
        <v>517</v>
      </c>
      <c r="AA2442">
        <v>3</v>
      </c>
      <c r="AB2442" t="s">
        <v>9906</v>
      </c>
      <c r="AC2442" t="s">
        <v>9907</v>
      </c>
      <c r="AD2442" t="s">
        <v>9908</v>
      </c>
      <c r="AE2442" t="s">
        <v>9909</v>
      </c>
      <c r="AF2442" t="s">
        <v>9910</v>
      </c>
      <c r="AG2442" t="s">
        <v>1857</v>
      </c>
      <c r="AH2442" t="s">
        <v>1963</v>
      </c>
      <c r="AI2442" t="s">
        <v>1857</v>
      </c>
      <c r="AJ2442" t="s">
        <v>66</v>
      </c>
      <c r="AK2442">
        <v>1</v>
      </c>
      <c r="AL2442" t="s">
        <v>10069</v>
      </c>
      <c r="AM2442" t="s">
        <v>10070</v>
      </c>
      <c r="AN2442" t="s">
        <v>9988</v>
      </c>
      <c r="AO2442" t="s">
        <v>10071</v>
      </c>
      <c r="AP2442">
        <v>1</v>
      </c>
      <c r="AQ2442" t="s">
        <v>10072</v>
      </c>
      <c r="AR2442" t="s">
        <v>10073</v>
      </c>
      <c r="AS2442" t="s">
        <v>66</v>
      </c>
      <c r="AT2442" t="s">
        <v>66</v>
      </c>
    </row>
    <row r="2443" spans="1:46" x14ac:dyDescent="0.15">
      <c r="A2443" t="s">
        <v>10190</v>
      </c>
      <c r="B2443" t="s">
        <v>9902</v>
      </c>
      <c r="C2443" t="s">
        <v>9903</v>
      </c>
      <c r="D2443">
        <v>70</v>
      </c>
      <c r="E2443" t="s">
        <v>9904</v>
      </c>
      <c r="F2443" t="s">
        <v>3592</v>
      </c>
      <c r="G2443" t="s">
        <v>51</v>
      </c>
      <c r="H2443" t="s">
        <v>9905</v>
      </c>
      <c r="I2443" t="s">
        <v>53</v>
      </c>
      <c r="J2443" t="s">
        <v>1554</v>
      </c>
      <c r="K2443" t="s">
        <v>5939</v>
      </c>
      <c r="L2443" t="s">
        <v>18</v>
      </c>
      <c r="M2443" t="s">
        <v>19</v>
      </c>
      <c r="N2443">
        <v>4372</v>
      </c>
      <c r="O2443">
        <v>258</v>
      </c>
      <c r="P2443">
        <v>0</v>
      </c>
      <c r="Q2443" t="s">
        <v>10191</v>
      </c>
      <c r="R2443" t="s">
        <v>1909</v>
      </c>
      <c r="S2443" t="s">
        <v>10192</v>
      </c>
      <c r="T2443" t="s">
        <v>10193</v>
      </c>
      <c r="U2443" t="s">
        <v>60</v>
      </c>
      <c r="V2443" t="s">
        <v>61</v>
      </c>
      <c r="W2443">
        <v>10</v>
      </c>
      <c r="X2443">
        <v>0.112</v>
      </c>
      <c r="Y2443" t="s">
        <v>523</v>
      </c>
      <c r="Z2443" t="s">
        <v>524</v>
      </c>
      <c r="AA2443">
        <v>3</v>
      </c>
      <c r="AB2443" t="s">
        <v>9906</v>
      </c>
      <c r="AC2443" t="s">
        <v>9907</v>
      </c>
      <c r="AD2443" t="s">
        <v>9908</v>
      </c>
      <c r="AE2443" t="s">
        <v>9909</v>
      </c>
      <c r="AF2443" t="s">
        <v>9910</v>
      </c>
      <c r="AG2443" t="s">
        <v>1857</v>
      </c>
      <c r="AH2443" t="s">
        <v>1963</v>
      </c>
      <c r="AI2443" t="s">
        <v>1857</v>
      </c>
      <c r="AJ2443" t="s">
        <v>66</v>
      </c>
      <c r="AK2443">
        <v>1</v>
      </c>
      <c r="AL2443" t="s">
        <v>10069</v>
      </c>
      <c r="AM2443" t="s">
        <v>10070</v>
      </c>
      <c r="AN2443" t="s">
        <v>9988</v>
      </c>
      <c r="AO2443" t="s">
        <v>10071</v>
      </c>
      <c r="AP2443">
        <v>1</v>
      </c>
      <c r="AQ2443" t="s">
        <v>10072</v>
      </c>
      <c r="AR2443" t="s">
        <v>10073</v>
      </c>
      <c r="AS2443" t="s">
        <v>66</v>
      </c>
      <c r="AT2443" t="s">
        <v>66</v>
      </c>
    </row>
    <row r="2444" spans="1:46" x14ac:dyDescent="0.15">
      <c r="A2444" t="s">
        <v>10194</v>
      </c>
      <c r="B2444" t="s">
        <v>9902</v>
      </c>
      <c r="C2444" t="s">
        <v>9903</v>
      </c>
      <c r="D2444">
        <v>71</v>
      </c>
      <c r="E2444" t="s">
        <v>9904</v>
      </c>
      <c r="F2444" t="s">
        <v>3592</v>
      </c>
      <c r="G2444" t="s">
        <v>51</v>
      </c>
      <c r="H2444" t="s">
        <v>9905</v>
      </c>
      <c r="I2444" t="s">
        <v>53</v>
      </c>
      <c r="J2444" t="s">
        <v>1554</v>
      </c>
      <c r="K2444" t="s">
        <v>5939</v>
      </c>
      <c r="L2444" t="s">
        <v>18</v>
      </c>
      <c r="M2444" t="s">
        <v>19</v>
      </c>
      <c r="N2444">
        <v>4429</v>
      </c>
      <c r="O2444">
        <v>261</v>
      </c>
      <c r="P2444">
        <v>0</v>
      </c>
      <c r="Q2444" t="s">
        <v>10195</v>
      </c>
      <c r="R2444" t="s">
        <v>1914</v>
      </c>
      <c r="S2444" t="s">
        <v>10196</v>
      </c>
      <c r="T2444" t="s">
        <v>10197</v>
      </c>
      <c r="U2444" t="s">
        <v>60</v>
      </c>
      <c r="V2444" t="s">
        <v>61</v>
      </c>
      <c r="W2444">
        <v>10</v>
      </c>
      <c r="X2444">
        <v>0.112</v>
      </c>
      <c r="Y2444" t="s">
        <v>295</v>
      </c>
      <c r="Z2444" t="s">
        <v>530</v>
      </c>
      <c r="AA2444">
        <v>3</v>
      </c>
      <c r="AB2444" t="s">
        <v>9906</v>
      </c>
      <c r="AC2444" t="s">
        <v>9907</v>
      </c>
      <c r="AD2444" t="s">
        <v>9908</v>
      </c>
      <c r="AE2444" t="s">
        <v>9909</v>
      </c>
      <c r="AF2444" t="s">
        <v>9910</v>
      </c>
      <c r="AG2444" t="s">
        <v>1857</v>
      </c>
      <c r="AH2444" t="s">
        <v>1963</v>
      </c>
      <c r="AI2444" t="s">
        <v>1857</v>
      </c>
      <c r="AJ2444" t="s">
        <v>66</v>
      </c>
      <c r="AK2444">
        <v>1</v>
      </c>
      <c r="AL2444" t="s">
        <v>10069</v>
      </c>
      <c r="AM2444" t="s">
        <v>10070</v>
      </c>
      <c r="AN2444" t="s">
        <v>9988</v>
      </c>
      <c r="AO2444" t="s">
        <v>10071</v>
      </c>
      <c r="AP2444">
        <v>1</v>
      </c>
      <c r="AQ2444" t="s">
        <v>10072</v>
      </c>
      <c r="AR2444" t="s">
        <v>10073</v>
      </c>
      <c r="AS2444" t="s">
        <v>66</v>
      </c>
      <c r="AT2444" t="s">
        <v>66</v>
      </c>
    </row>
    <row r="2445" spans="1:46" x14ac:dyDescent="0.15">
      <c r="A2445" t="s">
        <v>10198</v>
      </c>
      <c r="B2445" t="s">
        <v>9902</v>
      </c>
      <c r="C2445" t="s">
        <v>9903</v>
      </c>
      <c r="D2445">
        <v>72</v>
      </c>
      <c r="E2445" t="s">
        <v>9904</v>
      </c>
      <c r="F2445" t="s">
        <v>3592</v>
      </c>
      <c r="G2445" t="s">
        <v>51</v>
      </c>
      <c r="H2445" t="s">
        <v>9905</v>
      </c>
      <c r="I2445" t="s">
        <v>53</v>
      </c>
      <c r="J2445" t="s">
        <v>1554</v>
      </c>
      <c r="K2445" t="s">
        <v>5939</v>
      </c>
      <c r="L2445" t="s">
        <v>18</v>
      </c>
      <c r="M2445" t="s">
        <v>19</v>
      </c>
      <c r="N2445">
        <v>4485</v>
      </c>
      <c r="O2445">
        <v>264</v>
      </c>
      <c r="P2445">
        <v>0</v>
      </c>
      <c r="Q2445" t="s">
        <v>10199</v>
      </c>
      <c r="R2445" t="s">
        <v>1919</v>
      </c>
      <c r="S2445" t="s">
        <v>10200</v>
      </c>
      <c r="T2445" t="s">
        <v>10201</v>
      </c>
      <c r="U2445" t="s">
        <v>60</v>
      </c>
      <c r="V2445" t="s">
        <v>61</v>
      </c>
      <c r="W2445">
        <v>10</v>
      </c>
      <c r="X2445">
        <v>0.112</v>
      </c>
      <c r="Y2445" t="s">
        <v>536</v>
      </c>
      <c r="Z2445" t="s">
        <v>537</v>
      </c>
      <c r="AA2445">
        <v>3</v>
      </c>
      <c r="AB2445" t="s">
        <v>9906</v>
      </c>
      <c r="AC2445" t="s">
        <v>9907</v>
      </c>
      <c r="AD2445" t="s">
        <v>9908</v>
      </c>
      <c r="AE2445" t="s">
        <v>9909</v>
      </c>
      <c r="AF2445" t="s">
        <v>9910</v>
      </c>
      <c r="AG2445" t="s">
        <v>1857</v>
      </c>
      <c r="AH2445" t="s">
        <v>1963</v>
      </c>
      <c r="AI2445" t="s">
        <v>1857</v>
      </c>
      <c r="AJ2445" t="s">
        <v>66</v>
      </c>
      <c r="AK2445">
        <v>1</v>
      </c>
      <c r="AL2445" t="s">
        <v>10069</v>
      </c>
      <c r="AM2445" t="s">
        <v>10070</v>
      </c>
      <c r="AN2445" t="s">
        <v>9988</v>
      </c>
      <c r="AO2445" t="s">
        <v>10071</v>
      </c>
      <c r="AP2445">
        <v>1</v>
      </c>
      <c r="AQ2445" t="s">
        <v>10072</v>
      </c>
      <c r="AR2445" t="s">
        <v>10073</v>
      </c>
      <c r="AS2445" t="s">
        <v>66</v>
      </c>
      <c r="AT2445" t="s">
        <v>66</v>
      </c>
    </row>
    <row r="2446" spans="1:46" x14ac:dyDescent="0.15">
      <c r="A2446" t="s">
        <v>10202</v>
      </c>
      <c r="B2446" t="s">
        <v>9902</v>
      </c>
      <c r="C2446" t="s">
        <v>9903</v>
      </c>
      <c r="D2446">
        <v>73</v>
      </c>
      <c r="E2446" t="s">
        <v>9904</v>
      </c>
      <c r="F2446" t="s">
        <v>3592</v>
      </c>
      <c r="G2446" t="s">
        <v>51</v>
      </c>
      <c r="H2446" t="s">
        <v>9905</v>
      </c>
      <c r="I2446" t="s">
        <v>53</v>
      </c>
      <c r="J2446" t="s">
        <v>1554</v>
      </c>
      <c r="K2446" t="s">
        <v>5939</v>
      </c>
      <c r="L2446" t="s">
        <v>18</v>
      </c>
      <c r="M2446" t="s">
        <v>19</v>
      </c>
      <c r="N2446">
        <v>4541</v>
      </c>
      <c r="O2446">
        <v>267</v>
      </c>
      <c r="P2446">
        <v>0</v>
      </c>
      <c r="Q2446" t="s">
        <v>10203</v>
      </c>
      <c r="R2446" t="s">
        <v>1924</v>
      </c>
      <c r="S2446" t="s">
        <v>10204</v>
      </c>
      <c r="T2446" t="s">
        <v>10205</v>
      </c>
      <c r="U2446" t="s">
        <v>60</v>
      </c>
      <c r="V2446" t="s">
        <v>61</v>
      </c>
      <c r="W2446">
        <v>10</v>
      </c>
      <c r="X2446">
        <v>0.112</v>
      </c>
      <c r="Y2446" t="s">
        <v>301</v>
      </c>
      <c r="Z2446" t="s">
        <v>543</v>
      </c>
      <c r="AA2446">
        <v>3</v>
      </c>
      <c r="AB2446" t="s">
        <v>9906</v>
      </c>
      <c r="AC2446" t="s">
        <v>9907</v>
      </c>
      <c r="AD2446" t="s">
        <v>9908</v>
      </c>
      <c r="AE2446" t="s">
        <v>9909</v>
      </c>
      <c r="AF2446" t="s">
        <v>9910</v>
      </c>
      <c r="AG2446" t="s">
        <v>1857</v>
      </c>
      <c r="AH2446" t="s">
        <v>1963</v>
      </c>
      <c r="AI2446" t="s">
        <v>1857</v>
      </c>
      <c r="AJ2446" t="s">
        <v>66</v>
      </c>
      <c r="AK2446">
        <v>1</v>
      </c>
      <c r="AL2446" t="s">
        <v>10069</v>
      </c>
      <c r="AM2446" t="s">
        <v>10070</v>
      </c>
      <c r="AN2446" t="s">
        <v>9988</v>
      </c>
      <c r="AO2446" t="s">
        <v>10071</v>
      </c>
      <c r="AP2446">
        <v>1</v>
      </c>
      <c r="AQ2446" t="s">
        <v>10072</v>
      </c>
      <c r="AR2446" t="s">
        <v>10073</v>
      </c>
      <c r="AS2446" t="s">
        <v>66</v>
      </c>
      <c r="AT2446" t="s">
        <v>66</v>
      </c>
    </row>
    <row r="2447" spans="1:46" x14ac:dyDescent="0.15">
      <c r="A2447" t="s">
        <v>10206</v>
      </c>
      <c r="B2447" t="s">
        <v>9902</v>
      </c>
      <c r="C2447" t="s">
        <v>9903</v>
      </c>
      <c r="D2447">
        <v>74</v>
      </c>
      <c r="E2447" t="s">
        <v>9904</v>
      </c>
      <c r="F2447" t="s">
        <v>3592</v>
      </c>
      <c r="G2447" t="s">
        <v>51</v>
      </c>
      <c r="H2447" t="s">
        <v>9905</v>
      </c>
      <c r="I2447" t="s">
        <v>53</v>
      </c>
      <c r="J2447" t="s">
        <v>1554</v>
      </c>
      <c r="K2447" t="s">
        <v>5939</v>
      </c>
      <c r="L2447" t="s">
        <v>18</v>
      </c>
      <c r="M2447" t="s">
        <v>19</v>
      </c>
      <c r="N2447">
        <v>4597</v>
      </c>
      <c r="O2447">
        <v>271</v>
      </c>
      <c r="P2447">
        <v>0</v>
      </c>
      <c r="Q2447" t="s">
        <v>10207</v>
      </c>
      <c r="R2447" t="s">
        <v>1929</v>
      </c>
      <c r="S2447" t="s">
        <v>10208</v>
      </c>
      <c r="T2447" t="s">
        <v>10209</v>
      </c>
      <c r="U2447" t="s">
        <v>60</v>
      </c>
      <c r="V2447" t="s">
        <v>61</v>
      </c>
      <c r="W2447">
        <v>10</v>
      </c>
      <c r="X2447">
        <v>0.112</v>
      </c>
      <c r="Y2447" t="s">
        <v>549</v>
      </c>
      <c r="Z2447" t="s">
        <v>550</v>
      </c>
      <c r="AA2447">
        <v>3</v>
      </c>
      <c r="AB2447" t="s">
        <v>9906</v>
      </c>
      <c r="AC2447" t="s">
        <v>9907</v>
      </c>
      <c r="AD2447" t="s">
        <v>9908</v>
      </c>
      <c r="AE2447" t="s">
        <v>9909</v>
      </c>
      <c r="AF2447" t="s">
        <v>9910</v>
      </c>
      <c r="AG2447" t="s">
        <v>1857</v>
      </c>
      <c r="AH2447" t="s">
        <v>1963</v>
      </c>
      <c r="AI2447" t="s">
        <v>1857</v>
      </c>
      <c r="AJ2447" t="s">
        <v>66</v>
      </c>
      <c r="AK2447">
        <v>1</v>
      </c>
      <c r="AL2447" t="s">
        <v>10069</v>
      </c>
      <c r="AM2447" t="s">
        <v>10070</v>
      </c>
      <c r="AN2447" t="s">
        <v>9988</v>
      </c>
      <c r="AO2447" t="s">
        <v>10071</v>
      </c>
      <c r="AP2447">
        <v>1</v>
      </c>
      <c r="AQ2447" t="s">
        <v>10072</v>
      </c>
      <c r="AR2447" t="s">
        <v>10073</v>
      </c>
      <c r="AS2447" t="s">
        <v>66</v>
      </c>
      <c r="AT2447" t="s">
        <v>66</v>
      </c>
    </row>
    <row r="2448" spans="1:46" x14ac:dyDescent="0.15">
      <c r="A2448" t="s">
        <v>10210</v>
      </c>
      <c r="B2448" t="s">
        <v>9902</v>
      </c>
      <c r="C2448" t="s">
        <v>9903</v>
      </c>
      <c r="D2448">
        <v>75</v>
      </c>
      <c r="E2448" t="s">
        <v>9904</v>
      </c>
      <c r="F2448" t="s">
        <v>3592</v>
      </c>
      <c r="G2448" t="s">
        <v>51</v>
      </c>
      <c r="H2448" t="s">
        <v>9905</v>
      </c>
      <c r="I2448" t="s">
        <v>53</v>
      </c>
      <c r="J2448" t="s">
        <v>1554</v>
      </c>
      <c r="K2448" t="s">
        <v>5939</v>
      </c>
      <c r="L2448" t="s">
        <v>18</v>
      </c>
      <c r="M2448" t="s">
        <v>19</v>
      </c>
      <c r="N2448">
        <v>4653</v>
      </c>
      <c r="O2448">
        <v>274</v>
      </c>
      <c r="P2448">
        <v>0</v>
      </c>
      <c r="Q2448" t="s">
        <v>10211</v>
      </c>
      <c r="R2448" t="s">
        <v>1934</v>
      </c>
      <c r="S2448" t="s">
        <v>10212</v>
      </c>
      <c r="T2448" t="s">
        <v>10213</v>
      </c>
      <c r="U2448" t="s">
        <v>60</v>
      </c>
      <c r="V2448" t="s">
        <v>61</v>
      </c>
      <c r="W2448">
        <v>10</v>
      </c>
      <c r="X2448">
        <v>0.112</v>
      </c>
      <c r="Y2448" t="s">
        <v>308</v>
      </c>
      <c r="Z2448" t="s">
        <v>556</v>
      </c>
      <c r="AA2448">
        <v>3</v>
      </c>
      <c r="AB2448" t="s">
        <v>9906</v>
      </c>
      <c r="AC2448" t="s">
        <v>9907</v>
      </c>
      <c r="AD2448" t="s">
        <v>9908</v>
      </c>
      <c r="AE2448" t="s">
        <v>9909</v>
      </c>
      <c r="AF2448" t="s">
        <v>9910</v>
      </c>
      <c r="AG2448" t="s">
        <v>1857</v>
      </c>
      <c r="AH2448" t="s">
        <v>1963</v>
      </c>
      <c r="AI2448" t="s">
        <v>1857</v>
      </c>
      <c r="AJ2448" t="s">
        <v>66</v>
      </c>
      <c r="AK2448">
        <v>1</v>
      </c>
      <c r="AL2448" t="s">
        <v>10069</v>
      </c>
      <c r="AM2448" t="s">
        <v>10070</v>
      </c>
      <c r="AN2448" t="s">
        <v>9988</v>
      </c>
      <c r="AO2448" t="s">
        <v>10071</v>
      </c>
      <c r="AP2448">
        <v>1</v>
      </c>
      <c r="AQ2448" t="s">
        <v>10072</v>
      </c>
      <c r="AR2448" t="s">
        <v>10073</v>
      </c>
      <c r="AS2448" t="s">
        <v>66</v>
      </c>
      <c r="AT2448" t="s">
        <v>66</v>
      </c>
    </row>
    <row r="2449" spans="1:46" x14ac:dyDescent="0.15">
      <c r="A2449" t="s">
        <v>10214</v>
      </c>
      <c r="B2449" t="s">
        <v>9902</v>
      </c>
      <c r="C2449" t="s">
        <v>9903</v>
      </c>
      <c r="D2449">
        <v>76</v>
      </c>
      <c r="E2449" t="s">
        <v>9904</v>
      </c>
      <c r="F2449" t="s">
        <v>3592</v>
      </c>
      <c r="G2449" t="s">
        <v>51</v>
      </c>
      <c r="H2449" t="s">
        <v>9905</v>
      </c>
      <c r="I2449" t="s">
        <v>53</v>
      </c>
      <c r="J2449" t="s">
        <v>1554</v>
      </c>
      <c r="K2449" t="s">
        <v>5939</v>
      </c>
      <c r="L2449" t="s">
        <v>18</v>
      </c>
      <c r="M2449" t="s">
        <v>19</v>
      </c>
      <c r="N2449">
        <v>4709</v>
      </c>
      <c r="O2449">
        <v>277</v>
      </c>
      <c r="P2449">
        <v>0</v>
      </c>
      <c r="Q2449" t="s">
        <v>10215</v>
      </c>
      <c r="R2449" t="s">
        <v>1939</v>
      </c>
      <c r="S2449" t="s">
        <v>10216</v>
      </c>
      <c r="T2449" t="s">
        <v>10217</v>
      </c>
      <c r="U2449" t="s">
        <v>60</v>
      </c>
      <c r="V2449" t="s">
        <v>61</v>
      </c>
      <c r="W2449">
        <v>10</v>
      </c>
      <c r="X2449">
        <v>0.112</v>
      </c>
      <c r="Y2449" t="s">
        <v>562</v>
      </c>
      <c r="Z2449" t="s">
        <v>563</v>
      </c>
      <c r="AA2449">
        <v>3</v>
      </c>
      <c r="AB2449" t="s">
        <v>9906</v>
      </c>
      <c r="AC2449" t="s">
        <v>9907</v>
      </c>
      <c r="AD2449" t="s">
        <v>9908</v>
      </c>
      <c r="AE2449" t="s">
        <v>9909</v>
      </c>
      <c r="AF2449" t="s">
        <v>9910</v>
      </c>
      <c r="AG2449" t="s">
        <v>1857</v>
      </c>
      <c r="AH2449" t="s">
        <v>1963</v>
      </c>
      <c r="AI2449" t="s">
        <v>1857</v>
      </c>
      <c r="AJ2449" t="s">
        <v>66</v>
      </c>
      <c r="AK2449">
        <v>1</v>
      </c>
      <c r="AL2449" t="s">
        <v>10069</v>
      </c>
      <c r="AM2449" t="s">
        <v>10070</v>
      </c>
      <c r="AN2449" t="s">
        <v>9988</v>
      </c>
      <c r="AO2449" t="s">
        <v>10071</v>
      </c>
      <c r="AP2449">
        <v>1</v>
      </c>
      <c r="AQ2449" t="s">
        <v>10072</v>
      </c>
      <c r="AR2449" t="s">
        <v>10073</v>
      </c>
      <c r="AS2449" t="s">
        <v>66</v>
      </c>
      <c r="AT2449" t="s">
        <v>66</v>
      </c>
    </row>
    <row r="2450" spans="1:46" x14ac:dyDescent="0.15">
      <c r="A2450" t="s">
        <v>10218</v>
      </c>
      <c r="B2450" t="s">
        <v>9902</v>
      </c>
      <c r="C2450" t="s">
        <v>9903</v>
      </c>
      <c r="D2450">
        <v>77</v>
      </c>
      <c r="E2450" t="s">
        <v>9904</v>
      </c>
      <c r="F2450" t="s">
        <v>3592</v>
      </c>
      <c r="G2450" t="s">
        <v>51</v>
      </c>
      <c r="H2450" t="s">
        <v>9905</v>
      </c>
      <c r="I2450" t="s">
        <v>53</v>
      </c>
      <c r="J2450" t="s">
        <v>1554</v>
      </c>
      <c r="K2450" t="s">
        <v>5939</v>
      </c>
      <c r="L2450" t="s">
        <v>18</v>
      </c>
      <c r="M2450" t="s">
        <v>19</v>
      </c>
      <c r="N2450">
        <v>4765</v>
      </c>
      <c r="O2450">
        <v>281</v>
      </c>
      <c r="P2450">
        <v>0</v>
      </c>
      <c r="Q2450" t="s">
        <v>10219</v>
      </c>
      <c r="R2450" t="s">
        <v>1944</v>
      </c>
      <c r="S2450" t="s">
        <v>10220</v>
      </c>
      <c r="T2450" t="s">
        <v>10221</v>
      </c>
      <c r="U2450" t="s">
        <v>60</v>
      </c>
      <c r="V2450" t="s">
        <v>61</v>
      </c>
      <c r="W2450">
        <v>10</v>
      </c>
      <c r="X2450">
        <v>0.112</v>
      </c>
      <c r="Y2450" t="s">
        <v>314</v>
      </c>
      <c r="Z2450" t="s">
        <v>569</v>
      </c>
      <c r="AA2450">
        <v>3</v>
      </c>
      <c r="AB2450" t="s">
        <v>9906</v>
      </c>
      <c r="AC2450" t="s">
        <v>9907</v>
      </c>
      <c r="AD2450" t="s">
        <v>9908</v>
      </c>
      <c r="AE2450" t="s">
        <v>9909</v>
      </c>
      <c r="AF2450" t="s">
        <v>9910</v>
      </c>
      <c r="AG2450" t="s">
        <v>1857</v>
      </c>
      <c r="AH2450" t="s">
        <v>1963</v>
      </c>
      <c r="AI2450" t="s">
        <v>1857</v>
      </c>
      <c r="AJ2450" t="s">
        <v>66</v>
      </c>
      <c r="AK2450">
        <v>1</v>
      </c>
      <c r="AL2450" t="s">
        <v>10069</v>
      </c>
      <c r="AM2450" t="s">
        <v>10070</v>
      </c>
      <c r="AN2450" t="s">
        <v>9988</v>
      </c>
      <c r="AO2450" t="s">
        <v>10071</v>
      </c>
      <c r="AP2450">
        <v>1</v>
      </c>
      <c r="AQ2450" t="s">
        <v>10072</v>
      </c>
      <c r="AR2450" t="s">
        <v>10073</v>
      </c>
      <c r="AS2450" t="s">
        <v>66</v>
      </c>
      <c r="AT2450" t="s">
        <v>66</v>
      </c>
    </row>
    <row r="2451" spans="1:46" x14ac:dyDescent="0.15">
      <c r="A2451" t="s">
        <v>10222</v>
      </c>
      <c r="B2451" t="s">
        <v>9902</v>
      </c>
      <c r="C2451" t="s">
        <v>9903</v>
      </c>
      <c r="D2451">
        <v>78</v>
      </c>
      <c r="E2451" t="s">
        <v>9904</v>
      </c>
      <c r="F2451" t="s">
        <v>3592</v>
      </c>
      <c r="G2451" t="s">
        <v>51</v>
      </c>
      <c r="H2451" t="s">
        <v>9905</v>
      </c>
      <c r="I2451" t="s">
        <v>53</v>
      </c>
      <c r="J2451" t="s">
        <v>1554</v>
      </c>
      <c r="K2451" t="s">
        <v>5939</v>
      </c>
      <c r="L2451" t="s">
        <v>18</v>
      </c>
      <c r="M2451" t="s">
        <v>19</v>
      </c>
      <c r="N2451">
        <v>4821</v>
      </c>
      <c r="O2451">
        <v>284</v>
      </c>
      <c r="P2451">
        <v>0</v>
      </c>
      <c r="Q2451" t="s">
        <v>10223</v>
      </c>
      <c r="R2451" t="s">
        <v>1949</v>
      </c>
      <c r="S2451" t="s">
        <v>10224</v>
      </c>
      <c r="T2451" t="s">
        <v>10225</v>
      </c>
      <c r="U2451" t="s">
        <v>60</v>
      </c>
      <c r="V2451" t="s">
        <v>61</v>
      </c>
      <c r="W2451">
        <v>10</v>
      </c>
      <c r="X2451">
        <v>0.112</v>
      </c>
      <c r="Y2451" t="s">
        <v>575</v>
      </c>
      <c r="Z2451" t="s">
        <v>576</v>
      </c>
      <c r="AA2451">
        <v>3</v>
      </c>
      <c r="AB2451" t="s">
        <v>9906</v>
      </c>
      <c r="AC2451" t="s">
        <v>9907</v>
      </c>
      <c r="AD2451" t="s">
        <v>9908</v>
      </c>
      <c r="AE2451" t="s">
        <v>9909</v>
      </c>
      <c r="AF2451" t="s">
        <v>9910</v>
      </c>
      <c r="AG2451" t="s">
        <v>1857</v>
      </c>
      <c r="AH2451" t="s">
        <v>1963</v>
      </c>
      <c r="AI2451" t="s">
        <v>1857</v>
      </c>
      <c r="AJ2451" t="s">
        <v>66</v>
      </c>
      <c r="AK2451">
        <v>1</v>
      </c>
      <c r="AL2451" t="s">
        <v>10069</v>
      </c>
      <c r="AM2451" t="s">
        <v>10070</v>
      </c>
      <c r="AN2451" t="s">
        <v>9988</v>
      </c>
      <c r="AO2451" t="s">
        <v>10071</v>
      </c>
      <c r="AP2451">
        <v>1</v>
      </c>
      <c r="AQ2451" t="s">
        <v>10072</v>
      </c>
      <c r="AR2451" t="s">
        <v>10073</v>
      </c>
      <c r="AS2451" t="s">
        <v>66</v>
      </c>
      <c r="AT2451" t="s">
        <v>66</v>
      </c>
    </row>
    <row r="2452" spans="1:46" x14ac:dyDescent="0.15">
      <c r="A2452" t="s">
        <v>10226</v>
      </c>
      <c r="B2452" t="s">
        <v>9902</v>
      </c>
      <c r="C2452" t="s">
        <v>9903</v>
      </c>
      <c r="D2452">
        <v>79</v>
      </c>
      <c r="E2452" t="s">
        <v>9904</v>
      </c>
      <c r="F2452" t="s">
        <v>3592</v>
      </c>
      <c r="G2452" t="s">
        <v>51</v>
      </c>
      <c r="H2452" t="s">
        <v>9905</v>
      </c>
      <c r="I2452" t="s">
        <v>53</v>
      </c>
      <c r="J2452" t="s">
        <v>1554</v>
      </c>
      <c r="K2452" t="s">
        <v>5939</v>
      </c>
      <c r="L2452" t="s">
        <v>18</v>
      </c>
      <c r="M2452" t="s">
        <v>19</v>
      </c>
      <c r="N2452">
        <v>4878</v>
      </c>
      <c r="O2452">
        <v>287</v>
      </c>
      <c r="P2452">
        <v>0</v>
      </c>
      <c r="Q2452" t="s">
        <v>10227</v>
      </c>
      <c r="R2452" t="s">
        <v>1954</v>
      </c>
      <c r="S2452" t="s">
        <v>10228</v>
      </c>
      <c r="T2452" t="s">
        <v>10229</v>
      </c>
      <c r="U2452" t="s">
        <v>60</v>
      </c>
      <c r="V2452" t="s">
        <v>61</v>
      </c>
      <c r="W2452">
        <v>10</v>
      </c>
      <c r="X2452">
        <v>0.112</v>
      </c>
      <c r="Y2452" t="s">
        <v>321</v>
      </c>
      <c r="Z2452" t="s">
        <v>582</v>
      </c>
      <c r="AA2452">
        <v>3</v>
      </c>
      <c r="AB2452" t="s">
        <v>9906</v>
      </c>
      <c r="AC2452" t="s">
        <v>9907</v>
      </c>
      <c r="AD2452" t="s">
        <v>9908</v>
      </c>
      <c r="AE2452" t="s">
        <v>9909</v>
      </c>
      <c r="AF2452" t="s">
        <v>9910</v>
      </c>
      <c r="AG2452" t="s">
        <v>1857</v>
      </c>
      <c r="AH2452" t="s">
        <v>1963</v>
      </c>
      <c r="AI2452" t="s">
        <v>1857</v>
      </c>
      <c r="AJ2452" t="s">
        <v>66</v>
      </c>
      <c r="AK2452">
        <v>1</v>
      </c>
      <c r="AL2452" t="s">
        <v>10069</v>
      </c>
      <c r="AM2452" t="s">
        <v>10070</v>
      </c>
      <c r="AN2452" t="s">
        <v>9988</v>
      </c>
      <c r="AO2452" t="s">
        <v>10071</v>
      </c>
      <c r="AP2452">
        <v>1</v>
      </c>
      <c r="AQ2452" t="s">
        <v>10072</v>
      </c>
      <c r="AR2452" t="s">
        <v>10073</v>
      </c>
      <c r="AS2452" t="s">
        <v>66</v>
      </c>
      <c r="AT2452" t="s">
        <v>66</v>
      </c>
    </row>
    <row r="2453" spans="1:46" x14ac:dyDescent="0.15">
      <c r="A2453" t="s">
        <v>10230</v>
      </c>
      <c r="B2453" t="s">
        <v>9902</v>
      </c>
      <c r="C2453" t="s">
        <v>9903</v>
      </c>
      <c r="D2453">
        <v>80</v>
      </c>
      <c r="E2453" t="s">
        <v>9904</v>
      </c>
      <c r="F2453" t="s">
        <v>3592</v>
      </c>
      <c r="G2453" t="s">
        <v>51</v>
      </c>
      <c r="H2453" t="s">
        <v>9905</v>
      </c>
      <c r="I2453" t="s">
        <v>53</v>
      </c>
      <c r="J2453" t="s">
        <v>1554</v>
      </c>
      <c r="K2453" t="s">
        <v>5939</v>
      </c>
      <c r="L2453" t="s">
        <v>18</v>
      </c>
      <c r="M2453" t="s">
        <v>19</v>
      </c>
      <c r="N2453">
        <v>4934</v>
      </c>
      <c r="O2453">
        <v>291</v>
      </c>
      <c r="P2453">
        <v>0</v>
      </c>
      <c r="Q2453" t="s">
        <v>10231</v>
      </c>
      <c r="R2453" t="s">
        <v>1959</v>
      </c>
      <c r="S2453" t="s">
        <v>10232</v>
      </c>
      <c r="T2453" t="s">
        <v>10233</v>
      </c>
      <c r="U2453" t="s">
        <v>60</v>
      </c>
      <c r="V2453" t="s">
        <v>61</v>
      </c>
      <c r="W2453">
        <v>10</v>
      </c>
      <c r="X2453">
        <v>0.112</v>
      </c>
      <c r="Y2453" t="s">
        <v>588</v>
      </c>
      <c r="Z2453" t="s">
        <v>589</v>
      </c>
      <c r="AA2453">
        <v>3</v>
      </c>
      <c r="AB2453" t="s">
        <v>9906</v>
      </c>
      <c r="AC2453" t="s">
        <v>9907</v>
      </c>
      <c r="AD2453" t="s">
        <v>9908</v>
      </c>
      <c r="AE2453" t="s">
        <v>9909</v>
      </c>
      <c r="AF2453" t="s">
        <v>9910</v>
      </c>
      <c r="AG2453" t="s">
        <v>1857</v>
      </c>
      <c r="AH2453" t="s">
        <v>1963</v>
      </c>
      <c r="AI2453" t="s">
        <v>1857</v>
      </c>
      <c r="AJ2453" t="s">
        <v>66</v>
      </c>
      <c r="AK2453">
        <v>1</v>
      </c>
      <c r="AL2453" t="s">
        <v>10069</v>
      </c>
      <c r="AM2453" t="s">
        <v>10070</v>
      </c>
      <c r="AN2453" t="s">
        <v>9988</v>
      </c>
      <c r="AO2453" t="s">
        <v>10071</v>
      </c>
      <c r="AP2453">
        <v>1</v>
      </c>
      <c r="AQ2453" t="s">
        <v>10072</v>
      </c>
      <c r="AR2453" t="s">
        <v>10073</v>
      </c>
      <c r="AS2453" t="s">
        <v>66</v>
      </c>
      <c r="AT2453" t="s">
        <v>66</v>
      </c>
    </row>
    <row r="2454" spans="1:46" x14ac:dyDescent="0.15">
      <c r="A2454" t="s">
        <v>10230</v>
      </c>
      <c r="B2454" t="s">
        <v>9902</v>
      </c>
      <c r="C2454" t="s">
        <v>9903</v>
      </c>
      <c r="D2454">
        <v>80</v>
      </c>
      <c r="E2454" t="s">
        <v>9904</v>
      </c>
      <c r="F2454" t="s">
        <v>3592</v>
      </c>
      <c r="G2454" t="s">
        <v>51</v>
      </c>
      <c r="H2454" t="s">
        <v>9905</v>
      </c>
      <c r="I2454" t="s">
        <v>53</v>
      </c>
      <c r="J2454" t="s">
        <v>1554</v>
      </c>
      <c r="K2454" t="s">
        <v>5939</v>
      </c>
      <c r="L2454" t="s">
        <v>18</v>
      </c>
      <c r="M2454" t="s">
        <v>19</v>
      </c>
      <c r="N2454">
        <v>4934</v>
      </c>
      <c r="O2454">
        <v>291</v>
      </c>
      <c r="P2454">
        <v>0</v>
      </c>
      <c r="Q2454" t="s">
        <v>10231</v>
      </c>
      <c r="R2454" t="s">
        <v>1959</v>
      </c>
      <c r="S2454" t="s">
        <v>10232</v>
      </c>
      <c r="T2454" t="s">
        <v>10233</v>
      </c>
      <c r="U2454" t="s">
        <v>60</v>
      </c>
      <c r="V2454" t="s">
        <v>61</v>
      </c>
      <c r="W2454">
        <v>10</v>
      </c>
      <c r="X2454">
        <v>0.112</v>
      </c>
      <c r="Y2454" t="s">
        <v>588</v>
      </c>
      <c r="Z2454" t="s">
        <v>589</v>
      </c>
      <c r="AA2454">
        <v>4</v>
      </c>
      <c r="AB2454" t="s">
        <v>9906</v>
      </c>
      <c r="AC2454" t="s">
        <v>9907</v>
      </c>
      <c r="AD2454" t="s">
        <v>9908</v>
      </c>
      <c r="AE2454" t="s">
        <v>9909</v>
      </c>
      <c r="AF2454" t="s">
        <v>9910</v>
      </c>
      <c r="AG2454" t="s">
        <v>1857</v>
      </c>
      <c r="AH2454" t="s">
        <v>1963</v>
      </c>
      <c r="AI2454" t="s">
        <v>1857</v>
      </c>
      <c r="AJ2454" t="s">
        <v>1962</v>
      </c>
      <c r="AK2454">
        <v>1</v>
      </c>
      <c r="AL2454" t="s">
        <v>10069</v>
      </c>
      <c r="AM2454" t="s">
        <v>10070</v>
      </c>
      <c r="AN2454" t="s">
        <v>9988</v>
      </c>
      <c r="AO2454" t="s">
        <v>10071</v>
      </c>
      <c r="AP2454">
        <v>1</v>
      </c>
      <c r="AQ2454" t="s">
        <v>10072</v>
      </c>
      <c r="AR2454" t="s">
        <v>10073</v>
      </c>
      <c r="AS2454" t="s">
        <v>66</v>
      </c>
      <c r="AT2454" t="s">
        <v>66</v>
      </c>
    </row>
    <row r="2455" spans="1:46" x14ac:dyDescent="0.15">
      <c r="A2455" t="s">
        <v>10234</v>
      </c>
      <c r="B2455" t="s">
        <v>9902</v>
      </c>
      <c r="C2455" t="s">
        <v>9903</v>
      </c>
      <c r="D2455">
        <v>81</v>
      </c>
      <c r="E2455" t="s">
        <v>9904</v>
      </c>
      <c r="F2455" t="s">
        <v>3592</v>
      </c>
      <c r="G2455" t="s">
        <v>51</v>
      </c>
      <c r="H2455" t="s">
        <v>9905</v>
      </c>
      <c r="I2455" t="s">
        <v>53</v>
      </c>
      <c r="J2455" t="s">
        <v>1554</v>
      </c>
      <c r="K2455" t="s">
        <v>5939</v>
      </c>
      <c r="L2455" t="s">
        <v>18</v>
      </c>
      <c r="M2455" t="s">
        <v>19</v>
      </c>
      <c r="N2455">
        <v>4990</v>
      </c>
      <c r="O2455">
        <v>294</v>
      </c>
      <c r="P2455">
        <v>0</v>
      </c>
      <c r="Q2455" t="s">
        <v>10235</v>
      </c>
      <c r="R2455" t="s">
        <v>1966</v>
      </c>
      <c r="S2455" t="s">
        <v>10236</v>
      </c>
      <c r="T2455" t="s">
        <v>10237</v>
      </c>
      <c r="U2455" t="s">
        <v>60</v>
      </c>
      <c r="V2455" t="s">
        <v>61</v>
      </c>
      <c r="W2455">
        <v>10</v>
      </c>
      <c r="X2455">
        <v>0.112</v>
      </c>
      <c r="Y2455" t="s">
        <v>330</v>
      </c>
      <c r="Z2455" t="s">
        <v>596</v>
      </c>
      <c r="AA2455">
        <v>4</v>
      </c>
      <c r="AB2455" t="s">
        <v>9906</v>
      </c>
      <c r="AC2455" t="s">
        <v>9907</v>
      </c>
      <c r="AD2455" t="s">
        <v>9908</v>
      </c>
      <c r="AE2455" t="s">
        <v>9909</v>
      </c>
      <c r="AF2455" t="s">
        <v>9910</v>
      </c>
      <c r="AG2455" t="s">
        <v>1857</v>
      </c>
      <c r="AH2455" t="s">
        <v>1963</v>
      </c>
      <c r="AI2455" t="s">
        <v>1857</v>
      </c>
      <c r="AJ2455" t="s">
        <v>1962</v>
      </c>
      <c r="AK2455">
        <v>1</v>
      </c>
      <c r="AL2455" t="s">
        <v>10069</v>
      </c>
      <c r="AM2455" t="s">
        <v>10070</v>
      </c>
      <c r="AN2455" t="s">
        <v>9988</v>
      </c>
      <c r="AO2455" t="s">
        <v>10071</v>
      </c>
      <c r="AP2455">
        <v>1</v>
      </c>
      <c r="AQ2455" t="s">
        <v>10072</v>
      </c>
      <c r="AR2455" t="s">
        <v>10073</v>
      </c>
      <c r="AS2455" t="s">
        <v>66</v>
      </c>
      <c r="AT2455" t="s">
        <v>66</v>
      </c>
    </row>
    <row r="2456" spans="1:46" x14ac:dyDescent="0.15">
      <c r="A2456" t="s">
        <v>10238</v>
      </c>
      <c r="B2456" t="s">
        <v>9902</v>
      </c>
      <c r="C2456" t="s">
        <v>9903</v>
      </c>
      <c r="D2456">
        <v>82</v>
      </c>
      <c r="E2456" t="s">
        <v>9904</v>
      </c>
      <c r="F2456" t="s">
        <v>3592</v>
      </c>
      <c r="G2456" t="s">
        <v>51</v>
      </c>
      <c r="H2456" t="s">
        <v>9905</v>
      </c>
      <c r="I2456" t="s">
        <v>53</v>
      </c>
      <c r="J2456" t="s">
        <v>1554</v>
      </c>
      <c r="K2456" t="s">
        <v>5939</v>
      </c>
      <c r="L2456" t="s">
        <v>18</v>
      </c>
      <c r="M2456" t="s">
        <v>19</v>
      </c>
      <c r="N2456">
        <v>5046</v>
      </c>
      <c r="O2456">
        <v>297</v>
      </c>
      <c r="P2456">
        <v>0</v>
      </c>
      <c r="Q2456" t="s">
        <v>10239</v>
      </c>
      <c r="R2456" t="s">
        <v>1971</v>
      </c>
      <c r="S2456" t="s">
        <v>10240</v>
      </c>
      <c r="T2456" t="s">
        <v>10241</v>
      </c>
      <c r="U2456" t="s">
        <v>60</v>
      </c>
      <c r="V2456" t="s">
        <v>61</v>
      </c>
      <c r="W2456">
        <v>10</v>
      </c>
      <c r="X2456">
        <v>0.112</v>
      </c>
      <c r="Y2456" t="s">
        <v>602</v>
      </c>
      <c r="Z2456" t="s">
        <v>603</v>
      </c>
      <c r="AA2456">
        <v>4</v>
      </c>
      <c r="AB2456" t="s">
        <v>9906</v>
      </c>
      <c r="AC2456" t="s">
        <v>9907</v>
      </c>
      <c r="AD2456" t="s">
        <v>9908</v>
      </c>
      <c r="AE2456" t="s">
        <v>9909</v>
      </c>
      <c r="AF2456" t="s">
        <v>9910</v>
      </c>
      <c r="AG2456" t="s">
        <v>1857</v>
      </c>
      <c r="AH2456" t="s">
        <v>1963</v>
      </c>
      <c r="AI2456" t="s">
        <v>1857</v>
      </c>
      <c r="AJ2456" t="s">
        <v>1962</v>
      </c>
      <c r="AK2456">
        <v>1</v>
      </c>
      <c r="AL2456" t="s">
        <v>10069</v>
      </c>
      <c r="AM2456" t="s">
        <v>10070</v>
      </c>
      <c r="AN2456" t="s">
        <v>9988</v>
      </c>
      <c r="AO2456" t="s">
        <v>10071</v>
      </c>
      <c r="AP2456">
        <v>1</v>
      </c>
      <c r="AQ2456" t="s">
        <v>10072</v>
      </c>
      <c r="AR2456" t="s">
        <v>10073</v>
      </c>
      <c r="AS2456" t="s">
        <v>66</v>
      </c>
      <c r="AT2456" t="s">
        <v>66</v>
      </c>
    </row>
    <row r="2457" spans="1:46" x14ac:dyDescent="0.15">
      <c r="A2457" t="s">
        <v>10242</v>
      </c>
      <c r="B2457" t="s">
        <v>9902</v>
      </c>
      <c r="C2457" t="s">
        <v>9903</v>
      </c>
      <c r="D2457">
        <v>83</v>
      </c>
      <c r="E2457" t="s">
        <v>9904</v>
      </c>
      <c r="F2457" t="s">
        <v>3592</v>
      </c>
      <c r="G2457" t="s">
        <v>51</v>
      </c>
      <c r="H2457" t="s">
        <v>9905</v>
      </c>
      <c r="I2457" t="s">
        <v>53</v>
      </c>
      <c r="J2457" t="s">
        <v>1554</v>
      </c>
      <c r="K2457" t="s">
        <v>5939</v>
      </c>
      <c r="L2457" t="s">
        <v>18</v>
      </c>
      <c r="M2457" t="s">
        <v>19</v>
      </c>
      <c r="N2457">
        <v>5102</v>
      </c>
      <c r="O2457">
        <v>300</v>
      </c>
      <c r="P2457">
        <v>0</v>
      </c>
      <c r="Q2457" t="s">
        <v>10243</v>
      </c>
      <c r="R2457" t="s">
        <v>1976</v>
      </c>
      <c r="S2457" t="s">
        <v>10244</v>
      </c>
      <c r="T2457" t="s">
        <v>10245</v>
      </c>
      <c r="U2457" t="s">
        <v>60</v>
      </c>
      <c r="V2457" t="s">
        <v>61</v>
      </c>
      <c r="W2457">
        <v>10</v>
      </c>
      <c r="X2457">
        <v>0.112</v>
      </c>
      <c r="Y2457" t="s">
        <v>337</v>
      </c>
      <c r="Z2457" t="s">
        <v>609</v>
      </c>
      <c r="AA2457">
        <v>4</v>
      </c>
      <c r="AB2457" t="s">
        <v>9906</v>
      </c>
      <c r="AC2457" t="s">
        <v>9907</v>
      </c>
      <c r="AD2457" t="s">
        <v>9908</v>
      </c>
      <c r="AE2457" t="s">
        <v>9909</v>
      </c>
      <c r="AF2457" t="s">
        <v>9910</v>
      </c>
      <c r="AG2457" t="s">
        <v>1857</v>
      </c>
      <c r="AH2457" t="s">
        <v>1963</v>
      </c>
      <c r="AI2457" t="s">
        <v>1857</v>
      </c>
      <c r="AJ2457" t="s">
        <v>1962</v>
      </c>
      <c r="AK2457">
        <v>1</v>
      </c>
      <c r="AL2457" t="s">
        <v>10069</v>
      </c>
      <c r="AM2457" t="s">
        <v>10070</v>
      </c>
      <c r="AN2457" t="s">
        <v>9988</v>
      </c>
      <c r="AO2457" t="s">
        <v>10071</v>
      </c>
      <c r="AP2457">
        <v>1</v>
      </c>
      <c r="AQ2457" t="s">
        <v>10072</v>
      </c>
      <c r="AR2457" t="s">
        <v>10073</v>
      </c>
      <c r="AS2457" t="s">
        <v>66</v>
      </c>
      <c r="AT2457" t="s">
        <v>66</v>
      </c>
    </row>
    <row r="2458" spans="1:46" x14ac:dyDescent="0.15">
      <c r="A2458" t="s">
        <v>10246</v>
      </c>
      <c r="B2458" t="s">
        <v>9902</v>
      </c>
      <c r="C2458" t="s">
        <v>9903</v>
      </c>
      <c r="D2458">
        <v>84</v>
      </c>
      <c r="E2458" t="s">
        <v>9904</v>
      </c>
      <c r="F2458" t="s">
        <v>3592</v>
      </c>
      <c r="G2458" t="s">
        <v>51</v>
      </c>
      <c r="H2458" t="s">
        <v>9905</v>
      </c>
      <c r="I2458" t="s">
        <v>53</v>
      </c>
      <c r="J2458" t="s">
        <v>1554</v>
      </c>
      <c r="K2458" t="s">
        <v>5939</v>
      </c>
      <c r="L2458" t="s">
        <v>18</v>
      </c>
      <c r="M2458" t="s">
        <v>19</v>
      </c>
      <c r="N2458">
        <v>5158</v>
      </c>
      <c r="O2458">
        <v>304</v>
      </c>
      <c r="P2458">
        <v>0</v>
      </c>
      <c r="Q2458" t="s">
        <v>10247</v>
      </c>
      <c r="R2458" t="s">
        <v>1981</v>
      </c>
      <c r="S2458" t="s">
        <v>10248</v>
      </c>
      <c r="T2458" t="s">
        <v>10249</v>
      </c>
      <c r="U2458" t="s">
        <v>60</v>
      </c>
      <c r="V2458" t="s">
        <v>61</v>
      </c>
      <c r="W2458">
        <v>10</v>
      </c>
      <c r="X2458">
        <v>0.112</v>
      </c>
      <c r="Y2458" t="s">
        <v>615</v>
      </c>
      <c r="Z2458" t="s">
        <v>616</v>
      </c>
      <c r="AA2458">
        <v>4</v>
      </c>
      <c r="AB2458" t="s">
        <v>9906</v>
      </c>
      <c r="AC2458" t="s">
        <v>9907</v>
      </c>
      <c r="AD2458" t="s">
        <v>9908</v>
      </c>
      <c r="AE2458" t="s">
        <v>9909</v>
      </c>
      <c r="AF2458" t="s">
        <v>9910</v>
      </c>
      <c r="AG2458" t="s">
        <v>1857</v>
      </c>
      <c r="AH2458" t="s">
        <v>1963</v>
      </c>
      <c r="AI2458" t="s">
        <v>1857</v>
      </c>
      <c r="AJ2458" t="s">
        <v>1962</v>
      </c>
      <c r="AK2458">
        <v>1</v>
      </c>
      <c r="AL2458" t="s">
        <v>10069</v>
      </c>
      <c r="AM2458" t="s">
        <v>10070</v>
      </c>
      <c r="AN2458" t="s">
        <v>9988</v>
      </c>
      <c r="AO2458" t="s">
        <v>10071</v>
      </c>
      <c r="AP2458">
        <v>1</v>
      </c>
      <c r="AQ2458" t="s">
        <v>10072</v>
      </c>
      <c r="AR2458" t="s">
        <v>10073</v>
      </c>
      <c r="AS2458" t="s">
        <v>66</v>
      </c>
      <c r="AT2458" t="s">
        <v>66</v>
      </c>
    </row>
    <row r="2459" spans="1:46" x14ac:dyDescent="0.15">
      <c r="A2459" t="s">
        <v>10250</v>
      </c>
      <c r="B2459" t="s">
        <v>9902</v>
      </c>
      <c r="C2459" t="s">
        <v>9903</v>
      </c>
      <c r="D2459">
        <v>85</v>
      </c>
      <c r="E2459" t="s">
        <v>9904</v>
      </c>
      <c r="F2459" t="s">
        <v>3592</v>
      </c>
      <c r="G2459" t="s">
        <v>51</v>
      </c>
      <c r="H2459" t="s">
        <v>9905</v>
      </c>
      <c r="I2459" t="s">
        <v>53</v>
      </c>
      <c r="J2459" t="s">
        <v>1554</v>
      </c>
      <c r="K2459" t="s">
        <v>5939</v>
      </c>
      <c r="L2459" t="s">
        <v>18</v>
      </c>
      <c r="M2459" t="s">
        <v>19</v>
      </c>
      <c r="N2459">
        <v>5214</v>
      </c>
      <c r="O2459">
        <v>307</v>
      </c>
      <c r="P2459">
        <v>0</v>
      </c>
      <c r="Q2459" t="s">
        <v>10251</v>
      </c>
      <c r="R2459" t="s">
        <v>1986</v>
      </c>
      <c r="S2459" t="s">
        <v>10252</v>
      </c>
      <c r="T2459" t="s">
        <v>10253</v>
      </c>
      <c r="U2459" t="s">
        <v>60</v>
      </c>
      <c r="V2459" t="s">
        <v>61</v>
      </c>
      <c r="W2459">
        <v>10</v>
      </c>
      <c r="X2459">
        <v>0.112</v>
      </c>
      <c r="Y2459" t="s">
        <v>343</v>
      </c>
      <c r="Z2459" t="s">
        <v>622</v>
      </c>
      <c r="AA2459">
        <v>4</v>
      </c>
      <c r="AB2459" t="s">
        <v>9906</v>
      </c>
      <c r="AC2459" t="s">
        <v>9907</v>
      </c>
      <c r="AD2459" t="s">
        <v>9908</v>
      </c>
      <c r="AE2459" t="s">
        <v>9909</v>
      </c>
      <c r="AF2459" t="s">
        <v>9910</v>
      </c>
      <c r="AG2459" t="s">
        <v>1857</v>
      </c>
      <c r="AH2459" t="s">
        <v>1963</v>
      </c>
      <c r="AI2459" t="s">
        <v>1857</v>
      </c>
      <c r="AJ2459" t="s">
        <v>1962</v>
      </c>
      <c r="AK2459">
        <v>1</v>
      </c>
      <c r="AL2459" t="s">
        <v>10069</v>
      </c>
      <c r="AM2459" t="s">
        <v>10070</v>
      </c>
      <c r="AN2459" t="s">
        <v>9988</v>
      </c>
      <c r="AO2459" t="s">
        <v>10071</v>
      </c>
      <c r="AP2459">
        <v>1</v>
      </c>
      <c r="AQ2459" t="s">
        <v>10072</v>
      </c>
      <c r="AR2459" t="s">
        <v>10073</v>
      </c>
      <c r="AS2459" t="s">
        <v>66</v>
      </c>
      <c r="AT2459" t="s">
        <v>66</v>
      </c>
    </row>
    <row r="2460" spans="1:46" x14ac:dyDescent="0.15">
      <c r="A2460" t="s">
        <v>10254</v>
      </c>
      <c r="B2460" t="s">
        <v>9902</v>
      </c>
      <c r="C2460" t="s">
        <v>9903</v>
      </c>
      <c r="D2460">
        <v>86</v>
      </c>
      <c r="E2460" t="s">
        <v>9904</v>
      </c>
      <c r="F2460" t="s">
        <v>3592</v>
      </c>
      <c r="G2460" t="s">
        <v>51</v>
      </c>
      <c r="H2460" t="s">
        <v>9905</v>
      </c>
      <c r="I2460" t="s">
        <v>53</v>
      </c>
      <c r="J2460" t="s">
        <v>1554</v>
      </c>
      <c r="K2460" t="s">
        <v>5939</v>
      </c>
      <c r="L2460" t="s">
        <v>18</v>
      </c>
      <c r="M2460" t="s">
        <v>19</v>
      </c>
      <c r="N2460">
        <v>5270</v>
      </c>
      <c r="O2460">
        <v>310</v>
      </c>
      <c r="P2460">
        <v>0</v>
      </c>
      <c r="Q2460" t="s">
        <v>10255</v>
      </c>
      <c r="R2460" t="s">
        <v>1991</v>
      </c>
      <c r="S2460" t="s">
        <v>10256</v>
      </c>
      <c r="T2460" t="s">
        <v>10257</v>
      </c>
      <c r="U2460" t="s">
        <v>60</v>
      </c>
      <c r="V2460" t="s">
        <v>61</v>
      </c>
      <c r="W2460">
        <v>10</v>
      </c>
      <c r="X2460">
        <v>0.112</v>
      </c>
      <c r="Y2460" t="s">
        <v>628</v>
      </c>
      <c r="Z2460" t="s">
        <v>629</v>
      </c>
      <c r="AA2460">
        <v>4</v>
      </c>
      <c r="AB2460" t="s">
        <v>9906</v>
      </c>
      <c r="AC2460" t="s">
        <v>9907</v>
      </c>
      <c r="AD2460" t="s">
        <v>9908</v>
      </c>
      <c r="AE2460" t="s">
        <v>9909</v>
      </c>
      <c r="AF2460" t="s">
        <v>9910</v>
      </c>
      <c r="AG2460" t="s">
        <v>1857</v>
      </c>
      <c r="AH2460" t="s">
        <v>1963</v>
      </c>
      <c r="AI2460" t="s">
        <v>1857</v>
      </c>
      <c r="AJ2460" t="s">
        <v>1962</v>
      </c>
      <c r="AK2460">
        <v>1</v>
      </c>
      <c r="AL2460" t="s">
        <v>10069</v>
      </c>
      <c r="AM2460" t="s">
        <v>10070</v>
      </c>
      <c r="AN2460" t="s">
        <v>9988</v>
      </c>
      <c r="AO2460" t="s">
        <v>10071</v>
      </c>
      <c r="AP2460">
        <v>1</v>
      </c>
      <c r="AQ2460" t="s">
        <v>10072</v>
      </c>
      <c r="AR2460" t="s">
        <v>10073</v>
      </c>
      <c r="AS2460" t="s">
        <v>66</v>
      </c>
      <c r="AT2460" t="s">
        <v>66</v>
      </c>
    </row>
    <row r="2461" spans="1:46" x14ac:dyDescent="0.15">
      <c r="A2461" t="s">
        <v>10258</v>
      </c>
      <c r="B2461" t="s">
        <v>9902</v>
      </c>
      <c r="C2461" t="s">
        <v>9903</v>
      </c>
      <c r="D2461">
        <v>87</v>
      </c>
      <c r="E2461" t="s">
        <v>9904</v>
      </c>
      <c r="F2461" t="s">
        <v>3592</v>
      </c>
      <c r="G2461" t="s">
        <v>51</v>
      </c>
      <c r="H2461" t="s">
        <v>9905</v>
      </c>
      <c r="I2461" t="s">
        <v>53</v>
      </c>
      <c r="J2461" t="s">
        <v>1554</v>
      </c>
      <c r="K2461" t="s">
        <v>5939</v>
      </c>
      <c r="L2461" t="s">
        <v>18</v>
      </c>
      <c r="M2461" t="s">
        <v>19</v>
      </c>
      <c r="N2461">
        <v>5327</v>
      </c>
      <c r="O2461">
        <v>314</v>
      </c>
      <c r="P2461">
        <v>0</v>
      </c>
      <c r="Q2461" t="s">
        <v>10259</v>
      </c>
      <c r="R2461" t="s">
        <v>1996</v>
      </c>
      <c r="S2461" t="s">
        <v>10260</v>
      </c>
      <c r="T2461" t="s">
        <v>10261</v>
      </c>
      <c r="U2461" t="s">
        <v>60</v>
      </c>
      <c r="V2461" t="s">
        <v>61</v>
      </c>
      <c r="W2461">
        <v>10</v>
      </c>
      <c r="X2461">
        <v>0.112</v>
      </c>
      <c r="Y2461" t="s">
        <v>350</v>
      </c>
      <c r="Z2461" t="s">
        <v>635</v>
      </c>
      <c r="AA2461">
        <v>4</v>
      </c>
      <c r="AB2461" t="s">
        <v>9906</v>
      </c>
      <c r="AC2461" t="s">
        <v>9907</v>
      </c>
      <c r="AD2461" t="s">
        <v>9908</v>
      </c>
      <c r="AE2461" t="s">
        <v>9909</v>
      </c>
      <c r="AF2461" t="s">
        <v>9910</v>
      </c>
      <c r="AG2461" t="s">
        <v>1857</v>
      </c>
      <c r="AH2461" t="s">
        <v>1963</v>
      </c>
      <c r="AI2461" t="s">
        <v>1857</v>
      </c>
      <c r="AJ2461" t="s">
        <v>1962</v>
      </c>
      <c r="AK2461">
        <v>1</v>
      </c>
      <c r="AL2461" t="s">
        <v>10069</v>
      </c>
      <c r="AM2461" t="s">
        <v>10070</v>
      </c>
      <c r="AN2461" t="s">
        <v>9988</v>
      </c>
      <c r="AO2461" t="s">
        <v>10071</v>
      </c>
      <c r="AP2461">
        <v>1</v>
      </c>
      <c r="AQ2461" t="s">
        <v>10072</v>
      </c>
      <c r="AR2461" t="s">
        <v>10073</v>
      </c>
      <c r="AS2461" t="s">
        <v>66</v>
      </c>
      <c r="AT2461" t="s">
        <v>66</v>
      </c>
    </row>
    <row r="2462" spans="1:46" x14ac:dyDescent="0.15">
      <c r="A2462" t="s">
        <v>10262</v>
      </c>
      <c r="B2462" t="s">
        <v>9902</v>
      </c>
      <c r="C2462" t="s">
        <v>9903</v>
      </c>
      <c r="D2462">
        <v>88</v>
      </c>
      <c r="E2462" t="s">
        <v>9904</v>
      </c>
      <c r="F2462" t="s">
        <v>3592</v>
      </c>
      <c r="G2462" t="s">
        <v>51</v>
      </c>
      <c r="H2462" t="s">
        <v>9905</v>
      </c>
      <c r="I2462" t="s">
        <v>53</v>
      </c>
      <c r="J2462" t="s">
        <v>1554</v>
      </c>
      <c r="K2462" t="s">
        <v>5939</v>
      </c>
      <c r="L2462" t="s">
        <v>18</v>
      </c>
      <c r="M2462" t="s">
        <v>19</v>
      </c>
      <c r="N2462">
        <v>5383</v>
      </c>
      <c r="O2462">
        <v>317</v>
      </c>
      <c r="P2462">
        <v>0</v>
      </c>
      <c r="Q2462" t="s">
        <v>10263</v>
      </c>
      <c r="R2462" t="s">
        <v>2001</v>
      </c>
      <c r="S2462" t="s">
        <v>10264</v>
      </c>
      <c r="T2462" t="s">
        <v>10265</v>
      </c>
      <c r="U2462" t="s">
        <v>60</v>
      </c>
      <c r="V2462" t="s">
        <v>61</v>
      </c>
      <c r="W2462">
        <v>10</v>
      </c>
      <c r="X2462">
        <v>0.112</v>
      </c>
      <c r="Y2462" t="s">
        <v>641</v>
      </c>
      <c r="Z2462" t="s">
        <v>642</v>
      </c>
      <c r="AA2462">
        <v>4</v>
      </c>
      <c r="AB2462" t="s">
        <v>9906</v>
      </c>
      <c r="AC2462" t="s">
        <v>9907</v>
      </c>
      <c r="AD2462" t="s">
        <v>9908</v>
      </c>
      <c r="AE2462" t="s">
        <v>9909</v>
      </c>
      <c r="AF2462" t="s">
        <v>9910</v>
      </c>
      <c r="AG2462" t="s">
        <v>1857</v>
      </c>
      <c r="AH2462" t="s">
        <v>1963</v>
      </c>
      <c r="AI2462" t="s">
        <v>1857</v>
      </c>
      <c r="AJ2462" t="s">
        <v>1962</v>
      </c>
      <c r="AK2462">
        <v>1</v>
      </c>
      <c r="AL2462" t="s">
        <v>10069</v>
      </c>
      <c r="AM2462" t="s">
        <v>10070</v>
      </c>
      <c r="AN2462" t="s">
        <v>9988</v>
      </c>
      <c r="AO2462" t="s">
        <v>10071</v>
      </c>
      <c r="AP2462">
        <v>1</v>
      </c>
      <c r="AQ2462" t="s">
        <v>10072</v>
      </c>
      <c r="AR2462" t="s">
        <v>10073</v>
      </c>
      <c r="AS2462" t="s">
        <v>66</v>
      </c>
      <c r="AT2462" t="s">
        <v>66</v>
      </c>
    </row>
    <row r="2463" spans="1:46" x14ac:dyDescent="0.15">
      <c r="A2463" t="s">
        <v>10266</v>
      </c>
      <c r="B2463" t="s">
        <v>9902</v>
      </c>
      <c r="C2463" t="s">
        <v>9903</v>
      </c>
      <c r="D2463">
        <v>89</v>
      </c>
      <c r="E2463" t="s">
        <v>9904</v>
      </c>
      <c r="F2463" t="s">
        <v>3592</v>
      </c>
      <c r="G2463" t="s">
        <v>51</v>
      </c>
      <c r="H2463" t="s">
        <v>9905</v>
      </c>
      <c r="I2463" t="s">
        <v>53</v>
      </c>
      <c r="J2463" t="s">
        <v>1554</v>
      </c>
      <c r="K2463" t="s">
        <v>5939</v>
      </c>
      <c r="L2463" t="s">
        <v>18</v>
      </c>
      <c r="M2463" t="s">
        <v>19</v>
      </c>
      <c r="N2463">
        <v>5439</v>
      </c>
      <c r="O2463">
        <v>320</v>
      </c>
      <c r="P2463">
        <v>0</v>
      </c>
      <c r="Q2463" t="s">
        <v>10267</v>
      </c>
      <c r="R2463" t="s">
        <v>2005</v>
      </c>
      <c r="S2463" t="s">
        <v>10268</v>
      </c>
      <c r="T2463" t="s">
        <v>10269</v>
      </c>
      <c r="U2463" t="s">
        <v>60</v>
      </c>
      <c r="V2463" t="s">
        <v>61</v>
      </c>
      <c r="W2463">
        <v>10</v>
      </c>
      <c r="X2463">
        <v>0.112</v>
      </c>
      <c r="Y2463" t="s">
        <v>356</v>
      </c>
      <c r="Z2463" t="s">
        <v>648</v>
      </c>
      <c r="AA2463">
        <v>4</v>
      </c>
      <c r="AB2463" t="s">
        <v>9906</v>
      </c>
      <c r="AC2463" t="s">
        <v>9907</v>
      </c>
      <c r="AD2463" t="s">
        <v>9908</v>
      </c>
      <c r="AE2463" t="s">
        <v>9909</v>
      </c>
      <c r="AF2463" t="s">
        <v>9910</v>
      </c>
      <c r="AG2463" t="s">
        <v>1857</v>
      </c>
      <c r="AH2463" t="s">
        <v>1963</v>
      </c>
      <c r="AI2463" t="s">
        <v>1857</v>
      </c>
      <c r="AJ2463" t="s">
        <v>1962</v>
      </c>
      <c r="AK2463">
        <v>1</v>
      </c>
      <c r="AL2463" t="s">
        <v>10069</v>
      </c>
      <c r="AM2463" t="s">
        <v>10070</v>
      </c>
      <c r="AN2463" t="s">
        <v>9988</v>
      </c>
      <c r="AO2463" t="s">
        <v>10071</v>
      </c>
      <c r="AP2463">
        <v>1</v>
      </c>
      <c r="AQ2463" t="s">
        <v>10072</v>
      </c>
      <c r="AR2463" t="s">
        <v>10073</v>
      </c>
      <c r="AS2463" t="s">
        <v>66</v>
      </c>
      <c r="AT2463" t="s">
        <v>66</v>
      </c>
    </row>
    <row r="2464" spans="1:46" x14ac:dyDescent="0.15">
      <c r="A2464" t="s">
        <v>10270</v>
      </c>
      <c r="B2464" t="s">
        <v>9902</v>
      </c>
      <c r="C2464" t="s">
        <v>9903</v>
      </c>
      <c r="D2464">
        <v>90</v>
      </c>
      <c r="E2464" t="s">
        <v>9904</v>
      </c>
      <c r="F2464" t="s">
        <v>3592</v>
      </c>
      <c r="G2464" t="s">
        <v>51</v>
      </c>
      <c r="H2464" t="s">
        <v>9905</v>
      </c>
      <c r="I2464" t="s">
        <v>53</v>
      </c>
      <c r="J2464" t="s">
        <v>1554</v>
      </c>
      <c r="K2464" t="s">
        <v>5939</v>
      </c>
      <c r="L2464" t="s">
        <v>18</v>
      </c>
      <c r="M2464" t="s">
        <v>19</v>
      </c>
      <c r="N2464">
        <v>5495</v>
      </c>
      <c r="O2464">
        <v>323</v>
      </c>
      <c r="P2464">
        <v>0</v>
      </c>
      <c r="Q2464" t="s">
        <v>10271</v>
      </c>
      <c r="R2464" t="s">
        <v>2010</v>
      </c>
      <c r="S2464" t="s">
        <v>10272</v>
      </c>
      <c r="T2464" t="s">
        <v>10273</v>
      </c>
      <c r="U2464" t="s">
        <v>60</v>
      </c>
      <c r="V2464" t="s">
        <v>61</v>
      </c>
      <c r="W2464">
        <v>10</v>
      </c>
      <c r="X2464">
        <v>0.112</v>
      </c>
      <c r="Y2464" t="s">
        <v>654</v>
      </c>
      <c r="Z2464" t="s">
        <v>655</v>
      </c>
      <c r="AA2464">
        <v>4</v>
      </c>
      <c r="AB2464" t="s">
        <v>9906</v>
      </c>
      <c r="AC2464" t="s">
        <v>9907</v>
      </c>
      <c r="AD2464" t="s">
        <v>9908</v>
      </c>
      <c r="AE2464" t="s">
        <v>9909</v>
      </c>
      <c r="AF2464" t="s">
        <v>9910</v>
      </c>
      <c r="AG2464" t="s">
        <v>1857</v>
      </c>
      <c r="AH2464" t="s">
        <v>1963</v>
      </c>
      <c r="AI2464" t="s">
        <v>1857</v>
      </c>
      <c r="AJ2464" t="s">
        <v>1962</v>
      </c>
      <c r="AK2464">
        <v>1</v>
      </c>
      <c r="AL2464" t="s">
        <v>10069</v>
      </c>
      <c r="AM2464" t="s">
        <v>10070</v>
      </c>
      <c r="AN2464" t="s">
        <v>9988</v>
      </c>
      <c r="AO2464" t="s">
        <v>10071</v>
      </c>
      <c r="AP2464">
        <v>1</v>
      </c>
      <c r="AQ2464" t="s">
        <v>10072</v>
      </c>
      <c r="AR2464" t="s">
        <v>10073</v>
      </c>
      <c r="AS2464" t="s">
        <v>66</v>
      </c>
      <c r="AT2464" t="s">
        <v>66</v>
      </c>
    </row>
    <row r="2465" spans="1:46" x14ac:dyDescent="0.15">
      <c r="A2465" t="s">
        <v>10274</v>
      </c>
      <c r="B2465" t="s">
        <v>9902</v>
      </c>
      <c r="C2465" t="s">
        <v>9903</v>
      </c>
      <c r="D2465">
        <v>91</v>
      </c>
      <c r="E2465" t="s">
        <v>9904</v>
      </c>
      <c r="F2465" t="s">
        <v>3592</v>
      </c>
      <c r="G2465" t="s">
        <v>51</v>
      </c>
      <c r="H2465" t="s">
        <v>9905</v>
      </c>
      <c r="I2465" t="s">
        <v>53</v>
      </c>
      <c r="J2465" t="s">
        <v>1554</v>
      </c>
      <c r="K2465" t="s">
        <v>5939</v>
      </c>
      <c r="L2465" t="s">
        <v>18</v>
      </c>
      <c r="M2465" t="s">
        <v>19</v>
      </c>
      <c r="N2465">
        <v>5551</v>
      </c>
      <c r="O2465">
        <v>327</v>
      </c>
      <c r="P2465">
        <v>0</v>
      </c>
      <c r="Q2465" t="s">
        <v>10275</v>
      </c>
      <c r="R2465" t="s">
        <v>2015</v>
      </c>
      <c r="S2465" t="s">
        <v>10276</v>
      </c>
      <c r="T2465" t="s">
        <v>10277</v>
      </c>
      <c r="U2465" t="s">
        <v>60</v>
      </c>
      <c r="V2465" t="s">
        <v>61</v>
      </c>
      <c r="W2465">
        <v>10</v>
      </c>
      <c r="X2465">
        <v>0.112</v>
      </c>
      <c r="Y2465" t="s">
        <v>363</v>
      </c>
      <c r="Z2465" t="s">
        <v>661</v>
      </c>
      <c r="AA2465">
        <v>4</v>
      </c>
      <c r="AB2465" t="s">
        <v>9906</v>
      </c>
      <c r="AC2465" t="s">
        <v>9907</v>
      </c>
      <c r="AD2465" t="s">
        <v>9908</v>
      </c>
      <c r="AE2465" t="s">
        <v>9909</v>
      </c>
      <c r="AF2465" t="s">
        <v>9910</v>
      </c>
      <c r="AG2465" t="s">
        <v>1857</v>
      </c>
      <c r="AH2465" t="s">
        <v>1963</v>
      </c>
      <c r="AI2465" t="s">
        <v>1857</v>
      </c>
      <c r="AJ2465" t="s">
        <v>1962</v>
      </c>
      <c r="AK2465">
        <v>1</v>
      </c>
      <c r="AL2465" t="s">
        <v>10069</v>
      </c>
      <c r="AM2465" t="s">
        <v>10070</v>
      </c>
      <c r="AN2465" t="s">
        <v>9988</v>
      </c>
      <c r="AO2465" t="s">
        <v>10071</v>
      </c>
      <c r="AP2465">
        <v>1</v>
      </c>
      <c r="AQ2465" t="s">
        <v>10072</v>
      </c>
      <c r="AR2465" t="s">
        <v>10073</v>
      </c>
      <c r="AS2465" t="s">
        <v>66</v>
      </c>
      <c r="AT2465" t="s">
        <v>66</v>
      </c>
    </row>
    <row r="2466" spans="1:46" x14ac:dyDescent="0.15">
      <c r="A2466" t="s">
        <v>10278</v>
      </c>
      <c r="B2466" t="s">
        <v>9902</v>
      </c>
      <c r="C2466" t="s">
        <v>9903</v>
      </c>
      <c r="D2466">
        <v>92</v>
      </c>
      <c r="E2466" t="s">
        <v>9904</v>
      </c>
      <c r="F2466" t="s">
        <v>3592</v>
      </c>
      <c r="G2466" t="s">
        <v>51</v>
      </c>
      <c r="H2466" t="s">
        <v>9905</v>
      </c>
      <c r="I2466" t="s">
        <v>53</v>
      </c>
      <c r="J2466" t="s">
        <v>1554</v>
      </c>
      <c r="K2466" t="s">
        <v>5939</v>
      </c>
      <c r="L2466" t="s">
        <v>18</v>
      </c>
      <c r="M2466" t="s">
        <v>19</v>
      </c>
      <c r="N2466">
        <v>5607</v>
      </c>
      <c r="O2466">
        <v>330</v>
      </c>
      <c r="P2466">
        <v>0</v>
      </c>
      <c r="Q2466" t="s">
        <v>10279</v>
      </c>
      <c r="R2466" t="s">
        <v>2020</v>
      </c>
      <c r="S2466" t="s">
        <v>10280</v>
      </c>
      <c r="T2466" t="s">
        <v>10281</v>
      </c>
      <c r="U2466" t="s">
        <v>60</v>
      </c>
      <c r="V2466" t="s">
        <v>61</v>
      </c>
      <c r="W2466">
        <v>10</v>
      </c>
      <c r="X2466">
        <v>0.112</v>
      </c>
      <c r="Y2466" t="s">
        <v>667</v>
      </c>
      <c r="Z2466" t="s">
        <v>668</v>
      </c>
      <c r="AA2466">
        <v>4</v>
      </c>
      <c r="AB2466" t="s">
        <v>9906</v>
      </c>
      <c r="AC2466" t="s">
        <v>9907</v>
      </c>
      <c r="AD2466" t="s">
        <v>9908</v>
      </c>
      <c r="AE2466" t="s">
        <v>9909</v>
      </c>
      <c r="AF2466" t="s">
        <v>9910</v>
      </c>
      <c r="AG2466" t="s">
        <v>1857</v>
      </c>
      <c r="AH2466" t="s">
        <v>1963</v>
      </c>
      <c r="AI2466" t="s">
        <v>1857</v>
      </c>
      <c r="AJ2466" t="s">
        <v>1962</v>
      </c>
      <c r="AK2466">
        <v>1</v>
      </c>
      <c r="AL2466" t="s">
        <v>10069</v>
      </c>
      <c r="AM2466" t="s">
        <v>10070</v>
      </c>
      <c r="AN2466" t="s">
        <v>9988</v>
      </c>
      <c r="AO2466" t="s">
        <v>10071</v>
      </c>
      <c r="AP2466">
        <v>1</v>
      </c>
      <c r="AQ2466" t="s">
        <v>10072</v>
      </c>
      <c r="AR2466" t="s">
        <v>10073</v>
      </c>
      <c r="AS2466" t="s">
        <v>66</v>
      </c>
      <c r="AT2466" t="s">
        <v>66</v>
      </c>
    </row>
    <row r="2467" spans="1:46" x14ac:dyDescent="0.15">
      <c r="A2467" t="s">
        <v>10282</v>
      </c>
      <c r="B2467" t="s">
        <v>9902</v>
      </c>
      <c r="C2467" t="s">
        <v>9903</v>
      </c>
      <c r="D2467">
        <v>93</v>
      </c>
      <c r="E2467" t="s">
        <v>9904</v>
      </c>
      <c r="F2467" t="s">
        <v>3592</v>
      </c>
      <c r="G2467" t="s">
        <v>51</v>
      </c>
      <c r="H2467" t="s">
        <v>9905</v>
      </c>
      <c r="I2467" t="s">
        <v>53</v>
      </c>
      <c r="J2467" t="s">
        <v>1554</v>
      </c>
      <c r="K2467" t="s">
        <v>5939</v>
      </c>
      <c r="L2467" t="s">
        <v>18</v>
      </c>
      <c r="M2467" t="s">
        <v>19</v>
      </c>
      <c r="N2467">
        <v>5663</v>
      </c>
      <c r="O2467">
        <v>333</v>
      </c>
      <c r="P2467">
        <v>0</v>
      </c>
      <c r="Q2467" t="s">
        <v>10283</v>
      </c>
      <c r="R2467" t="s">
        <v>2025</v>
      </c>
      <c r="S2467" t="s">
        <v>10284</v>
      </c>
      <c r="T2467" t="s">
        <v>10285</v>
      </c>
      <c r="U2467" t="s">
        <v>60</v>
      </c>
      <c r="V2467" t="s">
        <v>61</v>
      </c>
      <c r="W2467">
        <v>10</v>
      </c>
      <c r="X2467">
        <v>0.112</v>
      </c>
      <c r="Y2467" t="s">
        <v>369</v>
      </c>
      <c r="Z2467" t="s">
        <v>674</v>
      </c>
      <c r="AA2467">
        <v>4</v>
      </c>
      <c r="AB2467" t="s">
        <v>9906</v>
      </c>
      <c r="AC2467" t="s">
        <v>9907</v>
      </c>
      <c r="AD2467" t="s">
        <v>9908</v>
      </c>
      <c r="AE2467" t="s">
        <v>9909</v>
      </c>
      <c r="AF2467" t="s">
        <v>9910</v>
      </c>
      <c r="AG2467" t="s">
        <v>1857</v>
      </c>
      <c r="AH2467" t="s">
        <v>1963</v>
      </c>
      <c r="AI2467" t="s">
        <v>1857</v>
      </c>
      <c r="AJ2467" t="s">
        <v>1962</v>
      </c>
      <c r="AK2467">
        <v>1</v>
      </c>
      <c r="AL2467" t="s">
        <v>10069</v>
      </c>
      <c r="AM2467" t="s">
        <v>10070</v>
      </c>
      <c r="AN2467" t="s">
        <v>9988</v>
      </c>
      <c r="AO2467" t="s">
        <v>10071</v>
      </c>
      <c r="AP2467">
        <v>1</v>
      </c>
      <c r="AQ2467" t="s">
        <v>10072</v>
      </c>
      <c r="AR2467" t="s">
        <v>10073</v>
      </c>
      <c r="AS2467" t="s">
        <v>66</v>
      </c>
      <c r="AT2467" t="s">
        <v>66</v>
      </c>
    </row>
    <row r="2468" spans="1:46" x14ac:dyDescent="0.15">
      <c r="A2468" t="s">
        <v>10286</v>
      </c>
      <c r="B2468" t="s">
        <v>9902</v>
      </c>
      <c r="C2468" t="s">
        <v>9903</v>
      </c>
      <c r="D2468">
        <v>94</v>
      </c>
      <c r="E2468" t="s">
        <v>9904</v>
      </c>
      <c r="F2468" t="s">
        <v>3592</v>
      </c>
      <c r="G2468" t="s">
        <v>51</v>
      </c>
      <c r="H2468" t="s">
        <v>9905</v>
      </c>
      <c r="I2468" t="s">
        <v>53</v>
      </c>
      <c r="J2468" t="s">
        <v>1554</v>
      </c>
      <c r="K2468" t="s">
        <v>5939</v>
      </c>
      <c r="L2468" t="s">
        <v>18</v>
      </c>
      <c r="M2468" t="s">
        <v>19</v>
      </c>
      <c r="N2468">
        <v>5719</v>
      </c>
      <c r="O2468">
        <v>337</v>
      </c>
      <c r="P2468">
        <v>0</v>
      </c>
      <c r="Q2468" t="s">
        <v>10287</v>
      </c>
      <c r="R2468" t="s">
        <v>2030</v>
      </c>
      <c r="S2468" t="s">
        <v>10288</v>
      </c>
      <c r="T2468" t="s">
        <v>10289</v>
      </c>
      <c r="U2468" t="s">
        <v>60</v>
      </c>
      <c r="V2468" t="s">
        <v>61</v>
      </c>
      <c r="W2468">
        <v>10</v>
      </c>
      <c r="X2468">
        <v>0.112</v>
      </c>
      <c r="Y2468" t="s">
        <v>680</v>
      </c>
      <c r="Z2468" t="s">
        <v>681</v>
      </c>
      <c r="AA2468">
        <v>4</v>
      </c>
      <c r="AB2468" t="s">
        <v>9906</v>
      </c>
      <c r="AC2468" t="s">
        <v>9907</v>
      </c>
      <c r="AD2468" t="s">
        <v>9908</v>
      </c>
      <c r="AE2468" t="s">
        <v>9909</v>
      </c>
      <c r="AF2468" t="s">
        <v>9910</v>
      </c>
      <c r="AG2468" t="s">
        <v>1857</v>
      </c>
      <c r="AH2468" t="s">
        <v>1963</v>
      </c>
      <c r="AI2468" t="s">
        <v>1857</v>
      </c>
      <c r="AJ2468" t="s">
        <v>1962</v>
      </c>
      <c r="AK2468">
        <v>1</v>
      </c>
      <c r="AL2468" t="s">
        <v>10069</v>
      </c>
      <c r="AM2468" t="s">
        <v>10070</v>
      </c>
      <c r="AN2468" t="s">
        <v>9988</v>
      </c>
      <c r="AO2468" t="s">
        <v>10071</v>
      </c>
      <c r="AP2468">
        <v>1</v>
      </c>
      <c r="AQ2468" t="s">
        <v>10072</v>
      </c>
      <c r="AR2468" t="s">
        <v>10073</v>
      </c>
      <c r="AS2468" t="s">
        <v>66</v>
      </c>
      <c r="AT2468" t="s">
        <v>66</v>
      </c>
    </row>
    <row r="2469" spans="1:46" x14ac:dyDescent="0.15">
      <c r="A2469" t="s">
        <v>10290</v>
      </c>
      <c r="B2469" t="s">
        <v>9902</v>
      </c>
      <c r="C2469" t="s">
        <v>9903</v>
      </c>
      <c r="D2469">
        <v>95</v>
      </c>
      <c r="E2469" t="s">
        <v>9904</v>
      </c>
      <c r="F2469" t="s">
        <v>3592</v>
      </c>
      <c r="G2469" t="s">
        <v>51</v>
      </c>
      <c r="H2469" t="s">
        <v>9905</v>
      </c>
      <c r="I2469" t="s">
        <v>53</v>
      </c>
      <c r="J2469" t="s">
        <v>1554</v>
      </c>
      <c r="K2469" t="s">
        <v>5939</v>
      </c>
      <c r="L2469" t="s">
        <v>18</v>
      </c>
      <c r="M2469" t="s">
        <v>19</v>
      </c>
      <c r="N2469">
        <v>5776</v>
      </c>
      <c r="O2469">
        <v>340</v>
      </c>
      <c r="P2469">
        <v>0</v>
      </c>
      <c r="Q2469" t="s">
        <v>10291</v>
      </c>
      <c r="R2469" t="s">
        <v>2035</v>
      </c>
      <c r="S2469" t="s">
        <v>10292</v>
      </c>
      <c r="T2469" t="s">
        <v>10293</v>
      </c>
      <c r="U2469" t="s">
        <v>60</v>
      </c>
      <c r="V2469" t="s">
        <v>61</v>
      </c>
      <c r="W2469">
        <v>10</v>
      </c>
      <c r="X2469">
        <v>0.112</v>
      </c>
      <c r="Y2469" t="s">
        <v>376</v>
      </c>
      <c r="Z2469" t="s">
        <v>687</v>
      </c>
      <c r="AA2469">
        <v>4</v>
      </c>
      <c r="AB2469" t="s">
        <v>9906</v>
      </c>
      <c r="AC2469" t="s">
        <v>9907</v>
      </c>
      <c r="AD2469" t="s">
        <v>9908</v>
      </c>
      <c r="AE2469" t="s">
        <v>9909</v>
      </c>
      <c r="AF2469" t="s">
        <v>9910</v>
      </c>
      <c r="AG2469" t="s">
        <v>1857</v>
      </c>
      <c r="AH2469" t="s">
        <v>1963</v>
      </c>
      <c r="AI2469" t="s">
        <v>1857</v>
      </c>
      <c r="AJ2469" t="s">
        <v>1962</v>
      </c>
      <c r="AK2469">
        <v>1</v>
      </c>
      <c r="AL2469" t="s">
        <v>10069</v>
      </c>
      <c r="AM2469" t="s">
        <v>10070</v>
      </c>
      <c r="AN2469" t="s">
        <v>9988</v>
      </c>
      <c r="AO2469" t="s">
        <v>10071</v>
      </c>
      <c r="AP2469">
        <v>1</v>
      </c>
      <c r="AQ2469" t="s">
        <v>10072</v>
      </c>
      <c r="AR2469" t="s">
        <v>10073</v>
      </c>
      <c r="AS2469" t="s">
        <v>66</v>
      </c>
      <c r="AT2469" t="s">
        <v>66</v>
      </c>
    </row>
    <row r="2470" spans="1:46" x14ac:dyDescent="0.15">
      <c r="A2470" t="s">
        <v>10294</v>
      </c>
      <c r="B2470" t="s">
        <v>9902</v>
      </c>
      <c r="C2470" t="s">
        <v>9903</v>
      </c>
      <c r="D2470">
        <v>96</v>
      </c>
      <c r="E2470" t="s">
        <v>9904</v>
      </c>
      <c r="F2470" t="s">
        <v>3592</v>
      </c>
      <c r="G2470" t="s">
        <v>51</v>
      </c>
      <c r="H2470" t="s">
        <v>9905</v>
      </c>
      <c r="I2470" t="s">
        <v>53</v>
      </c>
      <c r="J2470" t="s">
        <v>1554</v>
      </c>
      <c r="K2470" t="s">
        <v>5939</v>
      </c>
      <c r="L2470" t="s">
        <v>18</v>
      </c>
      <c r="M2470" t="s">
        <v>19</v>
      </c>
      <c r="N2470">
        <v>5832</v>
      </c>
      <c r="O2470">
        <v>343</v>
      </c>
      <c r="P2470">
        <v>0</v>
      </c>
      <c r="Q2470" t="s">
        <v>10295</v>
      </c>
      <c r="R2470" t="s">
        <v>2039</v>
      </c>
      <c r="S2470" t="s">
        <v>10296</v>
      </c>
      <c r="T2470" t="s">
        <v>10297</v>
      </c>
      <c r="U2470" t="s">
        <v>60</v>
      </c>
      <c r="V2470" t="s">
        <v>61</v>
      </c>
      <c r="W2470">
        <v>10</v>
      </c>
      <c r="X2470">
        <v>0.112</v>
      </c>
      <c r="Y2470" t="s">
        <v>693</v>
      </c>
      <c r="Z2470" t="s">
        <v>694</v>
      </c>
      <c r="AA2470">
        <v>4</v>
      </c>
      <c r="AB2470" t="s">
        <v>9906</v>
      </c>
      <c r="AC2470" t="s">
        <v>9907</v>
      </c>
      <c r="AD2470" t="s">
        <v>9908</v>
      </c>
      <c r="AE2470" t="s">
        <v>9909</v>
      </c>
      <c r="AF2470" t="s">
        <v>9910</v>
      </c>
      <c r="AG2470" t="s">
        <v>1857</v>
      </c>
      <c r="AH2470" t="s">
        <v>1963</v>
      </c>
      <c r="AI2470" t="s">
        <v>1857</v>
      </c>
      <c r="AJ2470" t="s">
        <v>1962</v>
      </c>
      <c r="AK2470">
        <v>1</v>
      </c>
      <c r="AL2470" t="s">
        <v>10069</v>
      </c>
      <c r="AM2470" t="s">
        <v>10070</v>
      </c>
      <c r="AN2470" t="s">
        <v>9988</v>
      </c>
      <c r="AO2470" t="s">
        <v>10071</v>
      </c>
      <c r="AP2470">
        <v>1</v>
      </c>
      <c r="AQ2470" t="s">
        <v>10072</v>
      </c>
      <c r="AR2470" t="s">
        <v>10073</v>
      </c>
      <c r="AS2470" t="s">
        <v>66</v>
      </c>
      <c r="AT2470" t="s">
        <v>66</v>
      </c>
    </row>
    <row r="2471" spans="1:46" x14ac:dyDescent="0.15">
      <c r="A2471" t="s">
        <v>10298</v>
      </c>
      <c r="B2471" t="s">
        <v>9902</v>
      </c>
      <c r="C2471" t="s">
        <v>9903</v>
      </c>
      <c r="D2471">
        <v>97</v>
      </c>
      <c r="E2471" t="s">
        <v>9904</v>
      </c>
      <c r="F2471" t="s">
        <v>3592</v>
      </c>
      <c r="G2471" t="s">
        <v>51</v>
      </c>
      <c r="H2471" t="s">
        <v>9905</v>
      </c>
      <c r="I2471" t="s">
        <v>53</v>
      </c>
      <c r="J2471" t="s">
        <v>1554</v>
      </c>
      <c r="K2471" t="s">
        <v>5939</v>
      </c>
      <c r="L2471" t="s">
        <v>18</v>
      </c>
      <c r="M2471" t="s">
        <v>19</v>
      </c>
      <c r="N2471">
        <v>5888</v>
      </c>
      <c r="O2471">
        <v>347</v>
      </c>
      <c r="P2471">
        <v>0</v>
      </c>
      <c r="Q2471" t="s">
        <v>10299</v>
      </c>
      <c r="R2471" t="s">
        <v>2044</v>
      </c>
      <c r="S2471" t="s">
        <v>10300</v>
      </c>
      <c r="T2471" t="s">
        <v>10301</v>
      </c>
      <c r="U2471" t="s">
        <v>60</v>
      </c>
      <c r="V2471" t="s">
        <v>61</v>
      </c>
      <c r="W2471">
        <v>10</v>
      </c>
      <c r="X2471">
        <v>0.112</v>
      </c>
      <c r="Y2471" t="s">
        <v>382</v>
      </c>
      <c r="Z2471" t="s">
        <v>700</v>
      </c>
      <c r="AA2471">
        <v>4</v>
      </c>
      <c r="AB2471" t="s">
        <v>9906</v>
      </c>
      <c r="AC2471" t="s">
        <v>9907</v>
      </c>
      <c r="AD2471" t="s">
        <v>9908</v>
      </c>
      <c r="AE2471" t="s">
        <v>9909</v>
      </c>
      <c r="AF2471" t="s">
        <v>9910</v>
      </c>
      <c r="AG2471" t="s">
        <v>1857</v>
      </c>
      <c r="AH2471" t="s">
        <v>1963</v>
      </c>
      <c r="AI2471" t="s">
        <v>1857</v>
      </c>
      <c r="AJ2471" t="s">
        <v>1962</v>
      </c>
      <c r="AK2471">
        <v>1</v>
      </c>
      <c r="AL2471" t="s">
        <v>10069</v>
      </c>
      <c r="AM2471" t="s">
        <v>10070</v>
      </c>
      <c r="AN2471" t="s">
        <v>9988</v>
      </c>
      <c r="AO2471" t="s">
        <v>10071</v>
      </c>
      <c r="AP2471">
        <v>1</v>
      </c>
      <c r="AQ2471" t="s">
        <v>10072</v>
      </c>
      <c r="AR2471" t="s">
        <v>10073</v>
      </c>
      <c r="AS2471" t="s">
        <v>66</v>
      </c>
      <c r="AT2471" t="s">
        <v>66</v>
      </c>
    </row>
    <row r="2472" spans="1:46" x14ac:dyDescent="0.15">
      <c r="A2472" t="s">
        <v>10302</v>
      </c>
      <c r="B2472" t="s">
        <v>9902</v>
      </c>
      <c r="C2472" t="s">
        <v>9903</v>
      </c>
      <c r="D2472">
        <v>98</v>
      </c>
      <c r="E2472" t="s">
        <v>9904</v>
      </c>
      <c r="F2472" t="s">
        <v>3592</v>
      </c>
      <c r="G2472" t="s">
        <v>51</v>
      </c>
      <c r="H2472" t="s">
        <v>9905</v>
      </c>
      <c r="I2472" t="s">
        <v>53</v>
      </c>
      <c r="J2472" t="s">
        <v>1554</v>
      </c>
      <c r="K2472" t="s">
        <v>5939</v>
      </c>
      <c r="L2472" t="s">
        <v>18</v>
      </c>
      <c r="M2472" t="s">
        <v>19</v>
      </c>
      <c r="N2472">
        <v>5944</v>
      </c>
      <c r="O2472">
        <v>350</v>
      </c>
      <c r="P2472">
        <v>0</v>
      </c>
      <c r="Q2472" t="s">
        <v>10303</v>
      </c>
      <c r="R2472" t="s">
        <v>2049</v>
      </c>
      <c r="S2472" t="s">
        <v>10304</v>
      </c>
      <c r="T2472" t="s">
        <v>10305</v>
      </c>
      <c r="U2472" t="s">
        <v>60</v>
      </c>
      <c r="V2472" t="s">
        <v>61</v>
      </c>
      <c r="W2472">
        <v>10</v>
      </c>
      <c r="X2472">
        <v>0.112</v>
      </c>
      <c r="Y2472" t="s">
        <v>706</v>
      </c>
      <c r="Z2472" t="s">
        <v>707</v>
      </c>
      <c r="AA2472">
        <v>4</v>
      </c>
      <c r="AB2472" t="s">
        <v>9906</v>
      </c>
      <c r="AC2472" t="s">
        <v>9907</v>
      </c>
      <c r="AD2472" t="s">
        <v>9908</v>
      </c>
      <c r="AE2472" t="s">
        <v>9909</v>
      </c>
      <c r="AF2472" t="s">
        <v>9910</v>
      </c>
      <c r="AG2472" t="s">
        <v>1857</v>
      </c>
      <c r="AH2472" t="s">
        <v>1963</v>
      </c>
      <c r="AI2472" t="s">
        <v>1857</v>
      </c>
      <c r="AJ2472" t="s">
        <v>1962</v>
      </c>
      <c r="AK2472">
        <v>1</v>
      </c>
      <c r="AL2472" t="s">
        <v>10069</v>
      </c>
      <c r="AM2472" t="s">
        <v>10070</v>
      </c>
      <c r="AN2472" t="s">
        <v>9988</v>
      </c>
      <c r="AO2472" t="s">
        <v>10071</v>
      </c>
      <c r="AP2472">
        <v>1</v>
      </c>
      <c r="AQ2472" t="s">
        <v>10072</v>
      </c>
      <c r="AR2472" t="s">
        <v>10073</v>
      </c>
      <c r="AS2472" t="s">
        <v>66</v>
      </c>
      <c r="AT2472" t="s">
        <v>66</v>
      </c>
    </row>
    <row r="2473" spans="1:46" x14ac:dyDescent="0.15">
      <c r="A2473" t="s">
        <v>10306</v>
      </c>
      <c r="B2473" t="s">
        <v>9902</v>
      </c>
      <c r="C2473" t="s">
        <v>9903</v>
      </c>
      <c r="D2473">
        <v>99</v>
      </c>
      <c r="E2473" t="s">
        <v>9904</v>
      </c>
      <c r="F2473" t="s">
        <v>3592</v>
      </c>
      <c r="G2473" t="s">
        <v>51</v>
      </c>
      <c r="H2473" t="s">
        <v>9905</v>
      </c>
      <c r="I2473" t="s">
        <v>53</v>
      </c>
      <c r="J2473" t="s">
        <v>1554</v>
      </c>
      <c r="K2473" t="s">
        <v>5939</v>
      </c>
      <c r="L2473" t="s">
        <v>18</v>
      </c>
      <c r="M2473" t="s">
        <v>19</v>
      </c>
      <c r="N2473">
        <v>6000</v>
      </c>
      <c r="O2473">
        <v>353</v>
      </c>
      <c r="P2473">
        <v>0</v>
      </c>
      <c r="Q2473" t="s">
        <v>10307</v>
      </c>
      <c r="R2473" t="s">
        <v>2054</v>
      </c>
      <c r="S2473" t="s">
        <v>3586</v>
      </c>
      <c r="T2473" t="s">
        <v>10308</v>
      </c>
      <c r="U2473" t="s">
        <v>60</v>
      </c>
      <c r="V2473" t="s">
        <v>61</v>
      </c>
      <c r="W2473">
        <v>10</v>
      </c>
      <c r="X2473">
        <v>0.112</v>
      </c>
      <c r="Y2473" t="s">
        <v>389</v>
      </c>
      <c r="Z2473" t="s">
        <v>713</v>
      </c>
      <c r="AA2473">
        <v>4</v>
      </c>
      <c r="AB2473" t="s">
        <v>9906</v>
      </c>
      <c r="AC2473" t="s">
        <v>9907</v>
      </c>
      <c r="AD2473" t="s">
        <v>9908</v>
      </c>
      <c r="AE2473" t="s">
        <v>9909</v>
      </c>
      <c r="AF2473" t="s">
        <v>9910</v>
      </c>
      <c r="AG2473" t="s">
        <v>1857</v>
      </c>
      <c r="AH2473" t="s">
        <v>1963</v>
      </c>
      <c r="AI2473" t="s">
        <v>1857</v>
      </c>
      <c r="AJ2473" t="s">
        <v>1962</v>
      </c>
      <c r="AK2473">
        <v>1</v>
      </c>
      <c r="AL2473" t="s">
        <v>10069</v>
      </c>
      <c r="AM2473" t="s">
        <v>10070</v>
      </c>
      <c r="AN2473" t="s">
        <v>9988</v>
      </c>
      <c r="AO2473" t="s">
        <v>10071</v>
      </c>
      <c r="AP2473">
        <v>1</v>
      </c>
      <c r="AQ2473" t="s">
        <v>10072</v>
      </c>
      <c r="AR2473" t="s">
        <v>10073</v>
      </c>
      <c r="AS2473" t="s">
        <v>66</v>
      </c>
      <c r="AT2473" t="s">
        <v>66</v>
      </c>
    </row>
    <row r="2474" spans="1:46" x14ac:dyDescent="0.15">
      <c r="A2474" t="s">
        <v>10309</v>
      </c>
      <c r="B2474" t="s">
        <v>10310</v>
      </c>
      <c r="C2474" t="s">
        <v>10311</v>
      </c>
      <c r="D2474">
        <v>1</v>
      </c>
      <c r="E2474" t="s">
        <v>10312</v>
      </c>
      <c r="F2474" t="s">
        <v>1551</v>
      </c>
      <c r="G2474" t="s">
        <v>51</v>
      </c>
      <c r="H2474" t="s">
        <v>10313</v>
      </c>
      <c r="I2474" t="s">
        <v>53</v>
      </c>
      <c r="J2474" t="s">
        <v>2572</v>
      </c>
      <c r="K2474" t="s">
        <v>3594</v>
      </c>
      <c r="L2474" t="s">
        <v>17</v>
      </c>
      <c r="M2474" t="s">
        <v>16</v>
      </c>
      <c r="N2474">
        <v>500</v>
      </c>
      <c r="O2474">
        <v>30</v>
      </c>
      <c r="P2474">
        <v>0</v>
      </c>
      <c r="Q2474" t="s">
        <v>10314</v>
      </c>
      <c r="R2474" t="s">
        <v>10315</v>
      </c>
      <c r="S2474" t="s">
        <v>10316</v>
      </c>
      <c r="T2474" t="s">
        <v>10317</v>
      </c>
      <c r="U2474" t="s">
        <v>60</v>
      </c>
      <c r="V2474" t="s">
        <v>61</v>
      </c>
      <c r="W2474">
        <v>10</v>
      </c>
      <c r="X2474">
        <v>0.1150625</v>
      </c>
      <c r="Y2474" t="s">
        <v>62</v>
      </c>
      <c r="Z2474" t="s">
        <v>62</v>
      </c>
      <c r="AA2474">
        <v>0</v>
      </c>
      <c r="AB2474" t="s">
        <v>10318</v>
      </c>
      <c r="AC2474" t="s">
        <v>10319</v>
      </c>
      <c r="AD2474" t="s">
        <v>10320</v>
      </c>
      <c r="AE2474" t="s">
        <v>10321</v>
      </c>
      <c r="AF2474" t="s">
        <v>10322</v>
      </c>
      <c r="AG2474" t="s">
        <v>66</v>
      </c>
      <c r="AH2474" t="s">
        <v>66</v>
      </c>
      <c r="AI2474" t="s">
        <v>66</v>
      </c>
      <c r="AJ2474" t="s">
        <v>66</v>
      </c>
      <c r="AK2474">
        <v>1</v>
      </c>
      <c r="AL2474" t="s">
        <v>66</v>
      </c>
      <c r="AM2474" t="s">
        <v>66</v>
      </c>
      <c r="AN2474" t="s">
        <v>66</v>
      </c>
      <c r="AO2474" t="s">
        <v>66</v>
      </c>
      <c r="AP2474">
        <v>1</v>
      </c>
      <c r="AQ2474" t="s">
        <v>66</v>
      </c>
      <c r="AR2474" t="s">
        <v>66</v>
      </c>
      <c r="AS2474" t="s">
        <v>66</v>
      </c>
      <c r="AT2474" t="s">
        <v>66</v>
      </c>
    </row>
    <row r="2475" spans="1:46" x14ac:dyDescent="0.15">
      <c r="A2475" t="s">
        <v>10323</v>
      </c>
      <c r="B2475" t="s">
        <v>10310</v>
      </c>
      <c r="C2475" t="s">
        <v>10311</v>
      </c>
      <c r="D2475">
        <v>2</v>
      </c>
      <c r="E2475" t="s">
        <v>10312</v>
      </c>
      <c r="F2475" t="s">
        <v>1551</v>
      </c>
      <c r="G2475" t="s">
        <v>51</v>
      </c>
      <c r="H2475" t="s">
        <v>10313</v>
      </c>
      <c r="I2475" t="s">
        <v>53</v>
      </c>
      <c r="J2475" t="s">
        <v>2572</v>
      </c>
      <c r="K2475" t="s">
        <v>3594</v>
      </c>
      <c r="L2475" t="s">
        <v>17</v>
      </c>
      <c r="M2475" t="s">
        <v>16</v>
      </c>
      <c r="N2475">
        <v>556</v>
      </c>
      <c r="O2475">
        <v>33</v>
      </c>
      <c r="P2475">
        <v>0</v>
      </c>
      <c r="Q2475" t="s">
        <v>10324</v>
      </c>
      <c r="R2475" t="s">
        <v>10325</v>
      </c>
      <c r="S2475" t="s">
        <v>10326</v>
      </c>
      <c r="T2475" t="s">
        <v>10327</v>
      </c>
      <c r="U2475" t="s">
        <v>60</v>
      </c>
      <c r="V2475" t="s">
        <v>61</v>
      </c>
      <c r="W2475">
        <v>10</v>
      </c>
      <c r="X2475">
        <v>0.1150625</v>
      </c>
      <c r="Y2475" t="s">
        <v>72</v>
      </c>
      <c r="Z2475" t="s">
        <v>73</v>
      </c>
      <c r="AA2475">
        <v>0</v>
      </c>
      <c r="AB2475" t="s">
        <v>10318</v>
      </c>
      <c r="AC2475" t="s">
        <v>10319</v>
      </c>
      <c r="AD2475" t="s">
        <v>10320</v>
      </c>
      <c r="AE2475" t="s">
        <v>10321</v>
      </c>
      <c r="AF2475" t="s">
        <v>10322</v>
      </c>
      <c r="AG2475" t="s">
        <v>66</v>
      </c>
      <c r="AH2475" t="s">
        <v>66</v>
      </c>
      <c r="AI2475" t="s">
        <v>66</v>
      </c>
      <c r="AJ2475" t="s">
        <v>66</v>
      </c>
      <c r="AK2475">
        <v>1</v>
      </c>
      <c r="AL2475" t="s">
        <v>66</v>
      </c>
      <c r="AM2475" t="s">
        <v>66</v>
      </c>
      <c r="AN2475" t="s">
        <v>66</v>
      </c>
      <c r="AO2475" t="s">
        <v>66</v>
      </c>
      <c r="AP2475">
        <v>1</v>
      </c>
      <c r="AQ2475" t="s">
        <v>66</v>
      </c>
      <c r="AR2475" t="s">
        <v>66</v>
      </c>
      <c r="AS2475" t="s">
        <v>66</v>
      </c>
      <c r="AT2475" t="s">
        <v>66</v>
      </c>
    </row>
    <row r="2476" spans="1:46" x14ac:dyDescent="0.15">
      <c r="A2476" t="s">
        <v>10328</v>
      </c>
      <c r="B2476" t="s">
        <v>10310</v>
      </c>
      <c r="C2476" t="s">
        <v>10311</v>
      </c>
      <c r="D2476">
        <v>3</v>
      </c>
      <c r="E2476" t="s">
        <v>10312</v>
      </c>
      <c r="F2476" t="s">
        <v>1551</v>
      </c>
      <c r="G2476" t="s">
        <v>51</v>
      </c>
      <c r="H2476" t="s">
        <v>10313</v>
      </c>
      <c r="I2476" t="s">
        <v>53</v>
      </c>
      <c r="J2476" t="s">
        <v>2572</v>
      </c>
      <c r="K2476" t="s">
        <v>3594</v>
      </c>
      <c r="L2476" t="s">
        <v>17</v>
      </c>
      <c r="M2476" t="s">
        <v>16</v>
      </c>
      <c r="N2476">
        <v>612</v>
      </c>
      <c r="O2476">
        <v>37</v>
      </c>
      <c r="P2476">
        <v>0</v>
      </c>
      <c r="Q2476" t="s">
        <v>10329</v>
      </c>
      <c r="R2476" t="s">
        <v>10330</v>
      </c>
      <c r="S2476" t="s">
        <v>10331</v>
      </c>
      <c r="T2476" t="s">
        <v>10332</v>
      </c>
      <c r="U2476" t="s">
        <v>60</v>
      </c>
      <c r="V2476" t="s">
        <v>61</v>
      </c>
      <c r="W2476">
        <v>10</v>
      </c>
      <c r="X2476">
        <v>0.1150625</v>
      </c>
      <c r="Y2476" t="s">
        <v>73</v>
      </c>
      <c r="Z2476" t="s">
        <v>79</v>
      </c>
      <c r="AA2476">
        <v>0</v>
      </c>
      <c r="AB2476" t="s">
        <v>10318</v>
      </c>
      <c r="AC2476" t="s">
        <v>10319</v>
      </c>
      <c r="AD2476" t="s">
        <v>10320</v>
      </c>
      <c r="AE2476" t="s">
        <v>10321</v>
      </c>
      <c r="AF2476" t="s">
        <v>10322</v>
      </c>
      <c r="AG2476" t="s">
        <v>66</v>
      </c>
      <c r="AH2476" t="s">
        <v>66</v>
      </c>
      <c r="AI2476" t="s">
        <v>66</v>
      </c>
      <c r="AJ2476" t="s">
        <v>66</v>
      </c>
      <c r="AK2476">
        <v>1</v>
      </c>
      <c r="AL2476" t="s">
        <v>66</v>
      </c>
      <c r="AM2476" t="s">
        <v>66</v>
      </c>
      <c r="AN2476" t="s">
        <v>66</v>
      </c>
      <c r="AO2476" t="s">
        <v>66</v>
      </c>
      <c r="AP2476">
        <v>1</v>
      </c>
      <c r="AQ2476" t="s">
        <v>66</v>
      </c>
      <c r="AR2476" t="s">
        <v>66</v>
      </c>
      <c r="AS2476" t="s">
        <v>66</v>
      </c>
      <c r="AT2476" t="s">
        <v>66</v>
      </c>
    </row>
    <row r="2477" spans="1:46" x14ac:dyDescent="0.15">
      <c r="A2477" t="s">
        <v>10333</v>
      </c>
      <c r="B2477" t="s">
        <v>10310</v>
      </c>
      <c r="C2477" t="s">
        <v>10311</v>
      </c>
      <c r="D2477">
        <v>4</v>
      </c>
      <c r="E2477" t="s">
        <v>10312</v>
      </c>
      <c r="F2477" t="s">
        <v>1551</v>
      </c>
      <c r="G2477" t="s">
        <v>51</v>
      </c>
      <c r="H2477" t="s">
        <v>10313</v>
      </c>
      <c r="I2477" t="s">
        <v>53</v>
      </c>
      <c r="J2477" t="s">
        <v>2572</v>
      </c>
      <c r="K2477" t="s">
        <v>3594</v>
      </c>
      <c r="L2477" t="s">
        <v>17</v>
      </c>
      <c r="M2477" t="s">
        <v>16</v>
      </c>
      <c r="N2477">
        <v>668</v>
      </c>
      <c r="O2477">
        <v>40</v>
      </c>
      <c r="P2477">
        <v>0</v>
      </c>
      <c r="Q2477" t="s">
        <v>10334</v>
      </c>
      <c r="R2477" t="s">
        <v>10335</v>
      </c>
      <c r="S2477" t="s">
        <v>10336</v>
      </c>
      <c r="T2477" t="s">
        <v>10337</v>
      </c>
      <c r="U2477" t="s">
        <v>60</v>
      </c>
      <c r="V2477" t="s">
        <v>61</v>
      </c>
      <c r="W2477">
        <v>10</v>
      </c>
      <c r="X2477">
        <v>0.1150625</v>
      </c>
      <c r="Y2477" t="s">
        <v>85</v>
      </c>
      <c r="Z2477" t="s">
        <v>86</v>
      </c>
      <c r="AA2477">
        <v>0</v>
      </c>
      <c r="AB2477" t="s">
        <v>10318</v>
      </c>
      <c r="AC2477" t="s">
        <v>10319</v>
      </c>
      <c r="AD2477" t="s">
        <v>10320</v>
      </c>
      <c r="AE2477" t="s">
        <v>10321</v>
      </c>
      <c r="AF2477" t="s">
        <v>10322</v>
      </c>
      <c r="AG2477" t="s">
        <v>66</v>
      </c>
      <c r="AH2477" t="s">
        <v>66</v>
      </c>
      <c r="AI2477" t="s">
        <v>66</v>
      </c>
      <c r="AJ2477" t="s">
        <v>66</v>
      </c>
      <c r="AK2477">
        <v>1</v>
      </c>
      <c r="AL2477" t="s">
        <v>66</v>
      </c>
      <c r="AM2477" t="s">
        <v>66</v>
      </c>
      <c r="AN2477" t="s">
        <v>66</v>
      </c>
      <c r="AO2477" t="s">
        <v>66</v>
      </c>
      <c r="AP2477">
        <v>1</v>
      </c>
      <c r="AQ2477" t="s">
        <v>66</v>
      </c>
      <c r="AR2477" t="s">
        <v>66</v>
      </c>
      <c r="AS2477" t="s">
        <v>66</v>
      </c>
      <c r="AT2477" t="s">
        <v>66</v>
      </c>
    </row>
    <row r="2478" spans="1:46" x14ac:dyDescent="0.15">
      <c r="A2478" t="s">
        <v>10338</v>
      </c>
      <c r="B2478" t="s">
        <v>10310</v>
      </c>
      <c r="C2478" t="s">
        <v>10311</v>
      </c>
      <c r="D2478">
        <v>5</v>
      </c>
      <c r="E2478" t="s">
        <v>10312</v>
      </c>
      <c r="F2478" t="s">
        <v>1551</v>
      </c>
      <c r="G2478" t="s">
        <v>51</v>
      </c>
      <c r="H2478" t="s">
        <v>10313</v>
      </c>
      <c r="I2478" t="s">
        <v>53</v>
      </c>
      <c r="J2478" t="s">
        <v>2572</v>
      </c>
      <c r="K2478" t="s">
        <v>3594</v>
      </c>
      <c r="L2478" t="s">
        <v>17</v>
      </c>
      <c r="M2478" t="s">
        <v>16</v>
      </c>
      <c r="N2478">
        <v>724</v>
      </c>
      <c r="O2478">
        <v>43</v>
      </c>
      <c r="P2478">
        <v>0</v>
      </c>
      <c r="Q2478" t="s">
        <v>10339</v>
      </c>
      <c r="R2478" t="s">
        <v>10340</v>
      </c>
      <c r="S2478" t="s">
        <v>10341</v>
      </c>
      <c r="T2478" t="s">
        <v>10342</v>
      </c>
      <c r="U2478" t="s">
        <v>60</v>
      </c>
      <c r="V2478" t="s">
        <v>61</v>
      </c>
      <c r="W2478">
        <v>10</v>
      </c>
      <c r="X2478">
        <v>0.1150625</v>
      </c>
      <c r="Y2478" t="s">
        <v>79</v>
      </c>
      <c r="Z2478" t="s">
        <v>92</v>
      </c>
      <c r="AA2478">
        <v>0</v>
      </c>
      <c r="AB2478" t="s">
        <v>10318</v>
      </c>
      <c r="AC2478" t="s">
        <v>10319</v>
      </c>
      <c r="AD2478" t="s">
        <v>10320</v>
      </c>
      <c r="AE2478" t="s">
        <v>10321</v>
      </c>
      <c r="AF2478" t="s">
        <v>10322</v>
      </c>
      <c r="AG2478" t="s">
        <v>66</v>
      </c>
      <c r="AH2478" t="s">
        <v>66</v>
      </c>
      <c r="AI2478" t="s">
        <v>66</v>
      </c>
      <c r="AJ2478" t="s">
        <v>66</v>
      </c>
      <c r="AK2478">
        <v>1</v>
      </c>
      <c r="AL2478" t="s">
        <v>66</v>
      </c>
      <c r="AM2478" t="s">
        <v>66</v>
      </c>
      <c r="AN2478" t="s">
        <v>66</v>
      </c>
      <c r="AO2478" t="s">
        <v>66</v>
      </c>
      <c r="AP2478">
        <v>1</v>
      </c>
      <c r="AQ2478" t="s">
        <v>66</v>
      </c>
      <c r="AR2478" t="s">
        <v>66</v>
      </c>
      <c r="AS2478" t="s">
        <v>66</v>
      </c>
      <c r="AT2478" t="s">
        <v>66</v>
      </c>
    </row>
    <row r="2479" spans="1:46" x14ac:dyDescent="0.15">
      <c r="A2479" t="s">
        <v>10343</v>
      </c>
      <c r="B2479" t="s">
        <v>10310</v>
      </c>
      <c r="C2479" t="s">
        <v>10311</v>
      </c>
      <c r="D2479">
        <v>6</v>
      </c>
      <c r="E2479" t="s">
        <v>10312</v>
      </c>
      <c r="F2479" t="s">
        <v>1551</v>
      </c>
      <c r="G2479" t="s">
        <v>51</v>
      </c>
      <c r="H2479" t="s">
        <v>10313</v>
      </c>
      <c r="I2479" t="s">
        <v>53</v>
      </c>
      <c r="J2479" t="s">
        <v>2572</v>
      </c>
      <c r="K2479" t="s">
        <v>3594</v>
      </c>
      <c r="L2479" t="s">
        <v>17</v>
      </c>
      <c r="M2479" t="s">
        <v>16</v>
      </c>
      <c r="N2479">
        <v>781</v>
      </c>
      <c r="O2479">
        <v>46</v>
      </c>
      <c r="P2479">
        <v>0</v>
      </c>
      <c r="Q2479" t="s">
        <v>10344</v>
      </c>
      <c r="R2479" t="s">
        <v>10345</v>
      </c>
      <c r="S2479" t="s">
        <v>10346</v>
      </c>
      <c r="T2479" t="s">
        <v>10347</v>
      </c>
      <c r="U2479" t="s">
        <v>60</v>
      </c>
      <c r="V2479" t="s">
        <v>61</v>
      </c>
      <c r="W2479">
        <v>10</v>
      </c>
      <c r="X2479">
        <v>0.1150625</v>
      </c>
      <c r="Y2479" t="s">
        <v>98</v>
      </c>
      <c r="Z2479" t="s">
        <v>99</v>
      </c>
      <c r="AA2479">
        <v>0</v>
      </c>
      <c r="AB2479" t="s">
        <v>10318</v>
      </c>
      <c r="AC2479" t="s">
        <v>10319</v>
      </c>
      <c r="AD2479" t="s">
        <v>10320</v>
      </c>
      <c r="AE2479" t="s">
        <v>10321</v>
      </c>
      <c r="AF2479" t="s">
        <v>10322</v>
      </c>
      <c r="AG2479" t="s">
        <v>66</v>
      </c>
      <c r="AH2479" t="s">
        <v>66</v>
      </c>
      <c r="AI2479" t="s">
        <v>66</v>
      </c>
      <c r="AJ2479" t="s">
        <v>66</v>
      </c>
      <c r="AK2479">
        <v>1</v>
      </c>
      <c r="AL2479" t="s">
        <v>66</v>
      </c>
      <c r="AM2479" t="s">
        <v>66</v>
      </c>
      <c r="AN2479" t="s">
        <v>66</v>
      </c>
      <c r="AO2479" t="s">
        <v>66</v>
      </c>
      <c r="AP2479">
        <v>1</v>
      </c>
      <c r="AQ2479" t="s">
        <v>66</v>
      </c>
      <c r="AR2479" t="s">
        <v>66</v>
      </c>
      <c r="AS2479" t="s">
        <v>66</v>
      </c>
      <c r="AT2479" t="s">
        <v>66</v>
      </c>
    </row>
    <row r="2480" spans="1:46" x14ac:dyDescent="0.15">
      <c r="A2480" t="s">
        <v>10348</v>
      </c>
      <c r="B2480" t="s">
        <v>10310</v>
      </c>
      <c r="C2480" t="s">
        <v>10311</v>
      </c>
      <c r="D2480">
        <v>7</v>
      </c>
      <c r="E2480" t="s">
        <v>10312</v>
      </c>
      <c r="F2480" t="s">
        <v>1551</v>
      </c>
      <c r="G2480" t="s">
        <v>51</v>
      </c>
      <c r="H2480" t="s">
        <v>10313</v>
      </c>
      <c r="I2480" t="s">
        <v>53</v>
      </c>
      <c r="J2480" t="s">
        <v>2572</v>
      </c>
      <c r="K2480" t="s">
        <v>3594</v>
      </c>
      <c r="L2480" t="s">
        <v>17</v>
      </c>
      <c r="M2480" t="s">
        <v>16</v>
      </c>
      <c r="N2480">
        <v>837</v>
      </c>
      <c r="O2480">
        <v>50</v>
      </c>
      <c r="P2480">
        <v>0</v>
      </c>
      <c r="Q2480" t="s">
        <v>10349</v>
      </c>
      <c r="R2480" t="s">
        <v>10350</v>
      </c>
      <c r="S2480" t="s">
        <v>10351</v>
      </c>
      <c r="T2480" t="s">
        <v>10352</v>
      </c>
      <c r="U2480" t="s">
        <v>60</v>
      </c>
      <c r="V2480" t="s">
        <v>61</v>
      </c>
      <c r="W2480">
        <v>10</v>
      </c>
      <c r="X2480">
        <v>0.1150625</v>
      </c>
      <c r="Y2480" t="s">
        <v>86</v>
      </c>
      <c r="Z2480" t="s">
        <v>105</v>
      </c>
      <c r="AA2480">
        <v>0</v>
      </c>
      <c r="AB2480" t="s">
        <v>10318</v>
      </c>
      <c r="AC2480" t="s">
        <v>10319</v>
      </c>
      <c r="AD2480" t="s">
        <v>10320</v>
      </c>
      <c r="AE2480" t="s">
        <v>10321</v>
      </c>
      <c r="AF2480" t="s">
        <v>10322</v>
      </c>
      <c r="AG2480" t="s">
        <v>66</v>
      </c>
      <c r="AH2480" t="s">
        <v>66</v>
      </c>
      <c r="AI2480" t="s">
        <v>66</v>
      </c>
      <c r="AJ2480" t="s">
        <v>66</v>
      </c>
      <c r="AK2480">
        <v>1</v>
      </c>
      <c r="AL2480" t="s">
        <v>66</v>
      </c>
      <c r="AM2480" t="s">
        <v>66</v>
      </c>
      <c r="AN2480" t="s">
        <v>66</v>
      </c>
      <c r="AO2480" t="s">
        <v>66</v>
      </c>
      <c r="AP2480">
        <v>1</v>
      </c>
      <c r="AQ2480" t="s">
        <v>66</v>
      </c>
      <c r="AR2480" t="s">
        <v>66</v>
      </c>
      <c r="AS2480" t="s">
        <v>66</v>
      </c>
      <c r="AT2480" t="s">
        <v>66</v>
      </c>
    </row>
    <row r="2481" spans="1:46" x14ac:dyDescent="0.15">
      <c r="A2481" t="s">
        <v>10353</v>
      </c>
      <c r="B2481" t="s">
        <v>10310</v>
      </c>
      <c r="C2481" t="s">
        <v>10311</v>
      </c>
      <c r="D2481">
        <v>8</v>
      </c>
      <c r="E2481" t="s">
        <v>10312</v>
      </c>
      <c r="F2481" t="s">
        <v>1551</v>
      </c>
      <c r="G2481" t="s">
        <v>51</v>
      </c>
      <c r="H2481" t="s">
        <v>10313</v>
      </c>
      <c r="I2481" t="s">
        <v>53</v>
      </c>
      <c r="J2481" t="s">
        <v>2572</v>
      </c>
      <c r="K2481" t="s">
        <v>3594</v>
      </c>
      <c r="L2481" t="s">
        <v>17</v>
      </c>
      <c r="M2481" t="s">
        <v>16</v>
      </c>
      <c r="N2481">
        <v>893</v>
      </c>
      <c r="O2481">
        <v>53</v>
      </c>
      <c r="P2481">
        <v>0</v>
      </c>
      <c r="Q2481" t="s">
        <v>10354</v>
      </c>
      <c r="R2481" t="s">
        <v>10355</v>
      </c>
      <c r="S2481" t="s">
        <v>10356</v>
      </c>
      <c r="T2481" t="s">
        <v>10357</v>
      </c>
      <c r="U2481" t="s">
        <v>60</v>
      </c>
      <c r="V2481" t="s">
        <v>61</v>
      </c>
      <c r="W2481">
        <v>10</v>
      </c>
      <c r="X2481">
        <v>0.1150625</v>
      </c>
      <c r="Y2481" t="s">
        <v>111</v>
      </c>
      <c r="Z2481" t="s">
        <v>112</v>
      </c>
      <c r="AA2481">
        <v>0</v>
      </c>
      <c r="AB2481" t="s">
        <v>10318</v>
      </c>
      <c r="AC2481" t="s">
        <v>10319</v>
      </c>
      <c r="AD2481" t="s">
        <v>10320</v>
      </c>
      <c r="AE2481" t="s">
        <v>10321</v>
      </c>
      <c r="AF2481" t="s">
        <v>10322</v>
      </c>
      <c r="AG2481" t="s">
        <v>66</v>
      </c>
      <c r="AH2481" t="s">
        <v>66</v>
      </c>
      <c r="AI2481" t="s">
        <v>66</v>
      </c>
      <c r="AJ2481" t="s">
        <v>66</v>
      </c>
      <c r="AK2481">
        <v>1</v>
      </c>
      <c r="AL2481" t="s">
        <v>66</v>
      </c>
      <c r="AM2481" t="s">
        <v>66</v>
      </c>
      <c r="AN2481" t="s">
        <v>66</v>
      </c>
      <c r="AO2481" t="s">
        <v>66</v>
      </c>
      <c r="AP2481">
        <v>1</v>
      </c>
      <c r="AQ2481" t="s">
        <v>66</v>
      </c>
      <c r="AR2481" t="s">
        <v>66</v>
      </c>
      <c r="AS2481" t="s">
        <v>66</v>
      </c>
      <c r="AT2481" t="s">
        <v>66</v>
      </c>
    </row>
    <row r="2482" spans="1:46" x14ac:dyDescent="0.15">
      <c r="A2482" t="s">
        <v>10358</v>
      </c>
      <c r="B2482" t="s">
        <v>10310</v>
      </c>
      <c r="C2482" t="s">
        <v>10311</v>
      </c>
      <c r="D2482">
        <v>9</v>
      </c>
      <c r="E2482" t="s">
        <v>10312</v>
      </c>
      <c r="F2482" t="s">
        <v>1551</v>
      </c>
      <c r="G2482" t="s">
        <v>51</v>
      </c>
      <c r="H2482" t="s">
        <v>10313</v>
      </c>
      <c r="I2482" t="s">
        <v>53</v>
      </c>
      <c r="J2482" t="s">
        <v>2572</v>
      </c>
      <c r="K2482" t="s">
        <v>3594</v>
      </c>
      <c r="L2482" t="s">
        <v>17</v>
      </c>
      <c r="M2482" t="s">
        <v>16</v>
      </c>
      <c r="N2482">
        <v>949</v>
      </c>
      <c r="O2482">
        <v>56</v>
      </c>
      <c r="P2482">
        <v>0</v>
      </c>
      <c r="Q2482" t="s">
        <v>10359</v>
      </c>
      <c r="R2482" t="s">
        <v>10360</v>
      </c>
      <c r="S2482" t="s">
        <v>10361</v>
      </c>
      <c r="T2482" t="s">
        <v>10362</v>
      </c>
      <c r="U2482" t="s">
        <v>60</v>
      </c>
      <c r="V2482" t="s">
        <v>61</v>
      </c>
      <c r="W2482">
        <v>10</v>
      </c>
      <c r="X2482">
        <v>0.1150625</v>
      </c>
      <c r="Y2482" t="s">
        <v>92</v>
      </c>
      <c r="Z2482" t="s">
        <v>118</v>
      </c>
      <c r="AA2482">
        <v>0</v>
      </c>
      <c r="AB2482" t="s">
        <v>10318</v>
      </c>
      <c r="AC2482" t="s">
        <v>10319</v>
      </c>
      <c r="AD2482" t="s">
        <v>10320</v>
      </c>
      <c r="AE2482" t="s">
        <v>10321</v>
      </c>
      <c r="AF2482" t="s">
        <v>10322</v>
      </c>
      <c r="AG2482" t="s">
        <v>66</v>
      </c>
      <c r="AH2482" t="s">
        <v>66</v>
      </c>
      <c r="AI2482" t="s">
        <v>66</v>
      </c>
      <c r="AJ2482" t="s">
        <v>66</v>
      </c>
      <c r="AK2482">
        <v>1</v>
      </c>
      <c r="AL2482" t="s">
        <v>66</v>
      </c>
      <c r="AM2482" t="s">
        <v>66</v>
      </c>
      <c r="AN2482" t="s">
        <v>66</v>
      </c>
      <c r="AO2482" t="s">
        <v>66</v>
      </c>
      <c r="AP2482">
        <v>1</v>
      </c>
      <c r="AQ2482" t="s">
        <v>66</v>
      </c>
      <c r="AR2482" t="s">
        <v>66</v>
      </c>
      <c r="AS2482" t="s">
        <v>66</v>
      </c>
      <c r="AT2482" t="s">
        <v>66</v>
      </c>
    </row>
    <row r="2483" spans="1:46" x14ac:dyDescent="0.15">
      <c r="A2483" t="s">
        <v>10363</v>
      </c>
      <c r="B2483" t="s">
        <v>10310</v>
      </c>
      <c r="C2483" t="s">
        <v>10311</v>
      </c>
      <c r="D2483">
        <v>10</v>
      </c>
      <c r="E2483" t="s">
        <v>10312</v>
      </c>
      <c r="F2483" t="s">
        <v>1551</v>
      </c>
      <c r="G2483" t="s">
        <v>51</v>
      </c>
      <c r="H2483" t="s">
        <v>10313</v>
      </c>
      <c r="I2483" t="s">
        <v>53</v>
      </c>
      <c r="J2483" t="s">
        <v>2572</v>
      </c>
      <c r="K2483" t="s">
        <v>3594</v>
      </c>
      <c r="L2483" t="s">
        <v>17</v>
      </c>
      <c r="M2483" t="s">
        <v>16</v>
      </c>
      <c r="N2483">
        <v>1005</v>
      </c>
      <c r="O2483">
        <v>59</v>
      </c>
      <c r="P2483">
        <v>0</v>
      </c>
      <c r="Q2483" t="s">
        <v>10364</v>
      </c>
      <c r="R2483" t="s">
        <v>10365</v>
      </c>
      <c r="S2483" t="s">
        <v>10366</v>
      </c>
      <c r="T2483" t="s">
        <v>10367</v>
      </c>
      <c r="U2483" t="s">
        <v>60</v>
      </c>
      <c r="V2483" t="s">
        <v>61</v>
      </c>
      <c r="W2483">
        <v>10</v>
      </c>
      <c r="X2483">
        <v>0.1150625</v>
      </c>
      <c r="Y2483" t="s">
        <v>124</v>
      </c>
      <c r="Z2483" t="s">
        <v>125</v>
      </c>
      <c r="AA2483">
        <v>0</v>
      </c>
      <c r="AB2483" t="s">
        <v>10318</v>
      </c>
      <c r="AC2483" t="s">
        <v>10319</v>
      </c>
      <c r="AD2483" t="s">
        <v>10320</v>
      </c>
      <c r="AE2483" t="s">
        <v>10321</v>
      </c>
      <c r="AF2483" t="s">
        <v>10322</v>
      </c>
      <c r="AG2483" t="s">
        <v>66</v>
      </c>
      <c r="AH2483" t="s">
        <v>66</v>
      </c>
      <c r="AI2483" t="s">
        <v>66</v>
      </c>
      <c r="AJ2483" t="s">
        <v>66</v>
      </c>
      <c r="AK2483">
        <v>1</v>
      </c>
      <c r="AL2483" t="s">
        <v>66</v>
      </c>
      <c r="AM2483" t="s">
        <v>66</v>
      </c>
      <c r="AN2483" t="s">
        <v>66</v>
      </c>
      <c r="AO2483" t="s">
        <v>66</v>
      </c>
      <c r="AP2483">
        <v>1</v>
      </c>
      <c r="AQ2483" t="s">
        <v>66</v>
      </c>
      <c r="AR2483" t="s">
        <v>66</v>
      </c>
      <c r="AS2483" t="s">
        <v>66</v>
      </c>
      <c r="AT2483" t="s">
        <v>66</v>
      </c>
    </row>
    <row r="2484" spans="1:46" x14ac:dyDescent="0.15">
      <c r="A2484" t="s">
        <v>10368</v>
      </c>
      <c r="B2484" t="s">
        <v>10310</v>
      </c>
      <c r="C2484" t="s">
        <v>10311</v>
      </c>
      <c r="D2484">
        <v>11</v>
      </c>
      <c r="E2484" t="s">
        <v>10312</v>
      </c>
      <c r="F2484" t="s">
        <v>1551</v>
      </c>
      <c r="G2484" t="s">
        <v>51</v>
      </c>
      <c r="H2484" t="s">
        <v>10313</v>
      </c>
      <c r="I2484" t="s">
        <v>53</v>
      </c>
      <c r="J2484" t="s">
        <v>2572</v>
      </c>
      <c r="K2484" t="s">
        <v>3594</v>
      </c>
      <c r="L2484" t="s">
        <v>17</v>
      </c>
      <c r="M2484" t="s">
        <v>16</v>
      </c>
      <c r="N2484">
        <v>1061</v>
      </c>
      <c r="O2484">
        <v>63</v>
      </c>
      <c r="P2484">
        <v>0</v>
      </c>
      <c r="Q2484" t="s">
        <v>10369</v>
      </c>
      <c r="R2484" t="s">
        <v>10370</v>
      </c>
      <c r="S2484" t="s">
        <v>10371</v>
      </c>
      <c r="T2484" t="s">
        <v>10372</v>
      </c>
      <c r="U2484" t="s">
        <v>60</v>
      </c>
      <c r="V2484" t="s">
        <v>61</v>
      </c>
      <c r="W2484">
        <v>10</v>
      </c>
      <c r="X2484">
        <v>0.1150625</v>
      </c>
      <c r="Y2484" t="s">
        <v>99</v>
      </c>
      <c r="Z2484" t="s">
        <v>131</v>
      </c>
      <c r="AA2484">
        <v>0</v>
      </c>
      <c r="AB2484" t="s">
        <v>10318</v>
      </c>
      <c r="AC2484" t="s">
        <v>10319</v>
      </c>
      <c r="AD2484" t="s">
        <v>10320</v>
      </c>
      <c r="AE2484" t="s">
        <v>10321</v>
      </c>
      <c r="AF2484" t="s">
        <v>10322</v>
      </c>
      <c r="AG2484" t="s">
        <v>66</v>
      </c>
      <c r="AH2484" t="s">
        <v>66</v>
      </c>
      <c r="AI2484" t="s">
        <v>66</v>
      </c>
      <c r="AJ2484" t="s">
        <v>66</v>
      </c>
      <c r="AK2484">
        <v>1</v>
      </c>
      <c r="AL2484" t="s">
        <v>66</v>
      </c>
      <c r="AM2484" t="s">
        <v>66</v>
      </c>
      <c r="AN2484" t="s">
        <v>66</v>
      </c>
      <c r="AO2484" t="s">
        <v>66</v>
      </c>
      <c r="AP2484">
        <v>1</v>
      </c>
      <c r="AQ2484" t="s">
        <v>66</v>
      </c>
      <c r="AR2484" t="s">
        <v>66</v>
      </c>
      <c r="AS2484" t="s">
        <v>66</v>
      </c>
      <c r="AT2484" t="s">
        <v>66</v>
      </c>
    </row>
    <row r="2485" spans="1:46" x14ac:dyDescent="0.15">
      <c r="A2485" t="s">
        <v>10373</v>
      </c>
      <c r="B2485" t="s">
        <v>10310</v>
      </c>
      <c r="C2485" t="s">
        <v>10311</v>
      </c>
      <c r="D2485">
        <v>12</v>
      </c>
      <c r="E2485" t="s">
        <v>10312</v>
      </c>
      <c r="F2485" t="s">
        <v>1551</v>
      </c>
      <c r="G2485" t="s">
        <v>51</v>
      </c>
      <c r="H2485" t="s">
        <v>10313</v>
      </c>
      <c r="I2485" t="s">
        <v>53</v>
      </c>
      <c r="J2485" t="s">
        <v>2572</v>
      </c>
      <c r="K2485" t="s">
        <v>3594</v>
      </c>
      <c r="L2485" t="s">
        <v>17</v>
      </c>
      <c r="M2485" t="s">
        <v>16</v>
      </c>
      <c r="N2485">
        <v>1117</v>
      </c>
      <c r="O2485">
        <v>66</v>
      </c>
      <c r="P2485">
        <v>0</v>
      </c>
      <c r="Q2485" t="s">
        <v>10374</v>
      </c>
      <c r="R2485" t="s">
        <v>10375</v>
      </c>
      <c r="S2485" t="s">
        <v>10376</v>
      </c>
      <c r="T2485" t="s">
        <v>10377</v>
      </c>
      <c r="U2485" t="s">
        <v>60</v>
      </c>
      <c r="V2485" t="s">
        <v>61</v>
      </c>
      <c r="W2485">
        <v>10</v>
      </c>
      <c r="X2485">
        <v>0.1150625</v>
      </c>
      <c r="Y2485" t="s">
        <v>137</v>
      </c>
      <c r="Z2485" t="s">
        <v>138</v>
      </c>
      <c r="AA2485">
        <v>0</v>
      </c>
      <c r="AB2485" t="s">
        <v>10318</v>
      </c>
      <c r="AC2485" t="s">
        <v>10319</v>
      </c>
      <c r="AD2485" t="s">
        <v>10320</v>
      </c>
      <c r="AE2485" t="s">
        <v>10321</v>
      </c>
      <c r="AF2485" t="s">
        <v>10322</v>
      </c>
      <c r="AG2485" t="s">
        <v>66</v>
      </c>
      <c r="AH2485" t="s">
        <v>66</v>
      </c>
      <c r="AI2485" t="s">
        <v>66</v>
      </c>
      <c r="AJ2485" t="s">
        <v>66</v>
      </c>
      <c r="AK2485">
        <v>1</v>
      </c>
      <c r="AL2485" t="s">
        <v>66</v>
      </c>
      <c r="AM2485" t="s">
        <v>66</v>
      </c>
      <c r="AN2485" t="s">
        <v>66</v>
      </c>
      <c r="AO2485" t="s">
        <v>66</v>
      </c>
      <c r="AP2485">
        <v>1</v>
      </c>
      <c r="AQ2485" t="s">
        <v>66</v>
      </c>
      <c r="AR2485" t="s">
        <v>66</v>
      </c>
      <c r="AS2485" t="s">
        <v>66</v>
      </c>
      <c r="AT2485" t="s">
        <v>66</v>
      </c>
    </row>
    <row r="2486" spans="1:46" x14ac:dyDescent="0.15">
      <c r="A2486" t="s">
        <v>10378</v>
      </c>
      <c r="B2486" t="s">
        <v>10310</v>
      </c>
      <c r="C2486" t="s">
        <v>10311</v>
      </c>
      <c r="D2486">
        <v>13</v>
      </c>
      <c r="E2486" t="s">
        <v>10312</v>
      </c>
      <c r="F2486" t="s">
        <v>1551</v>
      </c>
      <c r="G2486" t="s">
        <v>51</v>
      </c>
      <c r="H2486" t="s">
        <v>10313</v>
      </c>
      <c r="I2486" t="s">
        <v>53</v>
      </c>
      <c r="J2486" t="s">
        <v>2572</v>
      </c>
      <c r="K2486" t="s">
        <v>3594</v>
      </c>
      <c r="L2486" t="s">
        <v>17</v>
      </c>
      <c r="M2486" t="s">
        <v>16</v>
      </c>
      <c r="N2486">
        <v>1173</v>
      </c>
      <c r="O2486">
        <v>69</v>
      </c>
      <c r="P2486">
        <v>0</v>
      </c>
      <c r="Q2486" t="s">
        <v>10379</v>
      </c>
      <c r="R2486" t="s">
        <v>10380</v>
      </c>
      <c r="S2486" t="s">
        <v>10381</v>
      </c>
      <c r="T2486" t="s">
        <v>10382</v>
      </c>
      <c r="U2486" t="s">
        <v>60</v>
      </c>
      <c r="V2486" t="s">
        <v>61</v>
      </c>
      <c r="W2486">
        <v>10</v>
      </c>
      <c r="X2486">
        <v>0.1150625</v>
      </c>
      <c r="Y2486" t="s">
        <v>105</v>
      </c>
      <c r="Z2486" t="s">
        <v>144</v>
      </c>
      <c r="AA2486">
        <v>0</v>
      </c>
      <c r="AB2486" t="s">
        <v>10318</v>
      </c>
      <c r="AC2486" t="s">
        <v>10319</v>
      </c>
      <c r="AD2486" t="s">
        <v>10320</v>
      </c>
      <c r="AE2486" t="s">
        <v>10321</v>
      </c>
      <c r="AF2486" t="s">
        <v>10322</v>
      </c>
      <c r="AG2486" t="s">
        <v>66</v>
      </c>
      <c r="AH2486" t="s">
        <v>66</v>
      </c>
      <c r="AI2486" t="s">
        <v>66</v>
      </c>
      <c r="AJ2486" t="s">
        <v>66</v>
      </c>
      <c r="AK2486">
        <v>1</v>
      </c>
      <c r="AL2486" t="s">
        <v>66</v>
      </c>
      <c r="AM2486" t="s">
        <v>66</v>
      </c>
      <c r="AN2486" t="s">
        <v>66</v>
      </c>
      <c r="AO2486" t="s">
        <v>66</v>
      </c>
      <c r="AP2486">
        <v>1</v>
      </c>
      <c r="AQ2486" t="s">
        <v>66</v>
      </c>
      <c r="AR2486" t="s">
        <v>66</v>
      </c>
      <c r="AS2486" t="s">
        <v>66</v>
      </c>
      <c r="AT2486" t="s">
        <v>66</v>
      </c>
    </row>
    <row r="2487" spans="1:46" x14ac:dyDescent="0.15">
      <c r="A2487" t="s">
        <v>10383</v>
      </c>
      <c r="B2487" t="s">
        <v>10310</v>
      </c>
      <c r="C2487" t="s">
        <v>10311</v>
      </c>
      <c r="D2487">
        <v>14</v>
      </c>
      <c r="E2487" t="s">
        <v>10312</v>
      </c>
      <c r="F2487" t="s">
        <v>1551</v>
      </c>
      <c r="G2487" t="s">
        <v>51</v>
      </c>
      <c r="H2487" t="s">
        <v>10313</v>
      </c>
      <c r="I2487" t="s">
        <v>53</v>
      </c>
      <c r="J2487" t="s">
        <v>2572</v>
      </c>
      <c r="K2487" t="s">
        <v>3594</v>
      </c>
      <c r="L2487" t="s">
        <v>17</v>
      </c>
      <c r="M2487" t="s">
        <v>16</v>
      </c>
      <c r="N2487">
        <v>1230</v>
      </c>
      <c r="O2487">
        <v>72</v>
      </c>
      <c r="P2487">
        <v>0</v>
      </c>
      <c r="Q2487" t="s">
        <v>10384</v>
      </c>
      <c r="R2487" t="s">
        <v>10385</v>
      </c>
      <c r="S2487" t="s">
        <v>10386</v>
      </c>
      <c r="T2487" t="s">
        <v>10387</v>
      </c>
      <c r="U2487" t="s">
        <v>60</v>
      </c>
      <c r="V2487" t="s">
        <v>61</v>
      </c>
      <c r="W2487">
        <v>10</v>
      </c>
      <c r="X2487">
        <v>0.1150625</v>
      </c>
      <c r="Y2487" t="s">
        <v>150</v>
      </c>
      <c r="Z2487" t="s">
        <v>151</v>
      </c>
      <c r="AA2487">
        <v>0</v>
      </c>
      <c r="AB2487" t="s">
        <v>10318</v>
      </c>
      <c r="AC2487" t="s">
        <v>10319</v>
      </c>
      <c r="AD2487" t="s">
        <v>10320</v>
      </c>
      <c r="AE2487" t="s">
        <v>10321</v>
      </c>
      <c r="AF2487" t="s">
        <v>10322</v>
      </c>
      <c r="AG2487" t="s">
        <v>66</v>
      </c>
      <c r="AH2487" t="s">
        <v>66</v>
      </c>
      <c r="AI2487" t="s">
        <v>66</v>
      </c>
      <c r="AJ2487" t="s">
        <v>66</v>
      </c>
      <c r="AK2487">
        <v>1</v>
      </c>
      <c r="AL2487" t="s">
        <v>66</v>
      </c>
      <c r="AM2487" t="s">
        <v>66</v>
      </c>
      <c r="AN2487" t="s">
        <v>66</v>
      </c>
      <c r="AO2487" t="s">
        <v>66</v>
      </c>
      <c r="AP2487">
        <v>1</v>
      </c>
      <c r="AQ2487" t="s">
        <v>66</v>
      </c>
      <c r="AR2487" t="s">
        <v>66</v>
      </c>
      <c r="AS2487" t="s">
        <v>66</v>
      </c>
      <c r="AT2487" t="s">
        <v>66</v>
      </c>
    </row>
    <row r="2488" spans="1:46" x14ac:dyDescent="0.15">
      <c r="A2488" t="s">
        <v>10388</v>
      </c>
      <c r="B2488" t="s">
        <v>10310</v>
      </c>
      <c r="C2488" t="s">
        <v>10311</v>
      </c>
      <c r="D2488">
        <v>15</v>
      </c>
      <c r="E2488" t="s">
        <v>10312</v>
      </c>
      <c r="F2488" t="s">
        <v>1551</v>
      </c>
      <c r="G2488" t="s">
        <v>51</v>
      </c>
      <c r="H2488" t="s">
        <v>10313</v>
      </c>
      <c r="I2488" t="s">
        <v>53</v>
      </c>
      <c r="J2488" t="s">
        <v>2572</v>
      </c>
      <c r="K2488" t="s">
        <v>3594</v>
      </c>
      <c r="L2488" t="s">
        <v>17</v>
      </c>
      <c r="M2488" t="s">
        <v>16</v>
      </c>
      <c r="N2488">
        <v>1286</v>
      </c>
      <c r="O2488">
        <v>76</v>
      </c>
      <c r="P2488">
        <v>0</v>
      </c>
      <c r="Q2488" t="s">
        <v>10389</v>
      </c>
      <c r="R2488" t="s">
        <v>10390</v>
      </c>
      <c r="S2488" t="s">
        <v>10391</v>
      </c>
      <c r="T2488" t="s">
        <v>10392</v>
      </c>
      <c r="U2488" t="s">
        <v>60</v>
      </c>
      <c r="V2488" t="s">
        <v>61</v>
      </c>
      <c r="W2488">
        <v>10</v>
      </c>
      <c r="X2488">
        <v>0.1150625</v>
      </c>
      <c r="Y2488" t="s">
        <v>112</v>
      </c>
      <c r="Z2488" t="s">
        <v>157</v>
      </c>
      <c r="AA2488">
        <v>0</v>
      </c>
      <c r="AB2488" t="s">
        <v>10318</v>
      </c>
      <c r="AC2488" t="s">
        <v>10319</v>
      </c>
      <c r="AD2488" t="s">
        <v>10320</v>
      </c>
      <c r="AE2488" t="s">
        <v>10321</v>
      </c>
      <c r="AF2488" t="s">
        <v>10322</v>
      </c>
      <c r="AG2488" t="s">
        <v>66</v>
      </c>
      <c r="AH2488" t="s">
        <v>66</v>
      </c>
      <c r="AI2488" t="s">
        <v>66</v>
      </c>
      <c r="AJ2488" t="s">
        <v>66</v>
      </c>
      <c r="AK2488">
        <v>1</v>
      </c>
      <c r="AL2488" t="s">
        <v>66</v>
      </c>
      <c r="AM2488" t="s">
        <v>66</v>
      </c>
      <c r="AN2488" t="s">
        <v>66</v>
      </c>
      <c r="AO2488" t="s">
        <v>66</v>
      </c>
      <c r="AP2488">
        <v>1</v>
      </c>
      <c r="AQ2488" t="s">
        <v>66</v>
      </c>
      <c r="AR2488" t="s">
        <v>66</v>
      </c>
      <c r="AS2488" t="s">
        <v>66</v>
      </c>
      <c r="AT2488" t="s">
        <v>66</v>
      </c>
    </row>
    <row r="2489" spans="1:46" x14ac:dyDescent="0.15">
      <c r="A2489" t="s">
        <v>10393</v>
      </c>
      <c r="B2489" t="s">
        <v>10310</v>
      </c>
      <c r="C2489" t="s">
        <v>10311</v>
      </c>
      <c r="D2489">
        <v>16</v>
      </c>
      <c r="E2489" t="s">
        <v>10312</v>
      </c>
      <c r="F2489" t="s">
        <v>1551</v>
      </c>
      <c r="G2489" t="s">
        <v>51</v>
      </c>
      <c r="H2489" t="s">
        <v>10313</v>
      </c>
      <c r="I2489" t="s">
        <v>53</v>
      </c>
      <c r="J2489" t="s">
        <v>2572</v>
      </c>
      <c r="K2489" t="s">
        <v>3594</v>
      </c>
      <c r="L2489" t="s">
        <v>17</v>
      </c>
      <c r="M2489" t="s">
        <v>16</v>
      </c>
      <c r="N2489">
        <v>1342</v>
      </c>
      <c r="O2489">
        <v>79</v>
      </c>
      <c r="P2489">
        <v>0</v>
      </c>
      <c r="Q2489" t="s">
        <v>10394</v>
      </c>
      <c r="R2489" t="s">
        <v>10395</v>
      </c>
      <c r="S2489" t="s">
        <v>10396</v>
      </c>
      <c r="T2489" t="s">
        <v>10397</v>
      </c>
      <c r="U2489" t="s">
        <v>60</v>
      </c>
      <c r="V2489" t="s">
        <v>61</v>
      </c>
      <c r="W2489">
        <v>10</v>
      </c>
      <c r="X2489">
        <v>0.1150625</v>
      </c>
      <c r="Y2489" t="s">
        <v>163</v>
      </c>
      <c r="Z2489" t="s">
        <v>164</v>
      </c>
      <c r="AA2489">
        <v>0</v>
      </c>
      <c r="AB2489" t="s">
        <v>10318</v>
      </c>
      <c r="AC2489" t="s">
        <v>10319</v>
      </c>
      <c r="AD2489" t="s">
        <v>10320</v>
      </c>
      <c r="AE2489" t="s">
        <v>10321</v>
      </c>
      <c r="AF2489" t="s">
        <v>10322</v>
      </c>
      <c r="AG2489" t="s">
        <v>66</v>
      </c>
      <c r="AH2489" t="s">
        <v>66</v>
      </c>
      <c r="AI2489" t="s">
        <v>66</v>
      </c>
      <c r="AJ2489" t="s">
        <v>66</v>
      </c>
      <c r="AK2489">
        <v>1</v>
      </c>
      <c r="AL2489" t="s">
        <v>66</v>
      </c>
      <c r="AM2489" t="s">
        <v>66</v>
      </c>
      <c r="AN2489" t="s">
        <v>66</v>
      </c>
      <c r="AO2489" t="s">
        <v>66</v>
      </c>
      <c r="AP2489">
        <v>1</v>
      </c>
      <c r="AQ2489" t="s">
        <v>66</v>
      </c>
      <c r="AR2489" t="s">
        <v>66</v>
      </c>
      <c r="AS2489" t="s">
        <v>66</v>
      </c>
      <c r="AT2489" t="s">
        <v>66</v>
      </c>
    </row>
    <row r="2490" spans="1:46" x14ac:dyDescent="0.15">
      <c r="A2490" t="s">
        <v>10398</v>
      </c>
      <c r="B2490" t="s">
        <v>10310</v>
      </c>
      <c r="C2490" t="s">
        <v>10311</v>
      </c>
      <c r="D2490">
        <v>17</v>
      </c>
      <c r="E2490" t="s">
        <v>10312</v>
      </c>
      <c r="F2490" t="s">
        <v>1551</v>
      </c>
      <c r="G2490" t="s">
        <v>51</v>
      </c>
      <c r="H2490" t="s">
        <v>10313</v>
      </c>
      <c r="I2490" t="s">
        <v>53</v>
      </c>
      <c r="J2490" t="s">
        <v>2572</v>
      </c>
      <c r="K2490" t="s">
        <v>3594</v>
      </c>
      <c r="L2490" t="s">
        <v>17</v>
      </c>
      <c r="M2490" t="s">
        <v>16</v>
      </c>
      <c r="N2490">
        <v>1398</v>
      </c>
      <c r="O2490">
        <v>82</v>
      </c>
      <c r="P2490">
        <v>0</v>
      </c>
      <c r="Q2490" t="s">
        <v>10399</v>
      </c>
      <c r="R2490" t="s">
        <v>10400</v>
      </c>
      <c r="S2490" t="s">
        <v>10401</v>
      </c>
      <c r="T2490" t="s">
        <v>10402</v>
      </c>
      <c r="U2490" t="s">
        <v>60</v>
      </c>
      <c r="V2490" t="s">
        <v>61</v>
      </c>
      <c r="W2490">
        <v>10</v>
      </c>
      <c r="X2490">
        <v>0.1150625</v>
      </c>
      <c r="Y2490" t="s">
        <v>118</v>
      </c>
      <c r="Z2490" t="s">
        <v>170</v>
      </c>
      <c r="AA2490">
        <v>0</v>
      </c>
      <c r="AB2490" t="s">
        <v>10318</v>
      </c>
      <c r="AC2490" t="s">
        <v>10319</v>
      </c>
      <c r="AD2490" t="s">
        <v>10320</v>
      </c>
      <c r="AE2490" t="s">
        <v>10321</v>
      </c>
      <c r="AF2490" t="s">
        <v>10322</v>
      </c>
      <c r="AG2490" t="s">
        <v>66</v>
      </c>
      <c r="AH2490" t="s">
        <v>66</v>
      </c>
      <c r="AI2490" t="s">
        <v>66</v>
      </c>
      <c r="AJ2490" t="s">
        <v>66</v>
      </c>
      <c r="AK2490">
        <v>1</v>
      </c>
      <c r="AL2490" t="s">
        <v>66</v>
      </c>
      <c r="AM2490" t="s">
        <v>66</v>
      </c>
      <c r="AN2490" t="s">
        <v>66</v>
      </c>
      <c r="AO2490" t="s">
        <v>66</v>
      </c>
      <c r="AP2490">
        <v>1</v>
      </c>
      <c r="AQ2490" t="s">
        <v>66</v>
      </c>
      <c r="AR2490" t="s">
        <v>66</v>
      </c>
      <c r="AS2490" t="s">
        <v>66</v>
      </c>
      <c r="AT2490" t="s">
        <v>66</v>
      </c>
    </row>
    <row r="2491" spans="1:46" x14ac:dyDescent="0.15">
      <c r="A2491" t="s">
        <v>10403</v>
      </c>
      <c r="B2491" t="s">
        <v>10310</v>
      </c>
      <c r="C2491" t="s">
        <v>10311</v>
      </c>
      <c r="D2491">
        <v>18</v>
      </c>
      <c r="E2491" t="s">
        <v>10312</v>
      </c>
      <c r="F2491" t="s">
        <v>1551</v>
      </c>
      <c r="G2491" t="s">
        <v>51</v>
      </c>
      <c r="H2491" t="s">
        <v>10313</v>
      </c>
      <c r="I2491" t="s">
        <v>53</v>
      </c>
      <c r="J2491" t="s">
        <v>2572</v>
      </c>
      <c r="K2491" t="s">
        <v>3594</v>
      </c>
      <c r="L2491" t="s">
        <v>17</v>
      </c>
      <c r="M2491" t="s">
        <v>16</v>
      </c>
      <c r="N2491">
        <v>1454</v>
      </c>
      <c r="O2491">
        <v>85</v>
      </c>
      <c r="P2491">
        <v>0</v>
      </c>
      <c r="Q2491" t="s">
        <v>10404</v>
      </c>
      <c r="R2491" t="s">
        <v>10405</v>
      </c>
      <c r="S2491" t="s">
        <v>10406</v>
      </c>
      <c r="T2491" t="s">
        <v>10407</v>
      </c>
      <c r="U2491" t="s">
        <v>60</v>
      </c>
      <c r="V2491" t="s">
        <v>61</v>
      </c>
      <c r="W2491">
        <v>10</v>
      </c>
      <c r="X2491">
        <v>0.1150625</v>
      </c>
      <c r="Y2491" t="s">
        <v>176</v>
      </c>
      <c r="Z2491" t="s">
        <v>177</v>
      </c>
      <c r="AA2491">
        <v>0</v>
      </c>
      <c r="AB2491" t="s">
        <v>10318</v>
      </c>
      <c r="AC2491" t="s">
        <v>10319</v>
      </c>
      <c r="AD2491" t="s">
        <v>10320</v>
      </c>
      <c r="AE2491" t="s">
        <v>10321</v>
      </c>
      <c r="AF2491" t="s">
        <v>10322</v>
      </c>
      <c r="AG2491" t="s">
        <v>66</v>
      </c>
      <c r="AH2491" t="s">
        <v>66</v>
      </c>
      <c r="AI2491" t="s">
        <v>66</v>
      </c>
      <c r="AJ2491" t="s">
        <v>66</v>
      </c>
      <c r="AK2491">
        <v>1</v>
      </c>
      <c r="AL2491" t="s">
        <v>66</v>
      </c>
      <c r="AM2491" t="s">
        <v>66</v>
      </c>
      <c r="AN2491" t="s">
        <v>66</v>
      </c>
      <c r="AO2491" t="s">
        <v>66</v>
      </c>
      <c r="AP2491">
        <v>1</v>
      </c>
      <c r="AQ2491" t="s">
        <v>66</v>
      </c>
      <c r="AR2491" t="s">
        <v>66</v>
      </c>
      <c r="AS2491" t="s">
        <v>66</v>
      </c>
      <c r="AT2491" t="s">
        <v>66</v>
      </c>
    </row>
    <row r="2492" spans="1:46" x14ac:dyDescent="0.15">
      <c r="A2492" t="s">
        <v>10408</v>
      </c>
      <c r="B2492" t="s">
        <v>10310</v>
      </c>
      <c r="C2492" t="s">
        <v>10311</v>
      </c>
      <c r="D2492">
        <v>19</v>
      </c>
      <c r="E2492" t="s">
        <v>10312</v>
      </c>
      <c r="F2492" t="s">
        <v>1551</v>
      </c>
      <c r="G2492" t="s">
        <v>51</v>
      </c>
      <c r="H2492" t="s">
        <v>10313</v>
      </c>
      <c r="I2492" t="s">
        <v>53</v>
      </c>
      <c r="J2492" t="s">
        <v>2572</v>
      </c>
      <c r="K2492" t="s">
        <v>3594</v>
      </c>
      <c r="L2492" t="s">
        <v>17</v>
      </c>
      <c r="M2492" t="s">
        <v>16</v>
      </c>
      <c r="N2492">
        <v>1510</v>
      </c>
      <c r="O2492">
        <v>89</v>
      </c>
      <c r="P2492">
        <v>0</v>
      </c>
      <c r="Q2492" t="s">
        <v>10409</v>
      </c>
      <c r="R2492" t="s">
        <v>10410</v>
      </c>
      <c r="S2492" t="s">
        <v>10411</v>
      </c>
      <c r="T2492" t="s">
        <v>10412</v>
      </c>
      <c r="U2492" t="s">
        <v>60</v>
      </c>
      <c r="V2492" t="s">
        <v>61</v>
      </c>
      <c r="W2492">
        <v>10</v>
      </c>
      <c r="X2492">
        <v>0.1150625</v>
      </c>
      <c r="Y2492" t="s">
        <v>125</v>
      </c>
      <c r="Z2492" t="s">
        <v>183</v>
      </c>
      <c r="AA2492">
        <v>0</v>
      </c>
      <c r="AB2492" t="s">
        <v>10318</v>
      </c>
      <c r="AC2492" t="s">
        <v>10319</v>
      </c>
      <c r="AD2492" t="s">
        <v>10320</v>
      </c>
      <c r="AE2492" t="s">
        <v>10321</v>
      </c>
      <c r="AF2492" t="s">
        <v>10322</v>
      </c>
      <c r="AG2492" t="s">
        <v>66</v>
      </c>
      <c r="AH2492" t="s">
        <v>66</v>
      </c>
      <c r="AI2492" t="s">
        <v>66</v>
      </c>
      <c r="AJ2492" t="s">
        <v>66</v>
      </c>
      <c r="AK2492">
        <v>1</v>
      </c>
      <c r="AL2492" t="s">
        <v>66</v>
      </c>
      <c r="AM2492" t="s">
        <v>66</v>
      </c>
      <c r="AN2492" t="s">
        <v>66</v>
      </c>
      <c r="AO2492" t="s">
        <v>66</v>
      </c>
      <c r="AP2492">
        <v>1</v>
      </c>
      <c r="AQ2492" t="s">
        <v>66</v>
      </c>
      <c r="AR2492" t="s">
        <v>66</v>
      </c>
      <c r="AS2492" t="s">
        <v>66</v>
      </c>
      <c r="AT2492" t="s">
        <v>66</v>
      </c>
    </row>
    <row r="2493" spans="1:46" x14ac:dyDescent="0.15">
      <c r="A2493" t="s">
        <v>10413</v>
      </c>
      <c r="B2493" t="s">
        <v>10310</v>
      </c>
      <c r="C2493" t="s">
        <v>10311</v>
      </c>
      <c r="D2493">
        <v>20</v>
      </c>
      <c r="E2493" t="s">
        <v>10312</v>
      </c>
      <c r="F2493" t="s">
        <v>1551</v>
      </c>
      <c r="G2493" t="s">
        <v>51</v>
      </c>
      <c r="H2493" t="s">
        <v>10313</v>
      </c>
      <c r="I2493" t="s">
        <v>53</v>
      </c>
      <c r="J2493" t="s">
        <v>2572</v>
      </c>
      <c r="K2493" t="s">
        <v>3594</v>
      </c>
      <c r="L2493" t="s">
        <v>17</v>
      </c>
      <c r="M2493" t="s">
        <v>16</v>
      </c>
      <c r="N2493">
        <v>1566</v>
      </c>
      <c r="O2493">
        <v>92</v>
      </c>
      <c r="P2493">
        <v>0</v>
      </c>
      <c r="Q2493" t="s">
        <v>10414</v>
      </c>
      <c r="R2493" t="s">
        <v>10415</v>
      </c>
      <c r="S2493" t="s">
        <v>10416</v>
      </c>
      <c r="T2493" t="s">
        <v>10417</v>
      </c>
      <c r="U2493" t="s">
        <v>60</v>
      </c>
      <c r="V2493" t="s">
        <v>61</v>
      </c>
      <c r="W2493">
        <v>10</v>
      </c>
      <c r="X2493">
        <v>0.1150625</v>
      </c>
      <c r="Y2493" t="s">
        <v>189</v>
      </c>
      <c r="Z2493" t="s">
        <v>190</v>
      </c>
      <c r="AA2493">
        <v>0</v>
      </c>
      <c r="AB2493" t="s">
        <v>10318</v>
      </c>
      <c r="AC2493" t="s">
        <v>10319</v>
      </c>
      <c r="AD2493" t="s">
        <v>10320</v>
      </c>
      <c r="AE2493" t="s">
        <v>10321</v>
      </c>
      <c r="AF2493" t="s">
        <v>10322</v>
      </c>
      <c r="AG2493" t="s">
        <v>66</v>
      </c>
      <c r="AH2493" t="s">
        <v>66</v>
      </c>
      <c r="AI2493" t="s">
        <v>66</v>
      </c>
      <c r="AJ2493" t="s">
        <v>66</v>
      </c>
      <c r="AK2493">
        <v>1</v>
      </c>
      <c r="AL2493" t="s">
        <v>66</v>
      </c>
      <c r="AM2493" t="s">
        <v>66</v>
      </c>
      <c r="AN2493" t="s">
        <v>66</v>
      </c>
      <c r="AO2493" t="s">
        <v>66</v>
      </c>
      <c r="AP2493">
        <v>1</v>
      </c>
      <c r="AQ2493" t="s">
        <v>66</v>
      </c>
      <c r="AR2493" t="s">
        <v>66</v>
      </c>
      <c r="AS2493" t="s">
        <v>66</v>
      </c>
      <c r="AT2493" t="s">
        <v>66</v>
      </c>
    </row>
    <row r="2494" spans="1:46" x14ac:dyDescent="0.15">
      <c r="A2494" t="s">
        <v>10413</v>
      </c>
      <c r="B2494" t="s">
        <v>10310</v>
      </c>
      <c r="C2494" t="s">
        <v>10311</v>
      </c>
      <c r="D2494">
        <v>20</v>
      </c>
      <c r="E2494" t="s">
        <v>10312</v>
      </c>
      <c r="F2494" t="s">
        <v>1551</v>
      </c>
      <c r="G2494" t="s">
        <v>51</v>
      </c>
      <c r="H2494" t="s">
        <v>10313</v>
      </c>
      <c r="I2494" t="s">
        <v>53</v>
      </c>
      <c r="J2494" t="s">
        <v>2572</v>
      </c>
      <c r="K2494" t="s">
        <v>3594</v>
      </c>
      <c r="L2494" t="s">
        <v>17</v>
      </c>
      <c r="M2494" t="s">
        <v>16</v>
      </c>
      <c r="N2494">
        <v>1566</v>
      </c>
      <c r="O2494">
        <v>92</v>
      </c>
      <c r="P2494">
        <v>0</v>
      </c>
      <c r="Q2494" t="s">
        <v>10414</v>
      </c>
      <c r="R2494" t="s">
        <v>10415</v>
      </c>
      <c r="S2494" t="s">
        <v>10416</v>
      </c>
      <c r="T2494" t="s">
        <v>10417</v>
      </c>
      <c r="U2494" t="s">
        <v>60</v>
      </c>
      <c r="V2494" t="s">
        <v>61</v>
      </c>
      <c r="W2494">
        <v>10</v>
      </c>
      <c r="X2494">
        <v>0.1150625</v>
      </c>
      <c r="Y2494" t="s">
        <v>189</v>
      </c>
      <c r="Z2494" t="s">
        <v>190</v>
      </c>
      <c r="AA2494">
        <v>1</v>
      </c>
      <c r="AB2494" t="s">
        <v>10318</v>
      </c>
      <c r="AC2494" t="s">
        <v>10319</v>
      </c>
      <c r="AD2494" t="s">
        <v>10320</v>
      </c>
      <c r="AE2494" t="s">
        <v>10321</v>
      </c>
      <c r="AF2494" t="s">
        <v>10322</v>
      </c>
      <c r="AG2494" t="s">
        <v>66</v>
      </c>
      <c r="AH2494" t="s">
        <v>66</v>
      </c>
      <c r="AI2494" t="s">
        <v>66</v>
      </c>
      <c r="AJ2494" t="s">
        <v>66</v>
      </c>
      <c r="AK2494">
        <v>1</v>
      </c>
      <c r="AL2494" t="s">
        <v>10418</v>
      </c>
      <c r="AM2494" t="s">
        <v>10419</v>
      </c>
      <c r="AN2494" t="s">
        <v>66</v>
      </c>
      <c r="AO2494" t="s">
        <v>66</v>
      </c>
      <c r="AP2494">
        <v>1</v>
      </c>
      <c r="AQ2494" t="s">
        <v>66</v>
      </c>
      <c r="AR2494" t="s">
        <v>66</v>
      </c>
      <c r="AS2494" t="s">
        <v>66</v>
      </c>
      <c r="AT2494" t="s">
        <v>66</v>
      </c>
    </row>
    <row r="2495" spans="1:46" x14ac:dyDescent="0.15">
      <c r="A2495" t="s">
        <v>10420</v>
      </c>
      <c r="B2495" t="s">
        <v>10310</v>
      </c>
      <c r="C2495" t="s">
        <v>10311</v>
      </c>
      <c r="D2495">
        <v>21</v>
      </c>
      <c r="E2495" t="s">
        <v>10312</v>
      </c>
      <c r="F2495" t="s">
        <v>1551</v>
      </c>
      <c r="G2495" t="s">
        <v>51</v>
      </c>
      <c r="H2495" t="s">
        <v>10313</v>
      </c>
      <c r="I2495" t="s">
        <v>53</v>
      </c>
      <c r="J2495" t="s">
        <v>2572</v>
      </c>
      <c r="K2495" t="s">
        <v>3594</v>
      </c>
      <c r="L2495" t="s">
        <v>17</v>
      </c>
      <c r="M2495" t="s">
        <v>16</v>
      </c>
      <c r="N2495">
        <v>1622</v>
      </c>
      <c r="O2495">
        <v>95</v>
      </c>
      <c r="P2495">
        <v>0</v>
      </c>
      <c r="Q2495" t="s">
        <v>10421</v>
      </c>
      <c r="R2495" t="s">
        <v>10422</v>
      </c>
      <c r="S2495" t="s">
        <v>10423</v>
      </c>
      <c r="T2495" t="s">
        <v>10424</v>
      </c>
      <c r="U2495" t="s">
        <v>60</v>
      </c>
      <c r="V2495" t="s">
        <v>61</v>
      </c>
      <c r="W2495">
        <v>10</v>
      </c>
      <c r="X2495">
        <v>0.1150625</v>
      </c>
      <c r="Y2495" t="s">
        <v>131</v>
      </c>
      <c r="Z2495" t="s">
        <v>197</v>
      </c>
      <c r="AA2495">
        <v>1</v>
      </c>
      <c r="AB2495" t="s">
        <v>10318</v>
      </c>
      <c r="AC2495" t="s">
        <v>10319</v>
      </c>
      <c r="AD2495" t="s">
        <v>10320</v>
      </c>
      <c r="AE2495" t="s">
        <v>10321</v>
      </c>
      <c r="AF2495" t="s">
        <v>10322</v>
      </c>
      <c r="AG2495" t="s">
        <v>66</v>
      </c>
      <c r="AH2495" t="s">
        <v>66</v>
      </c>
      <c r="AI2495" t="s">
        <v>66</v>
      </c>
      <c r="AJ2495" t="s">
        <v>66</v>
      </c>
      <c r="AK2495">
        <v>1</v>
      </c>
      <c r="AL2495" t="s">
        <v>10418</v>
      </c>
      <c r="AM2495" t="s">
        <v>10419</v>
      </c>
      <c r="AN2495" t="s">
        <v>66</v>
      </c>
      <c r="AO2495" t="s">
        <v>66</v>
      </c>
      <c r="AP2495">
        <v>1</v>
      </c>
      <c r="AQ2495" t="s">
        <v>66</v>
      </c>
      <c r="AR2495" t="s">
        <v>66</v>
      </c>
      <c r="AS2495" t="s">
        <v>66</v>
      </c>
      <c r="AT2495" t="s">
        <v>66</v>
      </c>
    </row>
    <row r="2496" spans="1:46" x14ac:dyDescent="0.15">
      <c r="A2496" t="s">
        <v>10425</v>
      </c>
      <c r="B2496" t="s">
        <v>10310</v>
      </c>
      <c r="C2496" t="s">
        <v>10311</v>
      </c>
      <c r="D2496">
        <v>22</v>
      </c>
      <c r="E2496" t="s">
        <v>10312</v>
      </c>
      <c r="F2496" t="s">
        <v>1551</v>
      </c>
      <c r="G2496" t="s">
        <v>51</v>
      </c>
      <c r="H2496" t="s">
        <v>10313</v>
      </c>
      <c r="I2496" t="s">
        <v>53</v>
      </c>
      <c r="J2496" t="s">
        <v>2572</v>
      </c>
      <c r="K2496" t="s">
        <v>3594</v>
      </c>
      <c r="L2496" t="s">
        <v>17</v>
      </c>
      <c r="M2496" t="s">
        <v>16</v>
      </c>
      <c r="N2496">
        <v>1679</v>
      </c>
      <c r="O2496">
        <v>99</v>
      </c>
      <c r="P2496">
        <v>0</v>
      </c>
      <c r="Q2496" t="s">
        <v>10426</v>
      </c>
      <c r="R2496" t="s">
        <v>10427</v>
      </c>
      <c r="S2496" t="s">
        <v>10428</v>
      </c>
      <c r="T2496" t="s">
        <v>10429</v>
      </c>
      <c r="U2496" t="s">
        <v>60</v>
      </c>
      <c r="V2496" t="s">
        <v>61</v>
      </c>
      <c r="W2496">
        <v>10</v>
      </c>
      <c r="X2496">
        <v>0.1150625</v>
      </c>
      <c r="Y2496" t="s">
        <v>203</v>
      </c>
      <c r="Z2496" t="s">
        <v>204</v>
      </c>
      <c r="AA2496">
        <v>1</v>
      </c>
      <c r="AB2496" t="s">
        <v>10318</v>
      </c>
      <c r="AC2496" t="s">
        <v>10319</v>
      </c>
      <c r="AD2496" t="s">
        <v>10320</v>
      </c>
      <c r="AE2496" t="s">
        <v>10321</v>
      </c>
      <c r="AF2496" t="s">
        <v>10322</v>
      </c>
      <c r="AG2496" t="s">
        <v>66</v>
      </c>
      <c r="AH2496" t="s">
        <v>66</v>
      </c>
      <c r="AI2496" t="s">
        <v>66</v>
      </c>
      <c r="AJ2496" t="s">
        <v>66</v>
      </c>
      <c r="AK2496">
        <v>1</v>
      </c>
      <c r="AL2496" t="s">
        <v>10418</v>
      </c>
      <c r="AM2496" t="s">
        <v>10419</v>
      </c>
      <c r="AN2496" t="s">
        <v>66</v>
      </c>
      <c r="AO2496" t="s">
        <v>66</v>
      </c>
      <c r="AP2496">
        <v>1</v>
      </c>
      <c r="AQ2496" t="s">
        <v>66</v>
      </c>
      <c r="AR2496" t="s">
        <v>66</v>
      </c>
      <c r="AS2496" t="s">
        <v>66</v>
      </c>
      <c r="AT2496" t="s">
        <v>66</v>
      </c>
    </row>
    <row r="2497" spans="1:46" x14ac:dyDescent="0.15">
      <c r="A2497" t="s">
        <v>10430</v>
      </c>
      <c r="B2497" t="s">
        <v>10310</v>
      </c>
      <c r="C2497" t="s">
        <v>10311</v>
      </c>
      <c r="D2497">
        <v>23</v>
      </c>
      <c r="E2497" t="s">
        <v>10312</v>
      </c>
      <c r="F2497" t="s">
        <v>1551</v>
      </c>
      <c r="G2497" t="s">
        <v>51</v>
      </c>
      <c r="H2497" t="s">
        <v>10313</v>
      </c>
      <c r="I2497" t="s">
        <v>53</v>
      </c>
      <c r="J2497" t="s">
        <v>2572</v>
      </c>
      <c r="K2497" t="s">
        <v>3594</v>
      </c>
      <c r="L2497" t="s">
        <v>17</v>
      </c>
      <c r="M2497" t="s">
        <v>16</v>
      </c>
      <c r="N2497">
        <v>1735</v>
      </c>
      <c r="O2497">
        <v>102</v>
      </c>
      <c r="P2497">
        <v>0</v>
      </c>
      <c r="Q2497" t="s">
        <v>10431</v>
      </c>
      <c r="R2497" t="s">
        <v>10432</v>
      </c>
      <c r="S2497" t="s">
        <v>10433</v>
      </c>
      <c r="T2497" t="s">
        <v>10434</v>
      </c>
      <c r="U2497" t="s">
        <v>60</v>
      </c>
      <c r="V2497" t="s">
        <v>61</v>
      </c>
      <c r="W2497">
        <v>10</v>
      </c>
      <c r="X2497">
        <v>0.1150625</v>
      </c>
      <c r="Y2497" t="s">
        <v>138</v>
      </c>
      <c r="Z2497" t="s">
        <v>210</v>
      </c>
      <c r="AA2497">
        <v>1</v>
      </c>
      <c r="AB2497" t="s">
        <v>10318</v>
      </c>
      <c r="AC2497" t="s">
        <v>10319</v>
      </c>
      <c r="AD2497" t="s">
        <v>10320</v>
      </c>
      <c r="AE2497" t="s">
        <v>10321</v>
      </c>
      <c r="AF2497" t="s">
        <v>10322</v>
      </c>
      <c r="AG2497" t="s">
        <v>66</v>
      </c>
      <c r="AH2497" t="s">
        <v>66</v>
      </c>
      <c r="AI2497" t="s">
        <v>66</v>
      </c>
      <c r="AJ2497" t="s">
        <v>66</v>
      </c>
      <c r="AK2497">
        <v>1</v>
      </c>
      <c r="AL2497" t="s">
        <v>10418</v>
      </c>
      <c r="AM2497" t="s">
        <v>10419</v>
      </c>
      <c r="AN2497" t="s">
        <v>66</v>
      </c>
      <c r="AO2497" t="s">
        <v>66</v>
      </c>
      <c r="AP2497">
        <v>1</v>
      </c>
      <c r="AQ2497" t="s">
        <v>66</v>
      </c>
      <c r="AR2497" t="s">
        <v>66</v>
      </c>
      <c r="AS2497" t="s">
        <v>66</v>
      </c>
      <c r="AT2497" t="s">
        <v>66</v>
      </c>
    </row>
    <row r="2498" spans="1:46" x14ac:dyDescent="0.15">
      <c r="A2498" t="s">
        <v>10435</v>
      </c>
      <c r="B2498" t="s">
        <v>10310</v>
      </c>
      <c r="C2498" t="s">
        <v>10311</v>
      </c>
      <c r="D2498">
        <v>24</v>
      </c>
      <c r="E2498" t="s">
        <v>10312</v>
      </c>
      <c r="F2498" t="s">
        <v>1551</v>
      </c>
      <c r="G2498" t="s">
        <v>51</v>
      </c>
      <c r="H2498" t="s">
        <v>10313</v>
      </c>
      <c r="I2498" t="s">
        <v>53</v>
      </c>
      <c r="J2498" t="s">
        <v>2572</v>
      </c>
      <c r="K2498" t="s">
        <v>3594</v>
      </c>
      <c r="L2498" t="s">
        <v>17</v>
      </c>
      <c r="M2498" t="s">
        <v>16</v>
      </c>
      <c r="N2498">
        <v>1791</v>
      </c>
      <c r="O2498">
        <v>105</v>
      </c>
      <c r="P2498">
        <v>0</v>
      </c>
      <c r="Q2498" t="s">
        <v>10436</v>
      </c>
      <c r="R2498" t="s">
        <v>10437</v>
      </c>
      <c r="S2498" t="s">
        <v>10438</v>
      </c>
      <c r="T2498" t="s">
        <v>10439</v>
      </c>
      <c r="U2498" t="s">
        <v>60</v>
      </c>
      <c r="V2498" t="s">
        <v>61</v>
      </c>
      <c r="W2498">
        <v>10</v>
      </c>
      <c r="X2498">
        <v>0.1150625</v>
      </c>
      <c r="Y2498" t="s">
        <v>216</v>
      </c>
      <c r="Z2498" t="s">
        <v>217</v>
      </c>
      <c r="AA2498">
        <v>1</v>
      </c>
      <c r="AB2498" t="s">
        <v>10318</v>
      </c>
      <c r="AC2498" t="s">
        <v>10319</v>
      </c>
      <c r="AD2498" t="s">
        <v>10320</v>
      </c>
      <c r="AE2498" t="s">
        <v>10321</v>
      </c>
      <c r="AF2498" t="s">
        <v>10322</v>
      </c>
      <c r="AG2498" t="s">
        <v>66</v>
      </c>
      <c r="AH2498" t="s">
        <v>66</v>
      </c>
      <c r="AI2498" t="s">
        <v>66</v>
      </c>
      <c r="AJ2498" t="s">
        <v>66</v>
      </c>
      <c r="AK2498">
        <v>1</v>
      </c>
      <c r="AL2498" t="s">
        <v>10418</v>
      </c>
      <c r="AM2498" t="s">
        <v>10419</v>
      </c>
      <c r="AN2498" t="s">
        <v>66</v>
      </c>
      <c r="AO2498" t="s">
        <v>66</v>
      </c>
      <c r="AP2498">
        <v>1</v>
      </c>
      <c r="AQ2498" t="s">
        <v>66</v>
      </c>
      <c r="AR2498" t="s">
        <v>66</v>
      </c>
      <c r="AS2498" t="s">
        <v>66</v>
      </c>
      <c r="AT2498" t="s">
        <v>66</v>
      </c>
    </row>
    <row r="2499" spans="1:46" x14ac:dyDescent="0.15">
      <c r="A2499" t="s">
        <v>10440</v>
      </c>
      <c r="B2499" t="s">
        <v>10310</v>
      </c>
      <c r="C2499" t="s">
        <v>10311</v>
      </c>
      <c r="D2499">
        <v>25</v>
      </c>
      <c r="E2499" t="s">
        <v>10312</v>
      </c>
      <c r="F2499" t="s">
        <v>1551</v>
      </c>
      <c r="G2499" t="s">
        <v>51</v>
      </c>
      <c r="H2499" t="s">
        <v>10313</v>
      </c>
      <c r="I2499" t="s">
        <v>53</v>
      </c>
      <c r="J2499" t="s">
        <v>2572</v>
      </c>
      <c r="K2499" t="s">
        <v>3594</v>
      </c>
      <c r="L2499" t="s">
        <v>17</v>
      </c>
      <c r="M2499" t="s">
        <v>16</v>
      </c>
      <c r="N2499">
        <v>1847</v>
      </c>
      <c r="O2499">
        <v>108</v>
      </c>
      <c r="P2499">
        <v>0</v>
      </c>
      <c r="Q2499" t="s">
        <v>10441</v>
      </c>
      <c r="R2499" t="s">
        <v>10442</v>
      </c>
      <c r="S2499" t="s">
        <v>10443</v>
      </c>
      <c r="T2499" t="s">
        <v>10444</v>
      </c>
      <c r="U2499" t="s">
        <v>60</v>
      </c>
      <c r="V2499" t="s">
        <v>61</v>
      </c>
      <c r="W2499">
        <v>10</v>
      </c>
      <c r="X2499">
        <v>0.1150625</v>
      </c>
      <c r="Y2499" t="s">
        <v>144</v>
      </c>
      <c r="Z2499" t="s">
        <v>223</v>
      </c>
      <c r="AA2499">
        <v>1</v>
      </c>
      <c r="AB2499" t="s">
        <v>10318</v>
      </c>
      <c r="AC2499" t="s">
        <v>10319</v>
      </c>
      <c r="AD2499" t="s">
        <v>10320</v>
      </c>
      <c r="AE2499" t="s">
        <v>10321</v>
      </c>
      <c r="AF2499" t="s">
        <v>10322</v>
      </c>
      <c r="AG2499" t="s">
        <v>66</v>
      </c>
      <c r="AH2499" t="s">
        <v>66</v>
      </c>
      <c r="AI2499" t="s">
        <v>66</v>
      </c>
      <c r="AJ2499" t="s">
        <v>66</v>
      </c>
      <c r="AK2499">
        <v>1</v>
      </c>
      <c r="AL2499" t="s">
        <v>10418</v>
      </c>
      <c r="AM2499" t="s">
        <v>10419</v>
      </c>
      <c r="AN2499" t="s">
        <v>66</v>
      </c>
      <c r="AO2499" t="s">
        <v>66</v>
      </c>
      <c r="AP2499">
        <v>1</v>
      </c>
      <c r="AQ2499" t="s">
        <v>66</v>
      </c>
      <c r="AR2499" t="s">
        <v>66</v>
      </c>
      <c r="AS2499" t="s">
        <v>66</v>
      </c>
      <c r="AT2499" t="s">
        <v>66</v>
      </c>
    </row>
    <row r="2500" spans="1:46" x14ac:dyDescent="0.15">
      <c r="A2500" t="s">
        <v>10445</v>
      </c>
      <c r="B2500" t="s">
        <v>10310</v>
      </c>
      <c r="C2500" t="s">
        <v>10311</v>
      </c>
      <c r="D2500">
        <v>26</v>
      </c>
      <c r="E2500" t="s">
        <v>10312</v>
      </c>
      <c r="F2500" t="s">
        <v>1551</v>
      </c>
      <c r="G2500" t="s">
        <v>51</v>
      </c>
      <c r="H2500" t="s">
        <v>10313</v>
      </c>
      <c r="I2500" t="s">
        <v>53</v>
      </c>
      <c r="J2500" t="s">
        <v>2572</v>
      </c>
      <c r="K2500" t="s">
        <v>3594</v>
      </c>
      <c r="L2500" t="s">
        <v>17</v>
      </c>
      <c r="M2500" t="s">
        <v>16</v>
      </c>
      <c r="N2500">
        <v>1903</v>
      </c>
      <c r="O2500">
        <v>112</v>
      </c>
      <c r="P2500">
        <v>0</v>
      </c>
      <c r="Q2500" t="s">
        <v>10446</v>
      </c>
      <c r="R2500" t="s">
        <v>10447</v>
      </c>
      <c r="S2500" t="s">
        <v>10448</v>
      </c>
      <c r="T2500" t="s">
        <v>10449</v>
      </c>
      <c r="U2500" t="s">
        <v>60</v>
      </c>
      <c r="V2500" t="s">
        <v>61</v>
      </c>
      <c r="W2500">
        <v>10</v>
      </c>
      <c r="X2500">
        <v>0.1150625</v>
      </c>
      <c r="Y2500" t="s">
        <v>229</v>
      </c>
      <c r="Z2500" t="s">
        <v>230</v>
      </c>
      <c r="AA2500">
        <v>1</v>
      </c>
      <c r="AB2500" t="s">
        <v>10318</v>
      </c>
      <c r="AC2500" t="s">
        <v>10319</v>
      </c>
      <c r="AD2500" t="s">
        <v>10320</v>
      </c>
      <c r="AE2500" t="s">
        <v>10321</v>
      </c>
      <c r="AF2500" t="s">
        <v>10322</v>
      </c>
      <c r="AG2500" t="s">
        <v>66</v>
      </c>
      <c r="AH2500" t="s">
        <v>66</v>
      </c>
      <c r="AI2500" t="s">
        <v>66</v>
      </c>
      <c r="AJ2500" t="s">
        <v>66</v>
      </c>
      <c r="AK2500">
        <v>1</v>
      </c>
      <c r="AL2500" t="s">
        <v>10418</v>
      </c>
      <c r="AM2500" t="s">
        <v>10419</v>
      </c>
      <c r="AN2500" t="s">
        <v>66</v>
      </c>
      <c r="AO2500" t="s">
        <v>66</v>
      </c>
      <c r="AP2500">
        <v>1</v>
      </c>
      <c r="AQ2500" t="s">
        <v>66</v>
      </c>
      <c r="AR2500" t="s">
        <v>66</v>
      </c>
      <c r="AS2500" t="s">
        <v>66</v>
      </c>
      <c r="AT2500" t="s">
        <v>66</v>
      </c>
    </row>
    <row r="2501" spans="1:46" x14ac:dyDescent="0.15">
      <c r="A2501" t="s">
        <v>10450</v>
      </c>
      <c r="B2501" t="s">
        <v>10310</v>
      </c>
      <c r="C2501" t="s">
        <v>10311</v>
      </c>
      <c r="D2501">
        <v>27</v>
      </c>
      <c r="E2501" t="s">
        <v>10312</v>
      </c>
      <c r="F2501" t="s">
        <v>1551</v>
      </c>
      <c r="G2501" t="s">
        <v>51</v>
      </c>
      <c r="H2501" t="s">
        <v>10313</v>
      </c>
      <c r="I2501" t="s">
        <v>53</v>
      </c>
      <c r="J2501" t="s">
        <v>2572</v>
      </c>
      <c r="K2501" t="s">
        <v>3594</v>
      </c>
      <c r="L2501" t="s">
        <v>17</v>
      </c>
      <c r="M2501" t="s">
        <v>16</v>
      </c>
      <c r="N2501">
        <v>1959</v>
      </c>
      <c r="O2501">
        <v>115</v>
      </c>
      <c r="P2501">
        <v>0</v>
      </c>
      <c r="Q2501" t="s">
        <v>10451</v>
      </c>
      <c r="R2501" t="s">
        <v>10452</v>
      </c>
      <c r="S2501" t="s">
        <v>10453</v>
      </c>
      <c r="T2501" t="s">
        <v>10454</v>
      </c>
      <c r="U2501" t="s">
        <v>60</v>
      </c>
      <c r="V2501" t="s">
        <v>61</v>
      </c>
      <c r="W2501">
        <v>10</v>
      </c>
      <c r="X2501">
        <v>0.1150625</v>
      </c>
      <c r="Y2501" t="s">
        <v>151</v>
      </c>
      <c r="Z2501" t="s">
        <v>236</v>
      </c>
      <c r="AA2501">
        <v>1</v>
      </c>
      <c r="AB2501" t="s">
        <v>10318</v>
      </c>
      <c r="AC2501" t="s">
        <v>10319</v>
      </c>
      <c r="AD2501" t="s">
        <v>10320</v>
      </c>
      <c r="AE2501" t="s">
        <v>10321</v>
      </c>
      <c r="AF2501" t="s">
        <v>10322</v>
      </c>
      <c r="AG2501" t="s">
        <v>66</v>
      </c>
      <c r="AH2501" t="s">
        <v>66</v>
      </c>
      <c r="AI2501" t="s">
        <v>66</v>
      </c>
      <c r="AJ2501" t="s">
        <v>66</v>
      </c>
      <c r="AK2501">
        <v>1</v>
      </c>
      <c r="AL2501" t="s">
        <v>10418</v>
      </c>
      <c r="AM2501" t="s">
        <v>10419</v>
      </c>
      <c r="AN2501" t="s">
        <v>66</v>
      </c>
      <c r="AO2501" t="s">
        <v>66</v>
      </c>
      <c r="AP2501">
        <v>1</v>
      </c>
      <c r="AQ2501" t="s">
        <v>66</v>
      </c>
      <c r="AR2501" t="s">
        <v>66</v>
      </c>
      <c r="AS2501" t="s">
        <v>66</v>
      </c>
      <c r="AT2501" t="s">
        <v>66</v>
      </c>
    </row>
    <row r="2502" spans="1:46" x14ac:dyDescent="0.15">
      <c r="A2502" t="s">
        <v>10455</v>
      </c>
      <c r="B2502" t="s">
        <v>10310</v>
      </c>
      <c r="C2502" t="s">
        <v>10311</v>
      </c>
      <c r="D2502">
        <v>28</v>
      </c>
      <c r="E2502" t="s">
        <v>10312</v>
      </c>
      <c r="F2502" t="s">
        <v>1551</v>
      </c>
      <c r="G2502" t="s">
        <v>51</v>
      </c>
      <c r="H2502" t="s">
        <v>10313</v>
      </c>
      <c r="I2502" t="s">
        <v>53</v>
      </c>
      <c r="J2502" t="s">
        <v>2572</v>
      </c>
      <c r="K2502" t="s">
        <v>3594</v>
      </c>
      <c r="L2502" t="s">
        <v>17</v>
      </c>
      <c r="M2502" t="s">
        <v>16</v>
      </c>
      <c r="N2502">
        <v>2015</v>
      </c>
      <c r="O2502">
        <v>118</v>
      </c>
      <c r="P2502">
        <v>0</v>
      </c>
      <c r="Q2502" t="s">
        <v>10456</v>
      </c>
      <c r="R2502" t="s">
        <v>10457</v>
      </c>
      <c r="S2502" t="s">
        <v>10458</v>
      </c>
      <c r="T2502" t="s">
        <v>10459</v>
      </c>
      <c r="U2502" t="s">
        <v>60</v>
      </c>
      <c r="V2502" t="s">
        <v>61</v>
      </c>
      <c r="W2502">
        <v>10</v>
      </c>
      <c r="X2502">
        <v>0.1150625</v>
      </c>
      <c r="Y2502" t="s">
        <v>242</v>
      </c>
      <c r="Z2502" t="s">
        <v>243</v>
      </c>
      <c r="AA2502">
        <v>1</v>
      </c>
      <c r="AB2502" t="s">
        <v>10318</v>
      </c>
      <c r="AC2502" t="s">
        <v>10319</v>
      </c>
      <c r="AD2502" t="s">
        <v>10320</v>
      </c>
      <c r="AE2502" t="s">
        <v>10321</v>
      </c>
      <c r="AF2502" t="s">
        <v>10322</v>
      </c>
      <c r="AG2502" t="s">
        <v>66</v>
      </c>
      <c r="AH2502" t="s">
        <v>66</v>
      </c>
      <c r="AI2502" t="s">
        <v>66</v>
      </c>
      <c r="AJ2502" t="s">
        <v>66</v>
      </c>
      <c r="AK2502">
        <v>1</v>
      </c>
      <c r="AL2502" t="s">
        <v>10418</v>
      </c>
      <c r="AM2502" t="s">
        <v>10419</v>
      </c>
      <c r="AN2502" t="s">
        <v>66</v>
      </c>
      <c r="AO2502" t="s">
        <v>66</v>
      </c>
      <c r="AP2502">
        <v>1</v>
      </c>
      <c r="AQ2502" t="s">
        <v>66</v>
      </c>
      <c r="AR2502" t="s">
        <v>66</v>
      </c>
      <c r="AS2502" t="s">
        <v>66</v>
      </c>
      <c r="AT2502" t="s">
        <v>66</v>
      </c>
    </row>
    <row r="2503" spans="1:46" x14ac:dyDescent="0.15">
      <c r="A2503" t="s">
        <v>10460</v>
      </c>
      <c r="B2503" t="s">
        <v>10310</v>
      </c>
      <c r="C2503" t="s">
        <v>10311</v>
      </c>
      <c r="D2503">
        <v>29</v>
      </c>
      <c r="E2503" t="s">
        <v>10312</v>
      </c>
      <c r="F2503" t="s">
        <v>1551</v>
      </c>
      <c r="G2503" t="s">
        <v>51</v>
      </c>
      <c r="H2503" t="s">
        <v>10313</v>
      </c>
      <c r="I2503" t="s">
        <v>53</v>
      </c>
      <c r="J2503" t="s">
        <v>2572</v>
      </c>
      <c r="K2503" t="s">
        <v>3594</v>
      </c>
      <c r="L2503" t="s">
        <v>17</v>
      </c>
      <c r="M2503" t="s">
        <v>16</v>
      </c>
      <c r="N2503">
        <v>2071</v>
      </c>
      <c r="O2503">
        <v>121</v>
      </c>
      <c r="P2503">
        <v>0</v>
      </c>
      <c r="Q2503" t="s">
        <v>10461</v>
      </c>
      <c r="R2503" t="s">
        <v>10462</v>
      </c>
      <c r="S2503" t="s">
        <v>10463</v>
      </c>
      <c r="T2503" t="s">
        <v>10464</v>
      </c>
      <c r="U2503" t="s">
        <v>60</v>
      </c>
      <c r="V2503" t="s">
        <v>61</v>
      </c>
      <c r="W2503">
        <v>10</v>
      </c>
      <c r="X2503">
        <v>0.1150625</v>
      </c>
      <c r="Y2503" t="s">
        <v>157</v>
      </c>
      <c r="Z2503" t="s">
        <v>249</v>
      </c>
      <c r="AA2503">
        <v>1</v>
      </c>
      <c r="AB2503" t="s">
        <v>10318</v>
      </c>
      <c r="AC2503" t="s">
        <v>10319</v>
      </c>
      <c r="AD2503" t="s">
        <v>10320</v>
      </c>
      <c r="AE2503" t="s">
        <v>10321</v>
      </c>
      <c r="AF2503" t="s">
        <v>10322</v>
      </c>
      <c r="AG2503" t="s">
        <v>66</v>
      </c>
      <c r="AH2503" t="s">
        <v>66</v>
      </c>
      <c r="AI2503" t="s">
        <v>66</v>
      </c>
      <c r="AJ2503" t="s">
        <v>66</v>
      </c>
      <c r="AK2503">
        <v>1</v>
      </c>
      <c r="AL2503" t="s">
        <v>10418</v>
      </c>
      <c r="AM2503" t="s">
        <v>10419</v>
      </c>
      <c r="AN2503" t="s">
        <v>66</v>
      </c>
      <c r="AO2503" t="s">
        <v>66</v>
      </c>
      <c r="AP2503">
        <v>1</v>
      </c>
      <c r="AQ2503" t="s">
        <v>66</v>
      </c>
      <c r="AR2503" t="s">
        <v>66</v>
      </c>
      <c r="AS2503" t="s">
        <v>66</v>
      </c>
      <c r="AT2503" t="s">
        <v>66</v>
      </c>
    </row>
    <row r="2504" spans="1:46" x14ac:dyDescent="0.15">
      <c r="A2504" t="s">
        <v>10465</v>
      </c>
      <c r="B2504" t="s">
        <v>10310</v>
      </c>
      <c r="C2504" t="s">
        <v>10311</v>
      </c>
      <c r="D2504">
        <v>30</v>
      </c>
      <c r="E2504" t="s">
        <v>10312</v>
      </c>
      <c r="F2504" t="s">
        <v>1551</v>
      </c>
      <c r="G2504" t="s">
        <v>51</v>
      </c>
      <c r="H2504" t="s">
        <v>10313</v>
      </c>
      <c r="I2504" t="s">
        <v>53</v>
      </c>
      <c r="J2504" t="s">
        <v>2572</v>
      </c>
      <c r="K2504" t="s">
        <v>3594</v>
      </c>
      <c r="L2504" t="s">
        <v>17</v>
      </c>
      <c r="M2504" t="s">
        <v>16</v>
      </c>
      <c r="N2504">
        <v>2128</v>
      </c>
      <c r="O2504">
        <v>125</v>
      </c>
      <c r="P2504">
        <v>0</v>
      </c>
      <c r="Q2504" t="s">
        <v>10466</v>
      </c>
      <c r="R2504" t="s">
        <v>10467</v>
      </c>
      <c r="S2504" t="s">
        <v>10468</v>
      </c>
      <c r="T2504" t="s">
        <v>10469</v>
      </c>
      <c r="U2504" t="s">
        <v>60</v>
      </c>
      <c r="V2504" t="s">
        <v>61</v>
      </c>
      <c r="W2504">
        <v>10</v>
      </c>
      <c r="X2504">
        <v>0.1150625</v>
      </c>
      <c r="Y2504" t="s">
        <v>255</v>
      </c>
      <c r="Z2504" t="s">
        <v>256</v>
      </c>
      <c r="AA2504">
        <v>1</v>
      </c>
      <c r="AB2504" t="s">
        <v>10318</v>
      </c>
      <c r="AC2504" t="s">
        <v>10319</v>
      </c>
      <c r="AD2504" t="s">
        <v>10320</v>
      </c>
      <c r="AE2504" t="s">
        <v>10321</v>
      </c>
      <c r="AF2504" t="s">
        <v>10322</v>
      </c>
      <c r="AG2504" t="s">
        <v>66</v>
      </c>
      <c r="AH2504" t="s">
        <v>66</v>
      </c>
      <c r="AI2504" t="s">
        <v>66</v>
      </c>
      <c r="AJ2504" t="s">
        <v>66</v>
      </c>
      <c r="AK2504">
        <v>1</v>
      </c>
      <c r="AL2504" t="s">
        <v>10418</v>
      </c>
      <c r="AM2504" t="s">
        <v>10419</v>
      </c>
      <c r="AN2504" t="s">
        <v>66</v>
      </c>
      <c r="AO2504" t="s">
        <v>66</v>
      </c>
      <c r="AP2504">
        <v>1</v>
      </c>
      <c r="AQ2504" t="s">
        <v>66</v>
      </c>
      <c r="AR2504" t="s">
        <v>66</v>
      </c>
      <c r="AS2504" t="s">
        <v>66</v>
      </c>
      <c r="AT2504" t="s">
        <v>66</v>
      </c>
    </row>
    <row r="2505" spans="1:46" x14ac:dyDescent="0.15">
      <c r="A2505" t="s">
        <v>10470</v>
      </c>
      <c r="B2505" t="s">
        <v>10310</v>
      </c>
      <c r="C2505" t="s">
        <v>10311</v>
      </c>
      <c r="D2505">
        <v>31</v>
      </c>
      <c r="E2505" t="s">
        <v>10312</v>
      </c>
      <c r="F2505" t="s">
        <v>1551</v>
      </c>
      <c r="G2505" t="s">
        <v>51</v>
      </c>
      <c r="H2505" t="s">
        <v>10313</v>
      </c>
      <c r="I2505" t="s">
        <v>53</v>
      </c>
      <c r="J2505" t="s">
        <v>2572</v>
      </c>
      <c r="K2505" t="s">
        <v>3594</v>
      </c>
      <c r="L2505" t="s">
        <v>17</v>
      </c>
      <c r="M2505" t="s">
        <v>16</v>
      </c>
      <c r="N2505">
        <v>2184</v>
      </c>
      <c r="O2505">
        <v>128</v>
      </c>
      <c r="P2505">
        <v>0</v>
      </c>
      <c r="Q2505" t="s">
        <v>10471</v>
      </c>
      <c r="R2505" t="s">
        <v>10472</v>
      </c>
      <c r="S2505" t="s">
        <v>10473</v>
      </c>
      <c r="T2505" t="s">
        <v>10474</v>
      </c>
      <c r="U2505" t="s">
        <v>60</v>
      </c>
      <c r="V2505" t="s">
        <v>61</v>
      </c>
      <c r="W2505">
        <v>10</v>
      </c>
      <c r="X2505">
        <v>0.1150625</v>
      </c>
      <c r="Y2505" t="s">
        <v>164</v>
      </c>
      <c r="Z2505" t="s">
        <v>262</v>
      </c>
      <c r="AA2505">
        <v>1</v>
      </c>
      <c r="AB2505" t="s">
        <v>10318</v>
      </c>
      <c r="AC2505" t="s">
        <v>10319</v>
      </c>
      <c r="AD2505" t="s">
        <v>10320</v>
      </c>
      <c r="AE2505" t="s">
        <v>10321</v>
      </c>
      <c r="AF2505" t="s">
        <v>10322</v>
      </c>
      <c r="AG2505" t="s">
        <v>66</v>
      </c>
      <c r="AH2505" t="s">
        <v>66</v>
      </c>
      <c r="AI2505" t="s">
        <v>66</v>
      </c>
      <c r="AJ2505" t="s">
        <v>66</v>
      </c>
      <c r="AK2505">
        <v>1</v>
      </c>
      <c r="AL2505" t="s">
        <v>10418</v>
      </c>
      <c r="AM2505" t="s">
        <v>10419</v>
      </c>
      <c r="AN2505" t="s">
        <v>66</v>
      </c>
      <c r="AO2505" t="s">
        <v>66</v>
      </c>
      <c r="AP2505">
        <v>1</v>
      </c>
      <c r="AQ2505" t="s">
        <v>66</v>
      </c>
      <c r="AR2505" t="s">
        <v>66</v>
      </c>
      <c r="AS2505" t="s">
        <v>66</v>
      </c>
      <c r="AT2505" t="s">
        <v>66</v>
      </c>
    </row>
    <row r="2506" spans="1:46" x14ac:dyDescent="0.15">
      <c r="A2506" t="s">
        <v>10475</v>
      </c>
      <c r="B2506" t="s">
        <v>10310</v>
      </c>
      <c r="C2506" t="s">
        <v>10311</v>
      </c>
      <c r="D2506">
        <v>32</v>
      </c>
      <c r="E2506" t="s">
        <v>10312</v>
      </c>
      <c r="F2506" t="s">
        <v>1551</v>
      </c>
      <c r="G2506" t="s">
        <v>51</v>
      </c>
      <c r="H2506" t="s">
        <v>10313</v>
      </c>
      <c r="I2506" t="s">
        <v>53</v>
      </c>
      <c r="J2506" t="s">
        <v>2572</v>
      </c>
      <c r="K2506" t="s">
        <v>3594</v>
      </c>
      <c r="L2506" t="s">
        <v>17</v>
      </c>
      <c r="M2506" t="s">
        <v>16</v>
      </c>
      <c r="N2506">
        <v>2240</v>
      </c>
      <c r="O2506">
        <v>131</v>
      </c>
      <c r="P2506">
        <v>0</v>
      </c>
      <c r="Q2506" t="s">
        <v>10476</v>
      </c>
      <c r="R2506" t="s">
        <v>10477</v>
      </c>
      <c r="S2506" t="s">
        <v>10478</v>
      </c>
      <c r="T2506" t="s">
        <v>10479</v>
      </c>
      <c r="U2506" t="s">
        <v>60</v>
      </c>
      <c r="V2506" t="s">
        <v>61</v>
      </c>
      <c r="W2506">
        <v>10</v>
      </c>
      <c r="X2506">
        <v>0.1150625</v>
      </c>
      <c r="Y2506" t="s">
        <v>268</v>
      </c>
      <c r="Z2506" t="s">
        <v>269</v>
      </c>
      <c r="AA2506">
        <v>1</v>
      </c>
      <c r="AB2506" t="s">
        <v>10318</v>
      </c>
      <c r="AC2506" t="s">
        <v>10319</v>
      </c>
      <c r="AD2506" t="s">
        <v>10320</v>
      </c>
      <c r="AE2506" t="s">
        <v>10321</v>
      </c>
      <c r="AF2506" t="s">
        <v>10322</v>
      </c>
      <c r="AG2506" t="s">
        <v>66</v>
      </c>
      <c r="AH2506" t="s">
        <v>66</v>
      </c>
      <c r="AI2506" t="s">
        <v>66</v>
      </c>
      <c r="AJ2506" t="s">
        <v>66</v>
      </c>
      <c r="AK2506">
        <v>1</v>
      </c>
      <c r="AL2506" t="s">
        <v>10418</v>
      </c>
      <c r="AM2506" t="s">
        <v>10419</v>
      </c>
      <c r="AN2506" t="s">
        <v>66</v>
      </c>
      <c r="AO2506" t="s">
        <v>66</v>
      </c>
      <c r="AP2506">
        <v>1</v>
      </c>
      <c r="AQ2506" t="s">
        <v>66</v>
      </c>
      <c r="AR2506" t="s">
        <v>66</v>
      </c>
      <c r="AS2506" t="s">
        <v>66</v>
      </c>
      <c r="AT2506" t="s">
        <v>66</v>
      </c>
    </row>
    <row r="2507" spans="1:46" x14ac:dyDescent="0.15">
      <c r="A2507" t="s">
        <v>10480</v>
      </c>
      <c r="B2507" t="s">
        <v>10310</v>
      </c>
      <c r="C2507" t="s">
        <v>10311</v>
      </c>
      <c r="D2507">
        <v>33</v>
      </c>
      <c r="E2507" t="s">
        <v>10312</v>
      </c>
      <c r="F2507" t="s">
        <v>1551</v>
      </c>
      <c r="G2507" t="s">
        <v>51</v>
      </c>
      <c r="H2507" t="s">
        <v>10313</v>
      </c>
      <c r="I2507" t="s">
        <v>53</v>
      </c>
      <c r="J2507" t="s">
        <v>2572</v>
      </c>
      <c r="K2507" t="s">
        <v>3594</v>
      </c>
      <c r="L2507" t="s">
        <v>17</v>
      </c>
      <c r="M2507" t="s">
        <v>16</v>
      </c>
      <c r="N2507">
        <v>2296</v>
      </c>
      <c r="O2507">
        <v>134</v>
      </c>
      <c r="P2507">
        <v>0</v>
      </c>
      <c r="Q2507" t="s">
        <v>10481</v>
      </c>
      <c r="R2507" t="s">
        <v>10482</v>
      </c>
      <c r="S2507" t="s">
        <v>10483</v>
      </c>
      <c r="T2507" t="s">
        <v>10484</v>
      </c>
      <c r="U2507" t="s">
        <v>60</v>
      </c>
      <c r="V2507" t="s">
        <v>61</v>
      </c>
      <c r="W2507">
        <v>10</v>
      </c>
      <c r="X2507">
        <v>0.1150625</v>
      </c>
      <c r="Y2507" t="s">
        <v>170</v>
      </c>
      <c r="Z2507" t="s">
        <v>275</v>
      </c>
      <c r="AA2507">
        <v>1</v>
      </c>
      <c r="AB2507" t="s">
        <v>10318</v>
      </c>
      <c r="AC2507" t="s">
        <v>10319</v>
      </c>
      <c r="AD2507" t="s">
        <v>10320</v>
      </c>
      <c r="AE2507" t="s">
        <v>10321</v>
      </c>
      <c r="AF2507" t="s">
        <v>10322</v>
      </c>
      <c r="AG2507" t="s">
        <v>66</v>
      </c>
      <c r="AH2507" t="s">
        <v>66</v>
      </c>
      <c r="AI2507" t="s">
        <v>66</v>
      </c>
      <c r="AJ2507" t="s">
        <v>66</v>
      </c>
      <c r="AK2507">
        <v>1</v>
      </c>
      <c r="AL2507" t="s">
        <v>10418</v>
      </c>
      <c r="AM2507" t="s">
        <v>10419</v>
      </c>
      <c r="AN2507" t="s">
        <v>66</v>
      </c>
      <c r="AO2507" t="s">
        <v>66</v>
      </c>
      <c r="AP2507">
        <v>1</v>
      </c>
      <c r="AQ2507" t="s">
        <v>66</v>
      </c>
      <c r="AR2507" t="s">
        <v>66</v>
      </c>
      <c r="AS2507" t="s">
        <v>66</v>
      </c>
      <c r="AT2507" t="s">
        <v>66</v>
      </c>
    </row>
    <row r="2508" spans="1:46" x14ac:dyDescent="0.15">
      <c r="A2508" t="s">
        <v>10485</v>
      </c>
      <c r="B2508" t="s">
        <v>10310</v>
      </c>
      <c r="C2508" t="s">
        <v>10311</v>
      </c>
      <c r="D2508">
        <v>34</v>
      </c>
      <c r="E2508" t="s">
        <v>10312</v>
      </c>
      <c r="F2508" t="s">
        <v>1551</v>
      </c>
      <c r="G2508" t="s">
        <v>51</v>
      </c>
      <c r="H2508" t="s">
        <v>10313</v>
      </c>
      <c r="I2508" t="s">
        <v>53</v>
      </c>
      <c r="J2508" t="s">
        <v>2572</v>
      </c>
      <c r="K2508" t="s">
        <v>3594</v>
      </c>
      <c r="L2508" t="s">
        <v>17</v>
      </c>
      <c r="M2508" t="s">
        <v>16</v>
      </c>
      <c r="N2508">
        <v>2352</v>
      </c>
      <c r="O2508">
        <v>138</v>
      </c>
      <c r="P2508">
        <v>0</v>
      </c>
      <c r="Q2508" t="s">
        <v>10486</v>
      </c>
      <c r="R2508" t="s">
        <v>10487</v>
      </c>
      <c r="S2508" t="s">
        <v>10488</v>
      </c>
      <c r="T2508" t="s">
        <v>10489</v>
      </c>
      <c r="U2508" t="s">
        <v>60</v>
      </c>
      <c r="V2508" t="s">
        <v>61</v>
      </c>
      <c r="W2508">
        <v>10</v>
      </c>
      <c r="X2508">
        <v>0.1150625</v>
      </c>
      <c r="Y2508" t="s">
        <v>281</v>
      </c>
      <c r="Z2508" t="s">
        <v>282</v>
      </c>
      <c r="AA2508">
        <v>1</v>
      </c>
      <c r="AB2508" t="s">
        <v>10318</v>
      </c>
      <c r="AC2508" t="s">
        <v>10319</v>
      </c>
      <c r="AD2508" t="s">
        <v>10320</v>
      </c>
      <c r="AE2508" t="s">
        <v>10321</v>
      </c>
      <c r="AF2508" t="s">
        <v>10322</v>
      </c>
      <c r="AG2508" t="s">
        <v>66</v>
      </c>
      <c r="AH2508" t="s">
        <v>66</v>
      </c>
      <c r="AI2508" t="s">
        <v>66</v>
      </c>
      <c r="AJ2508" t="s">
        <v>66</v>
      </c>
      <c r="AK2508">
        <v>1</v>
      </c>
      <c r="AL2508" t="s">
        <v>10418</v>
      </c>
      <c r="AM2508" t="s">
        <v>10419</v>
      </c>
      <c r="AN2508" t="s">
        <v>66</v>
      </c>
      <c r="AO2508" t="s">
        <v>66</v>
      </c>
      <c r="AP2508">
        <v>1</v>
      </c>
      <c r="AQ2508" t="s">
        <v>66</v>
      </c>
      <c r="AR2508" t="s">
        <v>66</v>
      </c>
      <c r="AS2508" t="s">
        <v>66</v>
      </c>
      <c r="AT2508" t="s">
        <v>66</v>
      </c>
    </row>
    <row r="2509" spans="1:46" x14ac:dyDescent="0.15">
      <c r="A2509" t="s">
        <v>10490</v>
      </c>
      <c r="B2509" t="s">
        <v>10310</v>
      </c>
      <c r="C2509" t="s">
        <v>10311</v>
      </c>
      <c r="D2509">
        <v>35</v>
      </c>
      <c r="E2509" t="s">
        <v>10312</v>
      </c>
      <c r="F2509" t="s">
        <v>1551</v>
      </c>
      <c r="G2509" t="s">
        <v>51</v>
      </c>
      <c r="H2509" t="s">
        <v>10313</v>
      </c>
      <c r="I2509" t="s">
        <v>53</v>
      </c>
      <c r="J2509" t="s">
        <v>2572</v>
      </c>
      <c r="K2509" t="s">
        <v>3594</v>
      </c>
      <c r="L2509" t="s">
        <v>17</v>
      </c>
      <c r="M2509" t="s">
        <v>16</v>
      </c>
      <c r="N2509">
        <v>2408</v>
      </c>
      <c r="O2509">
        <v>141</v>
      </c>
      <c r="P2509">
        <v>0</v>
      </c>
      <c r="Q2509" t="s">
        <v>10491</v>
      </c>
      <c r="R2509" t="s">
        <v>10492</v>
      </c>
      <c r="S2509" t="s">
        <v>10493</v>
      </c>
      <c r="T2509" t="s">
        <v>10494</v>
      </c>
      <c r="U2509" t="s">
        <v>60</v>
      </c>
      <c r="V2509" t="s">
        <v>61</v>
      </c>
      <c r="W2509">
        <v>10</v>
      </c>
      <c r="X2509">
        <v>0.1150625</v>
      </c>
      <c r="Y2509" t="s">
        <v>177</v>
      </c>
      <c r="Z2509" t="s">
        <v>288</v>
      </c>
      <c r="AA2509">
        <v>1</v>
      </c>
      <c r="AB2509" t="s">
        <v>10318</v>
      </c>
      <c r="AC2509" t="s">
        <v>10319</v>
      </c>
      <c r="AD2509" t="s">
        <v>10320</v>
      </c>
      <c r="AE2509" t="s">
        <v>10321</v>
      </c>
      <c r="AF2509" t="s">
        <v>10322</v>
      </c>
      <c r="AG2509" t="s">
        <v>66</v>
      </c>
      <c r="AH2509" t="s">
        <v>66</v>
      </c>
      <c r="AI2509" t="s">
        <v>66</v>
      </c>
      <c r="AJ2509" t="s">
        <v>66</v>
      </c>
      <c r="AK2509">
        <v>1</v>
      </c>
      <c r="AL2509" t="s">
        <v>10418</v>
      </c>
      <c r="AM2509" t="s">
        <v>10419</v>
      </c>
      <c r="AN2509" t="s">
        <v>66</v>
      </c>
      <c r="AO2509" t="s">
        <v>66</v>
      </c>
      <c r="AP2509">
        <v>1</v>
      </c>
      <c r="AQ2509" t="s">
        <v>66</v>
      </c>
      <c r="AR2509" t="s">
        <v>66</v>
      </c>
      <c r="AS2509" t="s">
        <v>66</v>
      </c>
      <c r="AT2509" t="s">
        <v>66</v>
      </c>
    </row>
    <row r="2510" spans="1:46" x14ac:dyDescent="0.15">
      <c r="A2510" t="s">
        <v>10495</v>
      </c>
      <c r="B2510" t="s">
        <v>10310</v>
      </c>
      <c r="C2510" t="s">
        <v>10311</v>
      </c>
      <c r="D2510">
        <v>36</v>
      </c>
      <c r="E2510" t="s">
        <v>10312</v>
      </c>
      <c r="F2510" t="s">
        <v>1551</v>
      </c>
      <c r="G2510" t="s">
        <v>51</v>
      </c>
      <c r="H2510" t="s">
        <v>10313</v>
      </c>
      <c r="I2510" t="s">
        <v>53</v>
      </c>
      <c r="J2510" t="s">
        <v>2572</v>
      </c>
      <c r="K2510" t="s">
        <v>3594</v>
      </c>
      <c r="L2510" t="s">
        <v>17</v>
      </c>
      <c r="M2510" t="s">
        <v>16</v>
      </c>
      <c r="N2510">
        <v>2464</v>
      </c>
      <c r="O2510">
        <v>144</v>
      </c>
      <c r="P2510">
        <v>0</v>
      </c>
      <c r="Q2510" t="s">
        <v>10496</v>
      </c>
      <c r="R2510" t="s">
        <v>10497</v>
      </c>
      <c r="S2510" t="s">
        <v>10498</v>
      </c>
      <c r="T2510" t="s">
        <v>10499</v>
      </c>
      <c r="U2510" t="s">
        <v>60</v>
      </c>
      <c r="V2510" t="s">
        <v>61</v>
      </c>
      <c r="W2510">
        <v>10</v>
      </c>
      <c r="X2510">
        <v>0.1150625</v>
      </c>
      <c r="Y2510" t="s">
        <v>294</v>
      </c>
      <c r="Z2510" t="s">
        <v>295</v>
      </c>
      <c r="AA2510">
        <v>1</v>
      </c>
      <c r="AB2510" t="s">
        <v>10318</v>
      </c>
      <c r="AC2510" t="s">
        <v>10319</v>
      </c>
      <c r="AD2510" t="s">
        <v>10320</v>
      </c>
      <c r="AE2510" t="s">
        <v>10321</v>
      </c>
      <c r="AF2510" t="s">
        <v>10322</v>
      </c>
      <c r="AG2510" t="s">
        <v>66</v>
      </c>
      <c r="AH2510" t="s">
        <v>66</v>
      </c>
      <c r="AI2510" t="s">
        <v>66</v>
      </c>
      <c r="AJ2510" t="s">
        <v>66</v>
      </c>
      <c r="AK2510">
        <v>1</v>
      </c>
      <c r="AL2510" t="s">
        <v>10418</v>
      </c>
      <c r="AM2510" t="s">
        <v>10419</v>
      </c>
      <c r="AN2510" t="s">
        <v>66</v>
      </c>
      <c r="AO2510" t="s">
        <v>66</v>
      </c>
      <c r="AP2510">
        <v>1</v>
      </c>
      <c r="AQ2510" t="s">
        <v>66</v>
      </c>
      <c r="AR2510" t="s">
        <v>66</v>
      </c>
      <c r="AS2510" t="s">
        <v>66</v>
      </c>
      <c r="AT2510" t="s">
        <v>66</v>
      </c>
    </row>
    <row r="2511" spans="1:46" x14ac:dyDescent="0.15">
      <c r="A2511" t="s">
        <v>10500</v>
      </c>
      <c r="B2511" t="s">
        <v>10310</v>
      </c>
      <c r="C2511" t="s">
        <v>10311</v>
      </c>
      <c r="D2511">
        <v>37</v>
      </c>
      <c r="E2511" t="s">
        <v>10312</v>
      </c>
      <c r="F2511" t="s">
        <v>1551</v>
      </c>
      <c r="G2511" t="s">
        <v>51</v>
      </c>
      <c r="H2511" t="s">
        <v>10313</v>
      </c>
      <c r="I2511" t="s">
        <v>53</v>
      </c>
      <c r="J2511" t="s">
        <v>2572</v>
      </c>
      <c r="K2511" t="s">
        <v>3594</v>
      </c>
      <c r="L2511" t="s">
        <v>17</v>
      </c>
      <c r="M2511" t="s">
        <v>16</v>
      </c>
      <c r="N2511">
        <v>2520</v>
      </c>
      <c r="O2511">
        <v>148</v>
      </c>
      <c r="P2511">
        <v>0</v>
      </c>
      <c r="Q2511" t="s">
        <v>10501</v>
      </c>
      <c r="R2511" t="s">
        <v>10502</v>
      </c>
      <c r="S2511" t="s">
        <v>10503</v>
      </c>
      <c r="T2511" t="s">
        <v>10504</v>
      </c>
      <c r="U2511" t="s">
        <v>60</v>
      </c>
      <c r="V2511" t="s">
        <v>61</v>
      </c>
      <c r="W2511">
        <v>10</v>
      </c>
      <c r="X2511">
        <v>0.1150625</v>
      </c>
      <c r="Y2511" t="s">
        <v>183</v>
      </c>
      <c r="Z2511" t="s">
        <v>301</v>
      </c>
      <c r="AA2511">
        <v>1</v>
      </c>
      <c r="AB2511" t="s">
        <v>10318</v>
      </c>
      <c r="AC2511" t="s">
        <v>10319</v>
      </c>
      <c r="AD2511" t="s">
        <v>10320</v>
      </c>
      <c r="AE2511" t="s">
        <v>10321</v>
      </c>
      <c r="AF2511" t="s">
        <v>10322</v>
      </c>
      <c r="AG2511" t="s">
        <v>66</v>
      </c>
      <c r="AH2511" t="s">
        <v>66</v>
      </c>
      <c r="AI2511" t="s">
        <v>66</v>
      </c>
      <c r="AJ2511" t="s">
        <v>66</v>
      </c>
      <c r="AK2511">
        <v>1</v>
      </c>
      <c r="AL2511" t="s">
        <v>10418</v>
      </c>
      <c r="AM2511" t="s">
        <v>10419</v>
      </c>
      <c r="AN2511" t="s">
        <v>66</v>
      </c>
      <c r="AO2511" t="s">
        <v>66</v>
      </c>
      <c r="AP2511">
        <v>1</v>
      </c>
      <c r="AQ2511" t="s">
        <v>66</v>
      </c>
      <c r="AR2511" t="s">
        <v>66</v>
      </c>
      <c r="AS2511" t="s">
        <v>66</v>
      </c>
      <c r="AT2511" t="s">
        <v>66</v>
      </c>
    </row>
    <row r="2512" spans="1:46" x14ac:dyDescent="0.15">
      <c r="A2512" t="s">
        <v>10505</v>
      </c>
      <c r="B2512" t="s">
        <v>10310</v>
      </c>
      <c r="C2512" t="s">
        <v>10311</v>
      </c>
      <c r="D2512">
        <v>38</v>
      </c>
      <c r="E2512" t="s">
        <v>10312</v>
      </c>
      <c r="F2512" t="s">
        <v>1551</v>
      </c>
      <c r="G2512" t="s">
        <v>51</v>
      </c>
      <c r="H2512" t="s">
        <v>10313</v>
      </c>
      <c r="I2512" t="s">
        <v>53</v>
      </c>
      <c r="J2512" t="s">
        <v>2572</v>
      </c>
      <c r="K2512" t="s">
        <v>3594</v>
      </c>
      <c r="L2512" t="s">
        <v>17</v>
      </c>
      <c r="M2512" t="s">
        <v>16</v>
      </c>
      <c r="N2512">
        <v>2577</v>
      </c>
      <c r="O2512">
        <v>151</v>
      </c>
      <c r="P2512">
        <v>0</v>
      </c>
      <c r="Q2512" t="s">
        <v>10506</v>
      </c>
      <c r="R2512" t="s">
        <v>10507</v>
      </c>
      <c r="S2512" t="s">
        <v>10508</v>
      </c>
      <c r="T2512" t="s">
        <v>10509</v>
      </c>
      <c r="U2512" t="s">
        <v>60</v>
      </c>
      <c r="V2512" t="s">
        <v>61</v>
      </c>
      <c r="W2512">
        <v>10</v>
      </c>
      <c r="X2512">
        <v>0.1150625</v>
      </c>
      <c r="Y2512" t="s">
        <v>307</v>
      </c>
      <c r="Z2512" t="s">
        <v>308</v>
      </c>
      <c r="AA2512">
        <v>1</v>
      </c>
      <c r="AB2512" t="s">
        <v>10318</v>
      </c>
      <c r="AC2512" t="s">
        <v>10319</v>
      </c>
      <c r="AD2512" t="s">
        <v>10320</v>
      </c>
      <c r="AE2512" t="s">
        <v>10321</v>
      </c>
      <c r="AF2512" t="s">
        <v>10322</v>
      </c>
      <c r="AG2512" t="s">
        <v>66</v>
      </c>
      <c r="AH2512" t="s">
        <v>66</v>
      </c>
      <c r="AI2512" t="s">
        <v>66</v>
      </c>
      <c r="AJ2512" t="s">
        <v>66</v>
      </c>
      <c r="AK2512">
        <v>1</v>
      </c>
      <c r="AL2512" t="s">
        <v>10418</v>
      </c>
      <c r="AM2512" t="s">
        <v>10419</v>
      </c>
      <c r="AN2512" t="s">
        <v>66</v>
      </c>
      <c r="AO2512" t="s">
        <v>66</v>
      </c>
      <c r="AP2512">
        <v>1</v>
      </c>
      <c r="AQ2512" t="s">
        <v>66</v>
      </c>
      <c r="AR2512" t="s">
        <v>66</v>
      </c>
      <c r="AS2512" t="s">
        <v>66</v>
      </c>
      <c r="AT2512" t="s">
        <v>66</v>
      </c>
    </row>
    <row r="2513" spans="1:46" x14ac:dyDescent="0.15">
      <c r="A2513" t="s">
        <v>10510</v>
      </c>
      <c r="B2513" t="s">
        <v>10310</v>
      </c>
      <c r="C2513" t="s">
        <v>10311</v>
      </c>
      <c r="D2513">
        <v>39</v>
      </c>
      <c r="E2513" t="s">
        <v>10312</v>
      </c>
      <c r="F2513" t="s">
        <v>1551</v>
      </c>
      <c r="G2513" t="s">
        <v>51</v>
      </c>
      <c r="H2513" t="s">
        <v>10313</v>
      </c>
      <c r="I2513" t="s">
        <v>53</v>
      </c>
      <c r="J2513" t="s">
        <v>2572</v>
      </c>
      <c r="K2513" t="s">
        <v>3594</v>
      </c>
      <c r="L2513" t="s">
        <v>17</v>
      </c>
      <c r="M2513" t="s">
        <v>16</v>
      </c>
      <c r="N2513">
        <v>2633</v>
      </c>
      <c r="O2513">
        <v>154</v>
      </c>
      <c r="P2513">
        <v>0</v>
      </c>
      <c r="Q2513" t="s">
        <v>10511</v>
      </c>
      <c r="R2513" t="s">
        <v>10512</v>
      </c>
      <c r="S2513" t="s">
        <v>10513</v>
      </c>
      <c r="T2513" t="s">
        <v>10514</v>
      </c>
      <c r="U2513" t="s">
        <v>60</v>
      </c>
      <c r="V2513" t="s">
        <v>61</v>
      </c>
      <c r="W2513">
        <v>10</v>
      </c>
      <c r="X2513">
        <v>0.1150625</v>
      </c>
      <c r="Y2513" t="s">
        <v>190</v>
      </c>
      <c r="Z2513" t="s">
        <v>314</v>
      </c>
      <c r="AA2513">
        <v>1</v>
      </c>
      <c r="AB2513" t="s">
        <v>10318</v>
      </c>
      <c r="AC2513" t="s">
        <v>10319</v>
      </c>
      <c r="AD2513" t="s">
        <v>10320</v>
      </c>
      <c r="AE2513" t="s">
        <v>10321</v>
      </c>
      <c r="AF2513" t="s">
        <v>10322</v>
      </c>
      <c r="AG2513" t="s">
        <v>66</v>
      </c>
      <c r="AH2513" t="s">
        <v>66</v>
      </c>
      <c r="AI2513" t="s">
        <v>66</v>
      </c>
      <c r="AJ2513" t="s">
        <v>66</v>
      </c>
      <c r="AK2513">
        <v>1</v>
      </c>
      <c r="AL2513" t="s">
        <v>10418</v>
      </c>
      <c r="AM2513" t="s">
        <v>10419</v>
      </c>
      <c r="AN2513" t="s">
        <v>66</v>
      </c>
      <c r="AO2513" t="s">
        <v>66</v>
      </c>
      <c r="AP2513">
        <v>1</v>
      </c>
      <c r="AQ2513" t="s">
        <v>66</v>
      </c>
      <c r="AR2513" t="s">
        <v>66</v>
      </c>
      <c r="AS2513" t="s">
        <v>66</v>
      </c>
      <c r="AT2513" t="s">
        <v>66</v>
      </c>
    </row>
    <row r="2514" spans="1:46" x14ac:dyDescent="0.15">
      <c r="A2514" t="s">
        <v>10515</v>
      </c>
      <c r="B2514" t="s">
        <v>10310</v>
      </c>
      <c r="C2514" t="s">
        <v>10311</v>
      </c>
      <c r="D2514">
        <v>40</v>
      </c>
      <c r="E2514" t="s">
        <v>10312</v>
      </c>
      <c r="F2514" t="s">
        <v>1551</v>
      </c>
      <c r="G2514" t="s">
        <v>51</v>
      </c>
      <c r="H2514" t="s">
        <v>10313</v>
      </c>
      <c r="I2514" t="s">
        <v>53</v>
      </c>
      <c r="J2514" t="s">
        <v>2572</v>
      </c>
      <c r="K2514" t="s">
        <v>3594</v>
      </c>
      <c r="L2514" t="s">
        <v>17</v>
      </c>
      <c r="M2514" t="s">
        <v>16</v>
      </c>
      <c r="N2514">
        <v>2689</v>
      </c>
      <c r="O2514">
        <v>157</v>
      </c>
      <c r="P2514">
        <v>0</v>
      </c>
      <c r="Q2514" t="s">
        <v>10516</v>
      </c>
      <c r="R2514" t="s">
        <v>10517</v>
      </c>
      <c r="S2514" t="s">
        <v>10518</v>
      </c>
      <c r="T2514" t="s">
        <v>10519</v>
      </c>
      <c r="U2514" t="s">
        <v>60</v>
      </c>
      <c r="V2514" t="s">
        <v>61</v>
      </c>
      <c r="W2514">
        <v>10</v>
      </c>
      <c r="X2514">
        <v>0.1150625</v>
      </c>
      <c r="Y2514" t="s">
        <v>320</v>
      </c>
      <c r="Z2514" t="s">
        <v>321</v>
      </c>
      <c r="AA2514">
        <v>1</v>
      </c>
      <c r="AB2514" t="s">
        <v>10318</v>
      </c>
      <c r="AC2514" t="s">
        <v>10319</v>
      </c>
      <c r="AD2514" t="s">
        <v>10320</v>
      </c>
      <c r="AE2514" t="s">
        <v>10321</v>
      </c>
      <c r="AF2514" t="s">
        <v>10322</v>
      </c>
      <c r="AG2514" t="s">
        <v>66</v>
      </c>
      <c r="AH2514" t="s">
        <v>66</v>
      </c>
      <c r="AI2514" t="s">
        <v>66</v>
      </c>
      <c r="AJ2514" t="s">
        <v>66</v>
      </c>
      <c r="AK2514">
        <v>1</v>
      </c>
      <c r="AL2514" t="s">
        <v>10418</v>
      </c>
      <c r="AM2514" t="s">
        <v>10419</v>
      </c>
      <c r="AN2514" t="s">
        <v>66</v>
      </c>
      <c r="AO2514" t="s">
        <v>66</v>
      </c>
      <c r="AP2514">
        <v>1</v>
      </c>
      <c r="AQ2514" t="s">
        <v>66</v>
      </c>
      <c r="AR2514" t="s">
        <v>66</v>
      </c>
      <c r="AS2514" t="s">
        <v>66</v>
      </c>
      <c r="AT2514" t="s">
        <v>66</v>
      </c>
    </row>
    <row r="2515" spans="1:46" x14ac:dyDescent="0.15">
      <c r="A2515" t="s">
        <v>10515</v>
      </c>
      <c r="B2515" t="s">
        <v>10310</v>
      </c>
      <c r="C2515" t="s">
        <v>10311</v>
      </c>
      <c r="D2515">
        <v>40</v>
      </c>
      <c r="E2515" t="s">
        <v>10312</v>
      </c>
      <c r="F2515" t="s">
        <v>1551</v>
      </c>
      <c r="G2515" t="s">
        <v>51</v>
      </c>
      <c r="H2515" t="s">
        <v>10313</v>
      </c>
      <c r="I2515" t="s">
        <v>53</v>
      </c>
      <c r="J2515" t="s">
        <v>2572</v>
      </c>
      <c r="K2515" t="s">
        <v>3594</v>
      </c>
      <c r="L2515" t="s">
        <v>17</v>
      </c>
      <c r="M2515" t="s">
        <v>16</v>
      </c>
      <c r="N2515">
        <v>2689</v>
      </c>
      <c r="O2515">
        <v>157</v>
      </c>
      <c r="P2515">
        <v>0</v>
      </c>
      <c r="Q2515" t="s">
        <v>10516</v>
      </c>
      <c r="R2515" t="s">
        <v>10517</v>
      </c>
      <c r="S2515" t="s">
        <v>10518</v>
      </c>
      <c r="T2515" t="s">
        <v>10519</v>
      </c>
      <c r="U2515" t="s">
        <v>60</v>
      </c>
      <c r="V2515" t="s">
        <v>61</v>
      </c>
      <c r="W2515">
        <v>10</v>
      </c>
      <c r="X2515">
        <v>0.1150625</v>
      </c>
      <c r="Y2515" t="s">
        <v>320</v>
      </c>
      <c r="Z2515" t="s">
        <v>321</v>
      </c>
      <c r="AA2515">
        <v>2</v>
      </c>
      <c r="AB2515" t="s">
        <v>10318</v>
      </c>
      <c r="AC2515" t="s">
        <v>10319</v>
      </c>
      <c r="AD2515" t="s">
        <v>10320</v>
      </c>
      <c r="AE2515" t="s">
        <v>10321</v>
      </c>
      <c r="AF2515" t="s">
        <v>10322</v>
      </c>
      <c r="AG2515" t="s">
        <v>322</v>
      </c>
      <c r="AH2515" t="s">
        <v>191</v>
      </c>
      <c r="AI2515" t="s">
        <v>66</v>
      </c>
      <c r="AJ2515" t="s">
        <v>66</v>
      </c>
      <c r="AK2515">
        <v>1</v>
      </c>
      <c r="AL2515" t="s">
        <v>10418</v>
      </c>
      <c r="AM2515" t="s">
        <v>10419</v>
      </c>
      <c r="AN2515" t="s">
        <v>10520</v>
      </c>
      <c r="AO2515" t="s">
        <v>66</v>
      </c>
      <c r="AP2515">
        <v>1</v>
      </c>
      <c r="AQ2515" t="s">
        <v>10521</v>
      </c>
      <c r="AR2515" t="s">
        <v>10522</v>
      </c>
      <c r="AS2515" t="s">
        <v>66</v>
      </c>
      <c r="AT2515" t="s">
        <v>66</v>
      </c>
    </row>
    <row r="2516" spans="1:46" x14ac:dyDescent="0.15">
      <c r="A2516" t="s">
        <v>10523</v>
      </c>
      <c r="B2516" t="s">
        <v>10310</v>
      </c>
      <c r="C2516" t="s">
        <v>10311</v>
      </c>
      <c r="D2516">
        <v>41</v>
      </c>
      <c r="E2516" t="s">
        <v>10312</v>
      </c>
      <c r="F2516" t="s">
        <v>1551</v>
      </c>
      <c r="G2516" t="s">
        <v>51</v>
      </c>
      <c r="H2516" t="s">
        <v>10313</v>
      </c>
      <c r="I2516" t="s">
        <v>53</v>
      </c>
      <c r="J2516" t="s">
        <v>2572</v>
      </c>
      <c r="K2516" t="s">
        <v>3594</v>
      </c>
      <c r="L2516" t="s">
        <v>17</v>
      </c>
      <c r="M2516" t="s">
        <v>16</v>
      </c>
      <c r="N2516">
        <v>2745</v>
      </c>
      <c r="O2516">
        <v>161</v>
      </c>
      <c r="P2516">
        <v>0</v>
      </c>
      <c r="Q2516" t="s">
        <v>10524</v>
      </c>
      <c r="R2516" t="s">
        <v>10525</v>
      </c>
      <c r="S2516" t="s">
        <v>10526</v>
      </c>
      <c r="T2516" t="s">
        <v>10527</v>
      </c>
      <c r="U2516" t="s">
        <v>60</v>
      </c>
      <c r="V2516" t="s">
        <v>61</v>
      </c>
      <c r="W2516">
        <v>10</v>
      </c>
      <c r="X2516">
        <v>0.1150625</v>
      </c>
      <c r="Y2516" t="s">
        <v>197</v>
      </c>
      <c r="Z2516" t="s">
        <v>330</v>
      </c>
      <c r="AA2516">
        <v>2</v>
      </c>
      <c r="AB2516" t="s">
        <v>10318</v>
      </c>
      <c r="AC2516" t="s">
        <v>10319</v>
      </c>
      <c r="AD2516" t="s">
        <v>10320</v>
      </c>
      <c r="AE2516" t="s">
        <v>10321</v>
      </c>
      <c r="AF2516" t="s">
        <v>10322</v>
      </c>
      <c r="AG2516" t="s">
        <v>322</v>
      </c>
      <c r="AH2516" t="s">
        <v>191</v>
      </c>
      <c r="AI2516" t="s">
        <v>66</v>
      </c>
      <c r="AJ2516" t="s">
        <v>66</v>
      </c>
      <c r="AK2516">
        <v>1</v>
      </c>
      <c r="AL2516" t="s">
        <v>10418</v>
      </c>
      <c r="AM2516" t="s">
        <v>10419</v>
      </c>
      <c r="AN2516" t="s">
        <v>10520</v>
      </c>
      <c r="AO2516" t="s">
        <v>66</v>
      </c>
      <c r="AP2516">
        <v>1</v>
      </c>
      <c r="AQ2516" t="s">
        <v>10521</v>
      </c>
      <c r="AR2516" t="s">
        <v>10522</v>
      </c>
      <c r="AS2516" t="s">
        <v>66</v>
      </c>
      <c r="AT2516" t="s">
        <v>66</v>
      </c>
    </row>
    <row r="2517" spans="1:46" x14ac:dyDescent="0.15">
      <c r="A2517" t="s">
        <v>10528</v>
      </c>
      <c r="B2517" t="s">
        <v>10310</v>
      </c>
      <c r="C2517" t="s">
        <v>10311</v>
      </c>
      <c r="D2517">
        <v>42</v>
      </c>
      <c r="E2517" t="s">
        <v>10312</v>
      </c>
      <c r="F2517" t="s">
        <v>1551</v>
      </c>
      <c r="G2517" t="s">
        <v>51</v>
      </c>
      <c r="H2517" t="s">
        <v>10313</v>
      </c>
      <c r="I2517" t="s">
        <v>53</v>
      </c>
      <c r="J2517" t="s">
        <v>2572</v>
      </c>
      <c r="K2517" t="s">
        <v>3594</v>
      </c>
      <c r="L2517" t="s">
        <v>17</v>
      </c>
      <c r="M2517" t="s">
        <v>16</v>
      </c>
      <c r="N2517">
        <v>2801</v>
      </c>
      <c r="O2517">
        <v>164</v>
      </c>
      <c r="P2517">
        <v>0</v>
      </c>
      <c r="Q2517" t="s">
        <v>10529</v>
      </c>
      <c r="R2517" t="s">
        <v>10530</v>
      </c>
      <c r="S2517" t="s">
        <v>10531</v>
      </c>
      <c r="T2517" t="s">
        <v>10532</v>
      </c>
      <c r="U2517" t="s">
        <v>60</v>
      </c>
      <c r="V2517" t="s">
        <v>61</v>
      </c>
      <c r="W2517">
        <v>10</v>
      </c>
      <c r="X2517">
        <v>0.1150625</v>
      </c>
      <c r="Y2517" t="s">
        <v>336</v>
      </c>
      <c r="Z2517" t="s">
        <v>337</v>
      </c>
      <c r="AA2517">
        <v>2</v>
      </c>
      <c r="AB2517" t="s">
        <v>10318</v>
      </c>
      <c r="AC2517" t="s">
        <v>10319</v>
      </c>
      <c r="AD2517" t="s">
        <v>10320</v>
      </c>
      <c r="AE2517" t="s">
        <v>10321</v>
      </c>
      <c r="AF2517" t="s">
        <v>10322</v>
      </c>
      <c r="AG2517" t="s">
        <v>322</v>
      </c>
      <c r="AH2517" t="s">
        <v>191</v>
      </c>
      <c r="AI2517" t="s">
        <v>66</v>
      </c>
      <c r="AJ2517" t="s">
        <v>66</v>
      </c>
      <c r="AK2517">
        <v>1</v>
      </c>
      <c r="AL2517" t="s">
        <v>10418</v>
      </c>
      <c r="AM2517" t="s">
        <v>10419</v>
      </c>
      <c r="AN2517" t="s">
        <v>10520</v>
      </c>
      <c r="AO2517" t="s">
        <v>66</v>
      </c>
      <c r="AP2517">
        <v>1</v>
      </c>
      <c r="AQ2517" t="s">
        <v>10521</v>
      </c>
      <c r="AR2517" t="s">
        <v>10522</v>
      </c>
      <c r="AS2517" t="s">
        <v>66</v>
      </c>
      <c r="AT2517" t="s">
        <v>66</v>
      </c>
    </row>
    <row r="2518" spans="1:46" x14ac:dyDescent="0.15">
      <c r="A2518" t="s">
        <v>10533</v>
      </c>
      <c r="B2518" t="s">
        <v>10310</v>
      </c>
      <c r="C2518" t="s">
        <v>10311</v>
      </c>
      <c r="D2518">
        <v>43</v>
      </c>
      <c r="E2518" t="s">
        <v>10312</v>
      </c>
      <c r="F2518" t="s">
        <v>1551</v>
      </c>
      <c r="G2518" t="s">
        <v>51</v>
      </c>
      <c r="H2518" t="s">
        <v>10313</v>
      </c>
      <c r="I2518" t="s">
        <v>53</v>
      </c>
      <c r="J2518" t="s">
        <v>2572</v>
      </c>
      <c r="K2518" t="s">
        <v>3594</v>
      </c>
      <c r="L2518" t="s">
        <v>17</v>
      </c>
      <c r="M2518" t="s">
        <v>16</v>
      </c>
      <c r="N2518">
        <v>2857</v>
      </c>
      <c r="O2518">
        <v>167</v>
      </c>
      <c r="P2518">
        <v>0</v>
      </c>
      <c r="Q2518" t="s">
        <v>10534</v>
      </c>
      <c r="R2518" t="s">
        <v>10535</v>
      </c>
      <c r="S2518" t="s">
        <v>10536</v>
      </c>
      <c r="T2518" t="s">
        <v>10537</v>
      </c>
      <c r="U2518" t="s">
        <v>60</v>
      </c>
      <c r="V2518" t="s">
        <v>61</v>
      </c>
      <c r="W2518">
        <v>10</v>
      </c>
      <c r="X2518">
        <v>0.1150625</v>
      </c>
      <c r="Y2518" t="s">
        <v>204</v>
      </c>
      <c r="Z2518" t="s">
        <v>343</v>
      </c>
      <c r="AA2518">
        <v>2</v>
      </c>
      <c r="AB2518" t="s">
        <v>10318</v>
      </c>
      <c r="AC2518" t="s">
        <v>10319</v>
      </c>
      <c r="AD2518" t="s">
        <v>10320</v>
      </c>
      <c r="AE2518" t="s">
        <v>10321</v>
      </c>
      <c r="AF2518" t="s">
        <v>10322</v>
      </c>
      <c r="AG2518" t="s">
        <v>322</v>
      </c>
      <c r="AH2518" t="s">
        <v>191</v>
      </c>
      <c r="AI2518" t="s">
        <v>66</v>
      </c>
      <c r="AJ2518" t="s">
        <v>66</v>
      </c>
      <c r="AK2518">
        <v>1</v>
      </c>
      <c r="AL2518" t="s">
        <v>10418</v>
      </c>
      <c r="AM2518" t="s">
        <v>10419</v>
      </c>
      <c r="AN2518" t="s">
        <v>10520</v>
      </c>
      <c r="AO2518" t="s">
        <v>66</v>
      </c>
      <c r="AP2518">
        <v>1</v>
      </c>
      <c r="AQ2518" t="s">
        <v>10521</v>
      </c>
      <c r="AR2518" t="s">
        <v>10522</v>
      </c>
      <c r="AS2518" t="s">
        <v>66</v>
      </c>
      <c r="AT2518" t="s">
        <v>66</v>
      </c>
    </row>
    <row r="2519" spans="1:46" x14ac:dyDescent="0.15">
      <c r="A2519" t="s">
        <v>10538</v>
      </c>
      <c r="B2519" t="s">
        <v>10310</v>
      </c>
      <c r="C2519" t="s">
        <v>10311</v>
      </c>
      <c r="D2519">
        <v>44</v>
      </c>
      <c r="E2519" t="s">
        <v>10312</v>
      </c>
      <c r="F2519" t="s">
        <v>1551</v>
      </c>
      <c r="G2519" t="s">
        <v>51</v>
      </c>
      <c r="H2519" t="s">
        <v>10313</v>
      </c>
      <c r="I2519" t="s">
        <v>53</v>
      </c>
      <c r="J2519" t="s">
        <v>2572</v>
      </c>
      <c r="K2519" t="s">
        <v>3594</v>
      </c>
      <c r="L2519" t="s">
        <v>17</v>
      </c>
      <c r="M2519" t="s">
        <v>16</v>
      </c>
      <c r="N2519">
        <v>2913</v>
      </c>
      <c r="O2519">
        <v>170</v>
      </c>
      <c r="P2519">
        <v>0</v>
      </c>
      <c r="Q2519" t="s">
        <v>10539</v>
      </c>
      <c r="R2519" t="s">
        <v>10540</v>
      </c>
      <c r="S2519" t="s">
        <v>10541</v>
      </c>
      <c r="T2519" t="s">
        <v>10542</v>
      </c>
      <c r="U2519" t="s">
        <v>60</v>
      </c>
      <c r="V2519" t="s">
        <v>61</v>
      </c>
      <c r="W2519">
        <v>10</v>
      </c>
      <c r="X2519">
        <v>0.1150625</v>
      </c>
      <c r="Y2519" t="s">
        <v>349</v>
      </c>
      <c r="Z2519" t="s">
        <v>350</v>
      </c>
      <c r="AA2519">
        <v>2</v>
      </c>
      <c r="AB2519" t="s">
        <v>10318</v>
      </c>
      <c r="AC2519" t="s">
        <v>10319</v>
      </c>
      <c r="AD2519" t="s">
        <v>10320</v>
      </c>
      <c r="AE2519" t="s">
        <v>10321</v>
      </c>
      <c r="AF2519" t="s">
        <v>10322</v>
      </c>
      <c r="AG2519" t="s">
        <v>322</v>
      </c>
      <c r="AH2519" t="s">
        <v>191</v>
      </c>
      <c r="AI2519" t="s">
        <v>66</v>
      </c>
      <c r="AJ2519" t="s">
        <v>66</v>
      </c>
      <c r="AK2519">
        <v>1</v>
      </c>
      <c r="AL2519" t="s">
        <v>10418</v>
      </c>
      <c r="AM2519" t="s">
        <v>10419</v>
      </c>
      <c r="AN2519" t="s">
        <v>10520</v>
      </c>
      <c r="AO2519" t="s">
        <v>66</v>
      </c>
      <c r="AP2519">
        <v>1</v>
      </c>
      <c r="AQ2519" t="s">
        <v>10521</v>
      </c>
      <c r="AR2519" t="s">
        <v>10522</v>
      </c>
      <c r="AS2519" t="s">
        <v>66</v>
      </c>
      <c r="AT2519" t="s">
        <v>66</v>
      </c>
    </row>
    <row r="2520" spans="1:46" x14ac:dyDescent="0.15">
      <c r="A2520" t="s">
        <v>10543</v>
      </c>
      <c r="B2520" t="s">
        <v>10310</v>
      </c>
      <c r="C2520" t="s">
        <v>10311</v>
      </c>
      <c r="D2520">
        <v>45</v>
      </c>
      <c r="E2520" t="s">
        <v>10312</v>
      </c>
      <c r="F2520" t="s">
        <v>1551</v>
      </c>
      <c r="G2520" t="s">
        <v>51</v>
      </c>
      <c r="H2520" t="s">
        <v>10313</v>
      </c>
      <c r="I2520" t="s">
        <v>53</v>
      </c>
      <c r="J2520" t="s">
        <v>2572</v>
      </c>
      <c r="K2520" t="s">
        <v>3594</v>
      </c>
      <c r="L2520" t="s">
        <v>17</v>
      </c>
      <c r="M2520" t="s">
        <v>16</v>
      </c>
      <c r="N2520">
        <v>2969</v>
      </c>
      <c r="O2520">
        <v>174</v>
      </c>
      <c r="P2520">
        <v>0</v>
      </c>
      <c r="Q2520" t="s">
        <v>10544</v>
      </c>
      <c r="R2520" t="s">
        <v>10545</v>
      </c>
      <c r="S2520" t="s">
        <v>10546</v>
      </c>
      <c r="T2520" t="s">
        <v>10547</v>
      </c>
      <c r="U2520" t="s">
        <v>60</v>
      </c>
      <c r="V2520" t="s">
        <v>61</v>
      </c>
      <c r="W2520">
        <v>10</v>
      </c>
      <c r="X2520">
        <v>0.1150625</v>
      </c>
      <c r="Y2520" t="s">
        <v>210</v>
      </c>
      <c r="Z2520" t="s">
        <v>356</v>
      </c>
      <c r="AA2520">
        <v>2</v>
      </c>
      <c r="AB2520" t="s">
        <v>10318</v>
      </c>
      <c r="AC2520" t="s">
        <v>10319</v>
      </c>
      <c r="AD2520" t="s">
        <v>10320</v>
      </c>
      <c r="AE2520" t="s">
        <v>10321</v>
      </c>
      <c r="AF2520" t="s">
        <v>10322</v>
      </c>
      <c r="AG2520" t="s">
        <v>322</v>
      </c>
      <c r="AH2520" t="s">
        <v>191</v>
      </c>
      <c r="AI2520" t="s">
        <v>66</v>
      </c>
      <c r="AJ2520" t="s">
        <v>66</v>
      </c>
      <c r="AK2520">
        <v>1</v>
      </c>
      <c r="AL2520" t="s">
        <v>10418</v>
      </c>
      <c r="AM2520" t="s">
        <v>10419</v>
      </c>
      <c r="AN2520" t="s">
        <v>10520</v>
      </c>
      <c r="AO2520" t="s">
        <v>66</v>
      </c>
      <c r="AP2520">
        <v>1</v>
      </c>
      <c r="AQ2520" t="s">
        <v>10521</v>
      </c>
      <c r="AR2520" t="s">
        <v>10522</v>
      </c>
      <c r="AS2520" t="s">
        <v>66</v>
      </c>
      <c r="AT2520" t="s">
        <v>66</v>
      </c>
    </row>
    <row r="2521" spans="1:46" x14ac:dyDescent="0.15">
      <c r="A2521" t="s">
        <v>10548</v>
      </c>
      <c r="B2521" t="s">
        <v>10310</v>
      </c>
      <c r="C2521" t="s">
        <v>10311</v>
      </c>
      <c r="D2521">
        <v>46</v>
      </c>
      <c r="E2521" t="s">
        <v>10312</v>
      </c>
      <c r="F2521" t="s">
        <v>1551</v>
      </c>
      <c r="G2521" t="s">
        <v>51</v>
      </c>
      <c r="H2521" t="s">
        <v>10313</v>
      </c>
      <c r="I2521" t="s">
        <v>53</v>
      </c>
      <c r="J2521" t="s">
        <v>2572</v>
      </c>
      <c r="K2521" t="s">
        <v>3594</v>
      </c>
      <c r="L2521" t="s">
        <v>17</v>
      </c>
      <c r="M2521" t="s">
        <v>16</v>
      </c>
      <c r="N2521">
        <v>3026</v>
      </c>
      <c r="O2521">
        <v>177</v>
      </c>
      <c r="P2521">
        <v>0</v>
      </c>
      <c r="Q2521" t="s">
        <v>10549</v>
      </c>
      <c r="R2521" t="s">
        <v>10550</v>
      </c>
      <c r="S2521" t="s">
        <v>10551</v>
      </c>
      <c r="T2521" t="s">
        <v>10552</v>
      </c>
      <c r="U2521" t="s">
        <v>60</v>
      </c>
      <c r="V2521" t="s">
        <v>61</v>
      </c>
      <c r="W2521">
        <v>10</v>
      </c>
      <c r="X2521">
        <v>0.1150625</v>
      </c>
      <c r="Y2521" t="s">
        <v>362</v>
      </c>
      <c r="Z2521" t="s">
        <v>363</v>
      </c>
      <c r="AA2521">
        <v>2</v>
      </c>
      <c r="AB2521" t="s">
        <v>10318</v>
      </c>
      <c r="AC2521" t="s">
        <v>10319</v>
      </c>
      <c r="AD2521" t="s">
        <v>10320</v>
      </c>
      <c r="AE2521" t="s">
        <v>10321</v>
      </c>
      <c r="AF2521" t="s">
        <v>10322</v>
      </c>
      <c r="AG2521" t="s">
        <v>322</v>
      </c>
      <c r="AH2521" t="s">
        <v>191</v>
      </c>
      <c r="AI2521" t="s">
        <v>66</v>
      </c>
      <c r="AJ2521" t="s">
        <v>66</v>
      </c>
      <c r="AK2521">
        <v>1</v>
      </c>
      <c r="AL2521" t="s">
        <v>10418</v>
      </c>
      <c r="AM2521" t="s">
        <v>10419</v>
      </c>
      <c r="AN2521" t="s">
        <v>10520</v>
      </c>
      <c r="AO2521" t="s">
        <v>66</v>
      </c>
      <c r="AP2521">
        <v>1</v>
      </c>
      <c r="AQ2521" t="s">
        <v>10521</v>
      </c>
      <c r="AR2521" t="s">
        <v>10522</v>
      </c>
      <c r="AS2521" t="s">
        <v>66</v>
      </c>
      <c r="AT2521" t="s">
        <v>66</v>
      </c>
    </row>
    <row r="2522" spans="1:46" x14ac:dyDescent="0.15">
      <c r="A2522" t="s">
        <v>10553</v>
      </c>
      <c r="B2522" t="s">
        <v>10310</v>
      </c>
      <c r="C2522" t="s">
        <v>10311</v>
      </c>
      <c r="D2522">
        <v>47</v>
      </c>
      <c r="E2522" t="s">
        <v>10312</v>
      </c>
      <c r="F2522" t="s">
        <v>1551</v>
      </c>
      <c r="G2522" t="s">
        <v>51</v>
      </c>
      <c r="H2522" t="s">
        <v>10313</v>
      </c>
      <c r="I2522" t="s">
        <v>53</v>
      </c>
      <c r="J2522" t="s">
        <v>2572</v>
      </c>
      <c r="K2522" t="s">
        <v>3594</v>
      </c>
      <c r="L2522" t="s">
        <v>17</v>
      </c>
      <c r="M2522" t="s">
        <v>16</v>
      </c>
      <c r="N2522">
        <v>3082</v>
      </c>
      <c r="O2522">
        <v>180</v>
      </c>
      <c r="P2522">
        <v>0</v>
      </c>
      <c r="Q2522" t="s">
        <v>10554</v>
      </c>
      <c r="R2522" t="s">
        <v>10555</v>
      </c>
      <c r="S2522" t="s">
        <v>10556</v>
      </c>
      <c r="T2522" t="s">
        <v>10557</v>
      </c>
      <c r="U2522" t="s">
        <v>60</v>
      </c>
      <c r="V2522" t="s">
        <v>61</v>
      </c>
      <c r="W2522">
        <v>10</v>
      </c>
      <c r="X2522">
        <v>0.1150625</v>
      </c>
      <c r="Y2522" t="s">
        <v>217</v>
      </c>
      <c r="Z2522" t="s">
        <v>369</v>
      </c>
      <c r="AA2522">
        <v>2</v>
      </c>
      <c r="AB2522" t="s">
        <v>10318</v>
      </c>
      <c r="AC2522" t="s">
        <v>10319</v>
      </c>
      <c r="AD2522" t="s">
        <v>10320</v>
      </c>
      <c r="AE2522" t="s">
        <v>10321</v>
      </c>
      <c r="AF2522" t="s">
        <v>10322</v>
      </c>
      <c r="AG2522" t="s">
        <v>322</v>
      </c>
      <c r="AH2522" t="s">
        <v>191</v>
      </c>
      <c r="AI2522" t="s">
        <v>66</v>
      </c>
      <c r="AJ2522" t="s">
        <v>66</v>
      </c>
      <c r="AK2522">
        <v>1</v>
      </c>
      <c r="AL2522" t="s">
        <v>10418</v>
      </c>
      <c r="AM2522" t="s">
        <v>10419</v>
      </c>
      <c r="AN2522" t="s">
        <v>10520</v>
      </c>
      <c r="AO2522" t="s">
        <v>66</v>
      </c>
      <c r="AP2522">
        <v>1</v>
      </c>
      <c r="AQ2522" t="s">
        <v>10521</v>
      </c>
      <c r="AR2522" t="s">
        <v>10522</v>
      </c>
      <c r="AS2522" t="s">
        <v>66</v>
      </c>
      <c r="AT2522" t="s">
        <v>66</v>
      </c>
    </row>
    <row r="2523" spans="1:46" x14ac:dyDescent="0.15">
      <c r="A2523" t="s">
        <v>10558</v>
      </c>
      <c r="B2523" t="s">
        <v>10310</v>
      </c>
      <c r="C2523" t="s">
        <v>10311</v>
      </c>
      <c r="D2523">
        <v>48</v>
      </c>
      <c r="E2523" t="s">
        <v>10312</v>
      </c>
      <c r="F2523" t="s">
        <v>1551</v>
      </c>
      <c r="G2523" t="s">
        <v>51</v>
      </c>
      <c r="H2523" t="s">
        <v>10313</v>
      </c>
      <c r="I2523" t="s">
        <v>53</v>
      </c>
      <c r="J2523" t="s">
        <v>2572</v>
      </c>
      <c r="K2523" t="s">
        <v>3594</v>
      </c>
      <c r="L2523" t="s">
        <v>17</v>
      </c>
      <c r="M2523" t="s">
        <v>16</v>
      </c>
      <c r="N2523">
        <v>3138</v>
      </c>
      <c r="O2523">
        <v>183</v>
      </c>
      <c r="P2523">
        <v>0</v>
      </c>
      <c r="Q2523" t="s">
        <v>10559</v>
      </c>
      <c r="R2523" t="s">
        <v>10560</v>
      </c>
      <c r="S2523" t="s">
        <v>10561</v>
      </c>
      <c r="T2523" t="s">
        <v>10562</v>
      </c>
      <c r="U2523" t="s">
        <v>60</v>
      </c>
      <c r="V2523" t="s">
        <v>61</v>
      </c>
      <c r="W2523">
        <v>10</v>
      </c>
      <c r="X2523">
        <v>0.1150625</v>
      </c>
      <c r="Y2523" t="s">
        <v>375</v>
      </c>
      <c r="Z2523" t="s">
        <v>376</v>
      </c>
      <c r="AA2523">
        <v>2</v>
      </c>
      <c r="AB2523" t="s">
        <v>10318</v>
      </c>
      <c r="AC2523" t="s">
        <v>10319</v>
      </c>
      <c r="AD2523" t="s">
        <v>10320</v>
      </c>
      <c r="AE2523" t="s">
        <v>10321</v>
      </c>
      <c r="AF2523" t="s">
        <v>10322</v>
      </c>
      <c r="AG2523" t="s">
        <v>322</v>
      </c>
      <c r="AH2523" t="s">
        <v>191</v>
      </c>
      <c r="AI2523" t="s">
        <v>66</v>
      </c>
      <c r="AJ2523" t="s">
        <v>66</v>
      </c>
      <c r="AK2523">
        <v>1</v>
      </c>
      <c r="AL2523" t="s">
        <v>10418</v>
      </c>
      <c r="AM2523" t="s">
        <v>10419</v>
      </c>
      <c r="AN2523" t="s">
        <v>10520</v>
      </c>
      <c r="AO2523" t="s">
        <v>66</v>
      </c>
      <c r="AP2523">
        <v>1</v>
      </c>
      <c r="AQ2523" t="s">
        <v>10521</v>
      </c>
      <c r="AR2523" t="s">
        <v>10522</v>
      </c>
      <c r="AS2523" t="s">
        <v>66</v>
      </c>
      <c r="AT2523" t="s">
        <v>66</v>
      </c>
    </row>
    <row r="2524" spans="1:46" x14ac:dyDescent="0.15">
      <c r="A2524" t="s">
        <v>10563</v>
      </c>
      <c r="B2524" t="s">
        <v>10310</v>
      </c>
      <c r="C2524" t="s">
        <v>10311</v>
      </c>
      <c r="D2524">
        <v>49</v>
      </c>
      <c r="E2524" t="s">
        <v>10312</v>
      </c>
      <c r="F2524" t="s">
        <v>1551</v>
      </c>
      <c r="G2524" t="s">
        <v>51</v>
      </c>
      <c r="H2524" t="s">
        <v>10313</v>
      </c>
      <c r="I2524" t="s">
        <v>53</v>
      </c>
      <c r="J2524" t="s">
        <v>2572</v>
      </c>
      <c r="K2524" t="s">
        <v>3594</v>
      </c>
      <c r="L2524" t="s">
        <v>17</v>
      </c>
      <c r="M2524" t="s">
        <v>16</v>
      </c>
      <c r="N2524">
        <v>3194</v>
      </c>
      <c r="O2524">
        <v>187</v>
      </c>
      <c r="P2524">
        <v>0</v>
      </c>
      <c r="Q2524" t="s">
        <v>10564</v>
      </c>
      <c r="R2524" t="s">
        <v>10565</v>
      </c>
      <c r="S2524" t="s">
        <v>10566</v>
      </c>
      <c r="T2524" t="s">
        <v>10567</v>
      </c>
      <c r="U2524" t="s">
        <v>60</v>
      </c>
      <c r="V2524" t="s">
        <v>61</v>
      </c>
      <c r="W2524">
        <v>10</v>
      </c>
      <c r="X2524">
        <v>0.1150625</v>
      </c>
      <c r="Y2524" t="s">
        <v>223</v>
      </c>
      <c r="Z2524" t="s">
        <v>382</v>
      </c>
      <c r="AA2524">
        <v>2</v>
      </c>
      <c r="AB2524" t="s">
        <v>10318</v>
      </c>
      <c r="AC2524" t="s">
        <v>10319</v>
      </c>
      <c r="AD2524" t="s">
        <v>10320</v>
      </c>
      <c r="AE2524" t="s">
        <v>10321</v>
      </c>
      <c r="AF2524" t="s">
        <v>10322</v>
      </c>
      <c r="AG2524" t="s">
        <v>322</v>
      </c>
      <c r="AH2524" t="s">
        <v>191</v>
      </c>
      <c r="AI2524" t="s">
        <v>66</v>
      </c>
      <c r="AJ2524" t="s">
        <v>66</v>
      </c>
      <c r="AK2524">
        <v>1</v>
      </c>
      <c r="AL2524" t="s">
        <v>10418</v>
      </c>
      <c r="AM2524" t="s">
        <v>10419</v>
      </c>
      <c r="AN2524" t="s">
        <v>10520</v>
      </c>
      <c r="AO2524" t="s">
        <v>66</v>
      </c>
      <c r="AP2524">
        <v>1</v>
      </c>
      <c r="AQ2524" t="s">
        <v>10521</v>
      </c>
      <c r="AR2524" t="s">
        <v>10522</v>
      </c>
      <c r="AS2524" t="s">
        <v>66</v>
      </c>
      <c r="AT2524" t="s">
        <v>66</v>
      </c>
    </row>
    <row r="2525" spans="1:46" x14ac:dyDescent="0.15">
      <c r="A2525" t="s">
        <v>10568</v>
      </c>
      <c r="B2525" t="s">
        <v>10310</v>
      </c>
      <c r="C2525" t="s">
        <v>10311</v>
      </c>
      <c r="D2525">
        <v>50</v>
      </c>
      <c r="E2525" t="s">
        <v>10312</v>
      </c>
      <c r="F2525" t="s">
        <v>1551</v>
      </c>
      <c r="G2525" t="s">
        <v>51</v>
      </c>
      <c r="H2525" t="s">
        <v>10313</v>
      </c>
      <c r="I2525" t="s">
        <v>53</v>
      </c>
      <c r="J2525" t="s">
        <v>2572</v>
      </c>
      <c r="K2525" t="s">
        <v>3594</v>
      </c>
      <c r="L2525" t="s">
        <v>17</v>
      </c>
      <c r="M2525" t="s">
        <v>16</v>
      </c>
      <c r="N2525">
        <v>3250</v>
      </c>
      <c r="O2525">
        <v>190</v>
      </c>
      <c r="P2525">
        <v>0</v>
      </c>
      <c r="Q2525" t="s">
        <v>10569</v>
      </c>
      <c r="R2525" t="s">
        <v>10570</v>
      </c>
      <c r="S2525" t="s">
        <v>10571</v>
      </c>
      <c r="T2525" t="s">
        <v>10572</v>
      </c>
      <c r="U2525" t="s">
        <v>60</v>
      </c>
      <c r="V2525" t="s">
        <v>61</v>
      </c>
      <c r="W2525">
        <v>10</v>
      </c>
      <c r="X2525">
        <v>0.1150625</v>
      </c>
      <c r="Y2525" t="s">
        <v>388</v>
      </c>
      <c r="Z2525" t="s">
        <v>389</v>
      </c>
      <c r="AA2525">
        <v>2</v>
      </c>
      <c r="AB2525" t="s">
        <v>10318</v>
      </c>
      <c r="AC2525" t="s">
        <v>10319</v>
      </c>
      <c r="AD2525" t="s">
        <v>10320</v>
      </c>
      <c r="AE2525" t="s">
        <v>10321</v>
      </c>
      <c r="AF2525" t="s">
        <v>10322</v>
      </c>
      <c r="AG2525" t="s">
        <v>322</v>
      </c>
      <c r="AH2525" t="s">
        <v>191</v>
      </c>
      <c r="AI2525" t="s">
        <v>66</v>
      </c>
      <c r="AJ2525" t="s">
        <v>66</v>
      </c>
      <c r="AK2525">
        <v>1</v>
      </c>
      <c r="AL2525" t="s">
        <v>10418</v>
      </c>
      <c r="AM2525" t="s">
        <v>10419</v>
      </c>
      <c r="AN2525" t="s">
        <v>10520</v>
      </c>
      <c r="AO2525" t="s">
        <v>66</v>
      </c>
      <c r="AP2525">
        <v>1</v>
      </c>
      <c r="AQ2525" t="s">
        <v>10521</v>
      </c>
      <c r="AR2525" t="s">
        <v>10522</v>
      </c>
      <c r="AS2525" t="s">
        <v>66</v>
      </c>
      <c r="AT2525" t="s">
        <v>66</v>
      </c>
    </row>
    <row r="2526" spans="1:46" x14ac:dyDescent="0.15">
      <c r="A2526" t="s">
        <v>10573</v>
      </c>
      <c r="B2526" t="s">
        <v>10310</v>
      </c>
      <c r="C2526" t="s">
        <v>10311</v>
      </c>
      <c r="D2526">
        <v>51</v>
      </c>
      <c r="E2526" t="s">
        <v>10312</v>
      </c>
      <c r="F2526" t="s">
        <v>1551</v>
      </c>
      <c r="G2526" t="s">
        <v>51</v>
      </c>
      <c r="H2526" t="s">
        <v>10313</v>
      </c>
      <c r="I2526" t="s">
        <v>53</v>
      </c>
      <c r="J2526" t="s">
        <v>2572</v>
      </c>
      <c r="K2526" t="s">
        <v>3594</v>
      </c>
      <c r="L2526" t="s">
        <v>17</v>
      </c>
      <c r="M2526" t="s">
        <v>16</v>
      </c>
      <c r="N2526">
        <v>3306</v>
      </c>
      <c r="O2526">
        <v>193</v>
      </c>
      <c r="P2526">
        <v>0</v>
      </c>
      <c r="Q2526" t="s">
        <v>10574</v>
      </c>
      <c r="R2526" t="s">
        <v>10575</v>
      </c>
      <c r="S2526" t="s">
        <v>10576</v>
      </c>
      <c r="T2526" t="s">
        <v>10577</v>
      </c>
      <c r="U2526" t="s">
        <v>60</v>
      </c>
      <c r="V2526" t="s">
        <v>61</v>
      </c>
      <c r="W2526">
        <v>10</v>
      </c>
      <c r="X2526">
        <v>0.1150625</v>
      </c>
      <c r="Y2526" t="s">
        <v>230</v>
      </c>
      <c r="Z2526" t="s">
        <v>395</v>
      </c>
      <c r="AA2526">
        <v>2</v>
      </c>
      <c r="AB2526" t="s">
        <v>10318</v>
      </c>
      <c r="AC2526" t="s">
        <v>10319</v>
      </c>
      <c r="AD2526" t="s">
        <v>10320</v>
      </c>
      <c r="AE2526" t="s">
        <v>10321</v>
      </c>
      <c r="AF2526" t="s">
        <v>10322</v>
      </c>
      <c r="AG2526" t="s">
        <v>322</v>
      </c>
      <c r="AH2526" t="s">
        <v>191</v>
      </c>
      <c r="AI2526" t="s">
        <v>66</v>
      </c>
      <c r="AJ2526" t="s">
        <v>66</v>
      </c>
      <c r="AK2526">
        <v>1</v>
      </c>
      <c r="AL2526" t="s">
        <v>10418</v>
      </c>
      <c r="AM2526" t="s">
        <v>10419</v>
      </c>
      <c r="AN2526" t="s">
        <v>10520</v>
      </c>
      <c r="AO2526" t="s">
        <v>66</v>
      </c>
      <c r="AP2526">
        <v>1</v>
      </c>
      <c r="AQ2526" t="s">
        <v>10521</v>
      </c>
      <c r="AR2526" t="s">
        <v>10522</v>
      </c>
      <c r="AS2526" t="s">
        <v>66</v>
      </c>
      <c r="AT2526" t="s">
        <v>66</v>
      </c>
    </row>
    <row r="2527" spans="1:46" x14ac:dyDescent="0.15">
      <c r="A2527" t="s">
        <v>10578</v>
      </c>
      <c r="B2527" t="s">
        <v>10310</v>
      </c>
      <c r="C2527" t="s">
        <v>10311</v>
      </c>
      <c r="D2527">
        <v>52</v>
      </c>
      <c r="E2527" t="s">
        <v>10312</v>
      </c>
      <c r="F2527" t="s">
        <v>1551</v>
      </c>
      <c r="G2527" t="s">
        <v>51</v>
      </c>
      <c r="H2527" t="s">
        <v>10313</v>
      </c>
      <c r="I2527" t="s">
        <v>53</v>
      </c>
      <c r="J2527" t="s">
        <v>2572</v>
      </c>
      <c r="K2527" t="s">
        <v>3594</v>
      </c>
      <c r="L2527" t="s">
        <v>17</v>
      </c>
      <c r="M2527" t="s">
        <v>16</v>
      </c>
      <c r="N2527">
        <v>3362</v>
      </c>
      <c r="O2527">
        <v>196</v>
      </c>
      <c r="P2527">
        <v>0</v>
      </c>
      <c r="Q2527" t="s">
        <v>10579</v>
      </c>
      <c r="R2527" t="s">
        <v>10580</v>
      </c>
      <c r="S2527" t="s">
        <v>10581</v>
      </c>
      <c r="T2527" t="s">
        <v>10582</v>
      </c>
      <c r="U2527" t="s">
        <v>60</v>
      </c>
      <c r="V2527" t="s">
        <v>61</v>
      </c>
      <c r="W2527">
        <v>10</v>
      </c>
      <c r="X2527">
        <v>0.1150625</v>
      </c>
      <c r="Y2527" t="s">
        <v>401</v>
      </c>
      <c r="Z2527" t="s">
        <v>402</v>
      </c>
      <c r="AA2527">
        <v>2</v>
      </c>
      <c r="AB2527" t="s">
        <v>10318</v>
      </c>
      <c r="AC2527" t="s">
        <v>10319</v>
      </c>
      <c r="AD2527" t="s">
        <v>10320</v>
      </c>
      <c r="AE2527" t="s">
        <v>10321</v>
      </c>
      <c r="AF2527" t="s">
        <v>10322</v>
      </c>
      <c r="AG2527" t="s">
        <v>322</v>
      </c>
      <c r="AH2527" t="s">
        <v>191</v>
      </c>
      <c r="AI2527" t="s">
        <v>66</v>
      </c>
      <c r="AJ2527" t="s">
        <v>66</v>
      </c>
      <c r="AK2527">
        <v>1</v>
      </c>
      <c r="AL2527" t="s">
        <v>10418</v>
      </c>
      <c r="AM2527" t="s">
        <v>10419</v>
      </c>
      <c r="AN2527" t="s">
        <v>10520</v>
      </c>
      <c r="AO2527" t="s">
        <v>66</v>
      </c>
      <c r="AP2527">
        <v>1</v>
      </c>
      <c r="AQ2527" t="s">
        <v>10521</v>
      </c>
      <c r="AR2527" t="s">
        <v>10522</v>
      </c>
      <c r="AS2527" t="s">
        <v>66</v>
      </c>
      <c r="AT2527" t="s">
        <v>66</v>
      </c>
    </row>
    <row r="2528" spans="1:46" x14ac:dyDescent="0.15">
      <c r="A2528" t="s">
        <v>10583</v>
      </c>
      <c r="B2528" t="s">
        <v>10310</v>
      </c>
      <c r="C2528" t="s">
        <v>10311</v>
      </c>
      <c r="D2528">
        <v>53</v>
      </c>
      <c r="E2528" t="s">
        <v>10312</v>
      </c>
      <c r="F2528" t="s">
        <v>1551</v>
      </c>
      <c r="G2528" t="s">
        <v>51</v>
      </c>
      <c r="H2528" t="s">
        <v>10313</v>
      </c>
      <c r="I2528" t="s">
        <v>53</v>
      </c>
      <c r="J2528" t="s">
        <v>2572</v>
      </c>
      <c r="K2528" t="s">
        <v>3594</v>
      </c>
      <c r="L2528" t="s">
        <v>17</v>
      </c>
      <c r="M2528" t="s">
        <v>16</v>
      </c>
      <c r="N2528">
        <v>3418</v>
      </c>
      <c r="O2528">
        <v>200</v>
      </c>
      <c r="P2528">
        <v>0</v>
      </c>
      <c r="Q2528" t="s">
        <v>10584</v>
      </c>
      <c r="R2528" t="s">
        <v>10585</v>
      </c>
      <c r="S2528" t="s">
        <v>10586</v>
      </c>
      <c r="T2528" t="s">
        <v>10587</v>
      </c>
      <c r="U2528" t="s">
        <v>60</v>
      </c>
      <c r="V2528" t="s">
        <v>61</v>
      </c>
      <c r="W2528">
        <v>10</v>
      </c>
      <c r="X2528">
        <v>0.1150625</v>
      </c>
      <c r="Y2528" t="s">
        <v>236</v>
      </c>
      <c r="Z2528" t="s">
        <v>408</v>
      </c>
      <c r="AA2528">
        <v>2</v>
      </c>
      <c r="AB2528" t="s">
        <v>10318</v>
      </c>
      <c r="AC2528" t="s">
        <v>10319</v>
      </c>
      <c r="AD2528" t="s">
        <v>10320</v>
      </c>
      <c r="AE2528" t="s">
        <v>10321</v>
      </c>
      <c r="AF2528" t="s">
        <v>10322</v>
      </c>
      <c r="AG2528" t="s">
        <v>322</v>
      </c>
      <c r="AH2528" t="s">
        <v>191</v>
      </c>
      <c r="AI2528" t="s">
        <v>66</v>
      </c>
      <c r="AJ2528" t="s">
        <v>66</v>
      </c>
      <c r="AK2528">
        <v>1</v>
      </c>
      <c r="AL2528" t="s">
        <v>10418</v>
      </c>
      <c r="AM2528" t="s">
        <v>10419</v>
      </c>
      <c r="AN2528" t="s">
        <v>10520</v>
      </c>
      <c r="AO2528" t="s">
        <v>66</v>
      </c>
      <c r="AP2528">
        <v>1</v>
      </c>
      <c r="AQ2528" t="s">
        <v>10521</v>
      </c>
      <c r="AR2528" t="s">
        <v>10522</v>
      </c>
      <c r="AS2528" t="s">
        <v>66</v>
      </c>
      <c r="AT2528" t="s">
        <v>66</v>
      </c>
    </row>
    <row r="2529" spans="1:46" x14ac:dyDescent="0.15">
      <c r="A2529" t="s">
        <v>10588</v>
      </c>
      <c r="B2529" t="s">
        <v>10310</v>
      </c>
      <c r="C2529" t="s">
        <v>10311</v>
      </c>
      <c r="D2529">
        <v>54</v>
      </c>
      <c r="E2529" t="s">
        <v>10312</v>
      </c>
      <c r="F2529" t="s">
        <v>1551</v>
      </c>
      <c r="G2529" t="s">
        <v>51</v>
      </c>
      <c r="H2529" t="s">
        <v>10313</v>
      </c>
      <c r="I2529" t="s">
        <v>53</v>
      </c>
      <c r="J2529" t="s">
        <v>2572</v>
      </c>
      <c r="K2529" t="s">
        <v>3594</v>
      </c>
      <c r="L2529" t="s">
        <v>17</v>
      </c>
      <c r="M2529" t="s">
        <v>16</v>
      </c>
      <c r="N2529">
        <v>3474</v>
      </c>
      <c r="O2529">
        <v>203</v>
      </c>
      <c r="P2529">
        <v>0</v>
      </c>
      <c r="Q2529" t="s">
        <v>10589</v>
      </c>
      <c r="R2529" t="s">
        <v>10590</v>
      </c>
      <c r="S2529" t="s">
        <v>10591</v>
      </c>
      <c r="T2529" t="s">
        <v>10592</v>
      </c>
      <c r="U2529" t="s">
        <v>60</v>
      </c>
      <c r="V2529" t="s">
        <v>61</v>
      </c>
      <c r="W2529">
        <v>10</v>
      </c>
      <c r="X2529">
        <v>0.1150625</v>
      </c>
      <c r="Y2529" t="s">
        <v>414</v>
      </c>
      <c r="Z2529" t="s">
        <v>415</v>
      </c>
      <c r="AA2529">
        <v>2</v>
      </c>
      <c r="AB2529" t="s">
        <v>10318</v>
      </c>
      <c r="AC2529" t="s">
        <v>10319</v>
      </c>
      <c r="AD2529" t="s">
        <v>10320</v>
      </c>
      <c r="AE2529" t="s">
        <v>10321</v>
      </c>
      <c r="AF2529" t="s">
        <v>10322</v>
      </c>
      <c r="AG2529" t="s">
        <v>322</v>
      </c>
      <c r="AH2529" t="s">
        <v>191</v>
      </c>
      <c r="AI2529" t="s">
        <v>66</v>
      </c>
      <c r="AJ2529" t="s">
        <v>66</v>
      </c>
      <c r="AK2529">
        <v>1</v>
      </c>
      <c r="AL2529" t="s">
        <v>10418</v>
      </c>
      <c r="AM2529" t="s">
        <v>10419</v>
      </c>
      <c r="AN2529" t="s">
        <v>10520</v>
      </c>
      <c r="AO2529" t="s">
        <v>66</v>
      </c>
      <c r="AP2529">
        <v>1</v>
      </c>
      <c r="AQ2529" t="s">
        <v>10521</v>
      </c>
      <c r="AR2529" t="s">
        <v>10522</v>
      </c>
      <c r="AS2529" t="s">
        <v>66</v>
      </c>
      <c r="AT2529" t="s">
        <v>66</v>
      </c>
    </row>
    <row r="2530" spans="1:46" x14ac:dyDescent="0.15">
      <c r="A2530" t="s">
        <v>10593</v>
      </c>
      <c r="B2530" t="s">
        <v>10310</v>
      </c>
      <c r="C2530" t="s">
        <v>10311</v>
      </c>
      <c r="D2530">
        <v>55</v>
      </c>
      <c r="E2530" t="s">
        <v>10312</v>
      </c>
      <c r="F2530" t="s">
        <v>1551</v>
      </c>
      <c r="G2530" t="s">
        <v>51</v>
      </c>
      <c r="H2530" t="s">
        <v>10313</v>
      </c>
      <c r="I2530" t="s">
        <v>53</v>
      </c>
      <c r="J2530" t="s">
        <v>2572</v>
      </c>
      <c r="K2530" t="s">
        <v>3594</v>
      </c>
      <c r="L2530" t="s">
        <v>17</v>
      </c>
      <c r="M2530" t="s">
        <v>16</v>
      </c>
      <c r="N2530">
        <v>3531</v>
      </c>
      <c r="O2530">
        <v>206</v>
      </c>
      <c r="P2530">
        <v>0</v>
      </c>
      <c r="Q2530" t="s">
        <v>10594</v>
      </c>
      <c r="R2530" t="s">
        <v>10595</v>
      </c>
      <c r="S2530" t="s">
        <v>10596</v>
      </c>
      <c r="T2530" t="s">
        <v>10597</v>
      </c>
      <c r="U2530" t="s">
        <v>60</v>
      </c>
      <c r="V2530" t="s">
        <v>61</v>
      </c>
      <c r="W2530">
        <v>10</v>
      </c>
      <c r="X2530">
        <v>0.1150625</v>
      </c>
      <c r="Y2530" t="s">
        <v>243</v>
      </c>
      <c r="Z2530" t="s">
        <v>421</v>
      </c>
      <c r="AA2530">
        <v>2</v>
      </c>
      <c r="AB2530" t="s">
        <v>10318</v>
      </c>
      <c r="AC2530" t="s">
        <v>10319</v>
      </c>
      <c r="AD2530" t="s">
        <v>10320</v>
      </c>
      <c r="AE2530" t="s">
        <v>10321</v>
      </c>
      <c r="AF2530" t="s">
        <v>10322</v>
      </c>
      <c r="AG2530" t="s">
        <v>322</v>
      </c>
      <c r="AH2530" t="s">
        <v>191</v>
      </c>
      <c r="AI2530" t="s">
        <v>66</v>
      </c>
      <c r="AJ2530" t="s">
        <v>66</v>
      </c>
      <c r="AK2530">
        <v>1</v>
      </c>
      <c r="AL2530" t="s">
        <v>10418</v>
      </c>
      <c r="AM2530" t="s">
        <v>10419</v>
      </c>
      <c r="AN2530" t="s">
        <v>10520</v>
      </c>
      <c r="AO2530" t="s">
        <v>66</v>
      </c>
      <c r="AP2530">
        <v>1</v>
      </c>
      <c r="AQ2530" t="s">
        <v>10521</v>
      </c>
      <c r="AR2530" t="s">
        <v>10522</v>
      </c>
      <c r="AS2530" t="s">
        <v>66</v>
      </c>
      <c r="AT2530" t="s">
        <v>66</v>
      </c>
    </row>
    <row r="2531" spans="1:46" x14ac:dyDescent="0.15">
      <c r="A2531" t="s">
        <v>10598</v>
      </c>
      <c r="B2531" t="s">
        <v>10310</v>
      </c>
      <c r="C2531" t="s">
        <v>10311</v>
      </c>
      <c r="D2531">
        <v>56</v>
      </c>
      <c r="E2531" t="s">
        <v>10312</v>
      </c>
      <c r="F2531" t="s">
        <v>1551</v>
      </c>
      <c r="G2531" t="s">
        <v>51</v>
      </c>
      <c r="H2531" t="s">
        <v>10313</v>
      </c>
      <c r="I2531" t="s">
        <v>53</v>
      </c>
      <c r="J2531" t="s">
        <v>2572</v>
      </c>
      <c r="K2531" t="s">
        <v>3594</v>
      </c>
      <c r="L2531" t="s">
        <v>17</v>
      </c>
      <c r="M2531" t="s">
        <v>16</v>
      </c>
      <c r="N2531">
        <v>3587</v>
      </c>
      <c r="O2531">
        <v>210</v>
      </c>
      <c r="P2531">
        <v>0</v>
      </c>
      <c r="Q2531" t="s">
        <v>10599</v>
      </c>
      <c r="R2531" t="s">
        <v>10600</v>
      </c>
      <c r="S2531" t="s">
        <v>10601</v>
      </c>
      <c r="T2531" t="s">
        <v>10602</v>
      </c>
      <c r="U2531" t="s">
        <v>60</v>
      </c>
      <c r="V2531" t="s">
        <v>61</v>
      </c>
      <c r="W2531">
        <v>10</v>
      </c>
      <c r="X2531">
        <v>0.1150625</v>
      </c>
      <c r="Y2531" t="s">
        <v>427</v>
      </c>
      <c r="Z2531" t="s">
        <v>428</v>
      </c>
      <c r="AA2531">
        <v>2</v>
      </c>
      <c r="AB2531" t="s">
        <v>10318</v>
      </c>
      <c r="AC2531" t="s">
        <v>10319</v>
      </c>
      <c r="AD2531" t="s">
        <v>10320</v>
      </c>
      <c r="AE2531" t="s">
        <v>10321</v>
      </c>
      <c r="AF2531" t="s">
        <v>10322</v>
      </c>
      <c r="AG2531" t="s">
        <v>322</v>
      </c>
      <c r="AH2531" t="s">
        <v>191</v>
      </c>
      <c r="AI2531" t="s">
        <v>66</v>
      </c>
      <c r="AJ2531" t="s">
        <v>66</v>
      </c>
      <c r="AK2531">
        <v>1</v>
      </c>
      <c r="AL2531" t="s">
        <v>10418</v>
      </c>
      <c r="AM2531" t="s">
        <v>10419</v>
      </c>
      <c r="AN2531" t="s">
        <v>10520</v>
      </c>
      <c r="AO2531" t="s">
        <v>66</v>
      </c>
      <c r="AP2531">
        <v>1</v>
      </c>
      <c r="AQ2531" t="s">
        <v>10521</v>
      </c>
      <c r="AR2531" t="s">
        <v>10522</v>
      </c>
      <c r="AS2531" t="s">
        <v>66</v>
      </c>
      <c r="AT2531" t="s">
        <v>66</v>
      </c>
    </row>
    <row r="2532" spans="1:46" x14ac:dyDescent="0.15">
      <c r="A2532" t="s">
        <v>10603</v>
      </c>
      <c r="B2532" t="s">
        <v>10310</v>
      </c>
      <c r="C2532" t="s">
        <v>10311</v>
      </c>
      <c r="D2532">
        <v>57</v>
      </c>
      <c r="E2532" t="s">
        <v>10312</v>
      </c>
      <c r="F2532" t="s">
        <v>1551</v>
      </c>
      <c r="G2532" t="s">
        <v>51</v>
      </c>
      <c r="H2532" t="s">
        <v>10313</v>
      </c>
      <c r="I2532" t="s">
        <v>53</v>
      </c>
      <c r="J2532" t="s">
        <v>2572</v>
      </c>
      <c r="K2532" t="s">
        <v>3594</v>
      </c>
      <c r="L2532" t="s">
        <v>17</v>
      </c>
      <c r="M2532" t="s">
        <v>16</v>
      </c>
      <c r="N2532">
        <v>3643</v>
      </c>
      <c r="O2532">
        <v>213</v>
      </c>
      <c r="P2532">
        <v>0</v>
      </c>
      <c r="Q2532" t="s">
        <v>10604</v>
      </c>
      <c r="R2532" t="s">
        <v>10605</v>
      </c>
      <c r="S2532" t="s">
        <v>10606</v>
      </c>
      <c r="T2532" t="s">
        <v>10607</v>
      </c>
      <c r="U2532" t="s">
        <v>60</v>
      </c>
      <c r="V2532" t="s">
        <v>61</v>
      </c>
      <c r="W2532">
        <v>10</v>
      </c>
      <c r="X2532">
        <v>0.1150625</v>
      </c>
      <c r="Y2532" t="s">
        <v>249</v>
      </c>
      <c r="Z2532" t="s">
        <v>434</v>
      </c>
      <c r="AA2532">
        <v>2</v>
      </c>
      <c r="AB2532" t="s">
        <v>10318</v>
      </c>
      <c r="AC2532" t="s">
        <v>10319</v>
      </c>
      <c r="AD2532" t="s">
        <v>10320</v>
      </c>
      <c r="AE2532" t="s">
        <v>10321</v>
      </c>
      <c r="AF2532" t="s">
        <v>10322</v>
      </c>
      <c r="AG2532" t="s">
        <v>322</v>
      </c>
      <c r="AH2532" t="s">
        <v>191</v>
      </c>
      <c r="AI2532" t="s">
        <v>66</v>
      </c>
      <c r="AJ2532" t="s">
        <v>66</v>
      </c>
      <c r="AK2532">
        <v>1</v>
      </c>
      <c r="AL2532" t="s">
        <v>10418</v>
      </c>
      <c r="AM2532" t="s">
        <v>10419</v>
      </c>
      <c r="AN2532" t="s">
        <v>10520</v>
      </c>
      <c r="AO2532" t="s">
        <v>66</v>
      </c>
      <c r="AP2532">
        <v>1</v>
      </c>
      <c r="AQ2532" t="s">
        <v>10521</v>
      </c>
      <c r="AR2532" t="s">
        <v>10522</v>
      </c>
      <c r="AS2532" t="s">
        <v>66</v>
      </c>
      <c r="AT2532" t="s">
        <v>66</v>
      </c>
    </row>
    <row r="2533" spans="1:46" x14ac:dyDescent="0.15">
      <c r="A2533" t="s">
        <v>10608</v>
      </c>
      <c r="B2533" t="s">
        <v>10310</v>
      </c>
      <c r="C2533" t="s">
        <v>10311</v>
      </c>
      <c r="D2533">
        <v>58</v>
      </c>
      <c r="E2533" t="s">
        <v>10312</v>
      </c>
      <c r="F2533" t="s">
        <v>1551</v>
      </c>
      <c r="G2533" t="s">
        <v>51</v>
      </c>
      <c r="H2533" t="s">
        <v>10313</v>
      </c>
      <c r="I2533" t="s">
        <v>53</v>
      </c>
      <c r="J2533" t="s">
        <v>2572</v>
      </c>
      <c r="K2533" t="s">
        <v>3594</v>
      </c>
      <c r="L2533" t="s">
        <v>17</v>
      </c>
      <c r="M2533" t="s">
        <v>16</v>
      </c>
      <c r="N2533">
        <v>3699</v>
      </c>
      <c r="O2533">
        <v>216</v>
      </c>
      <c r="P2533">
        <v>0</v>
      </c>
      <c r="Q2533" t="s">
        <v>10609</v>
      </c>
      <c r="R2533" t="s">
        <v>10610</v>
      </c>
      <c r="S2533" t="s">
        <v>10611</v>
      </c>
      <c r="T2533" t="s">
        <v>10612</v>
      </c>
      <c r="U2533" t="s">
        <v>60</v>
      </c>
      <c r="V2533" t="s">
        <v>61</v>
      </c>
      <c r="W2533">
        <v>10</v>
      </c>
      <c r="X2533">
        <v>0.1150625</v>
      </c>
      <c r="Y2533" t="s">
        <v>440</v>
      </c>
      <c r="Z2533" t="s">
        <v>441</v>
      </c>
      <c r="AA2533">
        <v>2</v>
      </c>
      <c r="AB2533" t="s">
        <v>10318</v>
      </c>
      <c r="AC2533" t="s">
        <v>10319</v>
      </c>
      <c r="AD2533" t="s">
        <v>10320</v>
      </c>
      <c r="AE2533" t="s">
        <v>10321</v>
      </c>
      <c r="AF2533" t="s">
        <v>10322</v>
      </c>
      <c r="AG2533" t="s">
        <v>322</v>
      </c>
      <c r="AH2533" t="s">
        <v>191</v>
      </c>
      <c r="AI2533" t="s">
        <v>66</v>
      </c>
      <c r="AJ2533" t="s">
        <v>66</v>
      </c>
      <c r="AK2533">
        <v>1</v>
      </c>
      <c r="AL2533" t="s">
        <v>10418</v>
      </c>
      <c r="AM2533" t="s">
        <v>10419</v>
      </c>
      <c r="AN2533" t="s">
        <v>10520</v>
      </c>
      <c r="AO2533" t="s">
        <v>66</v>
      </c>
      <c r="AP2533">
        <v>1</v>
      </c>
      <c r="AQ2533" t="s">
        <v>10521</v>
      </c>
      <c r="AR2533" t="s">
        <v>10522</v>
      </c>
      <c r="AS2533" t="s">
        <v>66</v>
      </c>
      <c r="AT2533" t="s">
        <v>66</v>
      </c>
    </row>
    <row r="2534" spans="1:46" x14ac:dyDescent="0.15">
      <c r="A2534" t="s">
        <v>10613</v>
      </c>
      <c r="B2534" t="s">
        <v>10310</v>
      </c>
      <c r="C2534" t="s">
        <v>10311</v>
      </c>
      <c r="D2534">
        <v>59</v>
      </c>
      <c r="E2534" t="s">
        <v>10312</v>
      </c>
      <c r="F2534" t="s">
        <v>1551</v>
      </c>
      <c r="G2534" t="s">
        <v>51</v>
      </c>
      <c r="H2534" t="s">
        <v>10313</v>
      </c>
      <c r="I2534" t="s">
        <v>53</v>
      </c>
      <c r="J2534" t="s">
        <v>2572</v>
      </c>
      <c r="K2534" t="s">
        <v>3594</v>
      </c>
      <c r="L2534" t="s">
        <v>17</v>
      </c>
      <c r="M2534" t="s">
        <v>16</v>
      </c>
      <c r="N2534">
        <v>3755</v>
      </c>
      <c r="O2534">
        <v>219</v>
      </c>
      <c r="P2534">
        <v>0</v>
      </c>
      <c r="Q2534" t="s">
        <v>10614</v>
      </c>
      <c r="R2534" t="s">
        <v>10615</v>
      </c>
      <c r="S2534" t="s">
        <v>10616</v>
      </c>
      <c r="T2534" t="s">
        <v>10617</v>
      </c>
      <c r="U2534" t="s">
        <v>60</v>
      </c>
      <c r="V2534" t="s">
        <v>61</v>
      </c>
      <c r="W2534">
        <v>10</v>
      </c>
      <c r="X2534">
        <v>0.1150625</v>
      </c>
      <c r="Y2534" t="s">
        <v>256</v>
      </c>
      <c r="Z2534" t="s">
        <v>447</v>
      </c>
      <c r="AA2534">
        <v>2</v>
      </c>
      <c r="AB2534" t="s">
        <v>10318</v>
      </c>
      <c r="AC2534" t="s">
        <v>10319</v>
      </c>
      <c r="AD2534" t="s">
        <v>10320</v>
      </c>
      <c r="AE2534" t="s">
        <v>10321</v>
      </c>
      <c r="AF2534" t="s">
        <v>10322</v>
      </c>
      <c r="AG2534" t="s">
        <v>322</v>
      </c>
      <c r="AH2534" t="s">
        <v>191</v>
      </c>
      <c r="AI2534" t="s">
        <v>66</v>
      </c>
      <c r="AJ2534" t="s">
        <v>66</v>
      </c>
      <c r="AK2534">
        <v>1</v>
      </c>
      <c r="AL2534" t="s">
        <v>10418</v>
      </c>
      <c r="AM2534" t="s">
        <v>10419</v>
      </c>
      <c r="AN2534" t="s">
        <v>10520</v>
      </c>
      <c r="AO2534" t="s">
        <v>66</v>
      </c>
      <c r="AP2534">
        <v>1</v>
      </c>
      <c r="AQ2534" t="s">
        <v>10521</v>
      </c>
      <c r="AR2534" t="s">
        <v>10522</v>
      </c>
      <c r="AS2534" t="s">
        <v>66</v>
      </c>
      <c r="AT2534" t="s">
        <v>66</v>
      </c>
    </row>
    <row r="2535" spans="1:46" x14ac:dyDescent="0.15">
      <c r="A2535" t="s">
        <v>10618</v>
      </c>
      <c r="B2535" t="s">
        <v>10310</v>
      </c>
      <c r="C2535" t="s">
        <v>10311</v>
      </c>
      <c r="D2535">
        <v>60</v>
      </c>
      <c r="E2535" t="s">
        <v>10312</v>
      </c>
      <c r="F2535" t="s">
        <v>1551</v>
      </c>
      <c r="G2535" t="s">
        <v>51</v>
      </c>
      <c r="H2535" t="s">
        <v>10313</v>
      </c>
      <c r="I2535" t="s">
        <v>53</v>
      </c>
      <c r="J2535" t="s">
        <v>2572</v>
      </c>
      <c r="K2535" t="s">
        <v>3594</v>
      </c>
      <c r="L2535" t="s">
        <v>17</v>
      </c>
      <c r="M2535" t="s">
        <v>16</v>
      </c>
      <c r="N2535">
        <v>3811</v>
      </c>
      <c r="O2535">
        <v>223</v>
      </c>
      <c r="P2535">
        <v>0</v>
      </c>
      <c r="Q2535" t="s">
        <v>10619</v>
      </c>
      <c r="R2535" t="s">
        <v>10620</v>
      </c>
      <c r="S2535" t="s">
        <v>10621</v>
      </c>
      <c r="T2535" t="s">
        <v>10622</v>
      </c>
      <c r="U2535" t="s">
        <v>60</v>
      </c>
      <c r="V2535" t="s">
        <v>61</v>
      </c>
      <c r="W2535">
        <v>10</v>
      </c>
      <c r="X2535">
        <v>0.1150625</v>
      </c>
      <c r="Y2535" t="s">
        <v>453</v>
      </c>
      <c r="Z2535" t="s">
        <v>454</v>
      </c>
      <c r="AA2535">
        <v>2</v>
      </c>
      <c r="AB2535" t="s">
        <v>10318</v>
      </c>
      <c r="AC2535" t="s">
        <v>10319</v>
      </c>
      <c r="AD2535" t="s">
        <v>10320</v>
      </c>
      <c r="AE2535" t="s">
        <v>10321</v>
      </c>
      <c r="AF2535" t="s">
        <v>10322</v>
      </c>
      <c r="AG2535" t="s">
        <v>322</v>
      </c>
      <c r="AH2535" t="s">
        <v>191</v>
      </c>
      <c r="AI2535" t="s">
        <v>66</v>
      </c>
      <c r="AJ2535" t="s">
        <v>66</v>
      </c>
      <c r="AK2535">
        <v>1</v>
      </c>
      <c r="AL2535" t="s">
        <v>10418</v>
      </c>
      <c r="AM2535" t="s">
        <v>10419</v>
      </c>
      <c r="AN2535" t="s">
        <v>10520</v>
      </c>
      <c r="AO2535" t="s">
        <v>66</v>
      </c>
      <c r="AP2535">
        <v>1</v>
      </c>
      <c r="AQ2535" t="s">
        <v>10521</v>
      </c>
      <c r="AR2535" t="s">
        <v>10522</v>
      </c>
      <c r="AS2535" t="s">
        <v>66</v>
      </c>
      <c r="AT2535" t="s">
        <v>66</v>
      </c>
    </row>
    <row r="2536" spans="1:46" x14ac:dyDescent="0.15">
      <c r="A2536" t="s">
        <v>10618</v>
      </c>
      <c r="B2536" t="s">
        <v>10310</v>
      </c>
      <c r="C2536" t="s">
        <v>10311</v>
      </c>
      <c r="D2536">
        <v>60</v>
      </c>
      <c r="E2536" t="s">
        <v>10312</v>
      </c>
      <c r="F2536" t="s">
        <v>1551</v>
      </c>
      <c r="G2536" t="s">
        <v>51</v>
      </c>
      <c r="H2536" t="s">
        <v>10313</v>
      </c>
      <c r="I2536" t="s">
        <v>53</v>
      </c>
      <c r="J2536" t="s">
        <v>2572</v>
      </c>
      <c r="K2536" t="s">
        <v>3594</v>
      </c>
      <c r="L2536" t="s">
        <v>17</v>
      </c>
      <c r="M2536" t="s">
        <v>16</v>
      </c>
      <c r="N2536">
        <v>3811</v>
      </c>
      <c r="O2536">
        <v>223</v>
      </c>
      <c r="P2536">
        <v>0</v>
      </c>
      <c r="Q2536" t="s">
        <v>10619</v>
      </c>
      <c r="R2536" t="s">
        <v>10620</v>
      </c>
      <c r="S2536" t="s">
        <v>10621</v>
      </c>
      <c r="T2536" t="s">
        <v>10622</v>
      </c>
      <c r="U2536" t="s">
        <v>60</v>
      </c>
      <c r="V2536" t="s">
        <v>61</v>
      </c>
      <c r="W2536">
        <v>10</v>
      </c>
      <c r="X2536">
        <v>0.1150625</v>
      </c>
      <c r="Y2536" t="s">
        <v>453</v>
      </c>
      <c r="Z2536" t="s">
        <v>454</v>
      </c>
      <c r="AA2536">
        <v>3</v>
      </c>
      <c r="AB2536" t="s">
        <v>10318</v>
      </c>
      <c r="AC2536" t="s">
        <v>10319</v>
      </c>
      <c r="AD2536" t="s">
        <v>10320</v>
      </c>
      <c r="AE2536" t="s">
        <v>10321</v>
      </c>
      <c r="AF2536" t="s">
        <v>10322</v>
      </c>
      <c r="AG2536" t="s">
        <v>322</v>
      </c>
      <c r="AH2536" t="s">
        <v>191</v>
      </c>
      <c r="AI2536" t="s">
        <v>322</v>
      </c>
      <c r="AJ2536" t="s">
        <v>66</v>
      </c>
      <c r="AK2536">
        <v>1</v>
      </c>
      <c r="AL2536" t="s">
        <v>10418</v>
      </c>
      <c r="AM2536" t="s">
        <v>10419</v>
      </c>
      <c r="AN2536" t="s">
        <v>10520</v>
      </c>
      <c r="AO2536" t="s">
        <v>66</v>
      </c>
      <c r="AP2536">
        <v>1</v>
      </c>
      <c r="AQ2536" t="s">
        <v>10521</v>
      </c>
      <c r="AR2536" t="s">
        <v>10522</v>
      </c>
      <c r="AS2536" t="s">
        <v>10623</v>
      </c>
      <c r="AT2536" t="s">
        <v>66</v>
      </c>
    </row>
    <row r="2537" spans="1:46" x14ac:dyDescent="0.15">
      <c r="A2537" t="s">
        <v>10624</v>
      </c>
      <c r="B2537" t="s">
        <v>10310</v>
      </c>
      <c r="C2537" t="s">
        <v>10311</v>
      </c>
      <c r="D2537">
        <v>61</v>
      </c>
      <c r="E2537" t="s">
        <v>10312</v>
      </c>
      <c r="F2537" t="s">
        <v>1551</v>
      </c>
      <c r="G2537" t="s">
        <v>51</v>
      </c>
      <c r="H2537" t="s">
        <v>10313</v>
      </c>
      <c r="I2537" t="s">
        <v>53</v>
      </c>
      <c r="J2537" t="s">
        <v>2572</v>
      </c>
      <c r="K2537" t="s">
        <v>3594</v>
      </c>
      <c r="L2537" t="s">
        <v>17</v>
      </c>
      <c r="M2537" t="s">
        <v>16</v>
      </c>
      <c r="N2537">
        <v>3867</v>
      </c>
      <c r="O2537">
        <v>226</v>
      </c>
      <c r="P2537">
        <v>0</v>
      </c>
      <c r="Q2537" t="s">
        <v>10625</v>
      </c>
      <c r="R2537" t="s">
        <v>10626</v>
      </c>
      <c r="S2537" t="s">
        <v>10627</v>
      </c>
      <c r="T2537" t="s">
        <v>10628</v>
      </c>
      <c r="U2537" t="s">
        <v>60</v>
      </c>
      <c r="V2537" t="s">
        <v>61</v>
      </c>
      <c r="W2537">
        <v>10</v>
      </c>
      <c r="X2537">
        <v>0.1150625</v>
      </c>
      <c r="Y2537" t="s">
        <v>262</v>
      </c>
      <c r="Z2537" t="s">
        <v>465</v>
      </c>
      <c r="AA2537">
        <v>3</v>
      </c>
      <c r="AB2537" t="s">
        <v>10318</v>
      </c>
      <c r="AC2537" t="s">
        <v>10319</v>
      </c>
      <c r="AD2537" t="s">
        <v>10320</v>
      </c>
      <c r="AE2537" t="s">
        <v>10321</v>
      </c>
      <c r="AF2537" t="s">
        <v>10322</v>
      </c>
      <c r="AG2537" t="s">
        <v>322</v>
      </c>
      <c r="AH2537" t="s">
        <v>191</v>
      </c>
      <c r="AI2537" t="s">
        <v>322</v>
      </c>
      <c r="AJ2537" t="s">
        <v>66</v>
      </c>
      <c r="AK2537">
        <v>1</v>
      </c>
      <c r="AL2537" t="s">
        <v>10418</v>
      </c>
      <c r="AM2537" t="s">
        <v>10419</v>
      </c>
      <c r="AN2537" t="s">
        <v>10520</v>
      </c>
      <c r="AO2537" t="s">
        <v>66</v>
      </c>
      <c r="AP2537">
        <v>1</v>
      </c>
      <c r="AQ2537" t="s">
        <v>10521</v>
      </c>
      <c r="AR2537" t="s">
        <v>10522</v>
      </c>
      <c r="AS2537" t="s">
        <v>10623</v>
      </c>
      <c r="AT2537" t="s">
        <v>66</v>
      </c>
    </row>
    <row r="2538" spans="1:46" x14ac:dyDescent="0.15">
      <c r="A2538" t="s">
        <v>10629</v>
      </c>
      <c r="B2538" t="s">
        <v>10310</v>
      </c>
      <c r="C2538" t="s">
        <v>10311</v>
      </c>
      <c r="D2538">
        <v>62</v>
      </c>
      <c r="E2538" t="s">
        <v>10312</v>
      </c>
      <c r="F2538" t="s">
        <v>1551</v>
      </c>
      <c r="G2538" t="s">
        <v>51</v>
      </c>
      <c r="H2538" t="s">
        <v>10313</v>
      </c>
      <c r="I2538" t="s">
        <v>53</v>
      </c>
      <c r="J2538" t="s">
        <v>2572</v>
      </c>
      <c r="K2538" t="s">
        <v>3594</v>
      </c>
      <c r="L2538" t="s">
        <v>17</v>
      </c>
      <c r="M2538" t="s">
        <v>16</v>
      </c>
      <c r="N2538">
        <v>3923</v>
      </c>
      <c r="O2538">
        <v>229</v>
      </c>
      <c r="P2538">
        <v>0</v>
      </c>
      <c r="Q2538" t="s">
        <v>10630</v>
      </c>
      <c r="R2538" t="s">
        <v>10631</v>
      </c>
      <c r="S2538" t="s">
        <v>10632</v>
      </c>
      <c r="T2538" t="s">
        <v>10633</v>
      </c>
      <c r="U2538" t="s">
        <v>60</v>
      </c>
      <c r="V2538" t="s">
        <v>61</v>
      </c>
      <c r="W2538">
        <v>10</v>
      </c>
      <c r="X2538">
        <v>0.1150625</v>
      </c>
      <c r="Y2538" t="s">
        <v>471</v>
      </c>
      <c r="Z2538" t="s">
        <v>472</v>
      </c>
      <c r="AA2538">
        <v>3</v>
      </c>
      <c r="AB2538" t="s">
        <v>10318</v>
      </c>
      <c r="AC2538" t="s">
        <v>10319</v>
      </c>
      <c r="AD2538" t="s">
        <v>10320</v>
      </c>
      <c r="AE2538" t="s">
        <v>10321</v>
      </c>
      <c r="AF2538" t="s">
        <v>10322</v>
      </c>
      <c r="AG2538" t="s">
        <v>322</v>
      </c>
      <c r="AH2538" t="s">
        <v>191</v>
      </c>
      <c r="AI2538" t="s">
        <v>322</v>
      </c>
      <c r="AJ2538" t="s">
        <v>66</v>
      </c>
      <c r="AK2538">
        <v>1</v>
      </c>
      <c r="AL2538" t="s">
        <v>10418</v>
      </c>
      <c r="AM2538" t="s">
        <v>10419</v>
      </c>
      <c r="AN2538" t="s">
        <v>10520</v>
      </c>
      <c r="AO2538" t="s">
        <v>66</v>
      </c>
      <c r="AP2538">
        <v>1</v>
      </c>
      <c r="AQ2538" t="s">
        <v>10521</v>
      </c>
      <c r="AR2538" t="s">
        <v>10522</v>
      </c>
      <c r="AS2538" t="s">
        <v>10623</v>
      </c>
      <c r="AT2538" t="s">
        <v>66</v>
      </c>
    </row>
    <row r="2539" spans="1:46" x14ac:dyDescent="0.15">
      <c r="A2539" t="s">
        <v>10634</v>
      </c>
      <c r="B2539" t="s">
        <v>10310</v>
      </c>
      <c r="C2539" t="s">
        <v>10311</v>
      </c>
      <c r="D2539">
        <v>63</v>
      </c>
      <c r="E2539" t="s">
        <v>10312</v>
      </c>
      <c r="F2539" t="s">
        <v>1551</v>
      </c>
      <c r="G2539" t="s">
        <v>51</v>
      </c>
      <c r="H2539" t="s">
        <v>10313</v>
      </c>
      <c r="I2539" t="s">
        <v>53</v>
      </c>
      <c r="J2539" t="s">
        <v>2572</v>
      </c>
      <c r="K2539" t="s">
        <v>3594</v>
      </c>
      <c r="L2539" t="s">
        <v>17</v>
      </c>
      <c r="M2539" t="s">
        <v>16</v>
      </c>
      <c r="N2539">
        <v>3980</v>
      </c>
      <c r="O2539">
        <v>232</v>
      </c>
      <c r="P2539">
        <v>0</v>
      </c>
      <c r="Q2539" t="s">
        <v>10635</v>
      </c>
      <c r="R2539" t="s">
        <v>10636</v>
      </c>
      <c r="S2539" t="s">
        <v>10637</v>
      </c>
      <c r="T2539" t="s">
        <v>10638</v>
      </c>
      <c r="U2539" t="s">
        <v>60</v>
      </c>
      <c r="V2539" t="s">
        <v>61</v>
      </c>
      <c r="W2539">
        <v>10</v>
      </c>
      <c r="X2539">
        <v>0.1150625</v>
      </c>
      <c r="Y2539" t="s">
        <v>269</v>
      </c>
      <c r="Z2539" t="s">
        <v>478</v>
      </c>
      <c r="AA2539">
        <v>3</v>
      </c>
      <c r="AB2539" t="s">
        <v>10318</v>
      </c>
      <c r="AC2539" t="s">
        <v>10319</v>
      </c>
      <c r="AD2539" t="s">
        <v>10320</v>
      </c>
      <c r="AE2539" t="s">
        <v>10321</v>
      </c>
      <c r="AF2539" t="s">
        <v>10322</v>
      </c>
      <c r="AG2539" t="s">
        <v>322</v>
      </c>
      <c r="AH2539" t="s">
        <v>191</v>
      </c>
      <c r="AI2539" t="s">
        <v>322</v>
      </c>
      <c r="AJ2539" t="s">
        <v>66</v>
      </c>
      <c r="AK2539">
        <v>1</v>
      </c>
      <c r="AL2539" t="s">
        <v>10418</v>
      </c>
      <c r="AM2539" t="s">
        <v>10419</v>
      </c>
      <c r="AN2539" t="s">
        <v>10520</v>
      </c>
      <c r="AO2539" t="s">
        <v>66</v>
      </c>
      <c r="AP2539">
        <v>1</v>
      </c>
      <c r="AQ2539" t="s">
        <v>10521</v>
      </c>
      <c r="AR2539" t="s">
        <v>10522</v>
      </c>
      <c r="AS2539" t="s">
        <v>10623</v>
      </c>
      <c r="AT2539" t="s">
        <v>66</v>
      </c>
    </row>
    <row r="2540" spans="1:46" x14ac:dyDescent="0.15">
      <c r="A2540" t="s">
        <v>10639</v>
      </c>
      <c r="B2540" t="s">
        <v>10310</v>
      </c>
      <c r="C2540" t="s">
        <v>10311</v>
      </c>
      <c r="D2540">
        <v>64</v>
      </c>
      <c r="E2540" t="s">
        <v>10312</v>
      </c>
      <c r="F2540" t="s">
        <v>1551</v>
      </c>
      <c r="G2540" t="s">
        <v>51</v>
      </c>
      <c r="H2540" t="s">
        <v>10313</v>
      </c>
      <c r="I2540" t="s">
        <v>53</v>
      </c>
      <c r="J2540" t="s">
        <v>2572</v>
      </c>
      <c r="K2540" t="s">
        <v>3594</v>
      </c>
      <c r="L2540" t="s">
        <v>17</v>
      </c>
      <c r="M2540" t="s">
        <v>16</v>
      </c>
      <c r="N2540">
        <v>4036</v>
      </c>
      <c r="O2540">
        <v>236</v>
      </c>
      <c r="P2540">
        <v>0</v>
      </c>
      <c r="Q2540" t="s">
        <v>10640</v>
      </c>
      <c r="R2540" t="s">
        <v>10641</v>
      </c>
      <c r="S2540" t="s">
        <v>10642</v>
      </c>
      <c r="T2540" t="s">
        <v>10643</v>
      </c>
      <c r="U2540" t="s">
        <v>60</v>
      </c>
      <c r="V2540" t="s">
        <v>61</v>
      </c>
      <c r="W2540">
        <v>10</v>
      </c>
      <c r="X2540">
        <v>0.1150625</v>
      </c>
      <c r="Y2540" t="s">
        <v>484</v>
      </c>
      <c r="Z2540" t="s">
        <v>485</v>
      </c>
      <c r="AA2540">
        <v>3</v>
      </c>
      <c r="AB2540" t="s">
        <v>10318</v>
      </c>
      <c r="AC2540" t="s">
        <v>10319</v>
      </c>
      <c r="AD2540" t="s">
        <v>10320</v>
      </c>
      <c r="AE2540" t="s">
        <v>10321</v>
      </c>
      <c r="AF2540" t="s">
        <v>10322</v>
      </c>
      <c r="AG2540" t="s">
        <v>322</v>
      </c>
      <c r="AH2540" t="s">
        <v>191</v>
      </c>
      <c r="AI2540" t="s">
        <v>322</v>
      </c>
      <c r="AJ2540" t="s">
        <v>66</v>
      </c>
      <c r="AK2540">
        <v>1</v>
      </c>
      <c r="AL2540" t="s">
        <v>10418</v>
      </c>
      <c r="AM2540" t="s">
        <v>10419</v>
      </c>
      <c r="AN2540" t="s">
        <v>10520</v>
      </c>
      <c r="AO2540" t="s">
        <v>66</v>
      </c>
      <c r="AP2540">
        <v>1</v>
      </c>
      <c r="AQ2540" t="s">
        <v>10521</v>
      </c>
      <c r="AR2540" t="s">
        <v>10522</v>
      </c>
      <c r="AS2540" t="s">
        <v>10623</v>
      </c>
      <c r="AT2540" t="s">
        <v>66</v>
      </c>
    </row>
    <row r="2541" spans="1:46" x14ac:dyDescent="0.15">
      <c r="A2541" t="s">
        <v>10644</v>
      </c>
      <c r="B2541" t="s">
        <v>10310</v>
      </c>
      <c r="C2541" t="s">
        <v>10311</v>
      </c>
      <c r="D2541">
        <v>65</v>
      </c>
      <c r="E2541" t="s">
        <v>10312</v>
      </c>
      <c r="F2541" t="s">
        <v>1551</v>
      </c>
      <c r="G2541" t="s">
        <v>51</v>
      </c>
      <c r="H2541" t="s">
        <v>10313</v>
      </c>
      <c r="I2541" t="s">
        <v>53</v>
      </c>
      <c r="J2541" t="s">
        <v>2572</v>
      </c>
      <c r="K2541" t="s">
        <v>3594</v>
      </c>
      <c r="L2541" t="s">
        <v>17</v>
      </c>
      <c r="M2541" t="s">
        <v>16</v>
      </c>
      <c r="N2541">
        <v>4092</v>
      </c>
      <c r="O2541">
        <v>239</v>
      </c>
      <c r="P2541">
        <v>0</v>
      </c>
      <c r="Q2541" t="s">
        <v>10645</v>
      </c>
      <c r="R2541" t="s">
        <v>10646</v>
      </c>
      <c r="S2541" t="s">
        <v>10647</v>
      </c>
      <c r="T2541" t="s">
        <v>10648</v>
      </c>
      <c r="U2541" t="s">
        <v>60</v>
      </c>
      <c r="V2541" t="s">
        <v>61</v>
      </c>
      <c r="W2541">
        <v>10</v>
      </c>
      <c r="X2541">
        <v>0.1150625</v>
      </c>
      <c r="Y2541" t="s">
        <v>275</v>
      </c>
      <c r="Z2541" t="s">
        <v>491</v>
      </c>
      <c r="AA2541">
        <v>3</v>
      </c>
      <c r="AB2541" t="s">
        <v>10318</v>
      </c>
      <c r="AC2541" t="s">
        <v>10319</v>
      </c>
      <c r="AD2541" t="s">
        <v>10320</v>
      </c>
      <c r="AE2541" t="s">
        <v>10321</v>
      </c>
      <c r="AF2541" t="s">
        <v>10322</v>
      </c>
      <c r="AG2541" t="s">
        <v>322</v>
      </c>
      <c r="AH2541" t="s">
        <v>191</v>
      </c>
      <c r="AI2541" t="s">
        <v>322</v>
      </c>
      <c r="AJ2541" t="s">
        <v>66</v>
      </c>
      <c r="AK2541">
        <v>1</v>
      </c>
      <c r="AL2541" t="s">
        <v>10418</v>
      </c>
      <c r="AM2541" t="s">
        <v>10419</v>
      </c>
      <c r="AN2541" t="s">
        <v>10520</v>
      </c>
      <c r="AO2541" t="s">
        <v>66</v>
      </c>
      <c r="AP2541">
        <v>1</v>
      </c>
      <c r="AQ2541" t="s">
        <v>10521</v>
      </c>
      <c r="AR2541" t="s">
        <v>10522</v>
      </c>
      <c r="AS2541" t="s">
        <v>10623</v>
      </c>
      <c r="AT2541" t="s">
        <v>66</v>
      </c>
    </row>
    <row r="2542" spans="1:46" x14ac:dyDescent="0.15">
      <c r="A2542" t="s">
        <v>10649</v>
      </c>
      <c r="B2542" t="s">
        <v>10310</v>
      </c>
      <c r="C2542" t="s">
        <v>10311</v>
      </c>
      <c r="D2542">
        <v>66</v>
      </c>
      <c r="E2542" t="s">
        <v>10312</v>
      </c>
      <c r="F2542" t="s">
        <v>1551</v>
      </c>
      <c r="G2542" t="s">
        <v>51</v>
      </c>
      <c r="H2542" t="s">
        <v>10313</v>
      </c>
      <c r="I2542" t="s">
        <v>53</v>
      </c>
      <c r="J2542" t="s">
        <v>2572</v>
      </c>
      <c r="K2542" t="s">
        <v>3594</v>
      </c>
      <c r="L2542" t="s">
        <v>17</v>
      </c>
      <c r="M2542" t="s">
        <v>16</v>
      </c>
      <c r="N2542">
        <v>4148</v>
      </c>
      <c r="O2542">
        <v>242</v>
      </c>
      <c r="P2542">
        <v>0</v>
      </c>
      <c r="Q2542" t="s">
        <v>10650</v>
      </c>
      <c r="R2542" t="s">
        <v>10651</v>
      </c>
      <c r="S2542" t="s">
        <v>10652</v>
      </c>
      <c r="T2542" t="s">
        <v>10653</v>
      </c>
      <c r="U2542" t="s">
        <v>60</v>
      </c>
      <c r="V2542" t="s">
        <v>61</v>
      </c>
      <c r="W2542">
        <v>10</v>
      </c>
      <c r="X2542">
        <v>0.1150625</v>
      </c>
      <c r="Y2542" t="s">
        <v>497</v>
      </c>
      <c r="Z2542" t="s">
        <v>498</v>
      </c>
      <c r="AA2542">
        <v>3</v>
      </c>
      <c r="AB2542" t="s">
        <v>10318</v>
      </c>
      <c r="AC2542" t="s">
        <v>10319</v>
      </c>
      <c r="AD2542" t="s">
        <v>10320</v>
      </c>
      <c r="AE2542" t="s">
        <v>10321</v>
      </c>
      <c r="AF2542" t="s">
        <v>10322</v>
      </c>
      <c r="AG2542" t="s">
        <v>322</v>
      </c>
      <c r="AH2542" t="s">
        <v>191</v>
      </c>
      <c r="AI2542" t="s">
        <v>322</v>
      </c>
      <c r="AJ2542" t="s">
        <v>66</v>
      </c>
      <c r="AK2542">
        <v>1</v>
      </c>
      <c r="AL2542" t="s">
        <v>10418</v>
      </c>
      <c r="AM2542" t="s">
        <v>10419</v>
      </c>
      <c r="AN2542" t="s">
        <v>10520</v>
      </c>
      <c r="AO2542" t="s">
        <v>66</v>
      </c>
      <c r="AP2542">
        <v>1</v>
      </c>
      <c r="AQ2542" t="s">
        <v>10521</v>
      </c>
      <c r="AR2542" t="s">
        <v>10522</v>
      </c>
      <c r="AS2542" t="s">
        <v>10623</v>
      </c>
      <c r="AT2542" t="s">
        <v>66</v>
      </c>
    </row>
    <row r="2543" spans="1:46" x14ac:dyDescent="0.15">
      <c r="A2543" t="s">
        <v>10654</v>
      </c>
      <c r="B2543" t="s">
        <v>10310</v>
      </c>
      <c r="C2543" t="s">
        <v>10311</v>
      </c>
      <c r="D2543">
        <v>67</v>
      </c>
      <c r="E2543" t="s">
        <v>10312</v>
      </c>
      <c r="F2543" t="s">
        <v>1551</v>
      </c>
      <c r="G2543" t="s">
        <v>51</v>
      </c>
      <c r="H2543" t="s">
        <v>10313</v>
      </c>
      <c r="I2543" t="s">
        <v>53</v>
      </c>
      <c r="J2543" t="s">
        <v>2572</v>
      </c>
      <c r="K2543" t="s">
        <v>3594</v>
      </c>
      <c r="L2543" t="s">
        <v>17</v>
      </c>
      <c r="M2543" t="s">
        <v>16</v>
      </c>
      <c r="N2543">
        <v>4204</v>
      </c>
      <c r="O2543">
        <v>245</v>
      </c>
      <c r="P2543">
        <v>0</v>
      </c>
      <c r="Q2543" t="s">
        <v>10655</v>
      </c>
      <c r="R2543" t="s">
        <v>10656</v>
      </c>
      <c r="S2543" t="s">
        <v>10657</v>
      </c>
      <c r="T2543" t="s">
        <v>10658</v>
      </c>
      <c r="U2543" t="s">
        <v>60</v>
      </c>
      <c r="V2543" t="s">
        <v>61</v>
      </c>
      <c r="W2543">
        <v>10</v>
      </c>
      <c r="X2543">
        <v>0.1150625</v>
      </c>
      <c r="Y2543" t="s">
        <v>282</v>
      </c>
      <c r="Z2543" t="s">
        <v>504</v>
      </c>
      <c r="AA2543">
        <v>3</v>
      </c>
      <c r="AB2543" t="s">
        <v>10318</v>
      </c>
      <c r="AC2543" t="s">
        <v>10319</v>
      </c>
      <c r="AD2543" t="s">
        <v>10320</v>
      </c>
      <c r="AE2543" t="s">
        <v>10321</v>
      </c>
      <c r="AF2543" t="s">
        <v>10322</v>
      </c>
      <c r="AG2543" t="s">
        <v>322</v>
      </c>
      <c r="AH2543" t="s">
        <v>191</v>
      </c>
      <c r="AI2543" t="s">
        <v>322</v>
      </c>
      <c r="AJ2543" t="s">
        <v>66</v>
      </c>
      <c r="AK2543">
        <v>1</v>
      </c>
      <c r="AL2543" t="s">
        <v>10418</v>
      </c>
      <c r="AM2543" t="s">
        <v>10419</v>
      </c>
      <c r="AN2543" t="s">
        <v>10520</v>
      </c>
      <c r="AO2543" t="s">
        <v>66</v>
      </c>
      <c r="AP2543">
        <v>1</v>
      </c>
      <c r="AQ2543" t="s">
        <v>10521</v>
      </c>
      <c r="AR2543" t="s">
        <v>10522</v>
      </c>
      <c r="AS2543" t="s">
        <v>10623</v>
      </c>
      <c r="AT2543" t="s">
        <v>66</v>
      </c>
    </row>
    <row r="2544" spans="1:46" x14ac:dyDescent="0.15">
      <c r="A2544" t="s">
        <v>10659</v>
      </c>
      <c r="B2544" t="s">
        <v>10310</v>
      </c>
      <c r="C2544" t="s">
        <v>10311</v>
      </c>
      <c r="D2544">
        <v>68</v>
      </c>
      <c r="E2544" t="s">
        <v>10312</v>
      </c>
      <c r="F2544" t="s">
        <v>1551</v>
      </c>
      <c r="G2544" t="s">
        <v>51</v>
      </c>
      <c r="H2544" t="s">
        <v>10313</v>
      </c>
      <c r="I2544" t="s">
        <v>53</v>
      </c>
      <c r="J2544" t="s">
        <v>2572</v>
      </c>
      <c r="K2544" t="s">
        <v>3594</v>
      </c>
      <c r="L2544" t="s">
        <v>17</v>
      </c>
      <c r="M2544" t="s">
        <v>16</v>
      </c>
      <c r="N2544">
        <v>4260</v>
      </c>
      <c r="O2544">
        <v>249</v>
      </c>
      <c r="P2544">
        <v>0</v>
      </c>
      <c r="Q2544" t="s">
        <v>10660</v>
      </c>
      <c r="R2544" t="s">
        <v>10661</v>
      </c>
      <c r="S2544" t="s">
        <v>10662</v>
      </c>
      <c r="T2544" t="s">
        <v>10663</v>
      </c>
      <c r="U2544" t="s">
        <v>60</v>
      </c>
      <c r="V2544" t="s">
        <v>61</v>
      </c>
      <c r="W2544">
        <v>10</v>
      </c>
      <c r="X2544">
        <v>0.1150625</v>
      </c>
      <c r="Y2544" t="s">
        <v>510</v>
      </c>
      <c r="Z2544" t="s">
        <v>511</v>
      </c>
      <c r="AA2544">
        <v>3</v>
      </c>
      <c r="AB2544" t="s">
        <v>10318</v>
      </c>
      <c r="AC2544" t="s">
        <v>10319</v>
      </c>
      <c r="AD2544" t="s">
        <v>10320</v>
      </c>
      <c r="AE2544" t="s">
        <v>10321</v>
      </c>
      <c r="AF2544" t="s">
        <v>10322</v>
      </c>
      <c r="AG2544" t="s">
        <v>322</v>
      </c>
      <c r="AH2544" t="s">
        <v>191</v>
      </c>
      <c r="AI2544" t="s">
        <v>322</v>
      </c>
      <c r="AJ2544" t="s">
        <v>66</v>
      </c>
      <c r="AK2544">
        <v>1</v>
      </c>
      <c r="AL2544" t="s">
        <v>10418</v>
      </c>
      <c r="AM2544" t="s">
        <v>10419</v>
      </c>
      <c r="AN2544" t="s">
        <v>10520</v>
      </c>
      <c r="AO2544" t="s">
        <v>66</v>
      </c>
      <c r="AP2544">
        <v>1</v>
      </c>
      <c r="AQ2544" t="s">
        <v>10521</v>
      </c>
      <c r="AR2544" t="s">
        <v>10522</v>
      </c>
      <c r="AS2544" t="s">
        <v>10623</v>
      </c>
      <c r="AT2544" t="s">
        <v>66</v>
      </c>
    </row>
    <row r="2545" spans="1:46" x14ac:dyDescent="0.15">
      <c r="A2545" t="s">
        <v>10664</v>
      </c>
      <c r="B2545" t="s">
        <v>10310</v>
      </c>
      <c r="C2545" t="s">
        <v>10311</v>
      </c>
      <c r="D2545">
        <v>69</v>
      </c>
      <c r="E2545" t="s">
        <v>10312</v>
      </c>
      <c r="F2545" t="s">
        <v>1551</v>
      </c>
      <c r="G2545" t="s">
        <v>51</v>
      </c>
      <c r="H2545" t="s">
        <v>10313</v>
      </c>
      <c r="I2545" t="s">
        <v>53</v>
      </c>
      <c r="J2545" t="s">
        <v>2572</v>
      </c>
      <c r="K2545" t="s">
        <v>3594</v>
      </c>
      <c r="L2545" t="s">
        <v>17</v>
      </c>
      <c r="M2545" t="s">
        <v>16</v>
      </c>
      <c r="N2545">
        <v>4316</v>
      </c>
      <c r="O2545">
        <v>252</v>
      </c>
      <c r="P2545">
        <v>0</v>
      </c>
      <c r="Q2545" t="s">
        <v>10665</v>
      </c>
      <c r="R2545" t="s">
        <v>10666</v>
      </c>
      <c r="S2545" t="s">
        <v>10667</v>
      </c>
      <c r="T2545" t="s">
        <v>10668</v>
      </c>
      <c r="U2545" t="s">
        <v>60</v>
      </c>
      <c r="V2545" t="s">
        <v>61</v>
      </c>
      <c r="W2545">
        <v>10</v>
      </c>
      <c r="X2545">
        <v>0.1150625</v>
      </c>
      <c r="Y2545" t="s">
        <v>288</v>
      </c>
      <c r="Z2545" t="s">
        <v>517</v>
      </c>
      <c r="AA2545">
        <v>3</v>
      </c>
      <c r="AB2545" t="s">
        <v>10318</v>
      </c>
      <c r="AC2545" t="s">
        <v>10319</v>
      </c>
      <c r="AD2545" t="s">
        <v>10320</v>
      </c>
      <c r="AE2545" t="s">
        <v>10321</v>
      </c>
      <c r="AF2545" t="s">
        <v>10322</v>
      </c>
      <c r="AG2545" t="s">
        <v>322</v>
      </c>
      <c r="AH2545" t="s">
        <v>191</v>
      </c>
      <c r="AI2545" t="s">
        <v>322</v>
      </c>
      <c r="AJ2545" t="s">
        <v>66</v>
      </c>
      <c r="AK2545">
        <v>1</v>
      </c>
      <c r="AL2545" t="s">
        <v>10418</v>
      </c>
      <c r="AM2545" t="s">
        <v>10419</v>
      </c>
      <c r="AN2545" t="s">
        <v>10520</v>
      </c>
      <c r="AO2545" t="s">
        <v>66</v>
      </c>
      <c r="AP2545">
        <v>1</v>
      </c>
      <c r="AQ2545" t="s">
        <v>10521</v>
      </c>
      <c r="AR2545" t="s">
        <v>10522</v>
      </c>
      <c r="AS2545" t="s">
        <v>10623</v>
      </c>
      <c r="AT2545" t="s">
        <v>66</v>
      </c>
    </row>
    <row r="2546" spans="1:46" x14ac:dyDescent="0.15">
      <c r="A2546" t="s">
        <v>10669</v>
      </c>
      <c r="B2546" t="s">
        <v>10310</v>
      </c>
      <c r="C2546" t="s">
        <v>10311</v>
      </c>
      <c r="D2546">
        <v>70</v>
      </c>
      <c r="E2546" t="s">
        <v>10312</v>
      </c>
      <c r="F2546" t="s">
        <v>1551</v>
      </c>
      <c r="G2546" t="s">
        <v>51</v>
      </c>
      <c r="H2546" t="s">
        <v>10313</v>
      </c>
      <c r="I2546" t="s">
        <v>53</v>
      </c>
      <c r="J2546" t="s">
        <v>2572</v>
      </c>
      <c r="K2546" t="s">
        <v>3594</v>
      </c>
      <c r="L2546" t="s">
        <v>17</v>
      </c>
      <c r="M2546" t="s">
        <v>16</v>
      </c>
      <c r="N2546">
        <v>4372</v>
      </c>
      <c r="O2546">
        <v>255</v>
      </c>
      <c r="P2546">
        <v>0</v>
      </c>
      <c r="Q2546" t="s">
        <v>10670</v>
      </c>
      <c r="R2546" t="s">
        <v>10671</v>
      </c>
      <c r="S2546" t="s">
        <v>10672</v>
      </c>
      <c r="T2546" t="s">
        <v>10673</v>
      </c>
      <c r="U2546" t="s">
        <v>60</v>
      </c>
      <c r="V2546" t="s">
        <v>61</v>
      </c>
      <c r="W2546">
        <v>10</v>
      </c>
      <c r="X2546">
        <v>0.1150625</v>
      </c>
      <c r="Y2546" t="s">
        <v>523</v>
      </c>
      <c r="Z2546" t="s">
        <v>524</v>
      </c>
      <c r="AA2546">
        <v>3</v>
      </c>
      <c r="AB2546" t="s">
        <v>10318</v>
      </c>
      <c r="AC2546" t="s">
        <v>10319</v>
      </c>
      <c r="AD2546" t="s">
        <v>10320</v>
      </c>
      <c r="AE2546" t="s">
        <v>10321</v>
      </c>
      <c r="AF2546" t="s">
        <v>10322</v>
      </c>
      <c r="AG2546" t="s">
        <v>322</v>
      </c>
      <c r="AH2546" t="s">
        <v>191</v>
      </c>
      <c r="AI2546" t="s">
        <v>322</v>
      </c>
      <c r="AJ2546" t="s">
        <v>66</v>
      </c>
      <c r="AK2546">
        <v>1</v>
      </c>
      <c r="AL2546" t="s">
        <v>10418</v>
      </c>
      <c r="AM2546" t="s">
        <v>10419</v>
      </c>
      <c r="AN2546" t="s">
        <v>10520</v>
      </c>
      <c r="AO2546" t="s">
        <v>66</v>
      </c>
      <c r="AP2546">
        <v>1</v>
      </c>
      <c r="AQ2546" t="s">
        <v>10521</v>
      </c>
      <c r="AR2546" t="s">
        <v>10522</v>
      </c>
      <c r="AS2546" t="s">
        <v>10623</v>
      </c>
      <c r="AT2546" t="s">
        <v>66</v>
      </c>
    </row>
    <row r="2547" spans="1:46" x14ac:dyDescent="0.15">
      <c r="A2547" t="s">
        <v>10674</v>
      </c>
      <c r="B2547" t="s">
        <v>10310</v>
      </c>
      <c r="C2547" t="s">
        <v>10311</v>
      </c>
      <c r="D2547">
        <v>71</v>
      </c>
      <c r="E2547" t="s">
        <v>10312</v>
      </c>
      <c r="F2547" t="s">
        <v>1551</v>
      </c>
      <c r="G2547" t="s">
        <v>51</v>
      </c>
      <c r="H2547" t="s">
        <v>10313</v>
      </c>
      <c r="I2547" t="s">
        <v>53</v>
      </c>
      <c r="J2547" t="s">
        <v>2572</v>
      </c>
      <c r="K2547" t="s">
        <v>3594</v>
      </c>
      <c r="L2547" t="s">
        <v>17</v>
      </c>
      <c r="M2547" t="s">
        <v>16</v>
      </c>
      <c r="N2547">
        <v>4429</v>
      </c>
      <c r="O2547">
        <v>259</v>
      </c>
      <c r="P2547">
        <v>0</v>
      </c>
      <c r="Q2547" t="s">
        <v>10675</v>
      </c>
      <c r="R2547" t="s">
        <v>10676</v>
      </c>
      <c r="S2547" t="s">
        <v>10677</v>
      </c>
      <c r="T2547" t="s">
        <v>10678</v>
      </c>
      <c r="U2547" t="s">
        <v>60</v>
      </c>
      <c r="V2547" t="s">
        <v>61</v>
      </c>
      <c r="W2547">
        <v>10</v>
      </c>
      <c r="X2547">
        <v>0.1150625</v>
      </c>
      <c r="Y2547" t="s">
        <v>295</v>
      </c>
      <c r="Z2547" t="s">
        <v>530</v>
      </c>
      <c r="AA2547">
        <v>3</v>
      </c>
      <c r="AB2547" t="s">
        <v>10318</v>
      </c>
      <c r="AC2547" t="s">
        <v>10319</v>
      </c>
      <c r="AD2547" t="s">
        <v>10320</v>
      </c>
      <c r="AE2547" t="s">
        <v>10321</v>
      </c>
      <c r="AF2547" t="s">
        <v>10322</v>
      </c>
      <c r="AG2547" t="s">
        <v>322</v>
      </c>
      <c r="AH2547" t="s">
        <v>191</v>
      </c>
      <c r="AI2547" t="s">
        <v>322</v>
      </c>
      <c r="AJ2547" t="s">
        <v>66</v>
      </c>
      <c r="AK2547">
        <v>1</v>
      </c>
      <c r="AL2547" t="s">
        <v>10418</v>
      </c>
      <c r="AM2547" t="s">
        <v>10419</v>
      </c>
      <c r="AN2547" t="s">
        <v>10520</v>
      </c>
      <c r="AO2547" t="s">
        <v>66</v>
      </c>
      <c r="AP2547">
        <v>1</v>
      </c>
      <c r="AQ2547" t="s">
        <v>10521</v>
      </c>
      <c r="AR2547" t="s">
        <v>10522</v>
      </c>
      <c r="AS2547" t="s">
        <v>10623</v>
      </c>
      <c r="AT2547" t="s">
        <v>66</v>
      </c>
    </row>
    <row r="2548" spans="1:46" x14ac:dyDescent="0.15">
      <c r="A2548" t="s">
        <v>10679</v>
      </c>
      <c r="B2548" t="s">
        <v>10310</v>
      </c>
      <c r="C2548" t="s">
        <v>10311</v>
      </c>
      <c r="D2548">
        <v>72</v>
      </c>
      <c r="E2548" t="s">
        <v>10312</v>
      </c>
      <c r="F2548" t="s">
        <v>1551</v>
      </c>
      <c r="G2548" t="s">
        <v>51</v>
      </c>
      <c r="H2548" t="s">
        <v>10313</v>
      </c>
      <c r="I2548" t="s">
        <v>53</v>
      </c>
      <c r="J2548" t="s">
        <v>2572</v>
      </c>
      <c r="K2548" t="s">
        <v>3594</v>
      </c>
      <c r="L2548" t="s">
        <v>17</v>
      </c>
      <c r="M2548" t="s">
        <v>16</v>
      </c>
      <c r="N2548">
        <v>4485</v>
      </c>
      <c r="O2548">
        <v>262</v>
      </c>
      <c r="P2548">
        <v>0</v>
      </c>
      <c r="Q2548" t="s">
        <v>10680</v>
      </c>
      <c r="R2548" t="s">
        <v>10681</v>
      </c>
      <c r="S2548" t="s">
        <v>10682</v>
      </c>
      <c r="T2548" t="s">
        <v>10683</v>
      </c>
      <c r="U2548" t="s">
        <v>60</v>
      </c>
      <c r="V2548" t="s">
        <v>61</v>
      </c>
      <c r="W2548">
        <v>10</v>
      </c>
      <c r="X2548">
        <v>0.1150625</v>
      </c>
      <c r="Y2548" t="s">
        <v>536</v>
      </c>
      <c r="Z2548" t="s">
        <v>537</v>
      </c>
      <c r="AA2548">
        <v>3</v>
      </c>
      <c r="AB2548" t="s">
        <v>10318</v>
      </c>
      <c r="AC2548" t="s">
        <v>10319</v>
      </c>
      <c r="AD2548" t="s">
        <v>10320</v>
      </c>
      <c r="AE2548" t="s">
        <v>10321</v>
      </c>
      <c r="AF2548" t="s">
        <v>10322</v>
      </c>
      <c r="AG2548" t="s">
        <v>322</v>
      </c>
      <c r="AH2548" t="s">
        <v>191</v>
      </c>
      <c r="AI2548" t="s">
        <v>322</v>
      </c>
      <c r="AJ2548" t="s">
        <v>66</v>
      </c>
      <c r="AK2548">
        <v>1</v>
      </c>
      <c r="AL2548" t="s">
        <v>10418</v>
      </c>
      <c r="AM2548" t="s">
        <v>10419</v>
      </c>
      <c r="AN2548" t="s">
        <v>10520</v>
      </c>
      <c r="AO2548" t="s">
        <v>66</v>
      </c>
      <c r="AP2548">
        <v>1</v>
      </c>
      <c r="AQ2548" t="s">
        <v>10521</v>
      </c>
      <c r="AR2548" t="s">
        <v>10522</v>
      </c>
      <c r="AS2548" t="s">
        <v>10623</v>
      </c>
      <c r="AT2548" t="s">
        <v>66</v>
      </c>
    </row>
    <row r="2549" spans="1:46" x14ac:dyDescent="0.15">
      <c r="A2549" t="s">
        <v>10684</v>
      </c>
      <c r="B2549" t="s">
        <v>10310</v>
      </c>
      <c r="C2549" t="s">
        <v>10311</v>
      </c>
      <c r="D2549">
        <v>73</v>
      </c>
      <c r="E2549" t="s">
        <v>10312</v>
      </c>
      <c r="F2549" t="s">
        <v>1551</v>
      </c>
      <c r="G2549" t="s">
        <v>51</v>
      </c>
      <c r="H2549" t="s">
        <v>10313</v>
      </c>
      <c r="I2549" t="s">
        <v>53</v>
      </c>
      <c r="J2549" t="s">
        <v>2572</v>
      </c>
      <c r="K2549" t="s">
        <v>3594</v>
      </c>
      <c r="L2549" t="s">
        <v>17</v>
      </c>
      <c r="M2549" t="s">
        <v>16</v>
      </c>
      <c r="N2549">
        <v>4541</v>
      </c>
      <c r="O2549">
        <v>265</v>
      </c>
      <c r="P2549">
        <v>0</v>
      </c>
      <c r="Q2549" t="s">
        <v>10685</v>
      </c>
      <c r="R2549" t="s">
        <v>10686</v>
      </c>
      <c r="S2549" t="s">
        <v>10687</v>
      </c>
      <c r="T2549" t="s">
        <v>10688</v>
      </c>
      <c r="U2549" t="s">
        <v>60</v>
      </c>
      <c r="V2549" t="s">
        <v>61</v>
      </c>
      <c r="W2549">
        <v>10</v>
      </c>
      <c r="X2549">
        <v>0.1150625</v>
      </c>
      <c r="Y2549" t="s">
        <v>301</v>
      </c>
      <c r="Z2549" t="s">
        <v>543</v>
      </c>
      <c r="AA2549">
        <v>3</v>
      </c>
      <c r="AB2549" t="s">
        <v>10318</v>
      </c>
      <c r="AC2549" t="s">
        <v>10319</v>
      </c>
      <c r="AD2549" t="s">
        <v>10320</v>
      </c>
      <c r="AE2549" t="s">
        <v>10321</v>
      </c>
      <c r="AF2549" t="s">
        <v>10322</v>
      </c>
      <c r="AG2549" t="s">
        <v>322</v>
      </c>
      <c r="AH2549" t="s">
        <v>191</v>
      </c>
      <c r="AI2549" t="s">
        <v>322</v>
      </c>
      <c r="AJ2549" t="s">
        <v>66</v>
      </c>
      <c r="AK2549">
        <v>1</v>
      </c>
      <c r="AL2549" t="s">
        <v>10418</v>
      </c>
      <c r="AM2549" t="s">
        <v>10419</v>
      </c>
      <c r="AN2549" t="s">
        <v>10520</v>
      </c>
      <c r="AO2549" t="s">
        <v>66</v>
      </c>
      <c r="AP2549">
        <v>1</v>
      </c>
      <c r="AQ2549" t="s">
        <v>10521</v>
      </c>
      <c r="AR2549" t="s">
        <v>10522</v>
      </c>
      <c r="AS2549" t="s">
        <v>10623</v>
      </c>
      <c r="AT2549" t="s">
        <v>66</v>
      </c>
    </row>
    <row r="2550" spans="1:46" x14ac:dyDescent="0.15">
      <c r="A2550" t="s">
        <v>10689</v>
      </c>
      <c r="B2550" t="s">
        <v>10310</v>
      </c>
      <c r="C2550" t="s">
        <v>10311</v>
      </c>
      <c r="D2550">
        <v>74</v>
      </c>
      <c r="E2550" t="s">
        <v>10312</v>
      </c>
      <c r="F2550" t="s">
        <v>1551</v>
      </c>
      <c r="G2550" t="s">
        <v>51</v>
      </c>
      <c r="H2550" t="s">
        <v>10313</v>
      </c>
      <c r="I2550" t="s">
        <v>53</v>
      </c>
      <c r="J2550" t="s">
        <v>2572</v>
      </c>
      <c r="K2550" t="s">
        <v>3594</v>
      </c>
      <c r="L2550" t="s">
        <v>17</v>
      </c>
      <c r="M2550" t="s">
        <v>16</v>
      </c>
      <c r="N2550">
        <v>4597</v>
      </c>
      <c r="O2550">
        <v>268</v>
      </c>
      <c r="P2550">
        <v>0</v>
      </c>
      <c r="Q2550" t="s">
        <v>10690</v>
      </c>
      <c r="R2550" t="s">
        <v>10691</v>
      </c>
      <c r="S2550" t="s">
        <v>10692</v>
      </c>
      <c r="T2550" t="s">
        <v>10693</v>
      </c>
      <c r="U2550" t="s">
        <v>60</v>
      </c>
      <c r="V2550" t="s">
        <v>61</v>
      </c>
      <c r="W2550">
        <v>10</v>
      </c>
      <c r="X2550">
        <v>0.1150625</v>
      </c>
      <c r="Y2550" t="s">
        <v>549</v>
      </c>
      <c r="Z2550" t="s">
        <v>550</v>
      </c>
      <c r="AA2550">
        <v>3</v>
      </c>
      <c r="AB2550" t="s">
        <v>10318</v>
      </c>
      <c r="AC2550" t="s">
        <v>10319</v>
      </c>
      <c r="AD2550" t="s">
        <v>10320</v>
      </c>
      <c r="AE2550" t="s">
        <v>10321</v>
      </c>
      <c r="AF2550" t="s">
        <v>10322</v>
      </c>
      <c r="AG2550" t="s">
        <v>322</v>
      </c>
      <c r="AH2550" t="s">
        <v>191</v>
      </c>
      <c r="AI2550" t="s">
        <v>322</v>
      </c>
      <c r="AJ2550" t="s">
        <v>66</v>
      </c>
      <c r="AK2550">
        <v>1</v>
      </c>
      <c r="AL2550" t="s">
        <v>10418</v>
      </c>
      <c r="AM2550" t="s">
        <v>10419</v>
      </c>
      <c r="AN2550" t="s">
        <v>10520</v>
      </c>
      <c r="AO2550" t="s">
        <v>66</v>
      </c>
      <c r="AP2550">
        <v>1</v>
      </c>
      <c r="AQ2550" t="s">
        <v>10521</v>
      </c>
      <c r="AR2550" t="s">
        <v>10522</v>
      </c>
      <c r="AS2550" t="s">
        <v>10623</v>
      </c>
      <c r="AT2550" t="s">
        <v>66</v>
      </c>
    </row>
    <row r="2551" spans="1:46" x14ac:dyDescent="0.15">
      <c r="A2551" t="s">
        <v>10694</v>
      </c>
      <c r="B2551" t="s">
        <v>10310</v>
      </c>
      <c r="C2551" t="s">
        <v>10311</v>
      </c>
      <c r="D2551">
        <v>75</v>
      </c>
      <c r="E2551" t="s">
        <v>10312</v>
      </c>
      <c r="F2551" t="s">
        <v>1551</v>
      </c>
      <c r="G2551" t="s">
        <v>51</v>
      </c>
      <c r="H2551" t="s">
        <v>10313</v>
      </c>
      <c r="I2551" t="s">
        <v>53</v>
      </c>
      <c r="J2551" t="s">
        <v>2572</v>
      </c>
      <c r="K2551" t="s">
        <v>3594</v>
      </c>
      <c r="L2551" t="s">
        <v>17</v>
      </c>
      <c r="M2551" t="s">
        <v>16</v>
      </c>
      <c r="N2551">
        <v>4653</v>
      </c>
      <c r="O2551">
        <v>272</v>
      </c>
      <c r="P2551">
        <v>0</v>
      </c>
      <c r="Q2551" t="s">
        <v>10695</v>
      </c>
      <c r="R2551" t="s">
        <v>10696</v>
      </c>
      <c r="S2551" t="s">
        <v>10697</v>
      </c>
      <c r="T2551" t="s">
        <v>10698</v>
      </c>
      <c r="U2551" t="s">
        <v>60</v>
      </c>
      <c r="V2551" t="s">
        <v>61</v>
      </c>
      <c r="W2551">
        <v>10</v>
      </c>
      <c r="X2551">
        <v>0.1150625</v>
      </c>
      <c r="Y2551" t="s">
        <v>308</v>
      </c>
      <c r="Z2551" t="s">
        <v>556</v>
      </c>
      <c r="AA2551">
        <v>3</v>
      </c>
      <c r="AB2551" t="s">
        <v>10318</v>
      </c>
      <c r="AC2551" t="s">
        <v>10319</v>
      </c>
      <c r="AD2551" t="s">
        <v>10320</v>
      </c>
      <c r="AE2551" t="s">
        <v>10321</v>
      </c>
      <c r="AF2551" t="s">
        <v>10322</v>
      </c>
      <c r="AG2551" t="s">
        <v>322</v>
      </c>
      <c r="AH2551" t="s">
        <v>191</v>
      </c>
      <c r="AI2551" t="s">
        <v>322</v>
      </c>
      <c r="AJ2551" t="s">
        <v>66</v>
      </c>
      <c r="AK2551">
        <v>1</v>
      </c>
      <c r="AL2551" t="s">
        <v>10418</v>
      </c>
      <c r="AM2551" t="s">
        <v>10419</v>
      </c>
      <c r="AN2551" t="s">
        <v>10520</v>
      </c>
      <c r="AO2551" t="s">
        <v>66</v>
      </c>
      <c r="AP2551">
        <v>1</v>
      </c>
      <c r="AQ2551" t="s">
        <v>10521</v>
      </c>
      <c r="AR2551" t="s">
        <v>10522</v>
      </c>
      <c r="AS2551" t="s">
        <v>10623</v>
      </c>
      <c r="AT2551" t="s">
        <v>66</v>
      </c>
    </row>
    <row r="2552" spans="1:46" x14ac:dyDescent="0.15">
      <c r="A2552" t="s">
        <v>10699</v>
      </c>
      <c r="B2552" t="s">
        <v>10310</v>
      </c>
      <c r="C2552" t="s">
        <v>10311</v>
      </c>
      <c r="D2552">
        <v>76</v>
      </c>
      <c r="E2552" t="s">
        <v>10312</v>
      </c>
      <c r="F2552" t="s">
        <v>1551</v>
      </c>
      <c r="G2552" t="s">
        <v>51</v>
      </c>
      <c r="H2552" t="s">
        <v>10313</v>
      </c>
      <c r="I2552" t="s">
        <v>53</v>
      </c>
      <c r="J2552" t="s">
        <v>2572</v>
      </c>
      <c r="K2552" t="s">
        <v>3594</v>
      </c>
      <c r="L2552" t="s">
        <v>17</v>
      </c>
      <c r="M2552" t="s">
        <v>16</v>
      </c>
      <c r="N2552">
        <v>4709</v>
      </c>
      <c r="O2552">
        <v>275</v>
      </c>
      <c r="P2552">
        <v>0</v>
      </c>
      <c r="Q2552" t="s">
        <v>10700</v>
      </c>
      <c r="R2552" t="s">
        <v>10701</v>
      </c>
      <c r="S2552" t="s">
        <v>10702</v>
      </c>
      <c r="T2552" t="s">
        <v>10703</v>
      </c>
      <c r="U2552" t="s">
        <v>60</v>
      </c>
      <c r="V2552" t="s">
        <v>61</v>
      </c>
      <c r="W2552">
        <v>10</v>
      </c>
      <c r="X2552">
        <v>0.1150625</v>
      </c>
      <c r="Y2552" t="s">
        <v>562</v>
      </c>
      <c r="Z2552" t="s">
        <v>563</v>
      </c>
      <c r="AA2552">
        <v>3</v>
      </c>
      <c r="AB2552" t="s">
        <v>10318</v>
      </c>
      <c r="AC2552" t="s">
        <v>10319</v>
      </c>
      <c r="AD2552" t="s">
        <v>10320</v>
      </c>
      <c r="AE2552" t="s">
        <v>10321</v>
      </c>
      <c r="AF2552" t="s">
        <v>10322</v>
      </c>
      <c r="AG2552" t="s">
        <v>322</v>
      </c>
      <c r="AH2552" t="s">
        <v>191</v>
      </c>
      <c r="AI2552" t="s">
        <v>322</v>
      </c>
      <c r="AJ2552" t="s">
        <v>66</v>
      </c>
      <c r="AK2552">
        <v>1</v>
      </c>
      <c r="AL2552" t="s">
        <v>10418</v>
      </c>
      <c r="AM2552" t="s">
        <v>10419</v>
      </c>
      <c r="AN2552" t="s">
        <v>10520</v>
      </c>
      <c r="AO2552" t="s">
        <v>66</v>
      </c>
      <c r="AP2552">
        <v>1</v>
      </c>
      <c r="AQ2552" t="s">
        <v>10521</v>
      </c>
      <c r="AR2552" t="s">
        <v>10522</v>
      </c>
      <c r="AS2552" t="s">
        <v>10623</v>
      </c>
      <c r="AT2552" t="s">
        <v>66</v>
      </c>
    </row>
    <row r="2553" spans="1:46" x14ac:dyDescent="0.15">
      <c r="A2553" t="s">
        <v>10704</v>
      </c>
      <c r="B2553" t="s">
        <v>10310</v>
      </c>
      <c r="C2553" t="s">
        <v>10311</v>
      </c>
      <c r="D2553">
        <v>77</v>
      </c>
      <c r="E2553" t="s">
        <v>10312</v>
      </c>
      <c r="F2553" t="s">
        <v>1551</v>
      </c>
      <c r="G2553" t="s">
        <v>51</v>
      </c>
      <c r="H2553" t="s">
        <v>10313</v>
      </c>
      <c r="I2553" t="s">
        <v>53</v>
      </c>
      <c r="J2553" t="s">
        <v>2572</v>
      </c>
      <c r="K2553" t="s">
        <v>3594</v>
      </c>
      <c r="L2553" t="s">
        <v>17</v>
      </c>
      <c r="M2553" t="s">
        <v>16</v>
      </c>
      <c r="N2553">
        <v>4765</v>
      </c>
      <c r="O2553">
        <v>278</v>
      </c>
      <c r="P2553">
        <v>0</v>
      </c>
      <c r="Q2553" t="s">
        <v>10705</v>
      </c>
      <c r="R2553" t="s">
        <v>10706</v>
      </c>
      <c r="S2553" t="s">
        <v>10707</v>
      </c>
      <c r="T2553" t="s">
        <v>10708</v>
      </c>
      <c r="U2553" t="s">
        <v>60</v>
      </c>
      <c r="V2553" t="s">
        <v>61</v>
      </c>
      <c r="W2553">
        <v>10</v>
      </c>
      <c r="X2553">
        <v>0.1150625</v>
      </c>
      <c r="Y2553" t="s">
        <v>314</v>
      </c>
      <c r="Z2553" t="s">
        <v>569</v>
      </c>
      <c r="AA2553">
        <v>3</v>
      </c>
      <c r="AB2553" t="s">
        <v>10318</v>
      </c>
      <c r="AC2553" t="s">
        <v>10319</v>
      </c>
      <c r="AD2553" t="s">
        <v>10320</v>
      </c>
      <c r="AE2553" t="s">
        <v>10321</v>
      </c>
      <c r="AF2553" t="s">
        <v>10322</v>
      </c>
      <c r="AG2553" t="s">
        <v>322</v>
      </c>
      <c r="AH2553" t="s">
        <v>191</v>
      </c>
      <c r="AI2553" t="s">
        <v>322</v>
      </c>
      <c r="AJ2553" t="s">
        <v>66</v>
      </c>
      <c r="AK2553">
        <v>1</v>
      </c>
      <c r="AL2553" t="s">
        <v>10418</v>
      </c>
      <c r="AM2553" t="s">
        <v>10419</v>
      </c>
      <c r="AN2553" t="s">
        <v>10520</v>
      </c>
      <c r="AO2553" t="s">
        <v>66</v>
      </c>
      <c r="AP2553">
        <v>1</v>
      </c>
      <c r="AQ2553" t="s">
        <v>10521</v>
      </c>
      <c r="AR2553" t="s">
        <v>10522</v>
      </c>
      <c r="AS2553" t="s">
        <v>10623</v>
      </c>
      <c r="AT2553" t="s">
        <v>66</v>
      </c>
    </row>
    <row r="2554" spans="1:46" x14ac:dyDescent="0.15">
      <c r="A2554" t="s">
        <v>10709</v>
      </c>
      <c r="B2554" t="s">
        <v>10310</v>
      </c>
      <c r="C2554" t="s">
        <v>10311</v>
      </c>
      <c r="D2554">
        <v>78</v>
      </c>
      <c r="E2554" t="s">
        <v>10312</v>
      </c>
      <c r="F2554" t="s">
        <v>1551</v>
      </c>
      <c r="G2554" t="s">
        <v>51</v>
      </c>
      <c r="H2554" t="s">
        <v>10313</v>
      </c>
      <c r="I2554" t="s">
        <v>53</v>
      </c>
      <c r="J2554" t="s">
        <v>2572</v>
      </c>
      <c r="K2554" t="s">
        <v>3594</v>
      </c>
      <c r="L2554" t="s">
        <v>17</v>
      </c>
      <c r="M2554" t="s">
        <v>16</v>
      </c>
      <c r="N2554">
        <v>4821</v>
      </c>
      <c r="O2554">
        <v>281</v>
      </c>
      <c r="P2554">
        <v>0</v>
      </c>
      <c r="Q2554" t="s">
        <v>10710</v>
      </c>
      <c r="R2554" t="s">
        <v>10711</v>
      </c>
      <c r="S2554" t="s">
        <v>10712</v>
      </c>
      <c r="T2554" t="s">
        <v>10713</v>
      </c>
      <c r="U2554" t="s">
        <v>60</v>
      </c>
      <c r="V2554" t="s">
        <v>61</v>
      </c>
      <c r="W2554">
        <v>10</v>
      </c>
      <c r="X2554">
        <v>0.1150625</v>
      </c>
      <c r="Y2554" t="s">
        <v>575</v>
      </c>
      <c r="Z2554" t="s">
        <v>576</v>
      </c>
      <c r="AA2554">
        <v>3</v>
      </c>
      <c r="AB2554" t="s">
        <v>10318</v>
      </c>
      <c r="AC2554" t="s">
        <v>10319</v>
      </c>
      <c r="AD2554" t="s">
        <v>10320</v>
      </c>
      <c r="AE2554" t="s">
        <v>10321</v>
      </c>
      <c r="AF2554" t="s">
        <v>10322</v>
      </c>
      <c r="AG2554" t="s">
        <v>322</v>
      </c>
      <c r="AH2554" t="s">
        <v>191</v>
      </c>
      <c r="AI2554" t="s">
        <v>322</v>
      </c>
      <c r="AJ2554" t="s">
        <v>66</v>
      </c>
      <c r="AK2554">
        <v>1</v>
      </c>
      <c r="AL2554" t="s">
        <v>10418</v>
      </c>
      <c r="AM2554" t="s">
        <v>10419</v>
      </c>
      <c r="AN2554" t="s">
        <v>10520</v>
      </c>
      <c r="AO2554" t="s">
        <v>66</v>
      </c>
      <c r="AP2554">
        <v>1</v>
      </c>
      <c r="AQ2554" t="s">
        <v>10521</v>
      </c>
      <c r="AR2554" t="s">
        <v>10522</v>
      </c>
      <c r="AS2554" t="s">
        <v>10623</v>
      </c>
      <c r="AT2554" t="s">
        <v>66</v>
      </c>
    </row>
    <row r="2555" spans="1:46" x14ac:dyDescent="0.15">
      <c r="A2555" t="s">
        <v>10714</v>
      </c>
      <c r="B2555" t="s">
        <v>10310</v>
      </c>
      <c r="C2555" t="s">
        <v>10311</v>
      </c>
      <c r="D2555">
        <v>79</v>
      </c>
      <c r="E2555" t="s">
        <v>10312</v>
      </c>
      <c r="F2555" t="s">
        <v>1551</v>
      </c>
      <c r="G2555" t="s">
        <v>51</v>
      </c>
      <c r="H2555" t="s">
        <v>10313</v>
      </c>
      <c r="I2555" t="s">
        <v>53</v>
      </c>
      <c r="J2555" t="s">
        <v>2572</v>
      </c>
      <c r="K2555" t="s">
        <v>3594</v>
      </c>
      <c r="L2555" t="s">
        <v>17</v>
      </c>
      <c r="M2555" t="s">
        <v>16</v>
      </c>
      <c r="N2555">
        <v>4878</v>
      </c>
      <c r="O2555">
        <v>285</v>
      </c>
      <c r="P2555">
        <v>0</v>
      </c>
      <c r="Q2555" t="s">
        <v>10715</v>
      </c>
      <c r="R2555" t="s">
        <v>10716</v>
      </c>
      <c r="S2555" t="s">
        <v>10717</v>
      </c>
      <c r="T2555" t="s">
        <v>10718</v>
      </c>
      <c r="U2555" t="s">
        <v>60</v>
      </c>
      <c r="V2555" t="s">
        <v>61</v>
      </c>
      <c r="W2555">
        <v>10</v>
      </c>
      <c r="X2555">
        <v>0.1150625</v>
      </c>
      <c r="Y2555" t="s">
        <v>321</v>
      </c>
      <c r="Z2555" t="s">
        <v>582</v>
      </c>
      <c r="AA2555">
        <v>3</v>
      </c>
      <c r="AB2555" t="s">
        <v>10318</v>
      </c>
      <c r="AC2555" t="s">
        <v>10319</v>
      </c>
      <c r="AD2555" t="s">
        <v>10320</v>
      </c>
      <c r="AE2555" t="s">
        <v>10321</v>
      </c>
      <c r="AF2555" t="s">
        <v>10322</v>
      </c>
      <c r="AG2555" t="s">
        <v>322</v>
      </c>
      <c r="AH2555" t="s">
        <v>191</v>
      </c>
      <c r="AI2555" t="s">
        <v>322</v>
      </c>
      <c r="AJ2555" t="s">
        <v>66</v>
      </c>
      <c r="AK2555">
        <v>1</v>
      </c>
      <c r="AL2555" t="s">
        <v>10418</v>
      </c>
      <c r="AM2555" t="s">
        <v>10419</v>
      </c>
      <c r="AN2555" t="s">
        <v>10520</v>
      </c>
      <c r="AO2555" t="s">
        <v>66</v>
      </c>
      <c r="AP2555">
        <v>1</v>
      </c>
      <c r="AQ2555" t="s">
        <v>10521</v>
      </c>
      <c r="AR2555" t="s">
        <v>10522</v>
      </c>
      <c r="AS2555" t="s">
        <v>10623</v>
      </c>
      <c r="AT2555" t="s">
        <v>66</v>
      </c>
    </row>
    <row r="2556" spans="1:46" x14ac:dyDescent="0.15">
      <c r="A2556" t="s">
        <v>10719</v>
      </c>
      <c r="B2556" t="s">
        <v>10310</v>
      </c>
      <c r="C2556" t="s">
        <v>10311</v>
      </c>
      <c r="D2556">
        <v>80</v>
      </c>
      <c r="E2556" t="s">
        <v>10312</v>
      </c>
      <c r="F2556" t="s">
        <v>1551</v>
      </c>
      <c r="G2556" t="s">
        <v>51</v>
      </c>
      <c r="H2556" t="s">
        <v>10313</v>
      </c>
      <c r="I2556" t="s">
        <v>53</v>
      </c>
      <c r="J2556" t="s">
        <v>2572</v>
      </c>
      <c r="K2556" t="s">
        <v>3594</v>
      </c>
      <c r="L2556" t="s">
        <v>17</v>
      </c>
      <c r="M2556" t="s">
        <v>16</v>
      </c>
      <c r="N2556">
        <v>4934</v>
      </c>
      <c r="O2556">
        <v>288</v>
      </c>
      <c r="P2556">
        <v>0</v>
      </c>
      <c r="Q2556" t="s">
        <v>10720</v>
      </c>
      <c r="R2556" t="s">
        <v>10721</v>
      </c>
      <c r="S2556" t="s">
        <v>10722</v>
      </c>
      <c r="T2556" t="s">
        <v>10723</v>
      </c>
      <c r="U2556" t="s">
        <v>60</v>
      </c>
      <c r="V2556" t="s">
        <v>61</v>
      </c>
      <c r="W2556">
        <v>10</v>
      </c>
      <c r="X2556">
        <v>0.1150625</v>
      </c>
      <c r="Y2556" t="s">
        <v>588</v>
      </c>
      <c r="Z2556" t="s">
        <v>589</v>
      </c>
      <c r="AA2556">
        <v>3</v>
      </c>
      <c r="AB2556" t="s">
        <v>10318</v>
      </c>
      <c r="AC2556" t="s">
        <v>10319</v>
      </c>
      <c r="AD2556" t="s">
        <v>10320</v>
      </c>
      <c r="AE2556" t="s">
        <v>10321</v>
      </c>
      <c r="AF2556" t="s">
        <v>10322</v>
      </c>
      <c r="AG2556" t="s">
        <v>322</v>
      </c>
      <c r="AH2556" t="s">
        <v>191</v>
      </c>
      <c r="AI2556" t="s">
        <v>322</v>
      </c>
      <c r="AJ2556" t="s">
        <v>66</v>
      </c>
      <c r="AK2556">
        <v>1</v>
      </c>
      <c r="AL2556" t="s">
        <v>10418</v>
      </c>
      <c r="AM2556" t="s">
        <v>10419</v>
      </c>
      <c r="AN2556" t="s">
        <v>10520</v>
      </c>
      <c r="AO2556" t="s">
        <v>66</v>
      </c>
      <c r="AP2556">
        <v>1</v>
      </c>
      <c r="AQ2556" t="s">
        <v>10521</v>
      </c>
      <c r="AR2556" t="s">
        <v>10522</v>
      </c>
      <c r="AS2556" t="s">
        <v>10623</v>
      </c>
      <c r="AT2556" t="s">
        <v>66</v>
      </c>
    </row>
    <row r="2557" spans="1:46" x14ac:dyDescent="0.15">
      <c r="A2557" t="s">
        <v>10719</v>
      </c>
      <c r="B2557" t="s">
        <v>10310</v>
      </c>
      <c r="C2557" t="s">
        <v>10311</v>
      </c>
      <c r="D2557">
        <v>80</v>
      </c>
      <c r="E2557" t="s">
        <v>10312</v>
      </c>
      <c r="F2557" t="s">
        <v>1551</v>
      </c>
      <c r="G2557" t="s">
        <v>51</v>
      </c>
      <c r="H2557" t="s">
        <v>10313</v>
      </c>
      <c r="I2557" t="s">
        <v>53</v>
      </c>
      <c r="J2557" t="s">
        <v>2572</v>
      </c>
      <c r="K2557" t="s">
        <v>3594</v>
      </c>
      <c r="L2557" t="s">
        <v>17</v>
      </c>
      <c r="M2557" t="s">
        <v>16</v>
      </c>
      <c r="N2557">
        <v>4934</v>
      </c>
      <c r="O2557">
        <v>288</v>
      </c>
      <c r="P2557">
        <v>0</v>
      </c>
      <c r="Q2557" t="s">
        <v>10720</v>
      </c>
      <c r="R2557" t="s">
        <v>10721</v>
      </c>
      <c r="S2557" t="s">
        <v>10722</v>
      </c>
      <c r="T2557" t="s">
        <v>10723</v>
      </c>
      <c r="U2557" t="s">
        <v>60</v>
      </c>
      <c r="V2557" t="s">
        <v>61</v>
      </c>
      <c r="W2557">
        <v>10</v>
      </c>
      <c r="X2557">
        <v>0.1150625</v>
      </c>
      <c r="Y2557" t="s">
        <v>588</v>
      </c>
      <c r="Z2557" t="s">
        <v>589</v>
      </c>
      <c r="AA2557">
        <v>4</v>
      </c>
      <c r="AB2557" t="s">
        <v>10318</v>
      </c>
      <c r="AC2557" t="s">
        <v>10319</v>
      </c>
      <c r="AD2557" t="s">
        <v>10320</v>
      </c>
      <c r="AE2557" t="s">
        <v>10321</v>
      </c>
      <c r="AF2557" t="s">
        <v>10322</v>
      </c>
      <c r="AG2557" t="s">
        <v>322</v>
      </c>
      <c r="AH2557" t="s">
        <v>191</v>
      </c>
      <c r="AI2557" t="s">
        <v>322</v>
      </c>
      <c r="AJ2557" t="s">
        <v>590</v>
      </c>
      <c r="AK2557">
        <v>1</v>
      </c>
      <c r="AL2557" t="s">
        <v>10418</v>
      </c>
      <c r="AM2557" t="s">
        <v>10419</v>
      </c>
      <c r="AN2557" t="s">
        <v>10520</v>
      </c>
      <c r="AO2557" t="s">
        <v>66</v>
      </c>
      <c r="AP2557">
        <v>1</v>
      </c>
      <c r="AQ2557" t="s">
        <v>10521</v>
      </c>
      <c r="AR2557" t="s">
        <v>10522</v>
      </c>
      <c r="AS2557" t="s">
        <v>10623</v>
      </c>
      <c r="AT2557" t="s">
        <v>66</v>
      </c>
    </row>
    <row r="2558" spans="1:46" x14ac:dyDescent="0.15">
      <c r="A2558" t="s">
        <v>10724</v>
      </c>
      <c r="B2558" t="s">
        <v>10310</v>
      </c>
      <c r="C2558" t="s">
        <v>10311</v>
      </c>
      <c r="D2558">
        <v>81</v>
      </c>
      <c r="E2558" t="s">
        <v>10312</v>
      </c>
      <c r="F2558" t="s">
        <v>1551</v>
      </c>
      <c r="G2558" t="s">
        <v>51</v>
      </c>
      <c r="H2558" t="s">
        <v>10313</v>
      </c>
      <c r="I2558" t="s">
        <v>53</v>
      </c>
      <c r="J2558" t="s">
        <v>2572</v>
      </c>
      <c r="K2558" t="s">
        <v>3594</v>
      </c>
      <c r="L2558" t="s">
        <v>17</v>
      </c>
      <c r="M2558" t="s">
        <v>16</v>
      </c>
      <c r="N2558">
        <v>4990</v>
      </c>
      <c r="O2558">
        <v>291</v>
      </c>
      <c r="P2558">
        <v>0</v>
      </c>
      <c r="Q2558" t="s">
        <v>10725</v>
      </c>
      <c r="R2558" t="s">
        <v>10726</v>
      </c>
      <c r="S2558" t="s">
        <v>10727</v>
      </c>
      <c r="T2558" t="s">
        <v>10728</v>
      </c>
      <c r="U2558" t="s">
        <v>60</v>
      </c>
      <c r="V2558" t="s">
        <v>61</v>
      </c>
      <c r="W2558">
        <v>10</v>
      </c>
      <c r="X2558">
        <v>0.1150625</v>
      </c>
      <c r="Y2558" t="s">
        <v>330</v>
      </c>
      <c r="Z2558" t="s">
        <v>596</v>
      </c>
      <c r="AA2558">
        <v>4</v>
      </c>
      <c r="AB2558" t="s">
        <v>10318</v>
      </c>
      <c r="AC2558" t="s">
        <v>10319</v>
      </c>
      <c r="AD2558" t="s">
        <v>10320</v>
      </c>
      <c r="AE2558" t="s">
        <v>10321</v>
      </c>
      <c r="AF2558" t="s">
        <v>10322</v>
      </c>
      <c r="AG2558" t="s">
        <v>322</v>
      </c>
      <c r="AH2558" t="s">
        <v>191</v>
      </c>
      <c r="AI2558" t="s">
        <v>322</v>
      </c>
      <c r="AJ2558" t="s">
        <v>590</v>
      </c>
      <c r="AK2558">
        <v>1</v>
      </c>
      <c r="AL2558" t="s">
        <v>10418</v>
      </c>
      <c r="AM2558" t="s">
        <v>10419</v>
      </c>
      <c r="AN2558" t="s">
        <v>10520</v>
      </c>
      <c r="AO2558" t="s">
        <v>66</v>
      </c>
      <c r="AP2558">
        <v>1</v>
      </c>
      <c r="AQ2558" t="s">
        <v>10521</v>
      </c>
      <c r="AR2558" t="s">
        <v>10522</v>
      </c>
      <c r="AS2558" t="s">
        <v>10623</v>
      </c>
      <c r="AT2558" t="s">
        <v>66</v>
      </c>
    </row>
    <row r="2559" spans="1:46" x14ac:dyDescent="0.15">
      <c r="A2559" t="s">
        <v>10729</v>
      </c>
      <c r="B2559" t="s">
        <v>10310</v>
      </c>
      <c r="C2559" t="s">
        <v>10311</v>
      </c>
      <c r="D2559">
        <v>82</v>
      </c>
      <c r="E2559" t="s">
        <v>10312</v>
      </c>
      <c r="F2559" t="s">
        <v>1551</v>
      </c>
      <c r="G2559" t="s">
        <v>51</v>
      </c>
      <c r="H2559" t="s">
        <v>10313</v>
      </c>
      <c r="I2559" t="s">
        <v>53</v>
      </c>
      <c r="J2559" t="s">
        <v>2572</v>
      </c>
      <c r="K2559" t="s">
        <v>3594</v>
      </c>
      <c r="L2559" t="s">
        <v>17</v>
      </c>
      <c r="M2559" t="s">
        <v>16</v>
      </c>
      <c r="N2559">
        <v>5046</v>
      </c>
      <c r="O2559">
        <v>294</v>
      </c>
      <c r="P2559">
        <v>0</v>
      </c>
      <c r="Q2559" t="s">
        <v>10730</v>
      </c>
      <c r="R2559" t="s">
        <v>10731</v>
      </c>
      <c r="S2559" t="s">
        <v>10732</v>
      </c>
      <c r="T2559" t="s">
        <v>10733</v>
      </c>
      <c r="U2559" t="s">
        <v>60</v>
      </c>
      <c r="V2559" t="s">
        <v>61</v>
      </c>
      <c r="W2559">
        <v>10</v>
      </c>
      <c r="X2559">
        <v>0.1150625</v>
      </c>
      <c r="Y2559" t="s">
        <v>602</v>
      </c>
      <c r="Z2559" t="s">
        <v>603</v>
      </c>
      <c r="AA2559">
        <v>4</v>
      </c>
      <c r="AB2559" t="s">
        <v>10318</v>
      </c>
      <c r="AC2559" t="s">
        <v>10319</v>
      </c>
      <c r="AD2559" t="s">
        <v>10320</v>
      </c>
      <c r="AE2559" t="s">
        <v>10321</v>
      </c>
      <c r="AF2559" t="s">
        <v>10322</v>
      </c>
      <c r="AG2559" t="s">
        <v>322</v>
      </c>
      <c r="AH2559" t="s">
        <v>191</v>
      </c>
      <c r="AI2559" t="s">
        <v>322</v>
      </c>
      <c r="AJ2559" t="s">
        <v>590</v>
      </c>
      <c r="AK2559">
        <v>1</v>
      </c>
      <c r="AL2559" t="s">
        <v>10418</v>
      </c>
      <c r="AM2559" t="s">
        <v>10419</v>
      </c>
      <c r="AN2559" t="s">
        <v>10520</v>
      </c>
      <c r="AO2559" t="s">
        <v>66</v>
      </c>
      <c r="AP2559">
        <v>1</v>
      </c>
      <c r="AQ2559" t="s">
        <v>10521</v>
      </c>
      <c r="AR2559" t="s">
        <v>10522</v>
      </c>
      <c r="AS2559" t="s">
        <v>10623</v>
      </c>
      <c r="AT2559" t="s">
        <v>66</v>
      </c>
    </row>
    <row r="2560" spans="1:46" x14ac:dyDescent="0.15">
      <c r="A2560" t="s">
        <v>10734</v>
      </c>
      <c r="B2560" t="s">
        <v>10310</v>
      </c>
      <c r="C2560" t="s">
        <v>10311</v>
      </c>
      <c r="D2560">
        <v>83</v>
      </c>
      <c r="E2560" t="s">
        <v>10312</v>
      </c>
      <c r="F2560" t="s">
        <v>1551</v>
      </c>
      <c r="G2560" t="s">
        <v>51</v>
      </c>
      <c r="H2560" t="s">
        <v>10313</v>
      </c>
      <c r="I2560" t="s">
        <v>53</v>
      </c>
      <c r="J2560" t="s">
        <v>2572</v>
      </c>
      <c r="K2560" t="s">
        <v>3594</v>
      </c>
      <c r="L2560" t="s">
        <v>17</v>
      </c>
      <c r="M2560" t="s">
        <v>16</v>
      </c>
      <c r="N2560">
        <v>5102</v>
      </c>
      <c r="O2560">
        <v>298</v>
      </c>
      <c r="P2560">
        <v>0</v>
      </c>
      <c r="Q2560" t="s">
        <v>10735</v>
      </c>
      <c r="R2560" t="s">
        <v>10736</v>
      </c>
      <c r="S2560" t="s">
        <v>10737</v>
      </c>
      <c r="T2560" t="s">
        <v>10738</v>
      </c>
      <c r="U2560" t="s">
        <v>60</v>
      </c>
      <c r="V2560" t="s">
        <v>61</v>
      </c>
      <c r="W2560">
        <v>10</v>
      </c>
      <c r="X2560">
        <v>0.1150625</v>
      </c>
      <c r="Y2560" t="s">
        <v>337</v>
      </c>
      <c r="Z2560" t="s">
        <v>609</v>
      </c>
      <c r="AA2560">
        <v>4</v>
      </c>
      <c r="AB2560" t="s">
        <v>10318</v>
      </c>
      <c r="AC2560" t="s">
        <v>10319</v>
      </c>
      <c r="AD2560" t="s">
        <v>10320</v>
      </c>
      <c r="AE2560" t="s">
        <v>10321</v>
      </c>
      <c r="AF2560" t="s">
        <v>10322</v>
      </c>
      <c r="AG2560" t="s">
        <v>322</v>
      </c>
      <c r="AH2560" t="s">
        <v>191</v>
      </c>
      <c r="AI2560" t="s">
        <v>322</v>
      </c>
      <c r="AJ2560" t="s">
        <v>590</v>
      </c>
      <c r="AK2560">
        <v>1</v>
      </c>
      <c r="AL2560" t="s">
        <v>10418</v>
      </c>
      <c r="AM2560" t="s">
        <v>10419</v>
      </c>
      <c r="AN2560" t="s">
        <v>10520</v>
      </c>
      <c r="AO2560" t="s">
        <v>66</v>
      </c>
      <c r="AP2560">
        <v>1</v>
      </c>
      <c r="AQ2560" t="s">
        <v>10521</v>
      </c>
      <c r="AR2560" t="s">
        <v>10522</v>
      </c>
      <c r="AS2560" t="s">
        <v>10623</v>
      </c>
      <c r="AT2560" t="s">
        <v>66</v>
      </c>
    </row>
    <row r="2561" spans="1:46" x14ac:dyDescent="0.15">
      <c r="A2561" t="s">
        <v>10739</v>
      </c>
      <c r="B2561" t="s">
        <v>10310</v>
      </c>
      <c r="C2561" t="s">
        <v>10311</v>
      </c>
      <c r="D2561">
        <v>84</v>
      </c>
      <c r="E2561" t="s">
        <v>10312</v>
      </c>
      <c r="F2561" t="s">
        <v>1551</v>
      </c>
      <c r="G2561" t="s">
        <v>51</v>
      </c>
      <c r="H2561" t="s">
        <v>10313</v>
      </c>
      <c r="I2561" t="s">
        <v>53</v>
      </c>
      <c r="J2561" t="s">
        <v>2572</v>
      </c>
      <c r="K2561" t="s">
        <v>3594</v>
      </c>
      <c r="L2561" t="s">
        <v>17</v>
      </c>
      <c r="M2561" t="s">
        <v>16</v>
      </c>
      <c r="N2561">
        <v>5158</v>
      </c>
      <c r="O2561">
        <v>301</v>
      </c>
      <c r="P2561">
        <v>0</v>
      </c>
      <c r="Q2561" t="s">
        <v>10740</v>
      </c>
      <c r="R2561" t="s">
        <v>10741</v>
      </c>
      <c r="S2561" t="s">
        <v>10742</v>
      </c>
      <c r="T2561" t="s">
        <v>10743</v>
      </c>
      <c r="U2561" t="s">
        <v>60</v>
      </c>
      <c r="V2561" t="s">
        <v>61</v>
      </c>
      <c r="W2561">
        <v>10</v>
      </c>
      <c r="X2561">
        <v>0.1150625</v>
      </c>
      <c r="Y2561" t="s">
        <v>615</v>
      </c>
      <c r="Z2561" t="s">
        <v>616</v>
      </c>
      <c r="AA2561">
        <v>4</v>
      </c>
      <c r="AB2561" t="s">
        <v>10318</v>
      </c>
      <c r="AC2561" t="s">
        <v>10319</v>
      </c>
      <c r="AD2561" t="s">
        <v>10320</v>
      </c>
      <c r="AE2561" t="s">
        <v>10321</v>
      </c>
      <c r="AF2561" t="s">
        <v>10322</v>
      </c>
      <c r="AG2561" t="s">
        <v>322</v>
      </c>
      <c r="AH2561" t="s">
        <v>191</v>
      </c>
      <c r="AI2561" t="s">
        <v>322</v>
      </c>
      <c r="AJ2561" t="s">
        <v>590</v>
      </c>
      <c r="AK2561">
        <v>1</v>
      </c>
      <c r="AL2561" t="s">
        <v>10418</v>
      </c>
      <c r="AM2561" t="s">
        <v>10419</v>
      </c>
      <c r="AN2561" t="s">
        <v>10520</v>
      </c>
      <c r="AO2561" t="s">
        <v>66</v>
      </c>
      <c r="AP2561">
        <v>1</v>
      </c>
      <c r="AQ2561" t="s">
        <v>10521</v>
      </c>
      <c r="AR2561" t="s">
        <v>10522</v>
      </c>
      <c r="AS2561" t="s">
        <v>10623</v>
      </c>
      <c r="AT2561" t="s">
        <v>66</v>
      </c>
    </row>
    <row r="2562" spans="1:46" x14ac:dyDescent="0.15">
      <c r="A2562" t="s">
        <v>10744</v>
      </c>
      <c r="B2562" t="s">
        <v>10310</v>
      </c>
      <c r="C2562" t="s">
        <v>10311</v>
      </c>
      <c r="D2562">
        <v>85</v>
      </c>
      <c r="E2562" t="s">
        <v>10312</v>
      </c>
      <c r="F2562" t="s">
        <v>1551</v>
      </c>
      <c r="G2562" t="s">
        <v>51</v>
      </c>
      <c r="H2562" t="s">
        <v>10313</v>
      </c>
      <c r="I2562" t="s">
        <v>53</v>
      </c>
      <c r="J2562" t="s">
        <v>2572</v>
      </c>
      <c r="K2562" t="s">
        <v>3594</v>
      </c>
      <c r="L2562" t="s">
        <v>17</v>
      </c>
      <c r="M2562" t="s">
        <v>16</v>
      </c>
      <c r="N2562">
        <v>5214</v>
      </c>
      <c r="O2562">
        <v>304</v>
      </c>
      <c r="P2562">
        <v>0</v>
      </c>
      <c r="Q2562" t="s">
        <v>10745</v>
      </c>
      <c r="R2562" t="s">
        <v>10746</v>
      </c>
      <c r="S2562" t="s">
        <v>10747</v>
      </c>
      <c r="T2562" t="s">
        <v>10748</v>
      </c>
      <c r="U2562" t="s">
        <v>60</v>
      </c>
      <c r="V2562" t="s">
        <v>61</v>
      </c>
      <c r="W2562">
        <v>10</v>
      </c>
      <c r="X2562">
        <v>0.1150625</v>
      </c>
      <c r="Y2562" t="s">
        <v>343</v>
      </c>
      <c r="Z2562" t="s">
        <v>622</v>
      </c>
      <c r="AA2562">
        <v>4</v>
      </c>
      <c r="AB2562" t="s">
        <v>10318</v>
      </c>
      <c r="AC2562" t="s">
        <v>10319</v>
      </c>
      <c r="AD2562" t="s">
        <v>10320</v>
      </c>
      <c r="AE2562" t="s">
        <v>10321</v>
      </c>
      <c r="AF2562" t="s">
        <v>10322</v>
      </c>
      <c r="AG2562" t="s">
        <v>322</v>
      </c>
      <c r="AH2562" t="s">
        <v>191</v>
      </c>
      <c r="AI2562" t="s">
        <v>322</v>
      </c>
      <c r="AJ2562" t="s">
        <v>590</v>
      </c>
      <c r="AK2562">
        <v>1</v>
      </c>
      <c r="AL2562" t="s">
        <v>10418</v>
      </c>
      <c r="AM2562" t="s">
        <v>10419</v>
      </c>
      <c r="AN2562" t="s">
        <v>10520</v>
      </c>
      <c r="AO2562" t="s">
        <v>66</v>
      </c>
      <c r="AP2562">
        <v>1</v>
      </c>
      <c r="AQ2562" t="s">
        <v>10521</v>
      </c>
      <c r="AR2562" t="s">
        <v>10522</v>
      </c>
      <c r="AS2562" t="s">
        <v>10623</v>
      </c>
      <c r="AT2562" t="s">
        <v>66</v>
      </c>
    </row>
    <row r="2563" spans="1:46" x14ac:dyDescent="0.15">
      <c r="A2563" t="s">
        <v>10749</v>
      </c>
      <c r="B2563" t="s">
        <v>10310</v>
      </c>
      <c r="C2563" t="s">
        <v>10311</v>
      </c>
      <c r="D2563">
        <v>86</v>
      </c>
      <c r="E2563" t="s">
        <v>10312</v>
      </c>
      <c r="F2563" t="s">
        <v>1551</v>
      </c>
      <c r="G2563" t="s">
        <v>51</v>
      </c>
      <c r="H2563" t="s">
        <v>10313</v>
      </c>
      <c r="I2563" t="s">
        <v>53</v>
      </c>
      <c r="J2563" t="s">
        <v>2572</v>
      </c>
      <c r="K2563" t="s">
        <v>3594</v>
      </c>
      <c r="L2563" t="s">
        <v>17</v>
      </c>
      <c r="M2563" t="s">
        <v>16</v>
      </c>
      <c r="N2563">
        <v>5270</v>
      </c>
      <c r="O2563">
        <v>307</v>
      </c>
      <c r="P2563">
        <v>0</v>
      </c>
      <c r="Q2563" t="s">
        <v>10750</v>
      </c>
      <c r="R2563" t="s">
        <v>10751</v>
      </c>
      <c r="S2563" t="s">
        <v>10752</v>
      </c>
      <c r="T2563" t="s">
        <v>10753</v>
      </c>
      <c r="U2563" t="s">
        <v>60</v>
      </c>
      <c r="V2563" t="s">
        <v>61</v>
      </c>
      <c r="W2563">
        <v>10</v>
      </c>
      <c r="X2563">
        <v>0.1150625</v>
      </c>
      <c r="Y2563" t="s">
        <v>628</v>
      </c>
      <c r="Z2563" t="s">
        <v>629</v>
      </c>
      <c r="AA2563">
        <v>4</v>
      </c>
      <c r="AB2563" t="s">
        <v>10318</v>
      </c>
      <c r="AC2563" t="s">
        <v>10319</v>
      </c>
      <c r="AD2563" t="s">
        <v>10320</v>
      </c>
      <c r="AE2563" t="s">
        <v>10321</v>
      </c>
      <c r="AF2563" t="s">
        <v>10322</v>
      </c>
      <c r="AG2563" t="s">
        <v>322</v>
      </c>
      <c r="AH2563" t="s">
        <v>191</v>
      </c>
      <c r="AI2563" t="s">
        <v>322</v>
      </c>
      <c r="AJ2563" t="s">
        <v>590</v>
      </c>
      <c r="AK2563">
        <v>1</v>
      </c>
      <c r="AL2563" t="s">
        <v>10418</v>
      </c>
      <c r="AM2563" t="s">
        <v>10419</v>
      </c>
      <c r="AN2563" t="s">
        <v>10520</v>
      </c>
      <c r="AO2563" t="s">
        <v>66</v>
      </c>
      <c r="AP2563">
        <v>1</v>
      </c>
      <c r="AQ2563" t="s">
        <v>10521</v>
      </c>
      <c r="AR2563" t="s">
        <v>10522</v>
      </c>
      <c r="AS2563" t="s">
        <v>10623</v>
      </c>
      <c r="AT2563" t="s">
        <v>66</v>
      </c>
    </row>
    <row r="2564" spans="1:46" x14ac:dyDescent="0.15">
      <c r="A2564" t="s">
        <v>10754</v>
      </c>
      <c r="B2564" t="s">
        <v>10310</v>
      </c>
      <c r="C2564" t="s">
        <v>10311</v>
      </c>
      <c r="D2564">
        <v>87</v>
      </c>
      <c r="E2564" t="s">
        <v>10312</v>
      </c>
      <c r="F2564" t="s">
        <v>1551</v>
      </c>
      <c r="G2564" t="s">
        <v>51</v>
      </c>
      <c r="H2564" t="s">
        <v>10313</v>
      </c>
      <c r="I2564" t="s">
        <v>53</v>
      </c>
      <c r="J2564" t="s">
        <v>2572</v>
      </c>
      <c r="K2564" t="s">
        <v>3594</v>
      </c>
      <c r="L2564" t="s">
        <v>17</v>
      </c>
      <c r="M2564" t="s">
        <v>16</v>
      </c>
      <c r="N2564">
        <v>5327</v>
      </c>
      <c r="O2564">
        <v>311</v>
      </c>
      <c r="P2564">
        <v>0</v>
      </c>
      <c r="Q2564" t="s">
        <v>10755</v>
      </c>
      <c r="R2564" t="s">
        <v>10756</v>
      </c>
      <c r="S2564" t="s">
        <v>10757</v>
      </c>
      <c r="T2564" t="s">
        <v>10758</v>
      </c>
      <c r="U2564" t="s">
        <v>60</v>
      </c>
      <c r="V2564" t="s">
        <v>61</v>
      </c>
      <c r="W2564">
        <v>10</v>
      </c>
      <c r="X2564">
        <v>0.1150625</v>
      </c>
      <c r="Y2564" t="s">
        <v>350</v>
      </c>
      <c r="Z2564" t="s">
        <v>635</v>
      </c>
      <c r="AA2564">
        <v>4</v>
      </c>
      <c r="AB2564" t="s">
        <v>10318</v>
      </c>
      <c r="AC2564" t="s">
        <v>10319</v>
      </c>
      <c r="AD2564" t="s">
        <v>10320</v>
      </c>
      <c r="AE2564" t="s">
        <v>10321</v>
      </c>
      <c r="AF2564" t="s">
        <v>10322</v>
      </c>
      <c r="AG2564" t="s">
        <v>322</v>
      </c>
      <c r="AH2564" t="s">
        <v>191</v>
      </c>
      <c r="AI2564" t="s">
        <v>322</v>
      </c>
      <c r="AJ2564" t="s">
        <v>590</v>
      </c>
      <c r="AK2564">
        <v>1</v>
      </c>
      <c r="AL2564" t="s">
        <v>10418</v>
      </c>
      <c r="AM2564" t="s">
        <v>10419</v>
      </c>
      <c r="AN2564" t="s">
        <v>10520</v>
      </c>
      <c r="AO2564" t="s">
        <v>66</v>
      </c>
      <c r="AP2564">
        <v>1</v>
      </c>
      <c r="AQ2564" t="s">
        <v>10521</v>
      </c>
      <c r="AR2564" t="s">
        <v>10522</v>
      </c>
      <c r="AS2564" t="s">
        <v>10623</v>
      </c>
      <c r="AT2564" t="s">
        <v>66</v>
      </c>
    </row>
    <row r="2565" spans="1:46" x14ac:dyDescent="0.15">
      <c r="A2565" t="s">
        <v>10759</v>
      </c>
      <c r="B2565" t="s">
        <v>10310</v>
      </c>
      <c r="C2565" t="s">
        <v>10311</v>
      </c>
      <c r="D2565">
        <v>88</v>
      </c>
      <c r="E2565" t="s">
        <v>10312</v>
      </c>
      <c r="F2565" t="s">
        <v>1551</v>
      </c>
      <c r="G2565" t="s">
        <v>51</v>
      </c>
      <c r="H2565" t="s">
        <v>10313</v>
      </c>
      <c r="I2565" t="s">
        <v>53</v>
      </c>
      <c r="J2565" t="s">
        <v>2572</v>
      </c>
      <c r="K2565" t="s">
        <v>3594</v>
      </c>
      <c r="L2565" t="s">
        <v>17</v>
      </c>
      <c r="M2565" t="s">
        <v>16</v>
      </c>
      <c r="N2565">
        <v>5383</v>
      </c>
      <c r="O2565">
        <v>314</v>
      </c>
      <c r="P2565">
        <v>0</v>
      </c>
      <c r="Q2565" t="s">
        <v>10760</v>
      </c>
      <c r="R2565" t="s">
        <v>10761</v>
      </c>
      <c r="S2565" t="s">
        <v>10762</v>
      </c>
      <c r="T2565" t="s">
        <v>10763</v>
      </c>
      <c r="U2565" t="s">
        <v>60</v>
      </c>
      <c r="V2565" t="s">
        <v>61</v>
      </c>
      <c r="W2565">
        <v>10</v>
      </c>
      <c r="X2565">
        <v>0.1150625</v>
      </c>
      <c r="Y2565" t="s">
        <v>641</v>
      </c>
      <c r="Z2565" t="s">
        <v>642</v>
      </c>
      <c r="AA2565">
        <v>4</v>
      </c>
      <c r="AB2565" t="s">
        <v>10318</v>
      </c>
      <c r="AC2565" t="s">
        <v>10319</v>
      </c>
      <c r="AD2565" t="s">
        <v>10320</v>
      </c>
      <c r="AE2565" t="s">
        <v>10321</v>
      </c>
      <c r="AF2565" t="s">
        <v>10322</v>
      </c>
      <c r="AG2565" t="s">
        <v>322</v>
      </c>
      <c r="AH2565" t="s">
        <v>191</v>
      </c>
      <c r="AI2565" t="s">
        <v>322</v>
      </c>
      <c r="AJ2565" t="s">
        <v>590</v>
      </c>
      <c r="AK2565">
        <v>1</v>
      </c>
      <c r="AL2565" t="s">
        <v>10418</v>
      </c>
      <c r="AM2565" t="s">
        <v>10419</v>
      </c>
      <c r="AN2565" t="s">
        <v>10520</v>
      </c>
      <c r="AO2565" t="s">
        <v>66</v>
      </c>
      <c r="AP2565">
        <v>1</v>
      </c>
      <c r="AQ2565" t="s">
        <v>10521</v>
      </c>
      <c r="AR2565" t="s">
        <v>10522</v>
      </c>
      <c r="AS2565" t="s">
        <v>10623</v>
      </c>
      <c r="AT2565" t="s">
        <v>66</v>
      </c>
    </row>
    <row r="2566" spans="1:46" x14ac:dyDescent="0.15">
      <c r="A2566" t="s">
        <v>10764</v>
      </c>
      <c r="B2566" t="s">
        <v>10310</v>
      </c>
      <c r="C2566" t="s">
        <v>10311</v>
      </c>
      <c r="D2566">
        <v>89</v>
      </c>
      <c r="E2566" t="s">
        <v>10312</v>
      </c>
      <c r="F2566" t="s">
        <v>1551</v>
      </c>
      <c r="G2566" t="s">
        <v>51</v>
      </c>
      <c r="H2566" t="s">
        <v>10313</v>
      </c>
      <c r="I2566" t="s">
        <v>53</v>
      </c>
      <c r="J2566" t="s">
        <v>2572</v>
      </c>
      <c r="K2566" t="s">
        <v>3594</v>
      </c>
      <c r="L2566" t="s">
        <v>17</v>
      </c>
      <c r="M2566" t="s">
        <v>16</v>
      </c>
      <c r="N2566">
        <v>5439</v>
      </c>
      <c r="O2566">
        <v>317</v>
      </c>
      <c r="P2566">
        <v>0</v>
      </c>
      <c r="Q2566" t="s">
        <v>10765</v>
      </c>
      <c r="R2566" t="s">
        <v>10766</v>
      </c>
      <c r="S2566" t="s">
        <v>10767</v>
      </c>
      <c r="T2566" t="s">
        <v>10768</v>
      </c>
      <c r="U2566" t="s">
        <v>60</v>
      </c>
      <c r="V2566" t="s">
        <v>61</v>
      </c>
      <c r="W2566">
        <v>10</v>
      </c>
      <c r="X2566">
        <v>0.1150625</v>
      </c>
      <c r="Y2566" t="s">
        <v>356</v>
      </c>
      <c r="Z2566" t="s">
        <v>648</v>
      </c>
      <c r="AA2566">
        <v>4</v>
      </c>
      <c r="AB2566" t="s">
        <v>10318</v>
      </c>
      <c r="AC2566" t="s">
        <v>10319</v>
      </c>
      <c r="AD2566" t="s">
        <v>10320</v>
      </c>
      <c r="AE2566" t="s">
        <v>10321</v>
      </c>
      <c r="AF2566" t="s">
        <v>10322</v>
      </c>
      <c r="AG2566" t="s">
        <v>322</v>
      </c>
      <c r="AH2566" t="s">
        <v>191</v>
      </c>
      <c r="AI2566" t="s">
        <v>322</v>
      </c>
      <c r="AJ2566" t="s">
        <v>590</v>
      </c>
      <c r="AK2566">
        <v>1</v>
      </c>
      <c r="AL2566" t="s">
        <v>10418</v>
      </c>
      <c r="AM2566" t="s">
        <v>10419</v>
      </c>
      <c r="AN2566" t="s">
        <v>10520</v>
      </c>
      <c r="AO2566" t="s">
        <v>66</v>
      </c>
      <c r="AP2566">
        <v>1</v>
      </c>
      <c r="AQ2566" t="s">
        <v>10521</v>
      </c>
      <c r="AR2566" t="s">
        <v>10522</v>
      </c>
      <c r="AS2566" t="s">
        <v>10623</v>
      </c>
      <c r="AT2566" t="s">
        <v>66</v>
      </c>
    </row>
    <row r="2567" spans="1:46" x14ac:dyDescent="0.15">
      <c r="A2567" t="s">
        <v>10769</v>
      </c>
      <c r="B2567" t="s">
        <v>10310</v>
      </c>
      <c r="C2567" t="s">
        <v>10311</v>
      </c>
      <c r="D2567">
        <v>90</v>
      </c>
      <c r="E2567" t="s">
        <v>10312</v>
      </c>
      <c r="F2567" t="s">
        <v>1551</v>
      </c>
      <c r="G2567" t="s">
        <v>51</v>
      </c>
      <c r="H2567" t="s">
        <v>10313</v>
      </c>
      <c r="I2567" t="s">
        <v>53</v>
      </c>
      <c r="J2567" t="s">
        <v>2572</v>
      </c>
      <c r="K2567" t="s">
        <v>3594</v>
      </c>
      <c r="L2567" t="s">
        <v>17</v>
      </c>
      <c r="M2567" t="s">
        <v>16</v>
      </c>
      <c r="N2567">
        <v>5495</v>
      </c>
      <c r="O2567">
        <v>321</v>
      </c>
      <c r="P2567">
        <v>0</v>
      </c>
      <c r="Q2567" t="s">
        <v>10770</v>
      </c>
      <c r="R2567" t="s">
        <v>10771</v>
      </c>
      <c r="S2567" t="s">
        <v>10772</v>
      </c>
      <c r="T2567" t="s">
        <v>10773</v>
      </c>
      <c r="U2567" t="s">
        <v>60</v>
      </c>
      <c r="V2567" t="s">
        <v>61</v>
      </c>
      <c r="W2567">
        <v>10</v>
      </c>
      <c r="X2567">
        <v>0.1150625</v>
      </c>
      <c r="Y2567" t="s">
        <v>654</v>
      </c>
      <c r="Z2567" t="s">
        <v>655</v>
      </c>
      <c r="AA2567">
        <v>4</v>
      </c>
      <c r="AB2567" t="s">
        <v>10318</v>
      </c>
      <c r="AC2567" t="s">
        <v>10319</v>
      </c>
      <c r="AD2567" t="s">
        <v>10320</v>
      </c>
      <c r="AE2567" t="s">
        <v>10321</v>
      </c>
      <c r="AF2567" t="s">
        <v>10322</v>
      </c>
      <c r="AG2567" t="s">
        <v>322</v>
      </c>
      <c r="AH2567" t="s">
        <v>191</v>
      </c>
      <c r="AI2567" t="s">
        <v>322</v>
      </c>
      <c r="AJ2567" t="s">
        <v>590</v>
      </c>
      <c r="AK2567">
        <v>1</v>
      </c>
      <c r="AL2567" t="s">
        <v>10418</v>
      </c>
      <c r="AM2567" t="s">
        <v>10419</v>
      </c>
      <c r="AN2567" t="s">
        <v>10520</v>
      </c>
      <c r="AO2567" t="s">
        <v>66</v>
      </c>
      <c r="AP2567">
        <v>1</v>
      </c>
      <c r="AQ2567" t="s">
        <v>10521</v>
      </c>
      <c r="AR2567" t="s">
        <v>10522</v>
      </c>
      <c r="AS2567" t="s">
        <v>10623</v>
      </c>
      <c r="AT2567" t="s">
        <v>66</v>
      </c>
    </row>
    <row r="2568" spans="1:46" x14ac:dyDescent="0.15">
      <c r="A2568" t="s">
        <v>10774</v>
      </c>
      <c r="B2568" t="s">
        <v>10310</v>
      </c>
      <c r="C2568" t="s">
        <v>10311</v>
      </c>
      <c r="D2568">
        <v>91</v>
      </c>
      <c r="E2568" t="s">
        <v>10312</v>
      </c>
      <c r="F2568" t="s">
        <v>1551</v>
      </c>
      <c r="G2568" t="s">
        <v>51</v>
      </c>
      <c r="H2568" t="s">
        <v>10313</v>
      </c>
      <c r="I2568" t="s">
        <v>53</v>
      </c>
      <c r="J2568" t="s">
        <v>2572</v>
      </c>
      <c r="K2568" t="s">
        <v>3594</v>
      </c>
      <c r="L2568" t="s">
        <v>17</v>
      </c>
      <c r="M2568" t="s">
        <v>16</v>
      </c>
      <c r="N2568">
        <v>5551</v>
      </c>
      <c r="O2568">
        <v>324</v>
      </c>
      <c r="P2568">
        <v>0</v>
      </c>
      <c r="Q2568" t="s">
        <v>10775</v>
      </c>
      <c r="R2568" t="s">
        <v>10776</v>
      </c>
      <c r="S2568" t="s">
        <v>10777</v>
      </c>
      <c r="T2568" t="s">
        <v>10778</v>
      </c>
      <c r="U2568" t="s">
        <v>60</v>
      </c>
      <c r="V2568" t="s">
        <v>61</v>
      </c>
      <c r="W2568">
        <v>10</v>
      </c>
      <c r="X2568">
        <v>0.1150625</v>
      </c>
      <c r="Y2568" t="s">
        <v>363</v>
      </c>
      <c r="Z2568" t="s">
        <v>661</v>
      </c>
      <c r="AA2568">
        <v>4</v>
      </c>
      <c r="AB2568" t="s">
        <v>10318</v>
      </c>
      <c r="AC2568" t="s">
        <v>10319</v>
      </c>
      <c r="AD2568" t="s">
        <v>10320</v>
      </c>
      <c r="AE2568" t="s">
        <v>10321</v>
      </c>
      <c r="AF2568" t="s">
        <v>10322</v>
      </c>
      <c r="AG2568" t="s">
        <v>322</v>
      </c>
      <c r="AH2568" t="s">
        <v>191</v>
      </c>
      <c r="AI2568" t="s">
        <v>322</v>
      </c>
      <c r="AJ2568" t="s">
        <v>590</v>
      </c>
      <c r="AK2568">
        <v>1</v>
      </c>
      <c r="AL2568" t="s">
        <v>10418</v>
      </c>
      <c r="AM2568" t="s">
        <v>10419</v>
      </c>
      <c r="AN2568" t="s">
        <v>10520</v>
      </c>
      <c r="AO2568" t="s">
        <v>66</v>
      </c>
      <c r="AP2568">
        <v>1</v>
      </c>
      <c r="AQ2568" t="s">
        <v>10521</v>
      </c>
      <c r="AR2568" t="s">
        <v>10522</v>
      </c>
      <c r="AS2568" t="s">
        <v>10623</v>
      </c>
      <c r="AT2568" t="s">
        <v>66</v>
      </c>
    </row>
    <row r="2569" spans="1:46" x14ac:dyDescent="0.15">
      <c r="A2569" t="s">
        <v>10779</v>
      </c>
      <c r="B2569" t="s">
        <v>10310</v>
      </c>
      <c r="C2569" t="s">
        <v>10311</v>
      </c>
      <c r="D2569">
        <v>92</v>
      </c>
      <c r="E2569" t="s">
        <v>10312</v>
      </c>
      <c r="F2569" t="s">
        <v>1551</v>
      </c>
      <c r="G2569" t="s">
        <v>51</v>
      </c>
      <c r="H2569" t="s">
        <v>10313</v>
      </c>
      <c r="I2569" t="s">
        <v>53</v>
      </c>
      <c r="J2569" t="s">
        <v>2572</v>
      </c>
      <c r="K2569" t="s">
        <v>3594</v>
      </c>
      <c r="L2569" t="s">
        <v>17</v>
      </c>
      <c r="M2569" t="s">
        <v>16</v>
      </c>
      <c r="N2569">
        <v>5607</v>
      </c>
      <c r="O2569">
        <v>327</v>
      </c>
      <c r="P2569">
        <v>0</v>
      </c>
      <c r="Q2569" t="s">
        <v>10780</v>
      </c>
      <c r="R2569" t="s">
        <v>10781</v>
      </c>
      <c r="S2569" t="s">
        <v>10782</v>
      </c>
      <c r="T2569" t="s">
        <v>10783</v>
      </c>
      <c r="U2569" t="s">
        <v>60</v>
      </c>
      <c r="V2569" t="s">
        <v>61</v>
      </c>
      <c r="W2569">
        <v>10</v>
      </c>
      <c r="X2569">
        <v>0.1150625</v>
      </c>
      <c r="Y2569" t="s">
        <v>667</v>
      </c>
      <c r="Z2569" t="s">
        <v>668</v>
      </c>
      <c r="AA2569">
        <v>4</v>
      </c>
      <c r="AB2569" t="s">
        <v>10318</v>
      </c>
      <c r="AC2569" t="s">
        <v>10319</v>
      </c>
      <c r="AD2569" t="s">
        <v>10320</v>
      </c>
      <c r="AE2569" t="s">
        <v>10321</v>
      </c>
      <c r="AF2569" t="s">
        <v>10322</v>
      </c>
      <c r="AG2569" t="s">
        <v>322</v>
      </c>
      <c r="AH2569" t="s">
        <v>191</v>
      </c>
      <c r="AI2569" t="s">
        <v>322</v>
      </c>
      <c r="AJ2569" t="s">
        <v>590</v>
      </c>
      <c r="AK2569">
        <v>1</v>
      </c>
      <c r="AL2569" t="s">
        <v>10418</v>
      </c>
      <c r="AM2569" t="s">
        <v>10419</v>
      </c>
      <c r="AN2569" t="s">
        <v>10520</v>
      </c>
      <c r="AO2569" t="s">
        <v>66</v>
      </c>
      <c r="AP2569">
        <v>1</v>
      </c>
      <c r="AQ2569" t="s">
        <v>10521</v>
      </c>
      <c r="AR2569" t="s">
        <v>10522</v>
      </c>
      <c r="AS2569" t="s">
        <v>10623</v>
      </c>
      <c r="AT2569" t="s">
        <v>66</v>
      </c>
    </row>
    <row r="2570" spans="1:46" x14ac:dyDescent="0.15">
      <c r="A2570" t="s">
        <v>10784</v>
      </c>
      <c r="B2570" t="s">
        <v>10310</v>
      </c>
      <c r="C2570" t="s">
        <v>10311</v>
      </c>
      <c r="D2570">
        <v>93</v>
      </c>
      <c r="E2570" t="s">
        <v>10312</v>
      </c>
      <c r="F2570" t="s">
        <v>1551</v>
      </c>
      <c r="G2570" t="s">
        <v>51</v>
      </c>
      <c r="H2570" t="s">
        <v>10313</v>
      </c>
      <c r="I2570" t="s">
        <v>53</v>
      </c>
      <c r="J2570" t="s">
        <v>2572</v>
      </c>
      <c r="K2570" t="s">
        <v>3594</v>
      </c>
      <c r="L2570" t="s">
        <v>17</v>
      </c>
      <c r="M2570" t="s">
        <v>16</v>
      </c>
      <c r="N2570">
        <v>5663</v>
      </c>
      <c r="O2570">
        <v>330</v>
      </c>
      <c r="P2570">
        <v>0</v>
      </c>
      <c r="Q2570" t="s">
        <v>10785</v>
      </c>
      <c r="R2570" t="s">
        <v>10786</v>
      </c>
      <c r="S2570" t="s">
        <v>10787</v>
      </c>
      <c r="T2570" t="s">
        <v>10788</v>
      </c>
      <c r="U2570" t="s">
        <v>60</v>
      </c>
      <c r="V2570" t="s">
        <v>61</v>
      </c>
      <c r="W2570">
        <v>10</v>
      </c>
      <c r="X2570">
        <v>0.1150625</v>
      </c>
      <c r="Y2570" t="s">
        <v>369</v>
      </c>
      <c r="Z2570" t="s">
        <v>674</v>
      </c>
      <c r="AA2570">
        <v>4</v>
      </c>
      <c r="AB2570" t="s">
        <v>10318</v>
      </c>
      <c r="AC2570" t="s">
        <v>10319</v>
      </c>
      <c r="AD2570" t="s">
        <v>10320</v>
      </c>
      <c r="AE2570" t="s">
        <v>10321</v>
      </c>
      <c r="AF2570" t="s">
        <v>10322</v>
      </c>
      <c r="AG2570" t="s">
        <v>322</v>
      </c>
      <c r="AH2570" t="s">
        <v>191</v>
      </c>
      <c r="AI2570" t="s">
        <v>322</v>
      </c>
      <c r="AJ2570" t="s">
        <v>590</v>
      </c>
      <c r="AK2570">
        <v>1</v>
      </c>
      <c r="AL2570" t="s">
        <v>10418</v>
      </c>
      <c r="AM2570" t="s">
        <v>10419</v>
      </c>
      <c r="AN2570" t="s">
        <v>10520</v>
      </c>
      <c r="AO2570" t="s">
        <v>66</v>
      </c>
      <c r="AP2570">
        <v>1</v>
      </c>
      <c r="AQ2570" t="s">
        <v>10521</v>
      </c>
      <c r="AR2570" t="s">
        <v>10522</v>
      </c>
      <c r="AS2570" t="s">
        <v>10623</v>
      </c>
      <c r="AT2570" t="s">
        <v>66</v>
      </c>
    </row>
    <row r="2571" spans="1:46" x14ac:dyDescent="0.15">
      <c r="A2571" t="s">
        <v>10789</v>
      </c>
      <c r="B2571" t="s">
        <v>10310</v>
      </c>
      <c r="C2571" t="s">
        <v>10311</v>
      </c>
      <c r="D2571">
        <v>94</v>
      </c>
      <c r="E2571" t="s">
        <v>10312</v>
      </c>
      <c r="F2571" t="s">
        <v>1551</v>
      </c>
      <c r="G2571" t="s">
        <v>51</v>
      </c>
      <c r="H2571" t="s">
        <v>10313</v>
      </c>
      <c r="I2571" t="s">
        <v>53</v>
      </c>
      <c r="J2571" t="s">
        <v>2572</v>
      </c>
      <c r="K2571" t="s">
        <v>3594</v>
      </c>
      <c r="L2571" t="s">
        <v>17</v>
      </c>
      <c r="M2571" t="s">
        <v>16</v>
      </c>
      <c r="N2571">
        <v>5719</v>
      </c>
      <c r="O2571">
        <v>334</v>
      </c>
      <c r="P2571">
        <v>0</v>
      </c>
      <c r="Q2571" t="s">
        <v>10790</v>
      </c>
      <c r="R2571" t="s">
        <v>10791</v>
      </c>
      <c r="S2571" t="s">
        <v>10792</v>
      </c>
      <c r="T2571" t="s">
        <v>10793</v>
      </c>
      <c r="U2571" t="s">
        <v>60</v>
      </c>
      <c r="V2571" t="s">
        <v>61</v>
      </c>
      <c r="W2571">
        <v>10</v>
      </c>
      <c r="X2571">
        <v>0.1150625</v>
      </c>
      <c r="Y2571" t="s">
        <v>680</v>
      </c>
      <c r="Z2571" t="s">
        <v>681</v>
      </c>
      <c r="AA2571">
        <v>4</v>
      </c>
      <c r="AB2571" t="s">
        <v>10318</v>
      </c>
      <c r="AC2571" t="s">
        <v>10319</v>
      </c>
      <c r="AD2571" t="s">
        <v>10320</v>
      </c>
      <c r="AE2571" t="s">
        <v>10321</v>
      </c>
      <c r="AF2571" t="s">
        <v>10322</v>
      </c>
      <c r="AG2571" t="s">
        <v>322</v>
      </c>
      <c r="AH2571" t="s">
        <v>191</v>
      </c>
      <c r="AI2571" t="s">
        <v>322</v>
      </c>
      <c r="AJ2571" t="s">
        <v>590</v>
      </c>
      <c r="AK2571">
        <v>1</v>
      </c>
      <c r="AL2571" t="s">
        <v>10418</v>
      </c>
      <c r="AM2571" t="s">
        <v>10419</v>
      </c>
      <c r="AN2571" t="s">
        <v>10520</v>
      </c>
      <c r="AO2571" t="s">
        <v>66</v>
      </c>
      <c r="AP2571">
        <v>1</v>
      </c>
      <c r="AQ2571" t="s">
        <v>10521</v>
      </c>
      <c r="AR2571" t="s">
        <v>10522</v>
      </c>
      <c r="AS2571" t="s">
        <v>10623</v>
      </c>
      <c r="AT2571" t="s">
        <v>66</v>
      </c>
    </row>
    <row r="2572" spans="1:46" x14ac:dyDescent="0.15">
      <c r="A2572" t="s">
        <v>10794</v>
      </c>
      <c r="B2572" t="s">
        <v>10310</v>
      </c>
      <c r="C2572" t="s">
        <v>10311</v>
      </c>
      <c r="D2572">
        <v>95</v>
      </c>
      <c r="E2572" t="s">
        <v>10312</v>
      </c>
      <c r="F2572" t="s">
        <v>1551</v>
      </c>
      <c r="G2572" t="s">
        <v>51</v>
      </c>
      <c r="H2572" t="s">
        <v>10313</v>
      </c>
      <c r="I2572" t="s">
        <v>53</v>
      </c>
      <c r="J2572" t="s">
        <v>2572</v>
      </c>
      <c r="K2572" t="s">
        <v>3594</v>
      </c>
      <c r="L2572" t="s">
        <v>17</v>
      </c>
      <c r="M2572" t="s">
        <v>16</v>
      </c>
      <c r="N2572">
        <v>5776</v>
      </c>
      <c r="O2572">
        <v>337</v>
      </c>
      <c r="P2572">
        <v>0</v>
      </c>
      <c r="Q2572" t="s">
        <v>10795</v>
      </c>
      <c r="R2572" t="s">
        <v>10796</v>
      </c>
      <c r="S2572" t="s">
        <v>10797</v>
      </c>
      <c r="T2572" t="s">
        <v>10798</v>
      </c>
      <c r="U2572" t="s">
        <v>60</v>
      </c>
      <c r="V2572" t="s">
        <v>61</v>
      </c>
      <c r="W2572">
        <v>10</v>
      </c>
      <c r="X2572">
        <v>0.1150625</v>
      </c>
      <c r="Y2572" t="s">
        <v>376</v>
      </c>
      <c r="Z2572" t="s">
        <v>687</v>
      </c>
      <c r="AA2572">
        <v>4</v>
      </c>
      <c r="AB2572" t="s">
        <v>10318</v>
      </c>
      <c r="AC2572" t="s">
        <v>10319</v>
      </c>
      <c r="AD2572" t="s">
        <v>10320</v>
      </c>
      <c r="AE2572" t="s">
        <v>10321</v>
      </c>
      <c r="AF2572" t="s">
        <v>10322</v>
      </c>
      <c r="AG2572" t="s">
        <v>322</v>
      </c>
      <c r="AH2572" t="s">
        <v>191</v>
      </c>
      <c r="AI2572" t="s">
        <v>322</v>
      </c>
      <c r="AJ2572" t="s">
        <v>590</v>
      </c>
      <c r="AK2572">
        <v>1</v>
      </c>
      <c r="AL2572" t="s">
        <v>10418</v>
      </c>
      <c r="AM2572" t="s">
        <v>10419</v>
      </c>
      <c r="AN2572" t="s">
        <v>10520</v>
      </c>
      <c r="AO2572" t="s">
        <v>66</v>
      </c>
      <c r="AP2572">
        <v>1</v>
      </c>
      <c r="AQ2572" t="s">
        <v>10521</v>
      </c>
      <c r="AR2572" t="s">
        <v>10522</v>
      </c>
      <c r="AS2572" t="s">
        <v>10623</v>
      </c>
      <c r="AT2572" t="s">
        <v>66</v>
      </c>
    </row>
    <row r="2573" spans="1:46" x14ac:dyDescent="0.15">
      <c r="A2573" t="s">
        <v>10799</v>
      </c>
      <c r="B2573" t="s">
        <v>10310</v>
      </c>
      <c r="C2573" t="s">
        <v>10311</v>
      </c>
      <c r="D2573">
        <v>96</v>
      </c>
      <c r="E2573" t="s">
        <v>10312</v>
      </c>
      <c r="F2573" t="s">
        <v>1551</v>
      </c>
      <c r="G2573" t="s">
        <v>51</v>
      </c>
      <c r="H2573" t="s">
        <v>10313</v>
      </c>
      <c r="I2573" t="s">
        <v>53</v>
      </c>
      <c r="J2573" t="s">
        <v>2572</v>
      </c>
      <c r="K2573" t="s">
        <v>3594</v>
      </c>
      <c r="L2573" t="s">
        <v>17</v>
      </c>
      <c r="M2573" t="s">
        <v>16</v>
      </c>
      <c r="N2573">
        <v>5832</v>
      </c>
      <c r="O2573">
        <v>340</v>
      </c>
      <c r="P2573">
        <v>0</v>
      </c>
      <c r="Q2573" t="s">
        <v>10800</v>
      </c>
      <c r="R2573" t="s">
        <v>10801</v>
      </c>
      <c r="S2573" t="s">
        <v>10802</v>
      </c>
      <c r="T2573" t="s">
        <v>10803</v>
      </c>
      <c r="U2573" t="s">
        <v>60</v>
      </c>
      <c r="V2573" t="s">
        <v>61</v>
      </c>
      <c r="W2573">
        <v>10</v>
      </c>
      <c r="X2573">
        <v>0.1150625</v>
      </c>
      <c r="Y2573" t="s">
        <v>693</v>
      </c>
      <c r="Z2573" t="s">
        <v>694</v>
      </c>
      <c r="AA2573">
        <v>4</v>
      </c>
      <c r="AB2573" t="s">
        <v>10318</v>
      </c>
      <c r="AC2573" t="s">
        <v>10319</v>
      </c>
      <c r="AD2573" t="s">
        <v>10320</v>
      </c>
      <c r="AE2573" t="s">
        <v>10321</v>
      </c>
      <c r="AF2573" t="s">
        <v>10322</v>
      </c>
      <c r="AG2573" t="s">
        <v>322</v>
      </c>
      <c r="AH2573" t="s">
        <v>191</v>
      </c>
      <c r="AI2573" t="s">
        <v>322</v>
      </c>
      <c r="AJ2573" t="s">
        <v>590</v>
      </c>
      <c r="AK2573">
        <v>1</v>
      </c>
      <c r="AL2573" t="s">
        <v>10418</v>
      </c>
      <c r="AM2573" t="s">
        <v>10419</v>
      </c>
      <c r="AN2573" t="s">
        <v>10520</v>
      </c>
      <c r="AO2573" t="s">
        <v>66</v>
      </c>
      <c r="AP2573">
        <v>1</v>
      </c>
      <c r="AQ2573" t="s">
        <v>10521</v>
      </c>
      <c r="AR2573" t="s">
        <v>10522</v>
      </c>
      <c r="AS2573" t="s">
        <v>10623</v>
      </c>
      <c r="AT2573" t="s">
        <v>66</v>
      </c>
    </row>
    <row r="2574" spans="1:46" x14ac:dyDescent="0.15">
      <c r="A2574" t="s">
        <v>10804</v>
      </c>
      <c r="B2574" t="s">
        <v>10310</v>
      </c>
      <c r="C2574" t="s">
        <v>10311</v>
      </c>
      <c r="D2574">
        <v>97</v>
      </c>
      <c r="E2574" t="s">
        <v>10312</v>
      </c>
      <c r="F2574" t="s">
        <v>1551</v>
      </c>
      <c r="G2574" t="s">
        <v>51</v>
      </c>
      <c r="H2574" t="s">
        <v>10313</v>
      </c>
      <c r="I2574" t="s">
        <v>53</v>
      </c>
      <c r="J2574" t="s">
        <v>2572</v>
      </c>
      <c r="K2574" t="s">
        <v>3594</v>
      </c>
      <c r="L2574" t="s">
        <v>17</v>
      </c>
      <c r="M2574" t="s">
        <v>16</v>
      </c>
      <c r="N2574">
        <v>5888</v>
      </c>
      <c r="O2574">
        <v>343</v>
      </c>
      <c r="P2574">
        <v>0</v>
      </c>
      <c r="Q2574" t="s">
        <v>10805</v>
      </c>
      <c r="R2574" t="s">
        <v>10806</v>
      </c>
      <c r="S2574" t="s">
        <v>10807</v>
      </c>
      <c r="T2574" t="s">
        <v>10808</v>
      </c>
      <c r="U2574" t="s">
        <v>60</v>
      </c>
      <c r="V2574" t="s">
        <v>61</v>
      </c>
      <c r="W2574">
        <v>10</v>
      </c>
      <c r="X2574">
        <v>0.1150625</v>
      </c>
      <c r="Y2574" t="s">
        <v>382</v>
      </c>
      <c r="Z2574" t="s">
        <v>700</v>
      </c>
      <c r="AA2574">
        <v>4</v>
      </c>
      <c r="AB2574" t="s">
        <v>10318</v>
      </c>
      <c r="AC2574" t="s">
        <v>10319</v>
      </c>
      <c r="AD2574" t="s">
        <v>10320</v>
      </c>
      <c r="AE2574" t="s">
        <v>10321</v>
      </c>
      <c r="AF2574" t="s">
        <v>10322</v>
      </c>
      <c r="AG2574" t="s">
        <v>322</v>
      </c>
      <c r="AH2574" t="s">
        <v>191</v>
      </c>
      <c r="AI2574" t="s">
        <v>322</v>
      </c>
      <c r="AJ2574" t="s">
        <v>590</v>
      </c>
      <c r="AK2574">
        <v>1</v>
      </c>
      <c r="AL2574" t="s">
        <v>10418</v>
      </c>
      <c r="AM2574" t="s">
        <v>10419</v>
      </c>
      <c r="AN2574" t="s">
        <v>10520</v>
      </c>
      <c r="AO2574" t="s">
        <v>66</v>
      </c>
      <c r="AP2574">
        <v>1</v>
      </c>
      <c r="AQ2574" t="s">
        <v>10521</v>
      </c>
      <c r="AR2574" t="s">
        <v>10522</v>
      </c>
      <c r="AS2574" t="s">
        <v>10623</v>
      </c>
      <c r="AT2574" t="s">
        <v>66</v>
      </c>
    </row>
    <row r="2575" spans="1:46" x14ac:dyDescent="0.15">
      <c r="A2575" t="s">
        <v>10809</v>
      </c>
      <c r="B2575" t="s">
        <v>10310</v>
      </c>
      <c r="C2575" t="s">
        <v>10311</v>
      </c>
      <c r="D2575">
        <v>98</v>
      </c>
      <c r="E2575" t="s">
        <v>10312</v>
      </c>
      <c r="F2575" t="s">
        <v>1551</v>
      </c>
      <c r="G2575" t="s">
        <v>51</v>
      </c>
      <c r="H2575" t="s">
        <v>10313</v>
      </c>
      <c r="I2575" t="s">
        <v>53</v>
      </c>
      <c r="J2575" t="s">
        <v>2572</v>
      </c>
      <c r="K2575" t="s">
        <v>3594</v>
      </c>
      <c r="L2575" t="s">
        <v>17</v>
      </c>
      <c r="M2575" t="s">
        <v>16</v>
      </c>
      <c r="N2575">
        <v>5944</v>
      </c>
      <c r="O2575">
        <v>347</v>
      </c>
      <c r="P2575">
        <v>0</v>
      </c>
      <c r="Q2575" t="s">
        <v>10810</v>
      </c>
      <c r="R2575" t="s">
        <v>10811</v>
      </c>
      <c r="S2575" t="s">
        <v>10812</v>
      </c>
      <c r="T2575" t="s">
        <v>10813</v>
      </c>
      <c r="U2575" t="s">
        <v>60</v>
      </c>
      <c r="V2575" t="s">
        <v>61</v>
      </c>
      <c r="W2575">
        <v>10</v>
      </c>
      <c r="X2575">
        <v>0.1150625</v>
      </c>
      <c r="Y2575" t="s">
        <v>706</v>
      </c>
      <c r="Z2575" t="s">
        <v>707</v>
      </c>
      <c r="AA2575">
        <v>4</v>
      </c>
      <c r="AB2575" t="s">
        <v>10318</v>
      </c>
      <c r="AC2575" t="s">
        <v>10319</v>
      </c>
      <c r="AD2575" t="s">
        <v>10320</v>
      </c>
      <c r="AE2575" t="s">
        <v>10321</v>
      </c>
      <c r="AF2575" t="s">
        <v>10322</v>
      </c>
      <c r="AG2575" t="s">
        <v>322</v>
      </c>
      <c r="AH2575" t="s">
        <v>191</v>
      </c>
      <c r="AI2575" t="s">
        <v>322</v>
      </c>
      <c r="AJ2575" t="s">
        <v>590</v>
      </c>
      <c r="AK2575">
        <v>1</v>
      </c>
      <c r="AL2575" t="s">
        <v>10418</v>
      </c>
      <c r="AM2575" t="s">
        <v>10419</v>
      </c>
      <c r="AN2575" t="s">
        <v>10520</v>
      </c>
      <c r="AO2575" t="s">
        <v>66</v>
      </c>
      <c r="AP2575">
        <v>1</v>
      </c>
      <c r="AQ2575" t="s">
        <v>10521</v>
      </c>
      <c r="AR2575" t="s">
        <v>10522</v>
      </c>
      <c r="AS2575" t="s">
        <v>10623</v>
      </c>
      <c r="AT2575" t="s">
        <v>66</v>
      </c>
    </row>
    <row r="2576" spans="1:46" x14ac:dyDescent="0.15">
      <c r="A2576" t="s">
        <v>10814</v>
      </c>
      <c r="B2576" t="s">
        <v>10310</v>
      </c>
      <c r="C2576" t="s">
        <v>10311</v>
      </c>
      <c r="D2576">
        <v>99</v>
      </c>
      <c r="E2576" t="s">
        <v>10312</v>
      </c>
      <c r="F2576" t="s">
        <v>1551</v>
      </c>
      <c r="G2576" t="s">
        <v>51</v>
      </c>
      <c r="H2576" t="s">
        <v>10313</v>
      </c>
      <c r="I2576" t="s">
        <v>53</v>
      </c>
      <c r="J2576" t="s">
        <v>2572</v>
      </c>
      <c r="K2576" t="s">
        <v>3594</v>
      </c>
      <c r="L2576" t="s">
        <v>17</v>
      </c>
      <c r="M2576" t="s">
        <v>16</v>
      </c>
      <c r="N2576">
        <v>6000</v>
      </c>
      <c r="O2576">
        <v>350</v>
      </c>
      <c r="P2576">
        <v>0</v>
      </c>
      <c r="Q2576" t="s">
        <v>10815</v>
      </c>
      <c r="R2576" t="s">
        <v>10816</v>
      </c>
      <c r="S2576" t="s">
        <v>10817</v>
      </c>
      <c r="T2576" t="s">
        <v>10818</v>
      </c>
      <c r="U2576" t="s">
        <v>60</v>
      </c>
      <c r="V2576" t="s">
        <v>61</v>
      </c>
      <c r="W2576">
        <v>10</v>
      </c>
      <c r="X2576">
        <v>0.1150625</v>
      </c>
      <c r="Y2576" t="s">
        <v>389</v>
      </c>
      <c r="Z2576" t="s">
        <v>713</v>
      </c>
      <c r="AA2576">
        <v>4</v>
      </c>
      <c r="AB2576" t="s">
        <v>10318</v>
      </c>
      <c r="AC2576" t="s">
        <v>10319</v>
      </c>
      <c r="AD2576" t="s">
        <v>10320</v>
      </c>
      <c r="AE2576" t="s">
        <v>10321</v>
      </c>
      <c r="AF2576" t="s">
        <v>10322</v>
      </c>
      <c r="AG2576" t="s">
        <v>322</v>
      </c>
      <c r="AH2576" t="s">
        <v>191</v>
      </c>
      <c r="AI2576" t="s">
        <v>322</v>
      </c>
      <c r="AJ2576" t="s">
        <v>590</v>
      </c>
      <c r="AK2576">
        <v>1</v>
      </c>
      <c r="AL2576" t="s">
        <v>10418</v>
      </c>
      <c r="AM2576" t="s">
        <v>10419</v>
      </c>
      <c r="AN2576" t="s">
        <v>10520</v>
      </c>
      <c r="AO2576" t="s">
        <v>66</v>
      </c>
      <c r="AP2576">
        <v>1</v>
      </c>
      <c r="AQ2576" t="s">
        <v>10521</v>
      </c>
      <c r="AR2576" t="s">
        <v>10522</v>
      </c>
      <c r="AS2576" t="s">
        <v>10623</v>
      </c>
      <c r="AT2576" t="s">
        <v>66</v>
      </c>
    </row>
    <row r="2577" spans="1:46" x14ac:dyDescent="0.15">
      <c r="A2577" t="s">
        <v>10819</v>
      </c>
      <c r="B2577" t="s">
        <v>10820</v>
      </c>
      <c r="C2577" t="s">
        <v>10821</v>
      </c>
      <c r="D2577">
        <v>1</v>
      </c>
      <c r="E2577" t="s">
        <v>10822</v>
      </c>
      <c r="F2577" t="s">
        <v>3083</v>
      </c>
      <c r="G2577" t="s">
        <v>51</v>
      </c>
      <c r="H2577" t="s">
        <v>10823</v>
      </c>
      <c r="I2577" t="s">
        <v>53</v>
      </c>
      <c r="J2577" t="s">
        <v>54</v>
      </c>
      <c r="K2577" t="s">
        <v>55</v>
      </c>
      <c r="L2577" t="s">
        <v>19</v>
      </c>
      <c r="M2577" t="s">
        <v>17</v>
      </c>
      <c r="N2577">
        <v>500</v>
      </c>
      <c r="O2577">
        <v>30</v>
      </c>
      <c r="P2577">
        <v>0</v>
      </c>
      <c r="Q2577" t="s">
        <v>4107</v>
      </c>
      <c r="R2577" t="s">
        <v>1339</v>
      </c>
      <c r="S2577" t="s">
        <v>10824</v>
      </c>
      <c r="T2577" t="s">
        <v>6350</v>
      </c>
      <c r="U2577" t="s">
        <v>60</v>
      </c>
      <c r="V2577" t="s">
        <v>61</v>
      </c>
      <c r="W2577">
        <v>3</v>
      </c>
      <c r="X2577">
        <v>0.14000000000000001</v>
      </c>
      <c r="Y2577" t="s">
        <v>62</v>
      </c>
      <c r="Z2577" t="s">
        <v>62</v>
      </c>
      <c r="AA2577">
        <v>0</v>
      </c>
      <c r="AB2577" t="s">
        <v>10825</v>
      </c>
      <c r="AC2577" t="s">
        <v>10826</v>
      </c>
      <c r="AD2577" t="s">
        <v>10827</v>
      </c>
      <c r="AE2577" t="s">
        <v>10828</v>
      </c>
      <c r="AF2577" t="s">
        <v>10829</v>
      </c>
      <c r="AG2577" t="s">
        <v>66</v>
      </c>
      <c r="AH2577" t="s">
        <v>66</v>
      </c>
      <c r="AI2577" t="s">
        <v>66</v>
      </c>
      <c r="AJ2577" t="s">
        <v>66</v>
      </c>
      <c r="AK2577">
        <v>1</v>
      </c>
      <c r="AL2577" t="s">
        <v>66</v>
      </c>
      <c r="AM2577" t="s">
        <v>66</v>
      </c>
      <c r="AN2577" t="s">
        <v>66</v>
      </c>
      <c r="AO2577" t="s">
        <v>66</v>
      </c>
      <c r="AP2577">
        <v>1</v>
      </c>
      <c r="AQ2577" t="s">
        <v>66</v>
      </c>
      <c r="AR2577" t="s">
        <v>66</v>
      </c>
      <c r="AS2577" t="s">
        <v>66</v>
      </c>
      <c r="AT2577" t="s">
        <v>66</v>
      </c>
    </row>
    <row r="2578" spans="1:46" x14ac:dyDescent="0.15">
      <c r="A2578" t="s">
        <v>10830</v>
      </c>
      <c r="B2578" t="s">
        <v>10820</v>
      </c>
      <c r="C2578" t="s">
        <v>10821</v>
      </c>
      <c r="D2578">
        <v>2</v>
      </c>
      <c r="E2578" t="s">
        <v>10822</v>
      </c>
      <c r="F2578" t="s">
        <v>3083</v>
      </c>
      <c r="G2578" t="s">
        <v>51</v>
      </c>
      <c r="H2578" t="s">
        <v>10823</v>
      </c>
      <c r="I2578" t="s">
        <v>53</v>
      </c>
      <c r="J2578" t="s">
        <v>54</v>
      </c>
      <c r="K2578" t="s">
        <v>55</v>
      </c>
      <c r="L2578" t="s">
        <v>19</v>
      </c>
      <c r="M2578" t="s">
        <v>17</v>
      </c>
      <c r="N2578">
        <v>556</v>
      </c>
      <c r="O2578">
        <v>33</v>
      </c>
      <c r="P2578">
        <v>0</v>
      </c>
      <c r="Q2578" t="s">
        <v>10831</v>
      </c>
      <c r="R2578" t="s">
        <v>10832</v>
      </c>
      <c r="S2578" t="s">
        <v>10833</v>
      </c>
      <c r="T2578" t="s">
        <v>10834</v>
      </c>
      <c r="U2578" t="s">
        <v>60</v>
      </c>
      <c r="V2578" t="s">
        <v>61</v>
      </c>
      <c r="W2578">
        <v>3</v>
      </c>
      <c r="X2578">
        <v>0.14000000000000001</v>
      </c>
      <c r="Y2578" t="s">
        <v>72</v>
      </c>
      <c r="Z2578" t="s">
        <v>73</v>
      </c>
      <c r="AA2578">
        <v>0</v>
      </c>
      <c r="AB2578" t="s">
        <v>10825</v>
      </c>
      <c r="AC2578" t="s">
        <v>10826</v>
      </c>
      <c r="AD2578" t="s">
        <v>10827</v>
      </c>
      <c r="AE2578" t="s">
        <v>10828</v>
      </c>
      <c r="AF2578" t="s">
        <v>10829</v>
      </c>
      <c r="AG2578" t="s">
        <v>66</v>
      </c>
      <c r="AH2578" t="s">
        <v>66</v>
      </c>
      <c r="AI2578" t="s">
        <v>66</v>
      </c>
      <c r="AJ2578" t="s">
        <v>66</v>
      </c>
      <c r="AK2578">
        <v>1</v>
      </c>
      <c r="AL2578" t="s">
        <v>66</v>
      </c>
      <c r="AM2578" t="s">
        <v>66</v>
      </c>
      <c r="AN2578" t="s">
        <v>66</v>
      </c>
      <c r="AO2578" t="s">
        <v>66</v>
      </c>
      <c r="AP2578">
        <v>1</v>
      </c>
      <c r="AQ2578" t="s">
        <v>66</v>
      </c>
      <c r="AR2578" t="s">
        <v>66</v>
      </c>
      <c r="AS2578" t="s">
        <v>66</v>
      </c>
      <c r="AT2578" t="s">
        <v>66</v>
      </c>
    </row>
    <row r="2579" spans="1:46" x14ac:dyDescent="0.15">
      <c r="A2579" t="s">
        <v>10835</v>
      </c>
      <c r="B2579" t="s">
        <v>10820</v>
      </c>
      <c r="C2579" t="s">
        <v>10821</v>
      </c>
      <c r="D2579">
        <v>3</v>
      </c>
      <c r="E2579" t="s">
        <v>10822</v>
      </c>
      <c r="F2579" t="s">
        <v>3083</v>
      </c>
      <c r="G2579" t="s">
        <v>51</v>
      </c>
      <c r="H2579" t="s">
        <v>10823</v>
      </c>
      <c r="I2579" t="s">
        <v>53</v>
      </c>
      <c r="J2579" t="s">
        <v>54</v>
      </c>
      <c r="K2579" t="s">
        <v>55</v>
      </c>
      <c r="L2579" t="s">
        <v>19</v>
      </c>
      <c r="M2579" t="s">
        <v>17</v>
      </c>
      <c r="N2579">
        <v>612</v>
      </c>
      <c r="O2579">
        <v>37</v>
      </c>
      <c r="P2579">
        <v>0</v>
      </c>
      <c r="Q2579" t="s">
        <v>10836</v>
      </c>
      <c r="R2579" t="s">
        <v>10837</v>
      </c>
      <c r="S2579" t="s">
        <v>10838</v>
      </c>
      <c r="T2579" t="s">
        <v>10839</v>
      </c>
      <c r="U2579" t="s">
        <v>60</v>
      </c>
      <c r="V2579" t="s">
        <v>61</v>
      </c>
      <c r="W2579">
        <v>3</v>
      </c>
      <c r="X2579">
        <v>0.14000000000000001</v>
      </c>
      <c r="Y2579" t="s">
        <v>73</v>
      </c>
      <c r="Z2579" t="s">
        <v>79</v>
      </c>
      <c r="AA2579">
        <v>0</v>
      </c>
      <c r="AB2579" t="s">
        <v>10825</v>
      </c>
      <c r="AC2579" t="s">
        <v>10826</v>
      </c>
      <c r="AD2579" t="s">
        <v>10827</v>
      </c>
      <c r="AE2579" t="s">
        <v>10828</v>
      </c>
      <c r="AF2579" t="s">
        <v>10829</v>
      </c>
      <c r="AG2579" t="s">
        <v>66</v>
      </c>
      <c r="AH2579" t="s">
        <v>66</v>
      </c>
      <c r="AI2579" t="s">
        <v>66</v>
      </c>
      <c r="AJ2579" t="s">
        <v>66</v>
      </c>
      <c r="AK2579">
        <v>1</v>
      </c>
      <c r="AL2579" t="s">
        <v>66</v>
      </c>
      <c r="AM2579" t="s">
        <v>66</v>
      </c>
      <c r="AN2579" t="s">
        <v>66</v>
      </c>
      <c r="AO2579" t="s">
        <v>66</v>
      </c>
      <c r="AP2579">
        <v>1</v>
      </c>
      <c r="AQ2579" t="s">
        <v>66</v>
      </c>
      <c r="AR2579" t="s">
        <v>66</v>
      </c>
      <c r="AS2579" t="s">
        <v>66</v>
      </c>
      <c r="AT2579" t="s">
        <v>66</v>
      </c>
    </row>
    <row r="2580" spans="1:46" x14ac:dyDescent="0.15">
      <c r="A2580" t="s">
        <v>10840</v>
      </c>
      <c r="B2580" t="s">
        <v>10820</v>
      </c>
      <c r="C2580" t="s">
        <v>10821</v>
      </c>
      <c r="D2580">
        <v>4</v>
      </c>
      <c r="E2580" t="s">
        <v>10822</v>
      </c>
      <c r="F2580" t="s">
        <v>3083</v>
      </c>
      <c r="G2580" t="s">
        <v>51</v>
      </c>
      <c r="H2580" t="s">
        <v>10823</v>
      </c>
      <c r="I2580" t="s">
        <v>53</v>
      </c>
      <c r="J2580" t="s">
        <v>54</v>
      </c>
      <c r="K2580" t="s">
        <v>55</v>
      </c>
      <c r="L2580" t="s">
        <v>19</v>
      </c>
      <c r="M2580" t="s">
        <v>17</v>
      </c>
      <c r="N2580">
        <v>668</v>
      </c>
      <c r="O2580">
        <v>40</v>
      </c>
      <c r="P2580">
        <v>0</v>
      </c>
      <c r="Q2580" t="s">
        <v>10841</v>
      </c>
      <c r="R2580" t="s">
        <v>10842</v>
      </c>
      <c r="S2580" t="s">
        <v>10843</v>
      </c>
      <c r="T2580" t="s">
        <v>10844</v>
      </c>
      <c r="U2580" t="s">
        <v>60</v>
      </c>
      <c r="V2580" t="s">
        <v>61</v>
      </c>
      <c r="W2580">
        <v>3</v>
      </c>
      <c r="X2580">
        <v>0.14000000000000001</v>
      </c>
      <c r="Y2580" t="s">
        <v>85</v>
      </c>
      <c r="Z2580" t="s">
        <v>86</v>
      </c>
      <c r="AA2580">
        <v>0</v>
      </c>
      <c r="AB2580" t="s">
        <v>10825</v>
      </c>
      <c r="AC2580" t="s">
        <v>10826</v>
      </c>
      <c r="AD2580" t="s">
        <v>10827</v>
      </c>
      <c r="AE2580" t="s">
        <v>10828</v>
      </c>
      <c r="AF2580" t="s">
        <v>10829</v>
      </c>
      <c r="AG2580" t="s">
        <v>66</v>
      </c>
      <c r="AH2580" t="s">
        <v>66</v>
      </c>
      <c r="AI2580" t="s">
        <v>66</v>
      </c>
      <c r="AJ2580" t="s">
        <v>66</v>
      </c>
      <c r="AK2580">
        <v>1</v>
      </c>
      <c r="AL2580" t="s">
        <v>66</v>
      </c>
      <c r="AM2580" t="s">
        <v>66</v>
      </c>
      <c r="AN2580" t="s">
        <v>66</v>
      </c>
      <c r="AO2580" t="s">
        <v>66</v>
      </c>
      <c r="AP2580">
        <v>1</v>
      </c>
      <c r="AQ2580" t="s">
        <v>66</v>
      </c>
      <c r="AR2580" t="s">
        <v>66</v>
      </c>
      <c r="AS2580" t="s">
        <v>66</v>
      </c>
      <c r="AT2580" t="s">
        <v>66</v>
      </c>
    </row>
    <row r="2581" spans="1:46" x14ac:dyDescent="0.15">
      <c r="A2581" t="s">
        <v>10845</v>
      </c>
      <c r="B2581" t="s">
        <v>10820</v>
      </c>
      <c r="C2581" t="s">
        <v>10821</v>
      </c>
      <c r="D2581">
        <v>5</v>
      </c>
      <c r="E2581" t="s">
        <v>10822</v>
      </c>
      <c r="F2581" t="s">
        <v>3083</v>
      </c>
      <c r="G2581" t="s">
        <v>51</v>
      </c>
      <c r="H2581" t="s">
        <v>10823</v>
      </c>
      <c r="I2581" t="s">
        <v>53</v>
      </c>
      <c r="J2581" t="s">
        <v>54</v>
      </c>
      <c r="K2581" t="s">
        <v>55</v>
      </c>
      <c r="L2581" t="s">
        <v>19</v>
      </c>
      <c r="M2581" t="s">
        <v>17</v>
      </c>
      <c r="N2581">
        <v>724</v>
      </c>
      <c r="O2581">
        <v>43</v>
      </c>
      <c r="P2581">
        <v>0</v>
      </c>
      <c r="Q2581" t="s">
        <v>10846</v>
      </c>
      <c r="R2581" t="s">
        <v>10847</v>
      </c>
      <c r="S2581" t="s">
        <v>10848</v>
      </c>
      <c r="T2581" t="s">
        <v>10849</v>
      </c>
      <c r="U2581" t="s">
        <v>60</v>
      </c>
      <c r="V2581" t="s">
        <v>61</v>
      </c>
      <c r="W2581">
        <v>3</v>
      </c>
      <c r="X2581">
        <v>0.14000000000000001</v>
      </c>
      <c r="Y2581" t="s">
        <v>79</v>
      </c>
      <c r="Z2581" t="s">
        <v>92</v>
      </c>
      <c r="AA2581">
        <v>0</v>
      </c>
      <c r="AB2581" t="s">
        <v>10825</v>
      </c>
      <c r="AC2581" t="s">
        <v>10826</v>
      </c>
      <c r="AD2581" t="s">
        <v>10827</v>
      </c>
      <c r="AE2581" t="s">
        <v>10828</v>
      </c>
      <c r="AF2581" t="s">
        <v>10829</v>
      </c>
      <c r="AG2581" t="s">
        <v>66</v>
      </c>
      <c r="AH2581" t="s">
        <v>66</v>
      </c>
      <c r="AI2581" t="s">
        <v>66</v>
      </c>
      <c r="AJ2581" t="s">
        <v>66</v>
      </c>
      <c r="AK2581">
        <v>1</v>
      </c>
      <c r="AL2581" t="s">
        <v>66</v>
      </c>
      <c r="AM2581" t="s">
        <v>66</v>
      </c>
      <c r="AN2581" t="s">
        <v>66</v>
      </c>
      <c r="AO2581" t="s">
        <v>66</v>
      </c>
      <c r="AP2581">
        <v>1</v>
      </c>
      <c r="AQ2581" t="s">
        <v>66</v>
      </c>
      <c r="AR2581" t="s">
        <v>66</v>
      </c>
      <c r="AS2581" t="s">
        <v>66</v>
      </c>
      <c r="AT2581" t="s">
        <v>66</v>
      </c>
    </row>
    <row r="2582" spans="1:46" x14ac:dyDescent="0.15">
      <c r="A2582" t="s">
        <v>10850</v>
      </c>
      <c r="B2582" t="s">
        <v>10820</v>
      </c>
      <c r="C2582" t="s">
        <v>10821</v>
      </c>
      <c r="D2582">
        <v>6</v>
      </c>
      <c r="E2582" t="s">
        <v>10822</v>
      </c>
      <c r="F2582" t="s">
        <v>3083</v>
      </c>
      <c r="G2582" t="s">
        <v>51</v>
      </c>
      <c r="H2582" t="s">
        <v>10823</v>
      </c>
      <c r="I2582" t="s">
        <v>53</v>
      </c>
      <c r="J2582" t="s">
        <v>54</v>
      </c>
      <c r="K2582" t="s">
        <v>55</v>
      </c>
      <c r="L2582" t="s">
        <v>19</v>
      </c>
      <c r="M2582" t="s">
        <v>17</v>
      </c>
      <c r="N2582">
        <v>781</v>
      </c>
      <c r="O2582">
        <v>46</v>
      </c>
      <c r="P2582">
        <v>0</v>
      </c>
      <c r="Q2582" t="s">
        <v>10851</v>
      </c>
      <c r="R2582" t="s">
        <v>10852</v>
      </c>
      <c r="S2582" t="s">
        <v>10853</v>
      </c>
      <c r="T2582" t="s">
        <v>10854</v>
      </c>
      <c r="U2582" t="s">
        <v>60</v>
      </c>
      <c r="V2582" t="s">
        <v>61</v>
      </c>
      <c r="W2582">
        <v>3</v>
      </c>
      <c r="X2582">
        <v>0.14000000000000001</v>
      </c>
      <c r="Y2582" t="s">
        <v>98</v>
      </c>
      <c r="Z2582" t="s">
        <v>99</v>
      </c>
      <c r="AA2582">
        <v>0</v>
      </c>
      <c r="AB2582" t="s">
        <v>10825</v>
      </c>
      <c r="AC2582" t="s">
        <v>10826</v>
      </c>
      <c r="AD2582" t="s">
        <v>10827</v>
      </c>
      <c r="AE2582" t="s">
        <v>10828</v>
      </c>
      <c r="AF2582" t="s">
        <v>10829</v>
      </c>
      <c r="AG2582" t="s">
        <v>66</v>
      </c>
      <c r="AH2582" t="s">
        <v>66</v>
      </c>
      <c r="AI2582" t="s">
        <v>66</v>
      </c>
      <c r="AJ2582" t="s">
        <v>66</v>
      </c>
      <c r="AK2582">
        <v>1</v>
      </c>
      <c r="AL2582" t="s">
        <v>66</v>
      </c>
      <c r="AM2582" t="s">
        <v>66</v>
      </c>
      <c r="AN2582" t="s">
        <v>66</v>
      </c>
      <c r="AO2582" t="s">
        <v>66</v>
      </c>
      <c r="AP2582">
        <v>1</v>
      </c>
      <c r="AQ2582" t="s">
        <v>66</v>
      </c>
      <c r="AR2582" t="s">
        <v>66</v>
      </c>
      <c r="AS2582" t="s">
        <v>66</v>
      </c>
      <c r="AT2582" t="s">
        <v>66</v>
      </c>
    </row>
    <row r="2583" spans="1:46" x14ac:dyDescent="0.15">
      <c r="A2583" t="s">
        <v>10855</v>
      </c>
      <c r="B2583" t="s">
        <v>10820</v>
      </c>
      <c r="C2583" t="s">
        <v>10821</v>
      </c>
      <c r="D2583">
        <v>7</v>
      </c>
      <c r="E2583" t="s">
        <v>10822</v>
      </c>
      <c r="F2583" t="s">
        <v>3083</v>
      </c>
      <c r="G2583" t="s">
        <v>51</v>
      </c>
      <c r="H2583" t="s">
        <v>10823</v>
      </c>
      <c r="I2583" t="s">
        <v>53</v>
      </c>
      <c r="J2583" t="s">
        <v>54</v>
      </c>
      <c r="K2583" t="s">
        <v>55</v>
      </c>
      <c r="L2583" t="s">
        <v>19</v>
      </c>
      <c r="M2583" t="s">
        <v>17</v>
      </c>
      <c r="N2583">
        <v>837</v>
      </c>
      <c r="O2583">
        <v>50</v>
      </c>
      <c r="P2583">
        <v>0</v>
      </c>
      <c r="Q2583" t="s">
        <v>10856</v>
      </c>
      <c r="R2583" t="s">
        <v>10857</v>
      </c>
      <c r="S2583" t="s">
        <v>10858</v>
      </c>
      <c r="T2583" t="s">
        <v>10859</v>
      </c>
      <c r="U2583" t="s">
        <v>60</v>
      </c>
      <c r="V2583" t="s">
        <v>61</v>
      </c>
      <c r="W2583">
        <v>3</v>
      </c>
      <c r="X2583">
        <v>0.14000000000000001</v>
      </c>
      <c r="Y2583" t="s">
        <v>86</v>
      </c>
      <c r="Z2583" t="s">
        <v>105</v>
      </c>
      <c r="AA2583">
        <v>0</v>
      </c>
      <c r="AB2583" t="s">
        <v>10825</v>
      </c>
      <c r="AC2583" t="s">
        <v>10826</v>
      </c>
      <c r="AD2583" t="s">
        <v>10827</v>
      </c>
      <c r="AE2583" t="s">
        <v>10828</v>
      </c>
      <c r="AF2583" t="s">
        <v>10829</v>
      </c>
      <c r="AG2583" t="s">
        <v>66</v>
      </c>
      <c r="AH2583" t="s">
        <v>66</v>
      </c>
      <c r="AI2583" t="s">
        <v>66</v>
      </c>
      <c r="AJ2583" t="s">
        <v>66</v>
      </c>
      <c r="AK2583">
        <v>1</v>
      </c>
      <c r="AL2583" t="s">
        <v>66</v>
      </c>
      <c r="AM2583" t="s">
        <v>66</v>
      </c>
      <c r="AN2583" t="s">
        <v>66</v>
      </c>
      <c r="AO2583" t="s">
        <v>66</v>
      </c>
      <c r="AP2583">
        <v>1</v>
      </c>
      <c r="AQ2583" t="s">
        <v>66</v>
      </c>
      <c r="AR2583" t="s">
        <v>66</v>
      </c>
      <c r="AS2583" t="s">
        <v>66</v>
      </c>
      <c r="AT2583" t="s">
        <v>66</v>
      </c>
    </row>
    <row r="2584" spans="1:46" x14ac:dyDescent="0.15">
      <c r="A2584" t="s">
        <v>10860</v>
      </c>
      <c r="B2584" t="s">
        <v>10820</v>
      </c>
      <c r="C2584" t="s">
        <v>10821</v>
      </c>
      <c r="D2584">
        <v>8</v>
      </c>
      <c r="E2584" t="s">
        <v>10822</v>
      </c>
      <c r="F2584" t="s">
        <v>3083</v>
      </c>
      <c r="G2584" t="s">
        <v>51</v>
      </c>
      <c r="H2584" t="s">
        <v>10823</v>
      </c>
      <c r="I2584" t="s">
        <v>53</v>
      </c>
      <c r="J2584" t="s">
        <v>54</v>
      </c>
      <c r="K2584" t="s">
        <v>55</v>
      </c>
      <c r="L2584" t="s">
        <v>19</v>
      </c>
      <c r="M2584" t="s">
        <v>17</v>
      </c>
      <c r="N2584">
        <v>893</v>
      </c>
      <c r="O2584">
        <v>53</v>
      </c>
      <c r="P2584">
        <v>0</v>
      </c>
      <c r="Q2584" t="s">
        <v>10861</v>
      </c>
      <c r="R2584" t="s">
        <v>10862</v>
      </c>
      <c r="S2584" t="s">
        <v>10863</v>
      </c>
      <c r="T2584" t="s">
        <v>10864</v>
      </c>
      <c r="U2584" t="s">
        <v>60</v>
      </c>
      <c r="V2584" t="s">
        <v>61</v>
      </c>
      <c r="W2584">
        <v>3</v>
      </c>
      <c r="X2584">
        <v>0.14000000000000001</v>
      </c>
      <c r="Y2584" t="s">
        <v>111</v>
      </c>
      <c r="Z2584" t="s">
        <v>112</v>
      </c>
      <c r="AA2584">
        <v>0</v>
      </c>
      <c r="AB2584" t="s">
        <v>10825</v>
      </c>
      <c r="AC2584" t="s">
        <v>10826</v>
      </c>
      <c r="AD2584" t="s">
        <v>10827</v>
      </c>
      <c r="AE2584" t="s">
        <v>10828</v>
      </c>
      <c r="AF2584" t="s">
        <v>10829</v>
      </c>
      <c r="AG2584" t="s">
        <v>66</v>
      </c>
      <c r="AH2584" t="s">
        <v>66</v>
      </c>
      <c r="AI2584" t="s">
        <v>66</v>
      </c>
      <c r="AJ2584" t="s">
        <v>66</v>
      </c>
      <c r="AK2584">
        <v>1</v>
      </c>
      <c r="AL2584" t="s">
        <v>66</v>
      </c>
      <c r="AM2584" t="s">
        <v>66</v>
      </c>
      <c r="AN2584" t="s">
        <v>66</v>
      </c>
      <c r="AO2584" t="s">
        <v>66</v>
      </c>
      <c r="AP2584">
        <v>1</v>
      </c>
      <c r="AQ2584" t="s">
        <v>66</v>
      </c>
      <c r="AR2584" t="s">
        <v>66</v>
      </c>
      <c r="AS2584" t="s">
        <v>66</v>
      </c>
      <c r="AT2584" t="s">
        <v>66</v>
      </c>
    </row>
    <row r="2585" spans="1:46" x14ac:dyDescent="0.15">
      <c r="A2585" t="s">
        <v>10865</v>
      </c>
      <c r="B2585" t="s">
        <v>10820</v>
      </c>
      <c r="C2585" t="s">
        <v>10821</v>
      </c>
      <c r="D2585">
        <v>9</v>
      </c>
      <c r="E2585" t="s">
        <v>10822</v>
      </c>
      <c r="F2585" t="s">
        <v>3083</v>
      </c>
      <c r="G2585" t="s">
        <v>51</v>
      </c>
      <c r="H2585" t="s">
        <v>10823</v>
      </c>
      <c r="I2585" t="s">
        <v>53</v>
      </c>
      <c r="J2585" t="s">
        <v>54</v>
      </c>
      <c r="K2585" t="s">
        <v>55</v>
      </c>
      <c r="L2585" t="s">
        <v>19</v>
      </c>
      <c r="M2585" t="s">
        <v>17</v>
      </c>
      <c r="N2585">
        <v>949</v>
      </c>
      <c r="O2585">
        <v>56</v>
      </c>
      <c r="P2585">
        <v>0</v>
      </c>
      <c r="Q2585" t="s">
        <v>10866</v>
      </c>
      <c r="R2585" t="s">
        <v>10867</v>
      </c>
      <c r="S2585" t="s">
        <v>10868</v>
      </c>
      <c r="T2585" t="s">
        <v>10869</v>
      </c>
      <c r="U2585" t="s">
        <v>60</v>
      </c>
      <c r="V2585" t="s">
        <v>61</v>
      </c>
      <c r="W2585">
        <v>3</v>
      </c>
      <c r="X2585">
        <v>0.14000000000000001</v>
      </c>
      <c r="Y2585" t="s">
        <v>92</v>
      </c>
      <c r="Z2585" t="s">
        <v>118</v>
      </c>
      <c r="AA2585">
        <v>0</v>
      </c>
      <c r="AB2585" t="s">
        <v>10825</v>
      </c>
      <c r="AC2585" t="s">
        <v>10826</v>
      </c>
      <c r="AD2585" t="s">
        <v>10827</v>
      </c>
      <c r="AE2585" t="s">
        <v>10828</v>
      </c>
      <c r="AF2585" t="s">
        <v>10829</v>
      </c>
      <c r="AG2585" t="s">
        <v>66</v>
      </c>
      <c r="AH2585" t="s">
        <v>66</v>
      </c>
      <c r="AI2585" t="s">
        <v>66</v>
      </c>
      <c r="AJ2585" t="s">
        <v>66</v>
      </c>
      <c r="AK2585">
        <v>1</v>
      </c>
      <c r="AL2585" t="s">
        <v>66</v>
      </c>
      <c r="AM2585" t="s">
        <v>66</v>
      </c>
      <c r="AN2585" t="s">
        <v>66</v>
      </c>
      <c r="AO2585" t="s">
        <v>66</v>
      </c>
      <c r="AP2585">
        <v>1</v>
      </c>
      <c r="AQ2585" t="s">
        <v>66</v>
      </c>
      <c r="AR2585" t="s">
        <v>66</v>
      </c>
      <c r="AS2585" t="s">
        <v>66</v>
      </c>
      <c r="AT2585" t="s">
        <v>66</v>
      </c>
    </row>
    <row r="2586" spans="1:46" x14ac:dyDescent="0.15">
      <c r="A2586" t="s">
        <v>10870</v>
      </c>
      <c r="B2586" t="s">
        <v>10820</v>
      </c>
      <c r="C2586" t="s">
        <v>10821</v>
      </c>
      <c r="D2586">
        <v>10</v>
      </c>
      <c r="E2586" t="s">
        <v>10822</v>
      </c>
      <c r="F2586" t="s">
        <v>3083</v>
      </c>
      <c r="G2586" t="s">
        <v>51</v>
      </c>
      <c r="H2586" t="s">
        <v>10823</v>
      </c>
      <c r="I2586" t="s">
        <v>53</v>
      </c>
      <c r="J2586" t="s">
        <v>54</v>
      </c>
      <c r="K2586" t="s">
        <v>55</v>
      </c>
      <c r="L2586" t="s">
        <v>19</v>
      </c>
      <c r="M2586" t="s">
        <v>17</v>
      </c>
      <c r="N2586">
        <v>1005</v>
      </c>
      <c r="O2586">
        <v>59</v>
      </c>
      <c r="P2586">
        <v>0</v>
      </c>
      <c r="Q2586" t="s">
        <v>10871</v>
      </c>
      <c r="R2586" t="s">
        <v>10872</v>
      </c>
      <c r="S2586" t="s">
        <v>10873</v>
      </c>
      <c r="T2586" t="s">
        <v>10874</v>
      </c>
      <c r="U2586" t="s">
        <v>60</v>
      </c>
      <c r="V2586" t="s">
        <v>61</v>
      </c>
      <c r="W2586">
        <v>3</v>
      </c>
      <c r="X2586">
        <v>0.14000000000000001</v>
      </c>
      <c r="Y2586" t="s">
        <v>124</v>
      </c>
      <c r="Z2586" t="s">
        <v>125</v>
      </c>
      <c r="AA2586">
        <v>0</v>
      </c>
      <c r="AB2586" t="s">
        <v>10825</v>
      </c>
      <c r="AC2586" t="s">
        <v>10826</v>
      </c>
      <c r="AD2586" t="s">
        <v>10827</v>
      </c>
      <c r="AE2586" t="s">
        <v>10828</v>
      </c>
      <c r="AF2586" t="s">
        <v>10829</v>
      </c>
      <c r="AG2586" t="s">
        <v>66</v>
      </c>
      <c r="AH2586" t="s">
        <v>66</v>
      </c>
      <c r="AI2586" t="s">
        <v>66</v>
      </c>
      <c r="AJ2586" t="s">
        <v>66</v>
      </c>
      <c r="AK2586">
        <v>1</v>
      </c>
      <c r="AL2586" t="s">
        <v>66</v>
      </c>
      <c r="AM2586" t="s">
        <v>66</v>
      </c>
      <c r="AN2586" t="s">
        <v>66</v>
      </c>
      <c r="AO2586" t="s">
        <v>66</v>
      </c>
      <c r="AP2586">
        <v>1</v>
      </c>
      <c r="AQ2586" t="s">
        <v>66</v>
      </c>
      <c r="AR2586" t="s">
        <v>66</v>
      </c>
      <c r="AS2586" t="s">
        <v>66</v>
      </c>
      <c r="AT2586" t="s">
        <v>66</v>
      </c>
    </row>
    <row r="2587" spans="1:46" x14ac:dyDescent="0.15">
      <c r="A2587" t="s">
        <v>10875</v>
      </c>
      <c r="B2587" t="s">
        <v>10820</v>
      </c>
      <c r="C2587" t="s">
        <v>10821</v>
      </c>
      <c r="D2587">
        <v>11</v>
      </c>
      <c r="E2587" t="s">
        <v>10822</v>
      </c>
      <c r="F2587" t="s">
        <v>3083</v>
      </c>
      <c r="G2587" t="s">
        <v>51</v>
      </c>
      <c r="H2587" t="s">
        <v>10823</v>
      </c>
      <c r="I2587" t="s">
        <v>53</v>
      </c>
      <c r="J2587" t="s">
        <v>54</v>
      </c>
      <c r="K2587" t="s">
        <v>55</v>
      </c>
      <c r="L2587" t="s">
        <v>19</v>
      </c>
      <c r="M2587" t="s">
        <v>17</v>
      </c>
      <c r="N2587">
        <v>1061</v>
      </c>
      <c r="O2587">
        <v>63</v>
      </c>
      <c r="P2587">
        <v>0</v>
      </c>
      <c r="Q2587" t="s">
        <v>10876</v>
      </c>
      <c r="R2587" t="s">
        <v>10877</v>
      </c>
      <c r="S2587" t="s">
        <v>10878</v>
      </c>
      <c r="T2587" t="s">
        <v>10879</v>
      </c>
      <c r="U2587" t="s">
        <v>60</v>
      </c>
      <c r="V2587" t="s">
        <v>61</v>
      </c>
      <c r="W2587">
        <v>3</v>
      </c>
      <c r="X2587">
        <v>0.14000000000000001</v>
      </c>
      <c r="Y2587" t="s">
        <v>99</v>
      </c>
      <c r="Z2587" t="s">
        <v>131</v>
      </c>
      <c r="AA2587">
        <v>0</v>
      </c>
      <c r="AB2587" t="s">
        <v>10825</v>
      </c>
      <c r="AC2587" t="s">
        <v>10826</v>
      </c>
      <c r="AD2587" t="s">
        <v>10827</v>
      </c>
      <c r="AE2587" t="s">
        <v>10828</v>
      </c>
      <c r="AF2587" t="s">
        <v>10829</v>
      </c>
      <c r="AG2587" t="s">
        <v>66</v>
      </c>
      <c r="AH2587" t="s">
        <v>66</v>
      </c>
      <c r="AI2587" t="s">
        <v>66</v>
      </c>
      <c r="AJ2587" t="s">
        <v>66</v>
      </c>
      <c r="AK2587">
        <v>1</v>
      </c>
      <c r="AL2587" t="s">
        <v>66</v>
      </c>
      <c r="AM2587" t="s">
        <v>66</v>
      </c>
      <c r="AN2587" t="s">
        <v>66</v>
      </c>
      <c r="AO2587" t="s">
        <v>66</v>
      </c>
      <c r="AP2587">
        <v>1</v>
      </c>
      <c r="AQ2587" t="s">
        <v>66</v>
      </c>
      <c r="AR2587" t="s">
        <v>66</v>
      </c>
      <c r="AS2587" t="s">
        <v>66</v>
      </c>
      <c r="AT2587" t="s">
        <v>66</v>
      </c>
    </row>
    <row r="2588" spans="1:46" x14ac:dyDescent="0.15">
      <c r="A2588" t="s">
        <v>10880</v>
      </c>
      <c r="B2588" t="s">
        <v>10820</v>
      </c>
      <c r="C2588" t="s">
        <v>10821</v>
      </c>
      <c r="D2588">
        <v>12</v>
      </c>
      <c r="E2588" t="s">
        <v>10822</v>
      </c>
      <c r="F2588" t="s">
        <v>3083</v>
      </c>
      <c r="G2588" t="s">
        <v>51</v>
      </c>
      <c r="H2588" t="s">
        <v>10823</v>
      </c>
      <c r="I2588" t="s">
        <v>53</v>
      </c>
      <c r="J2588" t="s">
        <v>54</v>
      </c>
      <c r="K2588" t="s">
        <v>55</v>
      </c>
      <c r="L2588" t="s">
        <v>19</v>
      </c>
      <c r="M2588" t="s">
        <v>17</v>
      </c>
      <c r="N2588">
        <v>1117</v>
      </c>
      <c r="O2588">
        <v>66</v>
      </c>
      <c r="P2588">
        <v>0</v>
      </c>
      <c r="Q2588" t="s">
        <v>10881</v>
      </c>
      <c r="R2588" t="s">
        <v>10882</v>
      </c>
      <c r="S2588" t="s">
        <v>10883</v>
      </c>
      <c r="T2588" t="s">
        <v>10884</v>
      </c>
      <c r="U2588" t="s">
        <v>60</v>
      </c>
      <c r="V2588" t="s">
        <v>61</v>
      </c>
      <c r="W2588">
        <v>3</v>
      </c>
      <c r="X2588">
        <v>0.14000000000000001</v>
      </c>
      <c r="Y2588" t="s">
        <v>137</v>
      </c>
      <c r="Z2588" t="s">
        <v>138</v>
      </c>
      <c r="AA2588">
        <v>0</v>
      </c>
      <c r="AB2588" t="s">
        <v>10825</v>
      </c>
      <c r="AC2588" t="s">
        <v>10826</v>
      </c>
      <c r="AD2588" t="s">
        <v>10827</v>
      </c>
      <c r="AE2588" t="s">
        <v>10828</v>
      </c>
      <c r="AF2588" t="s">
        <v>10829</v>
      </c>
      <c r="AG2588" t="s">
        <v>66</v>
      </c>
      <c r="AH2588" t="s">
        <v>66</v>
      </c>
      <c r="AI2588" t="s">
        <v>66</v>
      </c>
      <c r="AJ2588" t="s">
        <v>66</v>
      </c>
      <c r="AK2588">
        <v>1</v>
      </c>
      <c r="AL2588" t="s">
        <v>66</v>
      </c>
      <c r="AM2588" t="s">
        <v>66</v>
      </c>
      <c r="AN2588" t="s">
        <v>66</v>
      </c>
      <c r="AO2588" t="s">
        <v>66</v>
      </c>
      <c r="AP2588">
        <v>1</v>
      </c>
      <c r="AQ2588" t="s">
        <v>66</v>
      </c>
      <c r="AR2588" t="s">
        <v>66</v>
      </c>
      <c r="AS2588" t="s">
        <v>66</v>
      </c>
      <c r="AT2588" t="s">
        <v>66</v>
      </c>
    </row>
    <row r="2589" spans="1:46" x14ac:dyDescent="0.15">
      <c r="A2589" t="s">
        <v>10885</v>
      </c>
      <c r="B2589" t="s">
        <v>10820</v>
      </c>
      <c r="C2589" t="s">
        <v>10821</v>
      </c>
      <c r="D2589">
        <v>13</v>
      </c>
      <c r="E2589" t="s">
        <v>10822</v>
      </c>
      <c r="F2589" t="s">
        <v>3083</v>
      </c>
      <c r="G2589" t="s">
        <v>51</v>
      </c>
      <c r="H2589" t="s">
        <v>10823</v>
      </c>
      <c r="I2589" t="s">
        <v>53</v>
      </c>
      <c r="J2589" t="s">
        <v>54</v>
      </c>
      <c r="K2589" t="s">
        <v>55</v>
      </c>
      <c r="L2589" t="s">
        <v>19</v>
      </c>
      <c r="M2589" t="s">
        <v>17</v>
      </c>
      <c r="N2589">
        <v>1173</v>
      </c>
      <c r="O2589">
        <v>69</v>
      </c>
      <c r="P2589">
        <v>0</v>
      </c>
      <c r="Q2589" t="s">
        <v>10886</v>
      </c>
      <c r="R2589" t="s">
        <v>10887</v>
      </c>
      <c r="S2589" t="s">
        <v>10888</v>
      </c>
      <c r="T2589" t="s">
        <v>10889</v>
      </c>
      <c r="U2589" t="s">
        <v>60</v>
      </c>
      <c r="V2589" t="s">
        <v>61</v>
      </c>
      <c r="W2589">
        <v>3</v>
      </c>
      <c r="X2589">
        <v>0.14000000000000001</v>
      </c>
      <c r="Y2589" t="s">
        <v>105</v>
      </c>
      <c r="Z2589" t="s">
        <v>144</v>
      </c>
      <c r="AA2589">
        <v>0</v>
      </c>
      <c r="AB2589" t="s">
        <v>10825</v>
      </c>
      <c r="AC2589" t="s">
        <v>10826</v>
      </c>
      <c r="AD2589" t="s">
        <v>10827</v>
      </c>
      <c r="AE2589" t="s">
        <v>10828</v>
      </c>
      <c r="AF2589" t="s">
        <v>10829</v>
      </c>
      <c r="AG2589" t="s">
        <v>66</v>
      </c>
      <c r="AH2589" t="s">
        <v>66</v>
      </c>
      <c r="AI2589" t="s">
        <v>66</v>
      </c>
      <c r="AJ2589" t="s">
        <v>66</v>
      </c>
      <c r="AK2589">
        <v>1</v>
      </c>
      <c r="AL2589" t="s">
        <v>66</v>
      </c>
      <c r="AM2589" t="s">
        <v>66</v>
      </c>
      <c r="AN2589" t="s">
        <v>66</v>
      </c>
      <c r="AO2589" t="s">
        <v>66</v>
      </c>
      <c r="AP2589">
        <v>1</v>
      </c>
      <c r="AQ2589" t="s">
        <v>66</v>
      </c>
      <c r="AR2589" t="s">
        <v>66</v>
      </c>
      <c r="AS2589" t="s">
        <v>66</v>
      </c>
      <c r="AT2589" t="s">
        <v>66</v>
      </c>
    </row>
    <row r="2590" spans="1:46" x14ac:dyDescent="0.15">
      <c r="A2590" t="s">
        <v>10890</v>
      </c>
      <c r="B2590" t="s">
        <v>10820</v>
      </c>
      <c r="C2590" t="s">
        <v>10821</v>
      </c>
      <c r="D2590">
        <v>14</v>
      </c>
      <c r="E2590" t="s">
        <v>10822</v>
      </c>
      <c r="F2590" t="s">
        <v>3083</v>
      </c>
      <c r="G2590" t="s">
        <v>51</v>
      </c>
      <c r="H2590" t="s">
        <v>10823</v>
      </c>
      <c r="I2590" t="s">
        <v>53</v>
      </c>
      <c r="J2590" t="s">
        <v>54</v>
      </c>
      <c r="K2590" t="s">
        <v>55</v>
      </c>
      <c r="L2590" t="s">
        <v>19</v>
      </c>
      <c r="M2590" t="s">
        <v>17</v>
      </c>
      <c r="N2590">
        <v>1230</v>
      </c>
      <c r="O2590">
        <v>72</v>
      </c>
      <c r="P2590">
        <v>0</v>
      </c>
      <c r="Q2590" t="s">
        <v>10891</v>
      </c>
      <c r="R2590" t="s">
        <v>10892</v>
      </c>
      <c r="S2590" t="s">
        <v>10893</v>
      </c>
      <c r="T2590" t="s">
        <v>10894</v>
      </c>
      <c r="U2590" t="s">
        <v>60</v>
      </c>
      <c r="V2590" t="s">
        <v>61</v>
      </c>
      <c r="W2590">
        <v>3</v>
      </c>
      <c r="X2590">
        <v>0.14000000000000001</v>
      </c>
      <c r="Y2590" t="s">
        <v>150</v>
      </c>
      <c r="Z2590" t="s">
        <v>151</v>
      </c>
      <c r="AA2590">
        <v>0</v>
      </c>
      <c r="AB2590" t="s">
        <v>10825</v>
      </c>
      <c r="AC2590" t="s">
        <v>10826</v>
      </c>
      <c r="AD2590" t="s">
        <v>10827</v>
      </c>
      <c r="AE2590" t="s">
        <v>10828</v>
      </c>
      <c r="AF2590" t="s">
        <v>10829</v>
      </c>
      <c r="AG2590" t="s">
        <v>66</v>
      </c>
      <c r="AH2590" t="s">
        <v>66</v>
      </c>
      <c r="AI2590" t="s">
        <v>66</v>
      </c>
      <c r="AJ2590" t="s">
        <v>66</v>
      </c>
      <c r="AK2590">
        <v>1</v>
      </c>
      <c r="AL2590" t="s">
        <v>66</v>
      </c>
      <c r="AM2590" t="s">
        <v>66</v>
      </c>
      <c r="AN2590" t="s">
        <v>66</v>
      </c>
      <c r="AO2590" t="s">
        <v>66</v>
      </c>
      <c r="AP2590">
        <v>1</v>
      </c>
      <c r="AQ2590" t="s">
        <v>66</v>
      </c>
      <c r="AR2590" t="s">
        <v>66</v>
      </c>
      <c r="AS2590" t="s">
        <v>66</v>
      </c>
      <c r="AT2590" t="s">
        <v>66</v>
      </c>
    </row>
    <row r="2591" spans="1:46" x14ac:dyDescent="0.15">
      <c r="A2591" t="s">
        <v>10895</v>
      </c>
      <c r="B2591" t="s">
        <v>10820</v>
      </c>
      <c r="C2591" t="s">
        <v>10821</v>
      </c>
      <c r="D2591">
        <v>15</v>
      </c>
      <c r="E2591" t="s">
        <v>10822</v>
      </c>
      <c r="F2591" t="s">
        <v>3083</v>
      </c>
      <c r="G2591" t="s">
        <v>51</v>
      </c>
      <c r="H2591" t="s">
        <v>10823</v>
      </c>
      <c r="I2591" t="s">
        <v>53</v>
      </c>
      <c r="J2591" t="s">
        <v>54</v>
      </c>
      <c r="K2591" t="s">
        <v>55</v>
      </c>
      <c r="L2591" t="s">
        <v>19</v>
      </c>
      <c r="M2591" t="s">
        <v>17</v>
      </c>
      <c r="N2591">
        <v>1286</v>
      </c>
      <c r="O2591">
        <v>76</v>
      </c>
      <c r="P2591">
        <v>0</v>
      </c>
      <c r="Q2591" t="s">
        <v>10896</v>
      </c>
      <c r="R2591" t="s">
        <v>10897</v>
      </c>
      <c r="S2591" t="s">
        <v>10898</v>
      </c>
      <c r="T2591" t="s">
        <v>10899</v>
      </c>
      <c r="U2591" t="s">
        <v>60</v>
      </c>
      <c r="V2591" t="s">
        <v>61</v>
      </c>
      <c r="W2591">
        <v>3</v>
      </c>
      <c r="X2591">
        <v>0.14000000000000001</v>
      </c>
      <c r="Y2591" t="s">
        <v>112</v>
      </c>
      <c r="Z2591" t="s">
        <v>157</v>
      </c>
      <c r="AA2591">
        <v>0</v>
      </c>
      <c r="AB2591" t="s">
        <v>10825</v>
      </c>
      <c r="AC2591" t="s">
        <v>10826</v>
      </c>
      <c r="AD2591" t="s">
        <v>10827</v>
      </c>
      <c r="AE2591" t="s">
        <v>10828</v>
      </c>
      <c r="AF2591" t="s">
        <v>10829</v>
      </c>
      <c r="AG2591" t="s">
        <v>66</v>
      </c>
      <c r="AH2591" t="s">
        <v>66</v>
      </c>
      <c r="AI2591" t="s">
        <v>66</v>
      </c>
      <c r="AJ2591" t="s">
        <v>66</v>
      </c>
      <c r="AK2591">
        <v>1</v>
      </c>
      <c r="AL2591" t="s">
        <v>66</v>
      </c>
      <c r="AM2591" t="s">
        <v>66</v>
      </c>
      <c r="AN2591" t="s">
        <v>66</v>
      </c>
      <c r="AO2591" t="s">
        <v>66</v>
      </c>
      <c r="AP2591">
        <v>1</v>
      </c>
      <c r="AQ2591" t="s">
        <v>66</v>
      </c>
      <c r="AR2591" t="s">
        <v>66</v>
      </c>
      <c r="AS2591" t="s">
        <v>66</v>
      </c>
      <c r="AT2591" t="s">
        <v>66</v>
      </c>
    </row>
    <row r="2592" spans="1:46" x14ac:dyDescent="0.15">
      <c r="A2592" t="s">
        <v>10900</v>
      </c>
      <c r="B2592" t="s">
        <v>10820</v>
      </c>
      <c r="C2592" t="s">
        <v>10821</v>
      </c>
      <c r="D2592">
        <v>16</v>
      </c>
      <c r="E2592" t="s">
        <v>10822</v>
      </c>
      <c r="F2592" t="s">
        <v>3083</v>
      </c>
      <c r="G2592" t="s">
        <v>51</v>
      </c>
      <c r="H2592" t="s">
        <v>10823</v>
      </c>
      <c r="I2592" t="s">
        <v>53</v>
      </c>
      <c r="J2592" t="s">
        <v>54</v>
      </c>
      <c r="K2592" t="s">
        <v>55</v>
      </c>
      <c r="L2592" t="s">
        <v>19</v>
      </c>
      <c r="M2592" t="s">
        <v>17</v>
      </c>
      <c r="N2592">
        <v>1342</v>
      </c>
      <c r="O2592">
        <v>79</v>
      </c>
      <c r="P2592">
        <v>0</v>
      </c>
      <c r="Q2592" t="s">
        <v>10901</v>
      </c>
      <c r="R2592" t="s">
        <v>10902</v>
      </c>
      <c r="S2592" t="s">
        <v>10903</v>
      </c>
      <c r="T2592" t="s">
        <v>10904</v>
      </c>
      <c r="U2592" t="s">
        <v>60</v>
      </c>
      <c r="V2592" t="s">
        <v>61</v>
      </c>
      <c r="W2592">
        <v>3</v>
      </c>
      <c r="X2592">
        <v>0.14000000000000001</v>
      </c>
      <c r="Y2592" t="s">
        <v>163</v>
      </c>
      <c r="Z2592" t="s">
        <v>164</v>
      </c>
      <c r="AA2592">
        <v>0</v>
      </c>
      <c r="AB2592" t="s">
        <v>10825</v>
      </c>
      <c r="AC2592" t="s">
        <v>10826</v>
      </c>
      <c r="AD2592" t="s">
        <v>10827</v>
      </c>
      <c r="AE2592" t="s">
        <v>10828</v>
      </c>
      <c r="AF2592" t="s">
        <v>10829</v>
      </c>
      <c r="AG2592" t="s">
        <v>66</v>
      </c>
      <c r="AH2592" t="s">
        <v>66</v>
      </c>
      <c r="AI2592" t="s">
        <v>66</v>
      </c>
      <c r="AJ2592" t="s">
        <v>66</v>
      </c>
      <c r="AK2592">
        <v>1</v>
      </c>
      <c r="AL2592" t="s">
        <v>66</v>
      </c>
      <c r="AM2592" t="s">
        <v>66</v>
      </c>
      <c r="AN2592" t="s">
        <v>66</v>
      </c>
      <c r="AO2592" t="s">
        <v>66</v>
      </c>
      <c r="AP2592">
        <v>1</v>
      </c>
      <c r="AQ2592" t="s">
        <v>66</v>
      </c>
      <c r="AR2592" t="s">
        <v>66</v>
      </c>
      <c r="AS2592" t="s">
        <v>66</v>
      </c>
      <c r="AT2592" t="s">
        <v>66</v>
      </c>
    </row>
    <row r="2593" spans="1:46" x14ac:dyDescent="0.15">
      <c r="A2593" t="s">
        <v>10905</v>
      </c>
      <c r="B2593" t="s">
        <v>10820</v>
      </c>
      <c r="C2593" t="s">
        <v>10821</v>
      </c>
      <c r="D2593">
        <v>17</v>
      </c>
      <c r="E2593" t="s">
        <v>10822</v>
      </c>
      <c r="F2593" t="s">
        <v>3083</v>
      </c>
      <c r="G2593" t="s">
        <v>51</v>
      </c>
      <c r="H2593" t="s">
        <v>10823</v>
      </c>
      <c r="I2593" t="s">
        <v>53</v>
      </c>
      <c r="J2593" t="s">
        <v>54</v>
      </c>
      <c r="K2593" t="s">
        <v>55</v>
      </c>
      <c r="L2593" t="s">
        <v>19</v>
      </c>
      <c r="M2593" t="s">
        <v>17</v>
      </c>
      <c r="N2593">
        <v>1398</v>
      </c>
      <c r="O2593">
        <v>82</v>
      </c>
      <c r="P2593">
        <v>0</v>
      </c>
      <c r="Q2593" t="s">
        <v>10906</v>
      </c>
      <c r="R2593" t="s">
        <v>10907</v>
      </c>
      <c r="S2593" t="s">
        <v>10908</v>
      </c>
      <c r="T2593" t="s">
        <v>10909</v>
      </c>
      <c r="U2593" t="s">
        <v>60</v>
      </c>
      <c r="V2593" t="s">
        <v>61</v>
      </c>
      <c r="W2593">
        <v>3</v>
      </c>
      <c r="X2593">
        <v>0.14000000000000001</v>
      </c>
      <c r="Y2593" t="s">
        <v>118</v>
      </c>
      <c r="Z2593" t="s">
        <v>170</v>
      </c>
      <c r="AA2593">
        <v>0</v>
      </c>
      <c r="AB2593" t="s">
        <v>10825</v>
      </c>
      <c r="AC2593" t="s">
        <v>10826</v>
      </c>
      <c r="AD2593" t="s">
        <v>10827</v>
      </c>
      <c r="AE2593" t="s">
        <v>10828</v>
      </c>
      <c r="AF2593" t="s">
        <v>10829</v>
      </c>
      <c r="AG2593" t="s">
        <v>66</v>
      </c>
      <c r="AH2593" t="s">
        <v>66</v>
      </c>
      <c r="AI2593" t="s">
        <v>66</v>
      </c>
      <c r="AJ2593" t="s">
        <v>66</v>
      </c>
      <c r="AK2593">
        <v>1</v>
      </c>
      <c r="AL2593" t="s">
        <v>66</v>
      </c>
      <c r="AM2593" t="s">
        <v>66</v>
      </c>
      <c r="AN2593" t="s">
        <v>66</v>
      </c>
      <c r="AO2593" t="s">
        <v>66</v>
      </c>
      <c r="AP2593">
        <v>1</v>
      </c>
      <c r="AQ2593" t="s">
        <v>66</v>
      </c>
      <c r="AR2593" t="s">
        <v>66</v>
      </c>
      <c r="AS2593" t="s">
        <v>66</v>
      </c>
      <c r="AT2593" t="s">
        <v>66</v>
      </c>
    </row>
    <row r="2594" spans="1:46" x14ac:dyDescent="0.15">
      <c r="A2594" t="s">
        <v>10910</v>
      </c>
      <c r="B2594" t="s">
        <v>10820</v>
      </c>
      <c r="C2594" t="s">
        <v>10821</v>
      </c>
      <c r="D2594">
        <v>18</v>
      </c>
      <c r="E2594" t="s">
        <v>10822</v>
      </c>
      <c r="F2594" t="s">
        <v>3083</v>
      </c>
      <c r="G2594" t="s">
        <v>51</v>
      </c>
      <c r="H2594" t="s">
        <v>10823</v>
      </c>
      <c r="I2594" t="s">
        <v>53</v>
      </c>
      <c r="J2594" t="s">
        <v>54</v>
      </c>
      <c r="K2594" t="s">
        <v>55</v>
      </c>
      <c r="L2594" t="s">
        <v>19</v>
      </c>
      <c r="M2594" t="s">
        <v>17</v>
      </c>
      <c r="N2594">
        <v>1454</v>
      </c>
      <c r="O2594">
        <v>85</v>
      </c>
      <c r="P2594">
        <v>0</v>
      </c>
      <c r="Q2594" t="s">
        <v>10911</v>
      </c>
      <c r="R2594" t="s">
        <v>10912</v>
      </c>
      <c r="S2594" t="s">
        <v>10913</v>
      </c>
      <c r="T2594" t="s">
        <v>10914</v>
      </c>
      <c r="U2594" t="s">
        <v>60</v>
      </c>
      <c r="V2594" t="s">
        <v>61</v>
      </c>
      <c r="W2594">
        <v>3</v>
      </c>
      <c r="X2594">
        <v>0.14000000000000001</v>
      </c>
      <c r="Y2594" t="s">
        <v>176</v>
      </c>
      <c r="Z2594" t="s">
        <v>177</v>
      </c>
      <c r="AA2594">
        <v>0</v>
      </c>
      <c r="AB2594" t="s">
        <v>10825</v>
      </c>
      <c r="AC2594" t="s">
        <v>10826</v>
      </c>
      <c r="AD2594" t="s">
        <v>10827</v>
      </c>
      <c r="AE2594" t="s">
        <v>10828</v>
      </c>
      <c r="AF2594" t="s">
        <v>10829</v>
      </c>
      <c r="AG2594" t="s">
        <v>66</v>
      </c>
      <c r="AH2594" t="s">
        <v>66</v>
      </c>
      <c r="AI2594" t="s">
        <v>66</v>
      </c>
      <c r="AJ2594" t="s">
        <v>66</v>
      </c>
      <c r="AK2594">
        <v>1</v>
      </c>
      <c r="AL2594" t="s">
        <v>66</v>
      </c>
      <c r="AM2594" t="s">
        <v>66</v>
      </c>
      <c r="AN2594" t="s">
        <v>66</v>
      </c>
      <c r="AO2594" t="s">
        <v>66</v>
      </c>
      <c r="AP2594">
        <v>1</v>
      </c>
      <c r="AQ2594" t="s">
        <v>66</v>
      </c>
      <c r="AR2594" t="s">
        <v>66</v>
      </c>
      <c r="AS2594" t="s">
        <v>66</v>
      </c>
      <c r="AT2594" t="s">
        <v>66</v>
      </c>
    </row>
    <row r="2595" spans="1:46" x14ac:dyDescent="0.15">
      <c r="A2595" t="s">
        <v>10915</v>
      </c>
      <c r="B2595" t="s">
        <v>10820</v>
      </c>
      <c r="C2595" t="s">
        <v>10821</v>
      </c>
      <c r="D2595">
        <v>19</v>
      </c>
      <c r="E2595" t="s">
        <v>10822</v>
      </c>
      <c r="F2595" t="s">
        <v>3083</v>
      </c>
      <c r="G2595" t="s">
        <v>51</v>
      </c>
      <c r="H2595" t="s">
        <v>10823</v>
      </c>
      <c r="I2595" t="s">
        <v>53</v>
      </c>
      <c r="J2595" t="s">
        <v>54</v>
      </c>
      <c r="K2595" t="s">
        <v>55</v>
      </c>
      <c r="L2595" t="s">
        <v>19</v>
      </c>
      <c r="M2595" t="s">
        <v>17</v>
      </c>
      <c r="N2595">
        <v>1510</v>
      </c>
      <c r="O2595">
        <v>89</v>
      </c>
      <c r="P2595">
        <v>0</v>
      </c>
      <c r="Q2595" t="s">
        <v>10916</v>
      </c>
      <c r="R2595" t="s">
        <v>10917</v>
      </c>
      <c r="S2595" t="s">
        <v>10918</v>
      </c>
      <c r="T2595" t="s">
        <v>10919</v>
      </c>
      <c r="U2595" t="s">
        <v>60</v>
      </c>
      <c r="V2595" t="s">
        <v>61</v>
      </c>
      <c r="W2595">
        <v>3</v>
      </c>
      <c r="X2595">
        <v>0.14000000000000001</v>
      </c>
      <c r="Y2595" t="s">
        <v>125</v>
      </c>
      <c r="Z2595" t="s">
        <v>183</v>
      </c>
      <c r="AA2595">
        <v>0</v>
      </c>
      <c r="AB2595" t="s">
        <v>10825</v>
      </c>
      <c r="AC2595" t="s">
        <v>10826</v>
      </c>
      <c r="AD2595" t="s">
        <v>10827</v>
      </c>
      <c r="AE2595" t="s">
        <v>10828</v>
      </c>
      <c r="AF2595" t="s">
        <v>10829</v>
      </c>
      <c r="AG2595" t="s">
        <v>66</v>
      </c>
      <c r="AH2595" t="s">
        <v>66</v>
      </c>
      <c r="AI2595" t="s">
        <v>66</v>
      </c>
      <c r="AJ2595" t="s">
        <v>66</v>
      </c>
      <c r="AK2595">
        <v>1</v>
      </c>
      <c r="AL2595" t="s">
        <v>66</v>
      </c>
      <c r="AM2595" t="s">
        <v>66</v>
      </c>
      <c r="AN2595" t="s">
        <v>66</v>
      </c>
      <c r="AO2595" t="s">
        <v>66</v>
      </c>
      <c r="AP2595">
        <v>1</v>
      </c>
      <c r="AQ2595" t="s">
        <v>66</v>
      </c>
      <c r="AR2595" t="s">
        <v>66</v>
      </c>
      <c r="AS2595" t="s">
        <v>66</v>
      </c>
      <c r="AT2595" t="s">
        <v>66</v>
      </c>
    </row>
    <row r="2596" spans="1:46" x14ac:dyDescent="0.15">
      <c r="A2596" t="s">
        <v>10920</v>
      </c>
      <c r="B2596" t="s">
        <v>10820</v>
      </c>
      <c r="C2596" t="s">
        <v>10821</v>
      </c>
      <c r="D2596">
        <v>20</v>
      </c>
      <c r="E2596" t="s">
        <v>10822</v>
      </c>
      <c r="F2596" t="s">
        <v>3083</v>
      </c>
      <c r="G2596" t="s">
        <v>51</v>
      </c>
      <c r="H2596" t="s">
        <v>10823</v>
      </c>
      <c r="I2596" t="s">
        <v>53</v>
      </c>
      <c r="J2596" t="s">
        <v>54</v>
      </c>
      <c r="K2596" t="s">
        <v>55</v>
      </c>
      <c r="L2596" t="s">
        <v>19</v>
      </c>
      <c r="M2596" t="s">
        <v>17</v>
      </c>
      <c r="N2596">
        <v>1566</v>
      </c>
      <c r="O2596">
        <v>92</v>
      </c>
      <c r="P2596">
        <v>0</v>
      </c>
      <c r="Q2596" t="s">
        <v>10921</v>
      </c>
      <c r="R2596" t="s">
        <v>10922</v>
      </c>
      <c r="S2596" t="s">
        <v>10923</v>
      </c>
      <c r="T2596" t="s">
        <v>10924</v>
      </c>
      <c r="U2596" t="s">
        <v>60</v>
      </c>
      <c r="V2596" t="s">
        <v>61</v>
      </c>
      <c r="W2596">
        <v>3</v>
      </c>
      <c r="X2596">
        <v>0.14000000000000001</v>
      </c>
      <c r="Y2596" t="s">
        <v>189</v>
      </c>
      <c r="Z2596" t="s">
        <v>190</v>
      </c>
      <c r="AA2596">
        <v>0</v>
      </c>
      <c r="AB2596" t="s">
        <v>10825</v>
      </c>
      <c r="AC2596" t="s">
        <v>10826</v>
      </c>
      <c r="AD2596" t="s">
        <v>10827</v>
      </c>
      <c r="AE2596" t="s">
        <v>10828</v>
      </c>
      <c r="AF2596" t="s">
        <v>10829</v>
      </c>
      <c r="AG2596" t="s">
        <v>66</v>
      </c>
      <c r="AH2596" t="s">
        <v>66</v>
      </c>
      <c r="AI2596" t="s">
        <v>66</v>
      </c>
      <c r="AJ2596" t="s">
        <v>66</v>
      </c>
      <c r="AK2596">
        <v>1</v>
      </c>
      <c r="AL2596" t="s">
        <v>66</v>
      </c>
      <c r="AM2596" t="s">
        <v>66</v>
      </c>
      <c r="AN2596" t="s">
        <v>66</v>
      </c>
      <c r="AO2596" t="s">
        <v>66</v>
      </c>
      <c r="AP2596">
        <v>1</v>
      </c>
      <c r="AQ2596" t="s">
        <v>66</v>
      </c>
      <c r="AR2596" t="s">
        <v>66</v>
      </c>
      <c r="AS2596" t="s">
        <v>66</v>
      </c>
      <c r="AT2596" t="s">
        <v>66</v>
      </c>
    </row>
    <row r="2597" spans="1:46" x14ac:dyDescent="0.15">
      <c r="A2597" t="s">
        <v>10920</v>
      </c>
      <c r="B2597" t="s">
        <v>10820</v>
      </c>
      <c r="C2597" t="s">
        <v>10821</v>
      </c>
      <c r="D2597">
        <v>20</v>
      </c>
      <c r="E2597" t="s">
        <v>10822</v>
      </c>
      <c r="F2597" t="s">
        <v>3083</v>
      </c>
      <c r="G2597" t="s">
        <v>51</v>
      </c>
      <c r="H2597" t="s">
        <v>10823</v>
      </c>
      <c r="I2597" t="s">
        <v>53</v>
      </c>
      <c r="J2597" t="s">
        <v>54</v>
      </c>
      <c r="K2597" t="s">
        <v>55</v>
      </c>
      <c r="L2597" t="s">
        <v>19</v>
      </c>
      <c r="M2597" t="s">
        <v>17</v>
      </c>
      <c r="N2597">
        <v>1566</v>
      </c>
      <c r="O2597">
        <v>92</v>
      </c>
      <c r="P2597">
        <v>0</v>
      </c>
      <c r="Q2597" t="s">
        <v>10921</v>
      </c>
      <c r="R2597" t="s">
        <v>10922</v>
      </c>
      <c r="S2597" t="s">
        <v>10923</v>
      </c>
      <c r="T2597" t="s">
        <v>10924</v>
      </c>
      <c r="U2597" t="s">
        <v>60</v>
      </c>
      <c r="V2597" t="s">
        <v>61</v>
      </c>
      <c r="W2597">
        <v>3</v>
      </c>
      <c r="X2597">
        <v>0.14000000000000001</v>
      </c>
      <c r="Y2597" t="s">
        <v>189</v>
      </c>
      <c r="Z2597" t="s">
        <v>190</v>
      </c>
      <c r="AA2597">
        <v>1</v>
      </c>
      <c r="AB2597" t="s">
        <v>10825</v>
      </c>
      <c r="AC2597" t="s">
        <v>10826</v>
      </c>
      <c r="AD2597" t="s">
        <v>10827</v>
      </c>
      <c r="AE2597" t="s">
        <v>10828</v>
      </c>
      <c r="AF2597" t="s">
        <v>10829</v>
      </c>
      <c r="AG2597" t="s">
        <v>3903</v>
      </c>
      <c r="AH2597" t="s">
        <v>66</v>
      </c>
      <c r="AI2597" t="s">
        <v>66</v>
      </c>
      <c r="AJ2597" t="s">
        <v>66</v>
      </c>
      <c r="AK2597">
        <v>1</v>
      </c>
      <c r="AL2597" t="s">
        <v>66</v>
      </c>
      <c r="AM2597" t="s">
        <v>66</v>
      </c>
      <c r="AN2597" t="s">
        <v>66</v>
      </c>
      <c r="AO2597" t="s">
        <v>66</v>
      </c>
      <c r="AP2597">
        <v>1</v>
      </c>
      <c r="AQ2597" t="s">
        <v>66</v>
      </c>
      <c r="AR2597" t="s">
        <v>66</v>
      </c>
      <c r="AS2597" t="s">
        <v>66</v>
      </c>
      <c r="AT2597" t="s">
        <v>66</v>
      </c>
    </row>
    <row r="2598" spans="1:46" x14ac:dyDescent="0.15">
      <c r="A2598" t="s">
        <v>10925</v>
      </c>
      <c r="B2598" t="s">
        <v>10820</v>
      </c>
      <c r="C2598" t="s">
        <v>10821</v>
      </c>
      <c r="D2598">
        <v>21</v>
      </c>
      <c r="E2598" t="s">
        <v>10822</v>
      </c>
      <c r="F2598" t="s">
        <v>3083</v>
      </c>
      <c r="G2598" t="s">
        <v>51</v>
      </c>
      <c r="H2598" t="s">
        <v>10823</v>
      </c>
      <c r="I2598" t="s">
        <v>53</v>
      </c>
      <c r="J2598" t="s">
        <v>54</v>
      </c>
      <c r="K2598" t="s">
        <v>55</v>
      </c>
      <c r="L2598" t="s">
        <v>19</v>
      </c>
      <c r="M2598" t="s">
        <v>17</v>
      </c>
      <c r="N2598">
        <v>1622</v>
      </c>
      <c r="O2598">
        <v>95</v>
      </c>
      <c r="P2598">
        <v>0</v>
      </c>
      <c r="Q2598" t="s">
        <v>10926</v>
      </c>
      <c r="R2598" t="s">
        <v>10927</v>
      </c>
      <c r="S2598" t="s">
        <v>10928</v>
      </c>
      <c r="T2598" t="s">
        <v>10929</v>
      </c>
      <c r="U2598" t="s">
        <v>60</v>
      </c>
      <c r="V2598" t="s">
        <v>61</v>
      </c>
      <c r="W2598">
        <v>3</v>
      </c>
      <c r="X2598">
        <v>0.14000000000000001</v>
      </c>
      <c r="Y2598" t="s">
        <v>131</v>
      </c>
      <c r="Z2598" t="s">
        <v>197</v>
      </c>
      <c r="AA2598">
        <v>1</v>
      </c>
      <c r="AB2598" t="s">
        <v>10825</v>
      </c>
      <c r="AC2598" t="s">
        <v>10826</v>
      </c>
      <c r="AD2598" t="s">
        <v>10827</v>
      </c>
      <c r="AE2598" t="s">
        <v>10828</v>
      </c>
      <c r="AF2598" t="s">
        <v>10829</v>
      </c>
      <c r="AG2598" t="s">
        <v>3903</v>
      </c>
      <c r="AH2598" t="s">
        <v>66</v>
      </c>
      <c r="AI2598" t="s">
        <v>66</v>
      </c>
      <c r="AJ2598" t="s">
        <v>66</v>
      </c>
      <c r="AK2598">
        <v>1</v>
      </c>
      <c r="AL2598" t="s">
        <v>66</v>
      </c>
      <c r="AM2598" t="s">
        <v>66</v>
      </c>
      <c r="AN2598" t="s">
        <v>66</v>
      </c>
      <c r="AO2598" t="s">
        <v>66</v>
      </c>
      <c r="AP2598">
        <v>1</v>
      </c>
      <c r="AQ2598" t="s">
        <v>66</v>
      </c>
      <c r="AR2598" t="s">
        <v>66</v>
      </c>
      <c r="AS2598" t="s">
        <v>66</v>
      </c>
      <c r="AT2598" t="s">
        <v>66</v>
      </c>
    </row>
    <row r="2599" spans="1:46" x14ac:dyDescent="0.15">
      <c r="A2599" t="s">
        <v>10930</v>
      </c>
      <c r="B2599" t="s">
        <v>10820</v>
      </c>
      <c r="C2599" t="s">
        <v>10821</v>
      </c>
      <c r="D2599">
        <v>22</v>
      </c>
      <c r="E2599" t="s">
        <v>10822</v>
      </c>
      <c r="F2599" t="s">
        <v>3083</v>
      </c>
      <c r="G2599" t="s">
        <v>51</v>
      </c>
      <c r="H2599" t="s">
        <v>10823</v>
      </c>
      <c r="I2599" t="s">
        <v>53</v>
      </c>
      <c r="J2599" t="s">
        <v>54</v>
      </c>
      <c r="K2599" t="s">
        <v>55</v>
      </c>
      <c r="L2599" t="s">
        <v>19</v>
      </c>
      <c r="M2599" t="s">
        <v>17</v>
      </c>
      <c r="N2599">
        <v>1679</v>
      </c>
      <c r="O2599">
        <v>99</v>
      </c>
      <c r="P2599">
        <v>0</v>
      </c>
      <c r="Q2599" t="s">
        <v>10931</v>
      </c>
      <c r="R2599" t="s">
        <v>10932</v>
      </c>
      <c r="S2599" t="s">
        <v>10933</v>
      </c>
      <c r="T2599" t="s">
        <v>10934</v>
      </c>
      <c r="U2599" t="s">
        <v>60</v>
      </c>
      <c r="V2599" t="s">
        <v>61</v>
      </c>
      <c r="W2599">
        <v>3</v>
      </c>
      <c r="X2599">
        <v>0.14000000000000001</v>
      </c>
      <c r="Y2599" t="s">
        <v>203</v>
      </c>
      <c r="Z2599" t="s">
        <v>204</v>
      </c>
      <c r="AA2599">
        <v>1</v>
      </c>
      <c r="AB2599" t="s">
        <v>10825</v>
      </c>
      <c r="AC2599" t="s">
        <v>10826</v>
      </c>
      <c r="AD2599" t="s">
        <v>10827</v>
      </c>
      <c r="AE2599" t="s">
        <v>10828</v>
      </c>
      <c r="AF2599" t="s">
        <v>10829</v>
      </c>
      <c r="AG2599" t="s">
        <v>3903</v>
      </c>
      <c r="AH2599" t="s">
        <v>66</v>
      </c>
      <c r="AI2599" t="s">
        <v>66</v>
      </c>
      <c r="AJ2599" t="s">
        <v>66</v>
      </c>
      <c r="AK2599">
        <v>1</v>
      </c>
      <c r="AL2599" t="s">
        <v>66</v>
      </c>
      <c r="AM2599" t="s">
        <v>66</v>
      </c>
      <c r="AN2599" t="s">
        <v>66</v>
      </c>
      <c r="AO2599" t="s">
        <v>66</v>
      </c>
      <c r="AP2599">
        <v>1</v>
      </c>
      <c r="AQ2599" t="s">
        <v>66</v>
      </c>
      <c r="AR2599" t="s">
        <v>66</v>
      </c>
      <c r="AS2599" t="s">
        <v>66</v>
      </c>
      <c r="AT2599" t="s">
        <v>66</v>
      </c>
    </row>
    <row r="2600" spans="1:46" x14ac:dyDescent="0.15">
      <c r="A2600" t="s">
        <v>10935</v>
      </c>
      <c r="B2600" t="s">
        <v>10820</v>
      </c>
      <c r="C2600" t="s">
        <v>10821</v>
      </c>
      <c r="D2600">
        <v>23</v>
      </c>
      <c r="E2600" t="s">
        <v>10822</v>
      </c>
      <c r="F2600" t="s">
        <v>3083</v>
      </c>
      <c r="G2600" t="s">
        <v>51</v>
      </c>
      <c r="H2600" t="s">
        <v>10823</v>
      </c>
      <c r="I2600" t="s">
        <v>53</v>
      </c>
      <c r="J2600" t="s">
        <v>54</v>
      </c>
      <c r="K2600" t="s">
        <v>55</v>
      </c>
      <c r="L2600" t="s">
        <v>19</v>
      </c>
      <c r="M2600" t="s">
        <v>17</v>
      </c>
      <c r="N2600">
        <v>1735</v>
      </c>
      <c r="O2600">
        <v>102</v>
      </c>
      <c r="P2600">
        <v>0</v>
      </c>
      <c r="Q2600" t="s">
        <v>10936</v>
      </c>
      <c r="R2600" t="s">
        <v>10937</v>
      </c>
      <c r="S2600" t="s">
        <v>10938</v>
      </c>
      <c r="T2600" t="s">
        <v>10939</v>
      </c>
      <c r="U2600" t="s">
        <v>60</v>
      </c>
      <c r="V2600" t="s">
        <v>61</v>
      </c>
      <c r="W2600">
        <v>3</v>
      </c>
      <c r="X2600">
        <v>0.14000000000000001</v>
      </c>
      <c r="Y2600" t="s">
        <v>138</v>
      </c>
      <c r="Z2600" t="s">
        <v>210</v>
      </c>
      <c r="AA2600">
        <v>1</v>
      </c>
      <c r="AB2600" t="s">
        <v>10825</v>
      </c>
      <c r="AC2600" t="s">
        <v>10826</v>
      </c>
      <c r="AD2600" t="s">
        <v>10827</v>
      </c>
      <c r="AE2600" t="s">
        <v>10828</v>
      </c>
      <c r="AF2600" t="s">
        <v>10829</v>
      </c>
      <c r="AG2600" t="s">
        <v>3903</v>
      </c>
      <c r="AH2600" t="s">
        <v>66</v>
      </c>
      <c r="AI2600" t="s">
        <v>66</v>
      </c>
      <c r="AJ2600" t="s">
        <v>66</v>
      </c>
      <c r="AK2600">
        <v>1</v>
      </c>
      <c r="AL2600" t="s">
        <v>66</v>
      </c>
      <c r="AM2600" t="s">
        <v>66</v>
      </c>
      <c r="AN2600" t="s">
        <v>66</v>
      </c>
      <c r="AO2600" t="s">
        <v>66</v>
      </c>
      <c r="AP2600">
        <v>1</v>
      </c>
      <c r="AQ2600" t="s">
        <v>66</v>
      </c>
      <c r="AR2600" t="s">
        <v>66</v>
      </c>
      <c r="AS2600" t="s">
        <v>66</v>
      </c>
      <c r="AT2600" t="s">
        <v>66</v>
      </c>
    </row>
    <row r="2601" spans="1:46" x14ac:dyDescent="0.15">
      <c r="A2601" t="s">
        <v>10940</v>
      </c>
      <c r="B2601" t="s">
        <v>10820</v>
      </c>
      <c r="C2601" t="s">
        <v>10821</v>
      </c>
      <c r="D2601">
        <v>24</v>
      </c>
      <c r="E2601" t="s">
        <v>10822</v>
      </c>
      <c r="F2601" t="s">
        <v>3083</v>
      </c>
      <c r="G2601" t="s">
        <v>51</v>
      </c>
      <c r="H2601" t="s">
        <v>10823</v>
      </c>
      <c r="I2601" t="s">
        <v>53</v>
      </c>
      <c r="J2601" t="s">
        <v>54</v>
      </c>
      <c r="K2601" t="s">
        <v>55</v>
      </c>
      <c r="L2601" t="s">
        <v>19</v>
      </c>
      <c r="M2601" t="s">
        <v>17</v>
      </c>
      <c r="N2601">
        <v>1791</v>
      </c>
      <c r="O2601">
        <v>105</v>
      </c>
      <c r="P2601">
        <v>0</v>
      </c>
      <c r="Q2601" t="s">
        <v>10941</v>
      </c>
      <c r="R2601" t="s">
        <v>10942</v>
      </c>
      <c r="S2601" t="s">
        <v>10943</v>
      </c>
      <c r="T2601" t="s">
        <v>10944</v>
      </c>
      <c r="U2601" t="s">
        <v>60</v>
      </c>
      <c r="V2601" t="s">
        <v>61</v>
      </c>
      <c r="W2601">
        <v>3</v>
      </c>
      <c r="X2601">
        <v>0.14000000000000001</v>
      </c>
      <c r="Y2601" t="s">
        <v>216</v>
      </c>
      <c r="Z2601" t="s">
        <v>217</v>
      </c>
      <c r="AA2601">
        <v>1</v>
      </c>
      <c r="AB2601" t="s">
        <v>10825</v>
      </c>
      <c r="AC2601" t="s">
        <v>10826</v>
      </c>
      <c r="AD2601" t="s">
        <v>10827</v>
      </c>
      <c r="AE2601" t="s">
        <v>10828</v>
      </c>
      <c r="AF2601" t="s">
        <v>10829</v>
      </c>
      <c r="AG2601" t="s">
        <v>3903</v>
      </c>
      <c r="AH2601" t="s">
        <v>66</v>
      </c>
      <c r="AI2601" t="s">
        <v>66</v>
      </c>
      <c r="AJ2601" t="s">
        <v>66</v>
      </c>
      <c r="AK2601">
        <v>1</v>
      </c>
      <c r="AL2601" t="s">
        <v>66</v>
      </c>
      <c r="AM2601" t="s">
        <v>66</v>
      </c>
      <c r="AN2601" t="s">
        <v>66</v>
      </c>
      <c r="AO2601" t="s">
        <v>66</v>
      </c>
      <c r="AP2601">
        <v>1</v>
      </c>
      <c r="AQ2601" t="s">
        <v>66</v>
      </c>
      <c r="AR2601" t="s">
        <v>66</v>
      </c>
      <c r="AS2601" t="s">
        <v>66</v>
      </c>
      <c r="AT2601" t="s">
        <v>66</v>
      </c>
    </row>
    <row r="2602" spans="1:46" x14ac:dyDescent="0.15">
      <c r="A2602" t="s">
        <v>10945</v>
      </c>
      <c r="B2602" t="s">
        <v>10820</v>
      </c>
      <c r="C2602" t="s">
        <v>10821</v>
      </c>
      <c r="D2602">
        <v>25</v>
      </c>
      <c r="E2602" t="s">
        <v>10822</v>
      </c>
      <c r="F2602" t="s">
        <v>3083</v>
      </c>
      <c r="G2602" t="s">
        <v>51</v>
      </c>
      <c r="H2602" t="s">
        <v>10823</v>
      </c>
      <c r="I2602" t="s">
        <v>53</v>
      </c>
      <c r="J2602" t="s">
        <v>54</v>
      </c>
      <c r="K2602" t="s">
        <v>55</v>
      </c>
      <c r="L2602" t="s">
        <v>19</v>
      </c>
      <c r="M2602" t="s">
        <v>17</v>
      </c>
      <c r="N2602">
        <v>1847</v>
      </c>
      <c r="O2602">
        <v>108</v>
      </c>
      <c r="P2602">
        <v>0</v>
      </c>
      <c r="Q2602" t="s">
        <v>10946</v>
      </c>
      <c r="R2602" t="s">
        <v>10947</v>
      </c>
      <c r="S2602" t="s">
        <v>10948</v>
      </c>
      <c r="T2602" t="s">
        <v>10949</v>
      </c>
      <c r="U2602" t="s">
        <v>60</v>
      </c>
      <c r="V2602" t="s">
        <v>61</v>
      </c>
      <c r="W2602">
        <v>3</v>
      </c>
      <c r="X2602">
        <v>0.14000000000000001</v>
      </c>
      <c r="Y2602" t="s">
        <v>144</v>
      </c>
      <c r="Z2602" t="s">
        <v>223</v>
      </c>
      <c r="AA2602">
        <v>1</v>
      </c>
      <c r="AB2602" t="s">
        <v>10825</v>
      </c>
      <c r="AC2602" t="s">
        <v>10826</v>
      </c>
      <c r="AD2602" t="s">
        <v>10827</v>
      </c>
      <c r="AE2602" t="s">
        <v>10828</v>
      </c>
      <c r="AF2602" t="s">
        <v>10829</v>
      </c>
      <c r="AG2602" t="s">
        <v>3903</v>
      </c>
      <c r="AH2602" t="s">
        <v>66</v>
      </c>
      <c r="AI2602" t="s">
        <v>66</v>
      </c>
      <c r="AJ2602" t="s">
        <v>66</v>
      </c>
      <c r="AK2602">
        <v>1</v>
      </c>
      <c r="AL2602" t="s">
        <v>66</v>
      </c>
      <c r="AM2602" t="s">
        <v>66</v>
      </c>
      <c r="AN2602" t="s">
        <v>66</v>
      </c>
      <c r="AO2602" t="s">
        <v>66</v>
      </c>
      <c r="AP2602">
        <v>1</v>
      </c>
      <c r="AQ2602" t="s">
        <v>66</v>
      </c>
      <c r="AR2602" t="s">
        <v>66</v>
      </c>
      <c r="AS2602" t="s">
        <v>66</v>
      </c>
      <c r="AT2602" t="s">
        <v>66</v>
      </c>
    </row>
    <row r="2603" spans="1:46" x14ac:dyDescent="0.15">
      <c r="A2603" t="s">
        <v>10950</v>
      </c>
      <c r="B2603" t="s">
        <v>10820</v>
      </c>
      <c r="C2603" t="s">
        <v>10821</v>
      </c>
      <c r="D2603">
        <v>26</v>
      </c>
      <c r="E2603" t="s">
        <v>10822</v>
      </c>
      <c r="F2603" t="s">
        <v>3083</v>
      </c>
      <c r="G2603" t="s">
        <v>51</v>
      </c>
      <c r="H2603" t="s">
        <v>10823</v>
      </c>
      <c r="I2603" t="s">
        <v>53</v>
      </c>
      <c r="J2603" t="s">
        <v>54</v>
      </c>
      <c r="K2603" t="s">
        <v>55</v>
      </c>
      <c r="L2603" t="s">
        <v>19</v>
      </c>
      <c r="M2603" t="s">
        <v>17</v>
      </c>
      <c r="N2603">
        <v>1903</v>
      </c>
      <c r="O2603">
        <v>112</v>
      </c>
      <c r="P2603">
        <v>0</v>
      </c>
      <c r="Q2603" t="s">
        <v>10951</v>
      </c>
      <c r="R2603" t="s">
        <v>10952</v>
      </c>
      <c r="S2603" t="s">
        <v>10953</v>
      </c>
      <c r="T2603" t="s">
        <v>10954</v>
      </c>
      <c r="U2603" t="s">
        <v>60</v>
      </c>
      <c r="V2603" t="s">
        <v>61</v>
      </c>
      <c r="W2603">
        <v>3</v>
      </c>
      <c r="X2603">
        <v>0.14000000000000001</v>
      </c>
      <c r="Y2603" t="s">
        <v>229</v>
      </c>
      <c r="Z2603" t="s">
        <v>230</v>
      </c>
      <c r="AA2603">
        <v>1</v>
      </c>
      <c r="AB2603" t="s">
        <v>10825</v>
      </c>
      <c r="AC2603" t="s">
        <v>10826</v>
      </c>
      <c r="AD2603" t="s">
        <v>10827</v>
      </c>
      <c r="AE2603" t="s">
        <v>10828</v>
      </c>
      <c r="AF2603" t="s">
        <v>10829</v>
      </c>
      <c r="AG2603" t="s">
        <v>3903</v>
      </c>
      <c r="AH2603" t="s">
        <v>66</v>
      </c>
      <c r="AI2603" t="s">
        <v>66</v>
      </c>
      <c r="AJ2603" t="s">
        <v>66</v>
      </c>
      <c r="AK2603">
        <v>1</v>
      </c>
      <c r="AL2603" t="s">
        <v>66</v>
      </c>
      <c r="AM2603" t="s">
        <v>66</v>
      </c>
      <c r="AN2603" t="s">
        <v>66</v>
      </c>
      <c r="AO2603" t="s">
        <v>66</v>
      </c>
      <c r="AP2603">
        <v>1</v>
      </c>
      <c r="AQ2603" t="s">
        <v>66</v>
      </c>
      <c r="AR2603" t="s">
        <v>66</v>
      </c>
      <c r="AS2603" t="s">
        <v>66</v>
      </c>
      <c r="AT2603" t="s">
        <v>66</v>
      </c>
    </row>
    <row r="2604" spans="1:46" x14ac:dyDescent="0.15">
      <c r="A2604" t="s">
        <v>10955</v>
      </c>
      <c r="B2604" t="s">
        <v>10820</v>
      </c>
      <c r="C2604" t="s">
        <v>10821</v>
      </c>
      <c r="D2604">
        <v>27</v>
      </c>
      <c r="E2604" t="s">
        <v>10822</v>
      </c>
      <c r="F2604" t="s">
        <v>3083</v>
      </c>
      <c r="G2604" t="s">
        <v>51</v>
      </c>
      <c r="H2604" t="s">
        <v>10823</v>
      </c>
      <c r="I2604" t="s">
        <v>53</v>
      </c>
      <c r="J2604" t="s">
        <v>54</v>
      </c>
      <c r="K2604" t="s">
        <v>55</v>
      </c>
      <c r="L2604" t="s">
        <v>19</v>
      </c>
      <c r="M2604" t="s">
        <v>17</v>
      </c>
      <c r="N2604">
        <v>1959</v>
      </c>
      <c r="O2604">
        <v>115</v>
      </c>
      <c r="P2604">
        <v>0</v>
      </c>
      <c r="Q2604" t="s">
        <v>10956</v>
      </c>
      <c r="R2604" t="s">
        <v>10957</v>
      </c>
      <c r="S2604" t="s">
        <v>10958</v>
      </c>
      <c r="T2604" t="s">
        <v>10959</v>
      </c>
      <c r="U2604" t="s">
        <v>60</v>
      </c>
      <c r="V2604" t="s">
        <v>61</v>
      </c>
      <c r="W2604">
        <v>3</v>
      </c>
      <c r="X2604">
        <v>0.14000000000000001</v>
      </c>
      <c r="Y2604" t="s">
        <v>151</v>
      </c>
      <c r="Z2604" t="s">
        <v>236</v>
      </c>
      <c r="AA2604">
        <v>1</v>
      </c>
      <c r="AB2604" t="s">
        <v>10825</v>
      </c>
      <c r="AC2604" t="s">
        <v>10826</v>
      </c>
      <c r="AD2604" t="s">
        <v>10827</v>
      </c>
      <c r="AE2604" t="s">
        <v>10828</v>
      </c>
      <c r="AF2604" t="s">
        <v>10829</v>
      </c>
      <c r="AG2604" t="s">
        <v>3903</v>
      </c>
      <c r="AH2604" t="s">
        <v>66</v>
      </c>
      <c r="AI2604" t="s">
        <v>66</v>
      </c>
      <c r="AJ2604" t="s">
        <v>66</v>
      </c>
      <c r="AK2604">
        <v>1</v>
      </c>
      <c r="AL2604" t="s">
        <v>66</v>
      </c>
      <c r="AM2604" t="s">
        <v>66</v>
      </c>
      <c r="AN2604" t="s">
        <v>66</v>
      </c>
      <c r="AO2604" t="s">
        <v>66</v>
      </c>
      <c r="AP2604">
        <v>1</v>
      </c>
      <c r="AQ2604" t="s">
        <v>66</v>
      </c>
      <c r="AR2604" t="s">
        <v>66</v>
      </c>
      <c r="AS2604" t="s">
        <v>66</v>
      </c>
      <c r="AT2604" t="s">
        <v>66</v>
      </c>
    </row>
    <row r="2605" spans="1:46" x14ac:dyDescent="0.15">
      <c r="A2605" t="s">
        <v>10960</v>
      </c>
      <c r="B2605" t="s">
        <v>10820</v>
      </c>
      <c r="C2605" t="s">
        <v>10821</v>
      </c>
      <c r="D2605">
        <v>28</v>
      </c>
      <c r="E2605" t="s">
        <v>10822</v>
      </c>
      <c r="F2605" t="s">
        <v>3083</v>
      </c>
      <c r="G2605" t="s">
        <v>51</v>
      </c>
      <c r="H2605" t="s">
        <v>10823</v>
      </c>
      <c r="I2605" t="s">
        <v>53</v>
      </c>
      <c r="J2605" t="s">
        <v>54</v>
      </c>
      <c r="K2605" t="s">
        <v>55</v>
      </c>
      <c r="L2605" t="s">
        <v>19</v>
      </c>
      <c r="M2605" t="s">
        <v>17</v>
      </c>
      <c r="N2605">
        <v>2015</v>
      </c>
      <c r="O2605">
        <v>118</v>
      </c>
      <c r="P2605">
        <v>0</v>
      </c>
      <c r="Q2605" t="s">
        <v>10961</v>
      </c>
      <c r="R2605" t="s">
        <v>10962</v>
      </c>
      <c r="S2605" t="s">
        <v>10963</v>
      </c>
      <c r="T2605" t="s">
        <v>10964</v>
      </c>
      <c r="U2605" t="s">
        <v>60</v>
      </c>
      <c r="V2605" t="s">
        <v>61</v>
      </c>
      <c r="W2605">
        <v>3</v>
      </c>
      <c r="X2605">
        <v>0.14000000000000001</v>
      </c>
      <c r="Y2605" t="s">
        <v>242</v>
      </c>
      <c r="Z2605" t="s">
        <v>243</v>
      </c>
      <c r="AA2605">
        <v>1</v>
      </c>
      <c r="AB2605" t="s">
        <v>10825</v>
      </c>
      <c r="AC2605" t="s">
        <v>10826</v>
      </c>
      <c r="AD2605" t="s">
        <v>10827</v>
      </c>
      <c r="AE2605" t="s">
        <v>10828</v>
      </c>
      <c r="AF2605" t="s">
        <v>10829</v>
      </c>
      <c r="AG2605" t="s">
        <v>3903</v>
      </c>
      <c r="AH2605" t="s">
        <v>66</v>
      </c>
      <c r="AI2605" t="s">
        <v>66</v>
      </c>
      <c r="AJ2605" t="s">
        <v>66</v>
      </c>
      <c r="AK2605">
        <v>1</v>
      </c>
      <c r="AL2605" t="s">
        <v>66</v>
      </c>
      <c r="AM2605" t="s">
        <v>66</v>
      </c>
      <c r="AN2605" t="s">
        <v>66</v>
      </c>
      <c r="AO2605" t="s">
        <v>66</v>
      </c>
      <c r="AP2605">
        <v>1</v>
      </c>
      <c r="AQ2605" t="s">
        <v>66</v>
      </c>
      <c r="AR2605" t="s">
        <v>66</v>
      </c>
      <c r="AS2605" t="s">
        <v>66</v>
      </c>
      <c r="AT2605" t="s">
        <v>66</v>
      </c>
    </row>
    <row r="2606" spans="1:46" x14ac:dyDescent="0.15">
      <c r="A2606" t="s">
        <v>10965</v>
      </c>
      <c r="B2606" t="s">
        <v>10820</v>
      </c>
      <c r="C2606" t="s">
        <v>10821</v>
      </c>
      <c r="D2606">
        <v>29</v>
      </c>
      <c r="E2606" t="s">
        <v>10822</v>
      </c>
      <c r="F2606" t="s">
        <v>3083</v>
      </c>
      <c r="G2606" t="s">
        <v>51</v>
      </c>
      <c r="H2606" t="s">
        <v>10823</v>
      </c>
      <c r="I2606" t="s">
        <v>53</v>
      </c>
      <c r="J2606" t="s">
        <v>54</v>
      </c>
      <c r="K2606" t="s">
        <v>55</v>
      </c>
      <c r="L2606" t="s">
        <v>19</v>
      </c>
      <c r="M2606" t="s">
        <v>17</v>
      </c>
      <c r="N2606">
        <v>2071</v>
      </c>
      <c r="O2606">
        <v>121</v>
      </c>
      <c r="P2606">
        <v>0</v>
      </c>
      <c r="Q2606" t="s">
        <v>10966</v>
      </c>
      <c r="R2606" t="s">
        <v>10967</v>
      </c>
      <c r="S2606" t="s">
        <v>10968</v>
      </c>
      <c r="T2606" t="s">
        <v>10969</v>
      </c>
      <c r="U2606" t="s">
        <v>60</v>
      </c>
      <c r="V2606" t="s">
        <v>61</v>
      </c>
      <c r="W2606">
        <v>3</v>
      </c>
      <c r="X2606">
        <v>0.14000000000000001</v>
      </c>
      <c r="Y2606" t="s">
        <v>157</v>
      </c>
      <c r="Z2606" t="s">
        <v>249</v>
      </c>
      <c r="AA2606">
        <v>1</v>
      </c>
      <c r="AB2606" t="s">
        <v>10825</v>
      </c>
      <c r="AC2606" t="s">
        <v>10826</v>
      </c>
      <c r="AD2606" t="s">
        <v>10827</v>
      </c>
      <c r="AE2606" t="s">
        <v>10828</v>
      </c>
      <c r="AF2606" t="s">
        <v>10829</v>
      </c>
      <c r="AG2606" t="s">
        <v>3903</v>
      </c>
      <c r="AH2606" t="s">
        <v>66</v>
      </c>
      <c r="AI2606" t="s">
        <v>66</v>
      </c>
      <c r="AJ2606" t="s">
        <v>66</v>
      </c>
      <c r="AK2606">
        <v>1</v>
      </c>
      <c r="AL2606" t="s">
        <v>66</v>
      </c>
      <c r="AM2606" t="s">
        <v>66</v>
      </c>
      <c r="AN2606" t="s">
        <v>66</v>
      </c>
      <c r="AO2606" t="s">
        <v>66</v>
      </c>
      <c r="AP2606">
        <v>1</v>
      </c>
      <c r="AQ2606" t="s">
        <v>66</v>
      </c>
      <c r="AR2606" t="s">
        <v>66</v>
      </c>
      <c r="AS2606" t="s">
        <v>66</v>
      </c>
      <c r="AT2606" t="s">
        <v>66</v>
      </c>
    </row>
    <row r="2607" spans="1:46" x14ac:dyDescent="0.15">
      <c r="A2607" t="s">
        <v>10970</v>
      </c>
      <c r="B2607" t="s">
        <v>10820</v>
      </c>
      <c r="C2607" t="s">
        <v>10821</v>
      </c>
      <c r="D2607">
        <v>30</v>
      </c>
      <c r="E2607" t="s">
        <v>10822</v>
      </c>
      <c r="F2607" t="s">
        <v>3083</v>
      </c>
      <c r="G2607" t="s">
        <v>51</v>
      </c>
      <c r="H2607" t="s">
        <v>10823</v>
      </c>
      <c r="I2607" t="s">
        <v>53</v>
      </c>
      <c r="J2607" t="s">
        <v>54</v>
      </c>
      <c r="K2607" t="s">
        <v>55</v>
      </c>
      <c r="L2607" t="s">
        <v>19</v>
      </c>
      <c r="M2607" t="s">
        <v>17</v>
      </c>
      <c r="N2607">
        <v>2128</v>
      </c>
      <c r="O2607">
        <v>125</v>
      </c>
      <c r="P2607">
        <v>0</v>
      </c>
      <c r="Q2607" t="s">
        <v>10971</v>
      </c>
      <c r="R2607" t="s">
        <v>10972</v>
      </c>
      <c r="S2607" t="s">
        <v>10973</v>
      </c>
      <c r="T2607" t="s">
        <v>10974</v>
      </c>
      <c r="U2607" t="s">
        <v>60</v>
      </c>
      <c r="V2607" t="s">
        <v>61</v>
      </c>
      <c r="W2607">
        <v>3</v>
      </c>
      <c r="X2607">
        <v>0.14000000000000001</v>
      </c>
      <c r="Y2607" t="s">
        <v>255</v>
      </c>
      <c r="Z2607" t="s">
        <v>256</v>
      </c>
      <c r="AA2607">
        <v>1</v>
      </c>
      <c r="AB2607" t="s">
        <v>10825</v>
      </c>
      <c r="AC2607" t="s">
        <v>10826</v>
      </c>
      <c r="AD2607" t="s">
        <v>10827</v>
      </c>
      <c r="AE2607" t="s">
        <v>10828</v>
      </c>
      <c r="AF2607" t="s">
        <v>10829</v>
      </c>
      <c r="AG2607" t="s">
        <v>3903</v>
      </c>
      <c r="AH2607" t="s">
        <v>66</v>
      </c>
      <c r="AI2607" t="s">
        <v>66</v>
      </c>
      <c r="AJ2607" t="s">
        <v>66</v>
      </c>
      <c r="AK2607">
        <v>1</v>
      </c>
      <c r="AL2607" t="s">
        <v>66</v>
      </c>
      <c r="AM2607" t="s">
        <v>66</v>
      </c>
      <c r="AN2607" t="s">
        <v>66</v>
      </c>
      <c r="AO2607" t="s">
        <v>66</v>
      </c>
      <c r="AP2607">
        <v>1</v>
      </c>
      <c r="AQ2607" t="s">
        <v>66</v>
      </c>
      <c r="AR2607" t="s">
        <v>66</v>
      </c>
      <c r="AS2607" t="s">
        <v>66</v>
      </c>
      <c r="AT2607" t="s">
        <v>66</v>
      </c>
    </row>
    <row r="2608" spans="1:46" x14ac:dyDescent="0.15">
      <c r="A2608" t="s">
        <v>10975</v>
      </c>
      <c r="B2608" t="s">
        <v>10820</v>
      </c>
      <c r="C2608" t="s">
        <v>10821</v>
      </c>
      <c r="D2608">
        <v>31</v>
      </c>
      <c r="E2608" t="s">
        <v>10822</v>
      </c>
      <c r="F2608" t="s">
        <v>3083</v>
      </c>
      <c r="G2608" t="s">
        <v>51</v>
      </c>
      <c r="H2608" t="s">
        <v>10823</v>
      </c>
      <c r="I2608" t="s">
        <v>53</v>
      </c>
      <c r="J2608" t="s">
        <v>54</v>
      </c>
      <c r="K2608" t="s">
        <v>55</v>
      </c>
      <c r="L2608" t="s">
        <v>19</v>
      </c>
      <c r="M2608" t="s">
        <v>17</v>
      </c>
      <c r="N2608">
        <v>2184</v>
      </c>
      <c r="O2608">
        <v>128</v>
      </c>
      <c r="P2608">
        <v>0</v>
      </c>
      <c r="Q2608" t="s">
        <v>10976</v>
      </c>
      <c r="R2608" t="s">
        <v>10977</v>
      </c>
      <c r="S2608" t="s">
        <v>10978</v>
      </c>
      <c r="T2608" t="s">
        <v>10979</v>
      </c>
      <c r="U2608" t="s">
        <v>60</v>
      </c>
      <c r="V2608" t="s">
        <v>61</v>
      </c>
      <c r="W2608">
        <v>3</v>
      </c>
      <c r="X2608">
        <v>0.14000000000000001</v>
      </c>
      <c r="Y2608" t="s">
        <v>164</v>
      </c>
      <c r="Z2608" t="s">
        <v>262</v>
      </c>
      <c r="AA2608">
        <v>1</v>
      </c>
      <c r="AB2608" t="s">
        <v>10825</v>
      </c>
      <c r="AC2608" t="s">
        <v>10826</v>
      </c>
      <c r="AD2608" t="s">
        <v>10827</v>
      </c>
      <c r="AE2608" t="s">
        <v>10828</v>
      </c>
      <c r="AF2608" t="s">
        <v>10829</v>
      </c>
      <c r="AG2608" t="s">
        <v>3903</v>
      </c>
      <c r="AH2608" t="s">
        <v>66</v>
      </c>
      <c r="AI2608" t="s">
        <v>66</v>
      </c>
      <c r="AJ2608" t="s">
        <v>66</v>
      </c>
      <c r="AK2608">
        <v>1</v>
      </c>
      <c r="AL2608" t="s">
        <v>66</v>
      </c>
      <c r="AM2608" t="s">
        <v>66</v>
      </c>
      <c r="AN2608" t="s">
        <v>66</v>
      </c>
      <c r="AO2608" t="s">
        <v>66</v>
      </c>
      <c r="AP2608">
        <v>1</v>
      </c>
      <c r="AQ2608" t="s">
        <v>66</v>
      </c>
      <c r="AR2608" t="s">
        <v>66</v>
      </c>
      <c r="AS2608" t="s">
        <v>66</v>
      </c>
      <c r="AT2608" t="s">
        <v>66</v>
      </c>
    </row>
    <row r="2609" spans="1:46" x14ac:dyDescent="0.15">
      <c r="A2609" t="s">
        <v>10980</v>
      </c>
      <c r="B2609" t="s">
        <v>10820</v>
      </c>
      <c r="C2609" t="s">
        <v>10821</v>
      </c>
      <c r="D2609">
        <v>32</v>
      </c>
      <c r="E2609" t="s">
        <v>10822</v>
      </c>
      <c r="F2609" t="s">
        <v>3083</v>
      </c>
      <c r="G2609" t="s">
        <v>51</v>
      </c>
      <c r="H2609" t="s">
        <v>10823</v>
      </c>
      <c r="I2609" t="s">
        <v>53</v>
      </c>
      <c r="J2609" t="s">
        <v>54</v>
      </c>
      <c r="K2609" t="s">
        <v>55</v>
      </c>
      <c r="L2609" t="s">
        <v>19</v>
      </c>
      <c r="M2609" t="s">
        <v>17</v>
      </c>
      <c r="N2609">
        <v>2240</v>
      </c>
      <c r="O2609">
        <v>131</v>
      </c>
      <c r="P2609">
        <v>0</v>
      </c>
      <c r="Q2609" t="s">
        <v>10981</v>
      </c>
      <c r="R2609" t="s">
        <v>10982</v>
      </c>
      <c r="S2609" t="s">
        <v>10983</v>
      </c>
      <c r="T2609" t="s">
        <v>10984</v>
      </c>
      <c r="U2609" t="s">
        <v>60</v>
      </c>
      <c r="V2609" t="s">
        <v>61</v>
      </c>
      <c r="W2609">
        <v>3</v>
      </c>
      <c r="X2609">
        <v>0.14000000000000001</v>
      </c>
      <c r="Y2609" t="s">
        <v>268</v>
      </c>
      <c r="Z2609" t="s">
        <v>269</v>
      </c>
      <c r="AA2609">
        <v>1</v>
      </c>
      <c r="AB2609" t="s">
        <v>10825</v>
      </c>
      <c r="AC2609" t="s">
        <v>10826</v>
      </c>
      <c r="AD2609" t="s">
        <v>10827</v>
      </c>
      <c r="AE2609" t="s">
        <v>10828</v>
      </c>
      <c r="AF2609" t="s">
        <v>10829</v>
      </c>
      <c r="AG2609" t="s">
        <v>3903</v>
      </c>
      <c r="AH2609" t="s">
        <v>66</v>
      </c>
      <c r="AI2609" t="s">
        <v>66</v>
      </c>
      <c r="AJ2609" t="s">
        <v>66</v>
      </c>
      <c r="AK2609">
        <v>1</v>
      </c>
      <c r="AL2609" t="s">
        <v>66</v>
      </c>
      <c r="AM2609" t="s">
        <v>66</v>
      </c>
      <c r="AN2609" t="s">
        <v>66</v>
      </c>
      <c r="AO2609" t="s">
        <v>66</v>
      </c>
      <c r="AP2609">
        <v>1</v>
      </c>
      <c r="AQ2609" t="s">
        <v>66</v>
      </c>
      <c r="AR2609" t="s">
        <v>66</v>
      </c>
      <c r="AS2609" t="s">
        <v>66</v>
      </c>
      <c r="AT2609" t="s">
        <v>66</v>
      </c>
    </row>
    <row r="2610" spans="1:46" x14ac:dyDescent="0.15">
      <c r="A2610" t="s">
        <v>10985</v>
      </c>
      <c r="B2610" t="s">
        <v>10820</v>
      </c>
      <c r="C2610" t="s">
        <v>10821</v>
      </c>
      <c r="D2610">
        <v>33</v>
      </c>
      <c r="E2610" t="s">
        <v>10822</v>
      </c>
      <c r="F2610" t="s">
        <v>3083</v>
      </c>
      <c r="G2610" t="s">
        <v>51</v>
      </c>
      <c r="H2610" t="s">
        <v>10823</v>
      </c>
      <c r="I2610" t="s">
        <v>53</v>
      </c>
      <c r="J2610" t="s">
        <v>54</v>
      </c>
      <c r="K2610" t="s">
        <v>55</v>
      </c>
      <c r="L2610" t="s">
        <v>19</v>
      </c>
      <c r="M2610" t="s">
        <v>17</v>
      </c>
      <c r="N2610">
        <v>2296</v>
      </c>
      <c r="O2610">
        <v>134</v>
      </c>
      <c r="P2610">
        <v>0</v>
      </c>
      <c r="Q2610" t="s">
        <v>10986</v>
      </c>
      <c r="R2610" t="s">
        <v>10987</v>
      </c>
      <c r="S2610" t="s">
        <v>10988</v>
      </c>
      <c r="T2610" t="s">
        <v>10989</v>
      </c>
      <c r="U2610" t="s">
        <v>60</v>
      </c>
      <c r="V2610" t="s">
        <v>61</v>
      </c>
      <c r="W2610">
        <v>3</v>
      </c>
      <c r="X2610">
        <v>0.14000000000000001</v>
      </c>
      <c r="Y2610" t="s">
        <v>170</v>
      </c>
      <c r="Z2610" t="s">
        <v>275</v>
      </c>
      <c r="AA2610">
        <v>1</v>
      </c>
      <c r="AB2610" t="s">
        <v>10825</v>
      </c>
      <c r="AC2610" t="s">
        <v>10826</v>
      </c>
      <c r="AD2610" t="s">
        <v>10827</v>
      </c>
      <c r="AE2610" t="s">
        <v>10828</v>
      </c>
      <c r="AF2610" t="s">
        <v>10829</v>
      </c>
      <c r="AG2610" t="s">
        <v>3903</v>
      </c>
      <c r="AH2610" t="s">
        <v>66</v>
      </c>
      <c r="AI2610" t="s">
        <v>66</v>
      </c>
      <c r="AJ2610" t="s">
        <v>66</v>
      </c>
      <c r="AK2610">
        <v>1</v>
      </c>
      <c r="AL2610" t="s">
        <v>66</v>
      </c>
      <c r="AM2610" t="s">
        <v>66</v>
      </c>
      <c r="AN2610" t="s">
        <v>66</v>
      </c>
      <c r="AO2610" t="s">
        <v>66</v>
      </c>
      <c r="AP2610">
        <v>1</v>
      </c>
      <c r="AQ2610" t="s">
        <v>66</v>
      </c>
      <c r="AR2610" t="s">
        <v>66</v>
      </c>
      <c r="AS2610" t="s">
        <v>66</v>
      </c>
      <c r="AT2610" t="s">
        <v>66</v>
      </c>
    </row>
    <row r="2611" spans="1:46" x14ac:dyDescent="0.15">
      <c r="A2611" t="s">
        <v>10990</v>
      </c>
      <c r="B2611" t="s">
        <v>10820</v>
      </c>
      <c r="C2611" t="s">
        <v>10821</v>
      </c>
      <c r="D2611">
        <v>34</v>
      </c>
      <c r="E2611" t="s">
        <v>10822</v>
      </c>
      <c r="F2611" t="s">
        <v>3083</v>
      </c>
      <c r="G2611" t="s">
        <v>51</v>
      </c>
      <c r="H2611" t="s">
        <v>10823</v>
      </c>
      <c r="I2611" t="s">
        <v>53</v>
      </c>
      <c r="J2611" t="s">
        <v>54</v>
      </c>
      <c r="K2611" t="s">
        <v>55</v>
      </c>
      <c r="L2611" t="s">
        <v>19</v>
      </c>
      <c r="M2611" t="s">
        <v>17</v>
      </c>
      <c r="N2611">
        <v>2352</v>
      </c>
      <c r="O2611">
        <v>138</v>
      </c>
      <c r="P2611">
        <v>0</v>
      </c>
      <c r="Q2611" t="s">
        <v>10991</v>
      </c>
      <c r="R2611" t="s">
        <v>10992</v>
      </c>
      <c r="S2611" t="s">
        <v>10993</v>
      </c>
      <c r="T2611" t="s">
        <v>10994</v>
      </c>
      <c r="U2611" t="s">
        <v>60</v>
      </c>
      <c r="V2611" t="s">
        <v>61</v>
      </c>
      <c r="W2611">
        <v>3</v>
      </c>
      <c r="X2611">
        <v>0.14000000000000001</v>
      </c>
      <c r="Y2611" t="s">
        <v>281</v>
      </c>
      <c r="Z2611" t="s">
        <v>282</v>
      </c>
      <c r="AA2611">
        <v>1</v>
      </c>
      <c r="AB2611" t="s">
        <v>10825</v>
      </c>
      <c r="AC2611" t="s">
        <v>10826</v>
      </c>
      <c r="AD2611" t="s">
        <v>10827</v>
      </c>
      <c r="AE2611" t="s">
        <v>10828</v>
      </c>
      <c r="AF2611" t="s">
        <v>10829</v>
      </c>
      <c r="AG2611" t="s">
        <v>3903</v>
      </c>
      <c r="AH2611" t="s">
        <v>66</v>
      </c>
      <c r="AI2611" t="s">
        <v>66</v>
      </c>
      <c r="AJ2611" t="s">
        <v>66</v>
      </c>
      <c r="AK2611">
        <v>1</v>
      </c>
      <c r="AL2611" t="s">
        <v>66</v>
      </c>
      <c r="AM2611" t="s">
        <v>66</v>
      </c>
      <c r="AN2611" t="s">
        <v>66</v>
      </c>
      <c r="AO2611" t="s">
        <v>66</v>
      </c>
      <c r="AP2611">
        <v>1</v>
      </c>
      <c r="AQ2611" t="s">
        <v>66</v>
      </c>
      <c r="AR2611" t="s">
        <v>66</v>
      </c>
      <c r="AS2611" t="s">
        <v>66</v>
      </c>
      <c r="AT2611" t="s">
        <v>66</v>
      </c>
    </row>
    <row r="2612" spans="1:46" x14ac:dyDescent="0.15">
      <c r="A2612" t="s">
        <v>10995</v>
      </c>
      <c r="B2612" t="s">
        <v>10820</v>
      </c>
      <c r="C2612" t="s">
        <v>10821</v>
      </c>
      <c r="D2612">
        <v>35</v>
      </c>
      <c r="E2612" t="s">
        <v>10822</v>
      </c>
      <c r="F2612" t="s">
        <v>3083</v>
      </c>
      <c r="G2612" t="s">
        <v>51</v>
      </c>
      <c r="H2612" t="s">
        <v>10823</v>
      </c>
      <c r="I2612" t="s">
        <v>53</v>
      </c>
      <c r="J2612" t="s">
        <v>54</v>
      </c>
      <c r="K2612" t="s">
        <v>55</v>
      </c>
      <c r="L2612" t="s">
        <v>19</v>
      </c>
      <c r="M2612" t="s">
        <v>17</v>
      </c>
      <c r="N2612">
        <v>2408</v>
      </c>
      <c r="O2612">
        <v>141</v>
      </c>
      <c r="P2612">
        <v>0</v>
      </c>
      <c r="Q2612" t="s">
        <v>10996</v>
      </c>
      <c r="R2612" t="s">
        <v>10997</v>
      </c>
      <c r="S2612" t="s">
        <v>10998</v>
      </c>
      <c r="T2612" t="s">
        <v>10999</v>
      </c>
      <c r="U2612" t="s">
        <v>60</v>
      </c>
      <c r="V2612" t="s">
        <v>61</v>
      </c>
      <c r="W2612">
        <v>3</v>
      </c>
      <c r="X2612">
        <v>0.14000000000000001</v>
      </c>
      <c r="Y2612" t="s">
        <v>177</v>
      </c>
      <c r="Z2612" t="s">
        <v>288</v>
      </c>
      <c r="AA2612">
        <v>1</v>
      </c>
      <c r="AB2612" t="s">
        <v>10825</v>
      </c>
      <c r="AC2612" t="s">
        <v>10826</v>
      </c>
      <c r="AD2612" t="s">
        <v>10827</v>
      </c>
      <c r="AE2612" t="s">
        <v>10828</v>
      </c>
      <c r="AF2612" t="s">
        <v>10829</v>
      </c>
      <c r="AG2612" t="s">
        <v>3903</v>
      </c>
      <c r="AH2612" t="s">
        <v>66</v>
      </c>
      <c r="AI2612" t="s">
        <v>66</v>
      </c>
      <c r="AJ2612" t="s">
        <v>66</v>
      </c>
      <c r="AK2612">
        <v>1</v>
      </c>
      <c r="AL2612" t="s">
        <v>66</v>
      </c>
      <c r="AM2612" t="s">
        <v>66</v>
      </c>
      <c r="AN2612" t="s">
        <v>66</v>
      </c>
      <c r="AO2612" t="s">
        <v>66</v>
      </c>
      <c r="AP2612">
        <v>1</v>
      </c>
      <c r="AQ2612" t="s">
        <v>66</v>
      </c>
      <c r="AR2612" t="s">
        <v>66</v>
      </c>
      <c r="AS2612" t="s">
        <v>66</v>
      </c>
      <c r="AT2612" t="s">
        <v>66</v>
      </c>
    </row>
    <row r="2613" spans="1:46" x14ac:dyDescent="0.15">
      <c r="A2613" t="s">
        <v>11000</v>
      </c>
      <c r="B2613" t="s">
        <v>10820</v>
      </c>
      <c r="C2613" t="s">
        <v>10821</v>
      </c>
      <c r="D2613">
        <v>36</v>
      </c>
      <c r="E2613" t="s">
        <v>10822</v>
      </c>
      <c r="F2613" t="s">
        <v>3083</v>
      </c>
      <c r="G2613" t="s">
        <v>51</v>
      </c>
      <c r="H2613" t="s">
        <v>10823</v>
      </c>
      <c r="I2613" t="s">
        <v>53</v>
      </c>
      <c r="J2613" t="s">
        <v>54</v>
      </c>
      <c r="K2613" t="s">
        <v>55</v>
      </c>
      <c r="L2613" t="s">
        <v>19</v>
      </c>
      <c r="M2613" t="s">
        <v>17</v>
      </c>
      <c r="N2613">
        <v>2464</v>
      </c>
      <c r="O2613">
        <v>144</v>
      </c>
      <c r="P2613">
        <v>0</v>
      </c>
      <c r="Q2613" t="s">
        <v>11001</v>
      </c>
      <c r="R2613" t="s">
        <v>11002</v>
      </c>
      <c r="S2613" t="s">
        <v>11003</v>
      </c>
      <c r="T2613" t="s">
        <v>11004</v>
      </c>
      <c r="U2613" t="s">
        <v>60</v>
      </c>
      <c r="V2613" t="s">
        <v>61</v>
      </c>
      <c r="W2613">
        <v>3</v>
      </c>
      <c r="X2613">
        <v>0.14000000000000001</v>
      </c>
      <c r="Y2613" t="s">
        <v>294</v>
      </c>
      <c r="Z2613" t="s">
        <v>295</v>
      </c>
      <c r="AA2613">
        <v>1</v>
      </c>
      <c r="AB2613" t="s">
        <v>10825</v>
      </c>
      <c r="AC2613" t="s">
        <v>10826</v>
      </c>
      <c r="AD2613" t="s">
        <v>10827</v>
      </c>
      <c r="AE2613" t="s">
        <v>10828</v>
      </c>
      <c r="AF2613" t="s">
        <v>10829</v>
      </c>
      <c r="AG2613" t="s">
        <v>3903</v>
      </c>
      <c r="AH2613" t="s">
        <v>66</v>
      </c>
      <c r="AI2613" t="s">
        <v>66</v>
      </c>
      <c r="AJ2613" t="s">
        <v>66</v>
      </c>
      <c r="AK2613">
        <v>1</v>
      </c>
      <c r="AL2613" t="s">
        <v>66</v>
      </c>
      <c r="AM2613" t="s">
        <v>66</v>
      </c>
      <c r="AN2613" t="s">
        <v>66</v>
      </c>
      <c r="AO2613" t="s">
        <v>66</v>
      </c>
      <c r="AP2613">
        <v>1</v>
      </c>
      <c r="AQ2613" t="s">
        <v>66</v>
      </c>
      <c r="AR2613" t="s">
        <v>66</v>
      </c>
      <c r="AS2613" t="s">
        <v>66</v>
      </c>
      <c r="AT2613" t="s">
        <v>66</v>
      </c>
    </row>
    <row r="2614" spans="1:46" x14ac:dyDescent="0.15">
      <c r="A2614" t="s">
        <v>11005</v>
      </c>
      <c r="B2614" t="s">
        <v>10820</v>
      </c>
      <c r="C2614" t="s">
        <v>10821</v>
      </c>
      <c r="D2614">
        <v>37</v>
      </c>
      <c r="E2614" t="s">
        <v>10822</v>
      </c>
      <c r="F2614" t="s">
        <v>3083</v>
      </c>
      <c r="G2614" t="s">
        <v>51</v>
      </c>
      <c r="H2614" t="s">
        <v>10823</v>
      </c>
      <c r="I2614" t="s">
        <v>53</v>
      </c>
      <c r="J2614" t="s">
        <v>54</v>
      </c>
      <c r="K2614" t="s">
        <v>55</v>
      </c>
      <c r="L2614" t="s">
        <v>19</v>
      </c>
      <c r="M2614" t="s">
        <v>17</v>
      </c>
      <c r="N2614">
        <v>2520</v>
      </c>
      <c r="O2614">
        <v>148</v>
      </c>
      <c r="P2614">
        <v>0</v>
      </c>
      <c r="Q2614" t="s">
        <v>11006</v>
      </c>
      <c r="R2614" t="s">
        <v>11007</v>
      </c>
      <c r="S2614" t="s">
        <v>11008</v>
      </c>
      <c r="T2614" t="s">
        <v>11009</v>
      </c>
      <c r="U2614" t="s">
        <v>60</v>
      </c>
      <c r="V2614" t="s">
        <v>61</v>
      </c>
      <c r="W2614">
        <v>3</v>
      </c>
      <c r="X2614">
        <v>0.14000000000000001</v>
      </c>
      <c r="Y2614" t="s">
        <v>183</v>
      </c>
      <c r="Z2614" t="s">
        <v>301</v>
      </c>
      <c r="AA2614">
        <v>1</v>
      </c>
      <c r="AB2614" t="s">
        <v>10825</v>
      </c>
      <c r="AC2614" t="s">
        <v>10826</v>
      </c>
      <c r="AD2614" t="s">
        <v>10827</v>
      </c>
      <c r="AE2614" t="s">
        <v>10828</v>
      </c>
      <c r="AF2614" t="s">
        <v>10829</v>
      </c>
      <c r="AG2614" t="s">
        <v>3903</v>
      </c>
      <c r="AH2614" t="s">
        <v>66</v>
      </c>
      <c r="AI2614" t="s">
        <v>66</v>
      </c>
      <c r="AJ2614" t="s">
        <v>66</v>
      </c>
      <c r="AK2614">
        <v>1</v>
      </c>
      <c r="AL2614" t="s">
        <v>66</v>
      </c>
      <c r="AM2614" t="s">
        <v>66</v>
      </c>
      <c r="AN2614" t="s">
        <v>66</v>
      </c>
      <c r="AO2614" t="s">
        <v>66</v>
      </c>
      <c r="AP2614">
        <v>1</v>
      </c>
      <c r="AQ2614" t="s">
        <v>66</v>
      </c>
      <c r="AR2614" t="s">
        <v>66</v>
      </c>
      <c r="AS2614" t="s">
        <v>66</v>
      </c>
      <c r="AT2614" t="s">
        <v>66</v>
      </c>
    </row>
    <row r="2615" spans="1:46" x14ac:dyDescent="0.15">
      <c r="A2615" t="s">
        <v>11010</v>
      </c>
      <c r="B2615" t="s">
        <v>10820</v>
      </c>
      <c r="C2615" t="s">
        <v>10821</v>
      </c>
      <c r="D2615">
        <v>38</v>
      </c>
      <c r="E2615" t="s">
        <v>10822</v>
      </c>
      <c r="F2615" t="s">
        <v>3083</v>
      </c>
      <c r="G2615" t="s">
        <v>51</v>
      </c>
      <c r="H2615" t="s">
        <v>10823</v>
      </c>
      <c r="I2615" t="s">
        <v>53</v>
      </c>
      <c r="J2615" t="s">
        <v>54</v>
      </c>
      <c r="K2615" t="s">
        <v>55</v>
      </c>
      <c r="L2615" t="s">
        <v>19</v>
      </c>
      <c r="M2615" t="s">
        <v>17</v>
      </c>
      <c r="N2615">
        <v>2577</v>
      </c>
      <c r="O2615">
        <v>151</v>
      </c>
      <c r="P2615">
        <v>0</v>
      </c>
      <c r="Q2615" t="s">
        <v>11011</v>
      </c>
      <c r="R2615" t="s">
        <v>11012</v>
      </c>
      <c r="S2615" t="s">
        <v>11013</v>
      </c>
      <c r="T2615" t="s">
        <v>11014</v>
      </c>
      <c r="U2615" t="s">
        <v>60</v>
      </c>
      <c r="V2615" t="s">
        <v>61</v>
      </c>
      <c r="W2615">
        <v>3</v>
      </c>
      <c r="X2615">
        <v>0.14000000000000001</v>
      </c>
      <c r="Y2615" t="s">
        <v>307</v>
      </c>
      <c r="Z2615" t="s">
        <v>308</v>
      </c>
      <c r="AA2615">
        <v>1</v>
      </c>
      <c r="AB2615" t="s">
        <v>10825</v>
      </c>
      <c r="AC2615" t="s">
        <v>10826</v>
      </c>
      <c r="AD2615" t="s">
        <v>10827</v>
      </c>
      <c r="AE2615" t="s">
        <v>10828</v>
      </c>
      <c r="AF2615" t="s">
        <v>10829</v>
      </c>
      <c r="AG2615" t="s">
        <v>3903</v>
      </c>
      <c r="AH2615" t="s">
        <v>66</v>
      </c>
      <c r="AI2615" t="s">
        <v>66</v>
      </c>
      <c r="AJ2615" t="s">
        <v>66</v>
      </c>
      <c r="AK2615">
        <v>1</v>
      </c>
      <c r="AL2615" t="s">
        <v>66</v>
      </c>
      <c r="AM2615" t="s">
        <v>66</v>
      </c>
      <c r="AN2615" t="s">
        <v>66</v>
      </c>
      <c r="AO2615" t="s">
        <v>66</v>
      </c>
      <c r="AP2615">
        <v>1</v>
      </c>
      <c r="AQ2615" t="s">
        <v>66</v>
      </c>
      <c r="AR2615" t="s">
        <v>66</v>
      </c>
      <c r="AS2615" t="s">
        <v>66</v>
      </c>
      <c r="AT2615" t="s">
        <v>66</v>
      </c>
    </row>
    <row r="2616" spans="1:46" x14ac:dyDescent="0.15">
      <c r="A2616" t="s">
        <v>11015</v>
      </c>
      <c r="B2616" t="s">
        <v>10820</v>
      </c>
      <c r="C2616" t="s">
        <v>10821</v>
      </c>
      <c r="D2616">
        <v>39</v>
      </c>
      <c r="E2616" t="s">
        <v>10822</v>
      </c>
      <c r="F2616" t="s">
        <v>3083</v>
      </c>
      <c r="G2616" t="s">
        <v>51</v>
      </c>
      <c r="H2616" t="s">
        <v>10823</v>
      </c>
      <c r="I2616" t="s">
        <v>53</v>
      </c>
      <c r="J2616" t="s">
        <v>54</v>
      </c>
      <c r="K2616" t="s">
        <v>55</v>
      </c>
      <c r="L2616" t="s">
        <v>19</v>
      </c>
      <c r="M2616" t="s">
        <v>17</v>
      </c>
      <c r="N2616">
        <v>2633</v>
      </c>
      <c r="O2616">
        <v>154</v>
      </c>
      <c r="P2616">
        <v>0</v>
      </c>
      <c r="Q2616" t="s">
        <v>11016</v>
      </c>
      <c r="R2616" t="s">
        <v>11017</v>
      </c>
      <c r="S2616" t="s">
        <v>11018</v>
      </c>
      <c r="T2616" t="s">
        <v>11019</v>
      </c>
      <c r="U2616" t="s">
        <v>60</v>
      </c>
      <c r="V2616" t="s">
        <v>61</v>
      </c>
      <c r="W2616">
        <v>3</v>
      </c>
      <c r="X2616">
        <v>0.14000000000000001</v>
      </c>
      <c r="Y2616" t="s">
        <v>190</v>
      </c>
      <c r="Z2616" t="s">
        <v>314</v>
      </c>
      <c r="AA2616">
        <v>1</v>
      </c>
      <c r="AB2616" t="s">
        <v>10825</v>
      </c>
      <c r="AC2616" t="s">
        <v>10826</v>
      </c>
      <c r="AD2616" t="s">
        <v>10827</v>
      </c>
      <c r="AE2616" t="s">
        <v>10828</v>
      </c>
      <c r="AF2616" t="s">
        <v>10829</v>
      </c>
      <c r="AG2616" t="s">
        <v>3903</v>
      </c>
      <c r="AH2616" t="s">
        <v>66</v>
      </c>
      <c r="AI2616" t="s">
        <v>66</v>
      </c>
      <c r="AJ2616" t="s">
        <v>66</v>
      </c>
      <c r="AK2616">
        <v>1</v>
      </c>
      <c r="AL2616" t="s">
        <v>66</v>
      </c>
      <c r="AM2616" t="s">
        <v>66</v>
      </c>
      <c r="AN2616" t="s">
        <v>66</v>
      </c>
      <c r="AO2616" t="s">
        <v>66</v>
      </c>
      <c r="AP2616">
        <v>1</v>
      </c>
      <c r="AQ2616" t="s">
        <v>66</v>
      </c>
      <c r="AR2616" t="s">
        <v>66</v>
      </c>
      <c r="AS2616" t="s">
        <v>66</v>
      </c>
      <c r="AT2616" t="s">
        <v>66</v>
      </c>
    </row>
    <row r="2617" spans="1:46" x14ac:dyDescent="0.15">
      <c r="A2617" t="s">
        <v>11020</v>
      </c>
      <c r="B2617" t="s">
        <v>10820</v>
      </c>
      <c r="C2617" t="s">
        <v>10821</v>
      </c>
      <c r="D2617">
        <v>40</v>
      </c>
      <c r="E2617" t="s">
        <v>10822</v>
      </c>
      <c r="F2617" t="s">
        <v>3083</v>
      </c>
      <c r="G2617" t="s">
        <v>51</v>
      </c>
      <c r="H2617" t="s">
        <v>10823</v>
      </c>
      <c r="I2617" t="s">
        <v>53</v>
      </c>
      <c r="J2617" t="s">
        <v>54</v>
      </c>
      <c r="K2617" t="s">
        <v>55</v>
      </c>
      <c r="L2617" t="s">
        <v>19</v>
      </c>
      <c r="M2617" t="s">
        <v>17</v>
      </c>
      <c r="N2617">
        <v>2689</v>
      </c>
      <c r="O2617">
        <v>157</v>
      </c>
      <c r="P2617">
        <v>0</v>
      </c>
      <c r="Q2617" t="s">
        <v>11021</v>
      </c>
      <c r="R2617" t="s">
        <v>11022</v>
      </c>
      <c r="S2617" t="s">
        <v>11023</v>
      </c>
      <c r="T2617" t="s">
        <v>11024</v>
      </c>
      <c r="U2617" t="s">
        <v>60</v>
      </c>
      <c r="V2617" t="s">
        <v>61</v>
      </c>
      <c r="W2617">
        <v>3</v>
      </c>
      <c r="X2617">
        <v>0.14000000000000001</v>
      </c>
      <c r="Y2617" t="s">
        <v>320</v>
      </c>
      <c r="Z2617" t="s">
        <v>321</v>
      </c>
      <c r="AA2617">
        <v>1</v>
      </c>
      <c r="AB2617" t="s">
        <v>10825</v>
      </c>
      <c r="AC2617" t="s">
        <v>10826</v>
      </c>
      <c r="AD2617" t="s">
        <v>10827</v>
      </c>
      <c r="AE2617" t="s">
        <v>10828</v>
      </c>
      <c r="AF2617" t="s">
        <v>10829</v>
      </c>
      <c r="AG2617" t="s">
        <v>3903</v>
      </c>
      <c r="AH2617" t="s">
        <v>66</v>
      </c>
      <c r="AI2617" t="s">
        <v>66</v>
      </c>
      <c r="AJ2617" t="s">
        <v>66</v>
      </c>
      <c r="AK2617">
        <v>1</v>
      </c>
      <c r="AL2617" t="s">
        <v>66</v>
      </c>
      <c r="AM2617" t="s">
        <v>66</v>
      </c>
      <c r="AN2617" t="s">
        <v>66</v>
      </c>
      <c r="AO2617" t="s">
        <v>66</v>
      </c>
      <c r="AP2617">
        <v>1</v>
      </c>
      <c r="AQ2617" t="s">
        <v>66</v>
      </c>
      <c r="AR2617" t="s">
        <v>66</v>
      </c>
      <c r="AS2617" t="s">
        <v>66</v>
      </c>
      <c r="AT2617" t="s">
        <v>66</v>
      </c>
    </row>
    <row r="2618" spans="1:46" x14ac:dyDescent="0.15">
      <c r="A2618" t="s">
        <v>11020</v>
      </c>
      <c r="B2618" t="s">
        <v>10820</v>
      </c>
      <c r="C2618" t="s">
        <v>10821</v>
      </c>
      <c r="D2618">
        <v>40</v>
      </c>
      <c r="E2618" t="s">
        <v>10822</v>
      </c>
      <c r="F2618" t="s">
        <v>3083</v>
      </c>
      <c r="G2618" t="s">
        <v>51</v>
      </c>
      <c r="H2618" t="s">
        <v>10823</v>
      </c>
      <c r="I2618" t="s">
        <v>53</v>
      </c>
      <c r="J2618" t="s">
        <v>54</v>
      </c>
      <c r="K2618" t="s">
        <v>55</v>
      </c>
      <c r="L2618" t="s">
        <v>19</v>
      </c>
      <c r="M2618" t="s">
        <v>17</v>
      </c>
      <c r="N2618">
        <v>2689</v>
      </c>
      <c r="O2618">
        <v>157</v>
      </c>
      <c r="P2618">
        <v>0</v>
      </c>
      <c r="Q2618" t="s">
        <v>11021</v>
      </c>
      <c r="R2618" t="s">
        <v>11022</v>
      </c>
      <c r="S2618" t="s">
        <v>11023</v>
      </c>
      <c r="T2618" t="s">
        <v>11024</v>
      </c>
      <c r="U2618" t="s">
        <v>60</v>
      </c>
      <c r="V2618" t="s">
        <v>61</v>
      </c>
      <c r="W2618">
        <v>3</v>
      </c>
      <c r="X2618">
        <v>0.14000000000000001</v>
      </c>
      <c r="Y2618" t="s">
        <v>320</v>
      </c>
      <c r="Z2618" t="s">
        <v>321</v>
      </c>
      <c r="AA2618">
        <v>2</v>
      </c>
      <c r="AB2618" t="s">
        <v>10825</v>
      </c>
      <c r="AC2618" t="s">
        <v>10826</v>
      </c>
      <c r="AD2618" t="s">
        <v>10827</v>
      </c>
      <c r="AE2618" t="s">
        <v>10828</v>
      </c>
      <c r="AF2618" t="s">
        <v>10829</v>
      </c>
      <c r="AG2618" t="s">
        <v>3903</v>
      </c>
      <c r="AH2618" t="s">
        <v>3902</v>
      </c>
      <c r="AI2618" t="s">
        <v>66</v>
      </c>
      <c r="AJ2618" t="s">
        <v>66</v>
      </c>
      <c r="AK2618">
        <v>1</v>
      </c>
      <c r="AL2618" t="s">
        <v>11025</v>
      </c>
      <c r="AM2618" t="s">
        <v>11026</v>
      </c>
      <c r="AN2618" t="s">
        <v>66</v>
      </c>
      <c r="AO2618" t="s">
        <v>66</v>
      </c>
      <c r="AP2618">
        <v>1</v>
      </c>
      <c r="AQ2618" t="s">
        <v>11027</v>
      </c>
      <c r="AR2618" t="s">
        <v>11028</v>
      </c>
      <c r="AS2618" t="s">
        <v>11029</v>
      </c>
      <c r="AT2618" t="s">
        <v>66</v>
      </c>
    </row>
    <row r="2619" spans="1:46" x14ac:dyDescent="0.15">
      <c r="A2619" t="s">
        <v>11030</v>
      </c>
      <c r="B2619" t="s">
        <v>10820</v>
      </c>
      <c r="C2619" t="s">
        <v>10821</v>
      </c>
      <c r="D2619">
        <v>41</v>
      </c>
      <c r="E2619" t="s">
        <v>10822</v>
      </c>
      <c r="F2619" t="s">
        <v>3083</v>
      </c>
      <c r="G2619" t="s">
        <v>51</v>
      </c>
      <c r="H2619" t="s">
        <v>10823</v>
      </c>
      <c r="I2619" t="s">
        <v>53</v>
      </c>
      <c r="J2619" t="s">
        <v>54</v>
      </c>
      <c r="K2619" t="s">
        <v>55</v>
      </c>
      <c r="L2619" t="s">
        <v>19</v>
      </c>
      <c r="M2619" t="s">
        <v>17</v>
      </c>
      <c r="N2619">
        <v>2745</v>
      </c>
      <c r="O2619">
        <v>161</v>
      </c>
      <c r="P2619">
        <v>0</v>
      </c>
      <c r="Q2619" t="s">
        <v>11031</v>
      </c>
      <c r="R2619" t="s">
        <v>11032</v>
      </c>
      <c r="S2619" t="s">
        <v>11033</v>
      </c>
      <c r="T2619" t="s">
        <v>11034</v>
      </c>
      <c r="U2619" t="s">
        <v>60</v>
      </c>
      <c r="V2619" t="s">
        <v>61</v>
      </c>
      <c r="W2619">
        <v>3</v>
      </c>
      <c r="X2619">
        <v>0.14000000000000001</v>
      </c>
      <c r="Y2619" t="s">
        <v>197</v>
      </c>
      <c r="Z2619" t="s">
        <v>330</v>
      </c>
      <c r="AA2619">
        <v>2</v>
      </c>
      <c r="AB2619" t="s">
        <v>10825</v>
      </c>
      <c r="AC2619" t="s">
        <v>10826</v>
      </c>
      <c r="AD2619" t="s">
        <v>10827</v>
      </c>
      <c r="AE2619" t="s">
        <v>10828</v>
      </c>
      <c r="AF2619" t="s">
        <v>10829</v>
      </c>
      <c r="AG2619" t="s">
        <v>3903</v>
      </c>
      <c r="AH2619" t="s">
        <v>3902</v>
      </c>
      <c r="AI2619" t="s">
        <v>66</v>
      </c>
      <c r="AJ2619" t="s">
        <v>66</v>
      </c>
      <c r="AK2619">
        <v>1</v>
      </c>
      <c r="AL2619" t="s">
        <v>11025</v>
      </c>
      <c r="AM2619" t="s">
        <v>11026</v>
      </c>
      <c r="AN2619" t="s">
        <v>66</v>
      </c>
      <c r="AO2619" t="s">
        <v>66</v>
      </c>
      <c r="AP2619">
        <v>1</v>
      </c>
      <c r="AQ2619" t="s">
        <v>11027</v>
      </c>
      <c r="AR2619" t="s">
        <v>11028</v>
      </c>
      <c r="AS2619" t="s">
        <v>11029</v>
      </c>
      <c r="AT2619" t="s">
        <v>66</v>
      </c>
    </row>
    <row r="2620" spans="1:46" x14ac:dyDescent="0.15">
      <c r="A2620" t="s">
        <v>11035</v>
      </c>
      <c r="B2620" t="s">
        <v>10820</v>
      </c>
      <c r="C2620" t="s">
        <v>10821</v>
      </c>
      <c r="D2620">
        <v>42</v>
      </c>
      <c r="E2620" t="s">
        <v>10822</v>
      </c>
      <c r="F2620" t="s">
        <v>3083</v>
      </c>
      <c r="G2620" t="s">
        <v>51</v>
      </c>
      <c r="H2620" t="s">
        <v>10823</v>
      </c>
      <c r="I2620" t="s">
        <v>53</v>
      </c>
      <c r="J2620" t="s">
        <v>54</v>
      </c>
      <c r="K2620" t="s">
        <v>55</v>
      </c>
      <c r="L2620" t="s">
        <v>19</v>
      </c>
      <c r="M2620" t="s">
        <v>17</v>
      </c>
      <c r="N2620">
        <v>2801</v>
      </c>
      <c r="O2620">
        <v>164</v>
      </c>
      <c r="P2620">
        <v>0</v>
      </c>
      <c r="Q2620" t="s">
        <v>11036</v>
      </c>
      <c r="R2620" t="s">
        <v>11037</v>
      </c>
      <c r="S2620" t="s">
        <v>11038</v>
      </c>
      <c r="T2620" t="s">
        <v>11039</v>
      </c>
      <c r="U2620" t="s">
        <v>60</v>
      </c>
      <c r="V2620" t="s">
        <v>61</v>
      </c>
      <c r="W2620">
        <v>3</v>
      </c>
      <c r="X2620">
        <v>0.14000000000000001</v>
      </c>
      <c r="Y2620" t="s">
        <v>336</v>
      </c>
      <c r="Z2620" t="s">
        <v>337</v>
      </c>
      <c r="AA2620">
        <v>2</v>
      </c>
      <c r="AB2620" t="s">
        <v>10825</v>
      </c>
      <c r="AC2620" t="s">
        <v>10826</v>
      </c>
      <c r="AD2620" t="s">
        <v>10827</v>
      </c>
      <c r="AE2620" t="s">
        <v>10828</v>
      </c>
      <c r="AF2620" t="s">
        <v>10829</v>
      </c>
      <c r="AG2620" t="s">
        <v>3903</v>
      </c>
      <c r="AH2620" t="s">
        <v>3902</v>
      </c>
      <c r="AI2620" t="s">
        <v>66</v>
      </c>
      <c r="AJ2620" t="s">
        <v>66</v>
      </c>
      <c r="AK2620">
        <v>1</v>
      </c>
      <c r="AL2620" t="s">
        <v>11025</v>
      </c>
      <c r="AM2620" t="s">
        <v>11026</v>
      </c>
      <c r="AN2620" t="s">
        <v>66</v>
      </c>
      <c r="AO2620" t="s">
        <v>66</v>
      </c>
      <c r="AP2620">
        <v>1</v>
      </c>
      <c r="AQ2620" t="s">
        <v>11027</v>
      </c>
      <c r="AR2620" t="s">
        <v>11028</v>
      </c>
      <c r="AS2620" t="s">
        <v>11029</v>
      </c>
      <c r="AT2620" t="s">
        <v>66</v>
      </c>
    </row>
    <row r="2621" spans="1:46" x14ac:dyDescent="0.15">
      <c r="A2621" t="s">
        <v>11040</v>
      </c>
      <c r="B2621" t="s">
        <v>10820</v>
      </c>
      <c r="C2621" t="s">
        <v>10821</v>
      </c>
      <c r="D2621">
        <v>43</v>
      </c>
      <c r="E2621" t="s">
        <v>10822</v>
      </c>
      <c r="F2621" t="s">
        <v>3083</v>
      </c>
      <c r="G2621" t="s">
        <v>51</v>
      </c>
      <c r="H2621" t="s">
        <v>10823</v>
      </c>
      <c r="I2621" t="s">
        <v>53</v>
      </c>
      <c r="J2621" t="s">
        <v>54</v>
      </c>
      <c r="K2621" t="s">
        <v>55</v>
      </c>
      <c r="L2621" t="s">
        <v>19</v>
      </c>
      <c r="M2621" t="s">
        <v>17</v>
      </c>
      <c r="N2621">
        <v>2857</v>
      </c>
      <c r="O2621">
        <v>167</v>
      </c>
      <c r="P2621">
        <v>0</v>
      </c>
      <c r="Q2621" t="s">
        <v>11041</v>
      </c>
      <c r="R2621" t="s">
        <v>11042</v>
      </c>
      <c r="S2621" t="s">
        <v>11043</v>
      </c>
      <c r="T2621" t="s">
        <v>11044</v>
      </c>
      <c r="U2621" t="s">
        <v>60</v>
      </c>
      <c r="V2621" t="s">
        <v>61</v>
      </c>
      <c r="W2621">
        <v>3</v>
      </c>
      <c r="X2621">
        <v>0.14000000000000001</v>
      </c>
      <c r="Y2621" t="s">
        <v>204</v>
      </c>
      <c r="Z2621" t="s">
        <v>343</v>
      </c>
      <c r="AA2621">
        <v>2</v>
      </c>
      <c r="AB2621" t="s">
        <v>10825</v>
      </c>
      <c r="AC2621" t="s">
        <v>10826</v>
      </c>
      <c r="AD2621" t="s">
        <v>10827</v>
      </c>
      <c r="AE2621" t="s">
        <v>10828</v>
      </c>
      <c r="AF2621" t="s">
        <v>10829</v>
      </c>
      <c r="AG2621" t="s">
        <v>3903</v>
      </c>
      <c r="AH2621" t="s">
        <v>3902</v>
      </c>
      <c r="AI2621" t="s">
        <v>66</v>
      </c>
      <c r="AJ2621" t="s">
        <v>66</v>
      </c>
      <c r="AK2621">
        <v>1</v>
      </c>
      <c r="AL2621" t="s">
        <v>11025</v>
      </c>
      <c r="AM2621" t="s">
        <v>11026</v>
      </c>
      <c r="AN2621" t="s">
        <v>66</v>
      </c>
      <c r="AO2621" t="s">
        <v>66</v>
      </c>
      <c r="AP2621">
        <v>1</v>
      </c>
      <c r="AQ2621" t="s">
        <v>11027</v>
      </c>
      <c r="AR2621" t="s">
        <v>11028</v>
      </c>
      <c r="AS2621" t="s">
        <v>11029</v>
      </c>
      <c r="AT2621" t="s">
        <v>66</v>
      </c>
    </row>
    <row r="2622" spans="1:46" x14ac:dyDescent="0.15">
      <c r="A2622" t="s">
        <v>11045</v>
      </c>
      <c r="B2622" t="s">
        <v>10820</v>
      </c>
      <c r="C2622" t="s">
        <v>10821</v>
      </c>
      <c r="D2622">
        <v>44</v>
      </c>
      <c r="E2622" t="s">
        <v>10822</v>
      </c>
      <c r="F2622" t="s">
        <v>3083</v>
      </c>
      <c r="G2622" t="s">
        <v>51</v>
      </c>
      <c r="H2622" t="s">
        <v>10823</v>
      </c>
      <c r="I2622" t="s">
        <v>53</v>
      </c>
      <c r="J2622" t="s">
        <v>54</v>
      </c>
      <c r="K2622" t="s">
        <v>55</v>
      </c>
      <c r="L2622" t="s">
        <v>19</v>
      </c>
      <c r="M2622" t="s">
        <v>17</v>
      </c>
      <c r="N2622">
        <v>2913</v>
      </c>
      <c r="O2622">
        <v>170</v>
      </c>
      <c r="P2622">
        <v>0</v>
      </c>
      <c r="Q2622" t="s">
        <v>11046</v>
      </c>
      <c r="R2622" t="s">
        <v>11047</v>
      </c>
      <c r="S2622" t="s">
        <v>11048</v>
      </c>
      <c r="T2622" t="s">
        <v>11049</v>
      </c>
      <c r="U2622" t="s">
        <v>60</v>
      </c>
      <c r="V2622" t="s">
        <v>61</v>
      </c>
      <c r="W2622">
        <v>3</v>
      </c>
      <c r="X2622">
        <v>0.14000000000000001</v>
      </c>
      <c r="Y2622" t="s">
        <v>349</v>
      </c>
      <c r="Z2622" t="s">
        <v>350</v>
      </c>
      <c r="AA2622">
        <v>2</v>
      </c>
      <c r="AB2622" t="s">
        <v>10825</v>
      </c>
      <c r="AC2622" t="s">
        <v>10826</v>
      </c>
      <c r="AD2622" t="s">
        <v>10827</v>
      </c>
      <c r="AE2622" t="s">
        <v>10828</v>
      </c>
      <c r="AF2622" t="s">
        <v>10829</v>
      </c>
      <c r="AG2622" t="s">
        <v>3903</v>
      </c>
      <c r="AH2622" t="s">
        <v>3902</v>
      </c>
      <c r="AI2622" t="s">
        <v>66</v>
      </c>
      <c r="AJ2622" t="s">
        <v>66</v>
      </c>
      <c r="AK2622">
        <v>1</v>
      </c>
      <c r="AL2622" t="s">
        <v>11025</v>
      </c>
      <c r="AM2622" t="s">
        <v>11026</v>
      </c>
      <c r="AN2622" t="s">
        <v>66</v>
      </c>
      <c r="AO2622" t="s">
        <v>66</v>
      </c>
      <c r="AP2622">
        <v>1</v>
      </c>
      <c r="AQ2622" t="s">
        <v>11027</v>
      </c>
      <c r="AR2622" t="s">
        <v>11028</v>
      </c>
      <c r="AS2622" t="s">
        <v>11029</v>
      </c>
      <c r="AT2622" t="s">
        <v>66</v>
      </c>
    </row>
    <row r="2623" spans="1:46" x14ac:dyDescent="0.15">
      <c r="A2623" t="s">
        <v>11050</v>
      </c>
      <c r="B2623" t="s">
        <v>10820</v>
      </c>
      <c r="C2623" t="s">
        <v>10821</v>
      </c>
      <c r="D2623">
        <v>45</v>
      </c>
      <c r="E2623" t="s">
        <v>10822</v>
      </c>
      <c r="F2623" t="s">
        <v>3083</v>
      </c>
      <c r="G2623" t="s">
        <v>51</v>
      </c>
      <c r="H2623" t="s">
        <v>10823</v>
      </c>
      <c r="I2623" t="s">
        <v>53</v>
      </c>
      <c r="J2623" t="s">
        <v>54</v>
      </c>
      <c r="K2623" t="s">
        <v>55</v>
      </c>
      <c r="L2623" t="s">
        <v>19</v>
      </c>
      <c r="M2623" t="s">
        <v>17</v>
      </c>
      <c r="N2623">
        <v>2969</v>
      </c>
      <c r="O2623">
        <v>174</v>
      </c>
      <c r="P2623">
        <v>0</v>
      </c>
      <c r="Q2623" t="s">
        <v>11051</v>
      </c>
      <c r="R2623" t="s">
        <v>11052</v>
      </c>
      <c r="S2623" t="s">
        <v>11053</v>
      </c>
      <c r="T2623" t="s">
        <v>11054</v>
      </c>
      <c r="U2623" t="s">
        <v>60</v>
      </c>
      <c r="V2623" t="s">
        <v>61</v>
      </c>
      <c r="W2623">
        <v>3</v>
      </c>
      <c r="X2623">
        <v>0.14000000000000001</v>
      </c>
      <c r="Y2623" t="s">
        <v>210</v>
      </c>
      <c r="Z2623" t="s">
        <v>356</v>
      </c>
      <c r="AA2623">
        <v>2</v>
      </c>
      <c r="AB2623" t="s">
        <v>10825</v>
      </c>
      <c r="AC2623" t="s">
        <v>10826</v>
      </c>
      <c r="AD2623" t="s">
        <v>10827</v>
      </c>
      <c r="AE2623" t="s">
        <v>10828</v>
      </c>
      <c r="AF2623" t="s">
        <v>10829</v>
      </c>
      <c r="AG2623" t="s">
        <v>3903</v>
      </c>
      <c r="AH2623" t="s">
        <v>3902</v>
      </c>
      <c r="AI2623" t="s">
        <v>66</v>
      </c>
      <c r="AJ2623" t="s">
        <v>66</v>
      </c>
      <c r="AK2623">
        <v>1</v>
      </c>
      <c r="AL2623" t="s">
        <v>11025</v>
      </c>
      <c r="AM2623" t="s">
        <v>11026</v>
      </c>
      <c r="AN2623" t="s">
        <v>66</v>
      </c>
      <c r="AO2623" t="s">
        <v>66</v>
      </c>
      <c r="AP2623">
        <v>1</v>
      </c>
      <c r="AQ2623" t="s">
        <v>11027</v>
      </c>
      <c r="AR2623" t="s">
        <v>11028</v>
      </c>
      <c r="AS2623" t="s">
        <v>11029</v>
      </c>
      <c r="AT2623" t="s">
        <v>66</v>
      </c>
    </row>
    <row r="2624" spans="1:46" x14ac:dyDescent="0.15">
      <c r="A2624" t="s">
        <v>11055</v>
      </c>
      <c r="B2624" t="s">
        <v>10820</v>
      </c>
      <c r="C2624" t="s">
        <v>10821</v>
      </c>
      <c r="D2624">
        <v>46</v>
      </c>
      <c r="E2624" t="s">
        <v>10822</v>
      </c>
      <c r="F2624" t="s">
        <v>3083</v>
      </c>
      <c r="G2624" t="s">
        <v>51</v>
      </c>
      <c r="H2624" t="s">
        <v>10823</v>
      </c>
      <c r="I2624" t="s">
        <v>53</v>
      </c>
      <c r="J2624" t="s">
        <v>54</v>
      </c>
      <c r="K2624" t="s">
        <v>55</v>
      </c>
      <c r="L2624" t="s">
        <v>19</v>
      </c>
      <c r="M2624" t="s">
        <v>17</v>
      </c>
      <c r="N2624">
        <v>3026</v>
      </c>
      <c r="O2624">
        <v>177</v>
      </c>
      <c r="P2624">
        <v>0</v>
      </c>
      <c r="Q2624" t="s">
        <v>11056</v>
      </c>
      <c r="R2624" t="s">
        <v>11057</v>
      </c>
      <c r="S2624" t="s">
        <v>11058</v>
      </c>
      <c r="T2624" t="s">
        <v>11059</v>
      </c>
      <c r="U2624" t="s">
        <v>60</v>
      </c>
      <c r="V2624" t="s">
        <v>61</v>
      </c>
      <c r="W2624">
        <v>3</v>
      </c>
      <c r="X2624">
        <v>0.14000000000000001</v>
      </c>
      <c r="Y2624" t="s">
        <v>362</v>
      </c>
      <c r="Z2624" t="s">
        <v>363</v>
      </c>
      <c r="AA2624">
        <v>2</v>
      </c>
      <c r="AB2624" t="s">
        <v>10825</v>
      </c>
      <c r="AC2624" t="s">
        <v>10826</v>
      </c>
      <c r="AD2624" t="s">
        <v>10827</v>
      </c>
      <c r="AE2624" t="s">
        <v>10828</v>
      </c>
      <c r="AF2624" t="s">
        <v>10829</v>
      </c>
      <c r="AG2624" t="s">
        <v>3903</v>
      </c>
      <c r="AH2624" t="s">
        <v>3902</v>
      </c>
      <c r="AI2624" t="s">
        <v>66</v>
      </c>
      <c r="AJ2624" t="s">
        <v>66</v>
      </c>
      <c r="AK2624">
        <v>1</v>
      </c>
      <c r="AL2624" t="s">
        <v>11025</v>
      </c>
      <c r="AM2624" t="s">
        <v>11026</v>
      </c>
      <c r="AN2624" t="s">
        <v>66</v>
      </c>
      <c r="AO2624" t="s">
        <v>66</v>
      </c>
      <c r="AP2624">
        <v>1</v>
      </c>
      <c r="AQ2624" t="s">
        <v>11027</v>
      </c>
      <c r="AR2624" t="s">
        <v>11028</v>
      </c>
      <c r="AS2624" t="s">
        <v>11029</v>
      </c>
      <c r="AT2624" t="s">
        <v>66</v>
      </c>
    </row>
    <row r="2625" spans="1:46" x14ac:dyDescent="0.15">
      <c r="A2625" t="s">
        <v>11060</v>
      </c>
      <c r="B2625" t="s">
        <v>10820</v>
      </c>
      <c r="C2625" t="s">
        <v>10821</v>
      </c>
      <c r="D2625">
        <v>47</v>
      </c>
      <c r="E2625" t="s">
        <v>10822</v>
      </c>
      <c r="F2625" t="s">
        <v>3083</v>
      </c>
      <c r="G2625" t="s">
        <v>51</v>
      </c>
      <c r="H2625" t="s">
        <v>10823</v>
      </c>
      <c r="I2625" t="s">
        <v>53</v>
      </c>
      <c r="J2625" t="s">
        <v>54</v>
      </c>
      <c r="K2625" t="s">
        <v>55</v>
      </c>
      <c r="L2625" t="s">
        <v>19</v>
      </c>
      <c r="M2625" t="s">
        <v>17</v>
      </c>
      <c r="N2625">
        <v>3082</v>
      </c>
      <c r="O2625">
        <v>180</v>
      </c>
      <c r="P2625">
        <v>0</v>
      </c>
      <c r="Q2625" t="s">
        <v>11061</v>
      </c>
      <c r="R2625" t="s">
        <v>11062</v>
      </c>
      <c r="S2625" t="s">
        <v>11063</v>
      </c>
      <c r="T2625" t="s">
        <v>11064</v>
      </c>
      <c r="U2625" t="s">
        <v>60</v>
      </c>
      <c r="V2625" t="s">
        <v>61</v>
      </c>
      <c r="W2625">
        <v>3</v>
      </c>
      <c r="X2625">
        <v>0.14000000000000001</v>
      </c>
      <c r="Y2625" t="s">
        <v>217</v>
      </c>
      <c r="Z2625" t="s">
        <v>369</v>
      </c>
      <c r="AA2625">
        <v>2</v>
      </c>
      <c r="AB2625" t="s">
        <v>10825</v>
      </c>
      <c r="AC2625" t="s">
        <v>10826</v>
      </c>
      <c r="AD2625" t="s">
        <v>10827</v>
      </c>
      <c r="AE2625" t="s">
        <v>10828</v>
      </c>
      <c r="AF2625" t="s">
        <v>10829</v>
      </c>
      <c r="AG2625" t="s">
        <v>3903</v>
      </c>
      <c r="AH2625" t="s">
        <v>3902</v>
      </c>
      <c r="AI2625" t="s">
        <v>66</v>
      </c>
      <c r="AJ2625" t="s">
        <v>66</v>
      </c>
      <c r="AK2625">
        <v>1</v>
      </c>
      <c r="AL2625" t="s">
        <v>11025</v>
      </c>
      <c r="AM2625" t="s">
        <v>11026</v>
      </c>
      <c r="AN2625" t="s">
        <v>66</v>
      </c>
      <c r="AO2625" t="s">
        <v>66</v>
      </c>
      <c r="AP2625">
        <v>1</v>
      </c>
      <c r="AQ2625" t="s">
        <v>11027</v>
      </c>
      <c r="AR2625" t="s">
        <v>11028</v>
      </c>
      <c r="AS2625" t="s">
        <v>11029</v>
      </c>
      <c r="AT2625" t="s">
        <v>66</v>
      </c>
    </row>
    <row r="2626" spans="1:46" x14ac:dyDescent="0.15">
      <c r="A2626" t="s">
        <v>11065</v>
      </c>
      <c r="B2626" t="s">
        <v>10820</v>
      </c>
      <c r="C2626" t="s">
        <v>10821</v>
      </c>
      <c r="D2626">
        <v>48</v>
      </c>
      <c r="E2626" t="s">
        <v>10822</v>
      </c>
      <c r="F2626" t="s">
        <v>3083</v>
      </c>
      <c r="G2626" t="s">
        <v>51</v>
      </c>
      <c r="H2626" t="s">
        <v>10823</v>
      </c>
      <c r="I2626" t="s">
        <v>53</v>
      </c>
      <c r="J2626" t="s">
        <v>54</v>
      </c>
      <c r="K2626" t="s">
        <v>55</v>
      </c>
      <c r="L2626" t="s">
        <v>19</v>
      </c>
      <c r="M2626" t="s">
        <v>17</v>
      </c>
      <c r="N2626">
        <v>3138</v>
      </c>
      <c r="O2626">
        <v>183</v>
      </c>
      <c r="P2626">
        <v>0</v>
      </c>
      <c r="Q2626" t="s">
        <v>11066</v>
      </c>
      <c r="R2626" t="s">
        <v>11067</v>
      </c>
      <c r="S2626" t="s">
        <v>11068</v>
      </c>
      <c r="T2626" t="s">
        <v>11069</v>
      </c>
      <c r="U2626" t="s">
        <v>60</v>
      </c>
      <c r="V2626" t="s">
        <v>61</v>
      </c>
      <c r="W2626">
        <v>3</v>
      </c>
      <c r="X2626">
        <v>0.14000000000000001</v>
      </c>
      <c r="Y2626" t="s">
        <v>375</v>
      </c>
      <c r="Z2626" t="s">
        <v>376</v>
      </c>
      <c r="AA2626">
        <v>2</v>
      </c>
      <c r="AB2626" t="s">
        <v>10825</v>
      </c>
      <c r="AC2626" t="s">
        <v>10826</v>
      </c>
      <c r="AD2626" t="s">
        <v>10827</v>
      </c>
      <c r="AE2626" t="s">
        <v>10828</v>
      </c>
      <c r="AF2626" t="s">
        <v>10829</v>
      </c>
      <c r="AG2626" t="s">
        <v>3903</v>
      </c>
      <c r="AH2626" t="s">
        <v>3902</v>
      </c>
      <c r="AI2626" t="s">
        <v>66</v>
      </c>
      <c r="AJ2626" t="s">
        <v>66</v>
      </c>
      <c r="AK2626">
        <v>1</v>
      </c>
      <c r="AL2626" t="s">
        <v>11025</v>
      </c>
      <c r="AM2626" t="s">
        <v>11026</v>
      </c>
      <c r="AN2626" t="s">
        <v>66</v>
      </c>
      <c r="AO2626" t="s">
        <v>66</v>
      </c>
      <c r="AP2626">
        <v>1</v>
      </c>
      <c r="AQ2626" t="s">
        <v>11027</v>
      </c>
      <c r="AR2626" t="s">
        <v>11028</v>
      </c>
      <c r="AS2626" t="s">
        <v>11029</v>
      </c>
      <c r="AT2626" t="s">
        <v>66</v>
      </c>
    </row>
    <row r="2627" spans="1:46" x14ac:dyDescent="0.15">
      <c r="A2627" t="s">
        <v>11070</v>
      </c>
      <c r="B2627" t="s">
        <v>10820</v>
      </c>
      <c r="C2627" t="s">
        <v>10821</v>
      </c>
      <c r="D2627">
        <v>49</v>
      </c>
      <c r="E2627" t="s">
        <v>10822</v>
      </c>
      <c r="F2627" t="s">
        <v>3083</v>
      </c>
      <c r="G2627" t="s">
        <v>51</v>
      </c>
      <c r="H2627" t="s">
        <v>10823</v>
      </c>
      <c r="I2627" t="s">
        <v>53</v>
      </c>
      <c r="J2627" t="s">
        <v>54</v>
      </c>
      <c r="K2627" t="s">
        <v>55</v>
      </c>
      <c r="L2627" t="s">
        <v>19</v>
      </c>
      <c r="M2627" t="s">
        <v>17</v>
      </c>
      <c r="N2627">
        <v>3194</v>
      </c>
      <c r="O2627">
        <v>187</v>
      </c>
      <c r="P2627">
        <v>0</v>
      </c>
      <c r="Q2627" t="s">
        <v>11071</v>
      </c>
      <c r="R2627" t="s">
        <v>11072</v>
      </c>
      <c r="S2627" t="s">
        <v>11073</v>
      </c>
      <c r="T2627" t="s">
        <v>11074</v>
      </c>
      <c r="U2627" t="s">
        <v>60</v>
      </c>
      <c r="V2627" t="s">
        <v>61</v>
      </c>
      <c r="W2627">
        <v>3</v>
      </c>
      <c r="X2627">
        <v>0.14000000000000001</v>
      </c>
      <c r="Y2627" t="s">
        <v>223</v>
      </c>
      <c r="Z2627" t="s">
        <v>382</v>
      </c>
      <c r="AA2627">
        <v>2</v>
      </c>
      <c r="AB2627" t="s">
        <v>10825</v>
      </c>
      <c r="AC2627" t="s">
        <v>10826</v>
      </c>
      <c r="AD2627" t="s">
        <v>10827</v>
      </c>
      <c r="AE2627" t="s">
        <v>10828</v>
      </c>
      <c r="AF2627" t="s">
        <v>10829</v>
      </c>
      <c r="AG2627" t="s">
        <v>3903</v>
      </c>
      <c r="AH2627" t="s">
        <v>3902</v>
      </c>
      <c r="AI2627" t="s">
        <v>66</v>
      </c>
      <c r="AJ2627" t="s">
        <v>66</v>
      </c>
      <c r="AK2627">
        <v>1</v>
      </c>
      <c r="AL2627" t="s">
        <v>11025</v>
      </c>
      <c r="AM2627" t="s">
        <v>11026</v>
      </c>
      <c r="AN2627" t="s">
        <v>66</v>
      </c>
      <c r="AO2627" t="s">
        <v>66</v>
      </c>
      <c r="AP2627">
        <v>1</v>
      </c>
      <c r="AQ2627" t="s">
        <v>11027</v>
      </c>
      <c r="AR2627" t="s">
        <v>11028</v>
      </c>
      <c r="AS2627" t="s">
        <v>11029</v>
      </c>
      <c r="AT2627" t="s">
        <v>66</v>
      </c>
    </row>
    <row r="2628" spans="1:46" x14ac:dyDescent="0.15">
      <c r="A2628" t="s">
        <v>11075</v>
      </c>
      <c r="B2628" t="s">
        <v>10820</v>
      </c>
      <c r="C2628" t="s">
        <v>10821</v>
      </c>
      <c r="D2628">
        <v>50</v>
      </c>
      <c r="E2628" t="s">
        <v>10822</v>
      </c>
      <c r="F2628" t="s">
        <v>3083</v>
      </c>
      <c r="G2628" t="s">
        <v>51</v>
      </c>
      <c r="H2628" t="s">
        <v>10823</v>
      </c>
      <c r="I2628" t="s">
        <v>53</v>
      </c>
      <c r="J2628" t="s">
        <v>54</v>
      </c>
      <c r="K2628" t="s">
        <v>55</v>
      </c>
      <c r="L2628" t="s">
        <v>19</v>
      </c>
      <c r="M2628" t="s">
        <v>17</v>
      </c>
      <c r="N2628">
        <v>3250</v>
      </c>
      <c r="O2628">
        <v>190</v>
      </c>
      <c r="P2628">
        <v>0</v>
      </c>
      <c r="Q2628" t="s">
        <v>11076</v>
      </c>
      <c r="R2628" t="s">
        <v>11077</v>
      </c>
      <c r="S2628" t="s">
        <v>11078</v>
      </c>
      <c r="T2628" t="s">
        <v>11079</v>
      </c>
      <c r="U2628" t="s">
        <v>60</v>
      </c>
      <c r="V2628" t="s">
        <v>61</v>
      </c>
      <c r="W2628">
        <v>3</v>
      </c>
      <c r="X2628">
        <v>0.14000000000000001</v>
      </c>
      <c r="Y2628" t="s">
        <v>388</v>
      </c>
      <c r="Z2628" t="s">
        <v>389</v>
      </c>
      <c r="AA2628">
        <v>2</v>
      </c>
      <c r="AB2628" t="s">
        <v>10825</v>
      </c>
      <c r="AC2628" t="s">
        <v>10826</v>
      </c>
      <c r="AD2628" t="s">
        <v>10827</v>
      </c>
      <c r="AE2628" t="s">
        <v>10828</v>
      </c>
      <c r="AF2628" t="s">
        <v>10829</v>
      </c>
      <c r="AG2628" t="s">
        <v>3903</v>
      </c>
      <c r="AH2628" t="s">
        <v>3902</v>
      </c>
      <c r="AI2628" t="s">
        <v>66</v>
      </c>
      <c r="AJ2628" t="s">
        <v>66</v>
      </c>
      <c r="AK2628">
        <v>1</v>
      </c>
      <c r="AL2628" t="s">
        <v>11025</v>
      </c>
      <c r="AM2628" t="s">
        <v>11026</v>
      </c>
      <c r="AN2628" t="s">
        <v>66</v>
      </c>
      <c r="AO2628" t="s">
        <v>66</v>
      </c>
      <c r="AP2628">
        <v>1</v>
      </c>
      <c r="AQ2628" t="s">
        <v>11027</v>
      </c>
      <c r="AR2628" t="s">
        <v>11028</v>
      </c>
      <c r="AS2628" t="s">
        <v>11029</v>
      </c>
      <c r="AT2628" t="s">
        <v>66</v>
      </c>
    </row>
    <row r="2629" spans="1:46" x14ac:dyDescent="0.15">
      <c r="A2629" t="s">
        <v>11080</v>
      </c>
      <c r="B2629" t="s">
        <v>10820</v>
      </c>
      <c r="C2629" t="s">
        <v>10821</v>
      </c>
      <c r="D2629">
        <v>51</v>
      </c>
      <c r="E2629" t="s">
        <v>10822</v>
      </c>
      <c r="F2629" t="s">
        <v>3083</v>
      </c>
      <c r="G2629" t="s">
        <v>51</v>
      </c>
      <c r="H2629" t="s">
        <v>10823</v>
      </c>
      <c r="I2629" t="s">
        <v>53</v>
      </c>
      <c r="J2629" t="s">
        <v>54</v>
      </c>
      <c r="K2629" t="s">
        <v>55</v>
      </c>
      <c r="L2629" t="s">
        <v>19</v>
      </c>
      <c r="M2629" t="s">
        <v>17</v>
      </c>
      <c r="N2629">
        <v>3306</v>
      </c>
      <c r="O2629">
        <v>193</v>
      </c>
      <c r="P2629">
        <v>0</v>
      </c>
      <c r="Q2629" t="s">
        <v>11081</v>
      </c>
      <c r="R2629" t="s">
        <v>11082</v>
      </c>
      <c r="S2629" t="s">
        <v>11083</v>
      </c>
      <c r="T2629" t="s">
        <v>11084</v>
      </c>
      <c r="U2629" t="s">
        <v>60</v>
      </c>
      <c r="V2629" t="s">
        <v>61</v>
      </c>
      <c r="W2629">
        <v>3</v>
      </c>
      <c r="X2629">
        <v>0.14000000000000001</v>
      </c>
      <c r="Y2629" t="s">
        <v>230</v>
      </c>
      <c r="Z2629" t="s">
        <v>395</v>
      </c>
      <c r="AA2629">
        <v>2</v>
      </c>
      <c r="AB2629" t="s">
        <v>10825</v>
      </c>
      <c r="AC2629" t="s">
        <v>10826</v>
      </c>
      <c r="AD2629" t="s">
        <v>10827</v>
      </c>
      <c r="AE2629" t="s">
        <v>10828</v>
      </c>
      <c r="AF2629" t="s">
        <v>10829</v>
      </c>
      <c r="AG2629" t="s">
        <v>3903</v>
      </c>
      <c r="AH2629" t="s">
        <v>3902</v>
      </c>
      <c r="AI2629" t="s">
        <v>66</v>
      </c>
      <c r="AJ2629" t="s">
        <v>66</v>
      </c>
      <c r="AK2629">
        <v>1</v>
      </c>
      <c r="AL2629" t="s">
        <v>11025</v>
      </c>
      <c r="AM2629" t="s">
        <v>11026</v>
      </c>
      <c r="AN2629" t="s">
        <v>66</v>
      </c>
      <c r="AO2629" t="s">
        <v>66</v>
      </c>
      <c r="AP2629">
        <v>1</v>
      </c>
      <c r="AQ2629" t="s">
        <v>11027</v>
      </c>
      <c r="AR2629" t="s">
        <v>11028</v>
      </c>
      <c r="AS2629" t="s">
        <v>11029</v>
      </c>
      <c r="AT2629" t="s">
        <v>66</v>
      </c>
    </row>
    <row r="2630" spans="1:46" x14ac:dyDescent="0.15">
      <c r="A2630" t="s">
        <v>11085</v>
      </c>
      <c r="B2630" t="s">
        <v>10820</v>
      </c>
      <c r="C2630" t="s">
        <v>10821</v>
      </c>
      <c r="D2630">
        <v>52</v>
      </c>
      <c r="E2630" t="s">
        <v>10822</v>
      </c>
      <c r="F2630" t="s">
        <v>3083</v>
      </c>
      <c r="G2630" t="s">
        <v>51</v>
      </c>
      <c r="H2630" t="s">
        <v>10823</v>
      </c>
      <c r="I2630" t="s">
        <v>53</v>
      </c>
      <c r="J2630" t="s">
        <v>54</v>
      </c>
      <c r="K2630" t="s">
        <v>55</v>
      </c>
      <c r="L2630" t="s">
        <v>19</v>
      </c>
      <c r="M2630" t="s">
        <v>17</v>
      </c>
      <c r="N2630">
        <v>3362</v>
      </c>
      <c r="O2630">
        <v>196</v>
      </c>
      <c r="P2630">
        <v>0</v>
      </c>
      <c r="Q2630" t="s">
        <v>11086</v>
      </c>
      <c r="R2630" t="s">
        <v>11087</v>
      </c>
      <c r="S2630" t="s">
        <v>11088</v>
      </c>
      <c r="T2630" t="s">
        <v>11089</v>
      </c>
      <c r="U2630" t="s">
        <v>60</v>
      </c>
      <c r="V2630" t="s">
        <v>61</v>
      </c>
      <c r="W2630">
        <v>3</v>
      </c>
      <c r="X2630">
        <v>0.14000000000000001</v>
      </c>
      <c r="Y2630" t="s">
        <v>401</v>
      </c>
      <c r="Z2630" t="s">
        <v>402</v>
      </c>
      <c r="AA2630">
        <v>2</v>
      </c>
      <c r="AB2630" t="s">
        <v>10825</v>
      </c>
      <c r="AC2630" t="s">
        <v>10826</v>
      </c>
      <c r="AD2630" t="s">
        <v>10827</v>
      </c>
      <c r="AE2630" t="s">
        <v>10828</v>
      </c>
      <c r="AF2630" t="s">
        <v>10829</v>
      </c>
      <c r="AG2630" t="s">
        <v>3903</v>
      </c>
      <c r="AH2630" t="s">
        <v>3902</v>
      </c>
      <c r="AI2630" t="s">
        <v>66</v>
      </c>
      <c r="AJ2630" t="s">
        <v>66</v>
      </c>
      <c r="AK2630">
        <v>1</v>
      </c>
      <c r="AL2630" t="s">
        <v>11025</v>
      </c>
      <c r="AM2630" t="s">
        <v>11026</v>
      </c>
      <c r="AN2630" t="s">
        <v>66</v>
      </c>
      <c r="AO2630" t="s">
        <v>66</v>
      </c>
      <c r="AP2630">
        <v>1</v>
      </c>
      <c r="AQ2630" t="s">
        <v>11027</v>
      </c>
      <c r="AR2630" t="s">
        <v>11028</v>
      </c>
      <c r="AS2630" t="s">
        <v>11029</v>
      </c>
      <c r="AT2630" t="s">
        <v>66</v>
      </c>
    </row>
    <row r="2631" spans="1:46" x14ac:dyDescent="0.15">
      <c r="A2631" t="s">
        <v>11090</v>
      </c>
      <c r="B2631" t="s">
        <v>10820</v>
      </c>
      <c r="C2631" t="s">
        <v>10821</v>
      </c>
      <c r="D2631">
        <v>53</v>
      </c>
      <c r="E2631" t="s">
        <v>10822</v>
      </c>
      <c r="F2631" t="s">
        <v>3083</v>
      </c>
      <c r="G2631" t="s">
        <v>51</v>
      </c>
      <c r="H2631" t="s">
        <v>10823</v>
      </c>
      <c r="I2631" t="s">
        <v>53</v>
      </c>
      <c r="J2631" t="s">
        <v>54</v>
      </c>
      <c r="K2631" t="s">
        <v>55</v>
      </c>
      <c r="L2631" t="s">
        <v>19</v>
      </c>
      <c r="M2631" t="s">
        <v>17</v>
      </c>
      <c r="N2631">
        <v>3418</v>
      </c>
      <c r="O2631">
        <v>200</v>
      </c>
      <c r="P2631">
        <v>0</v>
      </c>
      <c r="Q2631" t="s">
        <v>11091</v>
      </c>
      <c r="R2631" t="s">
        <v>11092</v>
      </c>
      <c r="S2631" t="s">
        <v>11093</v>
      </c>
      <c r="T2631" t="s">
        <v>11094</v>
      </c>
      <c r="U2631" t="s">
        <v>60</v>
      </c>
      <c r="V2631" t="s">
        <v>61</v>
      </c>
      <c r="W2631">
        <v>3</v>
      </c>
      <c r="X2631">
        <v>0.14000000000000001</v>
      </c>
      <c r="Y2631" t="s">
        <v>236</v>
      </c>
      <c r="Z2631" t="s">
        <v>408</v>
      </c>
      <c r="AA2631">
        <v>2</v>
      </c>
      <c r="AB2631" t="s">
        <v>10825</v>
      </c>
      <c r="AC2631" t="s">
        <v>10826</v>
      </c>
      <c r="AD2631" t="s">
        <v>10827</v>
      </c>
      <c r="AE2631" t="s">
        <v>10828</v>
      </c>
      <c r="AF2631" t="s">
        <v>10829</v>
      </c>
      <c r="AG2631" t="s">
        <v>3903</v>
      </c>
      <c r="AH2631" t="s">
        <v>3902</v>
      </c>
      <c r="AI2631" t="s">
        <v>66</v>
      </c>
      <c r="AJ2631" t="s">
        <v>66</v>
      </c>
      <c r="AK2631">
        <v>1</v>
      </c>
      <c r="AL2631" t="s">
        <v>11025</v>
      </c>
      <c r="AM2631" t="s">
        <v>11026</v>
      </c>
      <c r="AN2631" t="s">
        <v>66</v>
      </c>
      <c r="AO2631" t="s">
        <v>66</v>
      </c>
      <c r="AP2631">
        <v>1</v>
      </c>
      <c r="AQ2631" t="s">
        <v>11027</v>
      </c>
      <c r="AR2631" t="s">
        <v>11028</v>
      </c>
      <c r="AS2631" t="s">
        <v>11029</v>
      </c>
      <c r="AT2631" t="s">
        <v>66</v>
      </c>
    </row>
    <row r="2632" spans="1:46" x14ac:dyDescent="0.15">
      <c r="A2632" t="s">
        <v>11095</v>
      </c>
      <c r="B2632" t="s">
        <v>10820</v>
      </c>
      <c r="C2632" t="s">
        <v>10821</v>
      </c>
      <c r="D2632">
        <v>54</v>
      </c>
      <c r="E2632" t="s">
        <v>10822</v>
      </c>
      <c r="F2632" t="s">
        <v>3083</v>
      </c>
      <c r="G2632" t="s">
        <v>51</v>
      </c>
      <c r="H2632" t="s">
        <v>10823</v>
      </c>
      <c r="I2632" t="s">
        <v>53</v>
      </c>
      <c r="J2632" t="s">
        <v>54</v>
      </c>
      <c r="K2632" t="s">
        <v>55</v>
      </c>
      <c r="L2632" t="s">
        <v>19</v>
      </c>
      <c r="M2632" t="s">
        <v>17</v>
      </c>
      <c r="N2632">
        <v>3474</v>
      </c>
      <c r="O2632">
        <v>203</v>
      </c>
      <c r="P2632">
        <v>0</v>
      </c>
      <c r="Q2632" t="s">
        <v>11096</v>
      </c>
      <c r="R2632" t="s">
        <v>11097</v>
      </c>
      <c r="S2632" t="s">
        <v>11098</v>
      </c>
      <c r="T2632" t="s">
        <v>11099</v>
      </c>
      <c r="U2632" t="s">
        <v>60</v>
      </c>
      <c r="V2632" t="s">
        <v>61</v>
      </c>
      <c r="W2632">
        <v>3</v>
      </c>
      <c r="X2632">
        <v>0.14000000000000001</v>
      </c>
      <c r="Y2632" t="s">
        <v>414</v>
      </c>
      <c r="Z2632" t="s">
        <v>415</v>
      </c>
      <c r="AA2632">
        <v>2</v>
      </c>
      <c r="AB2632" t="s">
        <v>10825</v>
      </c>
      <c r="AC2632" t="s">
        <v>10826</v>
      </c>
      <c r="AD2632" t="s">
        <v>10827</v>
      </c>
      <c r="AE2632" t="s">
        <v>10828</v>
      </c>
      <c r="AF2632" t="s">
        <v>10829</v>
      </c>
      <c r="AG2632" t="s">
        <v>3903</v>
      </c>
      <c r="AH2632" t="s">
        <v>3902</v>
      </c>
      <c r="AI2632" t="s">
        <v>66</v>
      </c>
      <c r="AJ2632" t="s">
        <v>66</v>
      </c>
      <c r="AK2632">
        <v>1</v>
      </c>
      <c r="AL2632" t="s">
        <v>11025</v>
      </c>
      <c r="AM2632" t="s">
        <v>11026</v>
      </c>
      <c r="AN2632" t="s">
        <v>66</v>
      </c>
      <c r="AO2632" t="s">
        <v>66</v>
      </c>
      <c r="AP2632">
        <v>1</v>
      </c>
      <c r="AQ2632" t="s">
        <v>11027</v>
      </c>
      <c r="AR2632" t="s">
        <v>11028</v>
      </c>
      <c r="AS2632" t="s">
        <v>11029</v>
      </c>
      <c r="AT2632" t="s">
        <v>66</v>
      </c>
    </row>
    <row r="2633" spans="1:46" x14ac:dyDescent="0.15">
      <c r="A2633" t="s">
        <v>11100</v>
      </c>
      <c r="B2633" t="s">
        <v>10820</v>
      </c>
      <c r="C2633" t="s">
        <v>10821</v>
      </c>
      <c r="D2633">
        <v>55</v>
      </c>
      <c r="E2633" t="s">
        <v>10822</v>
      </c>
      <c r="F2633" t="s">
        <v>3083</v>
      </c>
      <c r="G2633" t="s">
        <v>51</v>
      </c>
      <c r="H2633" t="s">
        <v>10823</v>
      </c>
      <c r="I2633" t="s">
        <v>53</v>
      </c>
      <c r="J2633" t="s">
        <v>54</v>
      </c>
      <c r="K2633" t="s">
        <v>55</v>
      </c>
      <c r="L2633" t="s">
        <v>19</v>
      </c>
      <c r="M2633" t="s">
        <v>17</v>
      </c>
      <c r="N2633">
        <v>3531</v>
      </c>
      <c r="O2633">
        <v>206</v>
      </c>
      <c r="P2633">
        <v>0</v>
      </c>
      <c r="Q2633" t="s">
        <v>11101</v>
      </c>
      <c r="R2633" t="s">
        <v>11102</v>
      </c>
      <c r="S2633" t="s">
        <v>11103</v>
      </c>
      <c r="T2633" t="s">
        <v>11104</v>
      </c>
      <c r="U2633" t="s">
        <v>60</v>
      </c>
      <c r="V2633" t="s">
        <v>61</v>
      </c>
      <c r="W2633">
        <v>3</v>
      </c>
      <c r="X2633">
        <v>0.14000000000000001</v>
      </c>
      <c r="Y2633" t="s">
        <v>243</v>
      </c>
      <c r="Z2633" t="s">
        <v>421</v>
      </c>
      <c r="AA2633">
        <v>2</v>
      </c>
      <c r="AB2633" t="s">
        <v>10825</v>
      </c>
      <c r="AC2633" t="s">
        <v>10826</v>
      </c>
      <c r="AD2633" t="s">
        <v>10827</v>
      </c>
      <c r="AE2633" t="s">
        <v>10828</v>
      </c>
      <c r="AF2633" t="s">
        <v>10829</v>
      </c>
      <c r="AG2633" t="s">
        <v>3903</v>
      </c>
      <c r="AH2633" t="s">
        <v>3902</v>
      </c>
      <c r="AI2633" t="s">
        <v>66</v>
      </c>
      <c r="AJ2633" t="s">
        <v>66</v>
      </c>
      <c r="AK2633">
        <v>1</v>
      </c>
      <c r="AL2633" t="s">
        <v>11025</v>
      </c>
      <c r="AM2633" t="s">
        <v>11026</v>
      </c>
      <c r="AN2633" t="s">
        <v>66</v>
      </c>
      <c r="AO2633" t="s">
        <v>66</v>
      </c>
      <c r="AP2633">
        <v>1</v>
      </c>
      <c r="AQ2633" t="s">
        <v>11027</v>
      </c>
      <c r="AR2633" t="s">
        <v>11028</v>
      </c>
      <c r="AS2633" t="s">
        <v>11029</v>
      </c>
      <c r="AT2633" t="s">
        <v>66</v>
      </c>
    </row>
    <row r="2634" spans="1:46" x14ac:dyDescent="0.15">
      <c r="A2634" t="s">
        <v>11105</v>
      </c>
      <c r="B2634" t="s">
        <v>10820</v>
      </c>
      <c r="C2634" t="s">
        <v>10821</v>
      </c>
      <c r="D2634">
        <v>56</v>
      </c>
      <c r="E2634" t="s">
        <v>10822</v>
      </c>
      <c r="F2634" t="s">
        <v>3083</v>
      </c>
      <c r="G2634" t="s">
        <v>51</v>
      </c>
      <c r="H2634" t="s">
        <v>10823</v>
      </c>
      <c r="I2634" t="s">
        <v>53</v>
      </c>
      <c r="J2634" t="s">
        <v>54</v>
      </c>
      <c r="K2634" t="s">
        <v>55</v>
      </c>
      <c r="L2634" t="s">
        <v>19</v>
      </c>
      <c r="M2634" t="s">
        <v>17</v>
      </c>
      <c r="N2634">
        <v>3587</v>
      </c>
      <c r="O2634">
        <v>210</v>
      </c>
      <c r="P2634">
        <v>0</v>
      </c>
      <c r="Q2634" t="s">
        <v>11106</v>
      </c>
      <c r="R2634" t="s">
        <v>11107</v>
      </c>
      <c r="S2634" t="s">
        <v>11108</v>
      </c>
      <c r="T2634" t="s">
        <v>11109</v>
      </c>
      <c r="U2634" t="s">
        <v>60</v>
      </c>
      <c r="V2634" t="s">
        <v>61</v>
      </c>
      <c r="W2634">
        <v>3</v>
      </c>
      <c r="X2634">
        <v>0.14000000000000001</v>
      </c>
      <c r="Y2634" t="s">
        <v>427</v>
      </c>
      <c r="Z2634" t="s">
        <v>428</v>
      </c>
      <c r="AA2634">
        <v>2</v>
      </c>
      <c r="AB2634" t="s">
        <v>10825</v>
      </c>
      <c r="AC2634" t="s">
        <v>10826</v>
      </c>
      <c r="AD2634" t="s">
        <v>10827</v>
      </c>
      <c r="AE2634" t="s">
        <v>10828</v>
      </c>
      <c r="AF2634" t="s">
        <v>10829</v>
      </c>
      <c r="AG2634" t="s">
        <v>3903</v>
      </c>
      <c r="AH2634" t="s">
        <v>3902</v>
      </c>
      <c r="AI2634" t="s">
        <v>66</v>
      </c>
      <c r="AJ2634" t="s">
        <v>66</v>
      </c>
      <c r="AK2634">
        <v>1</v>
      </c>
      <c r="AL2634" t="s">
        <v>11025</v>
      </c>
      <c r="AM2634" t="s">
        <v>11026</v>
      </c>
      <c r="AN2634" t="s">
        <v>66</v>
      </c>
      <c r="AO2634" t="s">
        <v>66</v>
      </c>
      <c r="AP2634">
        <v>1</v>
      </c>
      <c r="AQ2634" t="s">
        <v>11027</v>
      </c>
      <c r="AR2634" t="s">
        <v>11028</v>
      </c>
      <c r="AS2634" t="s">
        <v>11029</v>
      </c>
      <c r="AT2634" t="s">
        <v>66</v>
      </c>
    </row>
    <row r="2635" spans="1:46" x14ac:dyDescent="0.15">
      <c r="A2635" t="s">
        <v>11110</v>
      </c>
      <c r="B2635" t="s">
        <v>10820</v>
      </c>
      <c r="C2635" t="s">
        <v>10821</v>
      </c>
      <c r="D2635">
        <v>57</v>
      </c>
      <c r="E2635" t="s">
        <v>10822</v>
      </c>
      <c r="F2635" t="s">
        <v>3083</v>
      </c>
      <c r="G2635" t="s">
        <v>51</v>
      </c>
      <c r="H2635" t="s">
        <v>10823</v>
      </c>
      <c r="I2635" t="s">
        <v>53</v>
      </c>
      <c r="J2635" t="s">
        <v>54</v>
      </c>
      <c r="K2635" t="s">
        <v>55</v>
      </c>
      <c r="L2635" t="s">
        <v>19</v>
      </c>
      <c r="M2635" t="s">
        <v>17</v>
      </c>
      <c r="N2635">
        <v>3643</v>
      </c>
      <c r="O2635">
        <v>213</v>
      </c>
      <c r="P2635">
        <v>0</v>
      </c>
      <c r="Q2635" t="s">
        <v>11111</v>
      </c>
      <c r="R2635" t="s">
        <v>11112</v>
      </c>
      <c r="S2635" t="s">
        <v>11113</v>
      </c>
      <c r="T2635" t="s">
        <v>11114</v>
      </c>
      <c r="U2635" t="s">
        <v>60</v>
      </c>
      <c r="V2635" t="s">
        <v>61</v>
      </c>
      <c r="W2635">
        <v>3</v>
      </c>
      <c r="X2635">
        <v>0.14000000000000001</v>
      </c>
      <c r="Y2635" t="s">
        <v>249</v>
      </c>
      <c r="Z2635" t="s">
        <v>434</v>
      </c>
      <c r="AA2635">
        <v>2</v>
      </c>
      <c r="AB2635" t="s">
        <v>10825</v>
      </c>
      <c r="AC2635" t="s">
        <v>10826</v>
      </c>
      <c r="AD2635" t="s">
        <v>10827</v>
      </c>
      <c r="AE2635" t="s">
        <v>10828</v>
      </c>
      <c r="AF2635" t="s">
        <v>10829</v>
      </c>
      <c r="AG2635" t="s">
        <v>3903</v>
      </c>
      <c r="AH2635" t="s">
        <v>3902</v>
      </c>
      <c r="AI2635" t="s">
        <v>66</v>
      </c>
      <c r="AJ2635" t="s">
        <v>66</v>
      </c>
      <c r="AK2635">
        <v>1</v>
      </c>
      <c r="AL2635" t="s">
        <v>11025</v>
      </c>
      <c r="AM2635" t="s">
        <v>11026</v>
      </c>
      <c r="AN2635" t="s">
        <v>66</v>
      </c>
      <c r="AO2635" t="s">
        <v>66</v>
      </c>
      <c r="AP2635">
        <v>1</v>
      </c>
      <c r="AQ2635" t="s">
        <v>11027</v>
      </c>
      <c r="AR2635" t="s">
        <v>11028</v>
      </c>
      <c r="AS2635" t="s">
        <v>11029</v>
      </c>
      <c r="AT2635" t="s">
        <v>66</v>
      </c>
    </row>
    <row r="2636" spans="1:46" x14ac:dyDescent="0.15">
      <c r="A2636" t="s">
        <v>11115</v>
      </c>
      <c r="B2636" t="s">
        <v>10820</v>
      </c>
      <c r="C2636" t="s">
        <v>10821</v>
      </c>
      <c r="D2636">
        <v>58</v>
      </c>
      <c r="E2636" t="s">
        <v>10822</v>
      </c>
      <c r="F2636" t="s">
        <v>3083</v>
      </c>
      <c r="G2636" t="s">
        <v>51</v>
      </c>
      <c r="H2636" t="s">
        <v>10823</v>
      </c>
      <c r="I2636" t="s">
        <v>53</v>
      </c>
      <c r="J2636" t="s">
        <v>54</v>
      </c>
      <c r="K2636" t="s">
        <v>55</v>
      </c>
      <c r="L2636" t="s">
        <v>19</v>
      </c>
      <c r="M2636" t="s">
        <v>17</v>
      </c>
      <c r="N2636">
        <v>3699</v>
      </c>
      <c r="O2636">
        <v>216</v>
      </c>
      <c r="P2636">
        <v>0</v>
      </c>
      <c r="Q2636" t="s">
        <v>11116</v>
      </c>
      <c r="R2636" t="s">
        <v>11117</v>
      </c>
      <c r="S2636" t="s">
        <v>11118</v>
      </c>
      <c r="T2636" t="s">
        <v>11119</v>
      </c>
      <c r="U2636" t="s">
        <v>60</v>
      </c>
      <c r="V2636" t="s">
        <v>61</v>
      </c>
      <c r="W2636">
        <v>3</v>
      </c>
      <c r="X2636">
        <v>0.14000000000000001</v>
      </c>
      <c r="Y2636" t="s">
        <v>440</v>
      </c>
      <c r="Z2636" t="s">
        <v>441</v>
      </c>
      <c r="AA2636">
        <v>2</v>
      </c>
      <c r="AB2636" t="s">
        <v>10825</v>
      </c>
      <c r="AC2636" t="s">
        <v>10826</v>
      </c>
      <c r="AD2636" t="s">
        <v>10827</v>
      </c>
      <c r="AE2636" t="s">
        <v>10828</v>
      </c>
      <c r="AF2636" t="s">
        <v>10829</v>
      </c>
      <c r="AG2636" t="s">
        <v>3903</v>
      </c>
      <c r="AH2636" t="s">
        <v>3902</v>
      </c>
      <c r="AI2636" t="s">
        <v>66</v>
      </c>
      <c r="AJ2636" t="s">
        <v>66</v>
      </c>
      <c r="AK2636">
        <v>1</v>
      </c>
      <c r="AL2636" t="s">
        <v>11025</v>
      </c>
      <c r="AM2636" t="s">
        <v>11026</v>
      </c>
      <c r="AN2636" t="s">
        <v>66</v>
      </c>
      <c r="AO2636" t="s">
        <v>66</v>
      </c>
      <c r="AP2636">
        <v>1</v>
      </c>
      <c r="AQ2636" t="s">
        <v>11027</v>
      </c>
      <c r="AR2636" t="s">
        <v>11028</v>
      </c>
      <c r="AS2636" t="s">
        <v>11029</v>
      </c>
      <c r="AT2636" t="s">
        <v>66</v>
      </c>
    </row>
    <row r="2637" spans="1:46" x14ac:dyDescent="0.15">
      <c r="A2637" t="s">
        <v>11120</v>
      </c>
      <c r="B2637" t="s">
        <v>10820</v>
      </c>
      <c r="C2637" t="s">
        <v>10821</v>
      </c>
      <c r="D2637">
        <v>59</v>
      </c>
      <c r="E2637" t="s">
        <v>10822</v>
      </c>
      <c r="F2637" t="s">
        <v>3083</v>
      </c>
      <c r="G2637" t="s">
        <v>51</v>
      </c>
      <c r="H2637" t="s">
        <v>10823</v>
      </c>
      <c r="I2637" t="s">
        <v>53</v>
      </c>
      <c r="J2637" t="s">
        <v>54</v>
      </c>
      <c r="K2637" t="s">
        <v>55</v>
      </c>
      <c r="L2637" t="s">
        <v>19</v>
      </c>
      <c r="M2637" t="s">
        <v>17</v>
      </c>
      <c r="N2637">
        <v>3755</v>
      </c>
      <c r="O2637">
        <v>219</v>
      </c>
      <c r="P2637">
        <v>0</v>
      </c>
      <c r="Q2637" t="s">
        <v>11121</v>
      </c>
      <c r="R2637" t="s">
        <v>11122</v>
      </c>
      <c r="S2637" t="s">
        <v>11123</v>
      </c>
      <c r="T2637" t="s">
        <v>11124</v>
      </c>
      <c r="U2637" t="s">
        <v>60</v>
      </c>
      <c r="V2637" t="s">
        <v>61</v>
      </c>
      <c r="W2637">
        <v>3</v>
      </c>
      <c r="X2637">
        <v>0.14000000000000001</v>
      </c>
      <c r="Y2637" t="s">
        <v>256</v>
      </c>
      <c r="Z2637" t="s">
        <v>447</v>
      </c>
      <c r="AA2637">
        <v>2</v>
      </c>
      <c r="AB2637" t="s">
        <v>10825</v>
      </c>
      <c r="AC2637" t="s">
        <v>10826</v>
      </c>
      <c r="AD2637" t="s">
        <v>10827</v>
      </c>
      <c r="AE2637" t="s">
        <v>10828</v>
      </c>
      <c r="AF2637" t="s">
        <v>10829</v>
      </c>
      <c r="AG2637" t="s">
        <v>3903</v>
      </c>
      <c r="AH2637" t="s">
        <v>3902</v>
      </c>
      <c r="AI2637" t="s">
        <v>66</v>
      </c>
      <c r="AJ2637" t="s">
        <v>66</v>
      </c>
      <c r="AK2637">
        <v>1</v>
      </c>
      <c r="AL2637" t="s">
        <v>11025</v>
      </c>
      <c r="AM2637" t="s">
        <v>11026</v>
      </c>
      <c r="AN2637" t="s">
        <v>66</v>
      </c>
      <c r="AO2637" t="s">
        <v>66</v>
      </c>
      <c r="AP2637">
        <v>1</v>
      </c>
      <c r="AQ2637" t="s">
        <v>11027</v>
      </c>
      <c r="AR2637" t="s">
        <v>11028</v>
      </c>
      <c r="AS2637" t="s">
        <v>11029</v>
      </c>
      <c r="AT2637" t="s">
        <v>66</v>
      </c>
    </row>
    <row r="2638" spans="1:46" x14ac:dyDescent="0.15">
      <c r="A2638" t="s">
        <v>11125</v>
      </c>
      <c r="B2638" t="s">
        <v>10820</v>
      </c>
      <c r="C2638" t="s">
        <v>10821</v>
      </c>
      <c r="D2638">
        <v>60</v>
      </c>
      <c r="E2638" t="s">
        <v>10822</v>
      </c>
      <c r="F2638" t="s">
        <v>3083</v>
      </c>
      <c r="G2638" t="s">
        <v>51</v>
      </c>
      <c r="H2638" t="s">
        <v>10823</v>
      </c>
      <c r="I2638" t="s">
        <v>53</v>
      </c>
      <c r="J2638" t="s">
        <v>54</v>
      </c>
      <c r="K2638" t="s">
        <v>55</v>
      </c>
      <c r="L2638" t="s">
        <v>19</v>
      </c>
      <c r="M2638" t="s">
        <v>17</v>
      </c>
      <c r="N2638">
        <v>3811</v>
      </c>
      <c r="O2638">
        <v>223</v>
      </c>
      <c r="P2638">
        <v>0</v>
      </c>
      <c r="Q2638" t="s">
        <v>11126</v>
      </c>
      <c r="R2638" t="s">
        <v>11127</v>
      </c>
      <c r="S2638" t="s">
        <v>11128</v>
      </c>
      <c r="T2638" t="s">
        <v>11129</v>
      </c>
      <c r="U2638" t="s">
        <v>60</v>
      </c>
      <c r="V2638" t="s">
        <v>61</v>
      </c>
      <c r="W2638">
        <v>3</v>
      </c>
      <c r="X2638">
        <v>0.14000000000000001</v>
      </c>
      <c r="Y2638" t="s">
        <v>453</v>
      </c>
      <c r="Z2638" t="s">
        <v>454</v>
      </c>
      <c r="AA2638">
        <v>2</v>
      </c>
      <c r="AB2638" t="s">
        <v>10825</v>
      </c>
      <c r="AC2638" t="s">
        <v>10826</v>
      </c>
      <c r="AD2638" t="s">
        <v>10827</v>
      </c>
      <c r="AE2638" t="s">
        <v>10828</v>
      </c>
      <c r="AF2638" t="s">
        <v>10829</v>
      </c>
      <c r="AG2638" t="s">
        <v>3903</v>
      </c>
      <c r="AH2638" t="s">
        <v>3902</v>
      </c>
      <c r="AI2638" t="s">
        <v>66</v>
      </c>
      <c r="AJ2638" t="s">
        <v>66</v>
      </c>
      <c r="AK2638">
        <v>1</v>
      </c>
      <c r="AL2638" t="s">
        <v>11025</v>
      </c>
      <c r="AM2638" t="s">
        <v>11026</v>
      </c>
      <c r="AN2638" t="s">
        <v>66</v>
      </c>
      <c r="AO2638" t="s">
        <v>66</v>
      </c>
      <c r="AP2638">
        <v>1</v>
      </c>
      <c r="AQ2638" t="s">
        <v>11027</v>
      </c>
      <c r="AR2638" t="s">
        <v>11028</v>
      </c>
      <c r="AS2638" t="s">
        <v>11029</v>
      </c>
      <c r="AT2638" t="s">
        <v>66</v>
      </c>
    </row>
    <row r="2639" spans="1:46" x14ac:dyDescent="0.15">
      <c r="A2639" t="s">
        <v>11125</v>
      </c>
      <c r="B2639" t="s">
        <v>10820</v>
      </c>
      <c r="C2639" t="s">
        <v>10821</v>
      </c>
      <c r="D2639">
        <v>60</v>
      </c>
      <c r="E2639" t="s">
        <v>10822</v>
      </c>
      <c r="F2639" t="s">
        <v>3083</v>
      </c>
      <c r="G2639" t="s">
        <v>51</v>
      </c>
      <c r="H2639" t="s">
        <v>10823</v>
      </c>
      <c r="I2639" t="s">
        <v>53</v>
      </c>
      <c r="J2639" t="s">
        <v>54</v>
      </c>
      <c r="K2639" t="s">
        <v>55</v>
      </c>
      <c r="L2639" t="s">
        <v>19</v>
      </c>
      <c r="M2639" t="s">
        <v>17</v>
      </c>
      <c r="N2639">
        <v>3811</v>
      </c>
      <c r="O2639">
        <v>223</v>
      </c>
      <c r="P2639">
        <v>0</v>
      </c>
      <c r="Q2639" t="s">
        <v>11126</v>
      </c>
      <c r="R2639" t="s">
        <v>11127</v>
      </c>
      <c r="S2639" t="s">
        <v>11128</v>
      </c>
      <c r="T2639" t="s">
        <v>11129</v>
      </c>
      <c r="U2639" t="s">
        <v>60</v>
      </c>
      <c r="V2639" t="s">
        <v>61</v>
      </c>
      <c r="W2639">
        <v>3</v>
      </c>
      <c r="X2639">
        <v>0.14000000000000001</v>
      </c>
      <c r="Y2639" t="s">
        <v>453</v>
      </c>
      <c r="Z2639" t="s">
        <v>454</v>
      </c>
      <c r="AA2639">
        <v>3</v>
      </c>
      <c r="AB2639" t="s">
        <v>10825</v>
      </c>
      <c r="AC2639" t="s">
        <v>10826</v>
      </c>
      <c r="AD2639" t="s">
        <v>10827</v>
      </c>
      <c r="AE2639" t="s">
        <v>10828</v>
      </c>
      <c r="AF2639" t="s">
        <v>10829</v>
      </c>
      <c r="AG2639" t="s">
        <v>3903</v>
      </c>
      <c r="AH2639" t="s">
        <v>3902</v>
      </c>
      <c r="AI2639" t="s">
        <v>3902</v>
      </c>
      <c r="AJ2639" t="s">
        <v>66</v>
      </c>
      <c r="AK2639">
        <v>1</v>
      </c>
      <c r="AL2639" t="s">
        <v>11130</v>
      </c>
      <c r="AM2639" t="s">
        <v>11026</v>
      </c>
      <c r="AN2639" t="s">
        <v>11131</v>
      </c>
      <c r="AO2639" t="s">
        <v>66</v>
      </c>
      <c r="AP2639">
        <v>1</v>
      </c>
      <c r="AQ2639" t="s">
        <v>11027</v>
      </c>
      <c r="AR2639" t="s">
        <v>11028</v>
      </c>
      <c r="AS2639" t="s">
        <v>11029</v>
      </c>
      <c r="AT2639" t="s">
        <v>66</v>
      </c>
    </row>
    <row r="2640" spans="1:46" x14ac:dyDescent="0.15">
      <c r="A2640" t="s">
        <v>11132</v>
      </c>
      <c r="B2640" t="s">
        <v>10820</v>
      </c>
      <c r="C2640" t="s">
        <v>10821</v>
      </c>
      <c r="D2640">
        <v>61</v>
      </c>
      <c r="E2640" t="s">
        <v>10822</v>
      </c>
      <c r="F2640" t="s">
        <v>3083</v>
      </c>
      <c r="G2640" t="s">
        <v>51</v>
      </c>
      <c r="H2640" t="s">
        <v>10823</v>
      </c>
      <c r="I2640" t="s">
        <v>53</v>
      </c>
      <c r="J2640" t="s">
        <v>54</v>
      </c>
      <c r="K2640" t="s">
        <v>55</v>
      </c>
      <c r="L2640" t="s">
        <v>19</v>
      </c>
      <c r="M2640" t="s">
        <v>17</v>
      </c>
      <c r="N2640">
        <v>3867</v>
      </c>
      <c r="O2640">
        <v>226</v>
      </c>
      <c r="P2640">
        <v>0</v>
      </c>
      <c r="Q2640" t="s">
        <v>11133</v>
      </c>
      <c r="R2640" t="s">
        <v>11134</v>
      </c>
      <c r="S2640" t="s">
        <v>11135</v>
      </c>
      <c r="T2640" t="s">
        <v>11136</v>
      </c>
      <c r="U2640" t="s">
        <v>60</v>
      </c>
      <c r="V2640" t="s">
        <v>61</v>
      </c>
      <c r="W2640">
        <v>3</v>
      </c>
      <c r="X2640">
        <v>0.14000000000000001</v>
      </c>
      <c r="Y2640" t="s">
        <v>262</v>
      </c>
      <c r="Z2640" t="s">
        <v>465</v>
      </c>
      <c r="AA2640">
        <v>3</v>
      </c>
      <c r="AB2640" t="s">
        <v>10825</v>
      </c>
      <c r="AC2640" t="s">
        <v>10826</v>
      </c>
      <c r="AD2640" t="s">
        <v>10827</v>
      </c>
      <c r="AE2640" t="s">
        <v>10828</v>
      </c>
      <c r="AF2640" t="s">
        <v>10829</v>
      </c>
      <c r="AG2640" t="s">
        <v>3903</v>
      </c>
      <c r="AH2640" t="s">
        <v>3902</v>
      </c>
      <c r="AI2640" t="s">
        <v>3902</v>
      </c>
      <c r="AJ2640" t="s">
        <v>66</v>
      </c>
      <c r="AK2640">
        <v>1</v>
      </c>
      <c r="AL2640" t="s">
        <v>11130</v>
      </c>
      <c r="AM2640" t="s">
        <v>11026</v>
      </c>
      <c r="AN2640" t="s">
        <v>11131</v>
      </c>
      <c r="AO2640" t="s">
        <v>66</v>
      </c>
      <c r="AP2640">
        <v>1</v>
      </c>
      <c r="AQ2640" t="s">
        <v>11027</v>
      </c>
      <c r="AR2640" t="s">
        <v>11028</v>
      </c>
      <c r="AS2640" t="s">
        <v>11029</v>
      </c>
      <c r="AT2640" t="s">
        <v>66</v>
      </c>
    </row>
    <row r="2641" spans="1:46" x14ac:dyDescent="0.15">
      <c r="A2641" t="s">
        <v>11137</v>
      </c>
      <c r="B2641" t="s">
        <v>10820</v>
      </c>
      <c r="C2641" t="s">
        <v>10821</v>
      </c>
      <c r="D2641">
        <v>62</v>
      </c>
      <c r="E2641" t="s">
        <v>10822</v>
      </c>
      <c r="F2641" t="s">
        <v>3083</v>
      </c>
      <c r="G2641" t="s">
        <v>51</v>
      </c>
      <c r="H2641" t="s">
        <v>10823</v>
      </c>
      <c r="I2641" t="s">
        <v>53</v>
      </c>
      <c r="J2641" t="s">
        <v>54</v>
      </c>
      <c r="K2641" t="s">
        <v>55</v>
      </c>
      <c r="L2641" t="s">
        <v>19</v>
      </c>
      <c r="M2641" t="s">
        <v>17</v>
      </c>
      <c r="N2641">
        <v>3923</v>
      </c>
      <c r="O2641">
        <v>229</v>
      </c>
      <c r="P2641">
        <v>0</v>
      </c>
      <c r="Q2641" t="s">
        <v>11138</v>
      </c>
      <c r="R2641" t="s">
        <v>11139</v>
      </c>
      <c r="S2641" t="s">
        <v>11140</v>
      </c>
      <c r="T2641" t="s">
        <v>11141</v>
      </c>
      <c r="U2641" t="s">
        <v>60</v>
      </c>
      <c r="V2641" t="s">
        <v>61</v>
      </c>
      <c r="W2641">
        <v>3</v>
      </c>
      <c r="X2641">
        <v>0.14000000000000001</v>
      </c>
      <c r="Y2641" t="s">
        <v>471</v>
      </c>
      <c r="Z2641" t="s">
        <v>472</v>
      </c>
      <c r="AA2641">
        <v>3</v>
      </c>
      <c r="AB2641" t="s">
        <v>10825</v>
      </c>
      <c r="AC2641" t="s">
        <v>10826</v>
      </c>
      <c r="AD2641" t="s">
        <v>10827</v>
      </c>
      <c r="AE2641" t="s">
        <v>10828</v>
      </c>
      <c r="AF2641" t="s">
        <v>10829</v>
      </c>
      <c r="AG2641" t="s">
        <v>3903</v>
      </c>
      <c r="AH2641" t="s">
        <v>3902</v>
      </c>
      <c r="AI2641" t="s">
        <v>3902</v>
      </c>
      <c r="AJ2641" t="s">
        <v>66</v>
      </c>
      <c r="AK2641">
        <v>1</v>
      </c>
      <c r="AL2641" t="s">
        <v>11130</v>
      </c>
      <c r="AM2641" t="s">
        <v>11026</v>
      </c>
      <c r="AN2641" t="s">
        <v>11131</v>
      </c>
      <c r="AO2641" t="s">
        <v>66</v>
      </c>
      <c r="AP2641">
        <v>1</v>
      </c>
      <c r="AQ2641" t="s">
        <v>11027</v>
      </c>
      <c r="AR2641" t="s">
        <v>11028</v>
      </c>
      <c r="AS2641" t="s">
        <v>11029</v>
      </c>
      <c r="AT2641" t="s">
        <v>66</v>
      </c>
    </row>
    <row r="2642" spans="1:46" x14ac:dyDescent="0.15">
      <c r="A2642" t="s">
        <v>11142</v>
      </c>
      <c r="B2642" t="s">
        <v>10820</v>
      </c>
      <c r="C2642" t="s">
        <v>10821</v>
      </c>
      <c r="D2642">
        <v>63</v>
      </c>
      <c r="E2642" t="s">
        <v>10822</v>
      </c>
      <c r="F2642" t="s">
        <v>3083</v>
      </c>
      <c r="G2642" t="s">
        <v>51</v>
      </c>
      <c r="H2642" t="s">
        <v>10823</v>
      </c>
      <c r="I2642" t="s">
        <v>53</v>
      </c>
      <c r="J2642" t="s">
        <v>54</v>
      </c>
      <c r="K2642" t="s">
        <v>55</v>
      </c>
      <c r="L2642" t="s">
        <v>19</v>
      </c>
      <c r="M2642" t="s">
        <v>17</v>
      </c>
      <c r="N2642">
        <v>3980</v>
      </c>
      <c r="O2642">
        <v>232</v>
      </c>
      <c r="P2642">
        <v>0</v>
      </c>
      <c r="Q2642" t="s">
        <v>11143</v>
      </c>
      <c r="R2642" t="s">
        <v>11144</v>
      </c>
      <c r="S2642" t="s">
        <v>11145</v>
      </c>
      <c r="T2642" t="s">
        <v>11146</v>
      </c>
      <c r="U2642" t="s">
        <v>60</v>
      </c>
      <c r="V2642" t="s">
        <v>61</v>
      </c>
      <c r="W2642">
        <v>3</v>
      </c>
      <c r="X2642">
        <v>0.14000000000000001</v>
      </c>
      <c r="Y2642" t="s">
        <v>269</v>
      </c>
      <c r="Z2642" t="s">
        <v>478</v>
      </c>
      <c r="AA2642">
        <v>3</v>
      </c>
      <c r="AB2642" t="s">
        <v>10825</v>
      </c>
      <c r="AC2642" t="s">
        <v>10826</v>
      </c>
      <c r="AD2642" t="s">
        <v>10827</v>
      </c>
      <c r="AE2642" t="s">
        <v>10828</v>
      </c>
      <c r="AF2642" t="s">
        <v>10829</v>
      </c>
      <c r="AG2642" t="s">
        <v>3903</v>
      </c>
      <c r="AH2642" t="s">
        <v>3902</v>
      </c>
      <c r="AI2642" t="s">
        <v>3902</v>
      </c>
      <c r="AJ2642" t="s">
        <v>66</v>
      </c>
      <c r="AK2642">
        <v>1</v>
      </c>
      <c r="AL2642" t="s">
        <v>11130</v>
      </c>
      <c r="AM2642" t="s">
        <v>11026</v>
      </c>
      <c r="AN2642" t="s">
        <v>11131</v>
      </c>
      <c r="AO2642" t="s">
        <v>66</v>
      </c>
      <c r="AP2642">
        <v>1</v>
      </c>
      <c r="AQ2642" t="s">
        <v>11027</v>
      </c>
      <c r="AR2642" t="s">
        <v>11028</v>
      </c>
      <c r="AS2642" t="s">
        <v>11029</v>
      </c>
      <c r="AT2642" t="s">
        <v>66</v>
      </c>
    </row>
    <row r="2643" spans="1:46" x14ac:dyDescent="0.15">
      <c r="A2643" t="s">
        <v>11147</v>
      </c>
      <c r="B2643" t="s">
        <v>10820</v>
      </c>
      <c r="C2643" t="s">
        <v>10821</v>
      </c>
      <c r="D2643">
        <v>64</v>
      </c>
      <c r="E2643" t="s">
        <v>10822</v>
      </c>
      <c r="F2643" t="s">
        <v>3083</v>
      </c>
      <c r="G2643" t="s">
        <v>51</v>
      </c>
      <c r="H2643" t="s">
        <v>10823</v>
      </c>
      <c r="I2643" t="s">
        <v>53</v>
      </c>
      <c r="J2643" t="s">
        <v>54</v>
      </c>
      <c r="K2643" t="s">
        <v>55</v>
      </c>
      <c r="L2643" t="s">
        <v>19</v>
      </c>
      <c r="M2643" t="s">
        <v>17</v>
      </c>
      <c r="N2643">
        <v>4036</v>
      </c>
      <c r="O2643">
        <v>236</v>
      </c>
      <c r="P2643">
        <v>0</v>
      </c>
      <c r="Q2643" t="s">
        <v>11148</v>
      </c>
      <c r="R2643" t="s">
        <v>11149</v>
      </c>
      <c r="S2643" t="s">
        <v>11150</v>
      </c>
      <c r="T2643" t="s">
        <v>11151</v>
      </c>
      <c r="U2643" t="s">
        <v>60</v>
      </c>
      <c r="V2643" t="s">
        <v>61</v>
      </c>
      <c r="W2643">
        <v>3</v>
      </c>
      <c r="X2643">
        <v>0.14000000000000001</v>
      </c>
      <c r="Y2643" t="s">
        <v>484</v>
      </c>
      <c r="Z2643" t="s">
        <v>485</v>
      </c>
      <c r="AA2643">
        <v>3</v>
      </c>
      <c r="AB2643" t="s">
        <v>10825</v>
      </c>
      <c r="AC2643" t="s">
        <v>10826</v>
      </c>
      <c r="AD2643" t="s">
        <v>10827</v>
      </c>
      <c r="AE2643" t="s">
        <v>10828</v>
      </c>
      <c r="AF2643" t="s">
        <v>10829</v>
      </c>
      <c r="AG2643" t="s">
        <v>3903</v>
      </c>
      <c r="AH2643" t="s">
        <v>3902</v>
      </c>
      <c r="AI2643" t="s">
        <v>3902</v>
      </c>
      <c r="AJ2643" t="s">
        <v>66</v>
      </c>
      <c r="AK2643">
        <v>1</v>
      </c>
      <c r="AL2643" t="s">
        <v>11130</v>
      </c>
      <c r="AM2643" t="s">
        <v>11026</v>
      </c>
      <c r="AN2643" t="s">
        <v>11131</v>
      </c>
      <c r="AO2643" t="s">
        <v>66</v>
      </c>
      <c r="AP2643">
        <v>1</v>
      </c>
      <c r="AQ2643" t="s">
        <v>11027</v>
      </c>
      <c r="AR2643" t="s">
        <v>11028</v>
      </c>
      <c r="AS2643" t="s">
        <v>11029</v>
      </c>
      <c r="AT2643" t="s">
        <v>66</v>
      </c>
    </row>
    <row r="2644" spans="1:46" x14ac:dyDescent="0.15">
      <c r="A2644" t="s">
        <v>11152</v>
      </c>
      <c r="B2644" t="s">
        <v>10820</v>
      </c>
      <c r="C2644" t="s">
        <v>10821</v>
      </c>
      <c r="D2644">
        <v>65</v>
      </c>
      <c r="E2644" t="s">
        <v>10822</v>
      </c>
      <c r="F2644" t="s">
        <v>3083</v>
      </c>
      <c r="G2644" t="s">
        <v>51</v>
      </c>
      <c r="H2644" t="s">
        <v>10823</v>
      </c>
      <c r="I2644" t="s">
        <v>53</v>
      </c>
      <c r="J2644" t="s">
        <v>54</v>
      </c>
      <c r="K2644" t="s">
        <v>55</v>
      </c>
      <c r="L2644" t="s">
        <v>19</v>
      </c>
      <c r="M2644" t="s">
        <v>17</v>
      </c>
      <c r="N2644">
        <v>4092</v>
      </c>
      <c r="O2644">
        <v>239</v>
      </c>
      <c r="P2644">
        <v>0</v>
      </c>
      <c r="Q2644" t="s">
        <v>11153</v>
      </c>
      <c r="R2644" t="s">
        <v>11154</v>
      </c>
      <c r="S2644" t="s">
        <v>11155</v>
      </c>
      <c r="T2644" t="s">
        <v>11156</v>
      </c>
      <c r="U2644" t="s">
        <v>60</v>
      </c>
      <c r="V2644" t="s">
        <v>61</v>
      </c>
      <c r="W2644">
        <v>3</v>
      </c>
      <c r="X2644">
        <v>0.14000000000000001</v>
      </c>
      <c r="Y2644" t="s">
        <v>275</v>
      </c>
      <c r="Z2644" t="s">
        <v>491</v>
      </c>
      <c r="AA2644">
        <v>3</v>
      </c>
      <c r="AB2644" t="s">
        <v>10825</v>
      </c>
      <c r="AC2644" t="s">
        <v>10826</v>
      </c>
      <c r="AD2644" t="s">
        <v>10827</v>
      </c>
      <c r="AE2644" t="s">
        <v>10828</v>
      </c>
      <c r="AF2644" t="s">
        <v>10829</v>
      </c>
      <c r="AG2644" t="s">
        <v>3903</v>
      </c>
      <c r="AH2644" t="s">
        <v>3902</v>
      </c>
      <c r="AI2644" t="s">
        <v>3902</v>
      </c>
      <c r="AJ2644" t="s">
        <v>66</v>
      </c>
      <c r="AK2644">
        <v>1</v>
      </c>
      <c r="AL2644" t="s">
        <v>11130</v>
      </c>
      <c r="AM2644" t="s">
        <v>11026</v>
      </c>
      <c r="AN2644" t="s">
        <v>11131</v>
      </c>
      <c r="AO2644" t="s">
        <v>66</v>
      </c>
      <c r="AP2644">
        <v>1</v>
      </c>
      <c r="AQ2644" t="s">
        <v>11027</v>
      </c>
      <c r="AR2644" t="s">
        <v>11028</v>
      </c>
      <c r="AS2644" t="s">
        <v>11029</v>
      </c>
      <c r="AT2644" t="s">
        <v>66</v>
      </c>
    </row>
    <row r="2645" spans="1:46" x14ac:dyDescent="0.15">
      <c r="A2645" t="s">
        <v>11157</v>
      </c>
      <c r="B2645" t="s">
        <v>10820</v>
      </c>
      <c r="C2645" t="s">
        <v>10821</v>
      </c>
      <c r="D2645">
        <v>66</v>
      </c>
      <c r="E2645" t="s">
        <v>10822</v>
      </c>
      <c r="F2645" t="s">
        <v>3083</v>
      </c>
      <c r="G2645" t="s">
        <v>51</v>
      </c>
      <c r="H2645" t="s">
        <v>10823</v>
      </c>
      <c r="I2645" t="s">
        <v>53</v>
      </c>
      <c r="J2645" t="s">
        <v>54</v>
      </c>
      <c r="K2645" t="s">
        <v>55</v>
      </c>
      <c r="L2645" t="s">
        <v>19</v>
      </c>
      <c r="M2645" t="s">
        <v>17</v>
      </c>
      <c r="N2645">
        <v>4148</v>
      </c>
      <c r="O2645">
        <v>242</v>
      </c>
      <c r="P2645">
        <v>0</v>
      </c>
      <c r="Q2645" t="s">
        <v>11158</v>
      </c>
      <c r="R2645" t="s">
        <v>11159</v>
      </c>
      <c r="S2645" t="s">
        <v>11160</v>
      </c>
      <c r="T2645" t="s">
        <v>11161</v>
      </c>
      <c r="U2645" t="s">
        <v>60</v>
      </c>
      <c r="V2645" t="s">
        <v>61</v>
      </c>
      <c r="W2645">
        <v>3</v>
      </c>
      <c r="X2645">
        <v>0.14000000000000001</v>
      </c>
      <c r="Y2645" t="s">
        <v>497</v>
      </c>
      <c r="Z2645" t="s">
        <v>498</v>
      </c>
      <c r="AA2645">
        <v>3</v>
      </c>
      <c r="AB2645" t="s">
        <v>10825</v>
      </c>
      <c r="AC2645" t="s">
        <v>10826</v>
      </c>
      <c r="AD2645" t="s">
        <v>10827</v>
      </c>
      <c r="AE2645" t="s">
        <v>10828</v>
      </c>
      <c r="AF2645" t="s">
        <v>10829</v>
      </c>
      <c r="AG2645" t="s">
        <v>3903</v>
      </c>
      <c r="AH2645" t="s">
        <v>3902</v>
      </c>
      <c r="AI2645" t="s">
        <v>3902</v>
      </c>
      <c r="AJ2645" t="s">
        <v>66</v>
      </c>
      <c r="AK2645">
        <v>1</v>
      </c>
      <c r="AL2645" t="s">
        <v>11130</v>
      </c>
      <c r="AM2645" t="s">
        <v>11026</v>
      </c>
      <c r="AN2645" t="s">
        <v>11131</v>
      </c>
      <c r="AO2645" t="s">
        <v>66</v>
      </c>
      <c r="AP2645">
        <v>1</v>
      </c>
      <c r="AQ2645" t="s">
        <v>11027</v>
      </c>
      <c r="AR2645" t="s">
        <v>11028</v>
      </c>
      <c r="AS2645" t="s">
        <v>11029</v>
      </c>
      <c r="AT2645" t="s">
        <v>66</v>
      </c>
    </row>
    <row r="2646" spans="1:46" x14ac:dyDescent="0.15">
      <c r="A2646" t="s">
        <v>11162</v>
      </c>
      <c r="B2646" t="s">
        <v>10820</v>
      </c>
      <c r="C2646" t="s">
        <v>10821</v>
      </c>
      <c r="D2646">
        <v>67</v>
      </c>
      <c r="E2646" t="s">
        <v>10822</v>
      </c>
      <c r="F2646" t="s">
        <v>3083</v>
      </c>
      <c r="G2646" t="s">
        <v>51</v>
      </c>
      <c r="H2646" t="s">
        <v>10823</v>
      </c>
      <c r="I2646" t="s">
        <v>53</v>
      </c>
      <c r="J2646" t="s">
        <v>54</v>
      </c>
      <c r="K2646" t="s">
        <v>55</v>
      </c>
      <c r="L2646" t="s">
        <v>19</v>
      </c>
      <c r="M2646" t="s">
        <v>17</v>
      </c>
      <c r="N2646">
        <v>4204</v>
      </c>
      <c r="O2646">
        <v>245</v>
      </c>
      <c r="P2646">
        <v>0</v>
      </c>
      <c r="Q2646" t="s">
        <v>11163</v>
      </c>
      <c r="R2646" t="s">
        <v>11164</v>
      </c>
      <c r="S2646" t="s">
        <v>11165</v>
      </c>
      <c r="T2646" t="s">
        <v>11166</v>
      </c>
      <c r="U2646" t="s">
        <v>60</v>
      </c>
      <c r="V2646" t="s">
        <v>61</v>
      </c>
      <c r="W2646">
        <v>3</v>
      </c>
      <c r="X2646">
        <v>0.14000000000000001</v>
      </c>
      <c r="Y2646" t="s">
        <v>282</v>
      </c>
      <c r="Z2646" t="s">
        <v>504</v>
      </c>
      <c r="AA2646">
        <v>3</v>
      </c>
      <c r="AB2646" t="s">
        <v>10825</v>
      </c>
      <c r="AC2646" t="s">
        <v>10826</v>
      </c>
      <c r="AD2646" t="s">
        <v>10827</v>
      </c>
      <c r="AE2646" t="s">
        <v>10828</v>
      </c>
      <c r="AF2646" t="s">
        <v>10829</v>
      </c>
      <c r="AG2646" t="s">
        <v>3903</v>
      </c>
      <c r="AH2646" t="s">
        <v>3902</v>
      </c>
      <c r="AI2646" t="s">
        <v>3902</v>
      </c>
      <c r="AJ2646" t="s">
        <v>66</v>
      </c>
      <c r="AK2646">
        <v>1</v>
      </c>
      <c r="AL2646" t="s">
        <v>11130</v>
      </c>
      <c r="AM2646" t="s">
        <v>11026</v>
      </c>
      <c r="AN2646" t="s">
        <v>11131</v>
      </c>
      <c r="AO2646" t="s">
        <v>66</v>
      </c>
      <c r="AP2646">
        <v>1</v>
      </c>
      <c r="AQ2646" t="s">
        <v>11027</v>
      </c>
      <c r="AR2646" t="s">
        <v>11028</v>
      </c>
      <c r="AS2646" t="s">
        <v>11029</v>
      </c>
      <c r="AT2646" t="s">
        <v>66</v>
      </c>
    </row>
    <row r="2647" spans="1:46" x14ac:dyDescent="0.15">
      <c r="A2647" t="s">
        <v>11167</v>
      </c>
      <c r="B2647" t="s">
        <v>10820</v>
      </c>
      <c r="C2647" t="s">
        <v>10821</v>
      </c>
      <c r="D2647">
        <v>68</v>
      </c>
      <c r="E2647" t="s">
        <v>10822</v>
      </c>
      <c r="F2647" t="s">
        <v>3083</v>
      </c>
      <c r="G2647" t="s">
        <v>51</v>
      </c>
      <c r="H2647" t="s">
        <v>10823</v>
      </c>
      <c r="I2647" t="s">
        <v>53</v>
      </c>
      <c r="J2647" t="s">
        <v>54</v>
      </c>
      <c r="K2647" t="s">
        <v>55</v>
      </c>
      <c r="L2647" t="s">
        <v>19</v>
      </c>
      <c r="M2647" t="s">
        <v>17</v>
      </c>
      <c r="N2647">
        <v>4260</v>
      </c>
      <c r="O2647">
        <v>249</v>
      </c>
      <c r="P2647">
        <v>0</v>
      </c>
      <c r="Q2647" t="s">
        <v>11168</v>
      </c>
      <c r="R2647" t="s">
        <v>11169</v>
      </c>
      <c r="S2647" t="s">
        <v>11170</v>
      </c>
      <c r="T2647" t="s">
        <v>11171</v>
      </c>
      <c r="U2647" t="s">
        <v>60</v>
      </c>
      <c r="V2647" t="s">
        <v>61</v>
      </c>
      <c r="W2647">
        <v>3</v>
      </c>
      <c r="X2647">
        <v>0.14000000000000001</v>
      </c>
      <c r="Y2647" t="s">
        <v>510</v>
      </c>
      <c r="Z2647" t="s">
        <v>511</v>
      </c>
      <c r="AA2647">
        <v>3</v>
      </c>
      <c r="AB2647" t="s">
        <v>10825</v>
      </c>
      <c r="AC2647" t="s">
        <v>10826</v>
      </c>
      <c r="AD2647" t="s">
        <v>10827</v>
      </c>
      <c r="AE2647" t="s">
        <v>10828</v>
      </c>
      <c r="AF2647" t="s">
        <v>10829</v>
      </c>
      <c r="AG2647" t="s">
        <v>3903</v>
      </c>
      <c r="AH2647" t="s">
        <v>3902</v>
      </c>
      <c r="AI2647" t="s">
        <v>3902</v>
      </c>
      <c r="AJ2647" t="s">
        <v>66</v>
      </c>
      <c r="AK2647">
        <v>1</v>
      </c>
      <c r="AL2647" t="s">
        <v>11130</v>
      </c>
      <c r="AM2647" t="s">
        <v>11026</v>
      </c>
      <c r="AN2647" t="s">
        <v>11131</v>
      </c>
      <c r="AO2647" t="s">
        <v>66</v>
      </c>
      <c r="AP2647">
        <v>1</v>
      </c>
      <c r="AQ2647" t="s">
        <v>11027</v>
      </c>
      <c r="AR2647" t="s">
        <v>11028</v>
      </c>
      <c r="AS2647" t="s">
        <v>11029</v>
      </c>
      <c r="AT2647" t="s">
        <v>66</v>
      </c>
    </row>
    <row r="2648" spans="1:46" x14ac:dyDescent="0.15">
      <c r="A2648" t="s">
        <v>11172</v>
      </c>
      <c r="B2648" t="s">
        <v>10820</v>
      </c>
      <c r="C2648" t="s">
        <v>10821</v>
      </c>
      <c r="D2648">
        <v>69</v>
      </c>
      <c r="E2648" t="s">
        <v>10822</v>
      </c>
      <c r="F2648" t="s">
        <v>3083</v>
      </c>
      <c r="G2648" t="s">
        <v>51</v>
      </c>
      <c r="H2648" t="s">
        <v>10823</v>
      </c>
      <c r="I2648" t="s">
        <v>53</v>
      </c>
      <c r="J2648" t="s">
        <v>54</v>
      </c>
      <c r="K2648" t="s">
        <v>55</v>
      </c>
      <c r="L2648" t="s">
        <v>19</v>
      </c>
      <c r="M2648" t="s">
        <v>17</v>
      </c>
      <c r="N2648">
        <v>4316</v>
      </c>
      <c r="O2648">
        <v>252</v>
      </c>
      <c r="P2648">
        <v>0</v>
      </c>
      <c r="Q2648" t="s">
        <v>11173</v>
      </c>
      <c r="R2648" t="s">
        <v>11174</v>
      </c>
      <c r="S2648" t="s">
        <v>11175</v>
      </c>
      <c r="T2648" t="s">
        <v>11176</v>
      </c>
      <c r="U2648" t="s">
        <v>60</v>
      </c>
      <c r="V2648" t="s">
        <v>61</v>
      </c>
      <c r="W2648">
        <v>3</v>
      </c>
      <c r="X2648">
        <v>0.14000000000000001</v>
      </c>
      <c r="Y2648" t="s">
        <v>288</v>
      </c>
      <c r="Z2648" t="s">
        <v>517</v>
      </c>
      <c r="AA2648">
        <v>3</v>
      </c>
      <c r="AB2648" t="s">
        <v>10825</v>
      </c>
      <c r="AC2648" t="s">
        <v>10826</v>
      </c>
      <c r="AD2648" t="s">
        <v>10827</v>
      </c>
      <c r="AE2648" t="s">
        <v>10828</v>
      </c>
      <c r="AF2648" t="s">
        <v>10829</v>
      </c>
      <c r="AG2648" t="s">
        <v>3903</v>
      </c>
      <c r="AH2648" t="s">
        <v>3902</v>
      </c>
      <c r="AI2648" t="s">
        <v>3902</v>
      </c>
      <c r="AJ2648" t="s">
        <v>66</v>
      </c>
      <c r="AK2648">
        <v>1</v>
      </c>
      <c r="AL2648" t="s">
        <v>11130</v>
      </c>
      <c r="AM2648" t="s">
        <v>11026</v>
      </c>
      <c r="AN2648" t="s">
        <v>11131</v>
      </c>
      <c r="AO2648" t="s">
        <v>66</v>
      </c>
      <c r="AP2648">
        <v>1</v>
      </c>
      <c r="AQ2648" t="s">
        <v>11027</v>
      </c>
      <c r="AR2648" t="s">
        <v>11028</v>
      </c>
      <c r="AS2648" t="s">
        <v>11029</v>
      </c>
      <c r="AT2648" t="s">
        <v>66</v>
      </c>
    </row>
    <row r="2649" spans="1:46" x14ac:dyDescent="0.15">
      <c r="A2649" t="s">
        <v>11177</v>
      </c>
      <c r="B2649" t="s">
        <v>10820</v>
      </c>
      <c r="C2649" t="s">
        <v>10821</v>
      </c>
      <c r="D2649">
        <v>70</v>
      </c>
      <c r="E2649" t="s">
        <v>10822</v>
      </c>
      <c r="F2649" t="s">
        <v>3083</v>
      </c>
      <c r="G2649" t="s">
        <v>51</v>
      </c>
      <c r="H2649" t="s">
        <v>10823</v>
      </c>
      <c r="I2649" t="s">
        <v>53</v>
      </c>
      <c r="J2649" t="s">
        <v>54</v>
      </c>
      <c r="K2649" t="s">
        <v>55</v>
      </c>
      <c r="L2649" t="s">
        <v>19</v>
      </c>
      <c r="M2649" t="s">
        <v>17</v>
      </c>
      <c r="N2649">
        <v>4372</v>
      </c>
      <c r="O2649">
        <v>255</v>
      </c>
      <c r="P2649">
        <v>0</v>
      </c>
      <c r="Q2649" t="s">
        <v>11178</v>
      </c>
      <c r="R2649" t="s">
        <v>11179</v>
      </c>
      <c r="S2649" t="s">
        <v>11180</v>
      </c>
      <c r="T2649" t="s">
        <v>11181</v>
      </c>
      <c r="U2649" t="s">
        <v>60</v>
      </c>
      <c r="V2649" t="s">
        <v>61</v>
      </c>
      <c r="W2649">
        <v>3</v>
      </c>
      <c r="X2649">
        <v>0.14000000000000001</v>
      </c>
      <c r="Y2649" t="s">
        <v>523</v>
      </c>
      <c r="Z2649" t="s">
        <v>524</v>
      </c>
      <c r="AA2649">
        <v>3</v>
      </c>
      <c r="AB2649" t="s">
        <v>10825</v>
      </c>
      <c r="AC2649" t="s">
        <v>10826</v>
      </c>
      <c r="AD2649" t="s">
        <v>10827</v>
      </c>
      <c r="AE2649" t="s">
        <v>10828</v>
      </c>
      <c r="AF2649" t="s">
        <v>10829</v>
      </c>
      <c r="AG2649" t="s">
        <v>3903</v>
      </c>
      <c r="AH2649" t="s">
        <v>3902</v>
      </c>
      <c r="AI2649" t="s">
        <v>3902</v>
      </c>
      <c r="AJ2649" t="s">
        <v>66</v>
      </c>
      <c r="AK2649">
        <v>1</v>
      </c>
      <c r="AL2649" t="s">
        <v>11130</v>
      </c>
      <c r="AM2649" t="s">
        <v>11026</v>
      </c>
      <c r="AN2649" t="s">
        <v>11131</v>
      </c>
      <c r="AO2649" t="s">
        <v>66</v>
      </c>
      <c r="AP2649">
        <v>1</v>
      </c>
      <c r="AQ2649" t="s">
        <v>11027</v>
      </c>
      <c r="AR2649" t="s">
        <v>11028</v>
      </c>
      <c r="AS2649" t="s">
        <v>11029</v>
      </c>
      <c r="AT2649" t="s">
        <v>66</v>
      </c>
    </row>
    <row r="2650" spans="1:46" x14ac:dyDescent="0.15">
      <c r="A2650" t="s">
        <v>11182</v>
      </c>
      <c r="B2650" t="s">
        <v>10820</v>
      </c>
      <c r="C2650" t="s">
        <v>10821</v>
      </c>
      <c r="D2650">
        <v>71</v>
      </c>
      <c r="E2650" t="s">
        <v>10822</v>
      </c>
      <c r="F2650" t="s">
        <v>3083</v>
      </c>
      <c r="G2650" t="s">
        <v>51</v>
      </c>
      <c r="H2650" t="s">
        <v>10823</v>
      </c>
      <c r="I2650" t="s">
        <v>53</v>
      </c>
      <c r="J2650" t="s">
        <v>54</v>
      </c>
      <c r="K2650" t="s">
        <v>55</v>
      </c>
      <c r="L2650" t="s">
        <v>19</v>
      </c>
      <c r="M2650" t="s">
        <v>17</v>
      </c>
      <c r="N2650">
        <v>4429</v>
      </c>
      <c r="O2650">
        <v>259</v>
      </c>
      <c r="P2650">
        <v>0</v>
      </c>
      <c r="Q2650" t="s">
        <v>11183</v>
      </c>
      <c r="R2650" t="s">
        <v>11184</v>
      </c>
      <c r="S2650" t="s">
        <v>11185</v>
      </c>
      <c r="T2650" t="s">
        <v>11186</v>
      </c>
      <c r="U2650" t="s">
        <v>60</v>
      </c>
      <c r="V2650" t="s">
        <v>61</v>
      </c>
      <c r="W2650">
        <v>3</v>
      </c>
      <c r="X2650">
        <v>0.14000000000000001</v>
      </c>
      <c r="Y2650" t="s">
        <v>295</v>
      </c>
      <c r="Z2650" t="s">
        <v>530</v>
      </c>
      <c r="AA2650">
        <v>3</v>
      </c>
      <c r="AB2650" t="s">
        <v>10825</v>
      </c>
      <c r="AC2650" t="s">
        <v>10826</v>
      </c>
      <c r="AD2650" t="s">
        <v>10827</v>
      </c>
      <c r="AE2650" t="s">
        <v>10828</v>
      </c>
      <c r="AF2650" t="s">
        <v>10829</v>
      </c>
      <c r="AG2650" t="s">
        <v>3903</v>
      </c>
      <c r="AH2650" t="s">
        <v>3902</v>
      </c>
      <c r="AI2650" t="s">
        <v>3902</v>
      </c>
      <c r="AJ2650" t="s">
        <v>66</v>
      </c>
      <c r="AK2650">
        <v>1</v>
      </c>
      <c r="AL2650" t="s">
        <v>11130</v>
      </c>
      <c r="AM2650" t="s">
        <v>11026</v>
      </c>
      <c r="AN2650" t="s">
        <v>11131</v>
      </c>
      <c r="AO2650" t="s">
        <v>66</v>
      </c>
      <c r="AP2650">
        <v>1</v>
      </c>
      <c r="AQ2650" t="s">
        <v>11027</v>
      </c>
      <c r="AR2650" t="s">
        <v>11028</v>
      </c>
      <c r="AS2650" t="s">
        <v>11029</v>
      </c>
      <c r="AT2650" t="s">
        <v>66</v>
      </c>
    </row>
    <row r="2651" spans="1:46" x14ac:dyDescent="0.15">
      <c r="A2651" t="s">
        <v>11187</v>
      </c>
      <c r="B2651" t="s">
        <v>10820</v>
      </c>
      <c r="C2651" t="s">
        <v>10821</v>
      </c>
      <c r="D2651">
        <v>72</v>
      </c>
      <c r="E2651" t="s">
        <v>10822</v>
      </c>
      <c r="F2651" t="s">
        <v>3083</v>
      </c>
      <c r="G2651" t="s">
        <v>51</v>
      </c>
      <c r="H2651" t="s">
        <v>10823</v>
      </c>
      <c r="I2651" t="s">
        <v>53</v>
      </c>
      <c r="J2651" t="s">
        <v>54</v>
      </c>
      <c r="K2651" t="s">
        <v>55</v>
      </c>
      <c r="L2651" t="s">
        <v>19</v>
      </c>
      <c r="M2651" t="s">
        <v>17</v>
      </c>
      <c r="N2651">
        <v>4485</v>
      </c>
      <c r="O2651">
        <v>262</v>
      </c>
      <c r="P2651">
        <v>0</v>
      </c>
      <c r="Q2651" t="s">
        <v>11188</v>
      </c>
      <c r="R2651" t="s">
        <v>11189</v>
      </c>
      <c r="S2651" t="s">
        <v>11190</v>
      </c>
      <c r="T2651" t="s">
        <v>11191</v>
      </c>
      <c r="U2651" t="s">
        <v>60</v>
      </c>
      <c r="V2651" t="s">
        <v>61</v>
      </c>
      <c r="W2651">
        <v>3</v>
      </c>
      <c r="X2651">
        <v>0.14000000000000001</v>
      </c>
      <c r="Y2651" t="s">
        <v>536</v>
      </c>
      <c r="Z2651" t="s">
        <v>537</v>
      </c>
      <c r="AA2651">
        <v>3</v>
      </c>
      <c r="AB2651" t="s">
        <v>10825</v>
      </c>
      <c r="AC2651" t="s">
        <v>10826</v>
      </c>
      <c r="AD2651" t="s">
        <v>10827</v>
      </c>
      <c r="AE2651" t="s">
        <v>10828</v>
      </c>
      <c r="AF2651" t="s">
        <v>10829</v>
      </c>
      <c r="AG2651" t="s">
        <v>3903</v>
      </c>
      <c r="AH2651" t="s">
        <v>3902</v>
      </c>
      <c r="AI2651" t="s">
        <v>3902</v>
      </c>
      <c r="AJ2651" t="s">
        <v>66</v>
      </c>
      <c r="AK2651">
        <v>1</v>
      </c>
      <c r="AL2651" t="s">
        <v>11130</v>
      </c>
      <c r="AM2651" t="s">
        <v>11026</v>
      </c>
      <c r="AN2651" t="s">
        <v>11131</v>
      </c>
      <c r="AO2651" t="s">
        <v>66</v>
      </c>
      <c r="AP2651">
        <v>1</v>
      </c>
      <c r="AQ2651" t="s">
        <v>11027</v>
      </c>
      <c r="AR2651" t="s">
        <v>11028</v>
      </c>
      <c r="AS2651" t="s">
        <v>11029</v>
      </c>
      <c r="AT2651" t="s">
        <v>66</v>
      </c>
    </row>
    <row r="2652" spans="1:46" x14ac:dyDescent="0.15">
      <c r="A2652" t="s">
        <v>11192</v>
      </c>
      <c r="B2652" t="s">
        <v>10820</v>
      </c>
      <c r="C2652" t="s">
        <v>10821</v>
      </c>
      <c r="D2652">
        <v>73</v>
      </c>
      <c r="E2652" t="s">
        <v>10822</v>
      </c>
      <c r="F2652" t="s">
        <v>3083</v>
      </c>
      <c r="G2652" t="s">
        <v>51</v>
      </c>
      <c r="H2652" t="s">
        <v>10823</v>
      </c>
      <c r="I2652" t="s">
        <v>53</v>
      </c>
      <c r="J2652" t="s">
        <v>54</v>
      </c>
      <c r="K2652" t="s">
        <v>55</v>
      </c>
      <c r="L2652" t="s">
        <v>19</v>
      </c>
      <c r="M2652" t="s">
        <v>17</v>
      </c>
      <c r="N2652">
        <v>4541</v>
      </c>
      <c r="O2652">
        <v>265</v>
      </c>
      <c r="P2652">
        <v>0</v>
      </c>
      <c r="Q2652" t="s">
        <v>11193</v>
      </c>
      <c r="R2652" t="s">
        <v>11194</v>
      </c>
      <c r="S2652" t="s">
        <v>11195</v>
      </c>
      <c r="T2652" t="s">
        <v>11196</v>
      </c>
      <c r="U2652" t="s">
        <v>60</v>
      </c>
      <c r="V2652" t="s">
        <v>61</v>
      </c>
      <c r="W2652">
        <v>3</v>
      </c>
      <c r="X2652">
        <v>0.14000000000000001</v>
      </c>
      <c r="Y2652" t="s">
        <v>301</v>
      </c>
      <c r="Z2652" t="s">
        <v>543</v>
      </c>
      <c r="AA2652">
        <v>3</v>
      </c>
      <c r="AB2652" t="s">
        <v>10825</v>
      </c>
      <c r="AC2652" t="s">
        <v>10826</v>
      </c>
      <c r="AD2652" t="s">
        <v>10827</v>
      </c>
      <c r="AE2652" t="s">
        <v>10828</v>
      </c>
      <c r="AF2652" t="s">
        <v>10829</v>
      </c>
      <c r="AG2652" t="s">
        <v>3903</v>
      </c>
      <c r="AH2652" t="s">
        <v>3902</v>
      </c>
      <c r="AI2652" t="s">
        <v>3902</v>
      </c>
      <c r="AJ2652" t="s">
        <v>66</v>
      </c>
      <c r="AK2652">
        <v>1</v>
      </c>
      <c r="AL2652" t="s">
        <v>11130</v>
      </c>
      <c r="AM2652" t="s">
        <v>11026</v>
      </c>
      <c r="AN2652" t="s">
        <v>11131</v>
      </c>
      <c r="AO2652" t="s">
        <v>66</v>
      </c>
      <c r="AP2652">
        <v>1</v>
      </c>
      <c r="AQ2652" t="s">
        <v>11027</v>
      </c>
      <c r="AR2652" t="s">
        <v>11028</v>
      </c>
      <c r="AS2652" t="s">
        <v>11029</v>
      </c>
      <c r="AT2652" t="s">
        <v>66</v>
      </c>
    </row>
    <row r="2653" spans="1:46" x14ac:dyDescent="0.15">
      <c r="A2653" t="s">
        <v>11197</v>
      </c>
      <c r="B2653" t="s">
        <v>10820</v>
      </c>
      <c r="C2653" t="s">
        <v>10821</v>
      </c>
      <c r="D2653">
        <v>74</v>
      </c>
      <c r="E2653" t="s">
        <v>10822</v>
      </c>
      <c r="F2653" t="s">
        <v>3083</v>
      </c>
      <c r="G2653" t="s">
        <v>51</v>
      </c>
      <c r="H2653" t="s">
        <v>10823</v>
      </c>
      <c r="I2653" t="s">
        <v>53</v>
      </c>
      <c r="J2653" t="s">
        <v>54</v>
      </c>
      <c r="K2653" t="s">
        <v>55</v>
      </c>
      <c r="L2653" t="s">
        <v>19</v>
      </c>
      <c r="M2653" t="s">
        <v>17</v>
      </c>
      <c r="N2653">
        <v>4597</v>
      </c>
      <c r="O2653">
        <v>268</v>
      </c>
      <c r="P2653">
        <v>0</v>
      </c>
      <c r="Q2653" t="s">
        <v>11198</v>
      </c>
      <c r="R2653" t="s">
        <v>11199</v>
      </c>
      <c r="S2653" t="s">
        <v>11200</v>
      </c>
      <c r="T2653" t="s">
        <v>11201</v>
      </c>
      <c r="U2653" t="s">
        <v>60</v>
      </c>
      <c r="V2653" t="s">
        <v>61</v>
      </c>
      <c r="W2653">
        <v>3</v>
      </c>
      <c r="X2653">
        <v>0.14000000000000001</v>
      </c>
      <c r="Y2653" t="s">
        <v>549</v>
      </c>
      <c r="Z2653" t="s">
        <v>550</v>
      </c>
      <c r="AA2653">
        <v>3</v>
      </c>
      <c r="AB2653" t="s">
        <v>10825</v>
      </c>
      <c r="AC2653" t="s">
        <v>10826</v>
      </c>
      <c r="AD2653" t="s">
        <v>10827</v>
      </c>
      <c r="AE2653" t="s">
        <v>10828</v>
      </c>
      <c r="AF2653" t="s">
        <v>10829</v>
      </c>
      <c r="AG2653" t="s">
        <v>3903</v>
      </c>
      <c r="AH2653" t="s">
        <v>3902</v>
      </c>
      <c r="AI2653" t="s">
        <v>3902</v>
      </c>
      <c r="AJ2653" t="s">
        <v>66</v>
      </c>
      <c r="AK2653">
        <v>1</v>
      </c>
      <c r="AL2653" t="s">
        <v>11130</v>
      </c>
      <c r="AM2653" t="s">
        <v>11026</v>
      </c>
      <c r="AN2653" t="s">
        <v>11131</v>
      </c>
      <c r="AO2653" t="s">
        <v>66</v>
      </c>
      <c r="AP2653">
        <v>1</v>
      </c>
      <c r="AQ2653" t="s">
        <v>11027</v>
      </c>
      <c r="AR2653" t="s">
        <v>11028</v>
      </c>
      <c r="AS2653" t="s">
        <v>11029</v>
      </c>
      <c r="AT2653" t="s">
        <v>66</v>
      </c>
    </row>
    <row r="2654" spans="1:46" x14ac:dyDescent="0.15">
      <c r="A2654" t="s">
        <v>11202</v>
      </c>
      <c r="B2654" t="s">
        <v>10820</v>
      </c>
      <c r="C2654" t="s">
        <v>10821</v>
      </c>
      <c r="D2654">
        <v>75</v>
      </c>
      <c r="E2654" t="s">
        <v>10822</v>
      </c>
      <c r="F2654" t="s">
        <v>3083</v>
      </c>
      <c r="G2654" t="s">
        <v>51</v>
      </c>
      <c r="H2654" t="s">
        <v>10823</v>
      </c>
      <c r="I2654" t="s">
        <v>53</v>
      </c>
      <c r="J2654" t="s">
        <v>54</v>
      </c>
      <c r="K2654" t="s">
        <v>55</v>
      </c>
      <c r="L2654" t="s">
        <v>19</v>
      </c>
      <c r="M2654" t="s">
        <v>17</v>
      </c>
      <c r="N2654">
        <v>4653</v>
      </c>
      <c r="O2654">
        <v>272</v>
      </c>
      <c r="P2654">
        <v>0</v>
      </c>
      <c r="Q2654" t="s">
        <v>11203</v>
      </c>
      <c r="R2654" t="s">
        <v>11204</v>
      </c>
      <c r="S2654" t="s">
        <v>11205</v>
      </c>
      <c r="T2654" t="s">
        <v>11206</v>
      </c>
      <c r="U2654" t="s">
        <v>60</v>
      </c>
      <c r="V2654" t="s">
        <v>61</v>
      </c>
      <c r="W2654">
        <v>3</v>
      </c>
      <c r="X2654">
        <v>0.14000000000000001</v>
      </c>
      <c r="Y2654" t="s">
        <v>308</v>
      </c>
      <c r="Z2654" t="s">
        <v>556</v>
      </c>
      <c r="AA2654">
        <v>3</v>
      </c>
      <c r="AB2654" t="s">
        <v>10825</v>
      </c>
      <c r="AC2654" t="s">
        <v>10826</v>
      </c>
      <c r="AD2654" t="s">
        <v>10827</v>
      </c>
      <c r="AE2654" t="s">
        <v>10828</v>
      </c>
      <c r="AF2654" t="s">
        <v>10829</v>
      </c>
      <c r="AG2654" t="s">
        <v>3903</v>
      </c>
      <c r="AH2654" t="s">
        <v>3902</v>
      </c>
      <c r="AI2654" t="s">
        <v>3902</v>
      </c>
      <c r="AJ2654" t="s">
        <v>66</v>
      </c>
      <c r="AK2654">
        <v>1</v>
      </c>
      <c r="AL2654" t="s">
        <v>11130</v>
      </c>
      <c r="AM2654" t="s">
        <v>11026</v>
      </c>
      <c r="AN2654" t="s">
        <v>11131</v>
      </c>
      <c r="AO2654" t="s">
        <v>66</v>
      </c>
      <c r="AP2654">
        <v>1</v>
      </c>
      <c r="AQ2654" t="s">
        <v>11027</v>
      </c>
      <c r="AR2654" t="s">
        <v>11028</v>
      </c>
      <c r="AS2654" t="s">
        <v>11029</v>
      </c>
      <c r="AT2654" t="s">
        <v>66</v>
      </c>
    </row>
    <row r="2655" spans="1:46" x14ac:dyDescent="0.15">
      <c r="A2655" t="s">
        <v>11207</v>
      </c>
      <c r="B2655" t="s">
        <v>10820</v>
      </c>
      <c r="C2655" t="s">
        <v>10821</v>
      </c>
      <c r="D2655">
        <v>76</v>
      </c>
      <c r="E2655" t="s">
        <v>10822</v>
      </c>
      <c r="F2655" t="s">
        <v>3083</v>
      </c>
      <c r="G2655" t="s">
        <v>51</v>
      </c>
      <c r="H2655" t="s">
        <v>10823</v>
      </c>
      <c r="I2655" t="s">
        <v>53</v>
      </c>
      <c r="J2655" t="s">
        <v>54</v>
      </c>
      <c r="K2655" t="s">
        <v>55</v>
      </c>
      <c r="L2655" t="s">
        <v>19</v>
      </c>
      <c r="M2655" t="s">
        <v>17</v>
      </c>
      <c r="N2655">
        <v>4709</v>
      </c>
      <c r="O2655">
        <v>275</v>
      </c>
      <c r="P2655">
        <v>0</v>
      </c>
      <c r="Q2655" t="s">
        <v>11208</v>
      </c>
      <c r="R2655" t="s">
        <v>11209</v>
      </c>
      <c r="S2655" t="s">
        <v>11210</v>
      </c>
      <c r="T2655" t="s">
        <v>11211</v>
      </c>
      <c r="U2655" t="s">
        <v>60</v>
      </c>
      <c r="V2655" t="s">
        <v>61</v>
      </c>
      <c r="W2655">
        <v>3</v>
      </c>
      <c r="X2655">
        <v>0.14000000000000001</v>
      </c>
      <c r="Y2655" t="s">
        <v>562</v>
      </c>
      <c r="Z2655" t="s">
        <v>563</v>
      </c>
      <c r="AA2655">
        <v>3</v>
      </c>
      <c r="AB2655" t="s">
        <v>10825</v>
      </c>
      <c r="AC2655" t="s">
        <v>10826</v>
      </c>
      <c r="AD2655" t="s">
        <v>10827</v>
      </c>
      <c r="AE2655" t="s">
        <v>10828</v>
      </c>
      <c r="AF2655" t="s">
        <v>10829</v>
      </c>
      <c r="AG2655" t="s">
        <v>3903</v>
      </c>
      <c r="AH2655" t="s">
        <v>3902</v>
      </c>
      <c r="AI2655" t="s">
        <v>3902</v>
      </c>
      <c r="AJ2655" t="s">
        <v>66</v>
      </c>
      <c r="AK2655">
        <v>1</v>
      </c>
      <c r="AL2655" t="s">
        <v>11130</v>
      </c>
      <c r="AM2655" t="s">
        <v>11026</v>
      </c>
      <c r="AN2655" t="s">
        <v>11131</v>
      </c>
      <c r="AO2655" t="s">
        <v>66</v>
      </c>
      <c r="AP2655">
        <v>1</v>
      </c>
      <c r="AQ2655" t="s">
        <v>11027</v>
      </c>
      <c r="AR2655" t="s">
        <v>11028</v>
      </c>
      <c r="AS2655" t="s">
        <v>11029</v>
      </c>
      <c r="AT2655" t="s">
        <v>66</v>
      </c>
    </row>
    <row r="2656" spans="1:46" x14ac:dyDescent="0.15">
      <c r="A2656" t="s">
        <v>11212</v>
      </c>
      <c r="B2656" t="s">
        <v>10820</v>
      </c>
      <c r="C2656" t="s">
        <v>10821</v>
      </c>
      <c r="D2656">
        <v>77</v>
      </c>
      <c r="E2656" t="s">
        <v>10822</v>
      </c>
      <c r="F2656" t="s">
        <v>3083</v>
      </c>
      <c r="G2656" t="s">
        <v>51</v>
      </c>
      <c r="H2656" t="s">
        <v>10823</v>
      </c>
      <c r="I2656" t="s">
        <v>53</v>
      </c>
      <c r="J2656" t="s">
        <v>54</v>
      </c>
      <c r="K2656" t="s">
        <v>55</v>
      </c>
      <c r="L2656" t="s">
        <v>19</v>
      </c>
      <c r="M2656" t="s">
        <v>17</v>
      </c>
      <c r="N2656">
        <v>4765</v>
      </c>
      <c r="O2656">
        <v>278</v>
      </c>
      <c r="P2656">
        <v>0</v>
      </c>
      <c r="Q2656" t="s">
        <v>11213</v>
      </c>
      <c r="R2656" t="s">
        <v>11214</v>
      </c>
      <c r="S2656" t="s">
        <v>11215</v>
      </c>
      <c r="T2656" t="s">
        <v>11216</v>
      </c>
      <c r="U2656" t="s">
        <v>60</v>
      </c>
      <c r="V2656" t="s">
        <v>61</v>
      </c>
      <c r="W2656">
        <v>3</v>
      </c>
      <c r="X2656">
        <v>0.14000000000000001</v>
      </c>
      <c r="Y2656" t="s">
        <v>314</v>
      </c>
      <c r="Z2656" t="s">
        <v>569</v>
      </c>
      <c r="AA2656">
        <v>3</v>
      </c>
      <c r="AB2656" t="s">
        <v>10825</v>
      </c>
      <c r="AC2656" t="s">
        <v>10826</v>
      </c>
      <c r="AD2656" t="s">
        <v>10827</v>
      </c>
      <c r="AE2656" t="s">
        <v>10828</v>
      </c>
      <c r="AF2656" t="s">
        <v>10829</v>
      </c>
      <c r="AG2656" t="s">
        <v>3903</v>
      </c>
      <c r="AH2656" t="s">
        <v>3902</v>
      </c>
      <c r="AI2656" t="s">
        <v>3902</v>
      </c>
      <c r="AJ2656" t="s">
        <v>66</v>
      </c>
      <c r="AK2656">
        <v>1</v>
      </c>
      <c r="AL2656" t="s">
        <v>11130</v>
      </c>
      <c r="AM2656" t="s">
        <v>11026</v>
      </c>
      <c r="AN2656" t="s">
        <v>11131</v>
      </c>
      <c r="AO2656" t="s">
        <v>66</v>
      </c>
      <c r="AP2656">
        <v>1</v>
      </c>
      <c r="AQ2656" t="s">
        <v>11027</v>
      </c>
      <c r="AR2656" t="s">
        <v>11028</v>
      </c>
      <c r="AS2656" t="s">
        <v>11029</v>
      </c>
      <c r="AT2656" t="s">
        <v>66</v>
      </c>
    </row>
    <row r="2657" spans="1:46" x14ac:dyDescent="0.15">
      <c r="A2657" t="s">
        <v>11217</v>
      </c>
      <c r="B2657" t="s">
        <v>10820</v>
      </c>
      <c r="C2657" t="s">
        <v>10821</v>
      </c>
      <c r="D2657">
        <v>78</v>
      </c>
      <c r="E2657" t="s">
        <v>10822</v>
      </c>
      <c r="F2657" t="s">
        <v>3083</v>
      </c>
      <c r="G2657" t="s">
        <v>51</v>
      </c>
      <c r="H2657" t="s">
        <v>10823</v>
      </c>
      <c r="I2657" t="s">
        <v>53</v>
      </c>
      <c r="J2657" t="s">
        <v>54</v>
      </c>
      <c r="K2657" t="s">
        <v>55</v>
      </c>
      <c r="L2657" t="s">
        <v>19</v>
      </c>
      <c r="M2657" t="s">
        <v>17</v>
      </c>
      <c r="N2657">
        <v>4821</v>
      </c>
      <c r="O2657">
        <v>281</v>
      </c>
      <c r="P2657">
        <v>0</v>
      </c>
      <c r="Q2657" t="s">
        <v>11218</v>
      </c>
      <c r="R2657" t="s">
        <v>11219</v>
      </c>
      <c r="S2657" t="s">
        <v>11220</v>
      </c>
      <c r="T2657" t="s">
        <v>11221</v>
      </c>
      <c r="U2657" t="s">
        <v>60</v>
      </c>
      <c r="V2657" t="s">
        <v>61</v>
      </c>
      <c r="W2657">
        <v>3</v>
      </c>
      <c r="X2657">
        <v>0.14000000000000001</v>
      </c>
      <c r="Y2657" t="s">
        <v>575</v>
      </c>
      <c r="Z2657" t="s">
        <v>576</v>
      </c>
      <c r="AA2657">
        <v>3</v>
      </c>
      <c r="AB2657" t="s">
        <v>10825</v>
      </c>
      <c r="AC2657" t="s">
        <v>10826</v>
      </c>
      <c r="AD2657" t="s">
        <v>10827</v>
      </c>
      <c r="AE2657" t="s">
        <v>10828</v>
      </c>
      <c r="AF2657" t="s">
        <v>10829</v>
      </c>
      <c r="AG2657" t="s">
        <v>3903</v>
      </c>
      <c r="AH2657" t="s">
        <v>3902</v>
      </c>
      <c r="AI2657" t="s">
        <v>3902</v>
      </c>
      <c r="AJ2657" t="s">
        <v>66</v>
      </c>
      <c r="AK2657">
        <v>1</v>
      </c>
      <c r="AL2657" t="s">
        <v>11130</v>
      </c>
      <c r="AM2657" t="s">
        <v>11026</v>
      </c>
      <c r="AN2657" t="s">
        <v>11131</v>
      </c>
      <c r="AO2657" t="s">
        <v>66</v>
      </c>
      <c r="AP2657">
        <v>1</v>
      </c>
      <c r="AQ2657" t="s">
        <v>11027</v>
      </c>
      <c r="AR2657" t="s">
        <v>11028</v>
      </c>
      <c r="AS2657" t="s">
        <v>11029</v>
      </c>
      <c r="AT2657" t="s">
        <v>66</v>
      </c>
    </row>
    <row r="2658" spans="1:46" x14ac:dyDescent="0.15">
      <c r="A2658" t="s">
        <v>11222</v>
      </c>
      <c r="B2658" t="s">
        <v>10820</v>
      </c>
      <c r="C2658" t="s">
        <v>10821</v>
      </c>
      <c r="D2658">
        <v>79</v>
      </c>
      <c r="E2658" t="s">
        <v>10822</v>
      </c>
      <c r="F2658" t="s">
        <v>3083</v>
      </c>
      <c r="G2658" t="s">
        <v>51</v>
      </c>
      <c r="H2658" t="s">
        <v>10823</v>
      </c>
      <c r="I2658" t="s">
        <v>53</v>
      </c>
      <c r="J2658" t="s">
        <v>54</v>
      </c>
      <c r="K2658" t="s">
        <v>55</v>
      </c>
      <c r="L2658" t="s">
        <v>19</v>
      </c>
      <c r="M2658" t="s">
        <v>17</v>
      </c>
      <c r="N2658">
        <v>4878</v>
      </c>
      <c r="O2658">
        <v>285</v>
      </c>
      <c r="P2658">
        <v>0</v>
      </c>
      <c r="Q2658" t="s">
        <v>11223</v>
      </c>
      <c r="R2658" t="s">
        <v>11224</v>
      </c>
      <c r="S2658" t="s">
        <v>11225</v>
      </c>
      <c r="T2658" t="s">
        <v>11226</v>
      </c>
      <c r="U2658" t="s">
        <v>60</v>
      </c>
      <c r="V2658" t="s">
        <v>61</v>
      </c>
      <c r="W2658">
        <v>3</v>
      </c>
      <c r="X2658">
        <v>0.14000000000000001</v>
      </c>
      <c r="Y2658" t="s">
        <v>321</v>
      </c>
      <c r="Z2658" t="s">
        <v>582</v>
      </c>
      <c r="AA2658">
        <v>3</v>
      </c>
      <c r="AB2658" t="s">
        <v>10825</v>
      </c>
      <c r="AC2658" t="s">
        <v>10826</v>
      </c>
      <c r="AD2658" t="s">
        <v>10827</v>
      </c>
      <c r="AE2658" t="s">
        <v>10828</v>
      </c>
      <c r="AF2658" t="s">
        <v>10829</v>
      </c>
      <c r="AG2658" t="s">
        <v>3903</v>
      </c>
      <c r="AH2658" t="s">
        <v>3902</v>
      </c>
      <c r="AI2658" t="s">
        <v>3902</v>
      </c>
      <c r="AJ2658" t="s">
        <v>66</v>
      </c>
      <c r="AK2658">
        <v>1</v>
      </c>
      <c r="AL2658" t="s">
        <v>11130</v>
      </c>
      <c r="AM2658" t="s">
        <v>11026</v>
      </c>
      <c r="AN2658" t="s">
        <v>11131</v>
      </c>
      <c r="AO2658" t="s">
        <v>66</v>
      </c>
      <c r="AP2658">
        <v>1</v>
      </c>
      <c r="AQ2658" t="s">
        <v>11027</v>
      </c>
      <c r="AR2658" t="s">
        <v>11028</v>
      </c>
      <c r="AS2658" t="s">
        <v>11029</v>
      </c>
      <c r="AT2658" t="s">
        <v>66</v>
      </c>
    </row>
    <row r="2659" spans="1:46" x14ac:dyDescent="0.15">
      <c r="A2659" t="s">
        <v>11227</v>
      </c>
      <c r="B2659" t="s">
        <v>10820</v>
      </c>
      <c r="C2659" t="s">
        <v>10821</v>
      </c>
      <c r="D2659">
        <v>80</v>
      </c>
      <c r="E2659" t="s">
        <v>10822</v>
      </c>
      <c r="F2659" t="s">
        <v>3083</v>
      </c>
      <c r="G2659" t="s">
        <v>51</v>
      </c>
      <c r="H2659" t="s">
        <v>10823</v>
      </c>
      <c r="I2659" t="s">
        <v>53</v>
      </c>
      <c r="J2659" t="s">
        <v>54</v>
      </c>
      <c r="K2659" t="s">
        <v>55</v>
      </c>
      <c r="L2659" t="s">
        <v>19</v>
      </c>
      <c r="M2659" t="s">
        <v>17</v>
      </c>
      <c r="N2659">
        <v>4934</v>
      </c>
      <c r="O2659">
        <v>288</v>
      </c>
      <c r="P2659">
        <v>0</v>
      </c>
      <c r="Q2659" t="s">
        <v>11228</v>
      </c>
      <c r="R2659" t="s">
        <v>11229</v>
      </c>
      <c r="S2659" t="s">
        <v>11230</v>
      </c>
      <c r="T2659" t="s">
        <v>11231</v>
      </c>
      <c r="U2659" t="s">
        <v>60</v>
      </c>
      <c r="V2659" t="s">
        <v>61</v>
      </c>
      <c r="W2659">
        <v>3</v>
      </c>
      <c r="X2659">
        <v>0.14000000000000001</v>
      </c>
      <c r="Y2659" t="s">
        <v>588</v>
      </c>
      <c r="Z2659" t="s">
        <v>589</v>
      </c>
      <c r="AA2659">
        <v>3</v>
      </c>
      <c r="AB2659" t="s">
        <v>10825</v>
      </c>
      <c r="AC2659" t="s">
        <v>10826</v>
      </c>
      <c r="AD2659" t="s">
        <v>10827</v>
      </c>
      <c r="AE2659" t="s">
        <v>10828</v>
      </c>
      <c r="AF2659" t="s">
        <v>10829</v>
      </c>
      <c r="AG2659" t="s">
        <v>3903</v>
      </c>
      <c r="AH2659" t="s">
        <v>3902</v>
      </c>
      <c r="AI2659" t="s">
        <v>3902</v>
      </c>
      <c r="AJ2659" t="s">
        <v>66</v>
      </c>
      <c r="AK2659">
        <v>1</v>
      </c>
      <c r="AL2659" t="s">
        <v>11130</v>
      </c>
      <c r="AM2659" t="s">
        <v>11026</v>
      </c>
      <c r="AN2659" t="s">
        <v>11131</v>
      </c>
      <c r="AO2659" t="s">
        <v>66</v>
      </c>
      <c r="AP2659">
        <v>1</v>
      </c>
      <c r="AQ2659" t="s">
        <v>11027</v>
      </c>
      <c r="AR2659" t="s">
        <v>11028</v>
      </c>
      <c r="AS2659" t="s">
        <v>11029</v>
      </c>
      <c r="AT2659" t="s">
        <v>66</v>
      </c>
    </row>
    <row r="2660" spans="1:46" x14ac:dyDescent="0.15">
      <c r="A2660" t="s">
        <v>11227</v>
      </c>
      <c r="B2660" t="s">
        <v>10820</v>
      </c>
      <c r="C2660" t="s">
        <v>10821</v>
      </c>
      <c r="D2660">
        <v>80</v>
      </c>
      <c r="E2660" t="s">
        <v>10822</v>
      </c>
      <c r="F2660" t="s">
        <v>3083</v>
      </c>
      <c r="G2660" t="s">
        <v>51</v>
      </c>
      <c r="H2660" t="s">
        <v>10823</v>
      </c>
      <c r="I2660" t="s">
        <v>53</v>
      </c>
      <c r="J2660" t="s">
        <v>54</v>
      </c>
      <c r="K2660" t="s">
        <v>55</v>
      </c>
      <c r="L2660" t="s">
        <v>19</v>
      </c>
      <c r="M2660" t="s">
        <v>17</v>
      </c>
      <c r="N2660">
        <v>4934</v>
      </c>
      <c r="O2660">
        <v>288</v>
      </c>
      <c r="P2660">
        <v>0</v>
      </c>
      <c r="Q2660" t="s">
        <v>11228</v>
      </c>
      <c r="R2660" t="s">
        <v>11229</v>
      </c>
      <c r="S2660" t="s">
        <v>11230</v>
      </c>
      <c r="T2660" t="s">
        <v>11231</v>
      </c>
      <c r="U2660" t="s">
        <v>60</v>
      </c>
      <c r="V2660" t="s">
        <v>61</v>
      </c>
      <c r="W2660">
        <v>3</v>
      </c>
      <c r="X2660">
        <v>0.14000000000000001</v>
      </c>
      <c r="Y2660" t="s">
        <v>588</v>
      </c>
      <c r="Z2660" t="s">
        <v>589</v>
      </c>
      <c r="AA2660">
        <v>4</v>
      </c>
      <c r="AB2660" t="s">
        <v>10825</v>
      </c>
      <c r="AC2660" t="s">
        <v>10826</v>
      </c>
      <c r="AD2660" t="s">
        <v>10827</v>
      </c>
      <c r="AE2660" t="s">
        <v>10828</v>
      </c>
      <c r="AF2660" t="s">
        <v>10829</v>
      </c>
      <c r="AG2660" t="s">
        <v>3903</v>
      </c>
      <c r="AH2660" t="s">
        <v>3902</v>
      </c>
      <c r="AI2660" t="s">
        <v>3902</v>
      </c>
      <c r="AJ2660" t="s">
        <v>4006</v>
      </c>
      <c r="AK2660">
        <v>1</v>
      </c>
      <c r="AL2660" t="s">
        <v>11130</v>
      </c>
      <c r="AM2660" t="s">
        <v>11026</v>
      </c>
      <c r="AN2660" t="s">
        <v>11131</v>
      </c>
      <c r="AO2660" t="s">
        <v>66</v>
      </c>
      <c r="AP2660">
        <v>1</v>
      </c>
      <c r="AQ2660" t="s">
        <v>11027</v>
      </c>
      <c r="AR2660" t="s">
        <v>11028</v>
      </c>
      <c r="AS2660" t="s">
        <v>11029</v>
      </c>
      <c r="AT2660" t="s">
        <v>66</v>
      </c>
    </row>
    <row r="2661" spans="1:46" x14ac:dyDescent="0.15">
      <c r="A2661" t="s">
        <v>11232</v>
      </c>
      <c r="B2661" t="s">
        <v>10820</v>
      </c>
      <c r="C2661" t="s">
        <v>10821</v>
      </c>
      <c r="D2661">
        <v>81</v>
      </c>
      <c r="E2661" t="s">
        <v>10822</v>
      </c>
      <c r="F2661" t="s">
        <v>3083</v>
      </c>
      <c r="G2661" t="s">
        <v>51</v>
      </c>
      <c r="H2661" t="s">
        <v>10823</v>
      </c>
      <c r="I2661" t="s">
        <v>53</v>
      </c>
      <c r="J2661" t="s">
        <v>54</v>
      </c>
      <c r="K2661" t="s">
        <v>55</v>
      </c>
      <c r="L2661" t="s">
        <v>19</v>
      </c>
      <c r="M2661" t="s">
        <v>17</v>
      </c>
      <c r="N2661">
        <v>4990</v>
      </c>
      <c r="O2661">
        <v>291</v>
      </c>
      <c r="P2661">
        <v>0</v>
      </c>
      <c r="Q2661" t="s">
        <v>11233</v>
      </c>
      <c r="R2661" t="s">
        <v>11234</v>
      </c>
      <c r="S2661" t="s">
        <v>11235</v>
      </c>
      <c r="T2661" t="s">
        <v>11236</v>
      </c>
      <c r="U2661" t="s">
        <v>60</v>
      </c>
      <c r="V2661" t="s">
        <v>61</v>
      </c>
      <c r="W2661">
        <v>3</v>
      </c>
      <c r="X2661">
        <v>0.14000000000000001</v>
      </c>
      <c r="Y2661" t="s">
        <v>330</v>
      </c>
      <c r="Z2661" t="s">
        <v>596</v>
      </c>
      <c r="AA2661">
        <v>4</v>
      </c>
      <c r="AB2661" t="s">
        <v>10825</v>
      </c>
      <c r="AC2661" t="s">
        <v>10826</v>
      </c>
      <c r="AD2661" t="s">
        <v>10827</v>
      </c>
      <c r="AE2661" t="s">
        <v>10828</v>
      </c>
      <c r="AF2661" t="s">
        <v>10829</v>
      </c>
      <c r="AG2661" t="s">
        <v>3903</v>
      </c>
      <c r="AH2661" t="s">
        <v>3902</v>
      </c>
      <c r="AI2661" t="s">
        <v>3902</v>
      </c>
      <c r="AJ2661" t="s">
        <v>4006</v>
      </c>
      <c r="AK2661">
        <v>1</v>
      </c>
      <c r="AL2661" t="s">
        <v>11130</v>
      </c>
      <c r="AM2661" t="s">
        <v>11026</v>
      </c>
      <c r="AN2661" t="s">
        <v>11131</v>
      </c>
      <c r="AO2661" t="s">
        <v>66</v>
      </c>
      <c r="AP2661">
        <v>1</v>
      </c>
      <c r="AQ2661" t="s">
        <v>11027</v>
      </c>
      <c r="AR2661" t="s">
        <v>11028</v>
      </c>
      <c r="AS2661" t="s">
        <v>11029</v>
      </c>
      <c r="AT2661" t="s">
        <v>66</v>
      </c>
    </row>
    <row r="2662" spans="1:46" x14ac:dyDescent="0.15">
      <c r="A2662" t="s">
        <v>11237</v>
      </c>
      <c r="B2662" t="s">
        <v>10820</v>
      </c>
      <c r="C2662" t="s">
        <v>10821</v>
      </c>
      <c r="D2662">
        <v>82</v>
      </c>
      <c r="E2662" t="s">
        <v>10822</v>
      </c>
      <c r="F2662" t="s">
        <v>3083</v>
      </c>
      <c r="G2662" t="s">
        <v>51</v>
      </c>
      <c r="H2662" t="s">
        <v>10823</v>
      </c>
      <c r="I2662" t="s">
        <v>53</v>
      </c>
      <c r="J2662" t="s">
        <v>54</v>
      </c>
      <c r="K2662" t="s">
        <v>55</v>
      </c>
      <c r="L2662" t="s">
        <v>19</v>
      </c>
      <c r="M2662" t="s">
        <v>17</v>
      </c>
      <c r="N2662">
        <v>5046</v>
      </c>
      <c r="O2662">
        <v>294</v>
      </c>
      <c r="P2662">
        <v>0</v>
      </c>
      <c r="Q2662" t="s">
        <v>11238</v>
      </c>
      <c r="R2662" t="s">
        <v>11239</v>
      </c>
      <c r="S2662" t="s">
        <v>11240</v>
      </c>
      <c r="T2662" t="s">
        <v>11241</v>
      </c>
      <c r="U2662" t="s">
        <v>60</v>
      </c>
      <c r="V2662" t="s">
        <v>61</v>
      </c>
      <c r="W2662">
        <v>3</v>
      </c>
      <c r="X2662">
        <v>0.14000000000000001</v>
      </c>
      <c r="Y2662" t="s">
        <v>602</v>
      </c>
      <c r="Z2662" t="s">
        <v>603</v>
      </c>
      <c r="AA2662">
        <v>4</v>
      </c>
      <c r="AB2662" t="s">
        <v>10825</v>
      </c>
      <c r="AC2662" t="s">
        <v>10826</v>
      </c>
      <c r="AD2662" t="s">
        <v>10827</v>
      </c>
      <c r="AE2662" t="s">
        <v>10828</v>
      </c>
      <c r="AF2662" t="s">
        <v>10829</v>
      </c>
      <c r="AG2662" t="s">
        <v>3903</v>
      </c>
      <c r="AH2662" t="s">
        <v>3902</v>
      </c>
      <c r="AI2662" t="s">
        <v>3902</v>
      </c>
      <c r="AJ2662" t="s">
        <v>4006</v>
      </c>
      <c r="AK2662">
        <v>1</v>
      </c>
      <c r="AL2662" t="s">
        <v>11130</v>
      </c>
      <c r="AM2662" t="s">
        <v>11026</v>
      </c>
      <c r="AN2662" t="s">
        <v>11131</v>
      </c>
      <c r="AO2662" t="s">
        <v>66</v>
      </c>
      <c r="AP2662">
        <v>1</v>
      </c>
      <c r="AQ2662" t="s">
        <v>11027</v>
      </c>
      <c r="AR2662" t="s">
        <v>11028</v>
      </c>
      <c r="AS2662" t="s">
        <v>11029</v>
      </c>
      <c r="AT2662" t="s">
        <v>66</v>
      </c>
    </row>
    <row r="2663" spans="1:46" x14ac:dyDescent="0.15">
      <c r="A2663" t="s">
        <v>11242</v>
      </c>
      <c r="B2663" t="s">
        <v>10820</v>
      </c>
      <c r="C2663" t="s">
        <v>10821</v>
      </c>
      <c r="D2663">
        <v>83</v>
      </c>
      <c r="E2663" t="s">
        <v>10822</v>
      </c>
      <c r="F2663" t="s">
        <v>3083</v>
      </c>
      <c r="G2663" t="s">
        <v>51</v>
      </c>
      <c r="H2663" t="s">
        <v>10823</v>
      </c>
      <c r="I2663" t="s">
        <v>53</v>
      </c>
      <c r="J2663" t="s">
        <v>54</v>
      </c>
      <c r="K2663" t="s">
        <v>55</v>
      </c>
      <c r="L2663" t="s">
        <v>19</v>
      </c>
      <c r="M2663" t="s">
        <v>17</v>
      </c>
      <c r="N2663">
        <v>5102</v>
      </c>
      <c r="O2663">
        <v>298</v>
      </c>
      <c r="P2663">
        <v>0</v>
      </c>
      <c r="Q2663" t="s">
        <v>11243</v>
      </c>
      <c r="R2663" t="s">
        <v>11244</v>
      </c>
      <c r="S2663" t="s">
        <v>11245</v>
      </c>
      <c r="T2663" t="s">
        <v>11246</v>
      </c>
      <c r="U2663" t="s">
        <v>60</v>
      </c>
      <c r="V2663" t="s">
        <v>61</v>
      </c>
      <c r="W2663">
        <v>3</v>
      </c>
      <c r="X2663">
        <v>0.14000000000000001</v>
      </c>
      <c r="Y2663" t="s">
        <v>337</v>
      </c>
      <c r="Z2663" t="s">
        <v>609</v>
      </c>
      <c r="AA2663">
        <v>4</v>
      </c>
      <c r="AB2663" t="s">
        <v>10825</v>
      </c>
      <c r="AC2663" t="s">
        <v>10826</v>
      </c>
      <c r="AD2663" t="s">
        <v>10827</v>
      </c>
      <c r="AE2663" t="s">
        <v>10828</v>
      </c>
      <c r="AF2663" t="s">
        <v>10829</v>
      </c>
      <c r="AG2663" t="s">
        <v>3903</v>
      </c>
      <c r="AH2663" t="s">
        <v>3902</v>
      </c>
      <c r="AI2663" t="s">
        <v>3902</v>
      </c>
      <c r="AJ2663" t="s">
        <v>4006</v>
      </c>
      <c r="AK2663">
        <v>1</v>
      </c>
      <c r="AL2663" t="s">
        <v>11130</v>
      </c>
      <c r="AM2663" t="s">
        <v>11026</v>
      </c>
      <c r="AN2663" t="s">
        <v>11131</v>
      </c>
      <c r="AO2663" t="s">
        <v>66</v>
      </c>
      <c r="AP2663">
        <v>1</v>
      </c>
      <c r="AQ2663" t="s">
        <v>11027</v>
      </c>
      <c r="AR2663" t="s">
        <v>11028</v>
      </c>
      <c r="AS2663" t="s">
        <v>11029</v>
      </c>
      <c r="AT2663" t="s">
        <v>66</v>
      </c>
    </row>
    <row r="2664" spans="1:46" x14ac:dyDescent="0.15">
      <c r="A2664" t="s">
        <v>11247</v>
      </c>
      <c r="B2664" t="s">
        <v>10820</v>
      </c>
      <c r="C2664" t="s">
        <v>10821</v>
      </c>
      <c r="D2664">
        <v>84</v>
      </c>
      <c r="E2664" t="s">
        <v>10822</v>
      </c>
      <c r="F2664" t="s">
        <v>3083</v>
      </c>
      <c r="G2664" t="s">
        <v>51</v>
      </c>
      <c r="H2664" t="s">
        <v>10823</v>
      </c>
      <c r="I2664" t="s">
        <v>53</v>
      </c>
      <c r="J2664" t="s">
        <v>54</v>
      </c>
      <c r="K2664" t="s">
        <v>55</v>
      </c>
      <c r="L2664" t="s">
        <v>19</v>
      </c>
      <c r="M2664" t="s">
        <v>17</v>
      </c>
      <c r="N2664">
        <v>5158</v>
      </c>
      <c r="O2664">
        <v>301</v>
      </c>
      <c r="P2664">
        <v>0</v>
      </c>
      <c r="Q2664" t="s">
        <v>11248</v>
      </c>
      <c r="R2664" t="s">
        <v>11249</v>
      </c>
      <c r="S2664" t="s">
        <v>11250</v>
      </c>
      <c r="T2664" t="s">
        <v>11251</v>
      </c>
      <c r="U2664" t="s">
        <v>60</v>
      </c>
      <c r="V2664" t="s">
        <v>61</v>
      </c>
      <c r="W2664">
        <v>3</v>
      </c>
      <c r="X2664">
        <v>0.14000000000000001</v>
      </c>
      <c r="Y2664" t="s">
        <v>615</v>
      </c>
      <c r="Z2664" t="s">
        <v>616</v>
      </c>
      <c r="AA2664">
        <v>4</v>
      </c>
      <c r="AB2664" t="s">
        <v>10825</v>
      </c>
      <c r="AC2664" t="s">
        <v>10826</v>
      </c>
      <c r="AD2664" t="s">
        <v>10827</v>
      </c>
      <c r="AE2664" t="s">
        <v>10828</v>
      </c>
      <c r="AF2664" t="s">
        <v>10829</v>
      </c>
      <c r="AG2664" t="s">
        <v>3903</v>
      </c>
      <c r="AH2664" t="s">
        <v>3902</v>
      </c>
      <c r="AI2664" t="s">
        <v>3902</v>
      </c>
      <c r="AJ2664" t="s">
        <v>4006</v>
      </c>
      <c r="AK2664">
        <v>1</v>
      </c>
      <c r="AL2664" t="s">
        <v>11130</v>
      </c>
      <c r="AM2664" t="s">
        <v>11026</v>
      </c>
      <c r="AN2664" t="s">
        <v>11131</v>
      </c>
      <c r="AO2664" t="s">
        <v>66</v>
      </c>
      <c r="AP2664">
        <v>1</v>
      </c>
      <c r="AQ2664" t="s">
        <v>11027</v>
      </c>
      <c r="AR2664" t="s">
        <v>11028</v>
      </c>
      <c r="AS2664" t="s">
        <v>11029</v>
      </c>
      <c r="AT2664" t="s">
        <v>66</v>
      </c>
    </row>
    <row r="2665" spans="1:46" x14ac:dyDescent="0.15">
      <c r="A2665" t="s">
        <v>11252</v>
      </c>
      <c r="B2665" t="s">
        <v>10820</v>
      </c>
      <c r="C2665" t="s">
        <v>10821</v>
      </c>
      <c r="D2665">
        <v>85</v>
      </c>
      <c r="E2665" t="s">
        <v>10822</v>
      </c>
      <c r="F2665" t="s">
        <v>3083</v>
      </c>
      <c r="G2665" t="s">
        <v>51</v>
      </c>
      <c r="H2665" t="s">
        <v>10823</v>
      </c>
      <c r="I2665" t="s">
        <v>53</v>
      </c>
      <c r="J2665" t="s">
        <v>54</v>
      </c>
      <c r="K2665" t="s">
        <v>55</v>
      </c>
      <c r="L2665" t="s">
        <v>19</v>
      </c>
      <c r="M2665" t="s">
        <v>17</v>
      </c>
      <c r="N2665">
        <v>5214</v>
      </c>
      <c r="O2665">
        <v>304</v>
      </c>
      <c r="P2665">
        <v>0</v>
      </c>
      <c r="Q2665" t="s">
        <v>11253</v>
      </c>
      <c r="R2665" t="s">
        <v>11254</v>
      </c>
      <c r="S2665" t="s">
        <v>11255</v>
      </c>
      <c r="T2665" t="s">
        <v>11256</v>
      </c>
      <c r="U2665" t="s">
        <v>60</v>
      </c>
      <c r="V2665" t="s">
        <v>61</v>
      </c>
      <c r="W2665">
        <v>3</v>
      </c>
      <c r="X2665">
        <v>0.14000000000000001</v>
      </c>
      <c r="Y2665" t="s">
        <v>343</v>
      </c>
      <c r="Z2665" t="s">
        <v>622</v>
      </c>
      <c r="AA2665">
        <v>4</v>
      </c>
      <c r="AB2665" t="s">
        <v>10825</v>
      </c>
      <c r="AC2665" t="s">
        <v>10826</v>
      </c>
      <c r="AD2665" t="s">
        <v>10827</v>
      </c>
      <c r="AE2665" t="s">
        <v>10828</v>
      </c>
      <c r="AF2665" t="s">
        <v>10829</v>
      </c>
      <c r="AG2665" t="s">
        <v>3903</v>
      </c>
      <c r="AH2665" t="s">
        <v>3902</v>
      </c>
      <c r="AI2665" t="s">
        <v>3902</v>
      </c>
      <c r="AJ2665" t="s">
        <v>4006</v>
      </c>
      <c r="AK2665">
        <v>1</v>
      </c>
      <c r="AL2665" t="s">
        <v>11130</v>
      </c>
      <c r="AM2665" t="s">
        <v>11026</v>
      </c>
      <c r="AN2665" t="s">
        <v>11131</v>
      </c>
      <c r="AO2665" t="s">
        <v>66</v>
      </c>
      <c r="AP2665">
        <v>1</v>
      </c>
      <c r="AQ2665" t="s">
        <v>11027</v>
      </c>
      <c r="AR2665" t="s">
        <v>11028</v>
      </c>
      <c r="AS2665" t="s">
        <v>11029</v>
      </c>
      <c r="AT2665" t="s">
        <v>66</v>
      </c>
    </row>
    <row r="2666" spans="1:46" x14ac:dyDescent="0.15">
      <c r="A2666" t="s">
        <v>11257</v>
      </c>
      <c r="B2666" t="s">
        <v>10820</v>
      </c>
      <c r="C2666" t="s">
        <v>10821</v>
      </c>
      <c r="D2666">
        <v>86</v>
      </c>
      <c r="E2666" t="s">
        <v>10822</v>
      </c>
      <c r="F2666" t="s">
        <v>3083</v>
      </c>
      <c r="G2666" t="s">
        <v>51</v>
      </c>
      <c r="H2666" t="s">
        <v>10823</v>
      </c>
      <c r="I2666" t="s">
        <v>53</v>
      </c>
      <c r="J2666" t="s">
        <v>54</v>
      </c>
      <c r="K2666" t="s">
        <v>55</v>
      </c>
      <c r="L2666" t="s">
        <v>19</v>
      </c>
      <c r="M2666" t="s">
        <v>17</v>
      </c>
      <c r="N2666">
        <v>5270</v>
      </c>
      <c r="O2666">
        <v>307</v>
      </c>
      <c r="P2666">
        <v>0</v>
      </c>
      <c r="Q2666" t="s">
        <v>11258</v>
      </c>
      <c r="R2666" t="s">
        <v>11259</v>
      </c>
      <c r="S2666" t="s">
        <v>11260</v>
      </c>
      <c r="T2666" t="s">
        <v>11261</v>
      </c>
      <c r="U2666" t="s">
        <v>60</v>
      </c>
      <c r="V2666" t="s">
        <v>61</v>
      </c>
      <c r="W2666">
        <v>3</v>
      </c>
      <c r="X2666">
        <v>0.14000000000000001</v>
      </c>
      <c r="Y2666" t="s">
        <v>628</v>
      </c>
      <c r="Z2666" t="s">
        <v>629</v>
      </c>
      <c r="AA2666">
        <v>4</v>
      </c>
      <c r="AB2666" t="s">
        <v>10825</v>
      </c>
      <c r="AC2666" t="s">
        <v>10826</v>
      </c>
      <c r="AD2666" t="s">
        <v>10827</v>
      </c>
      <c r="AE2666" t="s">
        <v>10828</v>
      </c>
      <c r="AF2666" t="s">
        <v>10829</v>
      </c>
      <c r="AG2666" t="s">
        <v>3903</v>
      </c>
      <c r="AH2666" t="s">
        <v>3902</v>
      </c>
      <c r="AI2666" t="s">
        <v>3902</v>
      </c>
      <c r="AJ2666" t="s">
        <v>4006</v>
      </c>
      <c r="AK2666">
        <v>1</v>
      </c>
      <c r="AL2666" t="s">
        <v>11130</v>
      </c>
      <c r="AM2666" t="s">
        <v>11026</v>
      </c>
      <c r="AN2666" t="s">
        <v>11131</v>
      </c>
      <c r="AO2666" t="s">
        <v>66</v>
      </c>
      <c r="AP2666">
        <v>1</v>
      </c>
      <c r="AQ2666" t="s">
        <v>11027</v>
      </c>
      <c r="AR2666" t="s">
        <v>11028</v>
      </c>
      <c r="AS2666" t="s">
        <v>11029</v>
      </c>
      <c r="AT2666" t="s">
        <v>66</v>
      </c>
    </row>
    <row r="2667" spans="1:46" x14ac:dyDescent="0.15">
      <c r="A2667" t="s">
        <v>11262</v>
      </c>
      <c r="B2667" t="s">
        <v>10820</v>
      </c>
      <c r="C2667" t="s">
        <v>10821</v>
      </c>
      <c r="D2667">
        <v>87</v>
      </c>
      <c r="E2667" t="s">
        <v>10822</v>
      </c>
      <c r="F2667" t="s">
        <v>3083</v>
      </c>
      <c r="G2667" t="s">
        <v>51</v>
      </c>
      <c r="H2667" t="s">
        <v>10823</v>
      </c>
      <c r="I2667" t="s">
        <v>53</v>
      </c>
      <c r="J2667" t="s">
        <v>54</v>
      </c>
      <c r="K2667" t="s">
        <v>55</v>
      </c>
      <c r="L2667" t="s">
        <v>19</v>
      </c>
      <c r="M2667" t="s">
        <v>17</v>
      </c>
      <c r="N2667">
        <v>5327</v>
      </c>
      <c r="O2667">
        <v>311</v>
      </c>
      <c r="P2667">
        <v>0</v>
      </c>
      <c r="Q2667" t="s">
        <v>11263</v>
      </c>
      <c r="R2667" t="s">
        <v>11264</v>
      </c>
      <c r="S2667" t="s">
        <v>11265</v>
      </c>
      <c r="T2667" t="s">
        <v>11266</v>
      </c>
      <c r="U2667" t="s">
        <v>60</v>
      </c>
      <c r="V2667" t="s">
        <v>61</v>
      </c>
      <c r="W2667">
        <v>3</v>
      </c>
      <c r="X2667">
        <v>0.14000000000000001</v>
      </c>
      <c r="Y2667" t="s">
        <v>350</v>
      </c>
      <c r="Z2667" t="s">
        <v>635</v>
      </c>
      <c r="AA2667">
        <v>4</v>
      </c>
      <c r="AB2667" t="s">
        <v>10825</v>
      </c>
      <c r="AC2667" t="s">
        <v>10826</v>
      </c>
      <c r="AD2667" t="s">
        <v>10827</v>
      </c>
      <c r="AE2667" t="s">
        <v>10828</v>
      </c>
      <c r="AF2667" t="s">
        <v>10829</v>
      </c>
      <c r="AG2667" t="s">
        <v>3903</v>
      </c>
      <c r="AH2667" t="s">
        <v>3902</v>
      </c>
      <c r="AI2667" t="s">
        <v>3902</v>
      </c>
      <c r="AJ2667" t="s">
        <v>4006</v>
      </c>
      <c r="AK2667">
        <v>1</v>
      </c>
      <c r="AL2667" t="s">
        <v>11130</v>
      </c>
      <c r="AM2667" t="s">
        <v>11026</v>
      </c>
      <c r="AN2667" t="s">
        <v>11131</v>
      </c>
      <c r="AO2667" t="s">
        <v>66</v>
      </c>
      <c r="AP2667">
        <v>1</v>
      </c>
      <c r="AQ2667" t="s">
        <v>11027</v>
      </c>
      <c r="AR2667" t="s">
        <v>11028</v>
      </c>
      <c r="AS2667" t="s">
        <v>11029</v>
      </c>
      <c r="AT2667" t="s">
        <v>66</v>
      </c>
    </row>
    <row r="2668" spans="1:46" x14ac:dyDescent="0.15">
      <c r="A2668" t="s">
        <v>11267</v>
      </c>
      <c r="B2668" t="s">
        <v>10820</v>
      </c>
      <c r="C2668" t="s">
        <v>10821</v>
      </c>
      <c r="D2668">
        <v>88</v>
      </c>
      <c r="E2668" t="s">
        <v>10822</v>
      </c>
      <c r="F2668" t="s">
        <v>3083</v>
      </c>
      <c r="G2668" t="s">
        <v>51</v>
      </c>
      <c r="H2668" t="s">
        <v>10823</v>
      </c>
      <c r="I2668" t="s">
        <v>53</v>
      </c>
      <c r="J2668" t="s">
        <v>54</v>
      </c>
      <c r="K2668" t="s">
        <v>55</v>
      </c>
      <c r="L2668" t="s">
        <v>19</v>
      </c>
      <c r="M2668" t="s">
        <v>17</v>
      </c>
      <c r="N2668">
        <v>5383</v>
      </c>
      <c r="O2668">
        <v>314</v>
      </c>
      <c r="P2668">
        <v>0</v>
      </c>
      <c r="Q2668" t="s">
        <v>11268</v>
      </c>
      <c r="R2668" t="s">
        <v>11269</v>
      </c>
      <c r="S2668" t="s">
        <v>11270</v>
      </c>
      <c r="T2668" t="s">
        <v>11271</v>
      </c>
      <c r="U2668" t="s">
        <v>60</v>
      </c>
      <c r="V2668" t="s">
        <v>61</v>
      </c>
      <c r="W2668">
        <v>3</v>
      </c>
      <c r="X2668">
        <v>0.14000000000000001</v>
      </c>
      <c r="Y2668" t="s">
        <v>641</v>
      </c>
      <c r="Z2668" t="s">
        <v>642</v>
      </c>
      <c r="AA2668">
        <v>4</v>
      </c>
      <c r="AB2668" t="s">
        <v>10825</v>
      </c>
      <c r="AC2668" t="s">
        <v>10826</v>
      </c>
      <c r="AD2668" t="s">
        <v>10827</v>
      </c>
      <c r="AE2668" t="s">
        <v>10828</v>
      </c>
      <c r="AF2668" t="s">
        <v>10829</v>
      </c>
      <c r="AG2668" t="s">
        <v>3903</v>
      </c>
      <c r="AH2668" t="s">
        <v>3902</v>
      </c>
      <c r="AI2668" t="s">
        <v>3902</v>
      </c>
      <c r="AJ2668" t="s">
        <v>4006</v>
      </c>
      <c r="AK2668">
        <v>1</v>
      </c>
      <c r="AL2668" t="s">
        <v>11130</v>
      </c>
      <c r="AM2668" t="s">
        <v>11026</v>
      </c>
      <c r="AN2668" t="s">
        <v>11131</v>
      </c>
      <c r="AO2668" t="s">
        <v>66</v>
      </c>
      <c r="AP2668">
        <v>1</v>
      </c>
      <c r="AQ2668" t="s">
        <v>11027</v>
      </c>
      <c r="AR2668" t="s">
        <v>11028</v>
      </c>
      <c r="AS2668" t="s">
        <v>11029</v>
      </c>
      <c r="AT2668" t="s">
        <v>66</v>
      </c>
    </row>
    <row r="2669" spans="1:46" x14ac:dyDescent="0.15">
      <c r="A2669" t="s">
        <v>11272</v>
      </c>
      <c r="B2669" t="s">
        <v>10820</v>
      </c>
      <c r="C2669" t="s">
        <v>10821</v>
      </c>
      <c r="D2669">
        <v>89</v>
      </c>
      <c r="E2669" t="s">
        <v>10822</v>
      </c>
      <c r="F2669" t="s">
        <v>3083</v>
      </c>
      <c r="G2669" t="s">
        <v>51</v>
      </c>
      <c r="H2669" t="s">
        <v>10823</v>
      </c>
      <c r="I2669" t="s">
        <v>53</v>
      </c>
      <c r="J2669" t="s">
        <v>54</v>
      </c>
      <c r="K2669" t="s">
        <v>55</v>
      </c>
      <c r="L2669" t="s">
        <v>19</v>
      </c>
      <c r="M2669" t="s">
        <v>17</v>
      </c>
      <c r="N2669">
        <v>5439</v>
      </c>
      <c r="O2669">
        <v>317</v>
      </c>
      <c r="P2669">
        <v>0</v>
      </c>
      <c r="Q2669" t="s">
        <v>11273</v>
      </c>
      <c r="R2669" t="s">
        <v>11274</v>
      </c>
      <c r="S2669" t="s">
        <v>11275</v>
      </c>
      <c r="T2669" t="s">
        <v>11276</v>
      </c>
      <c r="U2669" t="s">
        <v>60</v>
      </c>
      <c r="V2669" t="s">
        <v>61</v>
      </c>
      <c r="W2669">
        <v>3</v>
      </c>
      <c r="X2669">
        <v>0.14000000000000001</v>
      </c>
      <c r="Y2669" t="s">
        <v>356</v>
      </c>
      <c r="Z2669" t="s">
        <v>648</v>
      </c>
      <c r="AA2669">
        <v>4</v>
      </c>
      <c r="AB2669" t="s">
        <v>10825</v>
      </c>
      <c r="AC2669" t="s">
        <v>10826</v>
      </c>
      <c r="AD2669" t="s">
        <v>10827</v>
      </c>
      <c r="AE2669" t="s">
        <v>10828</v>
      </c>
      <c r="AF2669" t="s">
        <v>10829</v>
      </c>
      <c r="AG2669" t="s">
        <v>3903</v>
      </c>
      <c r="AH2669" t="s">
        <v>3902</v>
      </c>
      <c r="AI2669" t="s">
        <v>3902</v>
      </c>
      <c r="AJ2669" t="s">
        <v>4006</v>
      </c>
      <c r="AK2669">
        <v>1</v>
      </c>
      <c r="AL2669" t="s">
        <v>11130</v>
      </c>
      <c r="AM2669" t="s">
        <v>11026</v>
      </c>
      <c r="AN2669" t="s">
        <v>11131</v>
      </c>
      <c r="AO2669" t="s">
        <v>66</v>
      </c>
      <c r="AP2669">
        <v>1</v>
      </c>
      <c r="AQ2669" t="s">
        <v>11027</v>
      </c>
      <c r="AR2669" t="s">
        <v>11028</v>
      </c>
      <c r="AS2669" t="s">
        <v>11029</v>
      </c>
      <c r="AT2669" t="s">
        <v>66</v>
      </c>
    </row>
    <row r="2670" spans="1:46" x14ac:dyDescent="0.15">
      <c r="A2670" t="s">
        <v>11277</v>
      </c>
      <c r="B2670" t="s">
        <v>10820</v>
      </c>
      <c r="C2670" t="s">
        <v>10821</v>
      </c>
      <c r="D2670">
        <v>90</v>
      </c>
      <c r="E2670" t="s">
        <v>10822</v>
      </c>
      <c r="F2670" t="s">
        <v>3083</v>
      </c>
      <c r="G2670" t="s">
        <v>51</v>
      </c>
      <c r="H2670" t="s">
        <v>10823</v>
      </c>
      <c r="I2670" t="s">
        <v>53</v>
      </c>
      <c r="J2670" t="s">
        <v>54</v>
      </c>
      <c r="K2670" t="s">
        <v>55</v>
      </c>
      <c r="L2670" t="s">
        <v>19</v>
      </c>
      <c r="M2670" t="s">
        <v>17</v>
      </c>
      <c r="N2670">
        <v>5495</v>
      </c>
      <c r="O2670">
        <v>321</v>
      </c>
      <c r="P2670">
        <v>0</v>
      </c>
      <c r="Q2670" t="s">
        <v>11278</v>
      </c>
      <c r="R2670" t="s">
        <v>11279</v>
      </c>
      <c r="S2670" t="s">
        <v>11280</v>
      </c>
      <c r="T2670" t="s">
        <v>11281</v>
      </c>
      <c r="U2670" t="s">
        <v>60</v>
      </c>
      <c r="V2670" t="s">
        <v>61</v>
      </c>
      <c r="W2670">
        <v>3</v>
      </c>
      <c r="X2670">
        <v>0.14000000000000001</v>
      </c>
      <c r="Y2670" t="s">
        <v>654</v>
      </c>
      <c r="Z2670" t="s">
        <v>655</v>
      </c>
      <c r="AA2670">
        <v>4</v>
      </c>
      <c r="AB2670" t="s">
        <v>10825</v>
      </c>
      <c r="AC2670" t="s">
        <v>10826</v>
      </c>
      <c r="AD2670" t="s">
        <v>10827</v>
      </c>
      <c r="AE2670" t="s">
        <v>10828</v>
      </c>
      <c r="AF2670" t="s">
        <v>10829</v>
      </c>
      <c r="AG2670" t="s">
        <v>3903</v>
      </c>
      <c r="AH2670" t="s">
        <v>3902</v>
      </c>
      <c r="AI2670" t="s">
        <v>3902</v>
      </c>
      <c r="AJ2670" t="s">
        <v>4006</v>
      </c>
      <c r="AK2670">
        <v>1</v>
      </c>
      <c r="AL2670" t="s">
        <v>11130</v>
      </c>
      <c r="AM2670" t="s">
        <v>11026</v>
      </c>
      <c r="AN2670" t="s">
        <v>11131</v>
      </c>
      <c r="AO2670" t="s">
        <v>66</v>
      </c>
      <c r="AP2670">
        <v>1</v>
      </c>
      <c r="AQ2670" t="s">
        <v>11027</v>
      </c>
      <c r="AR2670" t="s">
        <v>11028</v>
      </c>
      <c r="AS2670" t="s">
        <v>11029</v>
      </c>
      <c r="AT2670" t="s">
        <v>66</v>
      </c>
    </row>
    <row r="2671" spans="1:46" x14ac:dyDescent="0.15">
      <c r="A2671" t="s">
        <v>11282</v>
      </c>
      <c r="B2671" t="s">
        <v>10820</v>
      </c>
      <c r="C2671" t="s">
        <v>10821</v>
      </c>
      <c r="D2671">
        <v>91</v>
      </c>
      <c r="E2671" t="s">
        <v>10822</v>
      </c>
      <c r="F2671" t="s">
        <v>3083</v>
      </c>
      <c r="G2671" t="s">
        <v>51</v>
      </c>
      <c r="H2671" t="s">
        <v>10823</v>
      </c>
      <c r="I2671" t="s">
        <v>53</v>
      </c>
      <c r="J2671" t="s">
        <v>54</v>
      </c>
      <c r="K2671" t="s">
        <v>55</v>
      </c>
      <c r="L2671" t="s">
        <v>19</v>
      </c>
      <c r="M2671" t="s">
        <v>17</v>
      </c>
      <c r="N2671">
        <v>5551</v>
      </c>
      <c r="O2671">
        <v>324</v>
      </c>
      <c r="P2671">
        <v>0</v>
      </c>
      <c r="Q2671" t="s">
        <v>11283</v>
      </c>
      <c r="R2671" t="s">
        <v>11284</v>
      </c>
      <c r="S2671" t="s">
        <v>11285</v>
      </c>
      <c r="T2671" t="s">
        <v>11286</v>
      </c>
      <c r="U2671" t="s">
        <v>60</v>
      </c>
      <c r="V2671" t="s">
        <v>61</v>
      </c>
      <c r="W2671">
        <v>3</v>
      </c>
      <c r="X2671">
        <v>0.14000000000000001</v>
      </c>
      <c r="Y2671" t="s">
        <v>363</v>
      </c>
      <c r="Z2671" t="s">
        <v>661</v>
      </c>
      <c r="AA2671">
        <v>4</v>
      </c>
      <c r="AB2671" t="s">
        <v>10825</v>
      </c>
      <c r="AC2671" t="s">
        <v>10826</v>
      </c>
      <c r="AD2671" t="s">
        <v>10827</v>
      </c>
      <c r="AE2671" t="s">
        <v>10828</v>
      </c>
      <c r="AF2671" t="s">
        <v>10829</v>
      </c>
      <c r="AG2671" t="s">
        <v>3903</v>
      </c>
      <c r="AH2671" t="s">
        <v>3902</v>
      </c>
      <c r="AI2671" t="s">
        <v>3902</v>
      </c>
      <c r="AJ2671" t="s">
        <v>4006</v>
      </c>
      <c r="AK2671">
        <v>1</v>
      </c>
      <c r="AL2671" t="s">
        <v>11130</v>
      </c>
      <c r="AM2671" t="s">
        <v>11026</v>
      </c>
      <c r="AN2671" t="s">
        <v>11131</v>
      </c>
      <c r="AO2671" t="s">
        <v>66</v>
      </c>
      <c r="AP2671">
        <v>1</v>
      </c>
      <c r="AQ2671" t="s">
        <v>11027</v>
      </c>
      <c r="AR2671" t="s">
        <v>11028</v>
      </c>
      <c r="AS2671" t="s">
        <v>11029</v>
      </c>
      <c r="AT2671" t="s">
        <v>66</v>
      </c>
    </row>
    <row r="2672" spans="1:46" x14ac:dyDescent="0.15">
      <c r="A2672" t="s">
        <v>11287</v>
      </c>
      <c r="B2672" t="s">
        <v>10820</v>
      </c>
      <c r="C2672" t="s">
        <v>10821</v>
      </c>
      <c r="D2672">
        <v>92</v>
      </c>
      <c r="E2672" t="s">
        <v>10822</v>
      </c>
      <c r="F2672" t="s">
        <v>3083</v>
      </c>
      <c r="G2672" t="s">
        <v>51</v>
      </c>
      <c r="H2672" t="s">
        <v>10823</v>
      </c>
      <c r="I2672" t="s">
        <v>53</v>
      </c>
      <c r="J2672" t="s">
        <v>54</v>
      </c>
      <c r="K2672" t="s">
        <v>55</v>
      </c>
      <c r="L2672" t="s">
        <v>19</v>
      </c>
      <c r="M2672" t="s">
        <v>17</v>
      </c>
      <c r="N2672">
        <v>5607</v>
      </c>
      <c r="O2672">
        <v>327</v>
      </c>
      <c r="P2672">
        <v>0</v>
      </c>
      <c r="Q2672" t="s">
        <v>11288</v>
      </c>
      <c r="R2672" t="s">
        <v>11289</v>
      </c>
      <c r="S2672" t="s">
        <v>11290</v>
      </c>
      <c r="T2672" t="s">
        <v>11291</v>
      </c>
      <c r="U2672" t="s">
        <v>60</v>
      </c>
      <c r="V2672" t="s">
        <v>61</v>
      </c>
      <c r="W2672">
        <v>3</v>
      </c>
      <c r="X2672">
        <v>0.14000000000000001</v>
      </c>
      <c r="Y2672" t="s">
        <v>667</v>
      </c>
      <c r="Z2672" t="s">
        <v>668</v>
      </c>
      <c r="AA2672">
        <v>4</v>
      </c>
      <c r="AB2672" t="s">
        <v>10825</v>
      </c>
      <c r="AC2672" t="s">
        <v>10826</v>
      </c>
      <c r="AD2672" t="s">
        <v>10827</v>
      </c>
      <c r="AE2672" t="s">
        <v>10828</v>
      </c>
      <c r="AF2672" t="s">
        <v>10829</v>
      </c>
      <c r="AG2672" t="s">
        <v>3903</v>
      </c>
      <c r="AH2672" t="s">
        <v>3902</v>
      </c>
      <c r="AI2672" t="s">
        <v>3902</v>
      </c>
      <c r="AJ2672" t="s">
        <v>4006</v>
      </c>
      <c r="AK2672">
        <v>1</v>
      </c>
      <c r="AL2672" t="s">
        <v>11130</v>
      </c>
      <c r="AM2672" t="s">
        <v>11026</v>
      </c>
      <c r="AN2672" t="s">
        <v>11131</v>
      </c>
      <c r="AO2672" t="s">
        <v>66</v>
      </c>
      <c r="AP2672">
        <v>1</v>
      </c>
      <c r="AQ2672" t="s">
        <v>11027</v>
      </c>
      <c r="AR2672" t="s">
        <v>11028</v>
      </c>
      <c r="AS2672" t="s">
        <v>11029</v>
      </c>
      <c r="AT2672" t="s">
        <v>66</v>
      </c>
    </row>
    <row r="2673" spans="1:46" x14ac:dyDescent="0.15">
      <c r="A2673" t="s">
        <v>11292</v>
      </c>
      <c r="B2673" t="s">
        <v>10820</v>
      </c>
      <c r="C2673" t="s">
        <v>10821</v>
      </c>
      <c r="D2673">
        <v>93</v>
      </c>
      <c r="E2673" t="s">
        <v>10822</v>
      </c>
      <c r="F2673" t="s">
        <v>3083</v>
      </c>
      <c r="G2673" t="s">
        <v>51</v>
      </c>
      <c r="H2673" t="s">
        <v>10823</v>
      </c>
      <c r="I2673" t="s">
        <v>53</v>
      </c>
      <c r="J2673" t="s">
        <v>54</v>
      </c>
      <c r="K2673" t="s">
        <v>55</v>
      </c>
      <c r="L2673" t="s">
        <v>19</v>
      </c>
      <c r="M2673" t="s">
        <v>17</v>
      </c>
      <c r="N2673">
        <v>5663</v>
      </c>
      <c r="O2673">
        <v>330</v>
      </c>
      <c r="P2673">
        <v>0</v>
      </c>
      <c r="Q2673" t="s">
        <v>11293</v>
      </c>
      <c r="R2673" t="s">
        <v>11294</v>
      </c>
      <c r="S2673" t="s">
        <v>11295</v>
      </c>
      <c r="T2673" t="s">
        <v>11296</v>
      </c>
      <c r="U2673" t="s">
        <v>60</v>
      </c>
      <c r="V2673" t="s">
        <v>61</v>
      </c>
      <c r="W2673">
        <v>3</v>
      </c>
      <c r="X2673">
        <v>0.14000000000000001</v>
      </c>
      <c r="Y2673" t="s">
        <v>369</v>
      </c>
      <c r="Z2673" t="s">
        <v>674</v>
      </c>
      <c r="AA2673">
        <v>4</v>
      </c>
      <c r="AB2673" t="s">
        <v>10825</v>
      </c>
      <c r="AC2673" t="s">
        <v>10826</v>
      </c>
      <c r="AD2673" t="s">
        <v>10827</v>
      </c>
      <c r="AE2673" t="s">
        <v>10828</v>
      </c>
      <c r="AF2673" t="s">
        <v>10829</v>
      </c>
      <c r="AG2673" t="s">
        <v>3903</v>
      </c>
      <c r="AH2673" t="s">
        <v>3902</v>
      </c>
      <c r="AI2673" t="s">
        <v>3902</v>
      </c>
      <c r="AJ2673" t="s">
        <v>4006</v>
      </c>
      <c r="AK2673">
        <v>1</v>
      </c>
      <c r="AL2673" t="s">
        <v>11130</v>
      </c>
      <c r="AM2673" t="s">
        <v>11026</v>
      </c>
      <c r="AN2673" t="s">
        <v>11131</v>
      </c>
      <c r="AO2673" t="s">
        <v>66</v>
      </c>
      <c r="AP2673">
        <v>1</v>
      </c>
      <c r="AQ2673" t="s">
        <v>11027</v>
      </c>
      <c r="AR2673" t="s">
        <v>11028</v>
      </c>
      <c r="AS2673" t="s">
        <v>11029</v>
      </c>
      <c r="AT2673" t="s">
        <v>66</v>
      </c>
    </row>
    <row r="2674" spans="1:46" x14ac:dyDescent="0.15">
      <c r="A2674" t="s">
        <v>11297</v>
      </c>
      <c r="B2674" t="s">
        <v>10820</v>
      </c>
      <c r="C2674" t="s">
        <v>10821</v>
      </c>
      <c r="D2674">
        <v>94</v>
      </c>
      <c r="E2674" t="s">
        <v>10822</v>
      </c>
      <c r="F2674" t="s">
        <v>3083</v>
      </c>
      <c r="G2674" t="s">
        <v>51</v>
      </c>
      <c r="H2674" t="s">
        <v>10823</v>
      </c>
      <c r="I2674" t="s">
        <v>53</v>
      </c>
      <c r="J2674" t="s">
        <v>54</v>
      </c>
      <c r="K2674" t="s">
        <v>55</v>
      </c>
      <c r="L2674" t="s">
        <v>19</v>
      </c>
      <c r="M2674" t="s">
        <v>17</v>
      </c>
      <c r="N2674">
        <v>5719</v>
      </c>
      <c r="O2674">
        <v>334</v>
      </c>
      <c r="P2674">
        <v>0</v>
      </c>
      <c r="Q2674" t="s">
        <v>11298</v>
      </c>
      <c r="R2674" t="s">
        <v>11299</v>
      </c>
      <c r="S2674" t="s">
        <v>11300</v>
      </c>
      <c r="T2674" t="s">
        <v>11301</v>
      </c>
      <c r="U2674" t="s">
        <v>60</v>
      </c>
      <c r="V2674" t="s">
        <v>61</v>
      </c>
      <c r="W2674">
        <v>3</v>
      </c>
      <c r="X2674">
        <v>0.14000000000000001</v>
      </c>
      <c r="Y2674" t="s">
        <v>680</v>
      </c>
      <c r="Z2674" t="s">
        <v>681</v>
      </c>
      <c r="AA2674">
        <v>4</v>
      </c>
      <c r="AB2674" t="s">
        <v>10825</v>
      </c>
      <c r="AC2674" t="s">
        <v>10826</v>
      </c>
      <c r="AD2674" t="s">
        <v>10827</v>
      </c>
      <c r="AE2674" t="s">
        <v>10828</v>
      </c>
      <c r="AF2674" t="s">
        <v>10829</v>
      </c>
      <c r="AG2674" t="s">
        <v>3903</v>
      </c>
      <c r="AH2674" t="s">
        <v>3902</v>
      </c>
      <c r="AI2674" t="s">
        <v>3902</v>
      </c>
      <c r="AJ2674" t="s">
        <v>4006</v>
      </c>
      <c r="AK2674">
        <v>1</v>
      </c>
      <c r="AL2674" t="s">
        <v>11130</v>
      </c>
      <c r="AM2674" t="s">
        <v>11026</v>
      </c>
      <c r="AN2674" t="s">
        <v>11131</v>
      </c>
      <c r="AO2674" t="s">
        <v>66</v>
      </c>
      <c r="AP2674">
        <v>1</v>
      </c>
      <c r="AQ2674" t="s">
        <v>11027</v>
      </c>
      <c r="AR2674" t="s">
        <v>11028</v>
      </c>
      <c r="AS2674" t="s">
        <v>11029</v>
      </c>
      <c r="AT2674" t="s">
        <v>66</v>
      </c>
    </row>
    <row r="2675" spans="1:46" x14ac:dyDescent="0.15">
      <c r="A2675" t="s">
        <v>11302</v>
      </c>
      <c r="B2675" t="s">
        <v>10820</v>
      </c>
      <c r="C2675" t="s">
        <v>10821</v>
      </c>
      <c r="D2675">
        <v>95</v>
      </c>
      <c r="E2675" t="s">
        <v>10822</v>
      </c>
      <c r="F2675" t="s">
        <v>3083</v>
      </c>
      <c r="G2675" t="s">
        <v>51</v>
      </c>
      <c r="H2675" t="s">
        <v>10823</v>
      </c>
      <c r="I2675" t="s">
        <v>53</v>
      </c>
      <c r="J2675" t="s">
        <v>54</v>
      </c>
      <c r="K2675" t="s">
        <v>55</v>
      </c>
      <c r="L2675" t="s">
        <v>19</v>
      </c>
      <c r="M2675" t="s">
        <v>17</v>
      </c>
      <c r="N2675">
        <v>5776</v>
      </c>
      <c r="O2675">
        <v>337</v>
      </c>
      <c r="P2675">
        <v>0</v>
      </c>
      <c r="Q2675" t="s">
        <v>11303</v>
      </c>
      <c r="R2675" t="s">
        <v>11304</v>
      </c>
      <c r="S2675" t="s">
        <v>11305</v>
      </c>
      <c r="T2675" t="s">
        <v>11306</v>
      </c>
      <c r="U2675" t="s">
        <v>60</v>
      </c>
      <c r="V2675" t="s">
        <v>61</v>
      </c>
      <c r="W2675">
        <v>3</v>
      </c>
      <c r="X2675">
        <v>0.14000000000000001</v>
      </c>
      <c r="Y2675" t="s">
        <v>376</v>
      </c>
      <c r="Z2675" t="s">
        <v>687</v>
      </c>
      <c r="AA2675">
        <v>4</v>
      </c>
      <c r="AB2675" t="s">
        <v>10825</v>
      </c>
      <c r="AC2675" t="s">
        <v>10826</v>
      </c>
      <c r="AD2675" t="s">
        <v>10827</v>
      </c>
      <c r="AE2675" t="s">
        <v>10828</v>
      </c>
      <c r="AF2675" t="s">
        <v>10829</v>
      </c>
      <c r="AG2675" t="s">
        <v>3903</v>
      </c>
      <c r="AH2675" t="s">
        <v>3902</v>
      </c>
      <c r="AI2675" t="s">
        <v>3902</v>
      </c>
      <c r="AJ2675" t="s">
        <v>4006</v>
      </c>
      <c r="AK2675">
        <v>1</v>
      </c>
      <c r="AL2675" t="s">
        <v>11130</v>
      </c>
      <c r="AM2675" t="s">
        <v>11026</v>
      </c>
      <c r="AN2675" t="s">
        <v>11131</v>
      </c>
      <c r="AO2675" t="s">
        <v>66</v>
      </c>
      <c r="AP2675">
        <v>1</v>
      </c>
      <c r="AQ2675" t="s">
        <v>11027</v>
      </c>
      <c r="AR2675" t="s">
        <v>11028</v>
      </c>
      <c r="AS2675" t="s">
        <v>11029</v>
      </c>
      <c r="AT2675" t="s">
        <v>66</v>
      </c>
    </row>
    <row r="2676" spans="1:46" x14ac:dyDescent="0.15">
      <c r="A2676" t="s">
        <v>11307</v>
      </c>
      <c r="B2676" t="s">
        <v>10820</v>
      </c>
      <c r="C2676" t="s">
        <v>10821</v>
      </c>
      <c r="D2676">
        <v>96</v>
      </c>
      <c r="E2676" t="s">
        <v>10822</v>
      </c>
      <c r="F2676" t="s">
        <v>3083</v>
      </c>
      <c r="G2676" t="s">
        <v>51</v>
      </c>
      <c r="H2676" t="s">
        <v>10823</v>
      </c>
      <c r="I2676" t="s">
        <v>53</v>
      </c>
      <c r="J2676" t="s">
        <v>54</v>
      </c>
      <c r="K2676" t="s">
        <v>55</v>
      </c>
      <c r="L2676" t="s">
        <v>19</v>
      </c>
      <c r="M2676" t="s">
        <v>17</v>
      </c>
      <c r="N2676">
        <v>5832</v>
      </c>
      <c r="O2676">
        <v>340</v>
      </c>
      <c r="P2676">
        <v>0</v>
      </c>
      <c r="Q2676" t="s">
        <v>11308</v>
      </c>
      <c r="R2676" t="s">
        <v>11309</v>
      </c>
      <c r="S2676" t="s">
        <v>11310</v>
      </c>
      <c r="T2676" t="s">
        <v>11311</v>
      </c>
      <c r="U2676" t="s">
        <v>60</v>
      </c>
      <c r="V2676" t="s">
        <v>61</v>
      </c>
      <c r="W2676">
        <v>3</v>
      </c>
      <c r="X2676">
        <v>0.14000000000000001</v>
      </c>
      <c r="Y2676" t="s">
        <v>693</v>
      </c>
      <c r="Z2676" t="s">
        <v>694</v>
      </c>
      <c r="AA2676">
        <v>4</v>
      </c>
      <c r="AB2676" t="s">
        <v>10825</v>
      </c>
      <c r="AC2676" t="s">
        <v>10826</v>
      </c>
      <c r="AD2676" t="s">
        <v>10827</v>
      </c>
      <c r="AE2676" t="s">
        <v>10828</v>
      </c>
      <c r="AF2676" t="s">
        <v>10829</v>
      </c>
      <c r="AG2676" t="s">
        <v>3903</v>
      </c>
      <c r="AH2676" t="s">
        <v>3902</v>
      </c>
      <c r="AI2676" t="s">
        <v>3902</v>
      </c>
      <c r="AJ2676" t="s">
        <v>4006</v>
      </c>
      <c r="AK2676">
        <v>1</v>
      </c>
      <c r="AL2676" t="s">
        <v>11130</v>
      </c>
      <c r="AM2676" t="s">
        <v>11026</v>
      </c>
      <c r="AN2676" t="s">
        <v>11131</v>
      </c>
      <c r="AO2676" t="s">
        <v>66</v>
      </c>
      <c r="AP2676">
        <v>1</v>
      </c>
      <c r="AQ2676" t="s">
        <v>11027</v>
      </c>
      <c r="AR2676" t="s">
        <v>11028</v>
      </c>
      <c r="AS2676" t="s">
        <v>11029</v>
      </c>
      <c r="AT2676" t="s">
        <v>66</v>
      </c>
    </row>
    <row r="2677" spans="1:46" x14ac:dyDescent="0.15">
      <c r="A2677" t="s">
        <v>11312</v>
      </c>
      <c r="B2677" t="s">
        <v>10820</v>
      </c>
      <c r="C2677" t="s">
        <v>10821</v>
      </c>
      <c r="D2677">
        <v>97</v>
      </c>
      <c r="E2677" t="s">
        <v>10822</v>
      </c>
      <c r="F2677" t="s">
        <v>3083</v>
      </c>
      <c r="G2677" t="s">
        <v>51</v>
      </c>
      <c r="H2677" t="s">
        <v>10823</v>
      </c>
      <c r="I2677" t="s">
        <v>53</v>
      </c>
      <c r="J2677" t="s">
        <v>54</v>
      </c>
      <c r="K2677" t="s">
        <v>55</v>
      </c>
      <c r="L2677" t="s">
        <v>19</v>
      </c>
      <c r="M2677" t="s">
        <v>17</v>
      </c>
      <c r="N2677">
        <v>5888</v>
      </c>
      <c r="O2677">
        <v>343</v>
      </c>
      <c r="P2677">
        <v>0</v>
      </c>
      <c r="Q2677" t="s">
        <v>11313</v>
      </c>
      <c r="R2677" t="s">
        <v>11314</v>
      </c>
      <c r="S2677" t="s">
        <v>11315</v>
      </c>
      <c r="T2677" t="s">
        <v>11316</v>
      </c>
      <c r="U2677" t="s">
        <v>60</v>
      </c>
      <c r="V2677" t="s">
        <v>61</v>
      </c>
      <c r="W2677">
        <v>3</v>
      </c>
      <c r="X2677">
        <v>0.14000000000000001</v>
      </c>
      <c r="Y2677" t="s">
        <v>382</v>
      </c>
      <c r="Z2677" t="s">
        <v>700</v>
      </c>
      <c r="AA2677">
        <v>4</v>
      </c>
      <c r="AB2677" t="s">
        <v>10825</v>
      </c>
      <c r="AC2677" t="s">
        <v>10826</v>
      </c>
      <c r="AD2677" t="s">
        <v>10827</v>
      </c>
      <c r="AE2677" t="s">
        <v>10828</v>
      </c>
      <c r="AF2677" t="s">
        <v>10829</v>
      </c>
      <c r="AG2677" t="s">
        <v>3903</v>
      </c>
      <c r="AH2677" t="s">
        <v>3902</v>
      </c>
      <c r="AI2677" t="s">
        <v>3902</v>
      </c>
      <c r="AJ2677" t="s">
        <v>4006</v>
      </c>
      <c r="AK2677">
        <v>1</v>
      </c>
      <c r="AL2677" t="s">
        <v>11130</v>
      </c>
      <c r="AM2677" t="s">
        <v>11026</v>
      </c>
      <c r="AN2677" t="s">
        <v>11131</v>
      </c>
      <c r="AO2677" t="s">
        <v>66</v>
      </c>
      <c r="AP2677">
        <v>1</v>
      </c>
      <c r="AQ2677" t="s">
        <v>11027</v>
      </c>
      <c r="AR2677" t="s">
        <v>11028</v>
      </c>
      <c r="AS2677" t="s">
        <v>11029</v>
      </c>
      <c r="AT2677" t="s">
        <v>66</v>
      </c>
    </row>
    <row r="2678" spans="1:46" x14ac:dyDescent="0.15">
      <c r="A2678" t="s">
        <v>11317</v>
      </c>
      <c r="B2678" t="s">
        <v>10820</v>
      </c>
      <c r="C2678" t="s">
        <v>10821</v>
      </c>
      <c r="D2678">
        <v>98</v>
      </c>
      <c r="E2678" t="s">
        <v>10822</v>
      </c>
      <c r="F2678" t="s">
        <v>3083</v>
      </c>
      <c r="G2678" t="s">
        <v>51</v>
      </c>
      <c r="H2678" t="s">
        <v>10823</v>
      </c>
      <c r="I2678" t="s">
        <v>53</v>
      </c>
      <c r="J2678" t="s">
        <v>54</v>
      </c>
      <c r="K2678" t="s">
        <v>55</v>
      </c>
      <c r="L2678" t="s">
        <v>19</v>
      </c>
      <c r="M2678" t="s">
        <v>17</v>
      </c>
      <c r="N2678">
        <v>5944</v>
      </c>
      <c r="O2678">
        <v>347</v>
      </c>
      <c r="P2678">
        <v>0</v>
      </c>
      <c r="Q2678" t="s">
        <v>11318</v>
      </c>
      <c r="R2678" t="s">
        <v>11319</v>
      </c>
      <c r="S2678" t="s">
        <v>11320</v>
      </c>
      <c r="T2678" t="s">
        <v>11321</v>
      </c>
      <c r="U2678" t="s">
        <v>60</v>
      </c>
      <c r="V2678" t="s">
        <v>61</v>
      </c>
      <c r="W2678">
        <v>3</v>
      </c>
      <c r="X2678">
        <v>0.14000000000000001</v>
      </c>
      <c r="Y2678" t="s">
        <v>706</v>
      </c>
      <c r="Z2678" t="s">
        <v>707</v>
      </c>
      <c r="AA2678">
        <v>4</v>
      </c>
      <c r="AB2678" t="s">
        <v>10825</v>
      </c>
      <c r="AC2678" t="s">
        <v>10826</v>
      </c>
      <c r="AD2678" t="s">
        <v>10827</v>
      </c>
      <c r="AE2678" t="s">
        <v>10828</v>
      </c>
      <c r="AF2678" t="s">
        <v>10829</v>
      </c>
      <c r="AG2678" t="s">
        <v>3903</v>
      </c>
      <c r="AH2678" t="s">
        <v>3902</v>
      </c>
      <c r="AI2678" t="s">
        <v>3902</v>
      </c>
      <c r="AJ2678" t="s">
        <v>4006</v>
      </c>
      <c r="AK2678">
        <v>1</v>
      </c>
      <c r="AL2678" t="s">
        <v>11130</v>
      </c>
      <c r="AM2678" t="s">
        <v>11026</v>
      </c>
      <c r="AN2678" t="s">
        <v>11131</v>
      </c>
      <c r="AO2678" t="s">
        <v>66</v>
      </c>
      <c r="AP2678">
        <v>1</v>
      </c>
      <c r="AQ2678" t="s">
        <v>11027</v>
      </c>
      <c r="AR2678" t="s">
        <v>11028</v>
      </c>
      <c r="AS2678" t="s">
        <v>11029</v>
      </c>
      <c r="AT2678" t="s">
        <v>66</v>
      </c>
    </row>
    <row r="2679" spans="1:46" x14ac:dyDescent="0.15">
      <c r="A2679" t="s">
        <v>11322</v>
      </c>
      <c r="B2679" t="s">
        <v>10820</v>
      </c>
      <c r="C2679" t="s">
        <v>10821</v>
      </c>
      <c r="D2679">
        <v>99</v>
      </c>
      <c r="E2679" t="s">
        <v>10822</v>
      </c>
      <c r="F2679" t="s">
        <v>3083</v>
      </c>
      <c r="G2679" t="s">
        <v>51</v>
      </c>
      <c r="H2679" t="s">
        <v>10823</v>
      </c>
      <c r="I2679" t="s">
        <v>53</v>
      </c>
      <c r="J2679" t="s">
        <v>54</v>
      </c>
      <c r="K2679" t="s">
        <v>55</v>
      </c>
      <c r="L2679" t="s">
        <v>19</v>
      </c>
      <c r="M2679" t="s">
        <v>17</v>
      </c>
      <c r="N2679">
        <v>6000</v>
      </c>
      <c r="O2679">
        <v>350</v>
      </c>
      <c r="P2679">
        <v>0</v>
      </c>
      <c r="Q2679" t="s">
        <v>11323</v>
      </c>
      <c r="R2679" t="s">
        <v>11324</v>
      </c>
      <c r="S2679" t="s">
        <v>711</v>
      </c>
      <c r="T2679" t="s">
        <v>11325</v>
      </c>
      <c r="U2679" t="s">
        <v>60</v>
      </c>
      <c r="V2679" t="s">
        <v>61</v>
      </c>
      <c r="W2679">
        <v>3</v>
      </c>
      <c r="X2679">
        <v>0.14000000000000001</v>
      </c>
      <c r="Y2679" t="s">
        <v>389</v>
      </c>
      <c r="Z2679" t="s">
        <v>713</v>
      </c>
      <c r="AA2679">
        <v>4</v>
      </c>
      <c r="AB2679" t="s">
        <v>10825</v>
      </c>
      <c r="AC2679" t="s">
        <v>10826</v>
      </c>
      <c r="AD2679" t="s">
        <v>10827</v>
      </c>
      <c r="AE2679" t="s">
        <v>10828</v>
      </c>
      <c r="AF2679" t="s">
        <v>10829</v>
      </c>
      <c r="AG2679" t="s">
        <v>3903</v>
      </c>
      <c r="AH2679" t="s">
        <v>3902</v>
      </c>
      <c r="AI2679" t="s">
        <v>3902</v>
      </c>
      <c r="AJ2679" t="s">
        <v>4006</v>
      </c>
      <c r="AK2679">
        <v>1</v>
      </c>
      <c r="AL2679" t="s">
        <v>11130</v>
      </c>
      <c r="AM2679" t="s">
        <v>11026</v>
      </c>
      <c r="AN2679" t="s">
        <v>11131</v>
      </c>
      <c r="AO2679" t="s">
        <v>66</v>
      </c>
      <c r="AP2679">
        <v>1</v>
      </c>
      <c r="AQ2679" t="s">
        <v>11027</v>
      </c>
      <c r="AR2679" t="s">
        <v>11028</v>
      </c>
      <c r="AS2679" t="s">
        <v>11029</v>
      </c>
      <c r="AT2679" t="s">
        <v>66</v>
      </c>
    </row>
  </sheetData>
  <phoneticPr fontId="3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27"/>
  <sheetViews>
    <sheetView tabSelected="1" workbookViewId="0">
      <pane xSplit="2" ySplit="1" topLeftCell="C2" activePane="bottomRight" state="frozen"/>
      <selection pane="topRight"/>
      <selection pane="bottomLeft"/>
      <selection pane="bottomRight"/>
    </sheetView>
  </sheetViews>
  <sheetFormatPr defaultRowHeight="13.5" x14ac:dyDescent="0.15"/>
  <cols>
    <col min="1" max="1" width="22" customWidth="1"/>
    <col min="2" max="2" width="12.125" customWidth="1"/>
    <col min="3" max="3" width="12" customWidth="1"/>
    <col min="4" max="4" width="18.75" customWidth="1"/>
    <col min="5" max="5" width="12" customWidth="1"/>
    <col min="6" max="7" width="24.25" customWidth="1"/>
    <col min="8" max="8" width="12" customWidth="1"/>
    <col min="9" max="10" width="12.125" customWidth="1"/>
    <col min="11" max="15" width="12" customWidth="1"/>
    <col min="16" max="19" width="23.125" customWidth="1"/>
    <col min="20" max="20" width="12" customWidth="1"/>
    <col min="21" max="21" width="12.125" customWidth="1"/>
    <col min="22" max="23" width="16.5" customWidth="1"/>
    <col min="24" max="25" width="20.875" customWidth="1"/>
    <col min="26" max="26" width="14.25" customWidth="1"/>
    <col min="27" max="27" width="107.25" customWidth="1"/>
    <col min="28" max="28" width="118.25" customWidth="1"/>
    <col min="29" max="29" width="115" customWidth="1"/>
    <col min="30" max="30" width="76.5" customWidth="1"/>
    <col min="31" max="31" width="115.5" customWidth="1"/>
    <col min="32" max="35" width="27" customWidth="1"/>
    <col min="36" max="36" width="22" customWidth="1"/>
    <col min="37" max="37" width="260.75" customWidth="1"/>
    <col min="38" max="38" width="22" customWidth="1"/>
    <col min="39" max="39" width="193" customWidth="1"/>
  </cols>
  <sheetData>
    <row r="1" spans="1:39" ht="24.95" customHeight="1" x14ac:dyDescent="0.15">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41</v>
      </c>
      <c r="AM1" s="1" t="s">
        <v>42</v>
      </c>
    </row>
    <row r="2" spans="1:39" ht="21.95" customHeight="1" x14ac:dyDescent="0.15">
      <c r="A2" s="2" t="s">
        <v>1132</v>
      </c>
      <c r="B2" s="2" t="str">
        <f>VLOOKUP("chr_9000_endmin_90", DataSource!$A:$P, 3, FALSE)</f>
        <v>管理员</v>
      </c>
      <c r="C2" s="3">
        <v>90</v>
      </c>
      <c r="D2" s="2" t="str">
        <f>VLOOKUP($A2&amp;"_"&amp;$C2, DataSource!$A:$AT, 5, FALSE)</f>
        <v>Endministrator</v>
      </c>
      <c r="E2" s="2" t="str">
        <f>VLOOKUP($A2&amp;"_"&amp;$C2, DataSource!$A:$AT, 6, FALSE)</f>
        <v>近卫</v>
      </c>
      <c r="F2" s="2" t="str">
        <f>VLOOKUP($A2&amp;"_"&amp;$C2, DataSource!$A:$AT, 7, FALSE)</f>
        <v>ENDFIELD INDUSTRIES</v>
      </c>
      <c r="G2" s="2" t="str">
        <f>VLOOKUP($A2&amp;"_"&amp;$C2, DataSource!$A:$AT, 8, FALSE)</f>
        <v>猛击, 控制</v>
      </c>
      <c r="H2" s="2" t="str">
        <f>VLOOKUP($A2&amp;"_"&amp;$C2, DataSource!$A:$AT, 9, FALSE)</f>
        <v>6★</v>
      </c>
      <c r="I2" s="2" t="str">
        <f>VLOOKUP($A2&amp;"_"&amp;$C2, DataSource!$A:$AT, 10, FALSE)</f>
        <v>单手剑</v>
      </c>
      <c r="J2" s="2" t="str">
        <f>VLOOKUP($A2&amp;"_"&amp;$C2, DataSource!$A:$AT, 11, FALSE)</f>
        <v>物理</v>
      </c>
      <c r="K2" s="2" t="str">
        <f>VLOOKUP($A2&amp;"_"&amp;$C2, DataSource!$A:$AT, 12, FALSE)</f>
        <v>敏捷</v>
      </c>
      <c r="L2" s="2" t="str">
        <f>VLOOKUP($A2&amp;"_"&amp;$C2, DataSource!$A:$AT, 13, FALSE)</f>
        <v>力量</v>
      </c>
      <c r="M2" s="2">
        <f>VLOOKUP($A2&amp;"_"&amp;$C2, DataSource!$A:$AT, 14, FALSE)</f>
        <v>5495</v>
      </c>
      <c r="N2" s="2">
        <f>VLOOKUP($A2&amp;"_"&amp;$C2, DataSource!$A:$AT, 15, FALSE)</f>
        <v>319</v>
      </c>
      <c r="O2" s="2">
        <f>VLOOKUP($A2&amp;"_"&amp;$C2, DataSource!$A:$AT, 16, FALSE)</f>
        <v>0</v>
      </c>
      <c r="P2" s="2" t="str">
        <f>VLOOKUP($A2&amp;"_"&amp;$C2, DataSource!$A:$AT, 17, FALSE)</f>
        <v>123.70313486219221</v>
      </c>
      <c r="Q2" s="2" t="str">
        <f>VLOOKUP($A2&amp;"_"&amp;$C2, DataSource!$A:$AT, 18, FALSE)</f>
        <v>140.84536082474185</v>
      </c>
      <c r="R2" s="2" t="str">
        <f>VLOOKUP($A2&amp;"_"&amp;$C2, DataSource!$A:$AT, 19, FALSE)</f>
        <v>96.95876288659824</v>
      </c>
      <c r="S2" s="2" t="str">
        <f>VLOOKUP($A2&amp;"_"&amp;$C2, DataSource!$A:$AT, 20, FALSE)</f>
        <v>107.16494845360792</v>
      </c>
      <c r="T2" s="2" t="str">
        <f>VLOOKUP($A2&amp;"_"&amp;$C2, DataSource!$A:$AT, 21, FALSE)</f>
        <v>5.0%</v>
      </c>
      <c r="U2" s="2" t="str">
        <f>VLOOKUP($A2&amp;"_"&amp;$C2, DataSource!$A:$AT, 22, FALSE)</f>
        <v>50.0%</v>
      </c>
      <c r="V2" s="2">
        <f>VLOOKUP($A2&amp;"_"&amp;$C2, DataSource!$A:$AT, 23, FALSE)</f>
        <v>3</v>
      </c>
      <c r="W2" s="2">
        <f>VLOOKUP($A2&amp;"_"&amp;$C2, DataSource!$A:$AT, 24, FALSE)</f>
        <v>0.14000000000000001</v>
      </c>
      <c r="X2" s="2" t="str">
        <f>VLOOKUP($A2&amp;"_"&amp;$C2, DataSource!$A:$AT, 25, FALSE)</f>
        <v>1.22704081632653</v>
      </c>
      <c r="Y2" s="2" t="str">
        <f>VLOOKUP($A2&amp;"_"&amp;$C2, DataSource!$A:$AT, 26, FALSE)</f>
        <v>1.45408163265306</v>
      </c>
      <c r="Z2" s="2">
        <f>VLOOKUP($A2&amp;"_"&amp;$C2, DataSource!$A:$AT, 27, FALSE)</f>
        <v>4</v>
      </c>
      <c r="AA2" s="2" t="str">
        <f>VLOOKUP($A2&amp;"_"&amp;$C2, DataSource!$A:$AT, 28, FALSE)</f>
        <v>【最后的苏醒】战技构成序列消耗源石结晶时，返还50点技力。</v>
      </c>
      <c r="AB2" s="2" t="str">
        <f>VLOOKUP($A2&amp;"_"&amp;$C2, DataSource!$A:$AT, 29, FALSE)</f>
        <v>【权能映射】天赋本质瓦解效果加强：自身获得攻击力提升时，其他友方干员获得一半的攻击力提升效果。</v>
      </c>
      <c r="AC2" s="2" t="str">
        <f>VLOOKUP($A2&amp;"_"&amp;$C2, DataSource!$A:$AT, 30, FALSE)</f>
        <v>【？？？】？？？</v>
      </c>
      <c r="AD2" s="2" t="str">
        <f>VLOOKUP($A2&amp;"_"&amp;$C2, DataSource!$A:$AT, 31, FALSE)</f>
        <v>【？？？】？？？</v>
      </c>
      <c r="AE2" s="2" t="str">
        <f>VLOOKUP($A2&amp;"_"&amp;$C2, DataSource!$A:$AT, 32, FALSE)</f>
        <v>【？？？】？？？</v>
      </c>
      <c r="AF2" s="2" t="str">
        <f>VLOOKUP($A2&amp;"_"&amp;$C2, DataSource!$A:$AT, 33, FALSE)</f>
        <v>【游刃】干员敏捷能力值提升10。</v>
      </c>
      <c r="AG2" s="2" t="str">
        <f>VLOOKUP($A2&amp;"_"&amp;$C2, DataSource!$A:$AT, 34, FALSE)</f>
        <v>【游刃】干员敏捷能力值提升15。</v>
      </c>
      <c r="AH2" s="2" t="str">
        <f>VLOOKUP($A2&amp;"_"&amp;$C2, DataSource!$A:$AT, 35, FALSE)</f>
        <v>【游刃】干员敏捷能力值提升15。</v>
      </c>
      <c r="AI2" s="2" t="str">
        <f>VLOOKUP($A2&amp;"_"&amp;$C2, DataSource!$A:$AT, 36, FALSE)</f>
        <v>【游刃】干员敏捷能力值提升20。</v>
      </c>
      <c r="AJ2" s="3">
        <v>1</v>
      </c>
      <c r="AK2" s="2" t="str">
        <f>VLOOKUP($A2&amp;"_"&amp;$C2, DataSource!$A:$AT, 39 + AJ2 - 1, FALSE)</f>
        <v>【本质瓦解 Lv.1】当敌人附着的源石结晶被消耗后，自身攻击力+15%，持续15秒，该效果无法叠加。</v>
      </c>
      <c r="AL2" s="3">
        <v>1</v>
      </c>
      <c r="AM2" s="2" t="str">
        <f>VLOOKUP($A2&amp;"_"&amp;$C2, DataSource!$A:$AT, 44 + AL2 - 1, FALSE)</f>
        <v>【现实静滞 Lv.1】附着源石结晶的敌人受到的物理伤害+10%。</v>
      </c>
    </row>
    <row r="3" spans="1:39" ht="21.95" customHeight="1" x14ac:dyDescent="0.15">
      <c r="A3" s="4" t="s">
        <v>47</v>
      </c>
      <c r="B3" s="4" t="str">
        <f>VLOOKUP("chr_0002_endminm_90", DataSource!$A:$P, 3, FALSE)</f>
        <v>管理员(男)</v>
      </c>
      <c r="C3" s="5">
        <v>90</v>
      </c>
      <c r="D3" s="4" t="str">
        <f>VLOOKUP($A3&amp;"_"&amp;$C3, DataSource!$A:$AT, 5, FALSE)</f>
        <v>Endministrator</v>
      </c>
      <c r="E3" s="4" t="str">
        <f>VLOOKUP($A3&amp;"_"&amp;$C3, DataSource!$A:$AT, 6, FALSE)</f>
        <v>近卫</v>
      </c>
      <c r="F3" s="4" t="str">
        <f>VLOOKUP($A3&amp;"_"&amp;$C3, DataSource!$A:$AT, 7, FALSE)</f>
        <v>ENDFIELD INDUSTRIES</v>
      </c>
      <c r="G3" s="4" t="str">
        <f>VLOOKUP($A3&amp;"_"&amp;$C3, DataSource!$A:$AT, 8, FALSE)</f>
        <v>猛击, 控制</v>
      </c>
      <c r="H3" s="4" t="str">
        <f>VLOOKUP($A3&amp;"_"&amp;$C3, DataSource!$A:$AT, 9, FALSE)</f>
        <v>6★</v>
      </c>
      <c r="I3" s="4" t="str">
        <f>VLOOKUP($A3&amp;"_"&amp;$C3, DataSource!$A:$AT, 10, FALSE)</f>
        <v>单手剑</v>
      </c>
      <c r="J3" s="4" t="str">
        <f>VLOOKUP($A3&amp;"_"&amp;$C3, DataSource!$A:$AT, 11, FALSE)</f>
        <v>物理</v>
      </c>
      <c r="K3" s="4" t="str">
        <f>VLOOKUP($A3&amp;"_"&amp;$C3, DataSource!$A:$AT, 12, FALSE)</f>
        <v>敏捷</v>
      </c>
      <c r="L3" s="4" t="str">
        <f>VLOOKUP($A3&amp;"_"&amp;$C3, DataSource!$A:$AT, 13, FALSE)</f>
        <v>力量</v>
      </c>
      <c r="M3" s="4">
        <f>VLOOKUP($A3&amp;"_"&amp;$C3, DataSource!$A:$AT, 14, FALSE)</f>
        <v>5495</v>
      </c>
      <c r="N3" s="4">
        <f>VLOOKUP($A3&amp;"_"&amp;$C3, DataSource!$A:$AT, 15, FALSE)</f>
        <v>319</v>
      </c>
      <c r="O3" s="4">
        <f>VLOOKUP($A3&amp;"_"&amp;$C3, DataSource!$A:$AT, 16, FALSE)</f>
        <v>0</v>
      </c>
      <c r="P3" s="4" t="str">
        <f>VLOOKUP($A3&amp;"_"&amp;$C3, DataSource!$A:$AT, 17, FALSE)</f>
        <v>123.70313486219221</v>
      </c>
      <c r="Q3" s="4" t="str">
        <f>VLOOKUP($A3&amp;"_"&amp;$C3, DataSource!$A:$AT, 18, FALSE)</f>
        <v>140.84536082474185</v>
      </c>
      <c r="R3" s="4" t="str">
        <f>VLOOKUP($A3&amp;"_"&amp;$C3, DataSource!$A:$AT, 19, FALSE)</f>
        <v>96.95876288659824</v>
      </c>
      <c r="S3" s="4" t="str">
        <f>VLOOKUP($A3&amp;"_"&amp;$C3, DataSource!$A:$AT, 20, FALSE)</f>
        <v>107.16494845360792</v>
      </c>
      <c r="T3" s="4" t="str">
        <f>VLOOKUP($A3&amp;"_"&amp;$C3, DataSource!$A:$AT, 21, FALSE)</f>
        <v>5.0%</v>
      </c>
      <c r="U3" s="4" t="str">
        <f>VLOOKUP($A3&amp;"_"&amp;$C3, DataSource!$A:$AT, 22, FALSE)</f>
        <v>50.0%</v>
      </c>
      <c r="V3" s="4">
        <f>VLOOKUP($A3&amp;"_"&amp;$C3, DataSource!$A:$AT, 23, FALSE)</f>
        <v>3</v>
      </c>
      <c r="W3" s="4">
        <f>VLOOKUP($A3&amp;"_"&amp;$C3, DataSource!$A:$AT, 24, FALSE)</f>
        <v>0.14000000000000001</v>
      </c>
      <c r="X3" s="4" t="str">
        <f>VLOOKUP($A3&amp;"_"&amp;$C3, DataSource!$A:$AT, 25, FALSE)</f>
        <v>1.22704081632653</v>
      </c>
      <c r="Y3" s="4" t="str">
        <f>VLOOKUP($A3&amp;"_"&amp;$C3, DataSource!$A:$AT, 26, FALSE)</f>
        <v>1.45408163265306</v>
      </c>
      <c r="Z3" s="4">
        <f>VLOOKUP($A3&amp;"_"&amp;$C3, DataSource!$A:$AT, 27, FALSE)</f>
        <v>4</v>
      </c>
      <c r="AA3" s="4" t="str">
        <f>VLOOKUP($A3&amp;"_"&amp;$C3, DataSource!$A:$AT, 28, FALSE)</f>
        <v>【最后的苏醒】战技构成序列消耗源石结晶时，返还50点技力。</v>
      </c>
      <c r="AB3" s="4" t="str">
        <f>VLOOKUP($A3&amp;"_"&amp;$C3, DataSource!$A:$AT, 29, FALSE)</f>
        <v>【权能映射】天赋本质瓦解效果加强：自身获得攻击力提升时，其他友方干员获得一半的攻击力提升效果。</v>
      </c>
      <c r="AC3" s="4" t="str">
        <f>VLOOKUP($A3&amp;"_"&amp;$C3, DataSource!$A:$AT, 30, FALSE)</f>
        <v>【？？？】？？？</v>
      </c>
      <c r="AD3" s="4" t="str">
        <f>VLOOKUP($A3&amp;"_"&amp;$C3, DataSource!$A:$AT, 31, FALSE)</f>
        <v>【？？？】？？？</v>
      </c>
      <c r="AE3" s="4" t="str">
        <f>VLOOKUP($A3&amp;"_"&amp;$C3, DataSource!$A:$AT, 32, FALSE)</f>
        <v>【？？？】？？？</v>
      </c>
      <c r="AF3" s="4" t="str">
        <f>VLOOKUP($A3&amp;"_"&amp;$C3, DataSource!$A:$AT, 33, FALSE)</f>
        <v>【游刃】干员敏捷能力值提升10。</v>
      </c>
      <c r="AG3" s="4" t="str">
        <f>VLOOKUP($A3&amp;"_"&amp;$C3, DataSource!$A:$AT, 34, FALSE)</f>
        <v>【游刃】干员敏捷能力值提升15。</v>
      </c>
      <c r="AH3" s="4" t="str">
        <f>VLOOKUP($A3&amp;"_"&amp;$C3, DataSource!$A:$AT, 35, FALSE)</f>
        <v>【游刃】干员敏捷能力值提升15。</v>
      </c>
      <c r="AI3" s="4" t="str">
        <f>VLOOKUP($A3&amp;"_"&amp;$C3, DataSource!$A:$AT, 36, FALSE)</f>
        <v>【游刃】干员敏捷能力值提升20。</v>
      </c>
      <c r="AJ3" s="5">
        <v>1</v>
      </c>
      <c r="AK3" s="4" t="str">
        <f>VLOOKUP($A3&amp;"_"&amp;$C3, DataSource!$A:$AT, 39 + AJ3 - 1, FALSE)</f>
        <v>【本质瓦解 Lv.1】当敌人附着的源石结晶被消耗后，自身攻击力+15%，持续15秒，该效果无法叠加。</v>
      </c>
      <c r="AL3" s="5">
        <v>1</v>
      </c>
      <c r="AM3" s="4" t="str">
        <f>VLOOKUP($A3&amp;"_"&amp;$C3, DataSource!$A:$AT, 44 + AL3 - 1, FALSE)</f>
        <v>【现实静滞 Lv.1】附着源石结晶的敌人受到的物理伤害+10%。</v>
      </c>
    </row>
    <row r="4" spans="1:39" ht="21.95" customHeight="1" x14ac:dyDescent="0.15">
      <c r="A4" s="2" t="s">
        <v>1233</v>
      </c>
      <c r="B4" s="2" t="str">
        <f>VLOOKUP("chr_0003_endminf_90", DataSource!$A:$P, 3, FALSE)</f>
        <v>管理员(女)</v>
      </c>
      <c r="C4" s="3">
        <v>90</v>
      </c>
      <c r="D4" s="2" t="str">
        <f>VLOOKUP($A4&amp;"_"&amp;$C4, DataSource!$A:$AT, 5, FALSE)</f>
        <v>Endministrator</v>
      </c>
      <c r="E4" s="2" t="str">
        <f>VLOOKUP($A4&amp;"_"&amp;$C4, DataSource!$A:$AT, 6, FALSE)</f>
        <v>近卫</v>
      </c>
      <c r="F4" s="2" t="str">
        <f>VLOOKUP($A4&amp;"_"&amp;$C4, DataSource!$A:$AT, 7, FALSE)</f>
        <v>ENDFIELD INDUSTRIES</v>
      </c>
      <c r="G4" s="2" t="str">
        <f>VLOOKUP($A4&amp;"_"&amp;$C4, DataSource!$A:$AT, 8, FALSE)</f>
        <v>猛击, 控制</v>
      </c>
      <c r="H4" s="2" t="str">
        <f>VLOOKUP($A4&amp;"_"&amp;$C4, DataSource!$A:$AT, 9, FALSE)</f>
        <v>6★</v>
      </c>
      <c r="I4" s="2" t="str">
        <f>VLOOKUP($A4&amp;"_"&amp;$C4, DataSource!$A:$AT, 10, FALSE)</f>
        <v>单手剑</v>
      </c>
      <c r="J4" s="2" t="str">
        <f>VLOOKUP($A4&amp;"_"&amp;$C4, DataSource!$A:$AT, 11, FALSE)</f>
        <v>物理</v>
      </c>
      <c r="K4" s="2" t="str">
        <f>VLOOKUP($A4&amp;"_"&amp;$C4, DataSource!$A:$AT, 12, FALSE)</f>
        <v>敏捷</v>
      </c>
      <c r="L4" s="2" t="str">
        <f>VLOOKUP($A4&amp;"_"&amp;$C4, DataSource!$A:$AT, 13, FALSE)</f>
        <v>力量</v>
      </c>
      <c r="M4" s="2">
        <f>VLOOKUP($A4&amp;"_"&amp;$C4, DataSource!$A:$AT, 14, FALSE)</f>
        <v>5495</v>
      </c>
      <c r="N4" s="2">
        <f>VLOOKUP($A4&amp;"_"&amp;$C4, DataSource!$A:$AT, 15, FALSE)</f>
        <v>319</v>
      </c>
      <c r="O4" s="2">
        <f>VLOOKUP($A4&amp;"_"&amp;$C4, DataSource!$A:$AT, 16, FALSE)</f>
        <v>0</v>
      </c>
      <c r="P4" s="2" t="str">
        <f>VLOOKUP($A4&amp;"_"&amp;$C4, DataSource!$A:$AT, 17, FALSE)</f>
        <v>123.70313486219221</v>
      </c>
      <c r="Q4" s="2" t="str">
        <f>VLOOKUP($A4&amp;"_"&amp;$C4, DataSource!$A:$AT, 18, FALSE)</f>
        <v>140.84536082474185</v>
      </c>
      <c r="R4" s="2" t="str">
        <f>VLOOKUP($A4&amp;"_"&amp;$C4, DataSource!$A:$AT, 19, FALSE)</f>
        <v>96.95876288659824</v>
      </c>
      <c r="S4" s="2" t="str">
        <f>VLOOKUP($A4&amp;"_"&amp;$C4, DataSource!$A:$AT, 20, FALSE)</f>
        <v>107.16494845360792</v>
      </c>
      <c r="T4" s="2" t="str">
        <f>VLOOKUP($A4&amp;"_"&amp;$C4, DataSource!$A:$AT, 21, FALSE)</f>
        <v>5.0%</v>
      </c>
      <c r="U4" s="2" t="str">
        <f>VLOOKUP($A4&amp;"_"&amp;$C4, DataSource!$A:$AT, 22, FALSE)</f>
        <v>50.0%</v>
      </c>
      <c r="V4" s="2">
        <f>VLOOKUP($A4&amp;"_"&amp;$C4, DataSource!$A:$AT, 23, FALSE)</f>
        <v>3</v>
      </c>
      <c r="W4" s="2">
        <f>VLOOKUP($A4&amp;"_"&amp;$C4, DataSource!$A:$AT, 24, FALSE)</f>
        <v>0.14000000000000001</v>
      </c>
      <c r="X4" s="2" t="str">
        <f>VLOOKUP($A4&amp;"_"&amp;$C4, DataSource!$A:$AT, 25, FALSE)</f>
        <v>1.22704081632653</v>
      </c>
      <c r="Y4" s="2" t="str">
        <f>VLOOKUP($A4&amp;"_"&amp;$C4, DataSource!$A:$AT, 26, FALSE)</f>
        <v>1.45408163265306</v>
      </c>
      <c r="Z4" s="2">
        <f>VLOOKUP($A4&amp;"_"&amp;$C4, DataSource!$A:$AT, 27, FALSE)</f>
        <v>4</v>
      </c>
      <c r="AA4" s="2" t="str">
        <f>VLOOKUP($A4&amp;"_"&amp;$C4, DataSource!$A:$AT, 28, FALSE)</f>
        <v>【最后的苏醒】战技构成序列消耗源石结晶时，返还50点技力。</v>
      </c>
      <c r="AB4" s="2" t="str">
        <f>VLOOKUP($A4&amp;"_"&amp;$C4, DataSource!$A:$AT, 29, FALSE)</f>
        <v>【权能映射】天赋本质瓦解效果加强：自身获得攻击力提升时，其他友方干员获得一半的攻击力提升效果。</v>
      </c>
      <c r="AC4" s="2" t="str">
        <f>VLOOKUP($A4&amp;"_"&amp;$C4, DataSource!$A:$AT, 30, FALSE)</f>
        <v>【？？？】？？？</v>
      </c>
      <c r="AD4" s="2" t="str">
        <f>VLOOKUP($A4&amp;"_"&amp;$C4, DataSource!$A:$AT, 31, FALSE)</f>
        <v>【？？？】？？？</v>
      </c>
      <c r="AE4" s="2" t="str">
        <f>VLOOKUP($A4&amp;"_"&amp;$C4, DataSource!$A:$AT, 32, FALSE)</f>
        <v>【？？？】？？？</v>
      </c>
      <c r="AF4" s="2" t="str">
        <f>VLOOKUP($A4&amp;"_"&amp;$C4, DataSource!$A:$AT, 33, FALSE)</f>
        <v>【游刃】干员敏捷能力值提升10。</v>
      </c>
      <c r="AG4" s="2" t="str">
        <f>VLOOKUP($A4&amp;"_"&amp;$C4, DataSource!$A:$AT, 34, FALSE)</f>
        <v>【游刃】干员敏捷能力值提升15。</v>
      </c>
      <c r="AH4" s="2" t="str">
        <f>VLOOKUP($A4&amp;"_"&amp;$C4, DataSource!$A:$AT, 35, FALSE)</f>
        <v>【游刃】干员敏捷能力值提升15。</v>
      </c>
      <c r="AI4" s="2" t="str">
        <f>VLOOKUP($A4&amp;"_"&amp;$C4, DataSource!$A:$AT, 36, FALSE)</f>
        <v>【游刃】干员敏捷能力值提升20。</v>
      </c>
      <c r="AJ4" s="3">
        <v>1</v>
      </c>
      <c r="AK4" s="2" t="str">
        <f>VLOOKUP($A4&amp;"_"&amp;$C4, DataSource!$A:$AT, 39 + AJ4 - 1, FALSE)</f>
        <v>【本质瓦解 Lv.1】当敌人附着的源石结晶被消耗后，自身攻击力+15%，持续15秒，该效果无法叠加。</v>
      </c>
      <c r="AL4" s="3">
        <v>1</v>
      </c>
      <c r="AM4" s="2" t="str">
        <f>VLOOKUP($A4&amp;"_"&amp;$C4, DataSource!$A:$AT, 44 + AL4 - 1, FALSE)</f>
        <v>【现实静滞 Lv.1】附着源石结晶的敌人受到的物理伤害+10%。</v>
      </c>
    </row>
    <row r="5" spans="1:39" ht="21.95" customHeight="1" x14ac:dyDescent="0.15">
      <c r="A5" s="4" t="s">
        <v>1548</v>
      </c>
      <c r="B5" s="4" t="str">
        <f>VLOOKUP("chr_0004_pelica_90", DataSource!$A:$P, 3, FALSE)</f>
        <v>佩丽卡</v>
      </c>
      <c r="C5" s="5">
        <v>90</v>
      </c>
      <c r="D5" s="4" t="str">
        <f>VLOOKUP($A5&amp;"_"&amp;$C5, DataSource!$A:$AT, 5, FALSE)</f>
        <v>Perlica</v>
      </c>
      <c r="E5" s="4" t="str">
        <f>VLOOKUP($A5&amp;"_"&amp;$C5, DataSource!$A:$AT, 6, FALSE)</f>
        <v>术师</v>
      </c>
      <c r="F5" s="4" t="str">
        <f>VLOOKUP($A5&amp;"_"&amp;$C5, DataSource!$A:$AT, 7, FALSE)</f>
        <v>ENDFIELD INDUSTRIES</v>
      </c>
      <c r="G5" s="4" t="str">
        <f>VLOOKUP($A5&amp;"_"&amp;$C5, DataSource!$A:$AT, 8, FALSE)</f>
        <v>电磁附着, 导电</v>
      </c>
      <c r="H5" s="4" t="str">
        <f>VLOOKUP($A5&amp;"_"&amp;$C5, DataSource!$A:$AT, 9, FALSE)</f>
        <v>5★</v>
      </c>
      <c r="I5" s="4" t="str">
        <f>VLOOKUP($A5&amp;"_"&amp;$C5, DataSource!$A:$AT, 10, FALSE)</f>
        <v>施术单元</v>
      </c>
      <c r="J5" s="4" t="str">
        <f>VLOOKUP($A5&amp;"_"&amp;$C5, DataSource!$A:$AT, 11, FALSE)</f>
        <v>电磁</v>
      </c>
      <c r="K5" s="4" t="str">
        <f>VLOOKUP($A5&amp;"_"&amp;$C5, DataSource!$A:$AT, 12, FALSE)</f>
        <v>智识</v>
      </c>
      <c r="L5" s="4" t="str">
        <f>VLOOKUP($A5&amp;"_"&amp;$C5, DataSource!$A:$AT, 13, FALSE)</f>
        <v>意志</v>
      </c>
      <c r="M5" s="4">
        <f>VLOOKUP($A5&amp;"_"&amp;$C5, DataSource!$A:$AT, 14, FALSE)</f>
        <v>5495</v>
      </c>
      <c r="N5" s="4">
        <f>VLOOKUP($A5&amp;"_"&amp;$C5, DataSource!$A:$AT, 15, FALSE)</f>
        <v>303</v>
      </c>
      <c r="O5" s="4">
        <f>VLOOKUP($A5&amp;"_"&amp;$C5, DataSource!$A:$AT, 16, FALSE)</f>
        <v>0</v>
      </c>
      <c r="P5" s="4" t="str">
        <f>VLOOKUP($A5&amp;"_"&amp;$C5, DataSource!$A:$AT, 17, FALSE)</f>
        <v>91.8556701030925</v>
      </c>
      <c r="Q5" s="4" t="str">
        <f>VLOOKUP($A5&amp;"_"&amp;$C5, DataSource!$A:$AT, 18, FALSE)</f>
        <v>93.89690721649515</v>
      </c>
      <c r="R5" s="4" t="str">
        <f>VLOOKUP($A5&amp;"_"&amp;$C5, DataSource!$A:$AT, 19, FALSE)</f>
        <v>161.6994950557542</v>
      </c>
      <c r="S5" s="4" t="str">
        <f>VLOOKUP($A5&amp;"_"&amp;$C5, DataSource!$A:$AT, 20, FALSE)</f>
        <v>113.58859667578378</v>
      </c>
      <c r="T5" s="4" t="str">
        <f>VLOOKUP($A5&amp;"_"&amp;$C5, DataSource!$A:$AT, 21, FALSE)</f>
        <v>5.0%</v>
      </c>
      <c r="U5" s="4" t="str">
        <f>VLOOKUP($A5&amp;"_"&amp;$C5, DataSource!$A:$AT, 22, FALSE)</f>
        <v>50.0%</v>
      </c>
      <c r="V5" s="4">
        <f>VLOOKUP($A5&amp;"_"&amp;$C5, DataSource!$A:$AT, 23, FALSE)</f>
        <v>10</v>
      </c>
      <c r="W5" s="4">
        <f>VLOOKUP($A5&amp;"_"&amp;$C5, DataSource!$A:$AT, 24, FALSE)</f>
        <v>0.13125000000000001</v>
      </c>
      <c r="X5" s="4" t="str">
        <f>VLOOKUP($A5&amp;"_"&amp;$C5, DataSource!$A:$AT, 25, FALSE)</f>
        <v>1.22704081632653</v>
      </c>
      <c r="Y5" s="4" t="str">
        <f>VLOOKUP($A5&amp;"_"&amp;$C5, DataSource!$A:$AT, 26, FALSE)</f>
        <v>1.45408163265306</v>
      </c>
      <c r="Z5" s="4">
        <f>VLOOKUP($A5&amp;"_"&amp;$C5, DataSource!$A:$AT, 27, FALSE)</f>
        <v>4</v>
      </c>
      <c r="AA5" s="4" t="str">
        <f>VLOOKUP($A5&amp;"_"&amp;$C5, DataSource!$A:$AT, 28, FALSE)</f>
        <v>【危机处理】连携技即时协议·闪链施加的导电持续时间+75%。</v>
      </c>
      <c r="AB5" s="4" t="str">
        <f>VLOOKUP($A5&amp;"_"&amp;$C5, DataSource!$A:$AT, 29, FALSE)</f>
        <v>【谈判策略】终结技协议ε·70.41κ所需的终结技能量-15%。</v>
      </c>
      <c r="AC5" s="4" t="str">
        <f>VLOOKUP($A5&amp;"_"&amp;$C5, DataSource!$A:$AT, 30, FALSE)</f>
        <v>【监督重任】当佩丽卡对敌人施加导电后，在5秒内攻击力+20%，该效果最多叠加2层。</v>
      </c>
      <c r="AD5" s="4" t="str">
        <f>VLOOKUP($A5&amp;"_"&amp;$C5, DataSource!$A:$AT, 31, FALSE)</f>
        <v>【长效导流】连携技即时协议·闪链施加的导电使敌人受到法术伤害提高的效果提升至原本的1.33倍。</v>
      </c>
      <c r="AE5" s="4" t="str">
        <f>VLOOKUP($A5&amp;"_"&amp;$C5, DataSource!$A:$AT, 32, FALSE)</f>
        <v>【再入控制】终结技协议ε·70.41κ的暴击率+30%。</v>
      </c>
      <c r="AF5" s="4" t="str">
        <f>VLOOKUP($A5&amp;"_"&amp;$C5, DataSource!$A:$AT, 33, FALSE)</f>
        <v>【明晰】干员智识能力值提升15。</v>
      </c>
      <c r="AG5" s="4" t="str">
        <f>VLOOKUP($A5&amp;"_"&amp;$C5, DataSource!$A:$AT, 34, FALSE)</f>
        <v>【明晰】干员智识能力值提升20。</v>
      </c>
      <c r="AH5" s="4" t="str">
        <f>VLOOKUP($A5&amp;"_"&amp;$C5, DataSource!$A:$AT, 35, FALSE)</f>
        <v>【明晰】干员智识能力值提升10。</v>
      </c>
      <c r="AI5" s="4" t="str">
        <f>VLOOKUP($A5&amp;"_"&amp;$C5, DataSource!$A:$AT, 36, FALSE)</f>
        <v>【明晰】干员智识能力值提升15。</v>
      </c>
      <c r="AJ5" s="5">
        <v>1</v>
      </c>
      <c r="AK5" s="4" t="str">
        <f>VLOOKUP($A5&amp;"_"&amp;$C5, DataSource!$A:$AT, 39 + AJ5 - 1, FALSE)</f>
        <v>【循环协议 Lv.1】连携技即时协议·闪链命中处于破防状态的敌人时，还会弹射1次。</v>
      </c>
      <c r="AL5" s="5">
        <v>1</v>
      </c>
      <c r="AM5" s="4" t="str">
        <f>VLOOKUP($A5&amp;"_"&amp;$C5, DataSource!$A:$AT, 44 + AL5 - 1, FALSE)</f>
        <v>【歼灭协议 Lv.1】对失衡的敌人造成的伤害+20%。</v>
      </c>
    </row>
    <row r="6" spans="1:39" ht="21.95" customHeight="1" x14ac:dyDescent="0.15">
      <c r="A6" s="2" t="s">
        <v>2058</v>
      </c>
      <c r="B6" s="2" t="str">
        <f>VLOOKUP("chr_0005_chen_90", DataSource!$A:$P, 3, FALSE)</f>
        <v>陈千语</v>
      </c>
      <c r="C6" s="3">
        <v>90</v>
      </c>
      <c r="D6" s="2" t="str">
        <f>VLOOKUP($A6&amp;"_"&amp;$C6, DataSource!$A:$AT, 5, FALSE)</f>
        <v>Chen Qianyu</v>
      </c>
      <c r="E6" s="2" t="str">
        <f>VLOOKUP($A6&amp;"_"&amp;$C6, DataSource!$A:$AT, 6, FALSE)</f>
        <v>近卫</v>
      </c>
      <c r="F6" s="2" t="str">
        <f>VLOOKUP($A6&amp;"_"&amp;$C6, DataSource!$A:$AT, 7, FALSE)</f>
        <v>ENDFIELD INDUSTRIES</v>
      </c>
      <c r="G6" s="2" t="str">
        <f>VLOOKUP($A6&amp;"_"&amp;$C6, DataSource!$A:$AT, 8, FALSE)</f>
        <v>击飞, 失衡</v>
      </c>
      <c r="H6" s="2" t="str">
        <f>VLOOKUP($A6&amp;"_"&amp;$C6, DataSource!$A:$AT, 9, FALSE)</f>
        <v>5★</v>
      </c>
      <c r="I6" s="2" t="str">
        <f>VLOOKUP($A6&amp;"_"&amp;$C6, DataSource!$A:$AT, 10, FALSE)</f>
        <v>单手剑</v>
      </c>
      <c r="J6" s="2" t="str">
        <f>VLOOKUP($A6&amp;"_"&amp;$C6, DataSource!$A:$AT, 11, FALSE)</f>
        <v>物理</v>
      </c>
      <c r="K6" s="2" t="str">
        <f>VLOOKUP($A6&amp;"_"&amp;$C6, DataSource!$A:$AT, 12, FALSE)</f>
        <v>敏捷</v>
      </c>
      <c r="L6" s="2" t="str">
        <f>VLOOKUP($A6&amp;"_"&amp;$C6, DataSource!$A:$AT, 13, FALSE)</f>
        <v>力量</v>
      </c>
      <c r="M6" s="2">
        <f>VLOOKUP($A6&amp;"_"&amp;$C6, DataSource!$A:$AT, 14, FALSE)</f>
        <v>5495</v>
      </c>
      <c r="N6" s="2">
        <f>VLOOKUP($A6&amp;"_"&amp;$C6, DataSource!$A:$AT, 15, FALSE)</f>
        <v>297</v>
      </c>
      <c r="O6" s="2">
        <f>VLOOKUP($A6&amp;"_"&amp;$C6, DataSource!$A:$AT, 16, FALSE)</f>
        <v>0</v>
      </c>
      <c r="P6" s="2" t="str">
        <f>VLOOKUP($A6&amp;"_"&amp;$C6, DataSource!$A:$AT, 17, FALSE)</f>
        <v>106.65463917525815</v>
      </c>
      <c r="Q6" s="2" t="str">
        <f>VLOOKUP($A6&amp;"_"&amp;$C6, DataSource!$A:$AT, 18, FALSE)</f>
        <v>171.7621502209135</v>
      </c>
      <c r="R6" s="2" t="str">
        <f>VLOOKUP($A6&amp;"_"&amp;$C6, DataSource!$A:$AT, 19, FALSE)</f>
        <v>85.75089417210184</v>
      </c>
      <c r="S6" s="2" t="str">
        <f>VLOOKUP($A6&amp;"_"&amp;$C6, DataSource!$A:$AT, 20, FALSE)</f>
        <v>93.9158426257104</v>
      </c>
      <c r="T6" s="2" t="str">
        <f>VLOOKUP($A6&amp;"_"&amp;$C6, DataSource!$A:$AT, 21, FALSE)</f>
        <v>5.0%</v>
      </c>
      <c r="U6" s="2" t="str">
        <f>VLOOKUP($A6&amp;"_"&amp;$C6, DataSource!$A:$AT, 22, FALSE)</f>
        <v>50.0%</v>
      </c>
      <c r="V6" s="2">
        <f>VLOOKUP($A6&amp;"_"&amp;$C6, DataSource!$A:$AT, 23, FALSE)</f>
        <v>3</v>
      </c>
      <c r="W6" s="2">
        <f>VLOOKUP($A6&amp;"_"&amp;$C6, DataSource!$A:$AT, 24, FALSE)</f>
        <v>0.14000000000000001</v>
      </c>
      <c r="X6" s="2" t="str">
        <f>VLOOKUP($A6&amp;"_"&amp;$C6, DataSource!$A:$AT, 25, FALSE)</f>
        <v>1.22704081632653</v>
      </c>
      <c r="Y6" s="2" t="str">
        <f>VLOOKUP($A6&amp;"_"&amp;$C6, DataSource!$A:$AT, 26, FALSE)</f>
        <v>1.45408163265306</v>
      </c>
      <c r="Z6" s="2">
        <f>VLOOKUP($A6&amp;"_"&amp;$C6, DataSource!$A:$AT, 27, FALSE)</f>
        <v>4</v>
      </c>
      <c r="AA6" s="2" t="str">
        <f>VLOOKUP($A6&amp;"_"&amp;$C6, DataSource!$A:$AT, 28, FALSE)</f>
        <v>【“绝影”】对生命值少于50%的敌人造成的伤害+20%。</v>
      </c>
      <c r="AB6" s="2" t="str">
        <f>VLOOKUP($A6&amp;"_"&amp;$C6, DataSource!$A:$AT, 29, FALSE)</f>
        <v>【家传武学】敏捷+15，造成的物理伤害+8%。</v>
      </c>
      <c r="AC6" s="2" t="str">
        <f>VLOOKUP($A6&amp;"_"&amp;$C6, DataSource!$A:$AT, 30, FALSE)</f>
        <v>【双剑奇侠】战技归穹宇、连携技见天河和终结技冽风霜的伤害倍率提升至原本的1.1倍。</v>
      </c>
      <c r="AD6" s="2" t="str">
        <f>VLOOKUP($A6&amp;"_"&amp;$C6, DataSource!$A:$AT, 31, FALSE)</f>
        <v>【自研赤霄剑】终结技冽风霜所需的终结技能量-15%。</v>
      </c>
      <c r="AE6" s="2" t="str">
        <f>VLOOKUP($A6&amp;"_"&amp;$C6, DataSource!$A:$AT, 32, FALSE)</f>
        <v>【心兼人间】连携技见天河的冷却时间-3秒。</v>
      </c>
      <c r="AF6" s="2" t="str">
        <f>VLOOKUP($A6&amp;"_"&amp;$C6, DataSource!$A:$AT, 33, FALSE)</f>
        <v>【游刃】干员敏捷能力值提升15。</v>
      </c>
      <c r="AG6" s="2" t="str">
        <f>VLOOKUP($A6&amp;"_"&amp;$C6, DataSource!$A:$AT, 34, FALSE)</f>
        <v>【游刃】干员敏捷能力值提升10。</v>
      </c>
      <c r="AH6" s="2" t="str">
        <f>VLOOKUP($A6&amp;"_"&amp;$C6, DataSource!$A:$AT, 35, FALSE)</f>
        <v>【游刃】干员敏捷能力值提升15。</v>
      </c>
      <c r="AI6" s="2" t="str">
        <f>VLOOKUP($A6&amp;"_"&amp;$C6, DataSource!$A:$AT, 36, FALSE)</f>
        <v>【游刃】干员敏捷能力值提升20。</v>
      </c>
      <c r="AJ6" s="3">
        <v>1</v>
      </c>
      <c r="AK6" s="2" t="str">
        <f>VLOOKUP($A6&amp;"_"&amp;$C6, DataSource!$A:$AT, 39 + AJ6 - 1, FALSE)</f>
        <v>【斩锋 Lv.1】技能每次命中敌人后，攻击力+4%，持续10秒，该效果最多叠加5层。</v>
      </c>
      <c r="AL6" s="3">
        <v>1</v>
      </c>
      <c r="AM6" s="2" t="str">
        <f>VLOOKUP($A6&amp;"_"&amp;$C6, DataSource!$A:$AT, 44 + AL6 - 1, FALSE)</f>
        <v>【破势 Lv.1】技能打断敌人蓄力时，额外对其造成5点失衡。</v>
      </c>
    </row>
    <row r="7" spans="1:39" ht="21.95" customHeight="1" x14ac:dyDescent="0.15">
      <c r="A7" s="4" t="s">
        <v>2568</v>
      </c>
      <c r="B7" s="4" t="str">
        <f>VLOOKUP("chr_0006_wolfgd_90", DataSource!$A:$P, 3, FALSE)</f>
        <v>狼卫</v>
      </c>
      <c r="C7" s="5">
        <v>90</v>
      </c>
      <c r="D7" s="4" t="str">
        <f>VLOOKUP($A7&amp;"_"&amp;$C7, DataSource!$A:$AT, 5, FALSE)</f>
        <v>Wulfgard</v>
      </c>
      <c r="E7" s="4" t="str">
        <f>VLOOKUP($A7&amp;"_"&amp;$C7, DataSource!$A:$AT, 6, FALSE)</f>
        <v>术师</v>
      </c>
      <c r="F7" s="4" t="str">
        <f>VLOOKUP($A7&amp;"_"&amp;$C7, DataSource!$A:$AT, 7, FALSE)</f>
        <v>ENDFIELD INDUSTRIES</v>
      </c>
      <c r="G7" s="4" t="str">
        <f>VLOOKUP($A7&amp;"_"&amp;$C7, DataSource!$A:$AT, 8, FALSE)</f>
        <v>灼热附着, 燃烧</v>
      </c>
      <c r="H7" s="4" t="str">
        <f>VLOOKUP($A7&amp;"_"&amp;$C7, DataSource!$A:$AT, 9, FALSE)</f>
        <v>5★</v>
      </c>
      <c r="I7" s="4" t="str">
        <f>VLOOKUP($A7&amp;"_"&amp;$C7, DataSource!$A:$AT, 10, FALSE)</f>
        <v>手铳</v>
      </c>
      <c r="J7" s="4" t="str">
        <f>VLOOKUP($A7&amp;"_"&amp;$C7, DataSource!$A:$AT, 11, FALSE)</f>
        <v>灼热</v>
      </c>
      <c r="K7" s="4" t="str">
        <f>VLOOKUP($A7&amp;"_"&amp;$C7, DataSource!$A:$AT, 12, FALSE)</f>
        <v>力量</v>
      </c>
      <c r="L7" s="4" t="str">
        <f>VLOOKUP($A7&amp;"_"&amp;$C7, DataSource!$A:$AT, 13, FALSE)</f>
        <v>敏捷</v>
      </c>
      <c r="M7" s="4">
        <f>VLOOKUP($A7&amp;"_"&amp;$C7, DataSource!$A:$AT, 14, FALSE)</f>
        <v>5495</v>
      </c>
      <c r="N7" s="4">
        <f>VLOOKUP($A7&amp;"_"&amp;$C7, DataSource!$A:$AT, 15, FALSE)</f>
        <v>294</v>
      </c>
      <c r="O7" s="4">
        <f>VLOOKUP($A7&amp;"_"&amp;$C7, DataSource!$A:$AT, 16, FALSE)</f>
        <v>0</v>
      </c>
      <c r="P7" s="4" t="str">
        <f>VLOOKUP($A7&amp;"_"&amp;$C7, DataSource!$A:$AT, 17, FALSE)</f>
        <v>161.71880917315397</v>
      </c>
      <c r="Q7" s="4" t="str">
        <f>VLOOKUP($A7&amp;"_"&amp;$C7, DataSource!$A:$AT, 18, FALSE)</f>
        <v>95.42783505154625</v>
      </c>
      <c r="R7" s="4" t="str">
        <f>VLOOKUP($A7&amp;"_"&amp;$C7, DataSource!$A:$AT, 19, FALSE)</f>
        <v>92.87628865979384</v>
      </c>
      <c r="S7" s="4" t="str">
        <f>VLOOKUP($A7&amp;"_"&amp;$C7, DataSource!$A:$AT, 20, FALSE)</f>
        <v>111.48411529560273</v>
      </c>
      <c r="T7" s="4" t="str">
        <f>VLOOKUP($A7&amp;"_"&amp;$C7, DataSource!$A:$AT, 21, FALSE)</f>
        <v>5.0%</v>
      </c>
      <c r="U7" s="4" t="str">
        <f>VLOOKUP($A7&amp;"_"&amp;$C7, DataSource!$A:$AT, 22, FALSE)</f>
        <v>50.0%</v>
      </c>
      <c r="V7" s="4">
        <f>VLOOKUP($A7&amp;"_"&amp;$C7, DataSource!$A:$AT, 23, FALSE)</f>
        <v>10</v>
      </c>
      <c r="W7" s="4">
        <f>VLOOKUP($A7&amp;"_"&amp;$C7, DataSource!$A:$AT, 24, FALSE)</f>
        <v>0.105</v>
      </c>
      <c r="X7" s="4" t="str">
        <f>VLOOKUP($A7&amp;"_"&amp;$C7, DataSource!$A:$AT, 25, FALSE)</f>
        <v>1.22704081632653</v>
      </c>
      <c r="Y7" s="4" t="str">
        <f>VLOOKUP($A7&amp;"_"&amp;$C7, DataSource!$A:$AT, 26, FALSE)</f>
        <v>1.45408163265306</v>
      </c>
      <c r="Z7" s="4">
        <f>VLOOKUP($A7&amp;"_"&amp;$C7, DataSource!$A:$AT, 27, FALSE)</f>
        <v>4</v>
      </c>
      <c r="AA7" s="4" t="str">
        <f>VLOOKUP($A7&amp;"_"&amp;$C7, DataSource!$A:$AT, 28, FALSE)</f>
        <v>【独狼】力量+15，敏捷+15。</v>
      </c>
      <c r="AB7" s="4" t="str">
        <f>VLOOKUP($A7&amp;"_"&amp;$C7, DataSource!$A:$AT, 29, FALSE)</f>
        <v>【铳械改造】天赋节制准则效果加强：额外返还10点技力。</v>
      </c>
      <c r="AC7" s="4" t="str">
        <f>VLOOKUP($A7&amp;"_"&amp;$C7, DataSource!$A:$AT, 30, FALSE)</f>
        <v>【狩猎时刻】灼热獠牙状态下，施放战技触发额外效果时，立即刷新自身灼热獠牙状态的持续时间，同时使小队内其他干员获得灼热獠牙，效果为基础的50%。</v>
      </c>
      <c r="AD7" s="4" t="str">
        <f>VLOOKUP($A7&amp;"_"&amp;$C7, DataSource!$A:$AT, 31, FALSE)</f>
        <v>【狼群意志】终结技狼之怒所需的终结技能量-15%。</v>
      </c>
      <c r="AE7" s="4" t="str">
        <f>VLOOKUP($A7&amp;"_"&amp;$C7, DataSource!$A:$AT, 32, FALSE)</f>
        <v>【天生掠食者】施放终结技狼之怒后立即刷新连携技爆裂手雷·β型冷却时间。</v>
      </c>
      <c r="AF7" s="4" t="str">
        <f>VLOOKUP($A7&amp;"_"&amp;$C7, DataSource!$A:$AT, 33, FALSE)</f>
        <v>【锤炼】干员力量能力值提升10。</v>
      </c>
      <c r="AG7" s="4" t="str">
        <f>VLOOKUP($A7&amp;"_"&amp;$C7, DataSource!$A:$AT, 34, FALSE)</f>
        <v>【锤炼】干员力量能力值提升15。</v>
      </c>
      <c r="AH7" s="4" t="str">
        <f>VLOOKUP($A7&amp;"_"&amp;$C7, DataSource!$A:$AT, 35, FALSE)</f>
        <v>【锤炼】干员力量能力值提升15。</v>
      </c>
      <c r="AI7" s="4" t="str">
        <f>VLOOKUP($A7&amp;"_"&amp;$C7, DataSource!$A:$AT, 36, FALSE)</f>
        <v>【锤炼】干员力量能力值提升20。</v>
      </c>
      <c r="AJ7" s="5">
        <v>1</v>
      </c>
      <c r="AK7" s="4" t="str">
        <f>VLOOKUP($A7&amp;"_"&amp;$C7, DataSource!$A:$AT, 39 + AJ7 - 1, FALSE)</f>
        <v>【灼热獠牙 Lv.1】每次施加燃烧后，获得灼热獠牙状态，持续10秒，该状态无法叠加。状态持续期间，自身造成的灼热伤害+20%。</v>
      </c>
      <c r="AL7" s="5">
        <v>1</v>
      </c>
      <c r="AM7" s="4" t="str">
        <f>VLOOKUP($A7&amp;"_"&amp;$C7, DataSource!$A:$AT, 44 + AL7 - 1, FALSE)</f>
        <v>【节制准则 Lv.1】战技灼热弹痕成功消耗法术异常时，返还5点技力。</v>
      </c>
    </row>
    <row r="8" spans="1:39" ht="21.95" customHeight="1" x14ac:dyDescent="0.15">
      <c r="A8" s="2" t="s">
        <v>3080</v>
      </c>
      <c r="B8" s="2" t="str">
        <f>VLOOKUP("chr_0007_ikut_90", DataSource!$A:$P, 3, FALSE)</f>
        <v>弧光</v>
      </c>
      <c r="C8" s="3">
        <v>90</v>
      </c>
      <c r="D8" s="2" t="str">
        <f>VLOOKUP($A8&amp;"_"&amp;$C8, DataSource!$A:$AT, 5, FALSE)</f>
        <v>Arclight</v>
      </c>
      <c r="E8" s="2" t="str">
        <f>VLOOKUP($A8&amp;"_"&amp;$C8, DataSource!$A:$AT, 6, FALSE)</f>
        <v>先锋</v>
      </c>
      <c r="F8" s="2" t="str">
        <f>VLOOKUP($A8&amp;"_"&amp;$C8, DataSource!$A:$AT, 7, FALSE)</f>
        <v>ENDFIELD INDUSTRIES</v>
      </c>
      <c r="G8" s="2" t="str">
        <f>VLOOKUP($A8&amp;"_"&amp;$C8, DataSource!$A:$AT, 8, FALSE)</f>
        <v>技力恢复, 电磁附着</v>
      </c>
      <c r="H8" s="2" t="str">
        <f>VLOOKUP($A8&amp;"_"&amp;$C8, DataSource!$A:$AT, 9, FALSE)</f>
        <v>5★</v>
      </c>
      <c r="I8" s="2" t="str">
        <f>VLOOKUP($A8&amp;"_"&amp;$C8, DataSource!$A:$AT, 10, FALSE)</f>
        <v>单手剑</v>
      </c>
      <c r="J8" s="2" t="str">
        <f>VLOOKUP($A8&amp;"_"&amp;$C8, DataSource!$A:$AT, 11, FALSE)</f>
        <v>电磁</v>
      </c>
      <c r="K8" s="2" t="str">
        <f>VLOOKUP($A8&amp;"_"&amp;$C8, DataSource!$A:$AT, 12, FALSE)</f>
        <v>敏捷</v>
      </c>
      <c r="L8" s="2" t="str">
        <f>VLOOKUP($A8&amp;"_"&amp;$C8, DataSource!$A:$AT, 13, FALSE)</f>
        <v>智识</v>
      </c>
      <c r="M8" s="2">
        <f>VLOOKUP($A8&amp;"_"&amp;$C8, DataSource!$A:$AT, 14, FALSE)</f>
        <v>5495</v>
      </c>
      <c r="N8" s="2">
        <f>VLOOKUP($A8&amp;"_"&amp;$C8, DataSource!$A:$AT, 15, FALSE)</f>
        <v>306</v>
      </c>
      <c r="O8" s="2">
        <f>VLOOKUP($A8&amp;"_"&amp;$C8, DataSource!$A:$AT, 16, FALSE)</f>
        <v>0</v>
      </c>
      <c r="P8" s="2" t="str">
        <f>VLOOKUP($A8&amp;"_"&amp;$C8, DataSource!$A:$AT, 17, FALSE)</f>
        <v>107.45844729644404</v>
      </c>
      <c r="Q8" s="2" t="str">
        <f>VLOOKUP($A8&amp;"_"&amp;$C8, DataSource!$A:$AT, 18, FALSE)</f>
        <v>145.43814432989691</v>
      </c>
      <c r="R8" s="2" t="str">
        <f>VLOOKUP($A8&amp;"_"&amp;$C8, DataSource!$A:$AT, 19, FALSE)</f>
        <v>123.49484536082466</v>
      </c>
      <c r="S8" s="2" t="str">
        <f>VLOOKUP($A8&amp;"_"&amp;$C8, DataSource!$A:$AT, 20, FALSE)</f>
        <v>100.02061855670134</v>
      </c>
      <c r="T8" s="2" t="str">
        <f>VLOOKUP($A8&amp;"_"&amp;$C8, DataSource!$A:$AT, 21, FALSE)</f>
        <v>5.0%</v>
      </c>
      <c r="U8" s="2" t="str">
        <f>VLOOKUP($A8&amp;"_"&amp;$C8, DataSource!$A:$AT, 22, FALSE)</f>
        <v>50.0%</v>
      </c>
      <c r="V8" s="2">
        <f>VLOOKUP($A8&amp;"_"&amp;$C8, DataSource!$A:$AT, 23, FALSE)</f>
        <v>5</v>
      </c>
      <c r="W8" s="2">
        <f>VLOOKUP($A8&amp;"_"&amp;$C8, DataSource!$A:$AT, 24, FALSE)</f>
        <v>0.14874999999999999</v>
      </c>
      <c r="X8" s="2" t="str">
        <f>VLOOKUP($A8&amp;"_"&amp;$C8, DataSource!$A:$AT, 25, FALSE)</f>
        <v>1.22704081632653</v>
      </c>
      <c r="Y8" s="2" t="str">
        <f>VLOOKUP($A8&amp;"_"&amp;$C8, DataSource!$A:$AT, 26, FALSE)</f>
        <v>1.45408163265306</v>
      </c>
      <c r="Z8" s="2">
        <f>VLOOKUP($A8&amp;"_"&amp;$C8, DataSource!$A:$AT, 27, FALSE)</f>
        <v>4</v>
      </c>
      <c r="AA8" s="2" t="str">
        <f>VLOOKUP($A8&amp;"_"&amp;$C8, DataSource!$A:$AT, 28, FALSE)</f>
        <v>【风暴中的孩子】使用战技疾风迅雷成功触发额外效果后，额外恢复10点技力。</v>
      </c>
      <c r="AB8" s="2" t="str">
        <f>VLOOKUP($A8&amp;"_"&amp;$C8, DataSource!$A:$AT, 29, FALSE)</f>
        <v>【速战速决】敏捷+15，智识+15。</v>
      </c>
      <c r="AC8" s="2" t="str">
        <f>VLOOKUP($A8&amp;"_"&amp;$C8, DataSource!$A:$AT, 30, FALSE)</f>
        <v>【“歌谣”】天赋荒野游人效果加强：伤害提升效果提升至原本的1.3倍。</v>
      </c>
      <c r="AD8" s="2" t="str">
        <f>VLOOKUP($A8&amp;"_"&amp;$C8, DataSource!$A:$AT, 31, FALSE)</f>
        <v>【师者教诲】终结技轰雷掣电所需的终结技能量-15%。</v>
      </c>
      <c r="AE8" s="2" t="str">
        <f>VLOOKUP($A8&amp;"_"&amp;$C8, DataSource!$A:$AT, 32, FALSE)</f>
        <v>【荒野的徒从】天赋荒野游人效果加强：触发所需次数降低至2次。</v>
      </c>
      <c r="AF8" s="2" t="str">
        <f>VLOOKUP($A8&amp;"_"&amp;$C8, DataSource!$A:$AT, 33, FALSE)</f>
        <v>【游刃】干员敏捷能力值提升15。</v>
      </c>
      <c r="AG8" s="2" t="str">
        <f>VLOOKUP($A8&amp;"_"&amp;$C8, DataSource!$A:$AT, 34, FALSE)</f>
        <v>【游刃】干员敏捷能力值提升10。</v>
      </c>
      <c r="AH8" s="2" t="str">
        <f>VLOOKUP($A8&amp;"_"&amp;$C8, DataSource!$A:$AT, 35, FALSE)</f>
        <v>【游刃】干员敏捷能力值提升15。</v>
      </c>
      <c r="AI8" s="2" t="str">
        <f>VLOOKUP($A8&amp;"_"&amp;$C8, DataSource!$A:$AT, 36, FALSE)</f>
        <v>【游刃】干员敏捷能力值提升20。</v>
      </c>
      <c r="AJ8" s="3">
        <v>1</v>
      </c>
      <c r="AK8" s="2" t="str">
        <f>VLOOKUP($A8&amp;"_"&amp;$C8, DataSource!$A:$AT, 39 + AJ8 - 1, FALSE)</f>
        <v>【众生智慧 Lv.1】被施加法术附着时，有30%的概率忽略该效果。</v>
      </c>
      <c r="AL8" s="3">
        <v>1</v>
      </c>
      <c r="AM8" s="2" t="str">
        <f>VLOOKUP($A8&amp;"_"&amp;$C8, DataSource!$A:$AT, 44 + AL8 - 1, FALSE)</f>
        <v>【荒野游人 Lv.1】使用战技疾风迅雷成功触发3次额外效果后，根据自身的智识，提升全队造成的电磁伤害，每点智识+0.05%，持续15秒，该效果无法叠加。</v>
      </c>
    </row>
    <row r="9" spans="1:39" ht="21.95" customHeight="1" x14ac:dyDescent="0.15">
      <c r="A9" s="4" t="s">
        <v>1334</v>
      </c>
      <c r="B9" s="4" t="str">
        <f>VLOOKUP("chr_0009_azrila_90", DataSource!$A:$P, 3, FALSE)</f>
        <v>余烬</v>
      </c>
      <c r="C9" s="5">
        <v>90</v>
      </c>
      <c r="D9" s="4" t="str">
        <f>VLOOKUP($A9&amp;"_"&amp;$C9, DataSource!$A:$AT, 5, FALSE)</f>
        <v>Ember</v>
      </c>
      <c r="E9" s="4" t="str">
        <f>VLOOKUP($A9&amp;"_"&amp;$C9, DataSource!$A:$AT, 6, FALSE)</f>
        <v>重装</v>
      </c>
      <c r="F9" s="4" t="str">
        <f>VLOOKUP($A9&amp;"_"&amp;$C9, DataSource!$A:$AT, 7, FALSE)</f>
        <v>ENDFIELD INDUSTRIES</v>
      </c>
      <c r="G9" s="4" t="str">
        <f>VLOOKUP($A9&amp;"_"&amp;$C9, DataSource!$A:$AT, 8, FALSE)</f>
        <v>倒地, 治疗, 护盾</v>
      </c>
      <c r="H9" s="4" t="str">
        <f>VLOOKUP($A9&amp;"_"&amp;$C9, DataSource!$A:$AT, 9, FALSE)</f>
        <v>6★</v>
      </c>
      <c r="I9" s="4" t="str">
        <f>VLOOKUP($A9&amp;"_"&amp;$C9, DataSource!$A:$AT, 10, FALSE)</f>
        <v>双手剑</v>
      </c>
      <c r="J9" s="4" t="str">
        <f>VLOOKUP($A9&amp;"_"&amp;$C9, DataSource!$A:$AT, 11, FALSE)</f>
        <v>灼热</v>
      </c>
      <c r="K9" s="4" t="str">
        <f>VLOOKUP($A9&amp;"_"&amp;$C9, DataSource!$A:$AT, 12, FALSE)</f>
        <v>力量</v>
      </c>
      <c r="L9" s="4" t="str">
        <f>VLOOKUP($A9&amp;"_"&amp;$C9, DataSource!$A:$AT, 13, FALSE)</f>
        <v>意志</v>
      </c>
      <c r="M9" s="4">
        <f>VLOOKUP($A9&amp;"_"&amp;$C9, DataSource!$A:$AT, 14, FALSE)</f>
        <v>5495</v>
      </c>
      <c r="N9" s="4">
        <f>VLOOKUP($A9&amp;"_"&amp;$C9, DataSource!$A:$AT, 15, FALSE)</f>
        <v>323</v>
      </c>
      <c r="O9" s="4">
        <f>VLOOKUP($A9&amp;"_"&amp;$C9, DataSource!$A:$AT, 16, FALSE)</f>
        <v>0</v>
      </c>
      <c r="P9" s="4" t="str">
        <f>VLOOKUP($A9&amp;"_"&amp;$C9, DataSource!$A:$AT, 17, FALSE)</f>
        <v>176.41173995371338</v>
      </c>
      <c r="Q9" s="4" t="str">
        <f>VLOOKUP($A9&amp;"_"&amp;$C9, DataSource!$A:$AT, 18, FALSE)</f>
        <v>96.95876288659824</v>
      </c>
      <c r="R9" s="4" t="str">
        <f>VLOOKUP($A9&amp;"_"&amp;$C9, DataSource!$A:$AT, 19, FALSE)</f>
        <v>86.75257731958767</v>
      </c>
      <c r="S9" s="4" t="str">
        <f>VLOOKUP($A9&amp;"_"&amp;$C9, DataSource!$A:$AT, 20, FALSE)</f>
        <v>120.26219229959992</v>
      </c>
      <c r="T9" s="4" t="str">
        <f>VLOOKUP($A9&amp;"_"&amp;$C9, DataSource!$A:$AT, 21, FALSE)</f>
        <v>5.0%</v>
      </c>
      <c r="U9" s="4" t="str">
        <f>VLOOKUP($A9&amp;"_"&amp;$C9, DataSource!$A:$AT, 22, FALSE)</f>
        <v>50.0%</v>
      </c>
      <c r="V9" s="4">
        <f>VLOOKUP($A9&amp;"_"&amp;$C9, DataSource!$A:$AT, 23, FALSE)</f>
        <v>3</v>
      </c>
      <c r="W9" s="4">
        <f>VLOOKUP($A9&amp;"_"&amp;$C9, DataSource!$A:$AT, 24, FALSE)</f>
        <v>9.5812499999999995E-2</v>
      </c>
      <c r="X9" s="4" t="str">
        <f>VLOOKUP($A9&amp;"_"&amp;$C9, DataSource!$A:$AT, 25, FALSE)</f>
        <v>1.22704081632653</v>
      </c>
      <c r="Y9" s="4" t="str">
        <f>VLOOKUP($A9&amp;"_"&amp;$C9, DataSource!$A:$AT, 26, FALSE)</f>
        <v>1.45408163265306</v>
      </c>
      <c r="Z9" s="4">
        <f>VLOOKUP($A9&amp;"_"&amp;$C9, DataSource!$A:$AT, 27, FALSE)</f>
        <v>4</v>
      </c>
      <c r="AA9" s="4" t="str">
        <f>VLOOKUP($A9&amp;"_"&amp;$C9, DataSource!$A:$AT, 28, FALSE)</f>
        <v>【移动要塞】天赋陷阵之志效果加强：庇护效果额外+20%，且在命中敌人后额外持续1.5秒。</v>
      </c>
      <c r="AB9" s="4" t="str">
        <f>VLOOKUP($A9&amp;"_"&amp;$C9, DataSource!$A:$AT, 29, FALSE)</f>
        <v>【百战成钢】力量+20，意志+20。</v>
      </c>
      <c r="AC9" s="4" t="str">
        <f>VLOOKUP($A9&amp;"_"&amp;$C9, DataSource!$A:$AT, 30, FALSE)</f>
        <v>【不屈阵线】连携技前线援护会额外治疗小队内另一个生命值百分比最低的干员，效果为基础的50%。</v>
      </c>
      <c r="AD9" s="4" t="str">
        <f>VLOOKUP($A9&amp;"_"&amp;$C9, DataSource!$A:$AT, 31, FALSE)</f>
        <v>【薪火不息】终结技重燃誓约所需的终结技能量-15%。</v>
      </c>
      <c r="AE9" s="4" t="str">
        <f>VLOOKUP($A9&amp;"_"&amp;$C9, DataSource!$A:$AT, 32, FALSE)</f>
        <v>【铁誓】终结技重燃誓约提供的护盾效果变为1.2倍，且该护盾存在期间持有者攻击力+10%。</v>
      </c>
      <c r="AF9" s="4" t="str">
        <f>VLOOKUP($A9&amp;"_"&amp;$C9, DataSource!$A:$AT, 33, FALSE)</f>
        <v>【锤炼】干员力量能力值提升15。</v>
      </c>
      <c r="AG9" s="4" t="str">
        <f>VLOOKUP($A9&amp;"_"&amp;$C9, DataSource!$A:$AT, 34, FALSE)</f>
        <v>【锤炼】干员力量能力值提升10。</v>
      </c>
      <c r="AH9" s="4" t="str">
        <f>VLOOKUP($A9&amp;"_"&amp;$C9, DataSource!$A:$AT, 35, FALSE)</f>
        <v>【锤炼】干员力量能力值提升15。</v>
      </c>
      <c r="AI9" s="4" t="str">
        <f>VLOOKUP($A9&amp;"_"&amp;$C9, DataSource!$A:$AT, 36, FALSE)</f>
        <v>【锤炼】干员力量能力值提升20。</v>
      </c>
      <c r="AJ9" s="5">
        <v>1</v>
      </c>
      <c r="AK9" s="4" t="str">
        <f>VLOOKUP($A9&amp;"_"&amp;$C9, DataSource!$A:$AT, 39 + AJ9 - 1, FALSE)</f>
        <v>【陷阵之志 Lv.1】战技进军和连携技前线援护的施放过程中获得30%庇护，且更不容易被打断。</v>
      </c>
      <c r="AL9" s="5">
        <v>1</v>
      </c>
      <c r="AM9" s="4" t="str">
        <f>VLOOKUP($A9&amp;"_"&amp;$C9, DataSource!$A:$AT, 44 + AL9 - 1, FALSE)</f>
        <v>【以铁还铁 Lv.1】受到来自敌人的伤害后，攻击力+6%，持续7秒，该效果最多叠加3层。</v>
      </c>
    </row>
    <row r="10" spans="1:39" ht="21.95" customHeight="1" x14ac:dyDescent="0.15">
      <c r="A10" s="2" t="s">
        <v>3589</v>
      </c>
      <c r="B10" s="2" t="str">
        <f>VLOOKUP("chr_0011_seraph_90", DataSource!$A:$P, 3, FALSE)</f>
        <v>赛希</v>
      </c>
      <c r="C10" s="3">
        <v>90</v>
      </c>
      <c r="D10" s="2" t="str">
        <f>VLOOKUP($A10&amp;"_"&amp;$C10, DataSource!$A:$AT, 5, FALSE)</f>
        <v>Xaihi</v>
      </c>
      <c r="E10" s="2" t="str">
        <f>VLOOKUP($A10&amp;"_"&amp;$C10, DataSource!$A:$AT, 6, FALSE)</f>
        <v>辅助</v>
      </c>
      <c r="F10" s="2" t="str">
        <f>VLOOKUP($A10&amp;"_"&amp;$C10, DataSource!$A:$AT, 7, FALSE)</f>
        <v>ENDFIELD INDUSTRIES</v>
      </c>
      <c r="G10" s="2" t="str">
        <f>VLOOKUP($A10&amp;"_"&amp;$C10, DataSource!$A:$AT, 8, FALSE)</f>
        <v>治疗, 寒冷附着, 增幅</v>
      </c>
      <c r="H10" s="2" t="str">
        <f>VLOOKUP($A10&amp;"_"&amp;$C10, DataSource!$A:$AT, 9, FALSE)</f>
        <v>5★</v>
      </c>
      <c r="I10" s="2" t="str">
        <f>VLOOKUP($A10&amp;"_"&amp;$C10, DataSource!$A:$AT, 10, FALSE)</f>
        <v>施术单元</v>
      </c>
      <c r="J10" s="2" t="str">
        <f>VLOOKUP($A10&amp;"_"&amp;$C10, DataSource!$A:$AT, 11, FALSE)</f>
        <v>寒冷</v>
      </c>
      <c r="K10" s="2" t="str">
        <f>VLOOKUP($A10&amp;"_"&amp;$C10, DataSource!$A:$AT, 12, FALSE)</f>
        <v>意志</v>
      </c>
      <c r="L10" s="2" t="str">
        <f>VLOOKUP($A10&amp;"_"&amp;$C10, DataSource!$A:$AT, 13, FALSE)</f>
        <v>智识</v>
      </c>
      <c r="M10" s="2">
        <f>VLOOKUP($A10&amp;"_"&amp;$C10, DataSource!$A:$AT, 14, FALSE)</f>
        <v>5495</v>
      </c>
      <c r="N10" s="2">
        <f>VLOOKUP($A10&amp;"_"&amp;$C10, DataSource!$A:$AT, 15, FALSE)</f>
        <v>291</v>
      </c>
      <c r="O10" s="2">
        <f>VLOOKUP($A10&amp;"_"&amp;$C10, DataSource!$A:$AT, 16, FALSE)</f>
        <v>0</v>
      </c>
      <c r="P10" s="2" t="str">
        <f>VLOOKUP($A10&amp;"_"&amp;$C10, DataSource!$A:$AT, 17, FALSE)</f>
        <v>89.83810225120979</v>
      </c>
      <c r="Q10" s="2" t="str">
        <f>VLOOKUP($A10&amp;"_"&amp;$C10, DataSource!$A:$AT, 18, FALSE)</f>
        <v>91.86513780770011</v>
      </c>
      <c r="R10" s="2" t="str">
        <f>VLOOKUP($A10&amp;"_"&amp;$C10, DataSource!$A:$AT, 19, FALSE)</f>
        <v>127.14407742478453</v>
      </c>
      <c r="S10" s="2" t="str">
        <f>VLOOKUP($A10&amp;"_"&amp;$C10, DataSource!$A:$AT, 20, FALSE)</f>
        <v>150.03092783505198</v>
      </c>
      <c r="T10" s="2" t="str">
        <f>VLOOKUP($A10&amp;"_"&amp;$C10, DataSource!$A:$AT, 21, FALSE)</f>
        <v>5.0%</v>
      </c>
      <c r="U10" s="2" t="str">
        <f>VLOOKUP($A10&amp;"_"&amp;$C10, DataSource!$A:$AT, 22, FALSE)</f>
        <v>50.0%</v>
      </c>
      <c r="V10" s="2">
        <f>VLOOKUP($A10&amp;"_"&amp;$C10, DataSource!$A:$AT, 23, FALSE)</f>
        <v>10</v>
      </c>
      <c r="W10" s="2">
        <f>VLOOKUP($A10&amp;"_"&amp;$C10, DataSource!$A:$AT, 24, FALSE)</f>
        <v>0.13</v>
      </c>
      <c r="X10" s="2" t="str">
        <f>VLOOKUP($A10&amp;"_"&amp;$C10, DataSource!$A:$AT, 25, FALSE)</f>
        <v>1.22704081632653</v>
      </c>
      <c r="Y10" s="2" t="str">
        <f>VLOOKUP($A10&amp;"_"&amp;$C10, DataSource!$A:$AT, 26, FALSE)</f>
        <v>1.45408163265306</v>
      </c>
      <c r="Z10" s="2">
        <f>VLOOKUP($A10&amp;"_"&amp;$C10, DataSource!$A:$AT, 27, FALSE)</f>
        <v>4</v>
      </c>
      <c r="AA10" s="2" t="str">
        <f>VLOOKUP($A10&amp;"_"&amp;$C10, DataSource!$A:$AT, 28, FALSE)</f>
        <v>【敏捷实践】支援晶体提供的法术增幅额外提高5%。</v>
      </c>
      <c r="AB10" s="2" t="str">
        <f>VLOOKUP($A10&amp;"_"&amp;$C10, DataSource!$A:$AT, 29, FALSE)</f>
        <v>【链路聚合】终结技栈溢出所需的终结技能量-10%。</v>
      </c>
      <c r="AC10" s="2" t="str">
        <f>VLOOKUP($A10&amp;"_"&amp;$C10, DataSource!$A:$AT, 30, FALSE)</f>
        <v>【映射节点】连携技压力测试命中目标时，对周围1个其他目标弹射1次。</v>
      </c>
      <c r="AD10" s="2" t="str">
        <f>VLOOKUP($A10&amp;"_"&amp;$C10, DataSource!$A:$AT, 31, FALSE)</f>
        <v>【灰度发布】智识+15，治疗效率+10%。</v>
      </c>
      <c r="AE10" s="2" t="str">
        <f>VLOOKUP($A10&amp;"_"&amp;$C10, DataSource!$A:$AT, 32, FALSE)</f>
        <v>【可控递归】终结技栈溢出提供的增幅效果提高至原本的1.1倍。</v>
      </c>
      <c r="AF10" s="2" t="str">
        <f>VLOOKUP($A10&amp;"_"&amp;$C10, DataSource!$A:$AT, 33, FALSE)</f>
        <v>【守誓】干员意志能力值提升15。</v>
      </c>
      <c r="AG10" s="2" t="str">
        <f>VLOOKUP($A10&amp;"_"&amp;$C10, DataSource!$A:$AT, 34, FALSE)</f>
        <v>【守誓】干员意志能力值提升10。</v>
      </c>
      <c r="AH10" s="2" t="str">
        <f>VLOOKUP($A10&amp;"_"&amp;$C10, DataSource!$A:$AT, 35, FALSE)</f>
        <v>【守誓】干员意志能力值提升15。</v>
      </c>
      <c r="AI10" s="2" t="str">
        <f>VLOOKUP($A10&amp;"_"&amp;$C10, DataSource!$A:$AT, 36, FALSE)</f>
        <v>【守誓】干员意志能力值提升20。</v>
      </c>
      <c r="AJ10" s="3">
        <v>1</v>
      </c>
      <c r="AK10" s="2" t="str">
        <f>VLOOKUP($A10&amp;"_"&amp;$C10, DataSource!$A:$AT, 39 + AJ10 - 1, FALSE)</f>
        <v>【启动进程 Lv.1】连携技压力测试命中敌人时，如果目标已经处于寒冷附着或冻结状态，还会使目标受到的寒冷伤害+7%，持续5秒，该效果无法叠加。</v>
      </c>
      <c r="AL10" s="3">
        <v>1</v>
      </c>
      <c r="AM10" s="2" t="str">
        <f>VLOOKUP($A10&amp;"_"&amp;$C10, DataSource!$A:$AT, 44 + AL10 - 1, FALSE)</f>
        <v>【协议冻结 Lv.1】终结技栈溢出会额外净化全队的寒冷附着和冻结状态。</v>
      </c>
    </row>
    <row r="11" spans="1:39" ht="21.95" customHeight="1" x14ac:dyDescent="0.15">
      <c r="A11" s="4" t="s">
        <v>4513</v>
      </c>
      <c r="B11" s="4" t="str">
        <f>VLOOKUP("chr_0012_avywen_90", DataSource!$A:$P, 3, FALSE)</f>
        <v>艾维文娜</v>
      </c>
      <c r="C11" s="5">
        <v>90</v>
      </c>
      <c r="D11" s="4" t="str">
        <f>VLOOKUP($A11&amp;"_"&amp;$C11, DataSource!$A:$AT, 5, FALSE)</f>
        <v>Avywenna</v>
      </c>
      <c r="E11" s="4" t="str">
        <f>VLOOKUP($A11&amp;"_"&amp;$C11, DataSource!$A:$AT, 6, FALSE)</f>
        <v>突击</v>
      </c>
      <c r="F11" s="4" t="str">
        <f>VLOOKUP($A11&amp;"_"&amp;$C11, DataSource!$A:$AT, 7, FALSE)</f>
        <v>ENDFIELD INDUSTRIES</v>
      </c>
      <c r="G11" s="4" t="str">
        <f>VLOOKUP($A11&amp;"_"&amp;$C11, DataSource!$A:$AT, 8, FALSE)</f>
        <v>大量伤害, 法术脆弱</v>
      </c>
      <c r="H11" s="4" t="str">
        <f>VLOOKUP($A11&amp;"_"&amp;$C11, DataSource!$A:$AT, 9, FALSE)</f>
        <v>5★</v>
      </c>
      <c r="I11" s="4" t="str">
        <f>VLOOKUP($A11&amp;"_"&amp;$C11, DataSource!$A:$AT, 10, FALSE)</f>
        <v>长柄武器</v>
      </c>
      <c r="J11" s="4" t="str">
        <f>VLOOKUP($A11&amp;"_"&amp;$C11, DataSource!$A:$AT, 11, FALSE)</f>
        <v>电磁</v>
      </c>
      <c r="K11" s="4" t="str">
        <f>VLOOKUP($A11&amp;"_"&amp;$C11, DataSource!$A:$AT, 12, FALSE)</f>
        <v>意志</v>
      </c>
      <c r="L11" s="4" t="str">
        <f>VLOOKUP($A11&amp;"_"&amp;$C11, DataSource!$A:$AT, 13, FALSE)</f>
        <v>敏捷</v>
      </c>
      <c r="M11" s="4">
        <f>VLOOKUP($A11&amp;"_"&amp;$C11, DataSource!$A:$AT, 14, FALSE)</f>
        <v>5495</v>
      </c>
      <c r="N11" s="4">
        <f>VLOOKUP($A11&amp;"_"&amp;$C11, DataSource!$A:$AT, 15, FALSE)</f>
        <v>312</v>
      </c>
      <c r="O11" s="4">
        <f>VLOOKUP($A11&amp;"_"&amp;$C11, DataSource!$A:$AT, 16, FALSE)</f>
        <v>0</v>
      </c>
      <c r="P11" s="4" t="str">
        <f>VLOOKUP($A11&amp;"_"&amp;$C11, DataSource!$A:$AT, 17, FALSE)</f>
        <v>107.35430254576025</v>
      </c>
      <c r="Q11" s="4" t="str">
        <f>VLOOKUP($A11&amp;"_"&amp;$C11, DataSource!$A:$AT, 18, FALSE)</f>
        <v>106.65463917525815</v>
      </c>
      <c r="R11" s="4" t="str">
        <f>VLOOKUP($A11&amp;"_"&amp;$C11, DataSource!$A:$AT, 19, FALSE)</f>
        <v>110.50136755733189</v>
      </c>
      <c r="S11" s="4" t="str">
        <f>VLOOKUP($A11&amp;"_"&amp;$C11, DataSource!$A:$AT, 20, FALSE)</f>
        <v>148.5</v>
      </c>
      <c r="T11" s="4" t="str">
        <f>VLOOKUP($A11&amp;"_"&amp;$C11, DataSource!$A:$AT, 21, FALSE)</f>
        <v>5.0%</v>
      </c>
      <c r="U11" s="4" t="str">
        <f>VLOOKUP($A11&amp;"_"&amp;$C11, DataSource!$A:$AT, 22, FALSE)</f>
        <v>50.0%</v>
      </c>
      <c r="V11" s="4">
        <f>VLOOKUP($A11&amp;"_"&amp;$C11, DataSource!$A:$AT, 23, FALSE)</f>
        <v>3</v>
      </c>
      <c r="W11" s="4">
        <f>VLOOKUP($A11&amp;"_"&amp;$C11, DataSource!$A:$AT, 24, FALSE)</f>
        <v>0.13387499999999999</v>
      </c>
      <c r="X11" s="4" t="str">
        <f>VLOOKUP($A11&amp;"_"&amp;$C11, DataSource!$A:$AT, 25, FALSE)</f>
        <v>1.22704081632653</v>
      </c>
      <c r="Y11" s="4" t="str">
        <f>VLOOKUP($A11&amp;"_"&amp;$C11, DataSource!$A:$AT, 26, FALSE)</f>
        <v>1.45408163265306</v>
      </c>
      <c r="Z11" s="4">
        <f>VLOOKUP($A11&amp;"_"&amp;$C11, DataSource!$A:$AT, 27, FALSE)</f>
        <v>4</v>
      </c>
      <c r="AA11" s="4" t="str">
        <f>VLOOKUP($A11&amp;"_"&amp;$C11, DataSource!$A:$AT, 28, FALSE)</f>
        <v>【筹码加倍】天赋高效派送效果加强：获得的终结技能量+2点。</v>
      </c>
      <c r="AB11" s="4" t="str">
        <f>VLOOKUP($A11&amp;"_"&amp;$C11, DataSource!$A:$AT, 29, FALSE)</f>
        <v>【大棒悬头】雷枪、强雷枪的存在时间+20秒。</v>
      </c>
      <c r="AC11" s="4" t="str">
        <f>VLOOKUP($A11&amp;"_"&amp;$C11, DataSource!$A:$AT, 30, FALSE)</f>
        <v>【绝不让步】意志+15，造成的电磁伤害+8%。</v>
      </c>
      <c r="AD11" s="4" t="str">
        <f>VLOOKUP($A11&amp;"_"&amp;$C11, DataSource!$A:$AT, 31, FALSE)</f>
        <v>【经验老到】终结技雷枪·决颤所需的终结技能量-15%。</v>
      </c>
      <c r="AE11" s="4" t="str">
        <f>VLOOKUP($A11&amp;"_"&amp;$C11, DataSource!$A:$AT, 32, FALSE)</f>
        <v>【恩威并施】召回的雷枪、强雷枪命中处于电磁脆弱状态的敌人时，伤害倍率提升至原本的1.15倍。</v>
      </c>
      <c r="AF11" s="4" t="str">
        <f>VLOOKUP($A11&amp;"_"&amp;$C11, DataSource!$A:$AT, 33, FALSE)</f>
        <v>【守誓】干员意志能力值提升15。</v>
      </c>
      <c r="AG11" s="4" t="str">
        <f>VLOOKUP($A11&amp;"_"&amp;$C11, DataSource!$A:$AT, 34, FALSE)</f>
        <v>【守誓】干员意志能力值提升10。</v>
      </c>
      <c r="AH11" s="4" t="str">
        <f>VLOOKUP($A11&amp;"_"&amp;$C11, DataSource!$A:$AT, 35, FALSE)</f>
        <v>【守誓】干员意志能力值提升15。</v>
      </c>
      <c r="AI11" s="4" t="str">
        <f>VLOOKUP($A11&amp;"_"&amp;$C11, DataSource!$A:$AT, 36, FALSE)</f>
        <v>【守誓】干员意志能力值提升20。</v>
      </c>
      <c r="AJ11" s="5">
        <v>1</v>
      </c>
      <c r="AK11" s="4" t="str">
        <f>VLOOKUP($A11&amp;"_"&amp;$C11, DataSource!$A:$AT, 39 + AJ11 - 1, FALSE)</f>
        <v>【高效派送 Lv.1】掷出、召回雷枪、强雷枪命中敌人后，获得3点终结技能量。</v>
      </c>
      <c r="AL11" s="5">
        <v>1</v>
      </c>
      <c r="AM11" s="4" t="str">
        <f>VLOOKUP($A11&amp;"_"&amp;$C11, DataSource!$A:$AT, 44 + AL11 - 1, FALSE)</f>
        <v>【委婉手段 Lv.1】终结技雷枪·决颤命中敌人时对其施加6%电磁脆弱，持续10秒。</v>
      </c>
    </row>
    <row r="12" spans="1:39" ht="21.95" customHeight="1" x14ac:dyDescent="0.15">
      <c r="A12" s="2" t="s">
        <v>5935</v>
      </c>
      <c r="B12" s="2" t="str">
        <f>VLOOKUP("chr_0013_aglina_90", DataSource!$A:$P, 3, FALSE)</f>
        <v>洁尔佩塔</v>
      </c>
      <c r="C12" s="3">
        <v>90</v>
      </c>
      <c r="D12" s="2" t="str">
        <f>VLOOKUP($A12&amp;"_"&amp;$C12, DataSource!$A:$AT, 5, FALSE)</f>
        <v>Gilberta</v>
      </c>
      <c r="E12" s="2" t="str">
        <f>VLOOKUP($A12&amp;"_"&amp;$C12, DataSource!$A:$AT, 6, FALSE)</f>
        <v>辅助</v>
      </c>
      <c r="F12" s="2" t="str">
        <f>VLOOKUP($A12&amp;"_"&amp;$C12, DataSource!$A:$AT, 7, FALSE)</f>
        <v>ENDFIELD INDUSTRIES</v>
      </c>
      <c r="G12" s="2" t="str">
        <f>VLOOKUP($A12&amp;"_"&amp;$C12, DataSource!$A:$AT, 8, FALSE)</f>
        <v>法术脆弱, 自然附着, 击飞</v>
      </c>
      <c r="H12" s="2" t="str">
        <f>VLOOKUP($A12&amp;"_"&amp;$C12, DataSource!$A:$AT, 9, FALSE)</f>
        <v>6★</v>
      </c>
      <c r="I12" s="2" t="str">
        <f>VLOOKUP($A12&amp;"_"&amp;$C12, DataSource!$A:$AT, 10, FALSE)</f>
        <v>施术单元</v>
      </c>
      <c r="J12" s="2" t="str">
        <f>VLOOKUP($A12&amp;"_"&amp;$C12, DataSource!$A:$AT, 11, FALSE)</f>
        <v>自然</v>
      </c>
      <c r="K12" s="2" t="str">
        <f>VLOOKUP($A12&amp;"_"&amp;$C12, DataSource!$A:$AT, 12, FALSE)</f>
        <v>意志</v>
      </c>
      <c r="L12" s="2" t="str">
        <f>VLOOKUP($A12&amp;"_"&amp;$C12, DataSource!$A:$AT, 13, FALSE)</f>
        <v>智识</v>
      </c>
      <c r="M12" s="2">
        <f>VLOOKUP($A12&amp;"_"&amp;$C12, DataSource!$A:$AT, 14, FALSE)</f>
        <v>5495</v>
      </c>
      <c r="N12" s="2">
        <f>VLOOKUP($A12&amp;"_"&amp;$C12, DataSource!$A:$AT, 15, FALSE)</f>
        <v>329</v>
      </c>
      <c r="O12" s="2">
        <f>VLOOKUP($A12&amp;"_"&amp;$C12, DataSource!$A:$AT, 16, FALSE)</f>
        <v>0</v>
      </c>
      <c r="P12" s="2" t="str">
        <f>VLOOKUP($A12&amp;"_"&amp;$C12, DataSource!$A:$AT, 17, FALSE)</f>
        <v>89.81443298969076</v>
      </c>
      <c r="Q12" s="2" t="str">
        <f>VLOOKUP($A12&amp;"_"&amp;$C12, DataSource!$A:$AT, 18, FALSE)</f>
        <v>92.87628865979384</v>
      </c>
      <c r="R12" s="2" t="str">
        <f>VLOOKUP($A12&amp;"_"&amp;$C12, DataSource!$A:$AT, 19, FALSE)</f>
        <v>127.16490637492129</v>
      </c>
      <c r="S12" s="2" t="str">
        <f>VLOOKUP($A12&amp;"_"&amp;$C12, DataSource!$A:$AT, 20, FALSE)</f>
        <v>171.74794866400205</v>
      </c>
      <c r="T12" s="2" t="str">
        <f>VLOOKUP($A12&amp;"_"&amp;$C12, DataSource!$A:$AT, 21, FALSE)</f>
        <v>5.0%</v>
      </c>
      <c r="U12" s="2" t="str">
        <f>VLOOKUP($A12&amp;"_"&amp;$C12, DataSource!$A:$AT, 22, FALSE)</f>
        <v>50.0%</v>
      </c>
      <c r="V12" s="2">
        <f>VLOOKUP($A12&amp;"_"&amp;$C12, DataSource!$A:$AT, 23, FALSE)</f>
        <v>10</v>
      </c>
      <c r="W12" s="2">
        <f>VLOOKUP($A12&amp;"_"&amp;$C12, DataSource!$A:$AT, 24, FALSE)</f>
        <v>0.12381250000000001</v>
      </c>
      <c r="X12" s="2" t="str">
        <f>VLOOKUP($A12&amp;"_"&amp;$C12, DataSource!$A:$AT, 25, FALSE)</f>
        <v>1.22704081632653</v>
      </c>
      <c r="Y12" s="2" t="str">
        <f>VLOOKUP($A12&amp;"_"&amp;$C12, DataSource!$A:$AT, 26, FALSE)</f>
        <v>1.45408163265306</v>
      </c>
      <c r="Z12" s="2">
        <f>VLOOKUP($A12&amp;"_"&amp;$C12, DataSource!$A:$AT, 27, FALSE)</f>
        <v>4</v>
      </c>
      <c r="AA12" s="2" t="str">
        <f>VLOOKUP($A12&amp;"_"&amp;$C12, DataSource!$A:$AT, 28, FALSE)</f>
        <v>【云层之上】战技秘杖·引力模式的作用范围+20%。</v>
      </c>
      <c r="AB12" s="2" t="str">
        <f>VLOOKUP($A12&amp;"_"&amp;$C12, DataSource!$A:$AT, 29, FALSE)</f>
        <v>【乘风而行】敌人受到终结技秘杖·重力场的重力紊乱区域影响时，每层破防状态对法术脆弱的提升效果加倍，且结算时视为目标额外拥有1层破防（不超过4层）。</v>
      </c>
      <c r="AC12" s="2" t="str">
        <f>VLOOKUP($A12&amp;"_"&amp;$C12, DataSource!$A:$AT, 30, FALSE)</f>
        <v>【轻盈脚步】天赋信使的歌声效果加强：终结技充能效率额外+5%。</v>
      </c>
      <c r="AD12" s="2" t="str">
        <f>VLOOKUP($A12&amp;"_"&amp;$C12, DataSource!$A:$AT, 31, FALSE)</f>
        <v>【云间舞踏】终结技秘杖·重力场所需的终结技能量-15%。</v>
      </c>
      <c r="AE12" s="2" t="str">
        <f>VLOOKUP($A12&amp;"_"&amp;$C12, DataSource!$A:$AT, 32, FALSE)</f>
        <v>【特别信件】连携技秘杖·矩阵位移冷却时间-2秒，伤害倍率提升至原本的1.3倍。</v>
      </c>
      <c r="AF12" s="2" t="str">
        <f>VLOOKUP($A12&amp;"_"&amp;$C12, DataSource!$A:$AT, 33, FALSE)</f>
        <v>【守誓】干员意志能力值提升20。</v>
      </c>
      <c r="AG12" s="2" t="str">
        <f>VLOOKUP($A12&amp;"_"&amp;$C12, DataSource!$A:$AT, 34, FALSE)</f>
        <v>【守誓】干员意志能力值提升10。</v>
      </c>
      <c r="AH12" s="2" t="str">
        <f>VLOOKUP($A12&amp;"_"&amp;$C12, DataSource!$A:$AT, 35, FALSE)</f>
        <v>【守誓】干员意志能力值提升15。</v>
      </c>
      <c r="AI12" s="2" t="str">
        <f>VLOOKUP($A12&amp;"_"&amp;$C12, DataSource!$A:$AT, 36, FALSE)</f>
        <v>【守誓】干员意志能力值提升15。</v>
      </c>
      <c r="AJ12" s="3">
        <v>1</v>
      </c>
      <c r="AK12" s="2" t="str">
        <f>VLOOKUP($A12&amp;"_"&amp;$C12, DataSource!$A:$AT, 39 + AJ12 - 1, FALSE)</f>
        <v>【信使的歌声 Lv.1】在场时，使小队内所有友方近卫、术师和辅助干员终结技充能效率+4%。</v>
      </c>
      <c r="AL12" s="3">
        <v>1</v>
      </c>
      <c r="AM12" s="2" t="str">
        <f>VLOOKUP($A12&amp;"_"&amp;$C12, DataSource!$A:$AT, 44 + AL12 - 1, FALSE)</f>
        <v>【迟来的回信 Lv.1】战技秘杖·引力模式、连携技秘杖·矩阵位移效果加强：战技秘杖·引力模式最后一击或连携技秘杖·矩阵位移命中至少两个敌人后，回复主控干员[72+智识×0.6]生命值。主控干员生命值已满时，将转而治疗小队中生命值百分比最低的干员。</v>
      </c>
    </row>
    <row r="13" spans="1:39" ht="21.95" customHeight="1" x14ac:dyDescent="0.15">
      <c r="A13" s="4" t="s">
        <v>4103</v>
      </c>
      <c r="B13" s="4" t="str">
        <f>VLOOKUP("chr_0014_aurora_90", DataSource!$A:$P, 3, FALSE)</f>
        <v>昼雪</v>
      </c>
      <c r="C13" s="5">
        <v>90</v>
      </c>
      <c r="D13" s="4" t="str">
        <f>VLOOKUP($A13&amp;"_"&amp;$C13, DataSource!$A:$AT, 5, FALSE)</f>
        <v>Snowshine</v>
      </c>
      <c r="E13" s="4" t="str">
        <f>VLOOKUP($A13&amp;"_"&amp;$C13, DataSource!$A:$AT, 6, FALSE)</f>
        <v>重装</v>
      </c>
      <c r="F13" s="4" t="str">
        <f>VLOOKUP($A13&amp;"_"&amp;$C13, DataSource!$A:$AT, 7, FALSE)</f>
        <v>ENDFIELD INDUSTRIES</v>
      </c>
      <c r="G13" s="4" t="str">
        <f>VLOOKUP($A13&amp;"_"&amp;$C13, DataSource!$A:$AT, 8, FALSE)</f>
        <v>庇护, 治疗, 寒冷附着</v>
      </c>
      <c r="H13" s="4" t="str">
        <f>VLOOKUP($A13&amp;"_"&amp;$C13, DataSource!$A:$AT, 9, FALSE)</f>
        <v>5★</v>
      </c>
      <c r="I13" s="4" t="str">
        <f>VLOOKUP($A13&amp;"_"&amp;$C13, DataSource!$A:$AT, 10, FALSE)</f>
        <v>双手剑</v>
      </c>
      <c r="J13" s="4" t="str">
        <f>VLOOKUP($A13&amp;"_"&amp;$C13, DataSource!$A:$AT, 11, FALSE)</f>
        <v>寒冷</v>
      </c>
      <c r="K13" s="4" t="str">
        <f>VLOOKUP($A13&amp;"_"&amp;$C13, DataSource!$A:$AT, 12, FALSE)</f>
        <v>力量</v>
      </c>
      <c r="L13" s="4" t="str">
        <f>VLOOKUP($A13&amp;"_"&amp;$C13, DataSource!$A:$AT, 13, FALSE)</f>
        <v>意志</v>
      </c>
      <c r="M13" s="4">
        <f>VLOOKUP($A13&amp;"_"&amp;$C13, DataSource!$A:$AT, 14, FALSE)</f>
        <v>5495</v>
      </c>
      <c r="N13" s="4">
        <f>VLOOKUP($A13&amp;"_"&amp;$C13, DataSource!$A:$AT, 15, FALSE)</f>
        <v>297</v>
      </c>
      <c r="O13" s="4">
        <f>VLOOKUP($A13&amp;"_"&amp;$C13, DataSource!$A:$AT, 16, FALSE)</f>
        <v>0</v>
      </c>
      <c r="P13" s="4" t="str">
        <f>VLOOKUP($A13&amp;"_"&amp;$C13, DataSource!$A:$AT, 17, FALSE)</f>
        <v>154.89354092152323</v>
      </c>
      <c r="Q13" s="4" t="str">
        <f>VLOOKUP($A13&amp;"_"&amp;$C13, DataSource!$A:$AT, 18, FALSE)</f>
        <v>104.57685672207023</v>
      </c>
      <c r="R13" s="4" t="str">
        <f>VLOOKUP($A13&amp;"_"&amp;$C13, DataSource!$A:$AT, 19, FALSE)</f>
        <v>93.89690721649515</v>
      </c>
      <c r="S13" s="4" t="str">
        <f>VLOOKUP($A13&amp;"_"&amp;$C13, DataSource!$A:$AT, 20, FALSE)</f>
        <v>108.89999999999999</v>
      </c>
      <c r="T13" s="4" t="str">
        <f>VLOOKUP($A13&amp;"_"&amp;$C13, DataSource!$A:$AT, 21, FALSE)</f>
        <v>5.0%</v>
      </c>
      <c r="U13" s="4" t="str">
        <f>VLOOKUP($A13&amp;"_"&amp;$C13, DataSource!$A:$AT, 22, FALSE)</f>
        <v>50.0%</v>
      </c>
      <c r="V13" s="4">
        <f>VLOOKUP($A13&amp;"_"&amp;$C13, DataSource!$A:$AT, 23, FALSE)</f>
        <v>3</v>
      </c>
      <c r="W13" s="4">
        <f>VLOOKUP($A13&amp;"_"&amp;$C13, DataSource!$A:$AT, 24, FALSE)</f>
        <v>8.3125000000000004E-2</v>
      </c>
      <c r="X13" s="4" t="str">
        <f>VLOOKUP($A13&amp;"_"&amp;$C13, DataSource!$A:$AT, 25, FALSE)</f>
        <v>1.22704081632653</v>
      </c>
      <c r="Y13" s="4" t="str">
        <f>VLOOKUP($A13&amp;"_"&amp;$C13, DataSource!$A:$AT, 26, FALSE)</f>
        <v>1.45408163265306</v>
      </c>
      <c r="Z13" s="4">
        <f>VLOOKUP($A13&amp;"_"&amp;$C13, DataSource!$A:$AT, 27, FALSE)</f>
        <v>4</v>
      </c>
      <c r="AA13" s="4" t="str">
        <f>VLOOKUP($A13&amp;"_"&amp;$C13, DataSource!$A:$AT, 28, FALSE)</f>
        <v>【失温庇护所】战技饱和性防御的格挡效果持续期间，处于庇护状态的友方干员无法被施加法术附着效果。</v>
      </c>
      <c r="AB13" s="4" t="str">
        <f>VLOOKUP($A13&amp;"_"&amp;$C13, DataSource!$A:$AT, 29, FALSE)</f>
        <v>【暴风雪地带】终结技凛冽寒霜的影响范围+20%。</v>
      </c>
      <c r="AC13" s="4" t="str">
        <f>VLOOKUP($A13&amp;"_"&amp;$C13, DataSource!$A:$AT, 30, FALSE)</f>
        <v>【极地生存指南】终结技凛冽寒霜施加的冻结的持续时间+2秒。</v>
      </c>
      <c r="AD13" s="4" t="str">
        <f>VLOOKUP($A13&amp;"_"&amp;$C13, DataSource!$A:$AT, 31, FALSE)</f>
        <v>【冻土坚盾】防御力+20，意志+20。</v>
      </c>
      <c r="AE13" s="4" t="str">
        <f>VLOOKUP($A13&amp;"_"&amp;$C13, DataSource!$A:$AT, 32, FALSE)</f>
        <v>【冰灾应对专家】战技饱和性防御成功反击敌人时，返还10点技力。</v>
      </c>
      <c r="AF13" s="4" t="str">
        <f>VLOOKUP($A13&amp;"_"&amp;$C13, DataSource!$A:$AT, 33, FALSE)</f>
        <v>【锤炼】干员力量能力值提升10。</v>
      </c>
      <c r="AG13" s="4" t="str">
        <f>VLOOKUP($A13&amp;"_"&amp;$C13, DataSource!$A:$AT, 34, FALSE)</f>
        <v>【锤炼】干员力量能力值提升15。</v>
      </c>
      <c r="AH13" s="4" t="str">
        <f>VLOOKUP($A13&amp;"_"&amp;$C13, DataSource!$A:$AT, 35, FALSE)</f>
        <v>【锤炼】干员力量能力值提升15。</v>
      </c>
      <c r="AI13" s="4" t="str">
        <f>VLOOKUP($A13&amp;"_"&amp;$C13, DataSource!$A:$AT, 36, FALSE)</f>
        <v>【锤炼】干员力量能力值提升20。</v>
      </c>
      <c r="AJ13" s="5">
        <v>1</v>
      </c>
      <c r="AK13" s="4" t="str">
        <f>VLOOKUP($A13&amp;"_"&amp;$C13, DataSource!$A:$AT, 39 + AJ13 - 1, FALSE)</f>
        <v>【极地生存 Lv.1】对生命值不高于45%的目标，治疗效果+15%。</v>
      </c>
      <c r="AL13" s="5">
        <v>1</v>
      </c>
      <c r="AM13" s="4" t="str">
        <f>VLOOKUP($A13&amp;"_"&amp;$C13, DataSource!$A:$AT, 44 + AL13 - 1, FALSE)</f>
        <v>【救援专家 Lv.1】战技饱和性防御成功格挡攻击后，额外获得6终结技能量。</v>
      </c>
    </row>
    <row r="14" spans="1:39" ht="21.95" customHeight="1" x14ac:dyDescent="0.15">
      <c r="A14" s="2" t="s">
        <v>6346</v>
      </c>
      <c r="B14" s="2" t="str">
        <f>VLOOKUP("chr_0015_lifeng_90", DataSource!$A:$P, 3, FALSE)</f>
        <v>黎风</v>
      </c>
      <c r="C14" s="3">
        <v>90</v>
      </c>
      <c r="D14" s="2" t="str">
        <f>VLOOKUP($A14&amp;"_"&amp;$C14, DataSource!$A:$AT, 5, FALSE)</f>
        <v>Lifeng</v>
      </c>
      <c r="E14" s="2" t="str">
        <f>VLOOKUP($A14&amp;"_"&amp;$C14, DataSource!$A:$AT, 6, FALSE)</f>
        <v>近卫</v>
      </c>
      <c r="F14" s="2" t="str">
        <f>VLOOKUP($A14&amp;"_"&amp;$C14, DataSource!$A:$AT, 7, FALSE)</f>
        <v>ENDFIELD INDUSTRIES</v>
      </c>
      <c r="G14" s="2" t="str">
        <f>VLOOKUP($A14&amp;"_"&amp;$C14, DataSource!$A:$AT, 8, FALSE)</f>
        <v>倒地, 物理脆弱, 连击</v>
      </c>
      <c r="H14" s="2" t="str">
        <f>VLOOKUP($A14&amp;"_"&amp;$C14, DataSource!$A:$AT, 9, FALSE)</f>
        <v>6★</v>
      </c>
      <c r="I14" s="2" t="str">
        <f>VLOOKUP($A14&amp;"_"&amp;$C14, DataSource!$A:$AT, 10, FALSE)</f>
        <v>长柄武器</v>
      </c>
      <c r="J14" s="2" t="str">
        <f>VLOOKUP($A14&amp;"_"&amp;$C14, DataSource!$A:$AT, 11, FALSE)</f>
        <v>物理</v>
      </c>
      <c r="K14" s="2" t="str">
        <f>VLOOKUP($A14&amp;"_"&amp;$C14, DataSource!$A:$AT, 12, FALSE)</f>
        <v>敏捷</v>
      </c>
      <c r="L14" s="2" t="str">
        <f>VLOOKUP($A14&amp;"_"&amp;$C14, DataSource!$A:$AT, 13, FALSE)</f>
        <v>力量</v>
      </c>
      <c r="M14" s="2">
        <f>VLOOKUP($A14&amp;"_"&amp;$C14, DataSource!$A:$AT, 14, FALSE)</f>
        <v>5495</v>
      </c>
      <c r="N14" s="2">
        <f>VLOOKUP($A14&amp;"_"&amp;$C14, DataSource!$A:$AT, 15, FALSE)</f>
        <v>312</v>
      </c>
      <c r="O14" s="2">
        <f>VLOOKUP($A14&amp;"_"&amp;$C14, DataSource!$A:$AT, 16, FALSE)</f>
        <v>0</v>
      </c>
      <c r="P14" s="2" t="str">
        <f>VLOOKUP($A14&amp;"_"&amp;$C14, DataSource!$A:$AT, 17, FALSE)</f>
        <v>123.70313486219221</v>
      </c>
      <c r="Q14" s="2" t="str">
        <f>VLOOKUP($A14&amp;"_"&amp;$C14, DataSource!$A:$AT, 18, FALSE)</f>
        <v>132.28466231853525</v>
      </c>
      <c r="R14" s="2" t="str">
        <f>VLOOKUP($A14&amp;"_"&amp;$C14, DataSource!$A:$AT, 19, FALSE)</f>
        <v>115.49084788554623</v>
      </c>
      <c r="S14" s="2" t="str">
        <f>VLOOKUP($A14&amp;"_"&amp;$C14, DataSource!$A:$AT, 20, FALSE)</f>
        <v>117.46581106669464</v>
      </c>
      <c r="T14" s="2" t="str">
        <f>VLOOKUP($A14&amp;"_"&amp;$C14, DataSource!$A:$AT, 21, FALSE)</f>
        <v>5.0%</v>
      </c>
      <c r="U14" s="2" t="str">
        <f>VLOOKUP($A14&amp;"_"&amp;$C14, DataSource!$A:$AT, 22, FALSE)</f>
        <v>50.0%</v>
      </c>
      <c r="V14" s="2">
        <f>VLOOKUP($A14&amp;"_"&amp;$C14, DataSource!$A:$AT, 23, FALSE)</f>
        <v>3</v>
      </c>
      <c r="W14" s="2">
        <f>VLOOKUP($A14&amp;"_"&amp;$C14, DataSource!$A:$AT, 24, FALSE)</f>
        <v>0.11812499999999999</v>
      </c>
      <c r="X14" s="2" t="str">
        <f>VLOOKUP($A14&amp;"_"&amp;$C14, DataSource!$A:$AT, 25, FALSE)</f>
        <v>1.22704081632653</v>
      </c>
      <c r="Y14" s="2" t="str">
        <f>VLOOKUP($A14&amp;"_"&amp;$C14, DataSource!$A:$AT, 26, FALSE)</f>
        <v>1.45408163265306</v>
      </c>
      <c r="Z14" s="2">
        <f>VLOOKUP($A14&amp;"_"&amp;$C14, DataSource!$A:$AT, 27, FALSE)</f>
        <v>4</v>
      </c>
      <c r="AA14" s="2" t="str">
        <f>VLOOKUP($A14&amp;"_"&amp;$C14, DataSource!$A:$AT, 28, FALSE)</f>
        <v>【破执】战技荡浊身施加的物理脆弱效果+5%，且对破防层数不超过2层的敌人仍然能触发此额外效果。</v>
      </c>
      <c r="AB14" s="2" t="str">
        <f>VLOOKUP($A14&amp;"_"&amp;$C14, DataSource!$A:$AT, 29, FALSE)</f>
        <v>【修身】全能力+15。</v>
      </c>
      <c r="AC14" s="2" t="str">
        <f>VLOOKUP($A14&amp;"_"&amp;$C14, DataSource!$A:$AT, 30, FALSE)</f>
        <v>【养性】天赋顿悟效果加强：每点智识和意志使攻击力额外+0.05%。</v>
      </c>
      <c r="AD14" s="2" t="str">
        <f>VLOOKUP($A14&amp;"_"&amp;$C14, DataSource!$A:$AT, 31, FALSE)</f>
        <v>【刹那】终结技不动心所需的终结技能量-15%。</v>
      </c>
      <c r="AE14" s="2" t="str">
        <f>VLOOKUP($A14&amp;"_"&amp;$C14, DataSource!$A:$AT, 32, FALSE)</f>
        <v>【不懈】天赋伏魔效果加强：每隔15秒，下一次触发时额外造成攻击力250%的物理伤害和5点失衡。</v>
      </c>
      <c r="AF14" s="2" t="str">
        <f>VLOOKUP($A14&amp;"_"&amp;$C14, DataSource!$A:$AT, 33, FALSE)</f>
        <v>【游刃】干员敏捷能力值提升15。</v>
      </c>
      <c r="AG14" s="2" t="str">
        <f>VLOOKUP($A14&amp;"_"&amp;$C14, DataSource!$A:$AT, 34, FALSE)</f>
        <v>【游刃】干员敏捷能力值提升10。</v>
      </c>
      <c r="AH14" s="2" t="str">
        <f>VLOOKUP($A14&amp;"_"&amp;$C14, DataSource!$A:$AT, 35, FALSE)</f>
        <v>【游刃】干员敏捷能力值提升15。</v>
      </c>
      <c r="AI14" s="2" t="str">
        <f>VLOOKUP($A14&amp;"_"&amp;$C14, DataSource!$A:$AT, 36, FALSE)</f>
        <v>【游刃】干员敏捷能力值提升20。</v>
      </c>
      <c r="AJ14" s="3">
        <v>1</v>
      </c>
      <c r="AK14" s="2" t="str">
        <f>VLOOKUP($A14&amp;"_"&amp;$C14, DataSource!$A:$AT, 39 + AJ14 - 1, FALSE)</f>
        <v>【顿悟 Lv.1】每点智识和意志都会使攻击力额外+0.10%。</v>
      </c>
      <c r="AL14" s="3">
        <v>1</v>
      </c>
      <c r="AM14" s="2" t="str">
        <f>VLOOKUP($A14&amp;"_"&amp;$C14, DataSource!$A:$AT, 44 + AL14 - 1, FALSE)</f>
        <v>【伏魔 Lv.1】每当自身造成倒地时，额外造成攻击力50%的物理伤害。</v>
      </c>
    </row>
    <row r="15" spans="1:39" ht="21.95" customHeight="1" x14ac:dyDescent="0.15">
      <c r="A15" s="4" t="s">
        <v>7262</v>
      </c>
      <c r="B15" s="4" t="str">
        <f>VLOOKUP("chr_0016_laevat_90", DataSource!$A:$P, 3, FALSE)</f>
        <v>莱万汀</v>
      </c>
      <c r="C15" s="5">
        <v>90</v>
      </c>
      <c r="D15" s="4" t="str">
        <f>VLOOKUP($A15&amp;"_"&amp;$C15, DataSource!$A:$AT, 5, FALSE)</f>
        <v>Laevatain</v>
      </c>
      <c r="E15" s="4" t="str">
        <f>VLOOKUP($A15&amp;"_"&amp;$C15, DataSource!$A:$AT, 6, FALSE)</f>
        <v>突击</v>
      </c>
      <c r="F15" s="4" t="str">
        <f>VLOOKUP($A15&amp;"_"&amp;$C15, DataSource!$A:$AT, 7, FALSE)</f>
        <v>ENDFIELD INDUSTRIES</v>
      </c>
      <c r="G15" s="4" t="str">
        <f>VLOOKUP($A15&amp;"_"&amp;$C15, DataSource!$A:$AT, 8, FALSE)</f>
        <v>大量伤害, 燃烧</v>
      </c>
      <c r="H15" s="4" t="str">
        <f>VLOOKUP($A15&amp;"_"&amp;$C15, DataSource!$A:$AT, 9, FALSE)</f>
        <v>6★</v>
      </c>
      <c r="I15" s="4" t="str">
        <f>VLOOKUP($A15&amp;"_"&amp;$C15, DataSource!$A:$AT, 10, FALSE)</f>
        <v>单手剑</v>
      </c>
      <c r="J15" s="4" t="str">
        <f>VLOOKUP($A15&amp;"_"&amp;$C15, DataSource!$A:$AT, 11, FALSE)</f>
        <v>灼热</v>
      </c>
      <c r="K15" s="4" t="str">
        <f>VLOOKUP($A15&amp;"_"&amp;$C15, DataSource!$A:$AT, 12, FALSE)</f>
        <v>智识</v>
      </c>
      <c r="L15" s="4" t="str">
        <f>VLOOKUP($A15&amp;"_"&amp;$C15, DataSource!$A:$AT, 13, FALSE)</f>
        <v>力量</v>
      </c>
      <c r="M15" s="4">
        <f>VLOOKUP($A15&amp;"_"&amp;$C15, DataSource!$A:$AT, 14, FALSE)</f>
        <v>5495</v>
      </c>
      <c r="N15" s="4">
        <f>VLOOKUP($A15&amp;"_"&amp;$C15, DataSource!$A:$AT, 15, FALSE)</f>
        <v>318</v>
      </c>
      <c r="O15" s="4">
        <f>VLOOKUP($A15&amp;"_"&amp;$C15, DataSource!$A:$AT, 16, FALSE)</f>
        <v>0</v>
      </c>
      <c r="P15" s="4" t="str">
        <f>VLOOKUP($A15&amp;"_"&amp;$C15, DataSource!$A:$AT, 17, FALSE)</f>
        <v>121.37445823690337</v>
      </c>
      <c r="Q15" s="4" t="str">
        <f>VLOOKUP($A15&amp;"_"&amp;$C15, DataSource!$A:$AT, 18, FALSE)</f>
        <v>99.97328003366324</v>
      </c>
      <c r="R15" s="4" t="str">
        <f>VLOOKUP($A15&amp;"_"&amp;$C15, DataSource!$A:$AT, 19, FALSE)</f>
        <v>177.9852724594996</v>
      </c>
      <c r="S15" s="4" t="str">
        <f>VLOOKUP($A15&amp;"_"&amp;$C15, DataSource!$A:$AT, 20, FALSE)</f>
        <v>89.81443298969076</v>
      </c>
      <c r="T15" s="4" t="str">
        <f>VLOOKUP($A15&amp;"_"&amp;$C15, DataSource!$A:$AT, 21, FALSE)</f>
        <v>5.0%</v>
      </c>
      <c r="U15" s="4" t="str">
        <f>VLOOKUP($A15&amp;"_"&amp;$C15, DataSource!$A:$AT, 22, FALSE)</f>
        <v>50.0%</v>
      </c>
      <c r="V15" s="4">
        <f>VLOOKUP($A15&amp;"_"&amp;$C15, DataSource!$A:$AT, 23, FALSE)</f>
        <v>5</v>
      </c>
      <c r="W15" s="4">
        <f>VLOOKUP($A15&amp;"_"&amp;$C15, DataSource!$A:$AT, 24, FALSE)</f>
        <v>9.1874999999999998E-2</v>
      </c>
      <c r="X15" s="4" t="str">
        <f>VLOOKUP($A15&amp;"_"&amp;$C15, DataSource!$A:$AT, 25, FALSE)</f>
        <v>1.22704081632653</v>
      </c>
      <c r="Y15" s="4" t="str">
        <f>VLOOKUP($A15&amp;"_"&amp;$C15, DataSource!$A:$AT, 26, FALSE)</f>
        <v>1.45408163265306</v>
      </c>
      <c r="Z15" s="4">
        <f>VLOOKUP($A15&amp;"_"&amp;$C15, DataSource!$A:$AT, 27, FALSE)</f>
        <v>4</v>
      </c>
      <c r="AA15" s="4" t="str">
        <f>VLOOKUP($A15&amp;"_"&amp;$C15, DataSource!$A:$AT, 28, FALSE)</f>
        <v>【熔火之心】战技焚灭的追加攻击的伤害倍率提升至原本的1.2倍，且命中后返还20点技力。</v>
      </c>
      <c r="AB15" s="4" t="str">
        <f>VLOOKUP($A15&amp;"_"&amp;$C15, DataSource!$A:$AT, 29, FALSE)</f>
        <v>【追忆之旅】智识+20，普通攻击伤害+15%。</v>
      </c>
      <c r="AC15" s="4" t="str">
        <f>VLOOKUP($A15&amp;"_"&amp;$C15, DataSource!$A:$AT, 30, FALSE)</f>
        <v>【往事碎片】战技焚灭造成的燃烧持续时间+50%，且燃烧的伤害提升至原本的1.5倍。</v>
      </c>
      <c r="AD15" s="4" t="str">
        <f>VLOOKUP($A15&amp;"_"&amp;$C15, DataSource!$A:$AT, 31, FALSE)</f>
        <v>【冰淇淋熔炉】终结技黄昏所需的终结技能量-15%。</v>
      </c>
      <c r="AE15" s="4" t="str">
        <f>VLOOKUP($A15&amp;"_"&amp;$C15, DataSource!$A:$AT, 32, FALSE)</f>
        <v>【存在的证明】终结技黄昏的强化普通攻击的伤害倍率提升至原本的1.2倍，且终结技期间，莱万汀每击败一个敌人，终结技的持续时间+1秒。（最多+7秒）</v>
      </c>
      <c r="AF15" s="4" t="str">
        <f>VLOOKUP($A15&amp;"_"&amp;$C15, DataSource!$A:$AT, 33, FALSE)</f>
        <v>【明晰】干员智识能力值提升20。</v>
      </c>
      <c r="AG15" s="4" t="str">
        <f>VLOOKUP($A15&amp;"_"&amp;$C15, DataSource!$A:$AT, 34, FALSE)</f>
        <v>【明晰】干员智识能力值提升10。</v>
      </c>
      <c r="AH15" s="4" t="str">
        <f>VLOOKUP($A15&amp;"_"&amp;$C15, DataSource!$A:$AT, 35, FALSE)</f>
        <v>【明晰】干员智识能力值提升15。</v>
      </c>
      <c r="AI15" s="4" t="str">
        <f>VLOOKUP($A15&amp;"_"&amp;$C15, DataSource!$A:$AT, 36, FALSE)</f>
        <v>【明晰】干员智识能力值提升15。</v>
      </c>
      <c r="AJ15" s="5">
        <v>1</v>
      </c>
      <c r="AK15" s="4" t="str">
        <f>VLOOKUP($A15&amp;"_"&amp;$C15, DataSource!$A:$AT, 39 + AJ15 - 1, FALSE)</f>
        <v>【灼心 Lv.1】主控干员重击或处决命中后，莱万汀会吸收周围敌人的灼热附着。每吸收一层灼热附着，自身获得一层熔火，最多叠加4层。达到4层后，莱万汀造成的伤害无视敌人10点灼热抗性，持续20秒。附近敌人被击败时，身上的灼热附着也会被吸收。</v>
      </c>
      <c r="AL15" s="5">
        <v>1</v>
      </c>
      <c r="AM15" s="4" t="str">
        <f>VLOOKUP($A15&amp;"_"&amp;$C15, DataSource!$A:$AT, 44 + AL15 - 1, FALSE)</f>
        <v>【复燃 Lv.1】当生命值低于40%时，获得90%庇护，并每秒回复5%最大生命值，持续4秒。该效果每120秒最多触发一次。</v>
      </c>
    </row>
    <row r="16" spans="1:39" ht="21.95" customHeight="1" x14ac:dyDescent="0.15">
      <c r="A16" s="2" t="s">
        <v>4922</v>
      </c>
      <c r="B16" s="2" t="str">
        <f>VLOOKUP("chr_0017_yvonne_90", DataSource!$A:$P, 3, FALSE)</f>
        <v>伊冯</v>
      </c>
      <c r="C16" s="3">
        <v>90</v>
      </c>
      <c r="D16" s="2" t="str">
        <f>VLOOKUP($A16&amp;"_"&amp;$C16, DataSource!$A:$AT, 5, FALSE)</f>
        <v>Yvonne</v>
      </c>
      <c r="E16" s="2" t="str">
        <f>VLOOKUP($A16&amp;"_"&amp;$C16, DataSource!$A:$AT, 6, FALSE)</f>
        <v>突击</v>
      </c>
      <c r="F16" s="2" t="str">
        <f>VLOOKUP($A16&amp;"_"&amp;$C16, DataSource!$A:$AT, 7, FALSE)</f>
        <v>ENDFIELD INDUSTRIES</v>
      </c>
      <c r="G16" s="2" t="str">
        <f>VLOOKUP($A16&amp;"_"&amp;$C16, DataSource!$A:$AT, 8, FALSE)</f>
        <v>大量伤害, 冻结, 暴击</v>
      </c>
      <c r="H16" s="2" t="str">
        <f>VLOOKUP($A16&amp;"_"&amp;$C16, DataSource!$A:$AT, 9, FALSE)</f>
        <v>6★</v>
      </c>
      <c r="I16" s="2" t="str">
        <f>VLOOKUP($A16&amp;"_"&amp;$C16, DataSource!$A:$AT, 10, FALSE)</f>
        <v>手铳</v>
      </c>
      <c r="J16" s="2" t="str">
        <f>VLOOKUP($A16&amp;"_"&amp;$C16, DataSource!$A:$AT, 11, FALSE)</f>
        <v>寒冷</v>
      </c>
      <c r="K16" s="2" t="str">
        <f>VLOOKUP($A16&amp;"_"&amp;$C16, DataSource!$A:$AT, 12, FALSE)</f>
        <v>智识</v>
      </c>
      <c r="L16" s="2" t="str">
        <f>VLOOKUP($A16&amp;"_"&amp;$C16, DataSource!$A:$AT, 13, FALSE)</f>
        <v>敏捷</v>
      </c>
      <c r="M16" s="2">
        <f>VLOOKUP($A16&amp;"_"&amp;$C16, DataSource!$A:$AT, 14, FALSE)</f>
        <v>5495</v>
      </c>
      <c r="N16" s="2">
        <f>VLOOKUP($A16&amp;"_"&amp;$C16, DataSource!$A:$AT, 15, FALSE)</f>
        <v>321</v>
      </c>
      <c r="O16" s="2">
        <f>VLOOKUP($A16&amp;"_"&amp;$C16, DataSource!$A:$AT, 16, FALSE)</f>
        <v>0</v>
      </c>
      <c r="P16" s="2" t="str">
        <f>VLOOKUP($A16&amp;"_"&amp;$C16, DataSource!$A:$AT, 17, FALSE)</f>
        <v>82.67010309278352</v>
      </c>
      <c r="Q16" s="2" t="str">
        <f>VLOOKUP($A16&amp;"_"&amp;$C16, DataSource!$A:$AT, 18, FALSE)</f>
        <v>128.1521986114033</v>
      </c>
      <c r="R16" s="2" t="str">
        <f>VLOOKUP($A16&amp;"_"&amp;$C16, DataSource!$A:$AT, 19, FALSE)</f>
        <v>176.68156953503043</v>
      </c>
      <c r="S16" s="2" t="str">
        <f>VLOOKUP($A16&amp;"_"&amp;$C16, DataSource!$A:$AT, 20, FALSE)</f>
        <v>105.12371134020616</v>
      </c>
      <c r="T16" s="2" t="str">
        <f>VLOOKUP($A16&amp;"_"&amp;$C16, DataSource!$A:$AT, 21, FALSE)</f>
        <v>5.0%</v>
      </c>
      <c r="U16" s="2" t="str">
        <f>VLOOKUP($A16&amp;"_"&amp;$C16, DataSource!$A:$AT, 22, FALSE)</f>
        <v>50.0%</v>
      </c>
      <c r="V16" s="2">
        <f>VLOOKUP($A16&amp;"_"&amp;$C16, DataSource!$A:$AT, 23, FALSE)</f>
        <v>10</v>
      </c>
      <c r="W16" s="2">
        <f>VLOOKUP($A16&amp;"_"&amp;$C16, DataSource!$A:$AT, 24, FALSE)</f>
        <v>0.1150625</v>
      </c>
      <c r="X16" s="2" t="str">
        <f>VLOOKUP($A16&amp;"_"&amp;$C16, DataSource!$A:$AT, 25, FALSE)</f>
        <v>1.22704081632653</v>
      </c>
      <c r="Y16" s="2" t="str">
        <f>VLOOKUP($A16&amp;"_"&amp;$C16, DataSource!$A:$AT, 26, FALSE)</f>
        <v>1.45408163265306</v>
      </c>
      <c r="Z16" s="2">
        <f>VLOOKUP($A16&amp;"_"&amp;$C16, DataSource!$A:$AT, 27, FALSE)</f>
        <v>4</v>
      </c>
      <c r="AA16" s="2" t="str">
        <f>VLOOKUP($A16&amp;"_"&amp;$C16, DataSource!$A:$AT, 28, FALSE)</f>
        <v>【速冻帮手】连携技速冻仔·υ37的作用范围+20%，额外施放2次能量，且造成伤害后，额外获得15点终结技能量。</v>
      </c>
      <c r="AB16" s="2" t="str">
        <f>VLOOKUP($A16&amp;"_"&amp;$C16, DataSource!$A:$AT, 29, FALSE)</f>
        <v>【完美造物】智识+20，暴击率+7%。</v>
      </c>
      <c r="AC16" s="2" t="str">
        <f>VLOOKUP($A16&amp;"_"&amp;$C16, DataSource!$A:$AT, 30, FALSE)</f>
        <v>【嘀嗒充能】天赋冰点效果加强：对处于寒冷附着状态的敌人造成的暴击伤害额外+10%；对处于冻结状态的敌人效果同样加倍。</v>
      </c>
      <c r="AD16" s="2" t="str">
        <f>VLOOKUP($A16&amp;"_"&amp;$C16, DataSource!$A:$AT, 31, FALSE)</f>
        <v>【叛逆心情】战技冰冰弹·β型的爆炸仅命中单个敌人时，返还10点技力。</v>
      </c>
      <c r="AE16" s="2" t="str">
        <f>VLOOKUP($A16&amp;"_"&amp;$C16, DataSource!$A:$AT, 32, FALSE)</f>
        <v>【机巧专家】终结技冷冻射手持续期间，攻击力+10%，暴击伤害+30%。</v>
      </c>
      <c r="AF16" s="2" t="str">
        <f>VLOOKUP($A16&amp;"_"&amp;$C16, DataSource!$A:$AT, 33, FALSE)</f>
        <v>【明晰】干员智识能力值提升10。</v>
      </c>
      <c r="AG16" s="2" t="str">
        <f>VLOOKUP($A16&amp;"_"&amp;$C16, DataSource!$A:$AT, 34, FALSE)</f>
        <v>【明晰】干员智识能力值提升15。</v>
      </c>
      <c r="AH16" s="2" t="str">
        <f>VLOOKUP($A16&amp;"_"&amp;$C16, DataSource!$A:$AT, 35, FALSE)</f>
        <v>【明晰】干员智识能力值提升15。</v>
      </c>
      <c r="AI16" s="2" t="str">
        <f>VLOOKUP($A16&amp;"_"&amp;$C16, DataSource!$A:$AT, 36, FALSE)</f>
        <v>【明晰】干员智识能力值提升20。</v>
      </c>
      <c r="AJ16" s="3">
        <v>1</v>
      </c>
      <c r="AK16" s="2" t="str">
        <f>VLOOKUP($A16&amp;"_"&amp;$C16, DataSource!$A:$AT, 39 + AJ16 - 1, FALSE)</f>
        <v>【科技连击 Lv.1】战技冰冰弹·β型成功施加冻结后，下一次普通攻击直接施放重击。</v>
      </c>
      <c r="AL16" s="3">
        <v>1</v>
      </c>
      <c r="AM16" s="2" t="str">
        <f>VLOOKUP($A16&amp;"_"&amp;$C16, DataSource!$A:$AT, 44 + AL16 - 1, FALSE)</f>
        <v>【冰点 Lv.1】对处于寒冷附着状态的敌人造成的暴击伤害+10%；对处于冻结状态的敌人效果加倍。</v>
      </c>
    </row>
    <row r="17" spans="1:39" ht="21.95" customHeight="1" x14ac:dyDescent="0.15">
      <c r="A17" s="4" t="s">
        <v>7672</v>
      </c>
      <c r="B17" s="4" t="str">
        <f>VLOOKUP("chr_0018_dapan_90", DataSource!$A:$P, 3, FALSE)</f>
        <v>大潘</v>
      </c>
      <c r="C17" s="5">
        <v>90</v>
      </c>
      <c r="D17" s="4" t="str">
        <f>VLOOKUP($A17&amp;"_"&amp;$C17, DataSource!$A:$AT, 5, FALSE)</f>
        <v>Da Pan</v>
      </c>
      <c r="E17" s="4" t="str">
        <f>VLOOKUP($A17&amp;"_"&amp;$C17, DataSource!$A:$AT, 6, FALSE)</f>
        <v>突击</v>
      </c>
      <c r="F17" s="4" t="str">
        <f>VLOOKUP($A17&amp;"_"&amp;$C17, DataSource!$A:$AT, 7, FALSE)</f>
        <v>ENDFIELD INDUSTRIES</v>
      </c>
      <c r="G17" s="4" t="str">
        <f>VLOOKUP($A17&amp;"_"&amp;$C17, DataSource!$A:$AT, 8, FALSE)</f>
        <v>大量伤害, 击飞, 猛击</v>
      </c>
      <c r="H17" s="4" t="str">
        <f>VLOOKUP($A17&amp;"_"&amp;$C17, DataSource!$A:$AT, 9, FALSE)</f>
        <v>5★</v>
      </c>
      <c r="I17" s="4" t="str">
        <f>VLOOKUP($A17&amp;"_"&amp;$C17, DataSource!$A:$AT, 10, FALSE)</f>
        <v>双手剑</v>
      </c>
      <c r="J17" s="4" t="str">
        <f>VLOOKUP($A17&amp;"_"&amp;$C17, DataSource!$A:$AT, 11, FALSE)</f>
        <v>物理</v>
      </c>
      <c r="K17" s="4" t="str">
        <f>VLOOKUP($A17&amp;"_"&amp;$C17, DataSource!$A:$AT, 12, FALSE)</f>
        <v>力量</v>
      </c>
      <c r="L17" s="4" t="str">
        <f>VLOOKUP($A17&amp;"_"&amp;$C17, DataSource!$A:$AT, 13, FALSE)</f>
        <v>意志</v>
      </c>
      <c r="M17" s="4">
        <f>VLOOKUP($A17&amp;"_"&amp;$C17, DataSource!$A:$AT, 14, FALSE)</f>
        <v>5495</v>
      </c>
      <c r="N17" s="4">
        <f>VLOOKUP($A17&amp;"_"&amp;$C17, DataSource!$A:$AT, 15, FALSE)</f>
        <v>303</v>
      </c>
      <c r="O17" s="4">
        <f>VLOOKUP($A17&amp;"_"&amp;$C17, DataSource!$A:$AT, 16, FALSE)</f>
        <v>0</v>
      </c>
      <c r="P17" s="4" t="str">
        <f>VLOOKUP($A17&amp;"_"&amp;$C17, DataSource!$A:$AT, 17, FALSE)</f>
        <v>175.13644014306792</v>
      </c>
      <c r="Q17" s="4" t="str">
        <f>VLOOKUP($A17&amp;"_"&amp;$C17, DataSource!$A:$AT, 18, FALSE)</f>
        <v>96.95876288659824</v>
      </c>
      <c r="R17" s="4" t="str">
        <f>VLOOKUP($A17&amp;"_"&amp;$C17, DataSource!$A:$AT, 19, FALSE)</f>
        <v>94.96486429623367</v>
      </c>
      <c r="S17" s="4" t="str">
        <f>VLOOKUP($A17&amp;"_"&amp;$C17, DataSource!$A:$AT, 20, FALSE)</f>
        <v>102.17433200084197</v>
      </c>
      <c r="T17" s="4" t="str">
        <f>VLOOKUP($A17&amp;"_"&amp;$C17, DataSource!$A:$AT, 21, FALSE)</f>
        <v>5.0%</v>
      </c>
      <c r="U17" s="4" t="str">
        <f>VLOOKUP($A17&amp;"_"&amp;$C17, DataSource!$A:$AT, 22, FALSE)</f>
        <v>50.0%</v>
      </c>
      <c r="V17" s="4">
        <f>VLOOKUP($A17&amp;"_"&amp;$C17, DataSource!$A:$AT, 23, FALSE)</f>
        <v>3</v>
      </c>
      <c r="W17" s="4">
        <f>VLOOKUP($A17&amp;"_"&amp;$C17, DataSource!$A:$AT, 24, FALSE)</f>
        <v>0.109375</v>
      </c>
      <c r="X17" s="4" t="str">
        <f>VLOOKUP($A17&amp;"_"&amp;$C17, DataSource!$A:$AT, 25, FALSE)</f>
        <v>1.22704081632653</v>
      </c>
      <c r="Y17" s="4" t="str">
        <f>VLOOKUP($A17&amp;"_"&amp;$C17, DataSource!$A:$AT, 26, FALSE)</f>
        <v>1.45408163265306</v>
      </c>
      <c r="Z17" s="4">
        <f>VLOOKUP($A17&amp;"_"&amp;$C17, DataSource!$A:$AT, 27, FALSE)</f>
        <v>4</v>
      </c>
      <c r="AA17" s="4" t="str">
        <f>VLOOKUP($A17&amp;"_"&amp;$C17, DataSource!$A:$AT, 28, FALSE)</f>
        <v>【精烹细作】如果终结技切丝入锅！至少击败了一个敌人，大潘造成的物理伤害+30%，持续15秒，该效果无法叠加。</v>
      </c>
      <c r="AB17" s="4" t="str">
        <f>VLOOKUP($A17&amp;"_"&amp;$C17, DataSource!$A:$AT, 29, FALSE)</f>
        <v>【五味调和】天赋尝尝咸淡效果加强：备料状态持续时间+10秒，最大叠加层数+1。</v>
      </c>
      <c r="AC17" s="4" t="str">
        <f>VLOOKUP($A17&amp;"_"&amp;$C17, DataSource!$A:$AT, 30, FALSE)</f>
        <v>【先进工作者】力量+15，造成的物理伤害+8%。</v>
      </c>
      <c r="AD17" s="4" t="str">
        <f>VLOOKUP($A17&amp;"_"&amp;$C17, DataSource!$A:$AT, 31, FALSE)</f>
        <v>【自制酱料】终结技切丝入锅！所需的终结技能量-15%。</v>
      </c>
      <c r="AE17" s="4" t="str">
        <f>VLOOKUP($A17&amp;"_"&amp;$C17, DataSource!$A:$AT, 32, FALSE)</f>
        <v>【猛火收汁】战技颠勺！如果仅命中单个敌人，对目标额外施加一层破防，该效果每45秒最多触发一次。</v>
      </c>
      <c r="AF17" s="4" t="str">
        <f>VLOOKUP($A17&amp;"_"&amp;$C17, DataSource!$A:$AT, 33, FALSE)</f>
        <v>【锤炼】干员力量能力值提升10。</v>
      </c>
      <c r="AG17" s="4" t="str">
        <f>VLOOKUP($A17&amp;"_"&amp;$C17, DataSource!$A:$AT, 34, FALSE)</f>
        <v>【锤炼】干员力量能力值提升15。</v>
      </c>
      <c r="AH17" s="4" t="str">
        <f>VLOOKUP($A17&amp;"_"&amp;$C17, DataSource!$A:$AT, 35, FALSE)</f>
        <v>【锤炼】干员力量能力值提升15。</v>
      </c>
      <c r="AI17" s="4" t="str">
        <f>VLOOKUP($A17&amp;"_"&amp;$C17, DataSource!$A:$AT, 36, FALSE)</f>
        <v>【锤炼】干员力量能力值提升20。</v>
      </c>
      <c r="AJ17" s="5">
        <v>1</v>
      </c>
      <c r="AK17" s="4" t="str">
        <f>VLOOKUP($A17&amp;"_"&amp;$C17, DataSource!$A:$AT, 39 + AJ17 - 1, FALSE)</f>
        <v>【尝尝咸淡 Lv.1】终结技切丝入锅！的最后一击每命中一个敌人，获得一层备料状态，持续20秒，最多叠加1层。当处于备料状态时，连携技命中敌人后立即恢复40%冷却时间并消耗一层备料状态。</v>
      </c>
      <c r="AL17" s="5">
        <v>1</v>
      </c>
      <c r="AM17" s="4" t="str">
        <f>VLOOKUP($A17&amp;"_"&amp;$C17, DataSource!$A:$AT, 44 + AL17 - 1, FALSE)</f>
        <v>【勾芡 Lv.1】每消耗1层破防后，造成的物理伤害+4%，持续10秒，该效果最多叠加4层。</v>
      </c>
    </row>
    <row r="18" spans="1:39" ht="21.95" customHeight="1" x14ac:dyDescent="0.15">
      <c r="A18" s="2" t="s">
        <v>8082</v>
      </c>
      <c r="B18" s="2" t="str">
        <f>VLOOKUP("chr_0019_karin_90", DataSource!$A:$P, 3, FALSE)</f>
        <v>秋栗</v>
      </c>
      <c r="C18" s="3">
        <v>90</v>
      </c>
      <c r="D18" s="2" t="str">
        <f>VLOOKUP($A18&amp;"_"&amp;$C18, DataSource!$A:$AT, 5, FALSE)</f>
        <v>Akekuri</v>
      </c>
      <c r="E18" s="2" t="str">
        <f>VLOOKUP($A18&amp;"_"&amp;$C18, DataSource!$A:$AT, 6, FALSE)</f>
        <v>先锋</v>
      </c>
      <c r="F18" s="2" t="str">
        <f>VLOOKUP($A18&amp;"_"&amp;$C18, DataSource!$A:$AT, 7, FALSE)</f>
        <v>ENDFIELD INDUSTRIES</v>
      </c>
      <c r="G18" s="2" t="str">
        <f>VLOOKUP($A18&amp;"_"&amp;$C18, DataSource!$A:$AT, 8, FALSE)</f>
        <v>技力恢复, 灼热附着, 连击</v>
      </c>
      <c r="H18" s="2" t="str">
        <f>VLOOKUP($A18&amp;"_"&amp;$C18, DataSource!$A:$AT, 9, FALSE)</f>
        <v>4★</v>
      </c>
      <c r="I18" s="2" t="str">
        <f>VLOOKUP($A18&amp;"_"&amp;$C18, DataSource!$A:$AT, 10, FALSE)</f>
        <v>单手剑</v>
      </c>
      <c r="J18" s="2" t="str">
        <f>VLOOKUP($A18&amp;"_"&amp;$C18, DataSource!$A:$AT, 11, FALSE)</f>
        <v>灼热</v>
      </c>
      <c r="K18" s="2" t="str">
        <f>VLOOKUP($A18&amp;"_"&amp;$C18, DataSource!$A:$AT, 12, FALSE)</f>
        <v>敏捷</v>
      </c>
      <c r="L18" s="2" t="str">
        <f>VLOOKUP($A18&amp;"_"&amp;$C18, DataSource!$A:$AT, 13, FALSE)</f>
        <v>智识</v>
      </c>
      <c r="M18" s="2">
        <f>VLOOKUP($A18&amp;"_"&amp;$C18, DataSource!$A:$AT, 14, FALSE)</f>
        <v>5495</v>
      </c>
      <c r="N18" s="2">
        <f>VLOOKUP($A18&amp;"_"&amp;$C18, DataSource!$A:$AT, 15, FALSE)</f>
        <v>319</v>
      </c>
      <c r="O18" s="2">
        <f>VLOOKUP($A18&amp;"_"&amp;$C18, DataSource!$A:$AT, 16, FALSE)</f>
        <v>0</v>
      </c>
      <c r="P18" s="2" t="str">
        <f>VLOOKUP($A18&amp;"_"&amp;$C18, DataSource!$A:$AT, 17, FALSE)</f>
        <v>110.43509362507857</v>
      </c>
      <c r="Q18" s="2" t="str">
        <f>VLOOKUP($A18&amp;"_"&amp;$C18, DataSource!$A:$AT, 18, FALSE)</f>
        <v>140.9305701662104</v>
      </c>
      <c r="R18" s="2" t="str">
        <f>VLOOKUP($A18&amp;"_"&amp;$C18, DataSource!$A:$AT, 19, FALSE)</f>
        <v>106.81085630128382</v>
      </c>
      <c r="S18" s="2" t="str">
        <f>VLOOKUP($A18&amp;"_"&amp;$C18, DataSource!$A:$AT, 20, FALSE)</f>
        <v>108.0340837365874</v>
      </c>
      <c r="T18" s="2" t="str">
        <f>VLOOKUP($A18&amp;"_"&amp;$C18, DataSource!$A:$AT, 21, FALSE)</f>
        <v>5.0%</v>
      </c>
      <c r="U18" s="2" t="str">
        <f>VLOOKUP($A18&amp;"_"&amp;$C18, DataSource!$A:$AT, 22, FALSE)</f>
        <v>50.0%</v>
      </c>
      <c r="V18" s="2">
        <f>VLOOKUP($A18&amp;"_"&amp;$C18, DataSource!$A:$AT, 23, FALSE)</f>
        <v>3</v>
      </c>
      <c r="W18" s="2">
        <f>VLOOKUP($A18&amp;"_"&amp;$C18, DataSource!$A:$AT, 24, FALSE)</f>
        <v>0.14000000000000001</v>
      </c>
      <c r="X18" s="2" t="str">
        <f>VLOOKUP($A18&amp;"_"&amp;$C18, DataSource!$A:$AT, 25, FALSE)</f>
        <v>1.22704081632653</v>
      </c>
      <c r="Y18" s="2" t="str">
        <f>VLOOKUP($A18&amp;"_"&amp;$C18, DataSource!$A:$AT, 26, FALSE)</f>
        <v>1.45408163265306</v>
      </c>
      <c r="Z18" s="2">
        <f>VLOOKUP($A18&amp;"_"&amp;$C18, DataSource!$A:$AT, 27, FALSE)</f>
        <v>4</v>
      </c>
      <c r="AA18" s="2" t="str">
        <f>VLOOKUP($A18&amp;"_"&amp;$C18, DataSource!$A:$AT, 28, FALSE)</f>
        <v>【正向反馈】通过技能恢复技力后，攻击力+10%，持续10秒，该效果最多叠加5层。</v>
      </c>
      <c r="AB18" s="2" t="str">
        <f>VLOOKUP($A18&amp;"_"&amp;$C18, DataSource!$A:$AT, 29, FALSE)</f>
        <v>【理想热忱】敏捷+10，智识+10。</v>
      </c>
      <c r="AC18" s="2" t="str">
        <f>VLOOKUP($A18&amp;"_"&amp;$C18, DataSource!$A:$AT, 30, FALSE)</f>
        <v>【全力协作】施放终结技小队，集结！期间，全队攻击力+10%。</v>
      </c>
      <c r="AD18" s="2" t="str">
        <f>VLOOKUP($A18&amp;"_"&amp;$C18, DataSource!$A:$AT, 31, FALSE)</f>
        <v>【满分状态】终结技小队，集结！所需的终结技能量-10%。</v>
      </c>
      <c r="AE18" s="2" t="str">
        <f>VLOOKUP($A18&amp;"_"&amp;$C18, DataSource!$A:$AT, 32, FALSE)</f>
        <v>【残心节奏】天赋心流时间效果加强：连击在终结技小队，集结！结束后还会持续5秒。</v>
      </c>
      <c r="AF18" s="2" t="str">
        <f>VLOOKUP($A18&amp;"_"&amp;$C18, DataSource!$A:$AT, 33, FALSE)</f>
        <v>【游刃】干员敏捷能力值提升10。</v>
      </c>
      <c r="AG18" s="2" t="str">
        <f>VLOOKUP($A18&amp;"_"&amp;$C18, DataSource!$A:$AT, 34, FALSE)</f>
        <v>【游刃】干员敏捷能力值提升15。</v>
      </c>
      <c r="AH18" s="2" t="str">
        <f>VLOOKUP($A18&amp;"_"&amp;$C18, DataSource!$A:$AT, 35, FALSE)</f>
        <v>【游刃】干员敏捷能力值提升20。</v>
      </c>
      <c r="AI18" s="2" t="str">
        <f>VLOOKUP($A18&amp;"_"&amp;$C18, DataSource!$A:$AT, 36, FALSE)</f>
        <v>【游刃】干员敏捷能力值提升15。</v>
      </c>
      <c r="AJ18" s="3">
        <v>1</v>
      </c>
      <c r="AK18" s="2" t="str">
        <f>VLOOKUP($A18&amp;"_"&amp;$C18, DataSource!$A:$AT, 39 + AJ18 - 1, FALSE)</f>
        <v>【胜利喝彩 Lv.1】每10点智识会使连携技快闪冲击的技力恢复量+1.0%，最多提高50%。</v>
      </c>
      <c r="AL18" s="3">
        <v>1</v>
      </c>
      <c r="AM18" s="2" t="str">
        <f>VLOOKUP($A18&amp;"_"&amp;$C18, DataSource!$A:$AT, 44 + AL18 - 1, FALSE)</f>
        <v>【心流时间 Lv.1】施放终结技小队，集结！期间，获得连击。</v>
      </c>
    </row>
    <row r="19" spans="1:39" ht="21.95" customHeight="1" x14ac:dyDescent="0.15">
      <c r="A19" s="4" t="s">
        <v>715</v>
      </c>
      <c r="B19" s="4" t="str">
        <f>VLOOKUP("chr_0020_meurs_90", DataSource!$A:$P, 3, FALSE)</f>
        <v>卡契尔</v>
      </c>
      <c r="C19" s="5">
        <v>90</v>
      </c>
      <c r="D19" s="4" t="str">
        <f>VLOOKUP($A19&amp;"_"&amp;$C19, DataSource!$A:$AT, 5, FALSE)</f>
        <v>Catcher</v>
      </c>
      <c r="E19" s="4" t="str">
        <f>VLOOKUP($A19&amp;"_"&amp;$C19, DataSource!$A:$AT, 6, FALSE)</f>
        <v>重装</v>
      </c>
      <c r="F19" s="4" t="str">
        <f>VLOOKUP($A19&amp;"_"&amp;$C19, DataSource!$A:$AT, 7, FALSE)</f>
        <v>ENDFIELD INDUSTRIES</v>
      </c>
      <c r="G19" s="4" t="str">
        <f>VLOOKUP($A19&amp;"_"&amp;$C19, DataSource!$A:$AT, 8, FALSE)</f>
        <v>庇护, 护盾, 虚弱</v>
      </c>
      <c r="H19" s="4" t="str">
        <f>VLOOKUP($A19&amp;"_"&amp;$C19, DataSource!$A:$AT, 9, FALSE)</f>
        <v>4★</v>
      </c>
      <c r="I19" s="4" t="str">
        <f>VLOOKUP($A19&amp;"_"&amp;$C19, DataSource!$A:$AT, 10, FALSE)</f>
        <v>双手剑</v>
      </c>
      <c r="J19" s="4" t="str">
        <f>VLOOKUP($A19&amp;"_"&amp;$C19, DataSource!$A:$AT, 11, FALSE)</f>
        <v>物理</v>
      </c>
      <c r="K19" s="4" t="str">
        <f>VLOOKUP($A19&amp;"_"&amp;$C19, DataSource!$A:$AT, 12, FALSE)</f>
        <v>力量</v>
      </c>
      <c r="L19" s="4" t="str">
        <f>VLOOKUP($A19&amp;"_"&amp;$C19, DataSource!$A:$AT, 13, FALSE)</f>
        <v>意志</v>
      </c>
      <c r="M19" s="4">
        <f>VLOOKUP($A19&amp;"_"&amp;$C19, DataSource!$A:$AT, 14, FALSE)</f>
        <v>5495</v>
      </c>
      <c r="N19" s="4">
        <f>VLOOKUP($A19&amp;"_"&amp;$C19, DataSource!$A:$AT, 15, FALSE)</f>
        <v>300</v>
      </c>
      <c r="O19" s="4">
        <f>VLOOKUP($A19&amp;"_"&amp;$C19, DataSource!$A:$AT, 16, FALSE)</f>
        <v>0</v>
      </c>
      <c r="P19" s="4" t="str">
        <f>VLOOKUP($A19&amp;"_"&amp;$C19, DataSource!$A:$AT, 17, FALSE)</f>
        <v>176.41173995371338</v>
      </c>
      <c r="Q19" s="4" t="str">
        <f>VLOOKUP($A19&amp;"_"&amp;$C19, DataSource!$A:$AT, 18, FALSE)</f>
        <v>96.95876288659824</v>
      </c>
      <c r="R19" s="4" t="str">
        <f>VLOOKUP($A19&amp;"_"&amp;$C19, DataSource!$A:$AT, 19, FALSE)</f>
        <v>86.75257731958767</v>
      </c>
      <c r="S19" s="4" t="str">
        <f>VLOOKUP($A19&amp;"_"&amp;$C19, DataSource!$A:$AT, 20, FALSE)</f>
        <v>106.71712602566842</v>
      </c>
      <c r="T19" s="4" t="str">
        <f>VLOOKUP($A19&amp;"_"&amp;$C19, DataSource!$A:$AT, 21, FALSE)</f>
        <v>5.0%</v>
      </c>
      <c r="U19" s="4" t="str">
        <f>VLOOKUP($A19&amp;"_"&amp;$C19, DataSource!$A:$AT, 22, FALSE)</f>
        <v>50.0%</v>
      </c>
      <c r="V19" s="4">
        <f>VLOOKUP($A19&amp;"_"&amp;$C19, DataSource!$A:$AT, 23, FALSE)</f>
        <v>3</v>
      </c>
      <c r="W19" s="4">
        <f>VLOOKUP($A19&amp;"_"&amp;$C19, DataSource!$A:$AT, 24, FALSE)</f>
        <v>9.5812499999999995E-2</v>
      </c>
      <c r="X19" s="4" t="str">
        <f>VLOOKUP($A19&amp;"_"&amp;$C19, DataSource!$A:$AT, 25, FALSE)</f>
        <v>1.22704081632653</v>
      </c>
      <c r="Y19" s="4" t="str">
        <f>VLOOKUP($A19&amp;"_"&amp;$C19, DataSource!$A:$AT, 26, FALSE)</f>
        <v>1.45408163265306</v>
      </c>
      <c r="Z19" s="4">
        <f>VLOOKUP($A19&amp;"_"&amp;$C19, DataSource!$A:$AT, 27, FALSE)</f>
        <v>4</v>
      </c>
      <c r="AA19" s="4" t="str">
        <f>VLOOKUP($A19&amp;"_"&amp;$C19, DataSource!$A:$AT, 28, FALSE)</f>
        <v>【多重战备】战技刚性阻击和终结技教科书式猛攻命中敌人后，额外造成一次[300+防御力×5.0]的物理伤害。</v>
      </c>
      <c r="AB19" s="4" t="str">
        <f>VLOOKUP($A19&amp;"_"&amp;$C19, DataSource!$A:$AT, 29, FALSE)</f>
        <v>【额外特训】防御力+20，意志+10。</v>
      </c>
      <c r="AC19" s="4" t="str">
        <f>VLOOKUP($A19&amp;"_"&amp;$C19, DataSource!$A:$AT, 30, FALSE)</f>
        <v>【不屈心锚】连携技即时压制提供的护盾持续时间+5秒。</v>
      </c>
      <c r="AD19" s="4" t="str">
        <f>VLOOKUP($A19&amp;"_"&amp;$C19, DataSource!$A:$AT, 31, FALSE)</f>
        <v>【苦难代偿】终结技教科书式猛攻所需的终结技能量-10%。</v>
      </c>
      <c r="AE19" s="4" t="str">
        <f>VLOOKUP($A19&amp;"_"&amp;$C19, DataSource!$A:$AT, 32, FALSE)</f>
        <v>【无悔抉择】卡契尔存在护盾时，战技刚性阻击成功命中敌人后返还10点技力。</v>
      </c>
      <c r="AF19" s="4" t="str">
        <f>VLOOKUP($A19&amp;"_"&amp;$C19, DataSource!$A:$AT, 33, FALSE)</f>
        <v>【锤炼】干员力量能力值提升10。</v>
      </c>
      <c r="AG19" s="4" t="str">
        <f>VLOOKUP($A19&amp;"_"&amp;$C19, DataSource!$A:$AT, 34, FALSE)</f>
        <v>【锤炼】干员力量能力值提升15。</v>
      </c>
      <c r="AH19" s="4" t="str">
        <f>VLOOKUP($A19&amp;"_"&amp;$C19, DataSource!$A:$AT, 35, FALSE)</f>
        <v>【锤炼】干员力量能力值提升20。</v>
      </c>
      <c r="AI19" s="4" t="str">
        <f>VLOOKUP($A19&amp;"_"&amp;$C19, DataSource!$A:$AT, 36, FALSE)</f>
        <v>【锤炼】干员力量能力值提升15。</v>
      </c>
      <c r="AJ19" s="5">
        <v>1</v>
      </c>
      <c r="AK19" s="4" t="str">
        <f>VLOOKUP($A19&amp;"_"&amp;$C19, DataSource!$A:$AT, 39 + AJ19 - 1, FALSE)</f>
        <v>【坚韧防线 Lv.1】每有10点意志，防御力+1.0。</v>
      </c>
      <c r="AL19" s="5">
        <v>1</v>
      </c>
      <c r="AM19" s="4" t="str">
        <f>VLOOKUP($A19&amp;"_"&amp;$C19, DataSource!$A:$AT, 44 + AL19 - 1, FALSE)</f>
        <v>【全局思维 Lv.1】终结技教科书式猛攻的最后一击产生2次冲击波，每次冲击波造成攻击力30%的物理伤害。</v>
      </c>
    </row>
    <row r="20" spans="1:39" ht="21.95" customHeight="1" x14ac:dyDescent="0.15">
      <c r="A20" s="2" t="s">
        <v>8584</v>
      </c>
      <c r="B20" s="2" t="str">
        <f>VLOOKUP("chr_0021_whiten_90", DataSource!$A:$P, 3, FALSE)</f>
        <v>埃特拉</v>
      </c>
      <c r="C20" s="3">
        <v>90</v>
      </c>
      <c r="D20" s="2" t="str">
        <f>VLOOKUP($A20&amp;"_"&amp;$C20, DataSource!$A:$AT, 5, FALSE)</f>
        <v>Estella</v>
      </c>
      <c r="E20" s="2" t="str">
        <f>VLOOKUP($A20&amp;"_"&amp;$C20, DataSource!$A:$AT, 6, FALSE)</f>
        <v>近卫</v>
      </c>
      <c r="F20" s="2" t="str">
        <f>VLOOKUP($A20&amp;"_"&amp;$C20, DataSource!$A:$AT, 7, FALSE)</f>
        <v>ENDFIELD INDUSTRIES</v>
      </c>
      <c r="G20" s="2" t="str">
        <f>VLOOKUP($A20&amp;"_"&amp;$C20, DataSource!$A:$AT, 8, FALSE)</f>
        <v>寒冷附着, 击飞, 物理脆弱</v>
      </c>
      <c r="H20" s="2" t="str">
        <f>VLOOKUP($A20&amp;"_"&amp;$C20, DataSource!$A:$AT, 9, FALSE)</f>
        <v>4★</v>
      </c>
      <c r="I20" s="2" t="str">
        <f>VLOOKUP($A20&amp;"_"&amp;$C20, DataSource!$A:$AT, 10, FALSE)</f>
        <v>长柄武器</v>
      </c>
      <c r="J20" s="2" t="str">
        <f>VLOOKUP($A20&amp;"_"&amp;$C20, DataSource!$A:$AT, 11, FALSE)</f>
        <v>寒冷</v>
      </c>
      <c r="K20" s="2" t="str">
        <f>VLOOKUP($A20&amp;"_"&amp;$C20, DataSource!$A:$AT, 12, FALSE)</f>
        <v>意志</v>
      </c>
      <c r="L20" s="2" t="str">
        <f>VLOOKUP($A20&amp;"_"&amp;$C20, DataSource!$A:$AT, 13, FALSE)</f>
        <v>力量</v>
      </c>
      <c r="M20" s="2">
        <f>VLOOKUP($A20&amp;"_"&amp;$C20, DataSource!$A:$AT, 14, FALSE)</f>
        <v>5495</v>
      </c>
      <c r="N20" s="2">
        <f>VLOOKUP($A20&amp;"_"&amp;$C20, DataSource!$A:$AT, 15, FALSE)</f>
        <v>312</v>
      </c>
      <c r="O20" s="2">
        <f>VLOOKUP($A20&amp;"_"&amp;$C20, DataSource!$A:$AT, 16, FALSE)</f>
        <v>0</v>
      </c>
      <c r="P20" s="2" t="str">
        <f>VLOOKUP($A20&amp;"_"&amp;$C20, DataSource!$A:$AT, 17, FALSE)</f>
        <v>104.63839680201973</v>
      </c>
      <c r="Q20" s="2" t="str">
        <f>VLOOKUP($A20&amp;"_"&amp;$C20, DataSource!$A:$AT, 18, FALSE)</f>
        <v>97.8752366926149</v>
      </c>
      <c r="R20" s="2" t="str">
        <f>VLOOKUP($A20&amp;"_"&amp;$C20, DataSource!$A:$AT, 19, FALSE)</f>
        <v>110.50136755733189</v>
      </c>
      <c r="S20" s="2" t="str">
        <f>VLOOKUP($A20&amp;"_"&amp;$C20, DataSource!$A:$AT, 20, FALSE)</f>
        <v>151.53345255628025</v>
      </c>
      <c r="T20" s="2" t="str">
        <f>VLOOKUP($A20&amp;"_"&amp;$C20, DataSource!$A:$AT, 21, FALSE)</f>
        <v>5.0%</v>
      </c>
      <c r="U20" s="2" t="str">
        <f>VLOOKUP($A20&amp;"_"&amp;$C20, DataSource!$A:$AT, 22, FALSE)</f>
        <v>50.0%</v>
      </c>
      <c r="V20" s="2">
        <f>VLOOKUP($A20&amp;"_"&amp;$C20, DataSource!$A:$AT, 23, FALSE)</f>
        <v>3</v>
      </c>
      <c r="W20" s="2">
        <f>VLOOKUP($A20&amp;"_"&amp;$C20, DataSource!$A:$AT, 24, FALSE)</f>
        <v>0.13387499999999999</v>
      </c>
      <c r="X20" s="2" t="str">
        <f>VLOOKUP($A20&amp;"_"&amp;$C20, DataSource!$A:$AT, 25, FALSE)</f>
        <v>1.22704081632653</v>
      </c>
      <c r="Y20" s="2" t="str">
        <f>VLOOKUP($A20&amp;"_"&amp;$C20, DataSource!$A:$AT, 26, FALSE)</f>
        <v>1.45408163265306</v>
      </c>
      <c r="Z20" s="2">
        <f>VLOOKUP($A20&amp;"_"&amp;$C20, DataSource!$A:$AT, 27, FALSE)</f>
        <v>4</v>
      </c>
      <c r="AA20" s="2" t="str">
        <f>VLOOKUP($A20&amp;"_"&amp;$C20, DataSource!$A:$AT, 28, FALSE)</f>
        <v>【习惯性延误】连携技失真施加的物理脆弱持续时间+3秒。</v>
      </c>
      <c r="AB20" s="2" t="str">
        <f>VLOOKUP($A20&amp;"_"&amp;$C20, DataSource!$A:$AT, 29, FALSE)</f>
        <v>【放低预期】终结技震音所需的终结技能量-10%。</v>
      </c>
      <c r="AC20" s="2" t="str">
        <f>VLOOKUP($A20&amp;"_"&amp;$C20, DataSource!$A:$AT, 30, FALSE)</f>
        <v>【延后工作】战技凝声激发的制冷声波飞行距离+50%，并对首个命中敌人的伤害+40%。</v>
      </c>
      <c r="AD20" s="2" t="str">
        <f>VLOOKUP($A20&amp;"_"&amp;$C20, DataSource!$A:$AT, 31, FALSE)</f>
        <v>【生命大于任务】意志+10，力量+10。</v>
      </c>
      <c r="AE20" s="2" t="str">
        <f>VLOOKUP($A20&amp;"_"&amp;$C20, DataSource!$A:$AT, 32, FALSE)</f>
        <v>【活着就是胜利】每当有敌人被施加冻结后，获得5点终结技能量，该效果每1秒最多触发一次。</v>
      </c>
      <c r="AF20" s="2" t="str">
        <f>VLOOKUP($A20&amp;"_"&amp;$C20, DataSource!$A:$AT, 33, FALSE)</f>
        <v>【守誓】干员意志能力值提升10。</v>
      </c>
      <c r="AG20" s="2" t="str">
        <f>VLOOKUP($A20&amp;"_"&amp;$C20, DataSource!$A:$AT, 34, FALSE)</f>
        <v>【守誓】干员意志能力值提升15。</v>
      </c>
      <c r="AH20" s="2" t="str">
        <f>VLOOKUP($A20&amp;"_"&amp;$C20, DataSource!$A:$AT, 35, FALSE)</f>
        <v>【守誓】干员意志能力值提升15。</v>
      </c>
      <c r="AI20" s="2" t="str">
        <f>VLOOKUP($A20&amp;"_"&amp;$C20, DataSource!$A:$AT, 36, FALSE)</f>
        <v>【守誓】干员意志能力值提升20。</v>
      </c>
      <c r="AJ20" s="3">
        <v>1</v>
      </c>
      <c r="AK20" s="2" t="str">
        <f>VLOOKUP($A20&amp;"_"&amp;$C20, DataSource!$A:$AT, 39 + AJ20 - 1, FALSE)</f>
        <v>【同病相怜 Lv.1】每当触发碎冰效果后，下一次战技凝声会返还7.5技力，该效果无法叠加。</v>
      </c>
      <c r="AL20" s="3">
        <v>1</v>
      </c>
      <c r="AM20" s="2" t="str">
        <f>VLOOKUP($A20&amp;"_"&amp;$C20, DataSource!$A:$AT, 44 + AL20 - 1, FALSE)</f>
        <v>【惰性使然 Lv.1】不会被寒冷附着，且受到的寒冷伤害-10% 。</v>
      </c>
    </row>
    <row r="21" spans="1:39" ht="21.95" customHeight="1" x14ac:dyDescent="0.15">
      <c r="A21" s="4" t="s">
        <v>9398</v>
      </c>
      <c r="B21" s="4" t="str">
        <f>VLOOKUP("chr_0022_bounda_90", DataSource!$A:$P, 3, FALSE)</f>
        <v>萤石</v>
      </c>
      <c r="C21" s="5">
        <v>90</v>
      </c>
      <c r="D21" s="4" t="str">
        <f>VLOOKUP($A21&amp;"_"&amp;$C21, DataSource!$A:$AT, 5, FALSE)</f>
        <v>Fluorite</v>
      </c>
      <c r="E21" s="4" t="str">
        <f>VLOOKUP($A21&amp;"_"&amp;$C21, DataSource!$A:$AT, 6, FALSE)</f>
        <v>术师</v>
      </c>
      <c r="F21" s="4" t="str">
        <f>VLOOKUP($A21&amp;"_"&amp;$C21, DataSource!$A:$AT, 7, FALSE)</f>
        <v>ENDFIELD INDUSTRIES</v>
      </c>
      <c r="G21" s="4" t="str">
        <f>VLOOKUP($A21&amp;"_"&amp;$C21, DataSource!$A:$AT, 8, FALSE)</f>
        <v>自然附着, 寒冷附着</v>
      </c>
      <c r="H21" s="4" t="str">
        <f>VLOOKUP($A21&amp;"_"&amp;$C21, DataSource!$A:$AT, 9, FALSE)</f>
        <v>4★</v>
      </c>
      <c r="I21" s="4" t="str">
        <f>VLOOKUP($A21&amp;"_"&amp;$C21, DataSource!$A:$AT, 10, FALSE)</f>
        <v>手铳</v>
      </c>
      <c r="J21" s="4" t="str">
        <f>VLOOKUP($A21&amp;"_"&amp;$C21, DataSource!$A:$AT, 11, FALSE)</f>
        <v>自然</v>
      </c>
      <c r="K21" s="4" t="str">
        <f>VLOOKUP($A21&amp;"_"&amp;$C21, DataSource!$A:$AT, 12, FALSE)</f>
        <v>敏捷</v>
      </c>
      <c r="L21" s="4" t="str">
        <f>VLOOKUP($A21&amp;"_"&amp;$C21, DataSource!$A:$AT, 13, FALSE)</f>
        <v>智识</v>
      </c>
      <c r="M21" s="4">
        <f>VLOOKUP($A21&amp;"_"&amp;$C21, DataSource!$A:$AT, 14, FALSE)</f>
        <v>5495</v>
      </c>
      <c r="N21" s="4">
        <f>VLOOKUP($A21&amp;"_"&amp;$C21, DataSource!$A:$AT, 15, FALSE)</f>
        <v>303</v>
      </c>
      <c r="O21" s="4">
        <f>VLOOKUP($A21&amp;"_"&amp;$C21, DataSource!$A:$AT, 16, FALSE)</f>
        <v>0</v>
      </c>
      <c r="P21" s="4" t="str">
        <f>VLOOKUP($A21&amp;"_"&amp;$C21, DataSource!$A:$AT, 17, FALSE)</f>
        <v>90.26888281085633</v>
      </c>
      <c r="Q21" s="4" t="str">
        <f>VLOOKUP($A21&amp;"_"&amp;$C21, DataSource!$A:$AT, 18, FALSE)</f>
        <v>168.18903850199914</v>
      </c>
      <c r="R21" s="4" t="str">
        <f>VLOOKUP($A21&amp;"_"&amp;$C21, DataSource!$A:$AT, 19, FALSE)</f>
        <v>114.59671786240251</v>
      </c>
      <c r="S21" s="4" t="str">
        <f>VLOOKUP($A21&amp;"_"&amp;$C21, DataSource!$A:$AT, 20, FALSE)</f>
        <v>91.93141173995343</v>
      </c>
      <c r="T21" s="4" t="str">
        <f>VLOOKUP($A21&amp;"_"&amp;$C21, DataSource!$A:$AT, 21, FALSE)</f>
        <v>5.0%</v>
      </c>
      <c r="U21" s="4" t="str">
        <f>VLOOKUP($A21&amp;"_"&amp;$C21, DataSource!$A:$AT, 22, FALSE)</f>
        <v>50.0%</v>
      </c>
      <c r="V21" s="4">
        <f>VLOOKUP($A21&amp;"_"&amp;$C21, DataSource!$A:$AT, 23, FALSE)</f>
        <v>10</v>
      </c>
      <c r="W21" s="4">
        <f>VLOOKUP($A21&amp;"_"&amp;$C21, DataSource!$A:$AT, 24, FALSE)</f>
        <v>0.1150625</v>
      </c>
      <c r="X21" s="4" t="str">
        <f>VLOOKUP($A21&amp;"_"&amp;$C21, DataSource!$A:$AT, 25, FALSE)</f>
        <v>1.22704081632653</v>
      </c>
      <c r="Y21" s="4" t="str">
        <f>VLOOKUP($A21&amp;"_"&amp;$C21, DataSource!$A:$AT, 26, FALSE)</f>
        <v>1.45408163265306</v>
      </c>
      <c r="Z21" s="4">
        <f>VLOOKUP($A21&amp;"_"&amp;$C21, DataSource!$A:$AT, 27, FALSE)</f>
        <v>4</v>
      </c>
      <c r="AA21" s="4" t="str">
        <f>VLOOKUP($A21&amp;"_"&amp;$C21, DataSource!$A:$AT, 28, FALSE)</f>
        <v>【利手成双】敏捷+10，智识+10。</v>
      </c>
      <c r="AB21" s="4" t="str">
        <f>VLOOKUP($A21&amp;"_"&amp;$C21, DataSource!$A:$AT, 29, FALSE)</f>
        <v>【读心技巧】天赋捉摸不定效果加强：法术伤害免疫概率+10%。</v>
      </c>
      <c r="AC21" s="4" t="str">
        <f>VLOOKUP($A21&amp;"_"&amp;$C21, DataSource!$A:$AT, 30, FALSE)</f>
        <v>【三倍惊喜】战技小惊喜黏附的自制炸弹爆炸后，将缓速效果扩散给所有命中敌人，持续6秒。</v>
      </c>
      <c r="AD21" s="4" t="str">
        <f>VLOOKUP($A21&amp;"_"&amp;$C21, DataSource!$A:$AT, 31, FALSE)</f>
        <v>【闹剧专家】终结技巅峰闹剧所需的终结技能量-10%。</v>
      </c>
      <c r="AE21" s="4" t="str">
        <f>VLOOKUP($A21&amp;"_"&amp;$C21, DataSource!$A:$AT, 32, FALSE)</f>
        <v>【享受混乱】每当有敌人被施加寒冷附着或自然附着时，连携技免费赠礼冷却时间-1秒，该效果每1秒最多触发一次。</v>
      </c>
      <c r="AF21" s="4" t="str">
        <f>VLOOKUP($A21&amp;"_"&amp;$C21, DataSource!$A:$AT, 33, FALSE)</f>
        <v>【游刃】干员敏捷能力值提升15。</v>
      </c>
      <c r="AG21" s="4" t="str">
        <f>VLOOKUP($A21&amp;"_"&amp;$C21, DataSource!$A:$AT, 34, FALSE)</f>
        <v>【游刃】干员敏捷能力值提升10。</v>
      </c>
      <c r="AH21" s="4" t="str">
        <f>VLOOKUP($A21&amp;"_"&amp;$C21, DataSource!$A:$AT, 35, FALSE)</f>
        <v>【游刃】干员敏捷能力值提升15。</v>
      </c>
      <c r="AI21" s="4" t="str">
        <f>VLOOKUP($A21&amp;"_"&amp;$C21, DataSource!$A:$AT, 36, FALSE)</f>
        <v>【游刃】干员敏捷能力值提升20。</v>
      </c>
      <c r="AJ21" s="5">
        <v>1</v>
      </c>
      <c r="AK21" s="4" t="str">
        <f>VLOOKUP($A21&amp;"_"&amp;$C21, DataSource!$A:$AT, 39 + AJ21 - 1, FALSE)</f>
        <v>【落井下石爱好者 Lv.1】萤石对处于缓速状态的目标造成的伤害+10% 。</v>
      </c>
      <c r="AL21" s="5">
        <v>1</v>
      </c>
      <c r="AM21" s="4" t="str">
        <f>VLOOKUP($A21&amp;"_"&amp;$C21, DataSource!$A:$AT, 44 + AL21 - 1, FALSE)</f>
        <v>【捉摸不定 Lv.1】有20%的概率免疫法术伤害，之后使自身攻击力+10%，持续10秒，该效果无法叠加。</v>
      </c>
    </row>
    <row r="22" spans="1:39" ht="21.95" customHeight="1" x14ac:dyDescent="0.15">
      <c r="A22" s="2" t="s">
        <v>5429</v>
      </c>
      <c r="B22" s="2" t="str">
        <f>VLOOKUP("chr_0023_antal_90", DataSource!$A:$P, 3, FALSE)</f>
        <v>安塔尔</v>
      </c>
      <c r="C22" s="3">
        <v>90</v>
      </c>
      <c r="D22" s="2" t="str">
        <f>VLOOKUP($A22&amp;"_"&amp;$C22, DataSource!$A:$AT, 5, FALSE)</f>
        <v>Antal</v>
      </c>
      <c r="E22" s="2" t="str">
        <f>VLOOKUP($A22&amp;"_"&amp;$C22, DataSource!$A:$AT, 6, FALSE)</f>
        <v>辅助</v>
      </c>
      <c r="F22" s="2" t="str">
        <f>VLOOKUP($A22&amp;"_"&amp;$C22, DataSource!$A:$AT, 7, FALSE)</f>
        <v>ENDFIELD INDUSTRIES</v>
      </c>
      <c r="G22" s="2" t="str">
        <f>VLOOKUP($A22&amp;"_"&amp;$C22, DataSource!$A:$AT, 8, FALSE)</f>
        <v>法术脆弱, 增幅</v>
      </c>
      <c r="H22" s="2" t="str">
        <f>VLOOKUP($A22&amp;"_"&amp;$C22, DataSource!$A:$AT, 9, FALSE)</f>
        <v>4★</v>
      </c>
      <c r="I22" s="2" t="str">
        <f>VLOOKUP($A22&amp;"_"&amp;$C22, DataSource!$A:$AT, 10, FALSE)</f>
        <v>施术单元</v>
      </c>
      <c r="J22" s="2" t="str">
        <f>VLOOKUP($A22&amp;"_"&amp;$C22, DataSource!$A:$AT, 11, FALSE)</f>
        <v>电磁</v>
      </c>
      <c r="K22" s="2" t="str">
        <f>VLOOKUP($A22&amp;"_"&amp;$C22, DataSource!$A:$AT, 12, FALSE)</f>
        <v>智识</v>
      </c>
      <c r="L22" s="2" t="str">
        <f>VLOOKUP($A22&amp;"_"&amp;$C22, DataSource!$A:$AT, 13, FALSE)</f>
        <v>力量</v>
      </c>
      <c r="M22" s="2">
        <f>VLOOKUP($A22&amp;"_"&amp;$C22, DataSource!$A:$AT, 14, FALSE)</f>
        <v>5495</v>
      </c>
      <c r="N22" s="2">
        <f>VLOOKUP($A22&amp;"_"&amp;$C22, DataSource!$A:$AT, 15, FALSE)</f>
        <v>297</v>
      </c>
      <c r="O22" s="2">
        <f>VLOOKUP($A22&amp;"_"&amp;$C22, DataSource!$A:$AT, 16, FALSE)</f>
        <v>0</v>
      </c>
      <c r="P22" s="2" t="str">
        <f>VLOOKUP($A22&amp;"_"&amp;$C22, DataSource!$A:$AT, 17, FALSE)</f>
        <v>129.36860929938962</v>
      </c>
      <c r="Q22" s="2" t="str">
        <f>VLOOKUP($A22&amp;"_"&amp;$C22, DataSource!$A:$AT, 18, FALSE)</f>
        <v>86.81885125184098</v>
      </c>
      <c r="R22" s="2" t="str">
        <f>VLOOKUP($A22&amp;"_"&amp;$C22, DataSource!$A:$AT, 19, FALSE)</f>
        <v>165.22659373027602</v>
      </c>
      <c r="S22" s="2" t="str">
        <f>VLOOKUP($A22&amp;"_"&amp;$C22, DataSource!$A:$AT, 20, FALSE)</f>
        <v>82.80265095729015</v>
      </c>
      <c r="T22" s="2" t="str">
        <f>VLOOKUP($A22&amp;"_"&amp;$C22, DataSource!$A:$AT, 21, FALSE)</f>
        <v>5.0%</v>
      </c>
      <c r="U22" s="2" t="str">
        <f>VLOOKUP($A22&amp;"_"&amp;$C22, DataSource!$A:$AT, 22, FALSE)</f>
        <v>50.0%</v>
      </c>
      <c r="V22" s="2">
        <f>VLOOKUP($A22&amp;"_"&amp;$C22, DataSource!$A:$AT, 23, FALSE)</f>
        <v>10</v>
      </c>
      <c r="W22" s="2">
        <f>VLOOKUP($A22&amp;"_"&amp;$C22, DataSource!$A:$AT, 24, FALSE)</f>
        <v>0.13125000000000001</v>
      </c>
      <c r="X22" s="2" t="str">
        <f>VLOOKUP($A22&amp;"_"&amp;$C22, DataSource!$A:$AT, 25, FALSE)</f>
        <v>1.22704081632653</v>
      </c>
      <c r="Y22" s="2" t="str">
        <f>VLOOKUP($A22&amp;"_"&amp;$C22, DataSource!$A:$AT, 26, FALSE)</f>
        <v>1.45408163265306</v>
      </c>
      <c r="Z22" s="2">
        <f>VLOOKUP($A22&amp;"_"&amp;$C22, DataSource!$A:$AT, 27, FALSE)</f>
        <v>4</v>
      </c>
      <c r="AA22" s="2" t="str">
        <f>VLOOKUP($A22&amp;"_"&amp;$C22, DataSource!$A:$AT, 28, FALSE)</f>
        <v>【术法天分】终结技超频时刻提供的电磁增幅和灼热增幅效果提高至原本的1.1倍。</v>
      </c>
      <c r="AB22" s="2" t="str">
        <f>VLOOKUP($A22&amp;"_"&amp;$C22, DataSource!$A:$AT, 29, FALSE)</f>
        <v>【自动化改良】终结技超频时刻所需的终结技能量-10%。</v>
      </c>
      <c r="AC22" s="2" t="str">
        <f>VLOOKUP($A22&amp;"_"&amp;$C22, DataSource!$A:$AT, 30, FALSE)</f>
        <v>【源石理论应用】若被聚焦的敌人在聚焦期间被击败，返还15点技力。</v>
      </c>
      <c r="AD22" s="2" t="str">
        <f>VLOOKUP($A22&amp;"_"&amp;$C22, DataSource!$A:$AT, 31, FALSE)</f>
        <v>【奶奶的叮嘱】智识+10，最大生命值+10%。</v>
      </c>
      <c r="AE22" s="2" t="str">
        <f>VLOOKUP($A22&amp;"_"&amp;$C22, DataSource!$A:$AT, 32, FALSE)</f>
        <v>【高规格技术测试】聚焦同一个目标20秒以后，电磁脆弱和灼热脆弱效果会提高4%。</v>
      </c>
      <c r="AF22" s="2" t="str">
        <f>VLOOKUP($A22&amp;"_"&amp;$C22, DataSource!$A:$AT, 33, FALSE)</f>
        <v>【明晰】干员智识能力值提升20。</v>
      </c>
      <c r="AG22" s="2" t="str">
        <f>VLOOKUP($A22&amp;"_"&amp;$C22, DataSource!$A:$AT, 34, FALSE)</f>
        <v>【明晰】干员智识能力值提升10。</v>
      </c>
      <c r="AH22" s="2" t="str">
        <f>VLOOKUP($A22&amp;"_"&amp;$C22, DataSource!$A:$AT, 35, FALSE)</f>
        <v>【明晰】干员智识能力值提升15。</v>
      </c>
      <c r="AI22" s="2" t="str">
        <f>VLOOKUP($A22&amp;"_"&amp;$C22, DataSource!$A:$AT, 36, FALSE)</f>
        <v>【明晰】干员智识能力值提升15。</v>
      </c>
      <c r="AJ22" s="3">
        <v>1</v>
      </c>
      <c r="AK22" s="2" t="str">
        <f>VLOOKUP($A22&amp;"_"&amp;$C22, DataSource!$A:$AT, 39 + AJ22 - 1, FALSE)</f>
        <v>【即兴发挥 Lv.1】队伍中处于增幅状态的干员造成技能伤害后，安塔尔为其回复[72+力量×0.6]点生命值，每个干员每30秒最多受到1次该回复效果。</v>
      </c>
      <c r="AL22" s="3">
        <v>1</v>
      </c>
      <c r="AM22" s="2" t="str">
        <f>VLOOKUP($A22&amp;"_"&amp;$C22, DataSource!$A:$AT, 44 + AL22 - 1, FALSE)</f>
        <v>【下意识 Lv.1】有30%的概率免疫物理伤害，并回复自身[27+力量×0.23]点生命值。</v>
      </c>
    </row>
    <row r="23" spans="1:39" ht="21.95" customHeight="1" x14ac:dyDescent="0.15">
      <c r="A23" s="4" t="s">
        <v>6757</v>
      </c>
      <c r="B23" s="4" t="str">
        <f>VLOOKUP("chr_0024_deepfin_90", DataSource!$A:$P, 3, FALSE)</f>
        <v>阿列什</v>
      </c>
      <c r="C23" s="5">
        <v>90</v>
      </c>
      <c r="D23" s="4" t="str">
        <f>VLOOKUP($A23&amp;"_"&amp;$C23, DataSource!$A:$AT, 5, FALSE)</f>
        <v>Alesh</v>
      </c>
      <c r="E23" s="4" t="str">
        <f>VLOOKUP($A23&amp;"_"&amp;$C23, DataSource!$A:$AT, 6, FALSE)</f>
        <v>先锋</v>
      </c>
      <c r="F23" s="4" t="str">
        <f>VLOOKUP($A23&amp;"_"&amp;$C23, DataSource!$A:$AT, 7, FALSE)</f>
        <v>ENDFIELD INDUSTRIES</v>
      </c>
      <c r="G23" s="4" t="str">
        <f>VLOOKUP($A23&amp;"_"&amp;$C23, DataSource!$A:$AT, 8, FALSE)</f>
        <v>技力恢复, 冻结</v>
      </c>
      <c r="H23" s="4" t="str">
        <f>VLOOKUP($A23&amp;"_"&amp;$C23, DataSource!$A:$AT, 9, FALSE)</f>
        <v>5★</v>
      </c>
      <c r="I23" s="4" t="str">
        <f>VLOOKUP($A23&amp;"_"&amp;$C23, DataSource!$A:$AT, 10, FALSE)</f>
        <v>单手剑</v>
      </c>
      <c r="J23" s="4" t="str">
        <f>VLOOKUP($A23&amp;"_"&amp;$C23, DataSource!$A:$AT, 11, FALSE)</f>
        <v>寒冷</v>
      </c>
      <c r="K23" s="4" t="str">
        <f>VLOOKUP($A23&amp;"_"&amp;$C23, DataSource!$A:$AT, 12, FALSE)</f>
        <v>力量</v>
      </c>
      <c r="L23" s="4" t="str">
        <f>VLOOKUP($A23&amp;"_"&amp;$C23, DataSource!$A:$AT, 13, FALSE)</f>
        <v>智识</v>
      </c>
      <c r="M23" s="4">
        <f>VLOOKUP($A23&amp;"_"&amp;$C23, DataSource!$A:$AT, 14, FALSE)</f>
        <v>5495</v>
      </c>
      <c r="N23" s="4">
        <f>VLOOKUP($A23&amp;"_"&amp;$C23, DataSource!$A:$AT, 15, FALSE)</f>
        <v>309</v>
      </c>
      <c r="O23" s="4">
        <f>VLOOKUP($A23&amp;"_"&amp;$C23, DataSource!$A:$AT, 16, FALSE)</f>
        <v>0</v>
      </c>
      <c r="P23" s="4" t="str">
        <f>VLOOKUP($A23&amp;"_"&amp;$C23, DataSource!$A:$AT, 17, FALSE)</f>
        <v>158.06900904691773</v>
      </c>
      <c r="Q23" s="4" t="str">
        <f>VLOOKUP($A23&amp;"_"&amp;$C23, DataSource!$A:$AT, 18, FALSE)</f>
        <v>95.91920892068168</v>
      </c>
      <c r="R23" s="4" t="str">
        <f>VLOOKUP($A23&amp;"_"&amp;$C23, DataSource!$A:$AT, 19, FALSE)</f>
        <v>125.82352198611446</v>
      </c>
      <c r="S23" s="4" t="str">
        <f>VLOOKUP($A23&amp;"_"&amp;$C23, DataSource!$A:$AT, 20, FALSE)</f>
        <v>89.97538396802022</v>
      </c>
      <c r="T23" s="4" t="str">
        <f>VLOOKUP($A23&amp;"_"&amp;$C23, DataSource!$A:$AT, 21, FALSE)</f>
        <v>5.0%</v>
      </c>
      <c r="U23" s="4" t="str">
        <f>VLOOKUP($A23&amp;"_"&amp;$C23, DataSource!$A:$AT, 22, FALSE)</f>
        <v>50.0%</v>
      </c>
      <c r="V23" s="4">
        <f>VLOOKUP($A23&amp;"_"&amp;$C23, DataSource!$A:$AT, 23, FALSE)</f>
        <v>3</v>
      </c>
      <c r="W23" s="4">
        <f>VLOOKUP($A23&amp;"_"&amp;$C23, DataSource!$A:$AT, 24, FALSE)</f>
        <v>0.14000000000000001</v>
      </c>
      <c r="X23" s="4" t="str">
        <f>VLOOKUP($A23&amp;"_"&amp;$C23, DataSource!$A:$AT, 25, FALSE)</f>
        <v>1.22704081632653</v>
      </c>
      <c r="Y23" s="4" t="str">
        <f>VLOOKUP($A23&amp;"_"&amp;$C23, DataSource!$A:$AT, 26, FALSE)</f>
        <v>1.45408163265306</v>
      </c>
      <c r="Z23" s="4">
        <f>VLOOKUP($A23&amp;"_"&amp;$C23, DataSource!$A:$AT, 27, FALSE)</f>
        <v>4</v>
      </c>
      <c r="AA23" s="4" t="str">
        <f>VLOOKUP($A23&amp;"_"&amp;$C23, DataSource!$A:$AT, 28, FALSE)</f>
        <v>【咸鳞翻身】战技非常规路亚触发恢复技力效果时，额外恢复10点技力。</v>
      </c>
      <c r="AB23" s="4" t="str">
        <f>VLOOKUP($A23&amp;"_"&amp;$C23, DataSource!$A:$AT, 29, FALSE)</f>
        <v>【沉心静气】力量+15，智识+15。</v>
      </c>
      <c r="AC23" s="4" t="str">
        <f>VLOOKUP($A23&amp;"_"&amp;$C23, DataSource!$A:$AT, 30, FALSE)</f>
        <v>【愿者上钩】连携技凿孔底钓术成功钓起珍鳞后，全队攻击力+15%，持续10秒，该效果无法叠加。</v>
      </c>
      <c r="AD23" s="4" t="str">
        <f>VLOOKUP($A23&amp;"_"&amp;$C23, DataSource!$A:$AT, 31, FALSE)</f>
        <v>【疯狂钓组】终结技大鳞，上钩！所需的终结技能量-15%。</v>
      </c>
      <c r="AE23" s="4" t="str">
        <f>VLOOKUP($A23&amp;"_"&amp;$C23, DataSource!$A:$AT, 32, FALSE)</f>
        <v>【特大鳞讯】终结技大鳞，上钩！命中生命值低于50%的目标时，伤害倍率提升至原本的1.5倍。</v>
      </c>
      <c r="AF23" s="4" t="str">
        <f>VLOOKUP($A23&amp;"_"&amp;$C23, DataSource!$A:$AT, 33, FALSE)</f>
        <v>【锤炼】干员力量能力值提升10。</v>
      </c>
      <c r="AG23" s="4" t="str">
        <f>VLOOKUP($A23&amp;"_"&amp;$C23, DataSource!$A:$AT, 34, FALSE)</f>
        <v>【锤炼】干员力量能力值提升15。</v>
      </c>
      <c r="AH23" s="4" t="str">
        <f>VLOOKUP($A23&amp;"_"&amp;$C23, DataSource!$A:$AT, 35, FALSE)</f>
        <v>【锤炼】干员力量能力值提升15。</v>
      </c>
      <c r="AI23" s="4" t="str">
        <f>VLOOKUP($A23&amp;"_"&amp;$C23, DataSource!$A:$AT, 36, FALSE)</f>
        <v>【锤炼】干员力量能力值提升20。</v>
      </c>
      <c r="AJ23" s="5">
        <v>1</v>
      </c>
      <c r="AK23" s="4" t="str">
        <f>VLOOKUP($A23&amp;"_"&amp;$C23, DataSource!$A:$AT, 39 + AJ23 - 1, FALSE)</f>
        <v>【闪冻锁鲜 Lv.1】附近有敌人被冻结或被附着源石结晶后，自身获得3点终结技能量。自身造成冻结触发上述效果时，额外获得6点终结技能量。该效果每3秒内最多触发一次。</v>
      </c>
      <c r="AL23" s="5">
        <v>1</v>
      </c>
      <c r="AM23" s="4" t="str">
        <f>VLOOKUP($A23&amp;"_"&amp;$C23, DataSource!$A:$AT, 44 + AL23 - 1, FALSE)</f>
        <v>【钓鳞老手 Lv.1】每10点智识会使连携技凿孔底钓术钓起珍鳞的概率+0.2%，最多+30%。</v>
      </c>
    </row>
    <row r="24" spans="1:39" ht="21.95" customHeight="1" x14ac:dyDescent="0.15">
      <c r="A24" s="2" t="s">
        <v>9902</v>
      </c>
      <c r="B24" s="2" t="str">
        <f>VLOOKUP("chr_0025_ardelia_90", DataSource!$A:$P, 3, FALSE)</f>
        <v>艾尔黛拉</v>
      </c>
      <c r="C24" s="3">
        <v>90</v>
      </c>
      <c r="D24" s="2" t="str">
        <f>VLOOKUP($A24&amp;"_"&amp;$C24, DataSource!$A:$AT, 5, FALSE)</f>
        <v>Ardelia</v>
      </c>
      <c r="E24" s="2" t="str">
        <f>VLOOKUP($A24&amp;"_"&amp;$C24, DataSource!$A:$AT, 6, FALSE)</f>
        <v>辅助</v>
      </c>
      <c r="F24" s="2" t="str">
        <f>VLOOKUP($A24&amp;"_"&amp;$C24, DataSource!$A:$AT, 7, FALSE)</f>
        <v>ENDFIELD INDUSTRIES</v>
      </c>
      <c r="G24" s="2" t="str">
        <f>VLOOKUP($A24&amp;"_"&amp;$C24, DataSource!$A:$AT, 8, FALSE)</f>
        <v>治疗, 腐蚀, 脆弱</v>
      </c>
      <c r="H24" s="2" t="str">
        <f>VLOOKUP($A24&amp;"_"&amp;$C24, DataSource!$A:$AT, 9, FALSE)</f>
        <v>6★</v>
      </c>
      <c r="I24" s="2" t="str">
        <f>VLOOKUP($A24&amp;"_"&amp;$C24, DataSource!$A:$AT, 10, FALSE)</f>
        <v>施术单元</v>
      </c>
      <c r="J24" s="2" t="str">
        <f>VLOOKUP($A24&amp;"_"&amp;$C24, DataSource!$A:$AT, 11, FALSE)</f>
        <v>自然</v>
      </c>
      <c r="K24" s="2" t="str">
        <f>VLOOKUP($A24&amp;"_"&amp;$C24, DataSource!$A:$AT, 12, FALSE)</f>
        <v>智识</v>
      </c>
      <c r="L24" s="2" t="str">
        <f>VLOOKUP($A24&amp;"_"&amp;$C24, DataSource!$A:$AT, 13, FALSE)</f>
        <v>意志</v>
      </c>
      <c r="M24" s="2">
        <f>VLOOKUP($A24&amp;"_"&amp;$C24, DataSource!$A:$AT, 14, FALSE)</f>
        <v>5495</v>
      </c>
      <c r="N24" s="2">
        <f>VLOOKUP($A24&amp;"_"&amp;$C24, DataSource!$A:$AT, 15, FALSE)</f>
        <v>323</v>
      </c>
      <c r="O24" s="2">
        <f>VLOOKUP($A24&amp;"_"&amp;$C24, DataSource!$A:$AT, 16, FALSE)</f>
        <v>0</v>
      </c>
      <c r="P24" s="2" t="str">
        <f>VLOOKUP($A24&amp;"_"&amp;$C24, DataSource!$A:$AT, 17, FALSE)</f>
        <v>112.12602566799943</v>
      </c>
      <c r="Q24" s="2" t="str">
        <f>VLOOKUP($A24&amp;"_"&amp;$C24, DataSource!$A:$AT, 18, FALSE)</f>
        <v>93.89690721649515</v>
      </c>
      <c r="R24" s="2" t="str">
        <f>VLOOKUP($A24&amp;"_"&amp;$C24, DataSource!$A:$AT, 19, FALSE)</f>
        <v>145.93519882179677</v>
      </c>
      <c r="S24" s="2" t="str">
        <f>VLOOKUP($A24&amp;"_"&amp;$C24, DataSource!$A:$AT, 20, FALSE)</f>
        <v>118.24594992636237</v>
      </c>
      <c r="T24" s="2" t="str">
        <f>VLOOKUP($A24&amp;"_"&amp;$C24, DataSource!$A:$AT, 21, FALSE)</f>
        <v>5.0%</v>
      </c>
      <c r="U24" s="2" t="str">
        <f>VLOOKUP($A24&amp;"_"&amp;$C24, DataSource!$A:$AT, 22, FALSE)</f>
        <v>50.0%</v>
      </c>
      <c r="V24" s="2">
        <f>VLOOKUP($A24&amp;"_"&amp;$C24, DataSource!$A:$AT, 23, FALSE)</f>
        <v>10</v>
      </c>
      <c r="W24" s="2">
        <f>VLOOKUP($A24&amp;"_"&amp;$C24, DataSource!$A:$AT, 24, FALSE)</f>
        <v>0.112</v>
      </c>
      <c r="X24" s="2" t="str">
        <f>VLOOKUP($A24&amp;"_"&amp;$C24, DataSource!$A:$AT, 25, FALSE)</f>
        <v>1.22704081632653</v>
      </c>
      <c r="Y24" s="2" t="str">
        <f>VLOOKUP($A24&amp;"_"&amp;$C24, DataSource!$A:$AT, 26, FALSE)</f>
        <v>1.45408163265306</v>
      </c>
      <c r="Z24" s="2">
        <f>VLOOKUP($A24&amp;"_"&amp;$C24, DataSource!$A:$AT, 27, FALSE)</f>
        <v>4</v>
      </c>
      <c r="AA24" s="2" t="str">
        <f>VLOOKUP($A24&amp;"_"&amp;$C24, DataSource!$A:$AT, 28, FALSE)</f>
        <v>【羊的乐园】战技奔腾的多利消耗腐蚀后施加的物理脆弱与法术脆弱效果+8%。</v>
      </c>
      <c r="AB24" s="2" t="str">
        <f>VLOOKUP($A24&amp;"_"&amp;$C24, DataSource!$A:$AT, 29, FALSE)</f>
        <v>【游戏奖励】天赋朋友的身影效果加强：当主控干员触碰多利先生的影子后，艾尔黛拉会以一半的效果额外治疗另一名生命值百分比最低的友方干员。</v>
      </c>
      <c r="AC24" s="2" t="str">
        <f>VLOOKUP($A24&amp;"_"&amp;$C24, DataSource!$A:$AT, 30, FALSE)</f>
        <v>【爆炸式喷发】终结技毛茸茸派对的持续时间+1秒，且生成多利先生的影子的概率提升至原本的1.2倍。</v>
      </c>
      <c r="AD24" s="2" t="str">
        <f>VLOOKUP($A24&amp;"_"&amp;$C24, DataSource!$A:$AT, 31, FALSE)</f>
        <v>【岩中花朵】终结技毛茸茸派对所需的终结技能量能量-15%。</v>
      </c>
      <c r="AE24" s="2" t="str">
        <f>VLOOKUP($A24&amp;"_"&amp;$C24, DataSource!$A:$AT, 32, FALSE)</f>
        <v>【火山蒸汽】连携技火山蘑菇云冷却时间-2秒，伤害倍率提升至原本的1.2倍，施加的腐蚀效果持续时间+4秒。</v>
      </c>
      <c r="AF24" s="2" t="str">
        <f>VLOOKUP($A24&amp;"_"&amp;$C24, DataSource!$A:$AT, 33, FALSE)</f>
        <v>【明晰】干员智识能力值提升15。</v>
      </c>
      <c r="AG24" s="2" t="str">
        <f>VLOOKUP($A24&amp;"_"&amp;$C24, DataSource!$A:$AT, 34, FALSE)</f>
        <v>【明晰】干员智识能力值提升10。</v>
      </c>
      <c r="AH24" s="2" t="str">
        <f>VLOOKUP($A24&amp;"_"&amp;$C24, DataSource!$A:$AT, 35, FALSE)</f>
        <v>【明晰】干员智识能力值提升15。</v>
      </c>
      <c r="AI24" s="2" t="str">
        <f>VLOOKUP($A24&amp;"_"&amp;$C24, DataSource!$A:$AT, 36, FALSE)</f>
        <v>【明晰】干员智识能力值提升20。</v>
      </c>
      <c r="AJ24" s="3">
        <v>1</v>
      </c>
      <c r="AK24" s="2" t="str">
        <f>VLOOKUP($A24&amp;"_"&amp;$C24, DataSource!$A:$AT, 39 + AJ24 - 1, FALSE)</f>
        <v>【朋友的身影 Lv.1】战技奔腾的多利命中敌人后生成3个多利先生的影子，终结技毛茸茸派对散射的多利先生的分身落地时有10%概率生成多利先生的影子。主控干员触碰多利先生的影子后，艾尔黛拉为其回复[45+意志×0.38]点生命值。主控干员生命值已满时，将转而治疗小队中生命值百分比最低的干员。多利先生的影子持续10秒，最多同时存在10个。</v>
      </c>
      <c r="AL24" s="3">
        <v>1</v>
      </c>
      <c r="AM24" s="2" t="str">
        <f>VLOOKUP($A24&amp;"_"&amp;$C24, DataSource!$A:$AT, 44 + AL24 - 1, FALSE)</f>
        <v>【山顶冲浪 Lv.1】当艾尔黛拉的战技奔腾的多利成功触发额外效果后，若附近存在其他处于腐蚀状态的敌人，会立即再对其发动一次战技。每次主动施放战技只会触发一次该效果。</v>
      </c>
    </row>
    <row r="25" spans="1:39" ht="21.95" customHeight="1" x14ac:dyDescent="0.15">
      <c r="A25" s="4" t="s">
        <v>8993</v>
      </c>
      <c r="B25" s="4" t="str">
        <f>VLOOKUP("chr_0026_lastrite_90", DataSource!$A:$P, 3, FALSE)</f>
        <v>别礼</v>
      </c>
      <c r="C25" s="5">
        <v>90</v>
      </c>
      <c r="D25" s="4" t="str">
        <f>VLOOKUP($A25&amp;"_"&amp;$C25, DataSource!$A:$AT, 5, FALSE)</f>
        <v>Last Rite</v>
      </c>
      <c r="E25" s="4" t="str">
        <f>VLOOKUP($A25&amp;"_"&amp;$C25, DataSource!$A:$AT, 6, FALSE)</f>
        <v>突击</v>
      </c>
      <c r="F25" s="4" t="str">
        <f>VLOOKUP($A25&amp;"_"&amp;$C25, DataSource!$A:$AT, 7, FALSE)</f>
        <v>ENDFIELD INDUSTRIES</v>
      </c>
      <c r="G25" s="4" t="str">
        <f>VLOOKUP($A25&amp;"_"&amp;$C25, DataSource!$A:$AT, 8, FALSE)</f>
        <v>大量伤害, 寒冷附着</v>
      </c>
      <c r="H25" s="4" t="str">
        <f>VLOOKUP($A25&amp;"_"&amp;$C25, DataSource!$A:$AT, 9, FALSE)</f>
        <v>6★</v>
      </c>
      <c r="I25" s="4" t="str">
        <f>VLOOKUP($A25&amp;"_"&amp;$C25, DataSource!$A:$AT, 10, FALSE)</f>
        <v>双手剑</v>
      </c>
      <c r="J25" s="4" t="str">
        <f>VLOOKUP($A25&amp;"_"&amp;$C25, DataSource!$A:$AT, 11, FALSE)</f>
        <v>寒冷</v>
      </c>
      <c r="K25" s="4" t="str">
        <f>VLOOKUP($A25&amp;"_"&amp;$C25, DataSource!$A:$AT, 12, FALSE)</f>
        <v>力量</v>
      </c>
      <c r="L25" s="4" t="str">
        <f>VLOOKUP($A25&amp;"_"&amp;$C25, DataSource!$A:$AT, 13, FALSE)</f>
        <v>意志</v>
      </c>
      <c r="M25" s="4">
        <f>VLOOKUP($A25&amp;"_"&amp;$C25, DataSource!$A:$AT, 14, FALSE)</f>
        <v>5495</v>
      </c>
      <c r="N25" s="4">
        <f>VLOOKUP($A25&amp;"_"&amp;$C25, DataSource!$A:$AT, 15, FALSE)</f>
        <v>332</v>
      </c>
      <c r="O25" s="4">
        <f>VLOOKUP($A25&amp;"_"&amp;$C25, DataSource!$A:$AT, 16, FALSE)</f>
        <v>0</v>
      </c>
      <c r="P25" s="4" t="str">
        <f>VLOOKUP($A25&amp;"_"&amp;$C25, DataSource!$A:$AT, 17, FALSE)</f>
        <v>155.17757205975172</v>
      </c>
      <c r="Q25" s="4" t="str">
        <f>VLOOKUP($A25&amp;"_"&amp;$C25, DataSource!$A:$AT, 18, FALSE)</f>
        <v>104.24548706080365</v>
      </c>
      <c r="R25" s="4" t="str">
        <f>VLOOKUP($A25&amp;"_"&amp;$C25, DataSource!$A:$AT, 19, FALSE)</f>
        <v>93.89690721649515</v>
      </c>
      <c r="S25" s="4" t="str">
        <f>VLOOKUP($A25&amp;"_"&amp;$C25, DataSource!$A:$AT, 20, FALSE)</f>
        <v>109.34782242794023</v>
      </c>
      <c r="T25" s="4" t="str">
        <f>VLOOKUP($A25&amp;"_"&amp;$C25, DataSource!$A:$AT, 21, FALSE)</f>
        <v>5.0%</v>
      </c>
      <c r="U25" s="4" t="str">
        <f>VLOOKUP($A25&amp;"_"&amp;$C25, DataSource!$A:$AT, 22, FALSE)</f>
        <v>50.0%</v>
      </c>
      <c r="V25" s="4">
        <f>VLOOKUP($A25&amp;"_"&amp;$C25, DataSource!$A:$AT, 23, FALSE)</f>
        <v>3</v>
      </c>
      <c r="W25" s="4">
        <f>VLOOKUP($A25&amp;"_"&amp;$C25, DataSource!$A:$AT, 24, FALSE)</f>
        <v>0.09</v>
      </c>
      <c r="X25" s="4" t="str">
        <f>VLOOKUP($A25&amp;"_"&amp;$C25, DataSource!$A:$AT, 25, FALSE)</f>
        <v>1.22704081632653</v>
      </c>
      <c r="Y25" s="4" t="str">
        <f>VLOOKUP($A25&amp;"_"&amp;$C25, DataSource!$A:$AT, 26, FALSE)</f>
        <v>1.45408163265306</v>
      </c>
      <c r="Z25" s="4">
        <f>VLOOKUP($A25&amp;"_"&amp;$C25, DataSource!$A:$AT, 27, FALSE)</f>
        <v>4</v>
      </c>
      <c r="AA25" s="4" t="str">
        <f>VLOOKUP($A25&amp;"_"&amp;$C25, DataSource!$A:$AT, 28, FALSE)</f>
        <v>【守墓人之赠】受到低温灌注的主控干员，重击命中敌人时额外造成20%伤害和5点失衡。</v>
      </c>
      <c r="AB25" s="4" t="str">
        <f>VLOOKUP($A25&amp;"_"&amp;$C25, DataSource!$A:$AT, 29, FALSE)</f>
        <v>【零度武装】力量+20，寒冷伤害+10%。</v>
      </c>
      <c r="AC25" s="4" t="str">
        <f>VLOOKUP($A25&amp;"_"&amp;$C25, DataSource!$A:$AT, 30, FALSE)</f>
        <v>【统御严冬】连携技噬冬和终结技临终别礼的伤害倍率提高至原本的1.15倍。</v>
      </c>
      <c r="AD25" s="4" t="str">
        <f>VLOOKUP($A25&amp;"_"&amp;$C25, DataSource!$A:$AT, 31, FALSE)</f>
        <v>【诚挚告别】终结技临终别礼所需的终结技能量-15%。</v>
      </c>
      <c r="AE25" s="4" t="str">
        <f>VLOOKUP($A25&amp;"_"&amp;$C25, DataSource!$A:$AT, 32, FALSE)</f>
        <v>【寒风再起】战技塞什卡的秘传返还的技力额外提高5点，并额外提高生成的幻影追击伤害倍率至原本的1.2倍。</v>
      </c>
      <c r="AF25" s="4" t="str">
        <f>VLOOKUP($A25&amp;"_"&amp;$C25, DataSource!$A:$AT, 33, FALSE)</f>
        <v>【锤炼】干员力量能力值提升20。</v>
      </c>
      <c r="AG25" s="4" t="str">
        <f>VLOOKUP($A25&amp;"_"&amp;$C25, DataSource!$A:$AT, 34, FALSE)</f>
        <v>【锤炼】干员力量能力值提升10。</v>
      </c>
      <c r="AH25" s="4" t="str">
        <f>VLOOKUP($A25&amp;"_"&amp;$C25, DataSource!$A:$AT, 35, FALSE)</f>
        <v>【锤炼】干员力量能力值提升15。</v>
      </c>
      <c r="AI25" s="4" t="str">
        <f>VLOOKUP($A25&amp;"_"&amp;$C25, DataSource!$A:$AT, 36, FALSE)</f>
        <v>【锤炼】干员力量能力值提升15。</v>
      </c>
      <c r="AJ25" s="5">
        <v>1</v>
      </c>
      <c r="AK25" s="4" t="str">
        <f>VLOOKUP($A25&amp;"_"&amp;$C25, DataSource!$A:$AT, 39 + AJ25 - 1, FALSE)</f>
        <v>【低温症 Lv.1】当别礼消耗任何法术附着后，对该目标施加寒冷脆弱，效果为被消耗的法术附着层数×2%，持续15秒，该效果无法叠加。</v>
      </c>
      <c r="AL25" s="5">
        <v>1</v>
      </c>
      <c r="AM25" s="4" t="str">
        <f>VLOOKUP($A25&amp;"_"&amp;$C25, DataSource!$A:$AT, 44 + AL25 - 1, FALSE)</f>
        <v>【低温脆性 Lv.1】终结技临终别礼造成伤害时，如果敌人处于寒冷脆弱状态，将其寒冷脆弱的效果视为原本的1.2倍。</v>
      </c>
    </row>
    <row r="26" spans="1:39" ht="21.95" customHeight="1" x14ac:dyDescent="0.15">
      <c r="A26" s="2" t="s">
        <v>10820</v>
      </c>
      <c r="B26" s="2" t="str">
        <f>VLOOKUP("chr_0029_pograni_90", DataSource!$A:$P, 3, FALSE)</f>
        <v>骏卫</v>
      </c>
      <c r="C26" s="3">
        <v>90</v>
      </c>
      <c r="D26" s="2" t="str">
        <f>VLOOKUP($A26&amp;"_"&amp;$C26, DataSource!$A:$AT, 5, FALSE)</f>
        <v>Pogranichnik</v>
      </c>
      <c r="E26" s="2" t="str">
        <f>VLOOKUP($A26&amp;"_"&amp;$C26, DataSource!$A:$AT, 6, FALSE)</f>
        <v>先锋</v>
      </c>
      <c r="F26" s="2" t="str">
        <f>VLOOKUP($A26&amp;"_"&amp;$C26, DataSource!$A:$AT, 7, FALSE)</f>
        <v>ENDFIELD INDUSTRIES</v>
      </c>
      <c r="G26" s="2" t="str">
        <f>VLOOKUP($A26&amp;"_"&amp;$C26, DataSource!$A:$AT, 8, FALSE)</f>
        <v>技力恢复, 碎甲</v>
      </c>
      <c r="H26" s="2" t="str">
        <f>VLOOKUP($A26&amp;"_"&amp;$C26, DataSource!$A:$AT, 9, FALSE)</f>
        <v>6★</v>
      </c>
      <c r="I26" s="2" t="str">
        <f>VLOOKUP($A26&amp;"_"&amp;$C26, DataSource!$A:$AT, 10, FALSE)</f>
        <v>单手剑</v>
      </c>
      <c r="J26" s="2" t="str">
        <f>VLOOKUP($A26&amp;"_"&amp;$C26, DataSource!$A:$AT, 11, FALSE)</f>
        <v>物理</v>
      </c>
      <c r="K26" s="2" t="str">
        <f>VLOOKUP($A26&amp;"_"&amp;$C26, DataSource!$A:$AT, 12, FALSE)</f>
        <v>意志</v>
      </c>
      <c r="L26" s="2" t="str">
        <f>VLOOKUP($A26&amp;"_"&amp;$C26, DataSource!$A:$AT, 13, FALSE)</f>
        <v>敏捷</v>
      </c>
      <c r="M26" s="2">
        <f>VLOOKUP($A26&amp;"_"&amp;$C26, DataSource!$A:$AT, 14, FALSE)</f>
        <v>5495</v>
      </c>
      <c r="N26" s="2">
        <f>VLOOKUP($A26&amp;"_"&amp;$C26, DataSource!$A:$AT, 15, FALSE)</f>
        <v>321</v>
      </c>
      <c r="O26" s="2">
        <f>VLOOKUP($A26&amp;"_"&amp;$C26, DataSource!$A:$AT, 16, FALSE)</f>
        <v>0</v>
      </c>
      <c r="P26" s="2" t="str">
        <f>VLOOKUP($A26&amp;"_"&amp;$C26, DataSource!$A:$AT, 17, FALSE)</f>
        <v>101.2400589101617</v>
      </c>
      <c r="Q26" s="2" t="str">
        <f>VLOOKUP($A26&amp;"_"&amp;$C26, DataSource!$A:$AT, 18, FALSE)</f>
        <v>110.25179886387522</v>
      </c>
      <c r="R26" s="2" t="str">
        <f>VLOOKUP($A26&amp;"_"&amp;$C26, DataSource!$A:$AT, 19, FALSE)</f>
        <v>97.00610140963633</v>
      </c>
      <c r="S26" s="2" t="str">
        <f>VLOOKUP($A26&amp;"_"&amp;$C26, DataSource!$A:$AT, 20, FALSE)</f>
        <v>173.23627182831888</v>
      </c>
      <c r="T26" s="2" t="str">
        <f>VLOOKUP($A26&amp;"_"&amp;$C26, DataSource!$A:$AT, 21, FALSE)</f>
        <v>5.0%</v>
      </c>
      <c r="U26" s="2" t="str">
        <f>VLOOKUP($A26&amp;"_"&amp;$C26, DataSource!$A:$AT, 22, FALSE)</f>
        <v>50.0%</v>
      </c>
      <c r="V26" s="2">
        <f>VLOOKUP($A26&amp;"_"&amp;$C26, DataSource!$A:$AT, 23, FALSE)</f>
        <v>3</v>
      </c>
      <c r="W26" s="2">
        <f>VLOOKUP($A26&amp;"_"&amp;$C26, DataSource!$A:$AT, 24, FALSE)</f>
        <v>0.14000000000000001</v>
      </c>
      <c r="X26" s="2" t="str">
        <f>VLOOKUP($A26&amp;"_"&amp;$C26, DataSource!$A:$AT, 25, FALSE)</f>
        <v>1.22704081632653</v>
      </c>
      <c r="Y26" s="2" t="str">
        <f>VLOOKUP($A26&amp;"_"&amp;$C26, DataSource!$A:$AT, 26, FALSE)</f>
        <v>1.45408163265306</v>
      </c>
      <c r="Z26" s="2">
        <f>VLOOKUP($A26&amp;"_"&amp;$C26, DataSource!$A:$AT, 27, FALSE)</f>
        <v>4</v>
      </c>
      <c r="AA26" s="2" t="str">
        <f>VLOOKUP($A26&amp;"_"&amp;$C26, DataSource!$A:$AT, 28, FALSE)</f>
        <v>【阵线扫荡】战技粉碎阵线命中至少两个敌人时，返还15点技力。</v>
      </c>
      <c r="AB26" s="2" t="str">
        <f>VLOOKUP($A26&amp;"_"&amp;$C26, DataSource!$A:$AT, 29, FALSE)</f>
        <v>【“行军”】意志+20，造成的物理伤害+10%。</v>
      </c>
      <c r="AC26" s="2" t="str">
        <f>VLOOKUP($A26&amp;"_"&amp;$C26, DataSource!$A:$AT, 30, FALSE)</f>
        <v>【战旗飘扬时】天赋活着的旗帜效果加强：获得士气激昂所需的技力恢复量降低至60点。自身士气激昂最大叠加层数+2。</v>
      </c>
      <c r="AD26" s="2" t="str">
        <f>VLOOKUP($A26&amp;"_"&amp;$C26, DataSource!$A:$AT, 31, FALSE)</f>
        <v>【塔卫二之盾】终结技盾卫旗队，上前所需的终结技能量-15%。</v>
      </c>
      <c r="AE26" s="2" t="str">
        <f>VLOOKUP($A26&amp;"_"&amp;$C26, DataSource!$A:$AT, 32, FALSE)</f>
        <v>【新铸剑锋】连携技盈月邀击冷却时间-2秒，且技力恢复量变为原本的1.2倍。</v>
      </c>
      <c r="AF26" s="2" t="str">
        <f>VLOOKUP($A26&amp;"_"&amp;$C26, DataSource!$A:$AT, 33, FALSE)</f>
        <v>【守誓】干员意志能力值提升10。</v>
      </c>
      <c r="AG26" s="2" t="str">
        <f>VLOOKUP($A26&amp;"_"&amp;$C26, DataSource!$A:$AT, 34, FALSE)</f>
        <v>【守誓】干员意志能力值提升15。</v>
      </c>
      <c r="AH26" s="2" t="str">
        <f>VLOOKUP($A26&amp;"_"&amp;$C26, DataSource!$A:$AT, 35, FALSE)</f>
        <v>【守誓】干员意志能力值提升15。</v>
      </c>
      <c r="AI26" s="2" t="str">
        <f>VLOOKUP($A26&amp;"_"&amp;$C26, DataSource!$A:$AT, 36, FALSE)</f>
        <v>【守誓】干员意志能力值提升20。</v>
      </c>
      <c r="AJ26" s="3">
        <v>1</v>
      </c>
      <c r="AK26" s="2" t="str">
        <f>VLOOKUP($A26&amp;"_"&amp;$C26, DataSource!$A:$AT, 39 + AJ26 - 1, FALSE)</f>
        <v>【战术教导 Lv.1】当任意干员触发终结技盾卫旗队，上前的后续效果后，也会获得持续5秒的士气激昂。需要激活天赋活着的旗帜。</v>
      </c>
      <c r="AL26" s="3">
        <v>1</v>
      </c>
      <c r="AM26" s="2" t="str">
        <f>VLOOKUP($A26&amp;"_"&amp;$C26, DataSource!$A:$AT, 44 + AL26 - 1, FALSE)</f>
        <v>【活着的旗帜 Lv.1】战斗中，通过自身技能每恢复80点技力后，获得持续20秒的士气激昂。士气激昂效果：攻击力+4%，源石技艺强度+4。该效果最多叠加3层，每层单独计算时间。</v>
      </c>
    </row>
    <row r="27" spans="1:39" ht="21.95" customHeight="1" x14ac:dyDescent="0.15">
      <c r="A27" s="4" t="s">
        <v>10310</v>
      </c>
      <c r="B27" s="4" t="str">
        <f>VLOOKUP("chr_0027_tangtang_90", DataSource!$A:$P, 3, FALSE)</f>
        <v>汤汤</v>
      </c>
      <c r="C27" s="5">
        <v>90</v>
      </c>
      <c r="D27" s="4" t="str">
        <f>VLOOKUP($A27&amp;"_"&amp;$C27, DataSource!$A:$AT, 5, FALSE)</f>
        <v>Tangtang</v>
      </c>
      <c r="E27" s="4" t="str">
        <f>VLOOKUP($A27&amp;"_"&amp;$C27, DataSource!$A:$AT, 6, FALSE)</f>
        <v>术师</v>
      </c>
      <c r="F27" s="4" t="str">
        <f>VLOOKUP($A27&amp;"_"&amp;$C27, DataSource!$A:$AT, 7, FALSE)</f>
        <v>ENDFIELD INDUSTRIES</v>
      </c>
      <c r="G27" s="4" t="str">
        <f>VLOOKUP($A27&amp;"_"&amp;$C27, DataSource!$A:$AT, 8, FALSE)</f>
        <v>寒冷附着, 法术脆弱</v>
      </c>
      <c r="H27" s="4" t="str">
        <f>VLOOKUP($A27&amp;"_"&amp;$C27, DataSource!$A:$AT, 9, FALSE)</f>
        <v>6★</v>
      </c>
      <c r="I27" s="4" t="str">
        <f>VLOOKUP($A27&amp;"_"&amp;$C27, DataSource!$A:$AT, 10, FALSE)</f>
        <v>手铳</v>
      </c>
      <c r="J27" s="4" t="str">
        <f>VLOOKUP($A27&amp;"_"&amp;$C27, DataSource!$A:$AT, 11, FALSE)</f>
        <v>寒冷</v>
      </c>
      <c r="K27" s="4" t="str">
        <f>VLOOKUP($A27&amp;"_"&amp;$C27, DataSource!$A:$AT, 12, FALSE)</f>
        <v>敏捷</v>
      </c>
      <c r="L27" s="4" t="str">
        <f>VLOOKUP($A27&amp;"_"&amp;$C27, DataSource!$A:$AT, 13, FALSE)</f>
        <v>力量</v>
      </c>
      <c r="M27" s="4">
        <f>VLOOKUP($A27&amp;"_"&amp;$C27, DataSource!$A:$AT, 14, FALSE)</f>
        <v>5495</v>
      </c>
      <c r="N27" s="4">
        <f>VLOOKUP($A27&amp;"_"&amp;$C27, DataSource!$A:$AT, 15, FALSE)</f>
        <v>321</v>
      </c>
      <c r="O27" s="4">
        <f>VLOOKUP($A27&amp;"_"&amp;$C27, DataSource!$A:$AT, 16, FALSE)</f>
        <v>0</v>
      </c>
      <c r="P27" s="4" t="str">
        <f>VLOOKUP($A27&amp;"_"&amp;$C27, DataSource!$A:$AT, 17, FALSE)</f>
        <v>123.59899012530613</v>
      </c>
      <c r="Q27" s="4" t="str">
        <f>VLOOKUP($A27&amp;"_"&amp;$C27, DataSource!$A:$AT, 18, FALSE)</f>
        <v>179.61561123326533</v>
      </c>
      <c r="R27" s="4" t="str">
        <f>VLOOKUP($A27&amp;"_"&amp;$C27, DataSource!$A:$AT, 19, FALSE)</f>
        <v>85.75089417580612</v>
      </c>
      <c r="S27" s="4" t="str">
        <f>VLOOKUP($A27&amp;"_"&amp;$C27, DataSource!$A:$AT, 20, FALSE)</f>
        <v>102.06185568316326</v>
      </c>
      <c r="T27" s="4" t="str">
        <f>VLOOKUP($A27&amp;"_"&amp;$C27, DataSource!$A:$AT, 21, FALSE)</f>
        <v>5.0%</v>
      </c>
      <c r="U27" s="4" t="str">
        <f>VLOOKUP($A27&amp;"_"&amp;$C27, DataSource!$A:$AT, 22, FALSE)</f>
        <v>50.0%</v>
      </c>
      <c r="V27" s="4">
        <f>VLOOKUP($A27&amp;"_"&amp;$C27, DataSource!$A:$AT, 23, FALSE)</f>
        <v>10</v>
      </c>
      <c r="W27" s="4">
        <f>VLOOKUP($A27&amp;"_"&amp;$C27, DataSource!$A:$AT, 24, FALSE)</f>
        <v>0.1150625</v>
      </c>
      <c r="X27" s="4" t="str">
        <f>VLOOKUP($A27&amp;"_"&amp;$C27, DataSource!$A:$AT, 25, FALSE)</f>
        <v>1.22704081632653</v>
      </c>
      <c r="Y27" s="4" t="str">
        <f>VLOOKUP($A27&amp;"_"&amp;$C27, DataSource!$A:$AT, 26, FALSE)</f>
        <v>1.45408163265306</v>
      </c>
      <c r="Z27" s="4">
        <f>VLOOKUP($A27&amp;"_"&amp;$C27, DataSource!$A:$AT, 27, FALSE)</f>
        <v>4</v>
      </c>
      <c r="AA27" s="4" t="str">
        <f>VLOOKUP($A27&amp;"_"&amp;$C27, DataSource!$A:$AT, 28, FALSE)</f>
        <v>【财宝储备】连携技河水，助我！的伤害倍率提升至原本的1.2倍，冷却时间-2秒。战技踏潮卷浪！每消耗一处涡流形成水龙卷，额外返还5点技力。</v>
      </c>
      <c r="AB27" s="4" t="str">
        <f>VLOOKUP($A27&amp;"_"&amp;$C27, DataSource!$A:$AT, 29, FALSE)</f>
        <v>【河流的女儿】敏捷+20，寒冷伤害+10%。</v>
      </c>
      <c r="AC27" s="4" t="str">
        <f>VLOOKUP($A27&amp;"_"&amp;$C27, DataSource!$A:$AT, 30, FALSE)</f>
        <v>【当家气魄】战技踏潮卷浪！伤害倍率提升至原本的1.1倍，且同时形成多个水龙卷时造成的法术脆弱效果额外+5%。</v>
      </c>
      <c r="AD27" s="4" t="str">
        <f>VLOOKUP($A27&amp;"_"&amp;$C27, DataSource!$A:$AT, 31, FALSE)</f>
        <v>【清波修炼法】终结技大当家盯着呢！所需的终结技能量-15%。</v>
      </c>
      <c r="AE27" s="4" t="str">
        <f>VLOOKUP($A27&amp;"_"&amp;$C27, DataSource!$A:$AT, 32, FALSE)</f>
        <v>【魔眼效能】终结技大当家盯着呢！的伤害倍率提升至原本的1.15倍。天赋呼风唤浪效果加强：终结技大当家盯着呢！形成的水龙卷伤害提升效果额外+80%。</v>
      </c>
      <c r="AF27" s="4" t="str">
        <f>VLOOKUP($A27&amp;"_"&amp;$C27, DataSource!$A:$AT, 33, FALSE)</f>
        <v>【游刃】干员敏捷能力值提升15。</v>
      </c>
      <c r="AG27" s="4" t="str">
        <f>VLOOKUP($A27&amp;"_"&amp;$C27, DataSource!$A:$AT, 34, FALSE)</f>
        <v>【游刃】干员敏捷能力值提升10。</v>
      </c>
      <c r="AH27" s="4" t="str">
        <f>VLOOKUP($A27&amp;"_"&amp;$C27, DataSource!$A:$AT, 35, FALSE)</f>
        <v>【游刃】干员敏捷能力值提升15。</v>
      </c>
      <c r="AI27" s="4" t="str">
        <f>VLOOKUP($A27&amp;"_"&amp;$C27, DataSource!$A:$AT, 36, FALSE)</f>
        <v>【游刃】干员敏捷能力值提升20。</v>
      </c>
      <c r="AJ27" s="5">
        <v>1</v>
      </c>
      <c r="AK27" s="4" t="str">
        <f>VLOOKUP($A27&amp;"_"&amp;$C27, DataSource!$A:$AT, 39 + AJ27 - 1, FALSE)</f>
        <v>【肝胆相照 Lv.1】涡流附近5米范围内，友方干员获得10%加速，敌人受到20%缓速，离开范围后该效果持续3秒。</v>
      </c>
      <c r="AL27" s="5">
        <v>1</v>
      </c>
      <c r="AM27" s="4" t="str">
        <f>VLOOKUP($A27&amp;"_"&amp;$C27, DataSource!$A:$AT, 44 + AL27 - 1, FALSE)</f>
        <v>【呼风唤浪 Lv.1】主控干员在古老图形中进行下落攻击，提前结束演化时，形成一个水龙卷，并消耗附近所有涡流使其形成额外的水龙卷。此次形成的水龙卷效果同战技踏潮卷浪！，造成的伤害+40%。</v>
      </c>
    </row>
  </sheetData>
  <phoneticPr fontId="39" type="noConversion"/>
  <dataValidations count="1">
    <dataValidation type="list" sqref="AJ2:AJ27 AL2:AL27" xr:uid="{00000000-0002-0000-0100-000001000000}">
      <formula1>"1,2,3"</formula1>
    </dataValidation>
  </dataValidations>
  <pageMargins left="0.75" right="0.75" top="1" bottom="1" header="0.3" footer="0.5"/>
  <pageSetup orientation="landscape"/>
  <extLst>
    <ext xmlns:x14="http://schemas.microsoft.com/office/spreadsheetml/2009/9/main" uri="{CCE6A557-97BC-4b89-ADB6-D9C93CAAB3DF}">
      <x14:dataValidations xmlns:xm="http://schemas.microsoft.com/office/excel/2006/main" count="1">
        <x14:dataValidation type="list" showErrorMessage="1" errorTitle=".૮˵&gt;ㅿ&lt;˵ა" error="૮꒰ ˶• ༝ •˶꒱ა 请输入有效的等级: 1-99" promptTitle="等级选择" prompt="请选择等级" xr:uid="{00000000-0002-0000-0100-000000000000}">
          <x14:formula1>
            <xm:f>DataSource!$AV$1:$AV$99</xm:f>
          </x14:formula1>
          <xm:sqref>C2 C3 C4 C5 C6 C7 C8 C9 C10 C11 C12 C13 C14 C15 C16 C17 C18 C19 C20 C21 C22 C23 C24 C25 C26 C27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0"/>
  <sheetViews>
    <sheetView workbookViewId="0"/>
  </sheetViews>
  <sheetFormatPr defaultRowHeight="13.5" x14ac:dyDescent="0.15"/>
  <cols>
    <col min="1" max="1" width="32" customWidth="1"/>
    <col min="2" max="13" width="9" customWidth="1"/>
  </cols>
  <sheetData>
    <row r="1" spans="1:13" ht="35.1" customHeight="1" x14ac:dyDescent="0.15">
      <c r="A1" s="11" t="s">
        <v>11326</v>
      </c>
      <c r="B1" s="10"/>
      <c r="C1" s="10"/>
      <c r="D1" s="10"/>
      <c r="E1" s="10"/>
      <c r="F1" s="10"/>
      <c r="G1" s="10"/>
      <c r="H1" s="10"/>
      <c r="I1" s="10"/>
      <c r="J1" s="10"/>
      <c r="K1" s="10"/>
      <c r="L1" s="10"/>
      <c r="M1" s="10"/>
    </row>
    <row r="3" spans="1:13" ht="27.95" customHeight="1" x14ac:dyDescent="0.15">
      <c r="A3" s="13" t="s">
        <v>11327</v>
      </c>
      <c r="B3" s="10"/>
      <c r="C3" s="10"/>
      <c r="D3" s="10"/>
      <c r="E3" s="10"/>
      <c r="F3" s="10"/>
      <c r="G3" s="10"/>
      <c r="H3" s="10"/>
      <c r="I3" s="10"/>
      <c r="J3" s="10"/>
      <c r="K3" s="10"/>
      <c r="L3" s="10"/>
      <c r="M3" s="10"/>
    </row>
    <row r="4" spans="1:13" ht="45" customHeight="1" x14ac:dyDescent="0.15">
      <c r="A4" s="12" t="s">
        <v>11328</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11343</v>
      </c>
      <c r="C6" s="7" t="s">
        <v>11344</v>
      </c>
      <c r="D6" s="7" t="s">
        <v>11345</v>
      </c>
      <c r="E6" s="7" t="s">
        <v>11346</v>
      </c>
      <c r="F6" s="7" t="s">
        <v>11347</v>
      </c>
      <c r="G6" s="7" t="s">
        <v>11348</v>
      </c>
      <c r="H6" s="7" t="s">
        <v>11349</v>
      </c>
      <c r="I6" s="7" t="s">
        <v>11350</v>
      </c>
      <c r="J6" s="7" t="s">
        <v>11351</v>
      </c>
      <c r="K6" s="7" t="s">
        <v>11352</v>
      </c>
      <c r="L6" s="7" t="s">
        <v>11353</v>
      </c>
      <c r="M6" s="7" t="s">
        <v>11354</v>
      </c>
    </row>
    <row r="7" spans="1:13" ht="21.95" customHeight="1" x14ac:dyDescent="0.15">
      <c r="A7" s="8" t="s">
        <v>11355</v>
      </c>
      <c r="B7" s="8" t="s">
        <v>11345</v>
      </c>
      <c r="C7" s="8" t="s">
        <v>11356</v>
      </c>
      <c r="D7" s="8" t="s">
        <v>11347</v>
      </c>
      <c r="E7" s="8" t="s">
        <v>11357</v>
      </c>
      <c r="F7" s="8" t="s">
        <v>11358</v>
      </c>
      <c r="G7" s="8" t="s">
        <v>11351</v>
      </c>
      <c r="H7" s="8" t="s">
        <v>11359</v>
      </c>
      <c r="I7" s="8" t="s">
        <v>11360</v>
      </c>
      <c r="J7" s="8" t="s">
        <v>11361</v>
      </c>
      <c r="K7" s="8" t="s">
        <v>11362</v>
      </c>
      <c r="L7" s="8" t="s">
        <v>11363</v>
      </c>
      <c r="M7" s="8" t="s">
        <v>11364</v>
      </c>
    </row>
    <row r="8" spans="1:13" ht="21.95" customHeight="1" x14ac:dyDescent="0.15">
      <c r="A8" s="7" t="s">
        <v>11365</v>
      </c>
      <c r="B8" s="7" t="s">
        <v>11356</v>
      </c>
      <c r="C8" s="7" t="s">
        <v>11366</v>
      </c>
      <c r="D8" s="7" t="s">
        <v>11349</v>
      </c>
      <c r="E8" s="7" t="s">
        <v>11350</v>
      </c>
      <c r="F8" s="7" t="s">
        <v>11367</v>
      </c>
      <c r="G8" s="7" t="s">
        <v>11368</v>
      </c>
      <c r="H8" s="7" t="s">
        <v>11369</v>
      </c>
      <c r="I8" s="7" t="s">
        <v>11354</v>
      </c>
      <c r="J8" s="7" t="s">
        <v>11370</v>
      </c>
      <c r="K8" s="7" t="s">
        <v>11371</v>
      </c>
      <c r="L8" s="7" t="s">
        <v>11372</v>
      </c>
      <c r="M8" s="7" t="s">
        <v>11373</v>
      </c>
    </row>
    <row r="9" spans="1:13" ht="21.95" customHeight="1" x14ac:dyDescent="0.15">
      <c r="A9" s="8" t="s">
        <v>11374</v>
      </c>
      <c r="B9" s="8" t="s">
        <v>11357</v>
      </c>
      <c r="C9" s="8" t="s">
        <v>11358</v>
      </c>
      <c r="D9" s="8" t="s">
        <v>11351</v>
      </c>
      <c r="E9" s="8" t="s">
        <v>11368</v>
      </c>
      <c r="F9" s="8" t="s">
        <v>11369</v>
      </c>
      <c r="G9" s="8" t="s">
        <v>11362</v>
      </c>
      <c r="H9" s="8" t="s">
        <v>11375</v>
      </c>
      <c r="I9" s="8" t="s">
        <v>11376</v>
      </c>
      <c r="J9" s="8" t="s">
        <v>11377</v>
      </c>
      <c r="K9" s="8" t="s">
        <v>11378</v>
      </c>
      <c r="L9" s="8" t="s">
        <v>11379</v>
      </c>
      <c r="M9" s="8" t="s">
        <v>11380</v>
      </c>
    </row>
    <row r="10" spans="1:13" ht="21.95" customHeight="1" x14ac:dyDescent="0.15">
      <c r="A10" s="7" t="s">
        <v>11381</v>
      </c>
      <c r="B10" s="7" t="s">
        <v>11382</v>
      </c>
      <c r="C10" s="7" t="s">
        <v>11352</v>
      </c>
      <c r="D10" s="7" t="s">
        <v>11369</v>
      </c>
      <c r="E10" s="7" t="s">
        <v>11362</v>
      </c>
      <c r="F10" s="7" t="s">
        <v>11363</v>
      </c>
      <c r="G10" s="7" t="s">
        <v>11383</v>
      </c>
      <c r="H10" s="7" t="s">
        <v>11384</v>
      </c>
      <c r="I10" s="7" t="s">
        <v>11373</v>
      </c>
      <c r="J10" s="7" t="s">
        <v>11379</v>
      </c>
      <c r="K10" s="7" t="s">
        <v>11385</v>
      </c>
      <c r="L10" s="7" t="s">
        <v>11386</v>
      </c>
      <c r="M10" s="7" t="s">
        <v>11387</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11414</v>
      </c>
      <c r="B15" s="10"/>
      <c r="C15" s="10"/>
      <c r="D15" s="10"/>
      <c r="E15" s="10"/>
      <c r="F15" s="10"/>
      <c r="G15" s="10"/>
      <c r="H15" s="10"/>
      <c r="I15" s="10"/>
      <c r="J15" s="10"/>
      <c r="K15" s="10"/>
      <c r="L15" s="10"/>
      <c r="M15" s="10"/>
    </row>
    <row r="16" spans="1:13" ht="45" customHeight="1" x14ac:dyDescent="0.15">
      <c r="A16" s="12" t="s">
        <v>11415</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11416</v>
      </c>
      <c r="B18" s="7" t="s">
        <v>11417</v>
      </c>
      <c r="C18" s="7" t="s">
        <v>11418</v>
      </c>
      <c r="D18" s="7" t="s">
        <v>11419</v>
      </c>
      <c r="E18" s="7" t="s">
        <v>11420</v>
      </c>
      <c r="F18" s="7" t="s">
        <v>11421</v>
      </c>
      <c r="G18" s="7" t="s">
        <v>11422</v>
      </c>
      <c r="H18" s="7" t="s">
        <v>11423</v>
      </c>
      <c r="I18" s="7" t="s">
        <v>11424</v>
      </c>
      <c r="J18" s="7" t="s">
        <v>11425</v>
      </c>
      <c r="K18" s="7" t="s">
        <v>11426</v>
      </c>
      <c r="L18" s="7" t="s">
        <v>11427</v>
      </c>
      <c r="M18" s="7" t="s">
        <v>11428</v>
      </c>
    </row>
    <row r="19" spans="1:13" ht="21.95" customHeight="1" x14ac:dyDescent="0.15">
      <c r="A19" s="8" t="s">
        <v>11429</v>
      </c>
      <c r="B19" s="8" t="s">
        <v>11430</v>
      </c>
      <c r="C19" s="8" t="s">
        <v>11430</v>
      </c>
      <c r="D19" s="8" t="s">
        <v>11430</v>
      </c>
      <c r="E19" s="8" t="s">
        <v>11430</v>
      </c>
      <c r="F19" s="8" t="s">
        <v>11430</v>
      </c>
      <c r="G19" s="8" t="s">
        <v>11430</v>
      </c>
      <c r="H19" s="8" t="s">
        <v>11430</v>
      </c>
      <c r="I19" s="8" t="s">
        <v>11430</v>
      </c>
      <c r="J19" s="8" t="s">
        <v>11430</v>
      </c>
      <c r="K19" s="8" t="s">
        <v>11430</v>
      </c>
      <c r="L19" s="8" t="s">
        <v>11430</v>
      </c>
      <c r="M19" s="8" t="s">
        <v>11430</v>
      </c>
    </row>
    <row r="20" spans="1:13" ht="8.1" customHeight="1" x14ac:dyDescent="0.15">
      <c r="A20" s="9"/>
      <c r="B20" s="10"/>
      <c r="C20" s="10"/>
      <c r="D20" s="10"/>
      <c r="E20" s="10"/>
      <c r="F20" s="10"/>
      <c r="G20" s="10"/>
      <c r="H20" s="10"/>
      <c r="I20" s="10"/>
      <c r="J20" s="10"/>
      <c r="K20" s="10"/>
      <c r="L20" s="10"/>
      <c r="M20" s="10"/>
    </row>
    <row r="22" spans="1:13" ht="27.95" customHeight="1" x14ac:dyDescent="0.15">
      <c r="A22" s="13" t="s">
        <v>11431</v>
      </c>
      <c r="B22" s="10"/>
      <c r="C22" s="10"/>
      <c r="D22" s="10"/>
      <c r="E22" s="10"/>
      <c r="F22" s="10"/>
      <c r="G22" s="10"/>
      <c r="H22" s="10"/>
      <c r="I22" s="10"/>
      <c r="J22" s="10"/>
      <c r="K22" s="10"/>
      <c r="L22" s="10"/>
      <c r="M22" s="10"/>
    </row>
    <row r="23" spans="1:13" ht="45" customHeight="1" x14ac:dyDescent="0.15">
      <c r="A23" s="12" t="s">
        <v>11432</v>
      </c>
      <c r="B23" s="10"/>
      <c r="C23" s="10"/>
      <c r="D23" s="10"/>
      <c r="E23" s="10"/>
      <c r="F23" s="10"/>
      <c r="G23" s="10"/>
      <c r="H23" s="10"/>
      <c r="I23" s="10"/>
      <c r="J23" s="10"/>
      <c r="K23" s="10"/>
      <c r="L23" s="10"/>
      <c r="M23" s="10"/>
    </row>
    <row r="24" spans="1:13" ht="15" x14ac:dyDescent="0.15">
      <c r="A24" s="6" t="s">
        <v>11329</v>
      </c>
      <c r="B24" s="6" t="s">
        <v>11330</v>
      </c>
      <c r="C24" s="6" t="s">
        <v>11331</v>
      </c>
      <c r="D24" s="6" t="s">
        <v>11332</v>
      </c>
      <c r="E24" s="6" t="s">
        <v>11333</v>
      </c>
      <c r="F24" s="6" t="s">
        <v>11334</v>
      </c>
      <c r="G24" s="6" t="s">
        <v>11335</v>
      </c>
      <c r="H24" s="6" t="s">
        <v>11336</v>
      </c>
      <c r="I24" s="6" t="s">
        <v>11337</v>
      </c>
      <c r="J24" s="6" t="s">
        <v>11338</v>
      </c>
      <c r="K24" s="6" t="s">
        <v>11339</v>
      </c>
      <c r="L24" s="6" t="s">
        <v>11340</v>
      </c>
      <c r="M24" s="6" t="s">
        <v>11341</v>
      </c>
    </row>
    <row r="25" spans="1:13" ht="21.95" customHeight="1" x14ac:dyDescent="0.15">
      <c r="A25" s="7" t="s">
        <v>11433</v>
      </c>
      <c r="B25" s="7" t="s">
        <v>11434</v>
      </c>
      <c r="C25" s="7" t="s">
        <v>11434</v>
      </c>
      <c r="D25" s="7" t="s">
        <v>11434</v>
      </c>
      <c r="E25" s="7" t="s">
        <v>11434</v>
      </c>
      <c r="F25" s="7" t="s">
        <v>11434</v>
      </c>
      <c r="G25" s="7" t="s">
        <v>11434</v>
      </c>
      <c r="H25" s="7" t="s">
        <v>11434</v>
      </c>
      <c r="I25" s="7" t="s">
        <v>11434</v>
      </c>
      <c r="J25" s="7" t="s">
        <v>11434</v>
      </c>
      <c r="K25" s="7" t="s">
        <v>11434</v>
      </c>
      <c r="L25" s="7" t="s">
        <v>11434</v>
      </c>
      <c r="M25" s="7" t="s">
        <v>11434</v>
      </c>
    </row>
    <row r="26" spans="1:13" ht="21.95" customHeight="1" x14ac:dyDescent="0.15">
      <c r="A26" s="8" t="s">
        <v>11435</v>
      </c>
      <c r="B26" s="8" t="s">
        <v>11436</v>
      </c>
      <c r="C26" s="8" t="s">
        <v>11436</v>
      </c>
      <c r="D26" s="8" t="s">
        <v>11436</v>
      </c>
      <c r="E26" s="8" t="s">
        <v>11436</v>
      </c>
      <c r="F26" s="8" t="s">
        <v>11436</v>
      </c>
      <c r="G26" s="8" t="s">
        <v>11436</v>
      </c>
      <c r="H26" s="8" t="s">
        <v>11436</v>
      </c>
      <c r="I26" s="8" t="s">
        <v>11436</v>
      </c>
      <c r="J26" s="8" t="s">
        <v>11436</v>
      </c>
      <c r="K26" s="8" t="s">
        <v>11436</v>
      </c>
      <c r="L26" s="8" t="s">
        <v>11436</v>
      </c>
      <c r="M26" s="8" t="s">
        <v>11436</v>
      </c>
    </row>
    <row r="27" spans="1:13" ht="21.95" customHeight="1" x14ac:dyDescent="0.15">
      <c r="A27" s="7" t="s">
        <v>11437</v>
      </c>
      <c r="B27" s="7" t="s">
        <v>11434</v>
      </c>
      <c r="C27" s="7" t="s">
        <v>11434</v>
      </c>
      <c r="D27" s="7" t="s">
        <v>11434</v>
      </c>
      <c r="E27" s="7" t="s">
        <v>11434</v>
      </c>
      <c r="F27" s="7" t="s">
        <v>11434</v>
      </c>
      <c r="G27" s="7" t="s">
        <v>11434</v>
      </c>
      <c r="H27" s="7" t="s">
        <v>11434</v>
      </c>
      <c r="I27" s="7" t="s">
        <v>11434</v>
      </c>
      <c r="J27" s="7" t="s">
        <v>11434</v>
      </c>
      <c r="K27" s="7" t="s">
        <v>11434</v>
      </c>
      <c r="L27" s="7" t="s">
        <v>11434</v>
      </c>
      <c r="M27" s="7" t="s">
        <v>11434</v>
      </c>
    </row>
    <row r="28" spans="1:13" ht="21.95" customHeight="1" x14ac:dyDescent="0.15">
      <c r="A28" s="8" t="s">
        <v>11438</v>
      </c>
      <c r="B28" s="8" t="s">
        <v>11436</v>
      </c>
      <c r="C28" s="8" t="s">
        <v>11436</v>
      </c>
      <c r="D28" s="8" t="s">
        <v>11436</v>
      </c>
      <c r="E28" s="8" t="s">
        <v>11436</v>
      </c>
      <c r="F28" s="8" t="s">
        <v>11436</v>
      </c>
      <c r="G28" s="8" t="s">
        <v>11436</v>
      </c>
      <c r="H28" s="8" t="s">
        <v>11436</v>
      </c>
      <c r="I28" s="8" t="s">
        <v>11436</v>
      </c>
      <c r="J28" s="8" t="s">
        <v>11436</v>
      </c>
      <c r="K28" s="8" t="s">
        <v>11436</v>
      </c>
      <c r="L28" s="8" t="s">
        <v>11436</v>
      </c>
      <c r="M28" s="8" t="s">
        <v>11436</v>
      </c>
    </row>
    <row r="29" spans="1:13" ht="21.95" customHeight="1" x14ac:dyDescent="0.15">
      <c r="A29" s="7" t="s">
        <v>11416</v>
      </c>
      <c r="B29" s="7" t="s">
        <v>11439</v>
      </c>
      <c r="C29" s="7" t="s">
        <v>11440</v>
      </c>
      <c r="D29" s="7" t="s">
        <v>11441</v>
      </c>
      <c r="E29" s="7" t="s">
        <v>11442</v>
      </c>
      <c r="F29" s="7" t="s">
        <v>11443</v>
      </c>
      <c r="G29" s="7" t="s">
        <v>11444</v>
      </c>
      <c r="H29" s="7" t="s">
        <v>11445</v>
      </c>
      <c r="I29" s="7" t="s">
        <v>11446</v>
      </c>
      <c r="J29" s="7" t="s">
        <v>11395</v>
      </c>
      <c r="K29" s="7" t="s">
        <v>11447</v>
      </c>
      <c r="L29" s="7" t="s">
        <v>11448</v>
      </c>
      <c r="M29" s="7" t="s">
        <v>11449</v>
      </c>
    </row>
    <row r="30" spans="1:13" ht="21.95" customHeight="1" x14ac:dyDescent="0.15">
      <c r="A30" s="8" t="s">
        <v>11450</v>
      </c>
      <c r="B30" s="8" t="s">
        <v>11451</v>
      </c>
      <c r="C30" s="8" t="s">
        <v>11452</v>
      </c>
      <c r="D30" s="8" t="s">
        <v>11453</v>
      </c>
      <c r="E30" s="8" t="s">
        <v>11454</v>
      </c>
      <c r="F30" s="8" t="s">
        <v>11455</v>
      </c>
      <c r="G30" s="8" t="s">
        <v>11389</v>
      </c>
      <c r="H30" s="8" t="s">
        <v>11441</v>
      </c>
      <c r="I30" s="8" t="s">
        <v>11456</v>
      </c>
      <c r="J30" s="8" t="s">
        <v>11391</v>
      </c>
      <c r="K30" s="8" t="s">
        <v>11457</v>
      </c>
      <c r="L30" s="8" t="s">
        <v>11458</v>
      </c>
      <c r="M30" s="8" t="s">
        <v>11394</v>
      </c>
    </row>
    <row r="31" spans="1:13" ht="21.95" customHeight="1" x14ac:dyDescent="0.15">
      <c r="A31" s="7" t="s">
        <v>11429</v>
      </c>
      <c r="B31" s="7" t="s">
        <v>11459</v>
      </c>
      <c r="C31" s="7" t="s">
        <v>11459</v>
      </c>
      <c r="D31" s="7" t="s">
        <v>11459</v>
      </c>
      <c r="E31" s="7" t="s">
        <v>11459</v>
      </c>
      <c r="F31" s="7" t="s">
        <v>11459</v>
      </c>
      <c r="G31" s="7" t="s">
        <v>11459</v>
      </c>
      <c r="H31" s="7" t="s">
        <v>11459</v>
      </c>
      <c r="I31" s="7" t="s">
        <v>11459</v>
      </c>
      <c r="J31" s="7" t="s">
        <v>11459</v>
      </c>
      <c r="K31" s="7" t="s">
        <v>11459</v>
      </c>
      <c r="L31" s="7" t="s">
        <v>11459</v>
      </c>
      <c r="M31" s="7" t="s">
        <v>11459</v>
      </c>
    </row>
    <row r="32" spans="1:13" ht="21.95" customHeight="1" x14ac:dyDescent="0.15">
      <c r="A32" s="8" t="s">
        <v>11460</v>
      </c>
      <c r="B32" s="8" t="s">
        <v>11439</v>
      </c>
      <c r="C32" s="8" t="s">
        <v>11440</v>
      </c>
      <c r="D32" s="8" t="s">
        <v>11441</v>
      </c>
      <c r="E32" s="8" t="s">
        <v>11442</v>
      </c>
      <c r="F32" s="8" t="s">
        <v>11443</v>
      </c>
      <c r="G32" s="8" t="s">
        <v>11444</v>
      </c>
      <c r="H32" s="8" t="s">
        <v>11445</v>
      </c>
      <c r="I32" s="8" t="s">
        <v>11446</v>
      </c>
      <c r="J32" s="8" t="s">
        <v>11395</v>
      </c>
      <c r="K32" s="8" t="s">
        <v>11447</v>
      </c>
      <c r="L32" s="8" t="s">
        <v>11448</v>
      </c>
      <c r="M32" s="8" t="s">
        <v>11449</v>
      </c>
    </row>
    <row r="33" spans="1:13" ht="21.95" customHeight="1" x14ac:dyDescent="0.15">
      <c r="A33" s="7" t="s">
        <v>11461</v>
      </c>
      <c r="B33" s="7" t="s">
        <v>11451</v>
      </c>
      <c r="C33" s="7" t="s">
        <v>11452</v>
      </c>
      <c r="D33" s="7" t="s">
        <v>11453</v>
      </c>
      <c r="E33" s="7" t="s">
        <v>11454</v>
      </c>
      <c r="F33" s="7" t="s">
        <v>11455</v>
      </c>
      <c r="G33" s="7" t="s">
        <v>11389</v>
      </c>
      <c r="H33" s="7" t="s">
        <v>11441</v>
      </c>
      <c r="I33" s="7" t="s">
        <v>11456</v>
      </c>
      <c r="J33" s="7" t="s">
        <v>11391</v>
      </c>
      <c r="K33" s="7" t="s">
        <v>11457</v>
      </c>
      <c r="L33" s="7" t="s">
        <v>11458</v>
      </c>
      <c r="M33" s="7" t="s">
        <v>11394</v>
      </c>
    </row>
    <row r="34" spans="1:13" ht="21.95" customHeight="1" x14ac:dyDescent="0.15">
      <c r="A34" s="8" t="s">
        <v>11462</v>
      </c>
      <c r="B34" s="8" t="s">
        <v>11459</v>
      </c>
      <c r="C34" s="8" t="s">
        <v>11459</v>
      </c>
      <c r="D34" s="8" t="s">
        <v>11459</v>
      </c>
      <c r="E34" s="8" t="s">
        <v>11459</v>
      </c>
      <c r="F34" s="8" t="s">
        <v>11459</v>
      </c>
      <c r="G34" s="8" t="s">
        <v>11459</v>
      </c>
      <c r="H34" s="8" t="s">
        <v>11459</v>
      </c>
      <c r="I34" s="8" t="s">
        <v>11459</v>
      </c>
      <c r="J34" s="8" t="s">
        <v>11459</v>
      </c>
      <c r="K34" s="8" t="s">
        <v>11459</v>
      </c>
      <c r="L34" s="8" t="s">
        <v>11459</v>
      </c>
      <c r="M34" s="8" t="s">
        <v>11459</v>
      </c>
    </row>
    <row r="35" spans="1:13" ht="8.1" customHeight="1" x14ac:dyDescent="0.15">
      <c r="A35" s="9"/>
      <c r="B35" s="10"/>
      <c r="C35" s="10"/>
      <c r="D35" s="10"/>
      <c r="E35" s="10"/>
      <c r="F35" s="10"/>
      <c r="G35" s="10"/>
      <c r="H35" s="10"/>
      <c r="I35" s="10"/>
      <c r="J35" s="10"/>
      <c r="K35" s="10"/>
      <c r="L35" s="10"/>
      <c r="M35" s="10"/>
    </row>
    <row r="37" spans="1:13" ht="27.95" customHeight="1" x14ac:dyDescent="0.15">
      <c r="A37" s="13" t="s">
        <v>11463</v>
      </c>
      <c r="B37" s="10"/>
      <c r="C37" s="10"/>
      <c r="D37" s="10"/>
      <c r="E37" s="10"/>
      <c r="F37" s="10"/>
      <c r="G37" s="10"/>
      <c r="H37" s="10"/>
      <c r="I37" s="10"/>
      <c r="J37" s="10"/>
      <c r="K37" s="10"/>
      <c r="L37" s="10"/>
      <c r="M37" s="10"/>
    </row>
    <row r="38" spans="1:13" ht="45" customHeight="1" x14ac:dyDescent="0.15">
      <c r="A38" s="12" t="s">
        <v>11464</v>
      </c>
      <c r="B38" s="10"/>
      <c r="C38" s="10"/>
      <c r="D38" s="10"/>
      <c r="E38" s="10"/>
      <c r="F38" s="10"/>
      <c r="G38" s="10"/>
      <c r="H38" s="10"/>
      <c r="I38" s="10"/>
      <c r="J38" s="10"/>
      <c r="K38" s="10"/>
      <c r="L38" s="10"/>
      <c r="M38" s="10"/>
    </row>
    <row r="39" spans="1:13" ht="15" x14ac:dyDescent="0.15">
      <c r="A39" s="6" t="s">
        <v>11329</v>
      </c>
      <c r="B39" s="6" t="s">
        <v>11330</v>
      </c>
      <c r="C39" s="6" t="s">
        <v>11331</v>
      </c>
      <c r="D39" s="6" t="s">
        <v>11332</v>
      </c>
      <c r="E39" s="6" t="s">
        <v>11333</v>
      </c>
      <c r="F39" s="6" t="s">
        <v>11334</v>
      </c>
      <c r="G39" s="6" t="s">
        <v>11335</v>
      </c>
      <c r="H39" s="6" t="s">
        <v>11336</v>
      </c>
      <c r="I39" s="6" t="s">
        <v>11337</v>
      </c>
      <c r="J39" s="6" t="s">
        <v>11338</v>
      </c>
      <c r="K39" s="6" t="s">
        <v>11339</v>
      </c>
      <c r="L39" s="6" t="s">
        <v>11340</v>
      </c>
      <c r="M39" s="6" t="s">
        <v>11341</v>
      </c>
    </row>
    <row r="40" spans="1:13" ht="21.95" customHeight="1" x14ac:dyDescent="0.15">
      <c r="A40" s="7" t="s">
        <v>11435</v>
      </c>
      <c r="B40" s="7" t="s">
        <v>11465</v>
      </c>
      <c r="C40" s="7" t="s">
        <v>11465</v>
      </c>
      <c r="D40" s="7" t="s">
        <v>11465</v>
      </c>
      <c r="E40" s="7" t="s">
        <v>11465</v>
      </c>
      <c r="F40" s="7" t="s">
        <v>11465</v>
      </c>
      <c r="G40" s="7" t="s">
        <v>11465</v>
      </c>
      <c r="H40" s="7" t="s">
        <v>11465</v>
      </c>
      <c r="I40" s="7" t="s">
        <v>11465</v>
      </c>
      <c r="J40" s="7" t="s">
        <v>11465</v>
      </c>
      <c r="K40" s="7" t="s">
        <v>11465</v>
      </c>
      <c r="L40" s="7" t="s">
        <v>11465</v>
      </c>
      <c r="M40" s="7" t="s">
        <v>11466</v>
      </c>
    </row>
    <row r="41" spans="1:13" ht="21.95" customHeight="1" x14ac:dyDescent="0.15">
      <c r="A41" s="8" t="s">
        <v>11438</v>
      </c>
      <c r="B41" s="8" t="s">
        <v>11465</v>
      </c>
      <c r="C41" s="8" t="s">
        <v>11465</v>
      </c>
      <c r="D41" s="8" t="s">
        <v>11465</v>
      </c>
      <c r="E41" s="8" t="s">
        <v>11465</v>
      </c>
      <c r="F41" s="8" t="s">
        <v>11465</v>
      </c>
      <c r="G41" s="8" t="s">
        <v>11465</v>
      </c>
      <c r="H41" s="8" t="s">
        <v>11465</v>
      </c>
      <c r="I41" s="8" t="s">
        <v>11465</v>
      </c>
      <c r="J41" s="8" t="s">
        <v>11465</v>
      </c>
      <c r="K41" s="8" t="s">
        <v>11465</v>
      </c>
      <c r="L41" s="8" t="s">
        <v>11465</v>
      </c>
      <c r="M41" s="8" t="s">
        <v>11466</v>
      </c>
    </row>
    <row r="42" spans="1:13" ht="21.95" customHeight="1" x14ac:dyDescent="0.15">
      <c r="A42" s="7" t="s">
        <v>11416</v>
      </c>
      <c r="B42" s="7" t="s">
        <v>11368</v>
      </c>
      <c r="C42" s="7" t="s">
        <v>11361</v>
      </c>
      <c r="D42" s="7" t="s">
        <v>11370</v>
      </c>
      <c r="E42" s="7" t="s">
        <v>11371</v>
      </c>
      <c r="F42" s="7" t="s">
        <v>11377</v>
      </c>
      <c r="G42" s="7" t="s">
        <v>11378</v>
      </c>
      <c r="H42" s="7" t="s">
        <v>11467</v>
      </c>
      <c r="I42" s="7" t="s">
        <v>11468</v>
      </c>
      <c r="J42" s="7" t="s">
        <v>11402</v>
      </c>
      <c r="K42" s="7" t="s">
        <v>11469</v>
      </c>
      <c r="L42" s="7" t="s">
        <v>11470</v>
      </c>
      <c r="M42" s="7" t="s">
        <v>11471</v>
      </c>
    </row>
    <row r="43" spans="1:13" ht="21.95" customHeight="1" x14ac:dyDescent="0.15">
      <c r="A43" s="8" t="s">
        <v>11472</v>
      </c>
      <c r="B43" s="8" t="s">
        <v>11473</v>
      </c>
      <c r="C43" s="8" t="s">
        <v>11474</v>
      </c>
      <c r="D43" s="8" t="s">
        <v>11475</v>
      </c>
      <c r="E43" s="8" t="s">
        <v>11476</v>
      </c>
      <c r="F43" s="8" t="s">
        <v>11423</v>
      </c>
      <c r="G43" s="8" t="s">
        <v>11451</v>
      </c>
      <c r="H43" s="8" t="s">
        <v>11477</v>
      </c>
      <c r="I43" s="8" t="s">
        <v>11478</v>
      </c>
      <c r="J43" s="8" t="s">
        <v>11453</v>
      </c>
      <c r="K43" s="8" t="s">
        <v>11479</v>
      </c>
      <c r="L43" s="8" t="s">
        <v>11480</v>
      </c>
      <c r="M43" s="8" t="s">
        <v>11389</v>
      </c>
    </row>
    <row r="44" spans="1:13" ht="21.95" customHeight="1" x14ac:dyDescent="0.15">
      <c r="A44" s="7" t="s">
        <v>11429</v>
      </c>
      <c r="B44" s="7" t="s">
        <v>11430</v>
      </c>
      <c r="C44" s="7" t="s">
        <v>11430</v>
      </c>
      <c r="D44" s="7" t="s">
        <v>11430</v>
      </c>
      <c r="E44" s="7" t="s">
        <v>11430</v>
      </c>
      <c r="F44" s="7" t="s">
        <v>11430</v>
      </c>
      <c r="G44" s="7" t="s">
        <v>11430</v>
      </c>
      <c r="H44" s="7" t="s">
        <v>11430</v>
      </c>
      <c r="I44" s="7" t="s">
        <v>11430</v>
      </c>
      <c r="J44" s="7" t="s">
        <v>11430</v>
      </c>
      <c r="K44" s="7" t="s">
        <v>11430</v>
      </c>
      <c r="L44" s="7" t="s">
        <v>11430</v>
      </c>
      <c r="M44" s="7" t="s">
        <v>11430</v>
      </c>
    </row>
    <row r="45" spans="1:13" ht="21.95" customHeight="1" x14ac:dyDescent="0.15">
      <c r="A45" s="8" t="s">
        <v>11481</v>
      </c>
      <c r="B45" s="8" t="s">
        <v>11482</v>
      </c>
      <c r="C45" s="8" t="s">
        <v>11482</v>
      </c>
      <c r="D45" s="8" t="s">
        <v>11482</v>
      </c>
      <c r="E45" s="8" t="s">
        <v>11482</v>
      </c>
      <c r="F45" s="8" t="s">
        <v>11482</v>
      </c>
      <c r="G45" s="8" t="s">
        <v>11482</v>
      </c>
      <c r="H45" s="8" t="s">
        <v>11482</v>
      </c>
      <c r="I45" s="8" t="s">
        <v>11482</v>
      </c>
      <c r="J45" s="8" t="s">
        <v>11482</v>
      </c>
      <c r="K45" s="8" t="s">
        <v>11483</v>
      </c>
      <c r="L45" s="8" t="s">
        <v>11483</v>
      </c>
      <c r="M45" s="8" t="s">
        <v>11484</v>
      </c>
    </row>
    <row r="46" spans="1:13" ht="21.95" customHeight="1" x14ac:dyDescent="0.15">
      <c r="A46" s="7" t="s">
        <v>11460</v>
      </c>
      <c r="B46" s="7" t="s">
        <v>11368</v>
      </c>
      <c r="C46" s="7" t="s">
        <v>11361</v>
      </c>
      <c r="D46" s="7" t="s">
        <v>11370</v>
      </c>
      <c r="E46" s="7" t="s">
        <v>11371</v>
      </c>
      <c r="F46" s="7" t="s">
        <v>11377</v>
      </c>
      <c r="G46" s="7" t="s">
        <v>11378</v>
      </c>
      <c r="H46" s="7" t="s">
        <v>11467</v>
      </c>
      <c r="I46" s="7" t="s">
        <v>11468</v>
      </c>
      <c r="J46" s="7" t="s">
        <v>11402</v>
      </c>
      <c r="K46" s="7" t="s">
        <v>11469</v>
      </c>
      <c r="L46" s="7" t="s">
        <v>11470</v>
      </c>
      <c r="M46" s="7" t="s">
        <v>11471</v>
      </c>
    </row>
    <row r="47" spans="1:13" ht="21.95" customHeight="1" x14ac:dyDescent="0.15">
      <c r="A47" s="8" t="s">
        <v>11485</v>
      </c>
      <c r="B47" s="8" t="s">
        <v>11473</v>
      </c>
      <c r="C47" s="8" t="s">
        <v>11474</v>
      </c>
      <c r="D47" s="8" t="s">
        <v>11475</v>
      </c>
      <c r="E47" s="8" t="s">
        <v>11476</v>
      </c>
      <c r="F47" s="8" t="s">
        <v>11423</v>
      </c>
      <c r="G47" s="8" t="s">
        <v>11451</v>
      </c>
      <c r="H47" s="8" t="s">
        <v>11477</v>
      </c>
      <c r="I47" s="8" t="s">
        <v>11478</v>
      </c>
      <c r="J47" s="8" t="s">
        <v>11453</v>
      </c>
      <c r="K47" s="8" t="s">
        <v>11479</v>
      </c>
      <c r="L47" s="8" t="s">
        <v>11480</v>
      </c>
      <c r="M47" s="8" t="s">
        <v>11389</v>
      </c>
    </row>
    <row r="48" spans="1:13" ht="21.95" customHeight="1" x14ac:dyDescent="0.15">
      <c r="A48" s="7" t="s">
        <v>11462</v>
      </c>
      <c r="B48" s="7" t="s">
        <v>11430</v>
      </c>
      <c r="C48" s="7" t="s">
        <v>11430</v>
      </c>
      <c r="D48" s="7" t="s">
        <v>11430</v>
      </c>
      <c r="E48" s="7" t="s">
        <v>11430</v>
      </c>
      <c r="F48" s="7" t="s">
        <v>11430</v>
      </c>
      <c r="G48" s="7" t="s">
        <v>11430</v>
      </c>
      <c r="H48" s="7" t="s">
        <v>11430</v>
      </c>
      <c r="I48" s="7" t="s">
        <v>11430</v>
      </c>
      <c r="J48" s="7" t="s">
        <v>11430</v>
      </c>
      <c r="K48" s="7" t="s">
        <v>11430</v>
      </c>
      <c r="L48" s="7" t="s">
        <v>11430</v>
      </c>
      <c r="M48" s="7" t="s">
        <v>11430</v>
      </c>
    </row>
    <row r="49" spans="1:13" ht="21.95" customHeight="1" x14ac:dyDescent="0.15">
      <c r="A49" s="8" t="s">
        <v>11486</v>
      </c>
      <c r="B49" s="8" t="s">
        <v>11482</v>
      </c>
      <c r="C49" s="8" t="s">
        <v>11482</v>
      </c>
      <c r="D49" s="8" t="s">
        <v>11482</v>
      </c>
      <c r="E49" s="8" t="s">
        <v>11482</v>
      </c>
      <c r="F49" s="8" t="s">
        <v>11482</v>
      </c>
      <c r="G49" s="8" t="s">
        <v>11482</v>
      </c>
      <c r="H49" s="8" t="s">
        <v>11482</v>
      </c>
      <c r="I49" s="8" t="s">
        <v>11482</v>
      </c>
      <c r="J49" s="8" t="s">
        <v>11482</v>
      </c>
      <c r="K49" s="8" t="s">
        <v>11483</v>
      </c>
      <c r="L49" s="8" t="s">
        <v>11483</v>
      </c>
      <c r="M49" s="8" t="s">
        <v>11484</v>
      </c>
    </row>
    <row r="50" spans="1:13" ht="8.1" customHeight="1" x14ac:dyDescent="0.15">
      <c r="A50" s="9"/>
      <c r="B50" s="10"/>
      <c r="C50" s="10"/>
      <c r="D50" s="10"/>
      <c r="E50" s="10"/>
      <c r="F50" s="10"/>
      <c r="G50" s="10"/>
      <c r="H50" s="10"/>
      <c r="I50" s="10"/>
      <c r="J50" s="10"/>
      <c r="K50" s="10"/>
      <c r="L50" s="10"/>
      <c r="M50" s="10"/>
    </row>
  </sheetData>
  <sheetProtection password="CC26" sheet="1"/>
  <mergeCells count="13">
    <mergeCell ref="A50:M50"/>
    <mergeCell ref="A3:M3"/>
    <mergeCell ref="A15:M15"/>
    <mergeCell ref="A20:M20"/>
    <mergeCell ref="A38:M38"/>
    <mergeCell ref="A16:M16"/>
    <mergeCell ref="A13:M13"/>
    <mergeCell ref="A1:M1"/>
    <mergeCell ref="A23:M23"/>
    <mergeCell ref="A37:M37"/>
    <mergeCell ref="A22:M22"/>
    <mergeCell ref="A35:M35"/>
    <mergeCell ref="A4:M4"/>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19">
    <cfRule type="colorScale" priority="2">
      <colorScale>
        <cfvo type="min"/>
        <cfvo type="percentile" val="50"/>
        <cfvo type="max"/>
        <color rgb="FFFFC7CE"/>
        <color rgb="FFFFEB9C"/>
        <color rgb="FFC6EFCE"/>
      </colorScale>
    </cfRule>
  </conditionalFormatting>
  <conditionalFormatting sqref="B25:M34">
    <cfRule type="colorScale" priority="3">
      <colorScale>
        <cfvo type="min"/>
        <cfvo type="percentile" val="50"/>
        <cfvo type="max"/>
        <color rgb="FFFFC7CE"/>
        <color rgb="FFFFEB9C"/>
        <color rgb="FFC6EFCE"/>
      </colorScale>
    </cfRule>
  </conditionalFormatting>
  <conditionalFormatting sqref="B40:M49">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0"/>
  <sheetViews>
    <sheetView workbookViewId="0"/>
  </sheetViews>
  <sheetFormatPr defaultRowHeight="13.5" x14ac:dyDescent="0.15"/>
  <cols>
    <col min="1" max="1" width="32" customWidth="1"/>
    <col min="2" max="13" width="9" customWidth="1"/>
  </cols>
  <sheetData>
    <row r="1" spans="1:13" ht="35.1" customHeight="1" x14ac:dyDescent="0.15">
      <c r="A1" s="11" t="s">
        <v>11487</v>
      </c>
      <c r="B1" s="10"/>
      <c r="C1" s="10"/>
      <c r="D1" s="10"/>
      <c r="E1" s="10"/>
      <c r="F1" s="10"/>
      <c r="G1" s="10"/>
      <c r="H1" s="10"/>
      <c r="I1" s="10"/>
      <c r="J1" s="10"/>
      <c r="K1" s="10"/>
      <c r="L1" s="10"/>
      <c r="M1" s="10"/>
    </row>
    <row r="3" spans="1:13" ht="27.95" customHeight="1" x14ac:dyDescent="0.15">
      <c r="A3" s="13" t="s">
        <v>11488</v>
      </c>
      <c r="B3" s="10"/>
      <c r="C3" s="10"/>
      <c r="D3" s="10"/>
      <c r="E3" s="10"/>
      <c r="F3" s="10"/>
      <c r="G3" s="10"/>
      <c r="H3" s="10"/>
      <c r="I3" s="10"/>
      <c r="J3" s="10"/>
      <c r="K3" s="10"/>
      <c r="L3" s="10"/>
      <c r="M3" s="10"/>
    </row>
    <row r="4" spans="1:13" ht="45" customHeight="1" x14ac:dyDescent="0.15">
      <c r="A4" s="12" t="s">
        <v>11328</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11343</v>
      </c>
      <c r="C6" s="7" t="s">
        <v>11344</v>
      </c>
      <c r="D6" s="7" t="s">
        <v>11345</v>
      </c>
      <c r="E6" s="7" t="s">
        <v>11346</v>
      </c>
      <c r="F6" s="7" t="s">
        <v>11347</v>
      </c>
      <c r="G6" s="7" t="s">
        <v>11348</v>
      </c>
      <c r="H6" s="7" t="s">
        <v>11349</v>
      </c>
      <c r="I6" s="7" t="s">
        <v>11350</v>
      </c>
      <c r="J6" s="7" t="s">
        <v>11351</v>
      </c>
      <c r="K6" s="7" t="s">
        <v>11352</v>
      </c>
      <c r="L6" s="7" t="s">
        <v>11353</v>
      </c>
      <c r="M6" s="7" t="s">
        <v>11354</v>
      </c>
    </row>
    <row r="7" spans="1:13" ht="21.95" customHeight="1" x14ac:dyDescent="0.15">
      <c r="A7" s="8" t="s">
        <v>11355</v>
      </c>
      <c r="B7" s="8" t="s">
        <v>11345</v>
      </c>
      <c r="C7" s="8" t="s">
        <v>11356</v>
      </c>
      <c r="D7" s="8" t="s">
        <v>11347</v>
      </c>
      <c r="E7" s="8" t="s">
        <v>11357</v>
      </c>
      <c r="F7" s="8" t="s">
        <v>11358</v>
      </c>
      <c r="G7" s="8" t="s">
        <v>11351</v>
      </c>
      <c r="H7" s="8" t="s">
        <v>11359</v>
      </c>
      <c r="I7" s="8" t="s">
        <v>11360</v>
      </c>
      <c r="J7" s="8" t="s">
        <v>11361</v>
      </c>
      <c r="K7" s="8" t="s">
        <v>11362</v>
      </c>
      <c r="L7" s="8" t="s">
        <v>11363</v>
      </c>
      <c r="M7" s="8" t="s">
        <v>11364</v>
      </c>
    </row>
    <row r="8" spans="1:13" ht="21.95" customHeight="1" x14ac:dyDescent="0.15">
      <c r="A8" s="7" t="s">
        <v>11365</v>
      </c>
      <c r="B8" s="7" t="s">
        <v>11356</v>
      </c>
      <c r="C8" s="7" t="s">
        <v>11366</v>
      </c>
      <c r="D8" s="7" t="s">
        <v>11349</v>
      </c>
      <c r="E8" s="7" t="s">
        <v>11350</v>
      </c>
      <c r="F8" s="7" t="s">
        <v>11367</v>
      </c>
      <c r="G8" s="7" t="s">
        <v>11368</v>
      </c>
      <c r="H8" s="7" t="s">
        <v>11369</v>
      </c>
      <c r="I8" s="7" t="s">
        <v>11354</v>
      </c>
      <c r="J8" s="7" t="s">
        <v>11370</v>
      </c>
      <c r="K8" s="7" t="s">
        <v>11371</v>
      </c>
      <c r="L8" s="7" t="s">
        <v>11372</v>
      </c>
      <c r="M8" s="7" t="s">
        <v>11373</v>
      </c>
    </row>
    <row r="9" spans="1:13" ht="21.95" customHeight="1" x14ac:dyDescent="0.15">
      <c r="A9" s="8" t="s">
        <v>11374</v>
      </c>
      <c r="B9" s="8" t="s">
        <v>11357</v>
      </c>
      <c r="C9" s="8" t="s">
        <v>11358</v>
      </c>
      <c r="D9" s="8" t="s">
        <v>11351</v>
      </c>
      <c r="E9" s="8" t="s">
        <v>11368</v>
      </c>
      <c r="F9" s="8" t="s">
        <v>11369</v>
      </c>
      <c r="G9" s="8" t="s">
        <v>11362</v>
      </c>
      <c r="H9" s="8" t="s">
        <v>11375</v>
      </c>
      <c r="I9" s="8" t="s">
        <v>11376</v>
      </c>
      <c r="J9" s="8" t="s">
        <v>11377</v>
      </c>
      <c r="K9" s="8" t="s">
        <v>11378</v>
      </c>
      <c r="L9" s="8" t="s">
        <v>11379</v>
      </c>
      <c r="M9" s="8" t="s">
        <v>11380</v>
      </c>
    </row>
    <row r="10" spans="1:13" ht="21.95" customHeight="1" x14ac:dyDescent="0.15">
      <c r="A10" s="7" t="s">
        <v>11381</v>
      </c>
      <c r="B10" s="7" t="s">
        <v>11382</v>
      </c>
      <c r="C10" s="7" t="s">
        <v>11352</v>
      </c>
      <c r="D10" s="7" t="s">
        <v>11369</v>
      </c>
      <c r="E10" s="7" t="s">
        <v>11362</v>
      </c>
      <c r="F10" s="7" t="s">
        <v>11363</v>
      </c>
      <c r="G10" s="7" t="s">
        <v>11383</v>
      </c>
      <c r="H10" s="7" t="s">
        <v>11384</v>
      </c>
      <c r="I10" s="7" t="s">
        <v>11373</v>
      </c>
      <c r="J10" s="7" t="s">
        <v>11379</v>
      </c>
      <c r="K10" s="7" t="s">
        <v>11385</v>
      </c>
      <c r="L10" s="7" t="s">
        <v>11386</v>
      </c>
      <c r="M10" s="7" t="s">
        <v>11387</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11489</v>
      </c>
      <c r="B15" s="10"/>
      <c r="C15" s="10"/>
      <c r="D15" s="10"/>
      <c r="E15" s="10"/>
      <c r="F15" s="10"/>
      <c r="G15" s="10"/>
      <c r="H15" s="10"/>
      <c r="I15" s="10"/>
      <c r="J15" s="10"/>
      <c r="K15" s="10"/>
      <c r="L15" s="10"/>
      <c r="M15" s="10"/>
    </row>
    <row r="16" spans="1:13" ht="45" customHeight="1" x14ac:dyDescent="0.15">
      <c r="A16" s="12" t="s">
        <v>11490</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11416</v>
      </c>
      <c r="B18" s="7" t="s">
        <v>11417</v>
      </c>
      <c r="C18" s="7" t="s">
        <v>11418</v>
      </c>
      <c r="D18" s="7" t="s">
        <v>11419</v>
      </c>
      <c r="E18" s="7" t="s">
        <v>11420</v>
      </c>
      <c r="F18" s="7" t="s">
        <v>11421</v>
      </c>
      <c r="G18" s="7" t="s">
        <v>11422</v>
      </c>
      <c r="H18" s="7" t="s">
        <v>11423</v>
      </c>
      <c r="I18" s="7" t="s">
        <v>11424</v>
      </c>
      <c r="J18" s="7" t="s">
        <v>11425</v>
      </c>
      <c r="K18" s="7" t="s">
        <v>11426</v>
      </c>
      <c r="L18" s="7" t="s">
        <v>11427</v>
      </c>
      <c r="M18" s="7" t="s">
        <v>11428</v>
      </c>
    </row>
    <row r="19" spans="1:13" ht="21.95" customHeight="1" x14ac:dyDescent="0.15">
      <c r="A19" s="8" t="s">
        <v>11429</v>
      </c>
      <c r="B19" s="8" t="s">
        <v>11430</v>
      </c>
      <c r="C19" s="8" t="s">
        <v>11430</v>
      </c>
      <c r="D19" s="8" t="s">
        <v>11430</v>
      </c>
      <c r="E19" s="8" t="s">
        <v>11430</v>
      </c>
      <c r="F19" s="8" t="s">
        <v>11430</v>
      </c>
      <c r="G19" s="8" t="s">
        <v>11430</v>
      </c>
      <c r="H19" s="8" t="s">
        <v>11430</v>
      </c>
      <c r="I19" s="8" t="s">
        <v>11430</v>
      </c>
      <c r="J19" s="8" t="s">
        <v>11430</v>
      </c>
      <c r="K19" s="8" t="s">
        <v>11430</v>
      </c>
      <c r="L19" s="8" t="s">
        <v>11430</v>
      </c>
      <c r="M19" s="8" t="s">
        <v>11430</v>
      </c>
    </row>
    <row r="20" spans="1:13" ht="8.1" customHeight="1" x14ac:dyDescent="0.15">
      <c r="A20" s="9"/>
      <c r="B20" s="10"/>
      <c r="C20" s="10"/>
      <c r="D20" s="10"/>
      <c r="E20" s="10"/>
      <c r="F20" s="10"/>
      <c r="G20" s="10"/>
      <c r="H20" s="10"/>
      <c r="I20" s="10"/>
      <c r="J20" s="10"/>
      <c r="K20" s="10"/>
      <c r="L20" s="10"/>
      <c r="M20" s="10"/>
    </row>
    <row r="22" spans="1:13" ht="27.95" customHeight="1" x14ac:dyDescent="0.15">
      <c r="A22" s="13" t="s">
        <v>11491</v>
      </c>
      <c r="B22" s="10"/>
      <c r="C22" s="10"/>
      <c r="D22" s="10"/>
      <c r="E22" s="10"/>
      <c r="F22" s="10"/>
      <c r="G22" s="10"/>
      <c r="H22" s="10"/>
      <c r="I22" s="10"/>
      <c r="J22" s="10"/>
      <c r="K22" s="10"/>
      <c r="L22" s="10"/>
      <c r="M22" s="10"/>
    </row>
    <row r="23" spans="1:13" ht="45" customHeight="1" x14ac:dyDescent="0.15">
      <c r="A23" s="12" t="s">
        <v>11492</v>
      </c>
      <c r="B23" s="10"/>
      <c r="C23" s="10"/>
      <c r="D23" s="10"/>
      <c r="E23" s="10"/>
      <c r="F23" s="10"/>
      <c r="G23" s="10"/>
      <c r="H23" s="10"/>
      <c r="I23" s="10"/>
      <c r="J23" s="10"/>
      <c r="K23" s="10"/>
      <c r="L23" s="10"/>
      <c r="M23" s="10"/>
    </row>
    <row r="24" spans="1:13" ht="15" x14ac:dyDescent="0.15">
      <c r="A24" s="6" t="s">
        <v>11329</v>
      </c>
      <c r="B24" s="6" t="s">
        <v>11330</v>
      </c>
      <c r="C24" s="6" t="s">
        <v>11331</v>
      </c>
      <c r="D24" s="6" t="s">
        <v>11332</v>
      </c>
      <c r="E24" s="6" t="s">
        <v>11333</v>
      </c>
      <c r="F24" s="6" t="s">
        <v>11334</v>
      </c>
      <c r="G24" s="6" t="s">
        <v>11335</v>
      </c>
      <c r="H24" s="6" t="s">
        <v>11336</v>
      </c>
      <c r="I24" s="6" t="s">
        <v>11337</v>
      </c>
      <c r="J24" s="6" t="s">
        <v>11338</v>
      </c>
      <c r="K24" s="6" t="s">
        <v>11339</v>
      </c>
      <c r="L24" s="6" t="s">
        <v>11340</v>
      </c>
      <c r="M24" s="6" t="s">
        <v>11341</v>
      </c>
    </row>
    <row r="25" spans="1:13" ht="21.95" customHeight="1" x14ac:dyDescent="0.15">
      <c r="A25" s="7" t="s">
        <v>11433</v>
      </c>
      <c r="B25" s="7" t="s">
        <v>11434</v>
      </c>
      <c r="C25" s="7" t="s">
        <v>11434</v>
      </c>
      <c r="D25" s="7" t="s">
        <v>11434</v>
      </c>
      <c r="E25" s="7" t="s">
        <v>11434</v>
      </c>
      <c r="F25" s="7" t="s">
        <v>11434</v>
      </c>
      <c r="G25" s="7" t="s">
        <v>11434</v>
      </c>
      <c r="H25" s="7" t="s">
        <v>11434</v>
      </c>
      <c r="I25" s="7" t="s">
        <v>11434</v>
      </c>
      <c r="J25" s="7" t="s">
        <v>11434</v>
      </c>
      <c r="K25" s="7" t="s">
        <v>11434</v>
      </c>
      <c r="L25" s="7" t="s">
        <v>11434</v>
      </c>
      <c r="M25" s="7" t="s">
        <v>11434</v>
      </c>
    </row>
    <row r="26" spans="1:13" ht="21.95" customHeight="1" x14ac:dyDescent="0.15">
      <c r="A26" s="8" t="s">
        <v>11435</v>
      </c>
      <c r="B26" s="8" t="s">
        <v>11436</v>
      </c>
      <c r="C26" s="8" t="s">
        <v>11436</v>
      </c>
      <c r="D26" s="8" t="s">
        <v>11436</v>
      </c>
      <c r="E26" s="8" t="s">
        <v>11436</v>
      </c>
      <c r="F26" s="8" t="s">
        <v>11436</v>
      </c>
      <c r="G26" s="8" t="s">
        <v>11436</v>
      </c>
      <c r="H26" s="8" t="s">
        <v>11436</v>
      </c>
      <c r="I26" s="8" t="s">
        <v>11436</v>
      </c>
      <c r="J26" s="8" t="s">
        <v>11436</v>
      </c>
      <c r="K26" s="8" t="s">
        <v>11436</v>
      </c>
      <c r="L26" s="8" t="s">
        <v>11436</v>
      </c>
      <c r="M26" s="8" t="s">
        <v>11436</v>
      </c>
    </row>
    <row r="27" spans="1:13" ht="21.95" customHeight="1" x14ac:dyDescent="0.15">
      <c r="A27" s="7" t="s">
        <v>11416</v>
      </c>
      <c r="B27" s="7" t="s">
        <v>11439</v>
      </c>
      <c r="C27" s="7" t="s">
        <v>11440</v>
      </c>
      <c r="D27" s="7" t="s">
        <v>11441</v>
      </c>
      <c r="E27" s="7" t="s">
        <v>11442</v>
      </c>
      <c r="F27" s="7" t="s">
        <v>11443</v>
      </c>
      <c r="G27" s="7" t="s">
        <v>11444</v>
      </c>
      <c r="H27" s="7" t="s">
        <v>11445</v>
      </c>
      <c r="I27" s="7" t="s">
        <v>11446</v>
      </c>
      <c r="J27" s="7" t="s">
        <v>11395</v>
      </c>
      <c r="K27" s="7" t="s">
        <v>11447</v>
      </c>
      <c r="L27" s="7" t="s">
        <v>11448</v>
      </c>
      <c r="M27" s="7" t="s">
        <v>11449</v>
      </c>
    </row>
    <row r="28" spans="1:13" ht="21.95" customHeight="1" x14ac:dyDescent="0.15">
      <c r="A28" s="8" t="s">
        <v>11450</v>
      </c>
      <c r="B28" s="8" t="s">
        <v>11451</v>
      </c>
      <c r="C28" s="8" t="s">
        <v>11452</v>
      </c>
      <c r="D28" s="8" t="s">
        <v>11453</v>
      </c>
      <c r="E28" s="8" t="s">
        <v>11454</v>
      </c>
      <c r="F28" s="8" t="s">
        <v>11455</v>
      </c>
      <c r="G28" s="8" t="s">
        <v>11389</v>
      </c>
      <c r="H28" s="8" t="s">
        <v>11441</v>
      </c>
      <c r="I28" s="8" t="s">
        <v>11456</v>
      </c>
      <c r="J28" s="8" t="s">
        <v>11391</v>
      </c>
      <c r="K28" s="8" t="s">
        <v>11457</v>
      </c>
      <c r="L28" s="8" t="s">
        <v>11458</v>
      </c>
      <c r="M28" s="8" t="s">
        <v>11394</v>
      </c>
    </row>
    <row r="29" spans="1:13" ht="21.95" customHeight="1" x14ac:dyDescent="0.15">
      <c r="A29" s="7" t="s">
        <v>11429</v>
      </c>
      <c r="B29" s="7" t="s">
        <v>11459</v>
      </c>
      <c r="C29" s="7" t="s">
        <v>11459</v>
      </c>
      <c r="D29" s="7" t="s">
        <v>11459</v>
      </c>
      <c r="E29" s="7" t="s">
        <v>11459</v>
      </c>
      <c r="F29" s="7" t="s">
        <v>11459</v>
      </c>
      <c r="G29" s="7" t="s">
        <v>11459</v>
      </c>
      <c r="H29" s="7" t="s">
        <v>11459</v>
      </c>
      <c r="I29" s="7" t="s">
        <v>11459</v>
      </c>
      <c r="J29" s="7" t="s">
        <v>11459</v>
      </c>
      <c r="K29" s="7" t="s">
        <v>11459</v>
      </c>
      <c r="L29" s="7" t="s">
        <v>11459</v>
      </c>
      <c r="M29" s="7" t="s">
        <v>11459</v>
      </c>
    </row>
    <row r="30" spans="1:13" ht="8.1" customHeight="1" x14ac:dyDescent="0.15">
      <c r="A30" s="9"/>
      <c r="B30" s="10"/>
      <c r="C30" s="10"/>
      <c r="D30" s="10"/>
      <c r="E30" s="10"/>
      <c r="F30" s="10"/>
      <c r="G30" s="10"/>
      <c r="H30" s="10"/>
      <c r="I30" s="10"/>
      <c r="J30" s="10"/>
      <c r="K30" s="10"/>
      <c r="L30" s="10"/>
      <c r="M30" s="10"/>
    </row>
    <row r="32" spans="1:13" ht="27.95" customHeight="1" x14ac:dyDescent="0.15">
      <c r="A32" s="13" t="s">
        <v>11493</v>
      </c>
      <c r="B32" s="10"/>
      <c r="C32" s="10"/>
      <c r="D32" s="10"/>
      <c r="E32" s="10"/>
      <c r="F32" s="10"/>
      <c r="G32" s="10"/>
      <c r="H32" s="10"/>
      <c r="I32" s="10"/>
      <c r="J32" s="10"/>
      <c r="K32" s="10"/>
      <c r="L32" s="10"/>
      <c r="M32" s="10"/>
    </row>
    <row r="33" spans="1:13" ht="45" customHeight="1" x14ac:dyDescent="0.15">
      <c r="A33" s="12" t="s">
        <v>11494</v>
      </c>
      <c r="B33" s="10"/>
      <c r="C33" s="10"/>
      <c r="D33" s="10"/>
      <c r="E33" s="10"/>
      <c r="F33" s="10"/>
      <c r="G33" s="10"/>
      <c r="H33" s="10"/>
      <c r="I33" s="10"/>
      <c r="J33" s="10"/>
      <c r="K33" s="10"/>
      <c r="L33" s="10"/>
      <c r="M33" s="10"/>
    </row>
    <row r="34" spans="1:13" ht="15" x14ac:dyDescent="0.15">
      <c r="A34" s="6" t="s">
        <v>11329</v>
      </c>
      <c r="B34" s="6" t="s">
        <v>11330</v>
      </c>
      <c r="C34" s="6" t="s">
        <v>11331</v>
      </c>
      <c r="D34" s="6" t="s">
        <v>11332</v>
      </c>
      <c r="E34" s="6" t="s">
        <v>11333</v>
      </c>
      <c r="F34" s="6" t="s">
        <v>11334</v>
      </c>
      <c r="G34" s="6" t="s">
        <v>11335</v>
      </c>
      <c r="H34" s="6" t="s">
        <v>11336</v>
      </c>
      <c r="I34" s="6" t="s">
        <v>11337</v>
      </c>
      <c r="J34" s="6" t="s">
        <v>11338</v>
      </c>
      <c r="K34" s="6" t="s">
        <v>11339</v>
      </c>
      <c r="L34" s="6" t="s">
        <v>11340</v>
      </c>
      <c r="M34" s="6" t="s">
        <v>11341</v>
      </c>
    </row>
    <row r="35" spans="1:13" ht="21.95" customHeight="1" x14ac:dyDescent="0.15">
      <c r="A35" s="7" t="s">
        <v>11435</v>
      </c>
      <c r="B35" s="7" t="s">
        <v>11465</v>
      </c>
      <c r="C35" s="7" t="s">
        <v>11465</v>
      </c>
      <c r="D35" s="7" t="s">
        <v>11465</v>
      </c>
      <c r="E35" s="7" t="s">
        <v>11465</v>
      </c>
      <c r="F35" s="7" t="s">
        <v>11465</v>
      </c>
      <c r="G35" s="7" t="s">
        <v>11465</v>
      </c>
      <c r="H35" s="7" t="s">
        <v>11465</v>
      </c>
      <c r="I35" s="7" t="s">
        <v>11465</v>
      </c>
      <c r="J35" s="7" t="s">
        <v>11465</v>
      </c>
      <c r="K35" s="7" t="s">
        <v>11465</v>
      </c>
      <c r="L35" s="7" t="s">
        <v>11465</v>
      </c>
      <c r="M35" s="7" t="s">
        <v>11466</v>
      </c>
    </row>
    <row r="36" spans="1:13" ht="21.95" customHeight="1" x14ac:dyDescent="0.15">
      <c r="A36" s="8" t="s">
        <v>11416</v>
      </c>
      <c r="B36" s="8" t="s">
        <v>11368</v>
      </c>
      <c r="C36" s="8" t="s">
        <v>11361</v>
      </c>
      <c r="D36" s="8" t="s">
        <v>11370</v>
      </c>
      <c r="E36" s="8" t="s">
        <v>11371</v>
      </c>
      <c r="F36" s="8" t="s">
        <v>11377</v>
      </c>
      <c r="G36" s="8" t="s">
        <v>11378</v>
      </c>
      <c r="H36" s="8" t="s">
        <v>11467</v>
      </c>
      <c r="I36" s="8" t="s">
        <v>11468</v>
      </c>
      <c r="J36" s="8" t="s">
        <v>11402</v>
      </c>
      <c r="K36" s="8" t="s">
        <v>11469</v>
      </c>
      <c r="L36" s="8" t="s">
        <v>11470</v>
      </c>
      <c r="M36" s="8" t="s">
        <v>11471</v>
      </c>
    </row>
    <row r="37" spans="1:13" ht="21.95" customHeight="1" x14ac:dyDescent="0.15">
      <c r="A37" s="7" t="s">
        <v>11472</v>
      </c>
      <c r="B37" s="7" t="s">
        <v>11473</v>
      </c>
      <c r="C37" s="7" t="s">
        <v>11474</v>
      </c>
      <c r="D37" s="7" t="s">
        <v>11475</v>
      </c>
      <c r="E37" s="7" t="s">
        <v>11476</v>
      </c>
      <c r="F37" s="7" t="s">
        <v>11423</v>
      </c>
      <c r="G37" s="7" t="s">
        <v>11451</v>
      </c>
      <c r="H37" s="7" t="s">
        <v>11477</v>
      </c>
      <c r="I37" s="7" t="s">
        <v>11478</v>
      </c>
      <c r="J37" s="7" t="s">
        <v>11453</v>
      </c>
      <c r="K37" s="7" t="s">
        <v>11479</v>
      </c>
      <c r="L37" s="7" t="s">
        <v>11480</v>
      </c>
      <c r="M37" s="7" t="s">
        <v>11389</v>
      </c>
    </row>
    <row r="38" spans="1:13" ht="21.95" customHeight="1" x14ac:dyDescent="0.15">
      <c r="A38" s="8" t="s">
        <v>11429</v>
      </c>
      <c r="B38" s="8" t="s">
        <v>11430</v>
      </c>
      <c r="C38" s="8" t="s">
        <v>11430</v>
      </c>
      <c r="D38" s="8" t="s">
        <v>11430</v>
      </c>
      <c r="E38" s="8" t="s">
        <v>11430</v>
      </c>
      <c r="F38" s="8" t="s">
        <v>11430</v>
      </c>
      <c r="G38" s="8" t="s">
        <v>11430</v>
      </c>
      <c r="H38" s="8" t="s">
        <v>11430</v>
      </c>
      <c r="I38" s="8" t="s">
        <v>11430</v>
      </c>
      <c r="J38" s="8" t="s">
        <v>11430</v>
      </c>
      <c r="K38" s="8" t="s">
        <v>11430</v>
      </c>
      <c r="L38" s="8" t="s">
        <v>11430</v>
      </c>
      <c r="M38" s="8" t="s">
        <v>11430</v>
      </c>
    </row>
    <row r="39" spans="1:13" ht="21.95" customHeight="1" x14ac:dyDescent="0.15">
      <c r="A39" s="7" t="s">
        <v>11481</v>
      </c>
      <c r="B39" s="7" t="s">
        <v>11482</v>
      </c>
      <c r="C39" s="7" t="s">
        <v>11482</v>
      </c>
      <c r="D39" s="7" t="s">
        <v>11482</v>
      </c>
      <c r="E39" s="7" t="s">
        <v>11482</v>
      </c>
      <c r="F39" s="7" t="s">
        <v>11482</v>
      </c>
      <c r="G39" s="7" t="s">
        <v>11482</v>
      </c>
      <c r="H39" s="7" t="s">
        <v>11482</v>
      </c>
      <c r="I39" s="7" t="s">
        <v>11482</v>
      </c>
      <c r="J39" s="7" t="s">
        <v>11482</v>
      </c>
      <c r="K39" s="7" t="s">
        <v>11483</v>
      </c>
      <c r="L39" s="7" t="s">
        <v>11483</v>
      </c>
      <c r="M39" s="7" t="s">
        <v>11484</v>
      </c>
    </row>
    <row r="40" spans="1:13" ht="8.1" customHeight="1" x14ac:dyDescent="0.15">
      <c r="A40" s="9"/>
      <c r="B40" s="10"/>
      <c r="C40" s="10"/>
      <c r="D40" s="10"/>
      <c r="E40" s="10"/>
      <c r="F40" s="10"/>
      <c r="G40" s="10"/>
      <c r="H40" s="10"/>
      <c r="I40" s="10"/>
      <c r="J40" s="10"/>
      <c r="K40" s="10"/>
      <c r="L40" s="10"/>
      <c r="M40" s="10"/>
    </row>
  </sheetData>
  <sheetProtection password="CC26" sheet="1"/>
  <mergeCells count="13">
    <mergeCell ref="A40:M40"/>
    <mergeCell ref="A4:M4"/>
    <mergeCell ref="A3:M3"/>
    <mergeCell ref="A30:M30"/>
    <mergeCell ref="A15:M15"/>
    <mergeCell ref="A20:M20"/>
    <mergeCell ref="A16:M16"/>
    <mergeCell ref="A13:M13"/>
    <mergeCell ref="A1:M1"/>
    <mergeCell ref="A23:M23"/>
    <mergeCell ref="A32:M32"/>
    <mergeCell ref="A33:M33"/>
    <mergeCell ref="A22:M22"/>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19">
    <cfRule type="colorScale" priority="2">
      <colorScale>
        <cfvo type="min"/>
        <cfvo type="percentile" val="50"/>
        <cfvo type="max"/>
        <color rgb="FFFFC7CE"/>
        <color rgb="FFFFEB9C"/>
        <color rgb="FFC6EFCE"/>
      </colorScale>
    </cfRule>
  </conditionalFormatting>
  <conditionalFormatting sqref="B25:M29">
    <cfRule type="colorScale" priority="3">
      <colorScale>
        <cfvo type="min"/>
        <cfvo type="percentile" val="50"/>
        <cfvo type="max"/>
        <color rgb="FFFFC7CE"/>
        <color rgb="FFFFEB9C"/>
        <color rgb="FFC6EFCE"/>
      </colorScale>
    </cfRule>
  </conditionalFormatting>
  <conditionalFormatting sqref="B35:M39">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0"/>
  <sheetViews>
    <sheetView workbookViewId="0"/>
  </sheetViews>
  <sheetFormatPr defaultRowHeight="13.5" x14ac:dyDescent="0.15"/>
  <cols>
    <col min="1" max="1" width="32" customWidth="1"/>
    <col min="2" max="13" width="9" customWidth="1"/>
  </cols>
  <sheetData>
    <row r="1" spans="1:13" ht="35.1" customHeight="1" x14ac:dyDescent="0.15">
      <c r="A1" s="11" t="s">
        <v>11495</v>
      </c>
      <c r="B1" s="10"/>
      <c r="C1" s="10"/>
      <c r="D1" s="10"/>
      <c r="E1" s="10"/>
      <c r="F1" s="10"/>
      <c r="G1" s="10"/>
      <c r="H1" s="10"/>
      <c r="I1" s="10"/>
      <c r="J1" s="10"/>
      <c r="K1" s="10"/>
      <c r="L1" s="10"/>
      <c r="M1" s="10"/>
    </row>
    <row r="3" spans="1:13" ht="27.95" customHeight="1" x14ac:dyDescent="0.15">
      <c r="A3" s="13" t="s">
        <v>11496</v>
      </c>
      <c r="B3" s="10"/>
      <c r="C3" s="10"/>
      <c r="D3" s="10"/>
      <c r="E3" s="10"/>
      <c r="F3" s="10"/>
      <c r="G3" s="10"/>
      <c r="H3" s="10"/>
      <c r="I3" s="10"/>
      <c r="J3" s="10"/>
      <c r="K3" s="10"/>
      <c r="L3" s="10"/>
      <c r="M3" s="10"/>
    </row>
    <row r="4" spans="1:13" ht="45" customHeight="1" x14ac:dyDescent="0.15">
      <c r="A4" s="12" t="s">
        <v>11328</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11343</v>
      </c>
      <c r="C6" s="7" t="s">
        <v>11344</v>
      </c>
      <c r="D6" s="7" t="s">
        <v>11345</v>
      </c>
      <c r="E6" s="7" t="s">
        <v>11346</v>
      </c>
      <c r="F6" s="7" t="s">
        <v>11347</v>
      </c>
      <c r="G6" s="7" t="s">
        <v>11348</v>
      </c>
      <c r="H6" s="7" t="s">
        <v>11349</v>
      </c>
      <c r="I6" s="7" t="s">
        <v>11350</v>
      </c>
      <c r="J6" s="7" t="s">
        <v>11351</v>
      </c>
      <c r="K6" s="7" t="s">
        <v>11352</v>
      </c>
      <c r="L6" s="7" t="s">
        <v>11353</v>
      </c>
      <c r="M6" s="7" t="s">
        <v>11354</v>
      </c>
    </row>
    <row r="7" spans="1:13" ht="21.95" customHeight="1" x14ac:dyDescent="0.15">
      <c r="A7" s="8" t="s">
        <v>11355</v>
      </c>
      <c r="B7" s="8" t="s">
        <v>11345</v>
      </c>
      <c r="C7" s="8" t="s">
        <v>11356</v>
      </c>
      <c r="D7" s="8" t="s">
        <v>11347</v>
      </c>
      <c r="E7" s="8" t="s">
        <v>11357</v>
      </c>
      <c r="F7" s="8" t="s">
        <v>11358</v>
      </c>
      <c r="G7" s="8" t="s">
        <v>11351</v>
      </c>
      <c r="H7" s="8" t="s">
        <v>11359</v>
      </c>
      <c r="I7" s="8" t="s">
        <v>11360</v>
      </c>
      <c r="J7" s="8" t="s">
        <v>11361</v>
      </c>
      <c r="K7" s="8" t="s">
        <v>11362</v>
      </c>
      <c r="L7" s="8" t="s">
        <v>11363</v>
      </c>
      <c r="M7" s="8" t="s">
        <v>11364</v>
      </c>
    </row>
    <row r="8" spans="1:13" ht="21.95" customHeight="1" x14ac:dyDescent="0.15">
      <c r="A8" s="7" t="s">
        <v>11365</v>
      </c>
      <c r="B8" s="7" t="s">
        <v>11356</v>
      </c>
      <c r="C8" s="7" t="s">
        <v>11366</v>
      </c>
      <c r="D8" s="7" t="s">
        <v>11349</v>
      </c>
      <c r="E8" s="7" t="s">
        <v>11350</v>
      </c>
      <c r="F8" s="7" t="s">
        <v>11367</v>
      </c>
      <c r="G8" s="7" t="s">
        <v>11368</v>
      </c>
      <c r="H8" s="7" t="s">
        <v>11369</v>
      </c>
      <c r="I8" s="7" t="s">
        <v>11354</v>
      </c>
      <c r="J8" s="7" t="s">
        <v>11370</v>
      </c>
      <c r="K8" s="7" t="s">
        <v>11371</v>
      </c>
      <c r="L8" s="7" t="s">
        <v>11372</v>
      </c>
      <c r="M8" s="7" t="s">
        <v>11373</v>
      </c>
    </row>
    <row r="9" spans="1:13" ht="21.95" customHeight="1" x14ac:dyDescent="0.15">
      <c r="A9" s="8" t="s">
        <v>11374</v>
      </c>
      <c r="B9" s="8" t="s">
        <v>11357</v>
      </c>
      <c r="C9" s="8" t="s">
        <v>11358</v>
      </c>
      <c r="D9" s="8" t="s">
        <v>11351</v>
      </c>
      <c r="E9" s="8" t="s">
        <v>11368</v>
      </c>
      <c r="F9" s="8" t="s">
        <v>11369</v>
      </c>
      <c r="G9" s="8" t="s">
        <v>11362</v>
      </c>
      <c r="H9" s="8" t="s">
        <v>11375</v>
      </c>
      <c r="I9" s="8" t="s">
        <v>11376</v>
      </c>
      <c r="J9" s="8" t="s">
        <v>11377</v>
      </c>
      <c r="K9" s="8" t="s">
        <v>11378</v>
      </c>
      <c r="L9" s="8" t="s">
        <v>11379</v>
      </c>
      <c r="M9" s="8" t="s">
        <v>11380</v>
      </c>
    </row>
    <row r="10" spans="1:13" ht="21.95" customHeight="1" x14ac:dyDescent="0.15">
      <c r="A10" s="7" t="s">
        <v>11381</v>
      </c>
      <c r="B10" s="7" t="s">
        <v>11382</v>
      </c>
      <c r="C10" s="7" t="s">
        <v>11352</v>
      </c>
      <c r="D10" s="7" t="s">
        <v>11369</v>
      </c>
      <c r="E10" s="7" t="s">
        <v>11362</v>
      </c>
      <c r="F10" s="7" t="s">
        <v>11363</v>
      </c>
      <c r="G10" s="7" t="s">
        <v>11383</v>
      </c>
      <c r="H10" s="7" t="s">
        <v>11384</v>
      </c>
      <c r="I10" s="7" t="s">
        <v>11373</v>
      </c>
      <c r="J10" s="7" t="s">
        <v>11379</v>
      </c>
      <c r="K10" s="7" t="s">
        <v>11385</v>
      </c>
      <c r="L10" s="7" t="s">
        <v>11386</v>
      </c>
      <c r="M10" s="7" t="s">
        <v>11387</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11497</v>
      </c>
      <c r="B15" s="10"/>
      <c r="C15" s="10"/>
      <c r="D15" s="10"/>
      <c r="E15" s="10"/>
      <c r="F15" s="10"/>
      <c r="G15" s="10"/>
      <c r="H15" s="10"/>
      <c r="I15" s="10"/>
      <c r="J15" s="10"/>
      <c r="K15" s="10"/>
      <c r="L15" s="10"/>
      <c r="M15" s="10"/>
    </row>
    <row r="16" spans="1:13" ht="45" customHeight="1" x14ac:dyDescent="0.15">
      <c r="A16" s="12" t="s">
        <v>11490</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11416</v>
      </c>
      <c r="B18" s="7" t="s">
        <v>11417</v>
      </c>
      <c r="C18" s="7" t="s">
        <v>11418</v>
      </c>
      <c r="D18" s="7" t="s">
        <v>11419</v>
      </c>
      <c r="E18" s="7" t="s">
        <v>11420</v>
      </c>
      <c r="F18" s="7" t="s">
        <v>11421</v>
      </c>
      <c r="G18" s="7" t="s">
        <v>11422</v>
      </c>
      <c r="H18" s="7" t="s">
        <v>11423</v>
      </c>
      <c r="I18" s="7" t="s">
        <v>11424</v>
      </c>
      <c r="J18" s="7" t="s">
        <v>11425</v>
      </c>
      <c r="K18" s="7" t="s">
        <v>11426</v>
      </c>
      <c r="L18" s="7" t="s">
        <v>11427</v>
      </c>
      <c r="M18" s="7" t="s">
        <v>11428</v>
      </c>
    </row>
    <row r="19" spans="1:13" ht="21.95" customHeight="1" x14ac:dyDescent="0.15">
      <c r="A19" s="8" t="s">
        <v>11429</v>
      </c>
      <c r="B19" s="8" t="s">
        <v>11430</v>
      </c>
      <c r="C19" s="8" t="s">
        <v>11430</v>
      </c>
      <c r="D19" s="8" t="s">
        <v>11430</v>
      </c>
      <c r="E19" s="8" t="s">
        <v>11430</v>
      </c>
      <c r="F19" s="8" t="s">
        <v>11430</v>
      </c>
      <c r="G19" s="8" t="s">
        <v>11430</v>
      </c>
      <c r="H19" s="8" t="s">
        <v>11430</v>
      </c>
      <c r="I19" s="8" t="s">
        <v>11430</v>
      </c>
      <c r="J19" s="8" t="s">
        <v>11430</v>
      </c>
      <c r="K19" s="8" t="s">
        <v>11430</v>
      </c>
      <c r="L19" s="8" t="s">
        <v>11430</v>
      </c>
      <c r="M19" s="8" t="s">
        <v>11430</v>
      </c>
    </row>
    <row r="20" spans="1:13" ht="8.1" customHeight="1" x14ac:dyDescent="0.15">
      <c r="A20" s="9"/>
      <c r="B20" s="10"/>
      <c r="C20" s="10"/>
      <c r="D20" s="10"/>
      <c r="E20" s="10"/>
      <c r="F20" s="10"/>
      <c r="G20" s="10"/>
      <c r="H20" s="10"/>
      <c r="I20" s="10"/>
      <c r="J20" s="10"/>
      <c r="K20" s="10"/>
      <c r="L20" s="10"/>
      <c r="M20" s="10"/>
    </row>
    <row r="22" spans="1:13" ht="27.95" customHeight="1" x14ac:dyDescent="0.15">
      <c r="A22" s="13" t="s">
        <v>11498</v>
      </c>
      <c r="B22" s="10"/>
      <c r="C22" s="10"/>
      <c r="D22" s="10"/>
      <c r="E22" s="10"/>
      <c r="F22" s="10"/>
      <c r="G22" s="10"/>
      <c r="H22" s="10"/>
      <c r="I22" s="10"/>
      <c r="J22" s="10"/>
      <c r="K22" s="10"/>
      <c r="L22" s="10"/>
      <c r="M22" s="10"/>
    </row>
    <row r="23" spans="1:13" ht="45" customHeight="1" x14ac:dyDescent="0.15">
      <c r="A23" s="12" t="s">
        <v>11492</v>
      </c>
      <c r="B23" s="10"/>
      <c r="C23" s="10"/>
      <c r="D23" s="10"/>
      <c r="E23" s="10"/>
      <c r="F23" s="10"/>
      <c r="G23" s="10"/>
      <c r="H23" s="10"/>
      <c r="I23" s="10"/>
      <c r="J23" s="10"/>
      <c r="K23" s="10"/>
      <c r="L23" s="10"/>
      <c r="M23" s="10"/>
    </row>
    <row r="24" spans="1:13" ht="15" x14ac:dyDescent="0.15">
      <c r="A24" s="6" t="s">
        <v>11329</v>
      </c>
      <c r="B24" s="6" t="s">
        <v>11330</v>
      </c>
      <c r="C24" s="6" t="s">
        <v>11331</v>
      </c>
      <c r="D24" s="6" t="s">
        <v>11332</v>
      </c>
      <c r="E24" s="6" t="s">
        <v>11333</v>
      </c>
      <c r="F24" s="6" t="s">
        <v>11334</v>
      </c>
      <c r="G24" s="6" t="s">
        <v>11335</v>
      </c>
      <c r="H24" s="6" t="s">
        <v>11336</v>
      </c>
      <c r="I24" s="6" t="s">
        <v>11337</v>
      </c>
      <c r="J24" s="6" t="s">
        <v>11338</v>
      </c>
      <c r="K24" s="6" t="s">
        <v>11339</v>
      </c>
      <c r="L24" s="6" t="s">
        <v>11340</v>
      </c>
      <c r="M24" s="6" t="s">
        <v>11341</v>
      </c>
    </row>
    <row r="25" spans="1:13" ht="21.95" customHeight="1" x14ac:dyDescent="0.15">
      <c r="A25" s="7" t="s">
        <v>11433</v>
      </c>
      <c r="B25" s="7" t="s">
        <v>11434</v>
      </c>
      <c r="C25" s="7" t="s">
        <v>11434</v>
      </c>
      <c r="D25" s="7" t="s">
        <v>11434</v>
      </c>
      <c r="E25" s="7" t="s">
        <v>11434</v>
      </c>
      <c r="F25" s="7" t="s">
        <v>11434</v>
      </c>
      <c r="G25" s="7" t="s">
        <v>11434</v>
      </c>
      <c r="H25" s="7" t="s">
        <v>11434</v>
      </c>
      <c r="I25" s="7" t="s">
        <v>11434</v>
      </c>
      <c r="J25" s="7" t="s">
        <v>11434</v>
      </c>
      <c r="K25" s="7" t="s">
        <v>11434</v>
      </c>
      <c r="L25" s="7" t="s">
        <v>11434</v>
      </c>
      <c r="M25" s="7" t="s">
        <v>11434</v>
      </c>
    </row>
    <row r="26" spans="1:13" ht="21.95" customHeight="1" x14ac:dyDescent="0.15">
      <c r="A26" s="8" t="s">
        <v>11435</v>
      </c>
      <c r="B26" s="8" t="s">
        <v>11436</v>
      </c>
      <c r="C26" s="8" t="s">
        <v>11436</v>
      </c>
      <c r="D26" s="8" t="s">
        <v>11436</v>
      </c>
      <c r="E26" s="8" t="s">
        <v>11436</v>
      </c>
      <c r="F26" s="8" t="s">
        <v>11436</v>
      </c>
      <c r="G26" s="8" t="s">
        <v>11436</v>
      </c>
      <c r="H26" s="8" t="s">
        <v>11436</v>
      </c>
      <c r="I26" s="8" t="s">
        <v>11436</v>
      </c>
      <c r="J26" s="8" t="s">
        <v>11436</v>
      </c>
      <c r="K26" s="8" t="s">
        <v>11436</v>
      </c>
      <c r="L26" s="8" t="s">
        <v>11436</v>
      </c>
      <c r="M26" s="8" t="s">
        <v>11436</v>
      </c>
    </row>
    <row r="27" spans="1:13" ht="21.95" customHeight="1" x14ac:dyDescent="0.15">
      <c r="A27" s="7" t="s">
        <v>11416</v>
      </c>
      <c r="B27" s="7" t="s">
        <v>11439</v>
      </c>
      <c r="C27" s="7" t="s">
        <v>11440</v>
      </c>
      <c r="D27" s="7" t="s">
        <v>11441</v>
      </c>
      <c r="E27" s="7" t="s">
        <v>11442</v>
      </c>
      <c r="F27" s="7" t="s">
        <v>11443</v>
      </c>
      <c r="G27" s="7" t="s">
        <v>11444</v>
      </c>
      <c r="H27" s="7" t="s">
        <v>11445</v>
      </c>
      <c r="I27" s="7" t="s">
        <v>11446</v>
      </c>
      <c r="J27" s="7" t="s">
        <v>11395</v>
      </c>
      <c r="K27" s="7" t="s">
        <v>11447</v>
      </c>
      <c r="L27" s="7" t="s">
        <v>11448</v>
      </c>
      <c r="M27" s="7" t="s">
        <v>11449</v>
      </c>
    </row>
    <row r="28" spans="1:13" ht="21.95" customHeight="1" x14ac:dyDescent="0.15">
      <c r="A28" s="8" t="s">
        <v>11450</v>
      </c>
      <c r="B28" s="8" t="s">
        <v>11451</v>
      </c>
      <c r="C28" s="8" t="s">
        <v>11452</v>
      </c>
      <c r="D28" s="8" t="s">
        <v>11453</v>
      </c>
      <c r="E28" s="8" t="s">
        <v>11454</v>
      </c>
      <c r="F28" s="8" t="s">
        <v>11455</v>
      </c>
      <c r="G28" s="8" t="s">
        <v>11389</v>
      </c>
      <c r="H28" s="8" t="s">
        <v>11441</v>
      </c>
      <c r="I28" s="8" t="s">
        <v>11456</v>
      </c>
      <c r="J28" s="8" t="s">
        <v>11391</v>
      </c>
      <c r="K28" s="8" t="s">
        <v>11457</v>
      </c>
      <c r="L28" s="8" t="s">
        <v>11458</v>
      </c>
      <c r="M28" s="8" t="s">
        <v>11394</v>
      </c>
    </row>
    <row r="29" spans="1:13" ht="21.95" customHeight="1" x14ac:dyDescent="0.15">
      <c r="A29" s="7" t="s">
        <v>11429</v>
      </c>
      <c r="B29" s="7" t="s">
        <v>11459</v>
      </c>
      <c r="C29" s="7" t="s">
        <v>11459</v>
      </c>
      <c r="D29" s="7" t="s">
        <v>11459</v>
      </c>
      <c r="E29" s="7" t="s">
        <v>11459</v>
      </c>
      <c r="F29" s="7" t="s">
        <v>11459</v>
      </c>
      <c r="G29" s="7" t="s">
        <v>11459</v>
      </c>
      <c r="H29" s="7" t="s">
        <v>11459</v>
      </c>
      <c r="I29" s="7" t="s">
        <v>11459</v>
      </c>
      <c r="J29" s="7" t="s">
        <v>11459</v>
      </c>
      <c r="K29" s="7" t="s">
        <v>11459</v>
      </c>
      <c r="L29" s="7" t="s">
        <v>11459</v>
      </c>
      <c r="M29" s="7" t="s">
        <v>11459</v>
      </c>
    </row>
    <row r="30" spans="1:13" ht="8.1" customHeight="1" x14ac:dyDescent="0.15">
      <c r="A30" s="9"/>
      <c r="B30" s="10"/>
      <c r="C30" s="10"/>
      <c r="D30" s="10"/>
      <c r="E30" s="10"/>
      <c r="F30" s="10"/>
      <c r="G30" s="10"/>
      <c r="H30" s="10"/>
      <c r="I30" s="10"/>
      <c r="J30" s="10"/>
      <c r="K30" s="10"/>
      <c r="L30" s="10"/>
      <c r="M30" s="10"/>
    </row>
    <row r="32" spans="1:13" ht="27.95" customHeight="1" x14ac:dyDescent="0.15">
      <c r="A32" s="13" t="s">
        <v>11499</v>
      </c>
      <c r="B32" s="10"/>
      <c r="C32" s="10"/>
      <c r="D32" s="10"/>
      <c r="E32" s="10"/>
      <c r="F32" s="10"/>
      <c r="G32" s="10"/>
      <c r="H32" s="10"/>
      <c r="I32" s="10"/>
      <c r="J32" s="10"/>
      <c r="K32" s="10"/>
      <c r="L32" s="10"/>
      <c r="M32" s="10"/>
    </row>
    <row r="33" spans="1:13" ht="45" customHeight="1" x14ac:dyDescent="0.15">
      <c r="A33" s="12" t="s">
        <v>11494</v>
      </c>
      <c r="B33" s="10"/>
      <c r="C33" s="10"/>
      <c r="D33" s="10"/>
      <c r="E33" s="10"/>
      <c r="F33" s="10"/>
      <c r="G33" s="10"/>
      <c r="H33" s="10"/>
      <c r="I33" s="10"/>
      <c r="J33" s="10"/>
      <c r="K33" s="10"/>
      <c r="L33" s="10"/>
      <c r="M33" s="10"/>
    </row>
    <row r="34" spans="1:13" ht="15" x14ac:dyDescent="0.15">
      <c r="A34" s="6" t="s">
        <v>11329</v>
      </c>
      <c r="B34" s="6" t="s">
        <v>11330</v>
      </c>
      <c r="C34" s="6" t="s">
        <v>11331</v>
      </c>
      <c r="D34" s="6" t="s">
        <v>11332</v>
      </c>
      <c r="E34" s="6" t="s">
        <v>11333</v>
      </c>
      <c r="F34" s="6" t="s">
        <v>11334</v>
      </c>
      <c r="G34" s="6" t="s">
        <v>11335</v>
      </c>
      <c r="H34" s="6" t="s">
        <v>11336</v>
      </c>
      <c r="I34" s="6" t="s">
        <v>11337</v>
      </c>
      <c r="J34" s="6" t="s">
        <v>11338</v>
      </c>
      <c r="K34" s="6" t="s">
        <v>11339</v>
      </c>
      <c r="L34" s="6" t="s">
        <v>11340</v>
      </c>
      <c r="M34" s="6" t="s">
        <v>11341</v>
      </c>
    </row>
    <row r="35" spans="1:13" ht="21.95" customHeight="1" x14ac:dyDescent="0.15">
      <c r="A35" s="7" t="s">
        <v>11435</v>
      </c>
      <c r="B35" s="7" t="s">
        <v>11465</v>
      </c>
      <c r="C35" s="7" t="s">
        <v>11465</v>
      </c>
      <c r="D35" s="7" t="s">
        <v>11465</v>
      </c>
      <c r="E35" s="7" t="s">
        <v>11465</v>
      </c>
      <c r="F35" s="7" t="s">
        <v>11465</v>
      </c>
      <c r="G35" s="7" t="s">
        <v>11465</v>
      </c>
      <c r="H35" s="7" t="s">
        <v>11465</v>
      </c>
      <c r="I35" s="7" t="s">
        <v>11465</v>
      </c>
      <c r="J35" s="7" t="s">
        <v>11465</v>
      </c>
      <c r="K35" s="7" t="s">
        <v>11465</v>
      </c>
      <c r="L35" s="7" t="s">
        <v>11465</v>
      </c>
      <c r="M35" s="7" t="s">
        <v>11466</v>
      </c>
    </row>
    <row r="36" spans="1:13" ht="21.95" customHeight="1" x14ac:dyDescent="0.15">
      <c r="A36" s="8" t="s">
        <v>11416</v>
      </c>
      <c r="B36" s="8" t="s">
        <v>11368</v>
      </c>
      <c r="C36" s="8" t="s">
        <v>11361</v>
      </c>
      <c r="D36" s="8" t="s">
        <v>11370</v>
      </c>
      <c r="E36" s="8" t="s">
        <v>11371</v>
      </c>
      <c r="F36" s="8" t="s">
        <v>11377</v>
      </c>
      <c r="G36" s="8" t="s">
        <v>11378</v>
      </c>
      <c r="H36" s="8" t="s">
        <v>11467</v>
      </c>
      <c r="I36" s="8" t="s">
        <v>11468</v>
      </c>
      <c r="J36" s="8" t="s">
        <v>11402</v>
      </c>
      <c r="K36" s="8" t="s">
        <v>11469</v>
      </c>
      <c r="L36" s="8" t="s">
        <v>11470</v>
      </c>
      <c r="M36" s="8" t="s">
        <v>11471</v>
      </c>
    </row>
    <row r="37" spans="1:13" ht="21.95" customHeight="1" x14ac:dyDescent="0.15">
      <c r="A37" s="7" t="s">
        <v>11472</v>
      </c>
      <c r="B37" s="7" t="s">
        <v>11473</v>
      </c>
      <c r="C37" s="7" t="s">
        <v>11474</v>
      </c>
      <c r="D37" s="7" t="s">
        <v>11475</v>
      </c>
      <c r="E37" s="7" t="s">
        <v>11476</v>
      </c>
      <c r="F37" s="7" t="s">
        <v>11423</v>
      </c>
      <c r="G37" s="7" t="s">
        <v>11451</v>
      </c>
      <c r="H37" s="7" t="s">
        <v>11477</v>
      </c>
      <c r="I37" s="7" t="s">
        <v>11478</v>
      </c>
      <c r="J37" s="7" t="s">
        <v>11453</v>
      </c>
      <c r="K37" s="7" t="s">
        <v>11479</v>
      </c>
      <c r="L37" s="7" t="s">
        <v>11480</v>
      </c>
      <c r="M37" s="7" t="s">
        <v>11389</v>
      </c>
    </row>
    <row r="38" spans="1:13" ht="21.95" customHeight="1" x14ac:dyDescent="0.15">
      <c r="A38" s="8" t="s">
        <v>11429</v>
      </c>
      <c r="B38" s="8" t="s">
        <v>11430</v>
      </c>
      <c r="C38" s="8" t="s">
        <v>11430</v>
      </c>
      <c r="D38" s="8" t="s">
        <v>11430</v>
      </c>
      <c r="E38" s="8" t="s">
        <v>11430</v>
      </c>
      <c r="F38" s="8" t="s">
        <v>11430</v>
      </c>
      <c r="G38" s="8" t="s">
        <v>11430</v>
      </c>
      <c r="H38" s="8" t="s">
        <v>11430</v>
      </c>
      <c r="I38" s="8" t="s">
        <v>11430</v>
      </c>
      <c r="J38" s="8" t="s">
        <v>11430</v>
      </c>
      <c r="K38" s="8" t="s">
        <v>11430</v>
      </c>
      <c r="L38" s="8" t="s">
        <v>11430</v>
      </c>
      <c r="M38" s="8" t="s">
        <v>11430</v>
      </c>
    </row>
    <row r="39" spans="1:13" ht="21.95" customHeight="1" x14ac:dyDescent="0.15">
      <c r="A39" s="7" t="s">
        <v>11481</v>
      </c>
      <c r="B39" s="7" t="s">
        <v>11482</v>
      </c>
      <c r="C39" s="7" t="s">
        <v>11482</v>
      </c>
      <c r="D39" s="7" t="s">
        <v>11482</v>
      </c>
      <c r="E39" s="7" t="s">
        <v>11482</v>
      </c>
      <c r="F39" s="7" t="s">
        <v>11482</v>
      </c>
      <c r="G39" s="7" t="s">
        <v>11482</v>
      </c>
      <c r="H39" s="7" t="s">
        <v>11482</v>
      </c>
      <c r="I39" s="7" t="s">
        <v>11482</v>
      </c>
      <c r="J39" s="7" t="s">
        <v>11482</v>
      </c>
      <c r="K39" s="7" t="s">
        <v>11483</v>
      </c>
      <c r="L39" s="7" t="s">
        <v>11483</v>
      </c>
      <c r="M39" s="7" t="s">
        <v>11484</v>
      </c>
    </row>
    <row r="40" spans="1:13" ht="8.1" customHeight="1" x14ac:dyDescent="0.15">
      <c r="A40" s="9"/>
      <c r="B40" s="10"/>
      <c r="C40" s="10"/>
      <c r="D40" s="10"/>
      <c r="E40" s="10"/>
      <c r="F40" s="10"/>
      <c r="G40" s="10"/>
      <c r="H40" s="10"/>
      <c r="I40" s="10"/>
      <c r="J40" s="10"/>
      <c r="K40" s="10"/>
      <c r="L40" s="10"/>
      <c r="M40" s="10"/>
    </row>
  </sheetData>
  <sheetProtection password="CC26" sheet="1"/>
  <mergeCells count="13">
    <mergeCell ref="A40:M40"/>
    <mergeCell ref="A4:M4"/>
    <mergeCell ref="A3:M3"/>
    <mergeCell ref="A30:M30"/>
    <mergeCell ref="A15:M15"/>
    <mergeCell ref="A20:M20"/>
    <mergeCell ref="A16:M16"/>
    <mergeCell ref="A13:M13"/>
    <mergeCell ref="A1:M1"/>
    <mergeCell ref="A23:M23"/>
    <mergeCell ref="A32:M32"/>
    <mergeCell ref="A33:M33"/>
    <mergeCell ref="A22:M22"/>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19">
    <cfRule type="colorScale" priority="2">
      <colorScale>
        <cfvo type="min"/>
        <cfvo type="percentile" val="50"/>
        <cfvo type="max"/>
        <color rgb="FFFFC7CE"/>
        <color rgb="FFFFEB9C"/>
        <color rgb="FFC6EFCE"/>
      </colorScale>
    </cfRule>
  </conditionalFormatting>
  <conditionalFormatting sqref="B25:M29">
    <cfRule type="colorScale" priority="3">
      <colorScale>
        <cfvo type="min"/>
        <cfvo type="percentile" val="50"/>
        <cfvo type="max"/>
        <color rgb="FFFFC7CE"/>
        <color rgb="FFFFEB9C"/>
        <color rgb="FFC6EFCE"/>
      </colorScale>
    </cfRule>
  </conditionalFormatting>
  <conditionalFormatting sqref="B35:M39">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7"/>
  <sheetViews>
    <sheetView workbookViewId="0"/>
  </sheetViews>
  <sheetFormatPr defaultRowHeight="13.5" x14ac:dyDescent="0.15"/>
  <cols>
    <col min="1" max="1" width="32" customWidth="1"/>
    <col min="2" max="13" width="9" customWidth="1"/>
  </cols>
  <sheetData>
    <row r="1" spans="1:13" ht="35.1" customHeight="1" x14ac:dyDescent="0.15">
      <c r="A1" s="11" t="s">
        <v>11500</v>
      </c>
      <c r="B1" s="10"/>
      <c r="C1" s="10"/>
      <c r="D1" s="10"/>
      <c r="E1" s="10"/>
      <c r="F1" s="10"/>
      <c r="G1" s="10"/>
      <c r="H1" s="10"/>
      <c r="I1" s="10"/>
      <c r="J1" s="10"/>
      <c r="K1" s="10"/>
      <c r="L1" s="10"/>
      <c r="M1" s="10"/>
    </row>
    <row r="3" spans="1:13" ht="27.95" customHeight="1" x14ac:dyDescent="0.15">
      <c r="A3" s="13" t="s">
        <v>11501</v>
      </c>
      <c r="B3" s="10"/>
      <c r="C3" s="10"/>
      <c r="D3" s="10"/>
      <c r="E3" s="10"/>
      <c r="F3" s="10"/>
      <c r="G3" s="10"/>
      <c r="H3" s="10"/>
      <c r="I3" s="10"/>
      <c r="J3" s="10"/>
      <c r="K3" s="10"/>
      <c r="L3" s="10"/>
      <c r="M3" s="10"/>
    </row>
    <row r="4" spans="1:13" ht="45" customHeight="1" x14ac:dyDescent="0.15">
      <c r="A4" s="12" t="s">
        <v>11502</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11344</v>
      </c>
      <c r="C6" s="7" t="s">
        <v>11503</v>
      </c>
      <c r="D6" s="7" t="s">
        <v>11504</v>
      </c>
      <c r="E6" s="7" t="s">
        <v>11366</v>
      </c>
      <c r="F6" s="7" t="s">
        <v>11349</v>
      </c>
      <c r="G6" s="7" t="s">
        <v>11358</v>
      </c>
      <c r="H6" s="7" t="s">
        <v>11351</v>
      </c>
      <c r="I6" s="7" t="s">
        <v>11359</v>
      </c>
      <c r="J6" s="7" t="s">
        <v>11360</v>
      </c>
      <c r="K6" s="7" t="s">
        <v>11361</v>
      </c>
      <c r="L6" s="7" t="s">
        <v>11505</v>
      </c>
      <c r="M6" s="7" t="s">
        <v>11506</v>
      </c>
    </row>
    <row r="7" spans="1:13" ht="21.95" customHeight="1" x14ac:dyDescent="0.15">
      <c r="A7" s="8" t="s">
        <v>11355</v>
      </c>
      <c r="B7" s="8" t="s">
        <v>11356</v>
      </c>
      <c r="C7" s="8" t="s">
        <v>11366</v>
      </c>
      <c r="D7" s="8" t="s">
        <v>11349</v>
      </c>
      <c r="E7" s="8" t="s">
        <v>11350</v>
      </c>
      <c r="F7" s="8" t="s">
        <v>11367</v>
      </c>
      <c r="G7" s="8" t="s">
        <v>11368</v>
      </c>
      <c r="H7" s="8" t="s">
        <v>11369</v>
      </c>
      <c r="I7" s="8" t="s">
        <v>11354</v>
      </c>
      <c r="J7" s="8" t="s">
        <v>11370</v>
      </c>
      <c r="K7" s="8" t="s">
        <v>11371</v>
      </c>
      <c r="L7" s="8" t="s">
        <v>11377</v>
      </c>
      <c r="M7" s="8" t="s">
        <v>11373</v>
      </c>
    </row>
    <row r="8" spans="1:13" ht="21.95" customHeight="1" x14ac:dyDescent="0.15">
      <c r="A8" s="7" t="s">
        <v>11365</v>
      </c>
      <c r="B8" s="7" t="s">
        <v>11507</v>
      </c>
      <c r="C8" s="7" t="s">
        <v>11351</v>
      </c>
      <c r="D8" s="7" t="s">
        <v>11368</v>
      </c>
      <c r="E8" s="7" t="s">
        <v>11369</v>
      </c>
      <c r="F8" s="7" t="s">
        <v>11362</v>
      </c>
      <c r="G8" s="7" t="s">
        <v>11363</v>
      </c>
      <c r="H8" s="7" t="s">
        <v>11376</v>
      </c>
      <c r="I8" s="7" t="s">
        <v>11372</v>
      </c>
      <c r="J8" s="7" t="s">
        <v>11378</v>
      </c>
      <c r="K8" s="7" t="s">
        <v>11467</v>
      </c>
      <c r="L8" s="7" t="s">
        <v>11385</v>
      </c>
      <c r="M8" s="7" t="s">
        <v>11508</v>
      </c>
    </row>
    <row r="9" spans="1:13" ht="21.95" customHeight="1" x14ac:dyDescent="0.15">
      <c r="A9" s="8" t="s">
        <v>11374</v>
      </c>
      <c r="B9" s="8" t="s">
        <v>11506</v>
      </c>
      <c r="C9" s="8" t="s">
        <v>11377</v>
      </c>
      <c r="D9" s="8" t="s">
        <v>11373</v>
      </c>
      <c r="E9" s="8" t="s">
        <v>11509</v>
      </c>
      <c r="F9" s="8" t="s">
        <v>11510</v>
      </c>
      <c r="G9" s="8" t="s">
        <v>11511</v>
      </c>
      <c r="H9" s="8" t="s">
        <v>11387</v>
      </c>
      <c r="I9" s="8" t="s">
        <v>11404</v>
      </c>
      <c r="J9" s="8" t="s">
        <v>11512</v>
      </c>
      <c r="K9" s="8" t="s">
        <v>11513</v>
      </c>
      <c r="L9" s="8" t="s">
        <v>11514</v>
      </c>
      <c r="M9" s="8" t="s">
        <v>11515</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11516</v>
      </c>
      <c r="B14" s="10"/>
      <c r="C14" s="10"/>
      <c r="D14" s="10"/>
      <c r="E14" s="10"/>
      <c r="F14" s="10"/>
      <c r="G14" s="10"/>
      <c r="H14" s="10"/>
      <c r="I14" s="10"/>
      <c r="J14" s="10"/>
      <c r="K14" s="10"/>
      <c r="L14" s="10"/>
      <c r="M14" s="10"/>
    </row>
    <row r="15" spans="1:13" ht="45" customHeight="1" x14ac:dyDescent="0.15">
      <c r="A15" s="12" t="s">
        <v>11517</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11416</v>
      </c>
      <c r="B17" s="7" t="s">
        <v>11473</v>
      </c>
      <c r="C17" s="7" t="s">
        <v>11474</v>
      </c>
      <c r="D17" s="7" t="s">
        <v>11475</v>
      </c>
      <c r="E17" s="7" t="s">
        <v>11476</v>
      </c>
      <c r="F17" s="7" t="s">
        <v>11423</v>
      </c>
      <c r="G17" s="7" t="s">
        <v>11451</v>
      </c>
      <c r="H17" s="7" t="s">
        <v>11518</v>
      </c>
      <c r="I17" s="7" t="s">
        <v>11478</v>
      </c>
      <c r="J17" s="7" t="s">
        <v>11453</v>
      </c>
      <c r="K17" s="7" t="s">
        <v>11479</v>
      </c>
      <c r="L17" s="7" t="s">
        <v>11480</v>
      </c>
      <c r="M17" s="7" t="s">
        <v>11389</v>
      </c>
    </row>
    <row r="18" spans="1:13" ht="21.95" customHeight="1" x14ac:dyDescent="0.15">
      <c r="A18" s="8" t="s">
        <v>11429</v>
      </c>
      <c r="B18" s="8" t="s">
        <v>11430</v>
      </c>
      <c r="C18" s="8" t="s">
        <v>11430</v>
      </c>
      <c r="D18" s="8" t="s">
        <v>11430</v>
      </c>
      <c r="E18" s="8" t="s">
        <v>11430</v>
      </c>
      <c r="F18" s="8" t="s">
        <v>11430</v>
      </c>
      <c r="G18" s="8" t="s">
        <v>11430</v>
      </c>
      <c r="H18" s="8" t="s">
        <v>11430</v>
      </c>
      <c r="I18" s="8" t="s">
        <v>11430</v>
      </c>
      <c r="J18" s="8" t="s">
        <v>11430</v>
      </c>
      <c r="K18" s="8" t="s">
        <v>11430</v>
      </c>
      <c r="L18" s="8" t="s">
        <v>11430</v>
      </c>
      <c r="M18" s="8" t="s">
        <v>11430</v>
      </c>
    </row>
    <row r="19" spans="1:13" ht="8.1" customHeight="1" x14ac:dyDescent="0.15">
      <c r="A19" s="9"/>
      <c r="B19" s="10"/>
      <c r="C19" s="10"/>
      <c r="D19" s="10"/>
      <c r="E19" s="10"/>
      <c r="F19" s="10"/>
      <c r="G19" s="10"/>
      <c r="H19" s="10"/>
      <c r="I19" s="10"/>
      <c r="J19" s="10"/>
      <c r="K19" s="10"/>
      <c r="L19" s="10"/>
      <c r="M19" s="10"/>
    </row>
    <row r="21" spans="1:13" ht="27.95" customHeight="1" x14ac:dyDescent="0.15">
      <c r="A21" s="13" t="s">
        <v>11519</v>
      </c>
      <c r="B21" s="10"/>
      <c r="C21" s="10"/>
      <c r="D21" s="10"/>
      <c r="E21" s="10"/>
      <c r="F21" s="10"/>
      <c r="G21" s="10"/>
      <c r="H21" s="10"/>
      <c r="I21" s="10"/>
      <c r="J21" s="10"/>
      <c r="K21" s="10"/>
      <c r="L21" s="10"/>
      <c r="M21" s="10"/>
    </row>
    <row r="22" spans="1:13" ht="45" customHeight="1" x14ac:dyDescent="0.15">
      <c r="A22" s="12" t="s">
        <v>11520</v>
      </c>
      <c r="B22" s="10"/>
      <c r="C22" s="10"/>
      <c r="D22" s="10"/>
      <c r="E22" s="10"/>
      <c r="F22" s="10"/>
      <c r="G22" s="10"/>
      <c r="H22" s="10"/>
      <c r="I22" s="10"/>
      <c r="J22" s="10"/>
      <c r="K22" s="10"/>
      <c r="L22" s="10"/>
      <c r="M22" s="10"/>
    </row>
    <row r="23" spans="1:13" ht="15" x14ac:dyDescent="0.15">
      <c r="A23" s="6" t="s">
        <v>11329</v>
      </c>
      <c r="B23" s="6" t="s">
        <v>11330</v>
      </c>
      <c r="C23" s="6" t="s">
        <v>11331</v>
      </c>
      <c r="D23" s="6" t="s">
        <v>11332</v>
      </c>
      <c r="E23" s="6" t="s">
        <v>11333</v>
      </c>
      <c r="F23" s="6" t="s">
        <v>11334</v>
      </c>
      <c r="G23" s="6" t="s">
        <v>11335</v>
      </c>
      <c r="H23" s="6" t="s">
        <v>11336</v>
      </c>
      <c r="I23" s="6" t="s">
        <v>11337</v>
      </c>
      <c r="J23" s="6" t="s">
        <v>11338</v>
      </c>
      <c r="K23" s="6" t="s">
        <v>11339</v>
      </c>
      <c r="L23" s="6" t="s">
        <v>11340</v>
      </c>
      <c r="M23" s="6" t="s">
        <v>11341</v>
      </c>
    </row>
    <row r="24" spans="1:13" ht="21.95" customHeight="1" x14ac:dyDescent="0.15">
      <c r="A24" s="7" t="s">
        <v>11433</v>
      </c>
      <c r="B24" s="7" t="s">
        <v>11434</v>
      </c>
      <c r="C24" s="7" t="s">
        <v>11434</v>
      </c>
      <c r="D24" s="7" t="s">
        <v>11434</v>
      </c>
      <c r="E24" s="7" t="s">
        <v>11434</v>
      </c>
      <c r="F24" s="7" t="s">
        <v>11434</v>
      </c>
      <c r="G24" s="7" t="s">
        <v>11434</v>
      </c>
      <c r="H24" s="7" t="s">
        <v>11434</v>
      </c>
      <c r="I24" s="7" t="s">
        <v>11434</v>
      </c>
      <c r="J24" s="7" t="s">
        <v>11434</v>
      </c>
      <c r="K24" s="7" t="s">
        <v>11434</v>
      </c>
      <c r="L24" s="7" t="s">
        <v>11434</v>
      </c>
      <c r="M24" s="7" t="s">
        <v>11434</v>
      </c>
    </row>
    <row r="25" spans="1:13" ht="21.95" customHeight="1" x14ac:dyDescent="0.15">
      <c r="A25" s="8" t="s">
        <v>11435</v>
      </c>
      <c r="B25" s="8" t="s">
        <v>11436</v>
      </c>
      <c r="C25" s="8" t="s">
        <v>11436</v>
      </c>
      <c r="D25" s="8" t="s">
        <v>11436</v>
      </c>
      <c r="E25" s="8" t="s">
        <v>11436</v>
      </c>
      <c r="F25" s="8" t="s">
        <v>11436</v>
      </c>
      <c r="G25" s="8" t="s">
        <v>11436</v>
      </c>
      <c r="H25" s="8" t="s">
        <v>11436</v>
      </c>
      <c r="I25" s="8" t="s">
        <v>11436</v>
      </c>
      <c r="J25" s="8" t="s">
        <v>11436</v>
      </c>
      <c r="K25" s="8" t="s">
        <v>11436</v>
      </c>
      <c r="L25" s="8" t="s">
        <v>11436</v>
      </c>
      <c r="M25" s="8" t="s">
        <v>11436</v>
      </c>
    </row>
    <row r="26" spans="1:13" ht="21.95" customHeight="1" x14ac:dyDescent="0.15">
      <c r="A26" s="7" t="s">
        <v>11416</v>
      </c>
      <c r="B26" s="7" t="s">
        <v>11521</v>
      </c>
      <c r="C26" s="7" t="s">
        <v>11522</v>
      </c>
      <c r="D26" s="7" t="s">
        <v>11523</v>
      </c>
      <c r="E26" s="7" t="s">
        <v>11524</v>
      </c>
      <c r="F26" s="7" t="s">
        <v>11525</v>
      </c>
      <c r="G26" s="7" t="s">
        <v>11526</v>
      </c>
      <c r="H26" s="7" t="s">
        <v>11527</v>
      </c>
      <c r="I26" s="7" t="s">
        <v>11528</v>
      </c>
      <c r="J26" s="7" t="s">
        <v>11449</v>
      </c>
      <c r="K26" s="7" t="s">
        <v>11529</v>
      </c>
      <c r="L26" s="7" t="s">
        <v>11530</v>
      </c>
      <c r="M26" s="7" t="s">
        <v>11531</v>
      </c>
    </row>
    <row r="27" spans="1:13" ht="21.95" customHeight="1" x14ac:dyDescent="0.15">
      <c r="A27" s="8" t="s">
        <v>11429</v>
      </c>
      <c r="B27" s="8" t="s">
        <v>11532</v>
      </c>
      <c r="C27" s="8" t="s">
        <v>11532</v>
      </c>
      <c r="D27" s="8" t="s">
        <v>11532</v>
      </c>
      <c r="E27" s="8" t="s">
        <v>11532</v>
      </c>
      <c r="F27" s="8" t="s">
        <v>11532</v>
      </c>
      <c r="G27" s="8" t="s">
        <v>11532</v>
      </c>
      <c r="H27" s="8" t="s">
        <v>11532</v>
      </c>
      <c r="I27" s="8" t="s">
        <v>11532</v>
      </c>
      <c r="J27" s="8" t="s">
        <v>11532</v>
      </c>
      <c r="K27" s="8" t="s">
        <v>11532</v>
      </c>
      <c r="L27" s="8" t="s">
        <v>11532</v>
      </c>
      <c r="M27" s="8" t="s">
        <v>11532</v>
      </c>
    </row>
    <row r="28" spans="1:13" ht="8.1" customHeight="1" x14ac:dyDescent="0.15">
      <c r="A28" s="9"/>
      <c r="B28" s="10"/>
      <c r="C28" s="10"/>
      <c r="D28" s="10"/>
      <c r="E28" s="10"/>
      <c r="F28" s="10"/>
      <c r="G28" s="10"/>
      <c r="H28" s="10"/>
      <c r="I28" s="10"/>
      <c r="J28" s="10"/>
      <c r="K28" s="10"/>
      <c r="L28" s="10"/>
      <c r="M28" s="10"/>
    </row>
    <row r="30" spans="1:13" ht="27.95" customHeight="1" x14ac:dyDescent="0.15">
      <c r="A30" s="13" t="s">
        <v>11533</v>
      </c>
      <c r="B30" s="10"/>
      <c r="C30" s="10"/>
      <c r="D30" s="10"/>
      <c r="E30" s="10"/>
      <c r="F30" s="10"/>
      <c r="G30" s="10"/>
      <c r="H30" s="10"/>
      <c r="I30" s="10"/>
      <c r="J30" s="10"/>
      <c r="K30" s="10"/>
      <c r="L30" s="10"/>
      <c r="M30" s="10"/>
    </row>
    <row r="31" spans="1:13" ht="45" customHeight="1" x14ac:dyDescent="0.15">
      <c r="A31" s="12" t="s">
        <v>11534</v>
      </c>
      <c r="B31" s="10"/>
      <c r="C31" s="10"/>
      <c r="D31" s="10"/>
      <c r="E31" s="10"/>
      <c r="F31" s="10"/>
      <c r="G31" s="10"/>
      <c r="H31" s="10"/>
      <c r="I31" s="10"/>
      <c r="J31" s="10"/>
      <c r="K31" s="10"/>
      <c r="L31" s="10"/>
      <c r="M31" s="10"/>
    </row>
    <row r="32" spans="1:13" ht="15" x14ac:dyDescent="0.15">
      <c r="A32" s="6" t="s">
        <v>11329</v>
      </c>
      <c r="B32" s="6" t="s">
        <v>11330</v>
      </c>
      <c r="C32" s="6" t="s">
        <v>11331</v>
      </c>
      <c r="D32" s="6" t="s">
        <v>11332</v>
      </c>
      <c r="E32" s="6" t="s">
        <v>11333</v>
      </c>
      <c r="F32" s="6" t="s">
        <v>11334</v>
      </c>
      <c r="G32" s="6" t="s">
        <v>11335</v>
      </c>
      <c r="H32" s="6" t="s">
        <v>11336</v>
      </c>
      <c r="I32" s="6" t="s">
        <v>11337</v>
      </c>
      <c r="J32" s="6" t="s">
        <v>11338</v>
      </c>
      <c r="K32" s="6" t="s">
        <v>11339</v>
      </c>
      <c r="L32" s="6" t="s">
        <v>11340</v>
      </c>
      <c r="M32" s="6" t="s">
        <v>11341</v>
      </c>
    </row>
    <row r="33" spans="1:13" ht="21.95" customHeight="1" x14ac:dyDescent="0.15">
      <c r="A33" s="7" t="s">
        <v>11435</v>
      </c>
      <c r="B33" s="7" t="s">
        <v>11535</v>
      </c>
      <c r="C33" s="7" t="s">
        <v>11535</v>
      </c>
      <c r="D33" s="7" t="s">
        <v>11535</v>
      </c>
      <c r="E33" s="7" t="s">
        <v>11535</v>
      </c>
      <c r="F33" s="7" t="s">
        <v>11535</v>
      </c>
      <c r="G33" s="7" t="s">
        <v>11535</v>
      </c>
      <c r="H33" s="7" t="s">
        <v>11535</v>
      </c>
      <c r="I33" s="7" t="s">
        <v>11535</v>
      </c>
      <c r="J33" s="7" t="s">
        <v>11535</v>
      </c>
      <c r="K33" s="7" t="s">
        <v>11535</v>
      </c>
      <c r="L33" s="7" t="s">
        <v>11535</v>
      </c>
      <c r="M33" s="7" t="s">
        <v>11536</v>
      </c>
    </row>
    <row r="34" spans="1:13" ht="21.95" customHeight="1" x14ac:dyDescent="0.15">
      <c r="A34" s="8" t="s">
        <v>11416</v>
      </c>
      <c r="B34" s="8" t="s">
        <v>11402</v>
      </c>
      <c r="C34" s="8" t="s">
        <v>11403</v>
      </c>
      <c r="D34" s="8" t="s">
        <v>11404</v>
      </c>
      <c r="E34" s="8" t="s">
        <v>11405</v>
      </c>
      <c r="F34" s="8" t="s">
        <v>11406</v>
      </c>
      <c r="G34" s="8" t="s">
        <v>11407</v>
      </c>
      <c r="H34" s="8" t="s">
        <v>11408</v>
      </c>
      <c r="I34" s="8" t="s">
        <v>11409</v>
      </c>
      <c r="J34" s="8" t="s">
        <v>11410</v>
      </c>
      <c r="K34" s="8" t="s">
        <v>11411</v>
      </c>
      <c r="L34" s="8" t="s">
        <v>11412</v>
      </c>
      <c r="M34" s="8" t="s">
        <v>11413</v>
      </c>
    </row>
    <row r="35" spans="1:13" ht="21.95" customHeight="1" x14ac:dyDescent="0.15">
      <c r="A35" s="7" t="s">
        <v>11429</v>
      </c>
      <c r="B35" s="7" t="s">
        <v>11430</v>
      </c>
      <c r="C35" s="7" t="s">
        <v>11430</v>
      </c>
      <c r="D35" s="7" t="s">
        <v>11430</v>
      </c>
      <c r="E35" s="7" t="s">
        <v>11430</v>
      </c>
      <c r="F35" s="7" t="s">
        <v>11430</v>
      </c>
      <c r="G35" s="7" t="s">
        <v>11430</v>
      </c>
      <c r="H35" s="7" t="s">
        <v>11430</v>
      </c>
      <c r="I35" s="7" t="s">
        <v>11430</v>
      </c>
      <c r="J35" s="7" t="s">
        <v>11430</v>
      </c>
      <c r="K35" s="7" t="s">
        <v>11430</v>
      </c>
      <c r="L35" s="7" t="s">
        <v>11430</v>
      </c>
      <c r="M35" s="7" t="s">
        <v>11430</v>
      </c>
    </row>
    <row r="36" spans="1:13" ht="21.95" customHeight="1" x14ac:dyDescent="0.15">
      <c r="A36" s="8" t="s">
        <v>11537</v>
      </c>
      <c r="B36" s="8" t="s">
        <v>11484</v>
      </c>
      <c r="C36" s="8" t="s">
        <v>11484</v>
      </c>
      <c r="D36" s="8" t="s">
        <v>11484</v>
      </c>
      <c r="E36" s="8" t="s">
        <v>11484</v>
      </c>
      <c r="F36" s="8" t="s">
        <v>11484</v>
      </c>
      <c r="G36" s="8" t="s">
        <v>11484</v>
      </c>
      <c r="H36" s="8" t="s">
        <v>11484</v>
      </c>
      <c r="I36" s="8" t="s">
        <v>11484</v>
      </c>
      <c r="J36" s="8" t="s">
        <v>11484</v>
      </c>
      <c r="K36" s="8" t="s">
        <v>11484</v>
      </c>
      <c r="L36" s="8" t="s">
        <v>11484</v>
      </c>
      <c r="M36" s="8" t="s">
        <v>11484</v>
      </c>
    </row>
    <row r="37" spans="1:13" ht="8.1" customHeight="1" x14ac:dyDescent="0.15">
      <c r="A37" s="9"/>
      <c r="B37" s="10"/>
      <c r="C37" s="10"/>
      <c r="D37" s="10"/>
      <c r="E37" s="10"/>
      <c r="F37" s="10"/>
      <c r="G37" s="10"/>
      <c r="H37" s="10"/>
      <c r="I37" s="10"/>
      <c r="J37" s="10"/>
      <c r="K37" s="10"/>
      <c r="L37" s="10"/>
      <c r="M37" s="10"/>
    </row>
  </sheetData>
  <sheetProtection password="CC26" sheet="1"/>
  <mergeCells count="13">
    <mergeCell ref="A19:M19"/>
    <mergeCell ref="A14:M14"/>
    <mergeCell ref="A1:M1"/>
    <mergeCell ref="A37:M37"/>
    <mergeCell ref="A31:M31"/>
    <mergeCell ref="A22:M22"/>
    <mergeCell ref="A12:M12"/>
    <mergeCell ref="A4:M4"/>
    <mergeCell ref="A3:M3"/>
    <mergeCell ref="A21:M21"/>
    <mergeCell ref="A30:M30"/>
    <mergeCell ref="A15:M15"/>
    <mergeCell ref="A28:M28"/>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18">
    <cfRule type="colorScale" priority="2">
      <colorScale>
        <cfvo type="min"/>
        <cfvo type="percentile" val="50"/>
        <cfvo type="max"/>
        <color rgb="FFFFC7CE"/>
        <color rgb="FFFFEB9C"/>
        <color rgb="FFC6EFCE"/>
      </colorScale>
    </cfRule>
  </conditionalFormatting>
  <conditionalFormatting sqref="B24:M27">
    <cfRule type="colorScale" priority="3">
      <colorScale>
        <cfvo type="min"/>
        <cfvo type="percentile" val="50"/>
        <cfvo type="max"/>
        <color rgb="FFFFC7CE"/>
        <color rgb="FFFFEB9C"/>
        <color rgb="FFC6EFCE"/>
      </colorScale>
    </cfRule>
  </conditionalFormatting>
  <conditionalFormatting sqref="B33:M36">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9"/>
  <sheetViews>
    <sheetView workbookViewId="0"/>
  </sheetViews>
  <sheetFormatPr defaultRowHeight="13.5" x14ac:dyDescent="0.15"/>
  <cols>
    <col min="1" max="1" width="32" customWidth="1"/>
    <col min="2" max="13" width="9" customWidth="1"/>
  </cols>
  <sheetData>
    <row r="1" spans="1:13" ht="35.1" customHeight="1" x14ac:dyDescent="0.15">
      <c r="A1" s="11" t="s">
        <v>11538</v>
      </c>
      <c r="B1" s="10"/>
      <c r="C1" s="10"/>
      <c r="D1" s="10"/>
      <c r="E1" s="10"/>
      <c r="F1" s="10"/>
      <c r="G1" s="10"/>
      <c r="H1" s="10"/>
      <c r="I1" s="10"/>
      <c r="J1" s="10"/>
      <c r="K1" s="10"/>
      <c r="L1" s="10"/>
      <c r="M1" s="10"/>
    </row>
    <row r="3" spans="1:13" ht="27.95" customHeight="1" x14ac:dyDescent="0.15">
      <c r="A3" s="13" t="s">
        <v>11539</v>
      </c>
      <c r="B3" s="10"/>
      <c r="C3" s="10"/>
      <c r="D3" s="10"/>
      <c r="E3" s="10"/>
      <c r="F3" s="10"/>
      <c r="G3" s="10"/>
      <c r="H3" s="10"/>
      <c r="I3" s="10"/>
      <c r="J3" s="10"/>
      <c r="K3" s="10"/>
      <c r="L3" s="10"/>
      <c r="M3" s="10"/>
    </row>
    <row r="4" spans="1:13" ht="45" customHeight="1" x14ac:dyDescent="0.15">
      <c r="A4" s="12" t="s">
        <v>11540</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11541</v>
      </c>
      <c r="C6" s="7" t="s">
        <v>11542</v>
      </c>
      <c r="D6" s="7" t="s">
        <v>11543</v>
      </c>
      <c r="E6" s="7" t="s">
        <v>11544</v>
      </c>
      <c r="F6" s="7" t="s">
        <v>11503</v>
      </c>
      <c r="G6" s="7" t="s">
        <v>11356</v>
      </c>
      <c r="H6" s="7" t="s">
        <v>11347</v>
      </c>
      <c r="I6" s="7" t="s">
        <v>11348</v>
      </c>
      <c r="J6" s="7" t="s">
        <v>11349</v>
      </c>
      <c r="K6" s="7" t="s">
        <v>11350</v>
      </c>
      <c r="L6" s="7" t="s">
        <v>11367</v>
      </c>
      <c r="M6" s="7" t="s">
        <v>11368</v>
      </c>
    </row>
    <row r="7" spans="1:13" ht="21.95" customHeight="1" x14ac:dyDescent="0.15">
      <c r="A7" s="8" t="s">
        <v>11355</v>
      </c>
      <c r="B7" s="8" t="s">
        <v>11543</v>
      </c>
      <c r="C7" s="8" t="s">
        <v>11544</v>
      </c>
      <c r="D7" s="8" t="s">
        <v>11346</v>
      </c>
      <c r="E7" s="8" t="s">
        <v>11504</v>
      </c>
      <c r="F7" s="8" t="s">
        <v>11348</v>
      </c>
      <c r="G7" s="8" t="s">
        <v>11349</v>
      </c>
      <c r="H7" s="8" t="s">
        <v>11358</v>
      </c>
      <c r="I7" s="8" t="s">
        <v>11351</v>
      </c>
      <c r="J7" s="8" t="s">
        <v>11359</v>
      </c>
      <c r="K7" s="8" t="s">
        <v>11360</v>
      </c>
      <c r="L7" s="8" t="s">
        <v>11545</v>
      </c>
      <c r="M7" s="8" t="s">
        <v>11370</v>
      </c>
    </row>
    <row r="8" spans="1:13" ht="21.95" customHeight="1" x14ac:dyDescent="0.15">
      <c r="A8" s="7" t="s">
        <v>11365</v>
      </c>
      <c r="B8" s="7" t="s">
        <v>11345</v>
      </c>
      <c r="C8" s="7" t="s">
        <v>11346</v>
      </c>
      <c r="D8" s="7" t="s">
        <v>11347</v>
      </c>
      <c r="E8" s="7" t="s">
        <v>11357</v>
      </c>
      <c r="F8" s="7" t="s">
        <v>11358</v>
      </c>
      <c r="G8" s="7" t="s">
        <v>11382</v>
      </c>
      <c r="H8" s="7" t="s">
        <v>11359</v>
      </c>
      <c r="I8" s="7" t="s">
        <v>11360</v>
      </c>
      <c r="J8" s="7" t="s">
        <v>11369</v>
      </c>
      <c r="K8" s="7" t="s">
        <v>11362</v>
      </c>
      <c r="L8" s="7" t="s">
        <v>11363</v>
      </c>
      <c r="M8" s="7" t="s">
        <v>11383</v>
      </c>
    </row>
    <row r="9" spans="1:13" ht="21.95" customHeight="1" x14ac:dyDescent="0.15">
      <c r="A9" s="8" t="s">
        <v>11374</v>
      </c>
      <c r="B9" s="8" t="s">
        <v>11356</v>
      </c>
      <c r="C9" s="8" t="s">
        <v>11366</v>
      </c>
      <c r="D9" s="8" t="s">
        <v>11349</v>
      </c>
      <c r="E9" s="8" t="s">
        <v>11350</v>
      </c>
      <c r="F9" s="8" t="s">
        <v>11367</v>
      </c>
      <c r="G9" s="8" t="s">
        <v>11368</v>
      </c>
      <c r="H9" s="8" t="s">
        <v>11369</v>
      </c>
      <c r="I9" s="8" t="s">
        <v>11354</v>
      </c>
      <c r="J9" s="8" t="s">
        <v>11370</v>
      </c>
      <c r="K9" s="8" t="s">
        <v>11371</v>
      </c>
      <c r="L9" s="8" t="s">
        <v>11377</v>
      </c>
      <c r="M9" s="8" t="s">
        <v>11373</v>
      </c>
    </row>
    <row r="10" spans="1:13" ht="21.95" customHeight="1" x14ac:dyDescent="0.15">
      <c r="A10" s="7" t="s">
        <v>11381</v>
      </c>
      <c r="B10" s="7" t="s">
        <v>11382</v>
      </c>
      <c r="C10" s="7" t="s">
        <v>11352</v>
      </c>
      <c r="D10" s="7" t="s">
        <v>11369</v>
      </c>
      <c r="E10" s="7" t="s">
        <v>11362</v>
      </c>
      <c r="F10" s="7" t="s">
        <v>11363</v>
      </c>
      <c r="G10" s="7" t="s">
        <v>11383</v>
      </c>
      <c r="H10" s="7" t="s">
        <v>11384</v>
      </c>
      <c r="I10" s="7" t="s">
        <v>11373</v>
      </c>
      <c r="J10" s="7" t="s">
        <v>11379</v>
      </c>
      <c r="K10" s="7" t="s">
        <v>11385</v>
      </c>
      <c r="L10" s="7" t="s">
        <v>11386</v>
      </c>
      <c r="M10" s="7" t="s">
        <v>11387</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11546</v>
      </c>
      <c r="B15" s="10"/>
      <c r="C15" s="10"/>
      <c r="D15" s="10"/>
      <c r="E15" s="10"/>
      <c r="F15" s="10"/>
      <c r="G15" s="10"/>
      <c r="H15" s="10"/>
      <c r="I15" s="10"/>
      <c r="J15" s="10"/>
      <c r="K15" s="10"/>
      <c r="L15" s="10"/>
      <c r="M15" s="10"/>
    </row>
    <row r="16" spans="1:13" ht="45" customHeight="1" x14ac:dyDescent="0.15">
      <c r="A16" s="12" t="s">
        <v>11547</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11416</v>
      </c>
      <c r="B18" s="7" t="s">
        <v>11548</v>
      </c>
      <c r="C18" s="7" t="s">
        <v>11549</v>
      </c>
      <c r="D18" s="7" t="s">
        <v>11550</v>
      </c>
      <c r="E18" s="7" t="s">
        <v>11551</v>
      </c>
      <c r="F18" s="7" t="s">
        <v>11552</v>
      </c>
      <c r="G18" s="7" t="s">
        <v>11553</v>
      </c>
      <c r="H18" s="7" t="s">
        <v>11554</v>
      </c>
      <c r="I18" s="7" t="s">
        <v>11555</v>
      </c>
      <c r="J18" s="7" t="s">
        <v>11556</v>
      </c>
      <c r="K18" s="7" t="s">
        <v>11557</v>
      </c>
      <c r="L18" s="7" t="s">
        <v>11428</v>
      </c>
      <c r="M18" s="7" t="s">
        <v>11558</v>
      </c>
    </row>
    <row r="19" spans="1:13" ht="21.95" customHeight="1" x14ac:dyDescent="0.15">
      <c r="A19" s="8" t="s">
        <v>11429</v>
      </c>
      <c r="B19" s="8" t="s">
        <v>11430</v>
      </c>
      <c r="C19" s="8" t="s">
        <v>11430</v>
      </c>
      <c r="D19" s="8" t="s">
        <v>11430</v>
      </c>
      <c r="E19" s="8" t="s">
        <v>11430</v>
      </c>
      <c r="F19" s="8" t="s">
        <v>11430</v>
      </c>
      <c r="G19" s="8" t="s">
        <v>11430</v>
      </c>
      <c r="H19" s="8" t="s">
        <v>11430</v>
      </c>
      <c r="I19" s="8" t="s">
        <v>11430</v>
      </c>
      <c r="J19" s="8" t="s">
        <v>11430</v>
      </c>
      <c r="K19" s="8" t="s">
        <v>11430</v>
      </c>
      <c r="L19" s="8" t="s">
        <v>11430</v>
      </c>
      <c r="M19" s="8" t="s">
        <v>11430</v>
      </c>
    </row>
    <row r="20" spans="1:13" ht="21.95" customHeight="1" x14ac:dyDescent="0.15">
      <c r="A20" s="7" t="s">
        <v>11559</v>
      </c>
      <c r="B20" s="7" t="s">
        <v>11560</v>
      </c>
      <c r="C20" s="7" t="s">
        <v>11560</v>
      </c>
      <c r="D20" s="7" t="s">
        <v>11560</v>
      </c>
      <c r="E20" s="7" t="s">
        <v>11560</v>
      </c>
      <c r="F20" s="7" t="s">
        <v>11560</v>
      </c>
      <c r="G20" s="7" t="s">
        <v>713</v>
      </c>
      <c r="H20" s="7" t="s">
        <v>713</v>
      </c>
      <c r="I20" s="7" t="s">
        <v>713</v>
      </c>
      <c r="J20" s="7" t="s">
        <v>11561</v>
      </c>
      <c r="K20" s="7" t="s">
        <v>11561</v>
      </c>
      <c r="L20" s="7" t="s">
        <v>11561</v>
      </c>
      <c r="M20" s="7" t="s">
        <v>11562</v>
      </c>
    </row>
    <row r="21" spans="1:13" ht="8.1" customHeight="1" x14ac:dyDescent="0.15">
      <c r="A21" s="9"/>
      <c r="B21" s="10"/>
      <c r="C21" s="10"/>
      <c r="D21" s="10"/>
      <c r="E21" s="10"/>
      <c r="F21" s="10"/>
      <c r="G21" s="10"/>
      <c r="H21" s="10"/>
      <c r="I21" s="10"/>
      <c r="J21" s="10"/>
      <c r="K21" s="10"/>
      <c r="L21" s="10"/>
      <c r="M21" s="10"/>
    </row>
    <row r="23" spans="1:13" ht="27.95" customHeight="1" x14ac:dyDescent="0.15">
      <c r="A23" s="13" t="s">
        <v>11563</v>
      </c>
      <c r="B23" s="10"/>
      <c r="C23" s="10"/>
      <c r="D23" s="10"/>
      <c r="E23" s="10"/>
      <c r="F23" s="10"/>
      <c r="G23" s="10"/>
      <c r="H23" s="10"/>
      <c r="I23" s="10"/>
      <c r="J23" s="10"/>
      <c r="K23" s="10"/>
      <c r="L23" s="10"/>
      <c r="M23" s="10"/>
    </row>
    <row r="24" spans="1:13" ht="45" customHeight="1" x14ac:dyDescent="0.15">
      <c r="A24" s="12" t="s">
        <v>11564</v>
      </c>
      <c r="B24" s="10"/>
      <c r="C24" s="10"/>
      <c r="D24" s="10"/>
      <c r="E24" s="10"/>
      <c r="F24" s="10"/>
      <c r="G24" s="10"/>
      <c r="H24" s="10"/>
      <c r="I24" s="10"/>
      <c r="J24" s="10"/>
      <c r="K24" s="10"/>
      <c r="L24" s="10"/>
      <c r="M24" s="10"/>
    </row>
    <row r="25" spans="1:13" ht="15" x14ac:dyDescent="0.15">
      <c r="A25" s="6" t="s">
        <v>11329</v>
      </c>
      <c r="B25" s="6" t="s">
        <v>11330</v>
      </c>
      <c r="C25" s="6" t="s">
        <v>11331</v>
      </c>
      <c r="D25" s="6" t="s">
        <v>11332</v>
      </c>
      <c r="E25" s="6" t="s">
        <v>11333</v>
      </c>
      <c r="F25" s="6" t="s">
        <v>11334</v>
      </c>
      <c r="G25" s="6" t="s">
        <v>11335</v>
      </c>
      <c r="H25" s="6" t="s">
        <v>11336</v>
      </c>
      <c r="I25" s="6" t="s">
        <v>11337</v>
      </c>
      <c r="J25" s="6" t="s">
        <v>11338</v>
      </c>
      <c r="K25" s="6" t="s">
        <v>11339</v>
      </c>
      <c r="L25" s="6" t="s">
        <v>11340</v>
      </c>
      <c r="M25" s="6" t="s">
        <v>11341</v>
      </c>
    </row>
    <row r="26" spans="1:13" ht="21.95" customHeight="1" x14ac:dyDescent="0.15">
      <c r="A26" s="7" t="s">
        <v>11433</v>
      </c>
      <c r="B26" s="7" t="s">
        <v>11565</v>
      </c>
      <c r="C26" s="7" t="s">
        <v>11565</v>
      </c>
      <c r="D26" s="7" t="s">
        <v>11565</v>
      </c>
      <c r="E26" s="7" t="s">
        <v>11565</v>
      </c>
      <c r="F26" s="7" t="s">
        <v>11565</v>
      </c>
      <c r="G26" s="7" t="s">
        <v>11565</v>
      </c>
      <c r="H26" s="7" t="s">
        <v>11565</v>
      </c>
      <c r="I26" s="7" t="s">
        <v>11565</v>
      </c>
      <c r="J26" s="7" t="s">
        <v>11565</v>
      </c>
      <c r="K26" s="7" t="s">
        <v>11565</v>
      </c>
      <c r="L26" s="7" t="s">
        <v>11565</v>
      </c>
      <c r="M26" s="7" t="s">
        <v>11565</v>
      </c>
    </row>
    <row r="27" spans="1:13" ht="21.95" customHeight="1" x14ac:dyDescent="0.15">
      <c r="A27" s="8" t="s">
        <v>11435</v>
      </c>
      <c r="B27" s="8" t="s">
        <v>11436</v>
      </c>
      <c r="C27" s="8" t="s">
        <v>11436</v>
      </c>
      <c r="D27" s="8" t="s">
        <v>11436</v>
      </c>
      <c r="E27" s="8" t="s">
        <v>11436</v>
      </c>
      <c r="F27" s="8" t="s">
        <v>11436</v>
      </c>
      <c r="G27" s="8" t="s">
        <v>11436</v>
      </c>
      <c r="H27" s="8" t="s">
        <v>11436</v>
      </c>
      <c r="I27" s="8" t="s">
        <v>11436</v>
      </c>
      <c r="J27" s="8" t="s">
        <v>11436</v>
      </c>
      <c r="K27" s="8" t="s">
        <v>11436</v>
      </c>
      <c r="L27" s="8" t="s">
        <v>11436</v>
      </c>
      <c r="M27" s="8" t="s">
        <v>11436</v>
      </c>
    </row>
    <row r="28" spans="1:13" ht="21.95" customHeight="1" x14ac:dyDescent="0.15">
      <c r="A28" s="7" t="s">
        <v>11566</v>
      </c>
      <c r="B28" s="7" t="s">
        <v>11349</v>
      </c>
      <c r="C28" s="7" t="s">
        <v>11382</v>
      </c>
      <c r="D28" s="7" t="s">
        <v>11359</v>
      </c>
      <c r="E28" s="7" t="s">
        <v>11353</v>
      </c>
      <c r="F28" s="7" t="s">
        <v>11545</v>
      </c>
      <c r="G28" s="7" t="s">
        <v>11370</v>
      </c>
      <c r="H28" s="7" t="s">
        <v>11371</v>
      </c>
      <c r="I28" s="7" t="s">
        <v>11364</v>
      </c>
      <c r="J28" s="7" t="s">
        <v>11567</v>
      </c>
      <c r="K28" s="7" t="s">
        <v>11568</v>
      </c>
      <c r="L28" s="7" t="s">
        <v>11569</v>
      </c>
      <c r="M28" s="7" t="s">
        <v>11570</v>
      </c>
    </row>
    <row r="29" spans="1:13" ht="21.95" customHeight="1" x14ac:dyDescent="0.15">
      <c r="A29" s="8" t="s">
        <v>11571</v>
      </c>
      <c r="B29" s="8" t="s">
        <v>11572</v>
      </c>
      <c r="C29" s="8" t="s">
        <v>11572</v>
      </c>
      <c r="D29" s="8" t="s">
        <v>11572</v>
      </c>
      <c r="E29" s="8" t="s">
        <v>11572</v>
      </c>
      <c r="F29" s="8" t="s">
        <v>11572</v>
      </c>
      <c r="G29" s="8" t="s">
        <v>11572</v>
      </c>
      <c r="H29" s="8" t="s">
        <v>11572</v>
      </c>
      <c r="I29" s="8" t="s">
        <v>11572</v>
      </c>
      <c r="J29" s="8" t="s">
        <v>11572</v>
      </c>
      <c r="K29" s="8" t="s">
        <v>11572</v>
      </c>
      <c r="L29" s="8" t="s">
        <v>11572</v>
      </c>
      <c r="M29" s="8" t="s">
        <v>11572</v>
      </c>
    </row>
    <row r="30" spans="1:13" ht="21.95" customHeight="1" x14ac:dyDescent="0.15">
      <c r="A30" s="7" t="s">
        <v>11573</v>
      </c>
      <c r="B30" s="7" t="s">
        <v>11574</v>
      </c>
      <c r="C30" s="7" t="s">
        <v>11575</v>
      </c>
      <c r="D30" s="7" t="s">
        <v>11576</v>
      </c>
      <c r="E30" s="7" t="s">
        <v>11577</v>
      </c>
      <c r="F30" s="7" t="s">
        <v>11578</v>
      </c>
      <c r="G30" s="7" t="s">
        <v>11579</v>
      </c>
      <c r="H30" s="7" t="s">
        <v>11580</v>
      </c>
      <c r="I30" s="7" t="s">
        <v>11581</v>
      </c>
      <c r="J30" s="7" t="s">
        <v>11582</v>
      </c>
      <c r="K30" s="7" t="s">
        <v>11583</v>
      </c>
      <c r="L30" s="7" t="s">
        <v>11584</v>
      </c>
      <c r="M30" s="7" t="s">
        <v>11585</v>
      </c>
    </row>
    <row r="31" spans="1:13" ht="21.95" customHeight="1" x14ac:dyDescent="0.15">
      <c r="A31" s="8" t="s">
        <v>11586</v>
      </c>
      <c r="B31" s="8" t="s">
        <v>11532</v>
      </c>
      <c r="C31" s="8" t="s">
        <v>11532</v>
      </c>
      <c r="D31" s="8" t="s">
        <v>11532</v>
      </c>
      <c r="E31" s="8" t="s">
        <v>11532</v>
      </c>
      <c r="F31" s="8" t="s">
        <v>11532</v>
      </c>
      <c r="G31" s="8" t="s">
        <v>11532</v>
      </c>
      <c r="H31" s="8" t="s">
        <v>11532</v>
      </c>
      <c r="I31" s="8" t="s">
        <v>11532</v>
      </c>
      <c r="J31" s="8" t="s">
        <v>11532</v>
      </c>
      <c r="K31" s="8" t="s">
        <v>11532</v>
      </c>
      <c r="L31" s="8" t="s">
        <v>11532</v>
      </c>
      <c r="M31" s="8" t="s">
        <v>11532</v>
      </c>
    </row>
    <row r="32" spans="1:13" ht="8.1" customHeight="1" x14ac:dyDescent="0.15">
      <c r="A32" s="9"/>
      <c r="B32" s="10"/>
      <c r="C32" s="10"/>
      <c r="D32" s="10"/>
      <c r="E32" s="10"/>
      <c r="F32" s="10"/>
      <c r="G32" s="10"/>
      <c r="H32" s="10"/>
      <c r="I32" s="10"/>
      <c r="J32" s="10"/>
      <c r="K32" s="10"/>
      <c r="L32" s="10"/>
      <c r="M32" s="10"/>
    </row>
    <row r="34" spans="1:13" ht="27.95" customHeight="1" x14ac:dyDescent="0.15">
      <c r="A34" s="13" t="s">
        <v>11587</v>
      </c>
      <c r="B34" s="10"/>
      <c r="C34" s="10"/>
      <c r="D34" s="10"/>
      <c r="E34" s="10"/>
      <c r="F34" s="10"/>
      <c r="G34" s="10"/>
      <c r="H34" s="10"/>
      <c r="I34" s="10"/>
      <c r="J34" s="10"/>
      <c r="K34" s="10"/>
      <c r="L34" s="10"/>
      <c r="M34" s="10"/>
    </row>
    <row r="35" spans="1:13" ht="45" customHeight="1" x14ac:dyDescent="0.15">
      <c r="A35" s="12" t="s">
        <v>11588</v>
      </c>
      <c r="B35" s="10"/>
      <c r="C35" s="10"/>
      <c r="D35" s="10"/>
      <c r="E35" s="10"/>
      <c r="F35" s="10"/>
      <c r="G35" s="10"/>
      <c r="H35" s="10"/>
      <c r="I35" s="10"/>
      <c r="J35" s="10"/>
      <c r="K35" s="10"/>
      <c r="L35" s="10"/>
      <c r="M35" s="10"/>
    </row>
    <row r="36" spans="1:13" ht="15" x14ac:dyDescent="0.15">
      <c r="A36" s="6" t="s">
        <v>11329</v>
      </c>
      <c r="B36" s="6" t="s">
        <v>11330</v>
      </c>
      <c r="C36" s="6" t="s">
        <v>11331</v>
      </c>
      <c r="D36" s="6" t="s">
        <v>11332</v>
      </c>
      <c r="E36" s="6" t="s">
        <v>11333</v>
      </c>
      <c r="F36" s="6" t="s">
        <v>11334</v>
      </c>
      <c r="G36" s="6" t="s">
        <v>11335</v>
      </c>
      <c r="H36" s="6" t="s">
        <v>11336</v>
      </c>
      <c r="I36" s="6" t="s">
        <v>11337</v>
      </c>
      <c r="J36" s="6" t="s">
        <v>11338</v>
      </c>
      <c r="K36" s="6" t="s">
        <v>11339</v>
      </c>
      <c r="L36" s="6" t="s">
        <v>11340</v>
      </c>
      <c r="M36" s="6" t="s">
        <v>11341</v>
      </c>
    </row>
    <row r="37" spans="1:13" ht="21.95" customHeight="1" x14ac:dyDescent="0.15">
      <c r="A37" s="7" t="s">
        <v>11435</v>
      </c>
      <c r="B37" s="7" t="s">
        <v>11465</v>
      </c>
      <c r="C37" s="7" t="s">
        <v>11465</v>
      </c>
      <c r="D37" s="7" t="s">
        <v>11465</v>
      </c>
      <c r="E37" s="7" t="s">
        <v>11465</v>
      </c>
      <c r="F37" s="7" t="s">
        <v>11465</v>
      </c>
      <c r="G37" s="7" t="s">
        <v>11465</v>
      </c>
      <c r="H37" s="7" t="s">
        <v>11465</v>
      </c>
      <c r="I37" s="7" t="s">
        <v>11465</v>
      </c>
      <c r="J37" s="7" t="s">
        <v>11465</v>
      </c>
      <c r="K37" s="7" t="s">
        <v>11465</v>
      </c>
      <c r="L37" s="7" t="s">
        <v>11465</v>
      </c>
      <c r="M37" s="7" t="s">
        <v>11466</v>
      </c>
    </row>
    <row r="38" spans="1:13" ht="21.95" customHeight="1" x14ac:dyDescent="0.15">
      <c r="A38" s="8" t="s">
        <v>11416</v>
      </c>
      <c r="B38" s="8" t="s">
        <v>11407</v>
      </c>
      <c r="C38" s="8" t="s">
        <v>11589</v>
      </c>
      <c r="D38" s="8" t="s">
        <v>11410</v>
      </c>
      <c r="E38" s="8" t="s">
        <v>11417</v>
      </c>
      <c r="F38" s="8" t="s">
        <v>11590</v>
      </c>
      <c r="G38" s="8" t="s">
        <v>11413</v>
      </c>
      <c r="H38" s="8" t="s">
        <v>11591</v>
      </c>
      <c r="I38" s="8" t="s">
        <v>11592</v>
      </c>
      <c r="J38" s="8" t="s">
        <v>11593</v>
      </c>
      <c r="K38" s="8" t="s">
        <v>11476</v>
      </c>
      <c r="L38" s="8" t="s">
        <v>11423</v>
      </c>
      <c r="M38" s="8" t="s">
        <v>11554</v>
      </c>
    </row>
    <row r="39" spans="1:13" ht="8.1" customHeight="1" x14ac:dyDescent="0.15">
      <c r="A39" s="9"/>
      <c r="B39" s="10"/>
      <c r="C39" s="10"/>
      <c r="D39" s="10"/>
      <c r="E39" s="10"/>
      <c r="F39" s="10"/>
      <c r="G39" s="10"/>
      <c r="H39" s="10"/>
      <c r="I39" s="10"/>
      <c r="J39" s="10"/>
      <c r="K39" s="10"/>
      <c r="L39" s="10"/>
      <c r="M39" s="10"/>
    </row>
  </sheetData>
  <sheetProtection password="CC26" sheet="1"/>
  <mergeCells count="13">
    <mergeCell ref="A35:M35"/>
    <mergeCell ref="A4:M4"/>
    <mergeCell ref="A3:M3"/>
    <mergeCell ref="A21:M21"/>
    <mergeCell ref="A39:M39"/>
    <mergeCell ref="A15:M15"/>
    <mergeCell ref="A24:M24"/>
    <mergeCell ref="A16:M16"/>
    <mergeCell ref="A13:M13"/>
    <mergeCell ref="A1:M1"/>
    <mergeCell ref="A23:M23"/>
    <mergeCell ref="A32:M32"/>
    <mergeCell ref="A34:M34"/>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20">
    <cfRule type="colorScale" priority="2">
      <colorScale>
        <cfvo type="min"/>
        <cfvo type="percentile" val="50"/>
        <cfvo type="max"/>
        <color rgb="FFFFC7CE"/>
        <color rgb="FFFFEB9C"/>
        <color rgb="FFC6EFCE"/>
      </colorScale>
    </cfRule>
  </conditionalFormatting>
  <conditionalFormatting sqref="B26:M31">
    <cfRule type="colorScale" priority="3">
      <colorScale>
        <cfvo type="min"/>
        <cfvo type="percentile" val="50"/>
        <cfvo type="max"/>
        <color rgb="FFFFC7CE"/>
        <color rgb="FFFFEB9C"/>
        <color rgb="FFC6EFCE"/>
      </colorScale>
    </cfRule>
  </conditionalFormatting>
  <conditionalFormatting sqref="B37:M38">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38"/>
  <sheetViews>
    <sheetView workbookViewId="0"/>
  </sheetViews>
  <sheetFormatPr defaultRowHeight="13.5" x14ac:dyDescent="0.15"/>
  <cols>
    <col min="1" max="1" width="32" customWidth="1"/>
    <col min="2" max="13" width="9" customWidth="1"/>
  </cols>
  <sheetData>
    <row r="1" spans="1:13" ht="35.1" customHeight="1" x14ac:dyDescent="0.15">
      <c r="A1" s="11" t="s">
        <v>11594</v>
      </c>
      <c r="B1" s="10"/>
      <c r="C1" s="10"/>
      <c r="D1" s="10"/>
      <c r="E1" s="10"/>
      <c r="F1" s="10"/>
      <c r="G1" s="10"/>
      <c r="H1" s="10"/>
      <c r="I1" s="10"/>
      <c r="J1" s="10"/>
      <c r="K1" s="10"/>
      <c r="L1" s="10"/>
      <c r="M1" s="10"/>
    </row>
    <row r="3" spans="1:13" ht="27.95" customHeight="1" x14ac:dyDescent="0.15">
      <c r="A3" s="13" t="s">
        <v>11595</v>
      </c>
      <c r="B3" s="10"/>
      <c r="C3" s="10"/>
      <c r="D3" s="10"/>
      <c r="E3" s="10"/>
      <c r="F3" s="10"/>
      <c r="G3" s="10"/>
      <c r="H3" s="10"/>
      <c r="I3" s="10"/>
      <c r="J3" s="10"/>
      <c r="K3" s="10"/>
      <c r="L3" s="10"/>
      <c r="M3" s="10"/>
    </row>
    <row r="4" spans="1:13" ht="45" customHeight="1" x14ac:dyDescent="0.15">
      <c r="A4" s="12" t="s">
        <v>11596</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11356</v>
      </c>
      <c r="C6" s="7" t="s">
        <v>11366</v>
      </c>
      <c r="D6" s="7" t="s">
        <v>11349</v>
      </c>
      <c r="E6" s="7" t="s">
        <v>11350</v>
      </c>
      <c r="F6" s="7" t="s">
        <v>11367</v>
      </c>
      <c r="G6" s="7" t="s">
        <v>11368</v>
      </c>
      <c r="H6" s="7" t="s">
        <v>11369</v>
      </c>
      <c r="I6" s="7" t="s">
        <v>11354</v>
      </c>
      <c r="J6" s="7" t="s">
        <v>11370</v>
      </c>
      <c r="K6" s="7" t="s">
        <v>11371</v>
      </c>
      <c r="L6" s="7" t="s">
        <v>11377</v>
      </c>
      <c r="M6" s="7" t="s">
        <v>11373</v>
      </c>
    </row>
    <row r="7" spans="1:13" ht="21.95" customHeight="1" x14ac:dyDescent="0.15">
      <c r="A7" s="8" t="s">
        <v>11355</v>
      </c>
      <c r="B7" s="8" t="s">
        <v>11357</v>
      </c>
      <c r="C7" s="8" t="s">
        <v>11350</v>
      </c>
      <c r="D7" s="8" t="s">
        <v>11367</v>
      </c>
      <c r="E7" s="8" t="s">
        <v>11360</v>
      </c>
      <c r="F7" s="8" t="s">
        <v>11361</v>
      </c>
      <c r="G7" s="8" t="s">
        <v>11505</v>
      </c>
      <c r="H7" s="8" t="s">
        <v>11363</v>
      </c>
      <c r="I7" s="8" t="s">
        <v>11383</v>
      </c>
      <c r="J7" s="8" t="s">
        <v>11372</v>
      </c>
      <c r="K7" s="8" t="s">
        <v>11378</v>
      </c>
      <c r="L7" s="8" t="s">
        <v>11509</v>
      </c>
      <c r="M7" s="8" t="s">
        <v>11510</v>
      </c>
    </row>
    <row r="8" spans="1:13" ht="21.95" customHeight="1" x14ac:dyDescent="0.15">
      <c r="A8" s="7" t="s">
        <v>11365</v>
      </c>
      <c r="B8" s="7" t="s">
        <v>11363</v>
      </c>
      <c r="C8" s="7" t="s">
        <v>11364</v>
      </c>
      <c r="D8" s="7" t="s">
        <v>11378</v>
      </c>
      <c r="E8" s="7" t="s">
        <v>11379</v>
      </c>
      <c r="F8" s="7" t="s">
        <v>11380</v>
      </c>
      <c r="G8" s="7" t="s">
        <v>11386</v>
      </c>
      <c r="H8" s="7" t="s">
        <v>11597</v>
      </c>
      <c r="I8" s="7" t="s">
        <v>11598</v>
      </c>
      <c r="J8" s="7" t="s">
        <v>11471</v>
      </c>
      <c r="K8" s="7" t="s">
        <v>11599</v>
      </c>
      <c r="L8" s="7" t="s">
        <v>11600</v>
      </c>
      <c r="M8" s="7" t="s">
        <v>11601</v>
      </c>
    </row>
    <row r="9" spans="1:13" ht="21.95" customHeight="1" x14ac:dyDescent="0.15">
      <c r="A9" s="8" t="s">
        <v>11374</v>
      </c>
      <c r="B9" s="8" t="s">
        <v>11373</v>
      </c>
      <c r="C9" s="8" t="s">
        <v>11602</v>
      </c>
      <c r="D9" s="8" t="s">
        <v>11570</v>
      </c>
      <c r="E9" s="8" t="s">
        <v>11403</v>
      </c>
      <c r="F9" s="8" t="s">
        <v>11603</v>
      </c>
      <c r="G9" s="8" t="s">
        <v>11604</v>
      </c>
      <c r="H9" s="8" t="s">
        <v>11605</v>
      </c>
      <c r="I9" s="8" t="s">
        <v>11600</v>
      </c>
      <c r="J9" s="8" t="s">
        <v>11606</v>
      </c>
      <c r="K9" s="8" t="s">
        <v>11607</v>
      </c>
      <c r="L9" s="8" t="s">
        <v>11608</v>
      </c>
      <c r="M9" s="8" t="s">
        <v>11609</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11610</v>
      </c>
      <c r="B14" s="10"/>
      <c r="C14" s="10"/>
      <c r="D14" s="10"/>
      <c r="E14" s="10"/>
      <c r="F14" s="10"/>
      <c r="G14" s="10"/>
      <c r="H14" s="10"/>
      <c r="I14" s="10"/>
      <c r="J14" s="10"/>
      <c r="K14" s="10"/>
      <c r="L14" s="10"/>
      <c r="M14" s="10"/>
    </row>
    <row r="15" spans="1:13" ht="45" customHeight="1" x14ac:dyDescent="0.15">
      <c r="A15" s="12" t="s">
        <v>11611</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11416</v>
      </c>
      <c r="B17" s="7" t="s">
        <v>11512</v>
      </c>
      <c r="C17" s="7" t="s">
        <v>11406</v>
      </c>
      <c r="D17" s="7" t="s">
        <v>11606</v>
      </c>
      <c r="E17" s="7" t="s">
        <v>11612</v>
      </c>
      <c r="F17" s="7" t="s">
        <v>11613</v>
      </c>
      <c r="G17" s="7" t="s">
        <v>11614</v>
      </c>
      <c r="H17" s="7" t="s">
        <v>11615</v>
      </c>
      <c r="I17" s="7" t="s">
        <v>11616</v>
      </c>
      <c r="J17" s="7" t="s">
        <v>11617</v>
      </c>
      <c r="K17" s="7" t="s">
        <v>11474</v>
      </c>
      <c r="L17" s="7" t="s">
        <v>11618</v>
      </c>
      <c r="M17" s="7" t="s">
        <v>11619</v>
      </c>
    </row>
    <row r="18" spans="1:13" ht="21.95" customHeight="1" x14ac:dyDescent="0.15">
      <c r="A18" s="8" t="s">
        <v>11429</v>
      </c>
      <c r="B18" s="8" t="s">
        <v>11484</v>
      </c>
      <c r="C18" s="8" t="s">
        <v>11484</v>
      </c>
      <c r="D18" s="8" t="s">
        <v>11484</v>
      </c>
      <c r="E18" s="8" t="s">
        <v>11484</v>
      </c>
      <c r="F18" s="8" t="s">
        <v>11484</v>
      </c>
      <c r="G18" s="8" t="s">
        <v>11484</v>
      </c>
      <c r="H18" s="8" t="s">
        <v>11484</v>
      </c>
      <c r="I18" s="8" t="s">
        <v>11484</v>
      </c>
      <c r="J18" s="8" t="s">
        <v>11484</v>
      </c>
      <c r="K18" s="8" t="s">
        <v>11484</v>
      </c>
      <c r="L18" s="8" t="s">
        <v>11484</v>
      </c>
      <c r="M18" s="8" t="s">
        <v>11484</v>
      </c>
    </row>
    <row r="19" spans="1:13" ht="21.95" customHeight="1" x14ac:dyDescent="0.15">
      <c r="A19" s="7" t="s">
        <v>11620</v>
      </c>
      <c r="B19" s="7" t="s">
        <v>11621</v>
      </c>
      <c r="C19" s="7" t="s">
        <v>11622</v>
      </c>
      <c r="D19" s="7" t="s">
        <v>11623</v>
      </c>
      <c r="E19" s="7" t="s">
        <v>11624</v>
      </c>
      <c r="F19" s="7" t="s">
        <v>11625</v>
      </c>
      <c r="G19" s="7" t="s">
        <v>11626</v>
      </c>
      <c r="H19" s="7" t="s">
        <v>11446</v>
      </c>
      <c r="I19" s="7" t="s">
        <v>11627</v>
      </c>
      <c r="J19" s="7" t="s">
        <v>11396</v>
      </c>
      <c r="K19" s="7" t="s">
        <v>11580</v>
      </c>
      <c r="L19" s="7" t="s">
        <v>11628</v>
      </c>
      <c r="M19" s="7" t="s">
        <v>11629</v>
      </c>
    </row>
    <row r="20" spans="1:13" ht="21.95" customHeight="1" x14ac:dyDescent="0.15">
      <c r="A20" s="8" t="s">
        <v>11630</v>
      </c>
      <c r="B20" s="8" t="s">
        <v>11484</v>
      </c>
      <c r="C20" s="8" t="s">
        <v>11484</v>
      </c>
      <c r="D20" s="8" t="s">
        <v>11484</v>
      </c>
      <c r="E20" s="8" t="s">
        <v>11484</v>
      </c>
      <c r="F20" s="8" t="s">
        <v>11484</v>
      </c>
      <c r="G20" s="8" t="s">
        <v>11484</v>
      </c>
      <c r="H20" s="8" t="s">
        <v>11484</v>
      </c>
      <c r="I20" s="8" t="s">
        <v>11484</v>
      </c>
      <c r="J20" s="8" t="s">
        <v>11484</v>
      </c>
      <c r="K20" s="8" t="s">
        <v>11484</v>
      </c>
      <c r="L20" s="8" t="s">
        <v>11484</v>
      </c>
      <c r="M20" s="8" t="s">
        <v>11484</v>
      </c>
    </row>
    <row r="21" spans="1:13" ht="8.1" customHeight="1" x14ac:dyDescent="0.15">
      <c r="A21" s="9"/>
      <c r="B21" s="10"/>
      <c r="C21" s="10"/>
      <c r="D21" s="10"/>
      <c r="E21" s="10"/>
      <c r="F21" s="10"/>
      <c r="G21" s="10"/>
      <c r="H21" s="10"/>
      <c r="I21" s="10"/>
      <c r="J21" s="10"/>
      <c r="K21" s="10"/>
      <c r="L21" s="10"/>
      <c r="M21" s="10"/>
    </row>
    <row r="23" spans="1:13" ht="27.95" customHeight="1" x14ac:dyDescent="0.15">
      <c r="A23" s="13" t="s">
        <v>11631</v>
      </c>
      <c r="B23" s="10"/>
      <c r="C23" s="10"/>
      <c r="D23" s="10"/>
      <c r="E23" s="10"/>
      <c r="F23" s="10"/>
      <c r="G23" s="10"/>
      <c r="H23" s="10"/>
      <c r="I23" s="10"/>
      <c r="J23" s="10"/>
      <c r="K23" s="10"/>
      <c r="L23" s="10"/>
      <c r="M23" s="10"/>
    </row>
    <row r="24" spans="1:13" ht="45" customHeight="1" x14ac:dyDescent="0.15">
      <c r="A24" s="12" t="s">
        <v>11632</v>
      </c>
      <c r="B24" s="10"/>
      <c r="C24" s="10"/>
      <c r="D24" s="10"/>
      <c r="E24" s="10"/>
      <c r="F24" s="10"/>
      <c r="G24" s="10"/>
      <c r="H24" s="10"/>
      <c r="I24" s="10"/>
      <c r="J24" s="10"/>
      <c r="K24" s="10"/>
      <c r="L24" s="10"/>
      <c r="M24" s="10"/>
    </row>
    <row r="25" spans="1:13" ht="15" x14ac:dyDescent="0.15">
      <c r="A25" s="6" t="s">
        <v>11329</v>
      </c>
      <c r="B25" s="6" t="s">
        <v>11330</v>
      </c>
      <c r="C25" s="6" t="s">
        <v>11331</v>
      </c>
      <c r="D25" s="6" t="s">
        <v>11332</v>
      </c>
      <c r="E25" s="6" t="s">
        <v>11333</v>
      </c>
      <c r="F25" s="6" t="s">
        <v>11334</v>
      </c>
      <c r="G25" s="6" t="s">
        <v>11335</v>
      </c>
      <c r="H25" s="6" t="s">
        <v>11336</v>
      </c>
      <c r="I25" s="6" t="s">
        <v>11337</v>
      </c>
      <c r="J25" s="6" t="s">
        <v>11338</v>
      </c>
      <c r="K25" s="6" t="s">
        <v>11339</v>
      </c>
      <c r="L25" s="6" t="s">
        <v>11340</v>
      </c>
      <c r="M25" s="6" t="s">
        <v>11341</v>
      </c>
    </row>
    <row r="26" spans="1:13" ht="21.95" customHeight="1" x14ac:dyDescent="0.15">
      <c r="A26" s="7" t="s">
        <v>11433</v>
      </c>
      <c r="B26" s="7" t="s">
        <v>11633</v>
      </c>
      <c r="C26" s="7" t="s">
        <v>11633</v>
      </c>
      <c r="D26" s="7" t="s">
        <v>11633</v>
      </c>
      <c r="E26" s="7" t="s">
        <v>11633</v>
      </c>
      <c r="F26" s="7" t="s">
        <v>11633</v>
      </c>
      <c r="G26" s="7" t="s">
        <v>11633</v>
      </c>
      <c r="H26" s="7" t="s">
        <v>11633</v>
      </c>
      <c r="I26" s="7" t="s">
        <v>11633</v>
      </c>
      <c r="J26" s="7" t="s">
        <v>11633</v>
      </c>
      <c r="K26" s="7" t="s">
        <v>11633</v>
      </c>
      <c r="L26" s="7" t="s">
        <v>11633</v>
      </c>
      <c r="M26" s="7" t="s">
        <v>11633</v>
      </c>
    </row>
    <row r="27" spans="1:13" ht="21.95" customHeight="1" x14ac:dyDescent="0.15">
      <c r="A27" s="8" t="s">
        <v>11435</v>
      </c>
      <c r="B27" s="8" t="s">
        <v>11436</v>
      </c>
      <c r="C27" s="8" t="s">
        <v>11436</v>
      </c>
      <c r="D27" s="8" t="s">
        <v>11436</v>
      </c>
      <c r="E27" s="8" t="s">
        <v>11436</v>
      </c>
      <c r="F27" s="8" t="s">
        <v>11436</v>
      </c>
      <c r="G27" s="8" t="s">
        <v>11436</v>
      </c>
      <c r="H27" s="8" t="s">
        <v>11436</v>
      </c>
      <c r="I27" s="8" t="s">
        <v>11436</v>
      </c>
      <c r="J27" s="8" t="s">
        <v>11436</v>
      </c>
      <c r="K27" s="8" t="s">
        <v>11436</v>
      </c>
      <c r="L27" s="8" t="s">
        <v>11436</v>
      </c>
      <c r="M27" s="8" t="s">
        <v>11436</v>
      </c>
    </row>
    <row r="28" spans="1:13" ht="21.95" customHeight="1" x14ac:dyDescent="0.15">
      <c r="A28" s="7" t="s">
        <v>11634</v>
      </c>
      <c r="B28" s="7" t="s">
        <v>11347</v>
      </c>
      <c r="C28" s="7" t="s">
        <v>11357</v>
      </c>
      <c r="D28" s="7" t="s">
        <v>11358</v>
      </c>
      <c r="E28" s="7" t="s">
        <v>11367</v>
      </c>
      <c r="F28" s="7" t="s">
        <v>11368</v>
      </c>
      <c r="G28" s="7" t="s">
        <v>11369</v>
      </c>
      <c r="H28" s="7" t="s">
        <v>11354</v>
      </c>
      <c r="I28" s="7" t="s">
        <v>11370</v>
      </c>
      <c r="J28" s="7" t="s">
        <v>11371</v>
      </c>
      <c r="K28" s="7" t="s">
        <v>11377</v>
      </c>
      <c r="L28" s="7" t="s">
        <v>11635</v>
      </c>
      <c r="M28" s="7" t="s">
        <v>11379</v>
      </c>
    </row>
    <row r="29" spans="1:13" ht="21.95" customHeight="1" x14ac:dyDescent="0.15">
      <c r="A29" s="8" t="s">
        <v>11429</v>
      </c>
      <c r="B29" s="8" t="s">
        <v>11572</v>
      </c>
      <c r="C29" s="8" t="s">
        <v>11572</v>
      </c>
      <c r="D29" s="8" t="s">
        <v>11572</v>
      </c>
      <c r="E29" s="8" t="s">
        <v>11572</v>
      </c>
      <c r="F29" s="8" t="s">
        <v>11572</v>
      </c>
      <c r="G29" s="8" t="s">
        <v>11572</v>
      </c>
      <c r="H29" s="8" t="s">
        <v>11572</v>
      </c>
      <c r="I29" s="8" t="s">
        <v>11572</v>
      </c>
      <c r="J29" s="8" t="s">
        <v>11572</v>
      </c>
      <c r="K29" s="8" t="s">
        <v>11572</v>
      </c>
      <c r="L29" s="8" t="s">
        <v>11572</v>
      </c>
      <c r="M29" s="8" t="s">
        <v>11572</v>
      </c>
    </row>
    <row r="30" spans="1:13" ht="8.1" customHeight="1" x14ac:dyDescent="0.15">
      <c r="A30" s="9"/>
      <c r="B30" s="10"/>
      <c r="C30" s="10"/>
      <c r="D30" s="10"/>
      <c r="E30" s="10"/>
      <c r="F30" s="10"/>
      <c r="G30" s="10"/>
      <c r="H30" s="10"/>
      <c r="I30" s="10"/>
      <c r="J30" s="10"/>
      <c r="K30" s="10"/>
      <c r="L30" s="10"/>
      <c r="M30" s="10"/>
    </row>
    <row r="32" spans="1:13" ht="27.95" customHeight="1" x14ac:dyDescent="0.15">
      <c r="A32" s="13" t="s">
        <v>11636</v>
      </c>
      <c r="B32" s="10"/>
      <c r="C32" s="10"/>
      <c r="D32" s="10"/>
      <c r="E32" s="10"/>
      <c r="F32" s="10"/>
      <c r="G32" s="10"/>
      <c r="H32" s="10"/>
      <c r="I32" s="10"/>
      <c r="J32" s="10"/>
      <c r="K32" s="10"/>
      <c r="L32" s="10"/>
      <c r="M32" s="10"/>
    </row>
    <row r="33" spans="1:13" ht="45" customHeight="1" x14ac:dyDescent="0.15">
      <c r="A33" s="12" t="s">
        <v>11637</v>
      </c>
      <c r="B33" s="10"/>
      <c r="C33" s="10"/>
      <c r="D33" s="10"/>
      <c r="E33" s="10"/>
      <c r="F33" s="10"/>
      <c r="G33" s="10"/>
      <c r="H33" s="10"/>
      <c r="I33" s="10"/>
      <c r="J33" s="10"/>
      <c r="K33" s="10"/>
      <c r="L33" s="10"/>
      <c r="M33" s="10"/>
    </row>
    <row r="34" spans="1:13" ht="15" x14ac:dyDescent="0.15">
      <c r="A34" s="6" t="s">
        <v>11329</v>
      </c>
      <c r="B34" s="6" t="s">
        <v>11330</v>
      </c>
      <c r="C34" s="6" t="s">
        <v>11331</v>
      </c>
      <c r="D34" s="6" t="s">
        <v>11332</v>
      </c>
      <c r="E34" s="6" t="s">
        <v>11333</v>
      </c>
      <c r="F34" s="6" t="s">
        <v>11334</v>
      </c>
      <c r="G34" s="6" t="s">
        <v>11335</v>
      </c>
      <c r="H34" s="6" t="s">
        <v>11336</v>
      </c>
      <c r="I34" s="6" t="s">
        <v>11337</v>
      </c>
      <c r="J34" s="6" t="s">
        <v>11338</v>
      </c>
      <c r="K34" s="6" t="s">
        <v>11339</v>
      </c>
      <c r="L34" s="6" t="s">
        <v>11340</v>
      </c>
      <c r="M34" s="6" t="s">
        <v>11341</v>
      </c>
    </row>
    <row r="35" spans="1:13" ht="21.95" customHeight="1" x14ac:dyDescent="0.15">
      <c r="A35" s="7" t="s">
        <v>11435</v>
      </c>
      <c r="B35" s="7" t="s">
        <v>11535</v>
      </c>
      <c r="C35" s="7" t="s">
        <v>11535</v>
      </c>
      <c r="D35" s="7" t="s">
        <v>11535</v>
      </c>
      <c r="E35" s="7" t="s">
        <v>11535</v>
      </c>
      <c r="F35" s="7" t="s">
        <v>11535</v>
      </c>
      <c r="G35" s="7" t="s">
        <v>11535</v>
      </c>
      <c r="H35" s="7" t="s">
        <v>11535</v>
      </c>
      <c r="I35" s="7" t="s">
        <v>11535</v>
      </c>
      <c r="J35" s="7" t="s">
        <v>11535</v>
      </c>
      <c r="K35" s="7" t="s">
        <v>11535</v>
      </c>
      <c r="L35" s="7" t="s">
        <v>11535</v>
      </c>
      <c r="M35" s="7" t="s">
        <v>11536</v>
      </c>
    </row>
    <row r="36" spans="1:13" ht="21.95" customHeight="1" x14ac:dyDescent="0.15">
      <c r="A36" s="8" t="s">
        <v>11416</v>
      </c>
      <c r="B36" s="8" t="s">
        <v>11383</v>
      </c>
      <c r="C36" s="8" t="s">
        <v>11635</v>
      </c>
      <c r="D36" s="8" t="s">
        <v>11379</v>
      </c>
      <c r="E36" s="8" t="s">
        <v>11380</v>
      </c>
      <c r="F36" s="8" t="s">
        <v>11508</v>
      </c>
      <c r="G36" s="8" t="s">
        <v>11387</v>
      </c>
      <c r="H36" s="8" t="s">
        <v>11404</v>
      </c>
      <c r="I36" s="8" t="s">
        <v>11512</v>
      </c>
      <c r="J36" s="8" t="s">
        <v>11605</v>
      </c>
      <c r="K36" s="8" t="s">
        <v>11638</v>
      </c>
      <c r="L36" s="8" t="s">
        <v>11601</v>
      </c>
      <c r="M36" s="8" t="s">
        <v>11639</v>
      </c>
    </row>
    <row r="37" spans="1:13" ht="21.95" customHeight="1" x14ac:dyDescent="0.15">
      <c r="A37" s="7" t="s">
        <v>11429</v>
      </c>
      <c r="B37" s="7" t="s">
        <v>11430</v>
      </c>
      <c r="C37" s="7" t="s">
        <v>11430</v>
      </c>
      <c r="D37" s="7" t="s">
        <v>11430</v>
      </c>
      <c r="E37" s="7" t="s">
        <v>11430</v>
      </c>
      <c r="F37" s="7" t="s">
        <v>11430</v>
      </c>
      <c r="G37" s="7" t="s">
        <v>11430</v>
      </c>
      <c r="H37" s="7" t="s">
        <v>11430</v>
      </c>
      <c r="I37" s="7" t="s">
        <v>11430</v>
      </c>
      <c r="J37" s="7" t="s">
        <v>11430</v>
      </c>
      <c r="K37" s="7" t="s">
        <v>11430</v>
      </c>
      <c r="L37" s="7" t="s">
        <v>11430</v>
      </c>
      <c r="M37" s="7" t="s">
        <v>11430</v>
      </c>
    </row>
    <row r="38" spans="1:13" ht="8.1" customHeight="1" x14ac:dyDescent="0.15">
      <c r="A38" s="9"/>
      <c r="B38" s="10"/>
      <c r="C38" s="10"/>
      <c r="D38" s="10"/>
      <c r="E38" s="10"/>
      <c r="F38" s="10"/>
      <c r="G38" s="10"/>
      <c r="H38" s="10"/>
      <c r="I38" s="10"/>
      <c r="J38" s="10"/>
      <c r="K38" s="10"/>
      <c r="L38" s="10"/>
      <c r="M38" s="10"/>
    </row>
  </sheetData>
  <sheetProtection password="CC26" sheet="1"/>
  <mergeCells count="13">
    <mergeCell ref="A14:M14"/>
    <mergeCell ref="A38:M38"/>
    <mergeCell ref="A1:M1"/>
    <mergeCell ref="A23:M23"/>
    <mergeCell ref="A32:M32"/>
    <mergeCell ref="A12:M12"/>
    <mergeCell ref="A4:M4"/>
    <mergeCell ref="A3:M3"/>
    <mergeCell ref="A21:M21"/>
    <mergeCell ref="A30:M30"/>
    <mergeCell ref="A15:M15"/>
    <mergeCell ref="A24:M24"/>
    <mergeCell ref="A33:M33"/>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20">
    <cfRule type="colorScale" priority="2">
      <colorScale>
        <cfvo type="min"/>
        <cfvo type="percentile" val="50"/>
        <cfvo type="max"/>
        <color rgb="FFFFC7CE"/>
        <color rgb="FFFFEB9C"/>
        <color rgb="FFC6EFCE"/>
      </colorScale>
    </cfRule>
  </conditionalFormatting>
  <conditionalFormatting sqref="B26:M29">
    <cfRule type="colorScale" priority="3">
      <colorScale>
        <cfvo type="min"/>
        <cfvo type="percentile" val="50"/>
        <cfvo type="max"/>
        <color rgb="FFFFC7CE"/>
        <color rgb="FFFFEB9C"/>
        <color rgb="FFC6EFCE"/>
      </colorScale>
    </cfRule>
  </conditionalFormatting>
  <conditionalFormatting sqref="B35:M37">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44"/>
  <sheetViews>
    <sheetView workbookViewId="0"/>
  </sheetViews>
  <sheetFormatPr defaultRowHeight="13.5" x14ac:dyDescent="0.15"/>
  <cols>
    <col min="1" max="1" width="32" customWidth="1"/>
    <col min="2" max="13" width="9" customWidth="1"/>
  </cols>
  <sheetData>
    <row r="1" spans="1:13" ht="35.1" customHeight="1" x14ac:dyDescent="0.15">
      <c r="A1" s="11" t="s">
        <v>11640</v>
      </c>
      <c r="B1" s="10"/>
      <c r="C1" s="10"/>
      <c r="D1" s="10"/>
      <c r="E1" s="10"/>
      <c r="F1" s="10"/>
      <c r="G1" s="10"/>
      <c r="H1" s="10"/>
      <c r="I1" s="10"/>
      <c r="J1" s="10"/>
      <c r="K1" s="10"/>
      <c r="L1" s="10"/>
      <c r="M1" s="10"/>
    </row>
    <row r="3" spans="1:13" ht="27.95" customHeight="1" x14ac:dyDescent="0.15">
      <c r="A3" s="13" t="s">
        <v>11641</v>
      </c>
      <c r="B3" s="10"/>
      <c r="C3" s="10"/>
      <c r="D3" s="10"/>
      <c r="E3" s="10"/>
      <c r="F3" s="10"/>
      <c r="G3" s="10"/>
      <c r="H3" s="10"/>
      <c r="I3" s="10"/>
      <c r="J3" s="10"/>
      <c r="K3" s="10"/>
      <c r="L3" s="10"/>
      <c r="M3" s="10"/>
    </row>
    <row r="4" spans="1:13" ht="45" customHeight="1" x14ac:dyDescent="0.15">
      <c r="A4" s="12" t="s">
        <v>11540</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11642</v>
      </c>
      <c r="C6" s="7" t="s">
        <v>11643</v>
      </c>
      <c r="D6" s="7" t="s">
        <v>11644</v>
      </c>
      <c r="E6" s="7" t="s">
        <v>11645</v>
      </c>
      <c r="F6" s="7" t="s">
        <v>11646</v>
      </c>
      <c r="G6" s="7" t="s">
        <v>11647</v>
      </c>
      <c r="H6" s="7" t="s">
        <v>11648</v>
      </c>
      <c r="I6" s="7" t="s">
        <v>11649</v>
      </c>
      <c r="J6" s="7" t="s">
        <v>11650</v>
      </c>
      <c r="K6" s="7" t="s">
        <v>11651</v>
      </c>
      <c r="L6" s="7" t="s">
        <v>11652</v>
      </c>
      <c r="M6" s="7" t="s">
        <v>11343</v>
      </c>
    </row>
    <row r="7" spans="1:13" ht="21.95" customHeight="1" x14ac:dyDescent="0.15">
      <c r="A7" s="8" t="s">
        <v>11355</v>
      </c>
      <c r="B7" s="8" t="s">
        <v>11645</v>
      </c>
      <c r="C7" s="8" t="s">
        <v>11646</v>
      </c>
      <c r="D7" s="8" t="s">
        <v>11647</v>
      </c>
      <c r="E7" s="8" t="s">
        <v>11648</v>
      </c>
      <c r="F7" s="8" t="s">
        <v>11650</v>
      </c>
      <c r="G7" s="8" t="s">
        <v>11651</v>
      </c>
      <c r="H7" s="8" t="s">
        <v>11541</v>
      </c>
      <c r="I7" s="8" t="s">
        <v>11652</v>
      </c>
      <c r="J7" s="8" t="s">
        <v>11343</v>
      </c>
      <c r="K7" s="8" t="s">
        <v>11543</v>
      </c>
      <c r="L7" s="8" t="s">
        <v>11544</v>
      </c>
      <c r="M7" s="8" t="s">
        <v>11503</v>
      </c>
    </row>
    <row r="8" spans="1:13" ht="21.95" customHeight="1" x14ac:dyDescent="0.15">
      <c r="A8" s="7" t="s">
        <v>11365</v>
      </c>
      <c r="B8" s="7" t="s">
        <v>11544</v>
      </c>
      <c r="C8" s="7" t="s">
        <v>11346</v>
      </c>
      <c r="D8" s="7" t="s">
        <v>11504</v>
      </c>
      <c r="E8" s="7" t="s">
        <v>11348</v>
      </c>
      <c r="F8" s="7" t="s">
        <v>11349</v>
      </c>
      <c r="G8" s="7" t="s">
        <v>11350</v>
      </c>
      <c r="H8" s="7" t="s">
        <v>11367</v>
      </c>
      <c r="I8" s="7" t="s">
        <v>11352</v>
      </c>
      <c r="J8" s="7" t="s">
        <v>11353</v>
      </c>
      <c r="K8" s="7" t="s">
        <v>11545</v>
      </c>
      <c r="L8" s="7" t="s">
        <v>11370</v>
      </c>
      <c r="M8" s="7" t="s">
        <v>11376</v>
      </c>
    </row>
    <row r="9" spans="1:13" ht="21.95" customHeight="1" x14ac:dyDescent="0.15">
      <c r="A9" s="8" t="s">
        <v>11374</v>
      </c>
      <c r="B9" s="8" t="s">
        <v>11349</v>
      </c>
      <c r="C9" s="8" t="s">
        <v>11382</v>
      </c>
      <c r="D9" s="8" t="s">
        <v>11359</v>
      </c>
      <c r="E9" s="8" t="s">
        <v>11353</v>
      </c>
      <c r="F9" s="8" t="s">
        <v>11545</v>
      </c>
      <c r="G9" s="8" t="s">
        <v>11370</v>
      </c>
      <c r="H9" s="8" t="s">
        <v>11371</v>
      </c>
      <c r="I9" s="8" t="s">
        <v>11364</v>
      </c>
      <c r="J9" s="8" t="s">
        <v>11567</v>
      </c>
      <c r="K9" s="8" t="s">
        <v>11568</v>
      </c>
      <c r="L9" s="8" t="s">
        <v>11569</v>
      </c>
      <c r="M9" s="8" t="s">
        <v>11570</v>
      </c>
    </row>
    <row r="10" spans="1:13" ht="21.95" customHeight="1" x14ac:dyDescent="0.15">
      <c r="A10" s="7" t="s">
        <v>11381</v>
      </c>
      <c r="B10" s="7" t="s">
        <v>11369</v>
      </c>
      <c r="C10" s="7" t="s">
        <v>11362</v>
      </c>
      <c r="D10" s="7" t="s">
        <v>11506</v>
      </c>
      <c r="E10" s="7" t="s">
        <v>11377</v>
      </c>
      <c r="F10" s="7" t="s">
        <v>11378</v>
      </c>
      <c r="G10" s="7" t="s">
        <v>11467</v>
      </c>
      <c r="H10" s="7" t="s">
        <v>11468</v>
      </c>
      <c r="I10" s="7" t="s">
        <v>11570</v>
      </c>
      <c r="J10" s="7" t="s">
        <v>11469</v>
      </c>
      <c r="K10" s="7" t="s">
        <v>11653</v>
      </c>
      <c r="L10" s="7" t="s">
        <v>11654</v>
      </c>
      <c r="M10" s="7" t="s">
        <v>11599</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11655</v>
      </c>
      <c r="B15" s="10"/>
      <c r="C15" s="10"/>
      <c r="D15" s="10"/>
      <c r="E15" s="10"/>
      <c r="F15" s="10"/>
      <c r="G15" s="10"/>
      <c r="H15" s="10"/>
      <c r="I15" s="10"/>
      <c r="J15" s="10"/>
      <c r="K15" s="10"/>
      <c r="L15" s="10"/>
      <c r="M15" s="10"/>
    </row>
    <row r="16" spans="1:13" ht="45" customHeight="1" x14ac:dyDescent="0.15">
      <c r="A16" s="12" t="s">
        <v>11656</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11657</v>
      </c>
      <c r="B18" s="7" t="s">
        <v>11368</v>
      </c>
      <c r="C18" s="7" t="s">
        <v>11545</v>
      </c>
      <c r="D18" s="7" t="s">
        <v>11370</v>
      </c>
      <c r="E18" s="7" t="s">
        <v>11376</v>
      </c>
      <c r="F18" s="7" t="s">
        <v>11372</v>
      </c>
      <c r="G18" s="7" t="s">
        <v>11373</v>
      </c>
      <c r="H18" s="7" t="s">
        <v>11379</v>
      </c>
      <c r="I18" s="7" t="s">
        <v>11385</v>
      </c>
      <c r="J18" s="7" t="s">
        <v>11570</v>
      </c>
      <c r="K18" s="7" t="s">
        <v>11658</v>
      </c>
      <c r="L18" s="7" t="s">
        <v>11470</v>
      </c>
      <c r="M18" s="7" t="s">
        <v>11604</v>
      </c>
    </row>
    <row r="19" spans="1:13" ht="21.95" customHeight="1" x14ac:dyDescent="0.15">
      <c r="A19" s="8" t="s">
        <v>11659</v>
      </c>
      <c r="B19" s="8" t="s">
        <v>11368</v>
      </c>
      <c r="C19" s="8" t="s">
        <v>11545</v>
      </c>
      <c r="D19" s="8" t="s">
        <v>11370</v>
      </c>
      <c r="E19" s="8" t="s">
        <v>11376</v>
      </c>
      <c r="F19" s="8" t="s">
        <v>11372</v>
      </c>
      <c r="G19" s="8" t="s">
        <v>11373</v>
      </c>
      <c r="H19" s="8" t="s">
        <v>11379</v>
      </c>
      <c r="I19" s="8" t="s">
        <v>11385</v>
      </c>
      <c r="J19" s="8" t="s">
        <v>11570</v>
      </c>
      <c r="K19" s="8" t="s">
        <v>11658</v>
      </c>
      <c r="L19" s="8" t="s">
        <v>11470</v>
      </c>
      <c r="M19" s="8" t="s">
        <v>11604</v>
      </c>
    </row>
    <row r="20" spans="1:13" ht="21.95" customHeight="1" x14ac:dyDescent="0.15">
      <c r="A20" s="7" t="s">
        <v>11660</v>
      </c>
      <c r="B20" s="7" t="s">
        <v>11484</v>
      </c>
      <c r="C20" s="7" t="s">
        <v>11484</v>
      </c>
      <c r="D20" s="7" t="s">
        <v>11484</v>
      </c>
      <c r="E20" s="7" t="s">
        <v>11484</v>
      </c>
      <c r="F20" s="7" t="s">
        <v>11484</v>
      </c>
      <c r="G20" s="7" t="s">
        <v>11484</v>
      </c>
      <c r="H20" s="7" t="s">
        <v>11484</v>
      </c>
      <c r="I20" s="7" t="s">
        <v>11484</v>
      </c>
      <c r="J20" s="7" t="s">
        <v>11484</v>
      </c>
      <c r="K20" s="7" t="s">
        <v>11484</v>
      </c>
      <c r="L20" s="7" t="s">
        <v>11484</v>
      </c>
      <c r="M20" s="7" t="s">
        <v>11484</v>
      </c>
    </row>
    <row r="21" spans="1:13" ht="21.95" customHeight="1" x14ac:dyDescent="0.15">
      <c r="A21" s="8" t="s">
        <v>11620</v>
      </c>
      <c r="B21" s="8" t="s">
        <v>11413</v>
      </c>
      <c r="C21" s="8" t="s">
        <v>11661</v>
      </c>
      <c r="D21" s="8" t="s">
        <v>11593</v>
      </c>
      <c r="E21" s="8" t="s">
        <v>11422</v>
      </c>
      <c r="F21" s="8" t="s">
        <v>11662</v>
      </c>
      <c r="G21" s="8" t="s">
        <v>11554</v>
      </c>
      <c r="H21" s="8" t="s">
        <v>11663</v>
      </c>
      <c r="I21" s="8" t="s">
        <v>11664</v>
      </c>
      <c r="J21" s="8" t="s">
        <v>11665</v>
      </c>
      <c r="K21" s="8" t="s">
        <v>11454</v>
      </c>
      <c r="L21" s="8" t="s">
        <v>11455</v>
      </c>
      <c r="M21" s="8" t="s">
        <v>11666</v>
      </c>
    </row>
    <row r="22" spans="1:13" ht="21.95" customHeight="1" x14ac:dyDescent="0.15">
      <c r="A22" s="7" t="s">
        <v>11630</v>
      </c>
      <c r="B22" s="7" t="s">
        <v>11484</v>
      </c>
      <c r="C22" s="7" t="s">
        <v>11484</v>
      </c>
      <c r="D22" s="7" t="s">
        <v>11484</v>
      </c>
      <c r="E22" s="7" t="s">
        <v>11484</v>
      </c>
      <c r="F22" s="7" t="s">
        <v>11484</v>
      </c>
      <c r="G22" s="7" t="s">
        <v>11484</v>
      </c>
      <c r="H22" s="7" t="s">
        <v>11484</v>
      </c>
      <c r="I22" s="7" t="s">
        <v>11484</v>
      </c>
      <c r="J22" s="7" t="s">
        <v>11484</v>
      </c>
      <c r="K22" s="7" t="s">
        <v>11484</v>
      </c>
      <c r="L22" s="7" t="s">
        <v>11484</v>
      </c>
      <c r="M22" s="7" t="s">
        <v>11484</v>
      </c>
    </row>
    <row r="23" spans="1:13" ht="21.95" customHeight="1" x14ac:dyDescent="0.15">
      <c r="A23" s="8" t="s">
        <v>11667</v>
      </c>
      <c r="B23" s="8" t="s">
        <v>11668</v>
      </c>
      <c r="C23" s="8" t="s">
        <v>11668</v>
      </c>
      <c r="D23" s="8" t="s">
        <v>11668</v>
      </c>
      <c r="E23" s="8" t="s">
        <v>11668</v>
      </c>
      <c r="F23" s="8" t="s">
        <v>11668</v>
      </c>
      <c r="G23" s="8" t="s">
        <v>11669</v>
      </c>
      <c r="H23" s="8" t="s">
        <v>11669</v>
      </c>
      <c r="I23" s="8" t="s">
        <v>11669</v>
      </c>
      <c r="J23" s="8" t="s">
        <v>11669</v>
      </c>
      <c r="K23" s="8" t="s">
        <v>11669</v>
      </c>
      <c r="L23" s="8" t="s">
        <v>11669</v>
      </c>
      <c r="M23" s="8" t="s">
        <v>11670</v>
      </c>
    </row>
    <row r="24" spans="1:13" ht="8.1" customHeight="1" x14ac:dyDescent="0.15">
      <c r="A24" s="9"/>
      <c r="B24" s="10"/>
      <c r="C24" s="10"/>
      <c r="D24" s="10"/>
      <c r="E24" s="10"/>
      <c r="F24" s="10"/>
      <c r="G24" s="10"/>
      <c r="H24" s="10"/>
      <c r="I24" s="10"/>
      <c r="J24" s="10"/>
      <c r="K24" s="10"/>
      <c r="L24" s="10"/>
      <c r="M24" s="10"/>
    </row>
    <row r="26" spans="1:13" ht="27.95" customHeight="1" x14ac:dyDescent="0.15">
      <c r="A26" s="13" t="s">
        <v>11671</v>
      </c>
      <c r="B26" s="10"/>
      <c r="C26" s="10"/>
      <c r="D26" s="10"/>
      <c r="E26" s="10"/>
      <c r="F26" s="10"/>
      <c r="G26" s="10"/>
      <c r="H26" s="10"/>
      <c r="I26" s="10"/>
      <c r="J26" s="10"/>
      <c r="K26" s="10"/>
      <c r="L26" s="10"/>
      <c r="M26" s="10"/>
    </row>
    <row r="27" spans="1:13" ht="45" customHeight="1" x14ac:dyDescent="0.15">
      <c r="A27" s="12" t="s">
        <v>11672</v>
      </c>
      <c r="B27" s="10"/>
      <c r="C27" s="10"/>
      <c r="D27" s="10"/>
      <c r="E27" s="10"/>
      <c r="F27" s="10"/>
      <c r="G27" s="10"/>
      <c r="H27" s="10"/>
      <c r="I27" s="10"/>
      <c r="J27" s="10"/>
      <c r="K27" s="10"/>
      <c r="L27" s="10"/>
      <c r="M27" s="10"/>
    </row>
    <row r="28" spans="1:13" ht="15" x14ac:dyDescent="0.15">
      <c r="A28" s="6" t="s">
        <v>11329</v>
      </c>
      <c r="B28" s="6" t="s">
        <v>11330</v>
      </c>
      <c r="C28" s="6" t="s">
        <v>11331</v>
      </c>
      <c r="D28" s="6" t="s">
        <v>11332</v>
      </c>
      <c r="E28" s="6" t="s">
        <v>11333</v>
      </c>
      <c r="F28" s="6" t="s">
        <v>11334</v>
      </c>
      <c r="G28" s="6" t="s">
        <v>11335</v>
      </c>
      <c r="H28" s="6" t="s">
        <v>11336</v>
      </c>
      <c r="I28" s="6" t="s">
        <v>11337</v>
      </c>
      <c r="J28" s="6" t="s">
        <v>11338</v>
      </c>
      <c r="K28" s="6" t="s">
        <v>11339</v>
      </c>
      <c r="L28" s="6" t="s">
        <v>11340</v>
      </c>
      <c r="M28" s="6" t="s">
        <v>11341</v>
      </c>
    </row>
    <row r="29" spans="1:13" ht="21.95" customHeight="1" x14ac:dyDescent="0.15">
      <c r="A29" s="7" t="s">
        <v>11433</v>
      </c>
      <c r="B29" s="7" t="s">
        <v>11633</v>
      </c>
      <c r="C29" s="7" t="s">
        <v>11633</v>
      </c>
      <c r="D29" s="7" t="s">
        <v>11633</v>
      </c>
      <c r="E29" s="7" t="s">
        <v>11633</v>
      </c>
      <c r="F29" s="7" t="s">
        <v>11633</v>
      </c>
      <c r="G29" s="7" t="s">
        <v>11633</v>
      </c>
      <c r="H29" s="7" t="s">
        <v>11633</v>
      </c>
      <c r="I29" s="7" t="s">
        <v>11633</v>
      </c>
      <c r="J29" s="7" t="s">
        <v>11633</v>
      </c>
      <c r="K29" s="7" t="s">
        <v>11633</v>
      </c>
      <c r="L29" s="7" t="s">
        <v>11633</v>
      </c>
      <c r="M29" s="7" t="s">
        <v>11633</v>
      </c>
    </row>
    <row r="30" spans="1:13" ht="21.95" customHeight="1" x14ac:dyDescent="0.15">
      <c r="A30" s="8" t="s">
        <v>11435</v>
      </c>
      <c r="B30" s="8" t="s">
        <v>11466</v>
      </c>
      <c r="C30" s="8" t="s">
        <v>11466</v>
      </c>
      <c r="D30" s="8" t="s">
        <v>11466</v>
      </c>
      <c r="E30" s="8" t="s">
        <v>11466</v>
      </c>
      <c r="F30" s="8" t="s">
        <v>11466</v>
      </c>
      <c r="G30" s="8" t="s">
        <v>11466</v>
      </c>
      <c r="H30" s="8" t="s">
        <v>11466</v>
      </c>
      <c r="I30" s="8" t="s">
        <v>11466</v>
      </c>
      <c r="J30" s="8" t="s">
        <v>11466</v>
      </c>
      <c r="K30" s="8" t="s">
        <v>11466</v>
      </c>
      <c r="L30" s="8" t="s">
        <v>11466</v>
      </c>
      <c r="M30" s="8" t="s">
        <v>11466</v>
      </c>
    </row>
    <row r="31" spans="1:13" ht="21.95" customHeight="1" x14ac:dyDescent="0.15">
      <c r="A31" s="7" t="s">
        <v>11657</v>
      </c>
      <c r="B31" s="7" t="s">
        <v>11417</v>
      </c>
      <c r="C31" s="7" t="s">
        <v>11418</v>
      </c>
      <c r="D31" s="7" t="s">
        <v>11419</v>
      </c>
      <c r="E31" s="7" t="s">
        <v>11420</v>
      </c>
      <c r="F31" s="7" t="s">
        <v>11421</v>
      </c>
      <c r="G31" s="7" t="s">
        <v>11422</v>
      </c>
      <c r="H31" s="7" t="s">
        <v>11423</v>
      </c>
      <c r="I31" s="7" t="s">
        <v>11424</v>
      </c>
      <c r="J31" s="7" t="s">
        <v>11425</v>
      </c>
      <c r="K31" s="7" t="s">
        <v>11426</v>
      </c>
      <c r="L31" s="7" t="s">
        <v>11427</v>
      </c>
      <c r="M31" s="7" t="s">
        <v>11428</v>
      </c>
    </row>
    <row r="32" spans="1:13" ht="21.95" customHeight="1" x14ac:dyDescent="0.15">
      <c r="A32" s="8" t="s">
        <v>11673</v>
      </c>
      <c r="B32" s="8" t="s">
        <v>11674</v>
      </c>
      <c r="C32" s="8" t="s">
        <v>11674</v>
      </c>
      <c r="D32" s="8" t="s">
        <v>11674</v>
      </c>
      <c r="E32" s="8" t="s">
        <v>11674</v>
      </c>
      <c r="F32" s="8" t="s">
        <v>11674</v>
      </c>
      <c r="G32" s="8" t="s">
        <v>11674</v>
      </c>
      <c r="H32" s="8" t="s">
        <v>11674</v>
      </c>
      <c r="I32" s="8" t="s">
        <v>11674</v>
      </c>
      <c r="J32" s="8" t="s">
        <v>11674</v>
      </c>
      <c r="K32" s="8" t="s">
        <v>11430</v>
      </c>
      <c r="L32" s="8" t="s">
        <v>11430</v>
      </c>
      <c r="M32" s="8" t="s">
        <v>11430</v>
      </c>
    </row>
    <row r="33" spans="1:13" ht="21.95" customHeight="1" x14ac:dyDescent="0.15">
      <c r="A33" s="7" t="s">
        <v>11659</v>
      </c>
      <c r="B33" s="7" t="s">
        <v>11675</v>
      </c>
      <c r="C33" s="7" t="s">
        <v>11676</v>
      </c>
      <c r="D33" s="7" t="s">
        <v>11677</v>
      </c>
      <c r="E33" s="7" t="s">
        <v>11678</v>
      </c>
      <c r="F33" s="7" t="s">
        <v>11479</v>
      </c>
      <c r="G33" s="7" t="s">
        <v>11679</v>
      </c>
      <c r="H33" s="7" t="s">
        <v>11440</v>
      </c>
      <c r="I33" s="7" t="s">
        <v>11622</v>
      </c>
      <c r="J33" s="7" t="s">
        <v>11390</v>
      </c>
      <c r="K33" s="7" t="s">
        <v>11680</v>
      </c>
      <c r="L33" s="7" t="s">
        <v>11681</v>
      </c>
      <c r="M33" s="7" t="s">
        <v>11682</v>
      </c>
    </row>
    <row r="34" spans="1:13" ht="21.95" customHeight="1" x14ac:dyDescent="0.15">
      <c r="A34" s="8" t="s">
        <v>11660</v>
      </c>
      <c r="B34" s="8" t="s">
        <v>11674</v>
      </c>
      <c r="C34" s="8" t="s">
        <v>11674</v>
      </c>
      <c r="D34" s="8" t="s">
        <v>11674</v>
      </c>
      <c r="E34" s="8" t="s">
        <v>11674</v>
      </c>
      <c r="F34" s="8" t="s">
        <v>11674</v>
      </c>
      <c r="G34" s="8" t="s">
        <v>11674</v>
      </c>
      <c r="H34" s="8" t="s">
        <v>11674</v>
      </c>
      <c r="I34" s="8" t="s">
        <v>11674</v>
      </c>
      <c r="J34" s="8" t="s">
        <v>11674</v>
      </c>
      <c r="K34" s="8" t="s">
        <v>11430</v>
      </c>
      <c r="L34" s="8" t="s">
        <v>11430</v>
      </c>
      <c r="M34" s="8" t="s">
        <v>11430</v>
      </c>
    </row>
    <row r="35" spans="1:13" ht="8.1" customHeight="1" x14ac:dyDescent="0.15">
      <c r="A35" s="9"/>
      <c r="B35" s="10"/>
      <c r="C35" s="10"/>
      <c r="D35" s="10"/>
      <c r="E35" s="10"/>
      <c r="F35" s="10"/>
      <c r="G35" s="10"/>
      <c r="H35" s="10"/>
      <c r="I35" s="10"/>
      <c r="J35" s="10"/>
      <c r="K35" s="10"/>
      <c r="L35" s="10"/>
      <c r="M35" s="10"/>
    </row>
    <row r="37" spans="1:13" ht="27.95" customHeight="1" x14ac:dyDescent="0.15">
      <c r="A37" s="13" t="s">
        <v>11683</v>
      </c>
      <c r="B37" s="10"/>
      <c r="C37" s="10"/>
      <c r="D37" s="10"/>
      <c r="E37" s="10"/>
      <c r="F37" s="10"/>
      <c r="G37" s="10"/>
      <c r="H37" s="10"/>
      <c r="I37" s="10"/>
      <c r="J37" s="10"/>
      <c r="K37" s="10"/>
      <c r="L37" s="10"/>
      <c r="M37" s="10"/>
    </row>
    <row r="38" spans="1:13" ht="45" customHeight="1" x14ac:dyDescent="0.15">
      <c r="A38" s="12" t="s">
        <v>11684</v>
      </c>
      <c r="B38" s="10"/>
      <c r="C38" s="10"/>
      <c r="D38" s="10"/>
      <c r="E38" s="10"/>
      <c r="F38" s="10"/>
      <c r="G38" s="10"/>
      <c r="H38" s="10"/>
      <c r="I38" s="10"/>
      <c r="J38" s="10"/>
      <c r="K38" s="10"/>
      <c r="L38" s="10"/>
      <c r="M38" s="10"/>
    </row>
    <row r="39" spans="1:13" ht="15" x14ac:dyDescent="0.15">
      <c r="A39" s="6" t="s">
        <v>11329</v>
      </c>
      <c r="B39" s="6" t="s">
        <v>11330</v>
      </c>
      <c r="C39" s="6" t="s">
        <v>11331</v>
      </c>
      <c r="D39" s="6" t="s">
        <v>11332</v>
      </c>
      <c r="E39" s="6" t="s">
        <v>11333</v>
      </c>
      <c r="F39" s="6" t="s">
        <v>11334</v>
      </c>
      <c r="G39" s="6" t="s">
        <v>11335</v>
      </c>
      <c r="H39" s="6" t="s">
        <v>11336</v>
      </c>
      <c r="I39" s="6" t="s">
        <v>11337</v>
      </c>
      <c r="J39" s="6" t="s">
        <v>11338</v>
      </c>
      <c r="K39" s="6" t="s">
        <v>11339</v>
      </c>
      <c r="L39" s="6" t="s">
        <v>11340</v>
      </c>
      <c r="M39" s="6" t="s">
        <v>11341</v>
      </c>
    </row>
    <row r="40" spans="1:13" ht="21.95" customHeight="1" x14ac:dyDescent="0.15">
      <c r="A40" s="7" t="s">
        <v>11435</v>
      </c>
      <c r="B40" s="7" t="s">
        <v>11685</v>
      </c>
      <c r="C40" s="7" t="s">
        <v>11685</v>
      </c>
      <c r="D40" s="7" t="s">
        <v>11685</v>
      </c>
      <c r="E40" s="7" t="s">
        <v>11685</v>
      </c>
      <c r="F40" s="7" t="s">
        <v>11685</v>
      </c>
      <c r="G40" s="7" t="s">
        <v>11685</v>
      </c>
      <c r="H40" s="7" t="s">
        <v>11685</v>
      </c>
      <c r="I40" s="7" t="s">
        <v>11685</v>
      </c>
      <c r="J40" s="7" t="s">
        <v>11685</v>
      </c>
      <c r="K40" s="7" t="s">
        <v>11685</v>
      </c>
      <c r="L40" s="7" t="s">
        <v>11685</v>
      </c>
      <c r="M40" s="7" t="s">
        <v>11685</v>
      </c>
    </row>
    <row r="41" spans="1:13" ht="21.95" customHeight="1" x14ac:dyDescent="0.15">
      <c r="A41" s="8" t="s">
        <v>11416</v>
      </c>
      <c r="B41" s="8" t="s">
        <v>11686</v>
      </c>
      <c r="C41" s="8" t="s">
        <v>11418</v>
      </c>
      <c r="D41" s="8" t="s">
        <v>11549</v>
      </c>
      <c r="E41" s="8" t="s">
        <v>11420</v>
      </c>
      <c r="F41" s="8" t="s">
        <v>11421</v>
      </c>
      <c r="G41" s="8" t="s">
        <v>11687</v>
      </c>
      <c r="H41" s="8" t="s">
        <v>11423</v>
      </c>
      <c r="I41" s="8" t="s">
        <v>11688</v>
      </c>
      <c r="J41" s="8" t="s">
        <v>11425</v>
      </c>
      <c r="K41" s="8" t="s">
        <v>11689</v>
      </c>
      <c r="L41" s="8" t="s">
        <v>11690</v>
      </c>
      <c r="M41" s="8" t="s">
        <v>11428</v>
      </c>
    </row>
    <row r="42" spans="1:13" ht="21.95" customHeight="1" x14ac:dyDescent="0.15">
      <c r="A42" s="7" t="s">
        <v>11667</v>
      </c>
      <c r="B42" s="7" t="s">
        <v>11691</v>
      </c>
      <c r="C42" s="7" t="s">
        <v>11691</v>
      </c>
      <c r="D42" s="7" t="s">
        <v>11691</v>
      </c>
      <c r="E42" s="7" t="s">
        <v>11691</v>
      </c>
      <c r="F42" s="7" t="s">
        <v>11691</v>
      </c>
      <c r="G42" s="7" t="s">
        <v>11692</v>
      </c>
      <c r="H42" s="7" t="s">
        <v>11692</v>
      </c>
      <c r="I42" s="7" t="s">
        <v>11692</v>
      </c>
      <c r="J42" s="7" t="s">
        <v>11692</v>
      </c>
      <c r="K42" s="7" t="s">
        <v>11430</v>
      </c>
      <c r="L42" s="7" t="s">
        <v>11430</v>
      </c>
      <c r="M42" s="7" t="s">
        <v>11430</v>
      </c>
    </row>
    <row r="43" spans="1:13" ht="21.95" customHeight="1" x14ac:dyDescent="0.15">
      <c r="A43" s="8" t="s">
        <v>11429</v>
      </c>
      <c r="B43" s="8" t="s">
        <v>11484</v>
      </c>
      <c r="C43" s="8" t="s">
        <v>11484</v>
      </c>
      <c r="D43" s="8" t="s">
        <v>11484</v>
      </c>
      <c r="E43" s="8" t="s">
        <v>11484</v>
      </c>
      <c r="F43" s="8" t="s">
        <v>11484</v>
      </c>
      <c r="G43" s="8" t="s">
        <v>11484</v>
      </c>
      <c r="H43" s="8" t="s">
        <v>11484</v>
      </c>
      <c r="I43" s="8" t="s">
        <v>11484</v>
      </c>
      <c r="J43" s="8" t="s">
        <v>11484</v>
      </c>
      <c r="K43" s="8" t="s">
        <v>11484</v>
      </c>
      <c r="L43" s="8" t="s">
        <v>11484</v>
      </c>
      <c r="M43" s="8" t="s">
        <v>11484</v>
      </c>
    </row>
    <row r="44" spans="1:13" ht="8.1" customHeight="1" x14ac:dyDescent="0.15">
      <c r="A44" s="9"/>
      <c r="B44" s="10"/>
      <c r="C44" s="10"/>
      <c r="D44" s="10"/>
      <c r="E44" s="10"/>
      <c r="F44" s="10"/>
      <c r="G44" s="10"/>
      <c r="H44" s="10"/>
      <c r="I44" s="10"/>
      <c r="J44" s="10"/>
      <c r="K44" s="10"/>
      <c r="L44" s="10"/>
      <c r="M44" s="10"/>
    </row>
  </sheetData>
  <sheetProtection password="CC26" sheet="1"/>
  <mergeCells count="13">
    <mergeCell ref="A13:M13"/>
    <mergeCell ref="A38:M38"/>
    <mergeCell ref="A44:M44"/>
    <mergeCell ref="A1:M1"/>
    <mergeCell ref="A37:M37"/>
    <mergeCell ref="A27:M27"/>
    <mergeCell ref="A35:M35"/>
    <mergeCell ref="A4:M4"/>
    <mergeCell ref="A3:M3"/>
    <mergeCell ref="A26:M26"/>
    <mergeCell ref="A15:M15"/>
    <mergeCell ref="A24:M24"/>
    <mergeCell ref="A16:M16"/>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23">
    <cfRule type="colorScale" priority="2">
      <colorScale>
        <cfvo type="min"/>
        <cfvo type="percentile" val="50"/>
        <cfvo type="max"/>
        <color rgb="FFFFC7CE"/>
        <color rgb="FFFFEB9C"/>
        <color rgb="FFC6EFCE"/>
      </colorScale>
    </cfRule>
  </conditionalFormatting>
  <conditionalFormatting sqref="B29:M34">
    <cfRule type="colorScale" priority="3">
      <colorScale>
        <cfvo type="min"/>
        <cfvo type="percentile" val="50"/>
        <cfvo type="max"/>
        <color rgb="FFFFC7CE"/>
        <color rgb="FFFFEB9C"/>
        <color rgb="FFC6EFCE"/>
      </colorScale>
    </cfRule>
  </conditionalFormatting>
  <conditionalFormatting sqref="B40:M43">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41"/>
  <sheetViews>
    <sheetView workbookViewId="0"/>
  </sheetViews>
  <sheetFormatPr defaultRowHeight="13.5" x14ac:dyDescent="0.15"/>
  <cols>
    <col min="1" max="1" width="32" customWidth="1"/>
    <col min="2" max="13" width="9" customWidth="1"/>
  </cols>
  <sheetData>
    <row r="1" spans="1:13" ht="35.1" customHeight="1" x14ac:dyDescent="0.15">
      <c r="A1" s="11" t="s">
        <v>11693</v>
      </c>
      <c r="B1" s="10"/>
      <c r="C1" s="10"/>
      <c r="D1" s="10"/>
      <c r="E1" s="10"/>
      <c r="F1" s="10"/>
      <c r="G1" s="10"/>
      <c r="H1" s="10"/>
      <c r="I1" s="10"/>
      <c r="J1" s="10"/>
      <c r="K1" s="10"/>
      <c r="L1" s="10"/>
      <c r="M1" s="10"/>
    </row>
    <row r="3" spans="1:13" ht="27.95" customHeight="1" x14ac:dyDescent="0.15">
      <c r="A3" s="13" t="s">
        <v>11694</v>
      </c>
      <c r="B3" s="10"/>
      <c r="C3" s="10"/>
      <c r="D3" s="10"/>
      <c r="E3" s="10"/>
      <c r="F3" s="10"/>
      <c r="G3" s="10"/>
      <c r="H3" s="10"/>
      <c r="I3" s="10"/>
      <c r="J3" s="10"/>
      <c r="K3" s="10"/>
      <c r="L3" s="10"/>
      <c r="M3" s="10"/>
    </row>
    <row r="4" spans="1:13" ht="45" customHeight="1" x14ac:dyDescent="0.15">
      <c r="A4" s="12" t="s">
        <v>11695</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11358</v>
      </c>
      <c r="C6" s="7" t="s">
        <v>11367</v>
      </c>
      <c r="D6" s="7" t="s">
        <v>11360</v>
      </c>
      <c r="E6" s="7" t="s">
        <v>11545</v>
      </c>
      <c r="F6" s="7" t="s">
        <v>11370</v>
      </c>
      <c r="G6" s="7" t="s">
        <v>11506</v>
      </c>
      <c r="H6" s="7" t="s">
        <v>11364</v>
      </c>
      <c r="I6" s="7" t="s">
        <v>11567</v>
      </c>
      <c r="J6" s="7" t="s">
        <v>11568</v>
      </c>
      <c r="K6" s="7" t="s">
        <v>11602</v>
      </c>
      <c r="L6" s="7" t="s">
        <v>11510</v>
      </c>
      <c r="M6" s="7" t="s">
        <v>11469</v>
      </c>
    </row>
    <row r="7" spans="1:13" ht="21.95" customHeight="1" x14ac:dyDescent="0.15">
      <c r="A7" s="8" t="s">
        <v>11355</v>
      </c>
      <c r="B7" s="8" t="s">
        <v>11370</v>
      </c>
      <c r="C7" s="8" t="s">
        <v>11376</v>
      </c>
      <c r="D7" s="8" t="s">
        <v>11384</v>
      </c>
      <c r="E7" s="8" t="s">
        <v>11696</v>
      </c>
      <c r="F7" s="8" t="s">
        <v>11569</v>
      </c>
      <c r="G7" s="8" t="s">
        <v>11402</v>
      </c>
      <c r="H7" s="8" t="s">
        <v>11469</v>
      </c>
      <c r="I7" s="8" t="s">
        <v>11653</v>
      </c>
      <c r="J7" s="8" t="s">
        <v>11404</v>
      </c>
      <c r="K7" s="8" t="s">
        <v>11697</v>
      </c>
      <c r="L7" s="8" t="s">
        <v>11698</v>
      </c>
      <c r="M7" s="8" t="s">
        <v>11407</v>
      </c>
    </row>
    <row r="8" spans="1:13" ht="21.95" customHeight="1" x14ac:dyDescent="0.15">
      <c r="A8" s="7" t="s">
        <v>11365</v>
      </c>
      <c r="B8" s="7" t="s">
        <v>11635</v>
      </c>
      <c r="C8" s="7" t="s">
        <v>11509</v>
      </c>
      <c r="D8" s="7" t="s">
        <v>11402</v>
      </c>
      <c r="E8" s="7" t="s">
        <v>11469</v>
      </c>
      <c r="F8" s="7" t="s">
        <v>11470</v>
      </c>
      <c r="G8" s="7" t="s">
        <v>11654</v>
      </c>
      <c r="H8" s="7" t="s">
        <v>11699</v>
      </c>
      <c r="I8" s="7" t="s">
        <v>11700</v>
      </c>
      <c r="J8" s="7" t="s">
        <v>11701</v>
      </c>
      <c r="K8" s="7" t="s">
        <v>11408</v>
      </c>
      <c r="L8" s="7" t="s">
        <v>11702</v>
      </c>
      <c r="M8" s="7" t="s">
        <v>11703</v>
      </c>
    </row>
    <row r="9" spans="1:13" ht="21.95" customHeight="1" x14ac:dyDescent="0.15">
      <c r="A9" s="8" t="s">
        <v>11374</v>
      </c>
      <c r="B9" s="8" t="s">
        <v>11704</v>
      </c>
      <c r="C9" s="8" t="s">
        <v>11387</v>
      </c>
      <c r="D9" s="8" t="s">
        <v>11705</v>
      </c>
      <c r="E9" s="8" t="s">
        <v>11699</v>
      </c>
      <c r="F9" s="8" t="s">
        <v>11706</v>
      </c>
      <c r="G9" s="8" t="s">
        <v>11606</v>
      </c>
      <c r="H9" s="8" t="s">
        <v>11707</v>
      </c>
      <c r="I9" s="8" t="s">
        <v>11708</v>
      </c>
      <c r="J9" s="8" t="s">
        <v>11709</v>
      </c>
      <c r="K9" s="8" t="s">
        <v>11710</v>
      </c>
      <c r="L9" s="8" t="s">
        <v>11548</v>
      </c>
      <c r="M9" s="8" t="s">
        <v>11617</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11711</v>
      </c>
      <c r="B14" s="10"/>
      <c r="C14" s="10"/>
      <c r="D14" s="10"/>
      <c r="E14" s="10"/>
      <c r="F14" s="10"/>
      <c r="G14" s="10"/>
      <c r="H14" s="10"/>
      <c r="I14" s="10"/>
      <c r="J14" s="10"/>
      <c r="K14" s="10"/>
      <c r="L14" s="10"/>
      <c r="M14" s="10"/>
    </row>
    <row r="15" spans="1:13" ht="45" customHeight="1" x14ac:dyDescent="0.15">
      <c r="A15" s="12" t="s">
        <v>11712</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11416</v>
      </c>
      <c r="B17" s="7" t="s">
        <v>11713</v>
      </c>
      <c r="C17" s="7" t="s">
        <v>11714</v>
      </c>
      <c r="D17" s="7" t="s">
        <v>11715</v>
      </c>
      <c r="E17" s="7" t="s">
        <v>11716</v>
      </c>
      <c r="F17" s="7" t="s">
        <v>11717</v>
      </c>
      <c r="G17" s="7" t="s">
        <v>11718</v>
      </c>
      <c r="H17" s="7" t="s">
        <v>11719</v>
      </c>
      <c r="I17" s="7" t="s">
        <v>11720</v>
      </c>
      <c r="J17" s="7" t="s">
        <v>11721</v>
      </c>
      <c r="K17" s="7" t="s">
        <v>11722</v>
      </c>
      <c r="L17" s="7" t="s">
        <v>11723</v>
      </c>
      <c r="M17" s="7" t="s">
        <v>11724</v>
      </c>
    </row>
    <row r="18" spans="1:13" ht="21.95" customHeight="1" x14ac:dyDescent="0.15">
      <c r="A18" s="8" t="s">
        <v>11429</v>
      </c>
      <c r="B18" s="8" t="s">
        <v>11430</v>
      </c>
      <c r="C18" s="8" t="s">
        <v>11430</v>
      </c>
      <c r="D18" s="8" t="s">
        <v>11430</v>
      </c>
      <c r="E18" s="8" t="s">
        <v>11430</v>
      </c>
      <c r="F18" s="8" t="s">
        <v>11430</v>
      </c>
      <c r="G18" s="8" t="s">
        <v>11430</v>
      </c>
      <c r="H18" s="8" t="s">
        <v>11430</v>
      </c>
      <c r="I18" s="8" t="s">
        <v>11430</v>
      </c>
      <c r="J18" s="8" t="s">
        <v>11430</v>
      </c>
      <c r="K18" s="8" t="s">
        <v>11430</v>
      </c>
      <c r="L18" s="8" t="s">
        <v>11430</v>
      </c>
      <c r="M18" s="8" t="s">
        <v>11430</v>
      </c>
    </row>
    <row r="19" spans="1:13" ht="21.95" customHeight="1" x14ac:dyDescent="0.15">
      <c r="A19" s="7" t="s">
        <v>11725</v>
      </c>
      <c r="B19" s="7" t="s">
        <v>11430</v>
      </c>
      <c r="C19" s="7" t="s">
        <v>11430</v>
      </c>
      <c r="D19" s="7" t="s">
        <v>11430</v>
      </c>
      <c r="E19" s="7" t="s">
        <v>11430</v>
      </c>
      <c r="F19" s="7" t="s">
        <v>11430</v>
      </c>
      <c r="G19" s="7" t="s">
        <v>11430</v>
      </c>
      <c r="H19" s="7" t="s">
        <v>11430</v>
      </c>
      <c r="I19" s="7" t="s">
        <v>11430</v>
      </c>
      <c r="J19" s="7" t="s">
        <v>11430</v>
      </c>
      <c r="K19" s="7" t="s">
        <v>11430</v>
      </c>
      <c r="L19" s="7" t="s">
        <v>11430</v>
      </c>
      <c r="M19" s="7" t="s">
        <v>11430</v>
      </c>
    </row>
    <row r="20" spans="1:13" ht="8.1" customHeight="1" x14ac:dyDescent="0.15">
      <c r="A20" s="9"/>
      <c r="B20" s="10"/>
      <c r="C20" s="10"/>
      <c r="D20" s="10"/>
      <c r="E20" s="10"/>
      <c r="F20" s="10"/>
      <c r="G20" s="10"/>
      <c r="H20" s="10"/>
      <c r="I20" s="10"/>
      <c r="J20" s="10"/>
      <c r="K20" s="10"/>
      <c r="L20" s="10"/>
      <c r="M20" s="10"/>
    </row>
    <row r="22" spans="1:13" ht="27.95" customHeight="1" x14ac:dyDescent="0.15">
      <c r="A22" s="13" t="s">
        <v>11726</v>
      </c>
      <c r="B22" s="10"/>
      <c r="C22" s="10"/>
      <c r="D22" s="10"/>
      <c r="E22" s="10"/>
      <c r="F22" s="10"/>
      <c r="G22" s="10"/>
      <c r="H22" s="10"/>
      <c r="I22" s="10"/>
      <c r="J22" s="10"/>
      <c r="K22" s="10"/>
      <c r="L22" s="10"/>
      <c r="M22" s="10"/>
    </row>
    <row r="23" spans="1:13" ht="45" customHeight="1" x14ac:dyDescent="0.15">
      <c r="A23" s="12" t="s">
        <v>11727</v>
      </c>
      <c r="B23" s="10"/>
      <c r="C23" s="10"/>
      <c r="D23" s="10"/>
      <c r="E23" s="10"/>
      <c r="F23" s="10"/>
      <c r="G23" s="10"/>
      <c r="H23" s="10"/>
      <c r="I23" s="10"/>
      <c r="J23" s="10"/>
      <c r="K23" s="10"/>
      <c r="L23" s="10"/>
      <c r="M23" s="10"/>
    </row>
    <row r="24" spans="1:13" ht="15" x14ac:dyDescent="0.15">
      <c r="A24" s="6" t="s">
        <v>11329</v>
      </c>
      <c r="B24" s="6" t="s">
        <v>11330</v>
      </c>
      <c r="C24" s="6" t="s">
        <v>11331</v>
      </c>
      <c r="D24" s="6" t="s">
        <v>11332</v>
      </c>
      <c r="E24" s="6" t="s">
        <v>11333</v>
      </c>
      <c r="F24" s="6" t="s">
        <v>11334</v>
      </c>
      <c r="G24" s="6" t="s">
        <v>11335</v>
      </c>
      <c r="H24" s="6" t="s">
        <v>11336</v>
      </c>
      <c r="I24" s="6" t="s">
        <v>11337</v>
      </c>
      <c r="J24" s="6" t="s">
        <v>11338</v>
      </c>
      <c r="K24" s="6" t="s">
        <v>11339</v>
      </c>
      <c r="L24" s="6" t="s">
        <v>11340</v>
      </c>
      <c r="M24" s="6" t="s">
        <v>11341</v>
      </c>
    </row>
    <row r="25" spans="1:13" ht="21.95" customHeight="1" x14ac:dyDescent="0.15">
      <c r="A25" s="7" t="s">
        <v>11433</v>
      </c>
      <c r="B25" s="7" t="s">
        <v>11728</v>
      </c>
      <c r="C25" s="7" t="s">
        <v>11728</v>
      </c>
      <c r="D25" s="7" t="s">
        <v>11728</v>
      </c>
      <c r="E25" s="7" t="s">
        <v>11728</v>
      </c>
      <c r="F25" s="7" t="s">
        <v>11728</v>
      </c>
      <c r="G25" s="7" t="s">
        <v>11728</v>
      </c>
      <c r="H25" s="7" t="s">
        <v>11728</v>
      </c>
      <c r="I25" s="7" t="s">
        <v>11728</v>
      </c>
      <c r="J25" s="7" t="s">
        <v>11728</v>
      </c>
      <c r="K25" s="7" t="s">
        <v>11728</v>
      </c>
      <c r="L25" s="7" t="s">
        <v>11728</v>
      </c>
      <c r="M25" s="7" t="s">
        <v>11728</v>
      </c>
    </row>
    <row r="26" spans="1:13" ht="21.95" customHeight="1" x14ac:dyDescent="0.15">
      <c r="A26" s="8" t="s">
        <v>11435</v>
      </c>
      <c r="B26" s="8" t="s">
        <v>11535</v>
      </c>
      <c r="C26" s="8" t="s">
        <v>11535</v>
      </c>
      <c r="D26" s="8" t="s">
        <v>11535</v>
      </c>
      <c r="E26" s="8" t="s">
        <v>11535</v>
      </c>
      <c r="F26" s="8" t="s">
        <v>11535</v>
      </c>
      <c r="G26" s="8" t="s">
        <v>11535</v>
      </c>
      <c r="H26" s="8" t="s">
        <v>11535</v>
      </c>
      <c r="I26" s="8" t="s">
        <v>11535</v>
      </c>
      <c r="J26" s="8" t="s">
        <v>11535</v>
      </c>
      <c r="K26" s="8" t="s">
        <v>11535</v>
      </c>
      <c r="L26" s="8" t="s">
        <v>11535</v>
      </c>
      <c r="M26" s="8" t="s">
        <v>11535</v>
      </c>
    </row>
    <row r="27" spans="1:13" ht="21.95" customHeight="1" x14ac:dyDescent="0.15">
      <c r="A27" s="7" t="s">
        <v>11416</v>
      </c>
      <c r="B27" s="7" t="s">
        <v>11729</v>
      </c>
      <c r="C27" s="7" t="s">
        <v>11678</v>
      </c>
      <c r="D27" s="7" t="s">
        <v>11454</v>
      </c>
      <c r="E27" s="7" t="s">
        <v>11730</v>
      </c>
      <c r="F27" s="7" t="s">
        <v>11731</v>
      </c>
      <c r="G27" s="7" t="s">
        <v>11732</v>
      </c>
      <c r="H27" s="7" t="s">
        <v>11442</v>
      </c>
      <c r="I27" s="7" t="s">
        <v>11624</v>
      </c>
      <c r="J27" s="7" t="s">
        <v>11392</v>
      </c>
      <c r="K27" s="7" t="s">
        <v>11733</v>
      </c>
      <c r="L27" s="7" t="s">
        <v>11734</v>
      </c>
      <c r="M27" s="7" t="s">
        <v>11735</v>
      </c>
    </row>
    <row r="28" spans="1:13" ht="21.95" customHeight="1" x14ac:dyDescent="0.15">
      <c r="A28" s="8" t="s">
        <v>11429</v>
      </c>
      <c r="B28" s="8" t="s">
        <v>11459</v>
      </c>
      <c r="C28" s="8" t="s">
        <v>11459</v>
      </c>
      <c r="D28" s="8" t="s">
        <v>11459</v>
      </c>
      <c r="E28" s="8" t="s">
        <v>11459</v>
      </c>
      <c r="F28" s="8" t="s">
        <v>11459</v>
      </c>
      <c r="G28" s="8" t="s">
        <v>11459</v>
      </c>
      <c r="H28" s="8" t="s">
        <v>11459</v>
      </c>
      <c r="I28" s="8" t="s">
        <v>11459</v>
      </c>
      <c r="J28" s="8" t="s">
        <v>11459</v>
      </c>
      <c r="K28" s="8" t="s">
        <v>11459</v>
      </c>
      <c r="L28" s="8" t="s">
        <v>11459</v>
      </c>
      <c r="M28" s="8" t="s">
        <v>11459</v>
      </c>
    </row>
    <row r="29" spans="1:13" ht="21.95" customHeight="1" x14ac:dyDescent="0.15">
      <c r="A29" s="7" t="s">
        <v>11736</v>
      </c>
      <c r="B29" s="7" t="s">
        <v>11650</v>
      </c>
      <c r="C29" s="7" t="s">
        <v>11650</v>
      </c>
      <c r="D29" s="7" t="s">
        <v>11650</v>
      </c>
      <c r="E29" s="7" t="s">
        <v>11541</v>
      </c>
      <c r="F29" s="7" t="s">
        <v>11541</v>
      </c>
      <c r="G29" s="7" t="s">
        <v>11541</v>
      </c>
      <c r="H29" s="7" t="s">
        <v>11542</v>
      </c>
      <c r="I29" s="7" t="s">
        <v>11542</v>
      </c>
      <c r="J29" s="7" t="s">
        <v>11542</v>
      </c>
      <c r="K29" s="7" t="s">
        <v>11344</v>
      </c>
      <c r="L29" s="7" t="s">
        <v>11344</v>
      </c>
      <c r="M29" s="7" t="s">
        <v>11344</v>
      </c>
    </row>
    <row r="30" spans="1:13" ht="21.95" customHeight="1" x14ac:dyDescent="0.15">
      <c r="A30" s="8" t="s">
        <v>11737</v>
      </c>
      <c r="B30" s="8" t="s">
        <v>11430</v>
      </c>
      <c r="C30" s="8" t="s">
        <v>11430</v>
      </c>
      <c r="D30" s="8" t="s">
        <v>11430</v>
      </c>
      <c r="E30" s="8" t="s">
        <v>11430</v>
      </c>
      <c r="F30" s="8" t="s">
        <v>11430</v>
      </c>
      <c r="G30" s="8" t="s">
        <v>11430</v>
      </c>
      <c r="H30" s="8" t="s">
        <v>11430</v>
      </c>
      <c r="I30" s="8" t="s">
        <v>11430</v>
      </c>
      <c r="J30" s="8" t="s">
        <v>11430</v>
      </c>
      <c r="K30" s="8" t="s">
        <v>11430</v>
      </c>
      <c r="L30" s="8" t="s">
        <v>11430</v>
      </c>
      <c r="M30" s="8" t="s">
        <v>11430</v>
      </c>
    </row>
    <row r="31" spans="1:13" ht="8.1" customHeight="1" x14ac:dyDescent="0.15">
      <c r="A31" s="9"/>
      <c r="B31" s="10"/>
      <c r="C31" s="10"/>
      <c r="D31" s="10"/>
      <c r="E31" s="10"/>
      <c r="F31" s="10"/>
      <c r="G31" s="10"/>
      <c r="H31" s="10"/>
      <c r="I31" s="10"/>
      <c r="J31" s="10"/>
      <c r="K31" s="10"/>
      <c r="L31" s="10"/>
      <c r="M31" s="10"/>
    </row>
    <row r="33" spans="1:13" ht="27.95" customHeight="1" x14ac:dyDescent="0.15">
      <c r="A33" s="13" t="s">
        <v>11738</v>
      </c>
      <c r="B33" s="10"/>
      <c r="C33" s="10"/>
      <c r="D33" s="10"/>
      <c r="E33" s="10"/>
      <c r="F33" s="10"/>
      <c r="G33" s="10"/>
      <c r="H33" s="10"/>
      <c r="I33" s="10"/>
      <c r="J33" s="10"/>
      <c r="K33" s="10"/>
      <c r="L33" s="10"/>
      <c r="M33" s="10"/>
    </row>
    <row r="34" spans="1:13" ht="45" customHeight="1" x14ac:dyDescent="0.15">
      <c r="A34" s="12" t="s">
        <v>11739</v>
      </c>
      <c r="B34" s="10"/>
      <c r="C34" s="10"/>
      <c r="D34" s="10"/>
      <c r="E34" s="10"/>
      <c r="F34" s="10"/>
      <c r="G34" s="10"/>
      <c r="H34" s="10"/>
      <c r="I34" s="10"/>
      <c r="J34" s="10"/>
      <c r="K34" s="10"/>
      <c r="L34" s="10"/>
      <c r="M34" s="10"/>
    </row>
    <row r="35" spans="1:13" ht="15" x14ac:dyDescent="0.15">
      <c r="A35" s="6" t="s">
        <v>11329</v>
      </c>
      <c r="B35" s="6" t="s">
        <v>11330</v>
      </c>
      <c r="C35" s="6" t="s">
        <v>11331</v>
      </c>
      <c r="D35" s="6" t="s">
        <v>11332</v>
      </c>
      <c r="E35" s="6" t="s">
        <v>11333</v>
      </c>
      <c r="F35" s="6" t="s">
        <v>11334</v>
      </c>
      <c r="G35" s="6" t="s">
        <v>11335</v>
      </c>
      <c r="H35" s="6" t="s">
        <v>11336</v>
      </c>
      <c r="I35" s="6" t="s">
        <v>11337</v>
      </c>
      <c r="J35" s="6" t="s">
        <v>11338</v>
      </c>
      <c r="K35" s="6" t="s">
        <v>11339</v>
      </c>
      <c r="L35" s="6" t="s">
        <v>11340</v>
      </c>
      <c r="M35" s="6" t="s">
        <v>11341</v>
      </c>
    </row>
    <row r="36" spans="1:13" ht="21.95" customHeight="1" x14ac:dyDescent="0.15">
      <c r="A36" s="7" t="s">
        <v>11435</v>
      </c>
      <c r="B36" s="7" t="s">
        <v>11536</v>
      </c>
      <c r="C36" s="7" t="s">
        <v>11536</v>
      </c>
      <c r="D36" s="7" t="s">
        <v>11536</v>
      </c>
      <c r="E36" s="7" t="s">
        <v>11536</v>
      </c>
      <c r="F36" s="7" t="s">
        <v>11536</v>
      </c>
      <c r="G36" s="7" t="s">
        <v>11536</v>
      </c>
      <c r="H36" s="7" t="s">
        <v>11536</v>
      </c>
      <c r="I36" s="7" t="s">
        <v>11536</v>
      </c>
      <c r="J36" s="7" t="s">
        <v>11536</v>
      </c>
      <c r="K36" s="7" t="s">
        <v>11536</v>
      </c>
      <c r="L36" s="7" t="s">
        <v>11536</v>
      </c>
      <c r="M36" s="7" t="s">
        <v>11740</v>
      </c>
    </row>
    <row r="37" spans="1:13" ht="21.95" customHeight="1" x14ac:dyDescent="0.15">
      <c r="A37" s="8" t="s">
        <v>11416</v>
      </c>
      <c r="B37" s="8" t="s">
        <v>11512</v>
      </c>
      <c r="C37" s="8" t="s">
        <v>11406</v>
      </c>
      <c r="D37" s="8" t="s">
        <v>11606</v>
      </c>
      <c r="E37" s="8" t="s">
        <v>11612</v>
      </c>
      <c r="F37" s="8" t="s">
        <v>11613</v>
      </c>
      <c r="G37" s="8" t="s">
        <v>11614</v>
      </c>
      <c r="H37" s="8" t="s">
        <v>11615</v>
      </c>
      <c r="I37" s="8" t="s">
        <v>11713</v>
      </c>
      <c r="J37" s="8" t="s">
        <v>11617</v>
      </c>
      <c r="K37" s="8" t="s">
        <v>11474</v>
      </c>
      <c r="L37" s="8" t="s">
        <v>11618</v>
      </c>
      <c r="M37" s="8" t="s">
        <v>11619</v>
      </c>
    </row>
    <row r="38" spans="1:13" ht="21.95" customHeight="1" x14ac:dyDescent="0.15">
      <c r="A38" s="7" t="s">
        <v>11429</v>
      </c>
      <c r="B38" s="7" t="s">
        <v>11430</v>
      </c>
      <c r="C38" s="7" t="s">
        <v>11430</v>
      </c>
      <c r="D38" s="7" t="s">
        <v>11430</v>
      </c>
      <c r="E38" s="7" t="s">
        <v>11430</v>
      </c>
      <c r="F38" s="7" t="s">
        <v>11430</v>
      </c>
      <c r="G38" s="7" t="s">
        <v>11430</v>
      </c>
      <c r="H38" s="7" t="s">
        <v>11430</v>
      </c>
      <c r="I38" s="7" t="s">
        <v>11430</v>
      </c>
      <c r="J38" s="7" t="s">
        <v>11430</v>
      </c>
      <c r="K38" s="7" t="s">
        <v>11430</v>
      </c>
      <c r="L38" s="7" t="s">
        <v>11430</v>
      </c>
      <c r="M38" s="7" t="s">
        <v>11430</v>
      </c>
    </row>
    <row r="39" spans="1:13" ht="21.95" customHeight="1" x14ac:dyDescent="0.15">
      <c r="A39" s="8" t="s">
        <v>11741</v>
      </c>
      <c r="B39" s="8" t="s">
        <v>11742</v>
      </c>
      <c r="C39" s="8" t="s">
        <v>11743</v>
      </c>
      <c r="D39" s="8" t="s">
        <v>11744</v>
      </c>
      <c r="E39" s="8" t="s">
        <v>11745</v>
      </c>
      <c r="F39" s="8" t="s">
        <v>11746</v>
      </c>
      <c r="G39" s="8" t="s">
        <v>11747</v>
      </c>
      <c r="H39" s="8" t="s">
        <v>11748</v>
      </c>
      <c r="I39" s="8" t="s">
        <v>11749</v>
      </c>
      <c r="J39" s="8" t="s">
        <v>11750</v>
      </c>
      <c r="K39" s="8" t="s">
        <v>11751</v>
      </c>
      <c r="L39" s="8" t="s">
        <v>11752</v>
      </c>
      <c r="M39" s="8" t="s">
        <v>11753</v>
      </c>
    </row>
    <row r="40" spans="1:13" ht="21.95" customHeight="1" x14ac:dyDescent="0.15">
      <c r="A40" s="7" t="s">
        <v>11754</v>
      </c>
      <c r="B40" s="7" t="s">
        <v>11755</v>
      </c>
      <c r="C40" s="7" t="s">
        <v>11756</v>
      </c>
      <c r="D40" s="7" t="s">
        <v>11757</v>
      </c>
      <c r="E40" s="7" t="s">
        <v>11758</v>
      </c>
      <c r="F40" s="7" t="s">
        <v>11759</v>
      </c>
      <c r="G40" s="7" t="s">
        <v>11760</v>
      </c>
      <c r="H40" s="7" t="s">
        <v>11761</v>
      </c>
      <c r="I40" s="7" t="s">
        <v>11762</v>
      </c>
      <c r="J40" s="7" t="s">
        <v>11763</v>
      </c>
      <c r="K40" s="7" t="s">
        <v>11764</v>
      </c>
      <c r="L40" s="7" t="s">
        <v>11765</v>
      </c>
      <c r="M40" s="7" t="s">
        <v>11766</v>
      </c>
    </row>
    <row r="41" spans="1:13" ht="8.1" customHeight="1" x14ac:dyDescent="0.15">
      <c r="A41" s="9"/>
      <c r="B41" s="10"/>
      <c r="C41" s="10"/>
      <c r="D41" s="10"/>
      <c r="E41" s="10"/>
      <c r="F41" s="10"/>
      <c r="G41" s="10"/>
      <c r="H41" s="10"/>
      <c r="I41" s="10"/>
      <c r="J41" s="10"/>
      <c r="K41" s="10"/>
      <c r="L41" s="10"/>
      <c r="M41" s="10"/>
    </row>
  </sheetData>
  <sheetProtection password="CC26" sheet="1"/>
  <mergeCells count="13">
    <mergeCell ref="A41:M41"/>
    <mergeCell ref="A33:M33"/>
    <mergeCell ref="A34:M34"/>
    <mergeCell ref="A12:M12"/>
    <mergeCell ref="A4:M4"/>
    <mergeCell ref="A3:M3"/>
    <mergeCell ref="A15:M15"/>
    <mergeCell ref="A20:M20"/>
    <mergeCell ref="A14:M14"/>
    <mergeCell ref="A1:M1"/>
    <mergeCell ref="A23:M23"/>
    <mergeCell ref="A31:M31"/>
    <mergeCell ref="A22:M22"/>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19">
    <cfRule type="colorScale" priority="2">
      <colorScale>
        <cfvo type="min"/>
        <cfvo type="percentile" val="50"/>
        <cfvo type="max"/>
        <color rgb="FFFFC7CE"/>
        <color rgb="FFFFEB9C"/>
        <color rgb="FFC6EFCE"/>
      </colorScale>
    </cfRule>
  </conditionalFormatting>
  <conditionalFormatting sqref="B25:M30">
    <cfRule type="colorScale" priority="3">
      <colorScale>
        <cfvo type="min"/>
        <cfvo type="percentile" val="50"/>
        <cfvo type="max"/>
        <color rgb="FFFFC7CE"/>
        <color rgb="FFFFEB9C"/>
        <color rgb="FFC6EFCE"/>
      </colorScale>
    </cfRule>
  </conditionalFormatting>
  <conditionalFormatting sqref="B36:M40">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43"/>
  <sheetViews>
    <sheetView workbookViewId="0"/>
  </sheetViews>
  <sheetFormatPr defaultRowHeight="13.5" x14ac:dyDescent="0.15"/>
  <cols>
    <col min="1" max="1" width="32" customWidth="1"/>
    <col min="2" max="13" width="9" customWidth="1"/>
  </cols>
  <sheetData>
    <row r="1" spans="1:13" ht="35.1" customHeight="1" x14ac:dyDescent="0.15">
      <c r="A1" s="11" t="s">
        <v>11767</v>
      </c>
      <c r="B1" s="10"/>
      <c r="C1" s="10"/>
      <c r="D1" s="10"/>
      <c r="E1" s="10"/>
      <c r="F1" s="10"/>
      <c r="G1" s="10"/>
      <c r="H1" s="10"/>
      <c r="I1" s="10"/>
      <c r="J1" s="10"/>
      <c r="K1" s="10"/>
      <c r="L1" s="10"/>
      <c r="M1" s="10"/>
    </row>
    <row r="3" spans="1:13" ht="27.95" customHeight="1" x14ac:dyDescent="0.15">
      <c r="A3" s="13" t="s">
        <v>11768</v>
      </c>
      <c r="B3" s="10"/>
      <c r="C3" s="10"/>
      <c r="D3" s="10"/>
      <c r="E3" s="10"/>
      <c r="F3" s="10"/>
      <c r="G3" s="10"/>
      <c r="H3" s="10"/>
      <c r="I3" s="10"/>
      <c r="J3" s="10"/>
      <c r="K3" s="10"/>
      <c r="L3" s="10"/>
      <c r="M3" s="10"/>
    </row>
    <row r="4" spans="1:13" ht="45" customHeight="1" x14ac:dyDescent="0.15">
      <c r="A4" s="12" t="s">
        <v>11769</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11647</v>
      </c>
      <c r="C6" s="7" t="s">
        <v>11649</v>
      </c>
      <c r="D6" s="7" t="s">
        <v>11650</v>
      </c>
      <c r="E6" s="7" t="s">
        <v>11541</v>
      </c>
      <c r="F6" s="7" t="s">
        <v>11652</v>
      </c>
      <c r="G6" s="7" t="s">
        <v>11343</v>
      </c>
      <c r="H6" s="7" t="s">
        <v>11543</v>
      </c>
      <c r="I6" s="7" t="s">
        <v>11544</v>
      </c>
      <c r="J6" s="7" t="s">
        <v>11345</v>
      </c>
      <c r="K6" s="7" t="s">
        <v>11346</v>
      </c>
      <c r="L6" s="7" t="s">
        <v>11504</v>
      </c>
      <c r="M6" s="7" t="s">
        <v>11348</v>
      </c>
    </row>
    <row r="7" spans="1:13" ht="21.95" customHeight="1" x14ac:dyDescent="0.15">
      <c r="A7" s="8" t="s">
        <v>11355</v>
      </c>
      <c r="B7" s="8" t="s">
        <v>11648</v>
      </c>
      <c r="C7" s="8" t="s">
        <v>11650</v>
      </c>
      <c r="D7" s="8" t="s">
        <v>11651</v>
      </c>
      <c r="E7" s="8" t="s">
        <v>11652</v>
      </c>
      <c r="F7" s="8" t="s">
        <v>11542</v>
      </c>
      <c r="G7" s="8" t="s">
        <v>11543</v>
      </c>
      <c r="H7" s="8" t="s">
        <v>11544</v>
      </c>
      <c r="I7" s="8" t="s">
        <v>11345</v>
      </c>
      <c r="J7" s="8" t="s">
        <v>11346</v>
      </c>
      <c r="K7" s="8" t="s">
        <v>11504</v>
      </c>
      <c r="L7" s="8" t="s">
        <v>11366</v>
      </c>
      <c r="M7" s="8" t="s">
        <v>11349</v>
      </c>
    </row>
    <row r="8" spans="1:13" ht="21.95" customHeight="1" x14ac:dyDescent="0.15">
      <c r="A8" s="7" t="s">
        <v>11365</v>
      </c>
      <c r="B8" s="7" t="s">
        <v>11652</v>
      </c>
      <c r="C8" s="7" t="s">
        <v>11343</v>
      </c>
      <c r="D8" s="7" t="s">
        <v>11344</v>
      </c>
      <c r="E8" s="7" t="s">
        <v>11345</v>
      </c>
      <c r="F8" s="7" t="s">
        <v>11346</v>
      </c>
      <c r="G8" s="7" t="s">
        <v>11347</v>
      </c>
      <c r="H8" s="7" t="s">
        <v>11348</v>
      </c>
      <c r="I8" s="7" t="s">
        <v>11349</v>
      </c>
      <c r="J8" s="7" t="s">
        <v>11358</v>
      </c>
      <c r="K8" s="7" t="s">
        <v>11382</v>
      </c>
      <c r="L8" s="7" t="s">
        <v>11352</v>
      </c>
      <c r="M8" s="7" t="s">
        <v>11353</v>
      </c>
    </row>
    <row r="9" spans="1:13" ht="21.95" customHeight="1" x14ac:dyDescent="0.15">
      <c r="A9" s="8" t="s">
        <v>11374</v>
      </c>
      <c r="B9" s="8" t="s">
        <v>11366</v>
      </c>
      <c r="C9" s="8" t="s">
        <v>11349</v>
      </c>
      <c r="D9" s="8" t="s">
        <v>11382</v>
      </c>
      <c r="E9" s="8" t="s">
        <v>11359</v>
      </c>
      <c r="F9" s="8" t="s">
        <v>11360</v>
      </c>
      <c r="G9" s="8" t="s">
        <v>11545</v>
      </c>
      <c r="H9" s="8" t="s">
        <v>11505</v>
      </c>
      <c r="I9" s="8" t="s">
        <v>11363</v>
      </c>
      <c r="J9" s="8" t="s">
        <v>11376</v>
      </c>
      <c r="K9" s="8" t="s">
        <v>11384</v>
      </c>
      <c r="L9" s="8" t="s">
        <v>11373</v>
      </c>
      <c r="M9" s="8" t="s">
        <v>11602</v>
      </c>
    </row>
    <row r="10" spans="1:13" ht="21.95" customHeight="1" x14ac:dyDescent="0.15">
      <c r="A10" s="7" t="s">
        <v>11381</v>
      </c>
      <c r="B10" s="7" t="s">
        <v>11375</v>
      </c>
      <c r="C10" s="7" t="s">
        <v>11364</v>
      </c>
      <c r="D10" s="7" t="s">
        <v>11635</v>
      </c>
      <c r="E10" s="7" t="s">
        <v>11379</v>
      </c>
      <c r="F10" s="7" t="s">
        <v>11385</v>
      </c>
      <c r="G10" s="7" t="s">
        <v>11386</v>
      </c>
      <c r="H10" s="7" t="s">
        <v>11403</v>
      </c>
      <c r="I10" s="7" t="s">
        <v>11598</v>
      </c>
      <c r="J10" s="7" t="s">
        <v>11654</v>
      </c>
      <c r="K10" s="7" t="s">
        <v>11699</v>
      </c>
      <c r="L10" s="7" t="s">
        <v>11706</v>
      </c>
      <c r="M10" s="7" t="s">
        <v>11770</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11771</v>
      </c>
      <c r="B15" s="10"/>
      <c r="C15" s="10"/>
      <c r="D15" s="10"/>
      <c r="E15" s="10"/>
      <c r="F15" s="10"/>
      <c r="G15" s="10"/>
      <c r="H15" s="10"/>
      <c r="I15" s="10"/>
      <c r="J15" s="10"/>
      <c r="K15" s="10"/>
      <c r="L15" s="10"/>
      <c r="M15" s="10"/>
    </row>
    <row r="16" spans="1:13" ht="45" customHeight="1" x14ac:dyDescent="0.15">
      <c r="A16" s="12" t="s">
        <v>11772</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11741</v>
      </c>
      <c r="B18" s="7" t="s">
        <v>11773</v>
      </c>
      <c r="C18" s="7" t="s">
        <v>11774</v>
      </c>
      <c r="D18" s="7" t="s">
        <v>11775</v>
      </c>
      <c r="E18" s="7" t="s">
        <v>11776</v>
      </c>
      <c r="F18" s="7" t="s">
        <v>11777</v>
      </c>
      <c r="G18" s="7" t="s">
        <v>11778</v>
      </c>
      <c r="H18" s="7" t="s">
        <v>11779</v>
      </c>
      <c r="I18" s="7" t="s">
        <v>11780</v>
      </c>
      <c r="J18" s="7" t="s">
        <v>11781</v>
      </c>
      <c r="K18" s="7" t="s">
        <v>11782</v>
      </c>
      <c r="L18" s="7" t="s">
        <v>11783</v>
      </c>
      <c r="M18" s="7" t="s">
        <v>11784</v>
      </c>
    </row>
    <row r="19" spans="1:13" ht="21.95" customHeight="1" x14ac:dyDescent="0.15">
      <c r="A19" s="8" t="s">
        <v>11754</v>
      </c>
      <c r="B19" s="8" t="s">
        <v>11785</v>
      </c>
      <c r="C19" s="8" t="s">
        <v>11786</v>
      </c>
      <c r="D19" s="8" t="s">
        <v>11787</v>
      </c>
      <c r="E19" s="8" t="s">
        <v>11788</v>
      </c>
      <c r="F19" s="8" t="s">
        <v>11789</v>
      </c>
      <c r="G19" s="8" t="s">
        <v>11790</v>
      </c>
      <c r="H19" s="8" t="s">
        <v>11791</v>
      </c>
      <c r="I19" s="8" t="s">
        <v>11792</v>
      </c>
      <c r="J19" s="8" t="s">
        <v>11793</v>
      </c>
      <c r="K19" s="8" t="s">
        <v>11794</v>
      </c>
      <c r="L19" s="8" t="s">
        <v>11795</v>
      </c>
      <c r="M19" s="8" t="s">
        <v>11796</v>
      </c>
    </row>
    <row r="20" spans="1:13" ht="21.95" customHeight="1" x14ac:dyDescent="0.15">
      <c r="A20" s="7" t="s">
        <v>11797</v>
      </c>
      <c r="B20" s="7" t="s">
        <v>11532</v>
      </c>
      <c r="C20" s="7" t="s">
        <v>11532</v>
      </c>
      <c r="D20" s="7" t="s">
        <v>11532</v>
      </c>
      <c r="E20" s="7" t="s">
        <v>11532</v>
      </c>
      <c r="F20" s="7" t="s">
        <v>11532</v>
      </c>
      <c r="G20" s="7" t="s">
        <v>11532</v>
      </c>
      <c r="H20" s="7" t="s">
        <v>11532</v>
      </c>
      <c r="I20" s="7" t="s">
        <v>11532</v>
      </c>
      <c r="J20" s="7" t="s">
        <v>11532</v>
      </c>
      <c r="K20" s="7" t="s">
        <v>11532</v>
      </c>
      <c r="L20" s="7" t="s">
        <v>11532</v>
      </c>
      <c r="M20" s="7" t="s">
        <v>11532</v>
      </c>
    </row>
    <row r="21" spans="1:13" ht="21.95" customHeight="1" x14ac:dyDescent="0.15">
      <c r="A21" s="8" t="s">
        <v>11798</v>
      </c>
      <c r="B21" s="8" t="s">
        <v>11799</v>
      </c>
      <c r="C21" s="8" t="s">
        <v>11799</v>
      </c>
      <c r="D21" s="8" t="s">
        <v>11799</v>
      </c>
      <c r="E21" s="8" t="s">
        <v>11799</v>
      </c>
      <c r="F21" s="8" t="s">
        <v>11799</v>
      </c>
      <c r="G21" s="8" t="s">
        <v>11643</v>
      </c>
      <c r="H21" s="8" t="s">
        <v>11643</v>
      </c>
      <c r="I21" s="8" t="s">
        <v>11643</v>
      </c>
      <c r="J21" s="8" t="s">
        <v>11645</v>
      </c>
      <c r="K21" s="8" t="s">
        <v>11645</v>
      </c>
      <c r="L21" s="8" t="s">
        <v>11645</v>
      </c>
      <c r="M21" s="8" t="s">
        <v>11647</v>
      </c>
    </row>
    <row r="22" spans="1:13" ht="21.95" customHeight="1" x14ac:dyDescent="0.15">
      <c r="A22" s="7" t="s">
        <v>11800</v>
      </c>
      <c r="B22" s="7" t="s">
        <v>11459</v>
      </c>
      <c r="C22" s="7" t="s">
        <v>11459</v>
      </c>
      <c r="D22" s="7" t="s">
        <v>11459</v>
      </c>
      <c r="E22" s="7" t="s">
        <v>11459</v>
      </c>
      <c r="F22" s="7" t="s">
        <v>11459</v>
      </c>
      <c r="G22" s="7" t="s">
        <v>11459</v>
      </c>
      <c r="H22" s="7" t="s">
        <v>11459</v>
      </c>
      <c r="I22" s="7" t="s">
        <v>11459</v>
      </c>
      <c r="J22" s="7" t="s">
        <v>11459</v>
      </c>
      <c r="K22" s="7" t="s">
        <v>11459</v>
      </c>
      <c r="L22" s="7" t="s">
        <v>11459</v>
      </c>
      <c r="M22" s="7" t="s">
        <v>11459</v>
      </c>
    </row>
    <row r="23" spans="1:13" ht="8.1" customHeight="1" x14ac:dyDescent="0.15">
      <c r="A23" s="9"/>
      <c r="B23" s="10"/>
      <c r="C23" s="10"/>
      <c r="D23" s="10"/>
      <c r="E23" s="10"/>
      <c r="F23" s="10"/>
      <c r="G23" s="10"/>
      <c r="H23" s="10"/>
      <c r="I23" s="10"/>
      <c r="J23" s="10"/>
      <c r="K23" s="10"/>
      <c r="L23" s="10"/>
      <c r="M23" s="10"/>
    </row>
    <row r="25" spans="1:13" ht="27.95" customHeight="1" x14ac:dyDescent="0.15">
      <c r="A25" s="13" t="s">
        <v>11801</v>
      </c>
      <c r="B25" s="10"/>
      <c r="C25" s="10"/>
      <c r="D25" s="10"/>
      <c r="E25" s="10"/>
      <c r="F25" s="10"/>
      <c r="G25" s="10"/>
      <c r="H25" s="10"/>
      <c r="I25" s="10"/>
      <c r="J25" s="10"/>
      <c r="K25" s="10"/>
      <c r="L25" s="10"/>
      <c r="M25" s="10"/>
    </row>
    <row r="26" spans="1:13" ht="45" customHeight="1" x14ac:dyDescent="0.15">
      <c r="A26" s="12" t="s">
        <v>11802</v>
      </c>
      <c r="B26" s="10"/>
      <c r="C26" s="10"/>
      <c r="D26" s="10"/>
      <c r="E26" s="10"/>
      <c r="F26" s="10"/>
      <c r="G26" s="10"/>
      <c r="H26" s="10"/>
      <c r="I26" s="10"/>
      <c r="J26" s="10"/>
      <c r="K26" s="10"/>
      <c r="L26" s="10"/>
      <c r="M26" s="10"/>
    </row>
    <row r="27" spans="1:13" ht="15" x14ac:dyDescent="0.15">
      <c r="A27" s="6" t="s">
        <v>11329</v>
      </c>
      <c r="B27" s="6" t="s">
        <v>11330</v>
      </c>
      <c r="C27" s="6" t="s">
        <v>11331</v>
      </c>
      <c r="D27" s="6" t="s">
        <v>11332</v>
      </c>
      <c r="E27" s="6" t="s">
        <v>11333</v>
      </c>
      <c r="F27" s="6" t="s">
        <v>11334</v>
      </c>
      <c r="G27" s="6" t="s">
        <v>11335</v>
      </c>
      <c r="H27" s="6" t="s">
        <v>11336</v>
      </c>
      <c r="I27" s="6" t="s">
        <v>11337</v>
      </c>
      <c r="J27" s="6" t="s">
        <v>11338</v>
      </c>
      <c r="K27" s="6" t="s">
        <v>11339</v>
      </c>
      <c r="L27" s="6" t="s">
        <v>11340</v>
      </c>
      <c r="M27" s="6" t="s">
        <v>11341</v>
      </c>
    </row>
    <row r="28" spans="1:13" ht="21.95" customHeight="1" x14ac:dyDescent="0.15">
      <c r="A28" s="7" t="s">
        <v>11433</v>
      </c>
      <c r="B28" s="7" t="s">
        <v>11434</v>
      </c>
      <c r="C28" s="7" t="s">
        <v>11434</v>
      </c>
      <c r="D28" s="7" t="s">
        <v>11434</v>
      </c>
      <c r="E28" s="7" t="s">
        <v>11434</v>
      </c>
      <c r="F28" s="7" t="s">
        <v>11434</v>
      </c>
      <c r="G28" s="7" t="s">
        <v>11434</v>
      </c>
      <c r="H28" s="7" t="s">
        <v>11434</v>
      </c>
      <c r="I28" s="7" t="s">
        <v>11434</v>
      </c>
      <c r="J28" s="7" t="s">
        <v>11434</v>
      </c>
      <c r="K28" s="7" t="s">
        <v>11434</v>
      </c>
      <c r="L28" s="7" t="s">
        <v>11434</v>
      </c>
      <c r="M28" s="7" t="s">
        <v>11434</v>
      </c>
    </row>
    <row r="29" spans="1:13" ht="21.95" customHeight="1" x14ac:dyDescent="0.15">
      <c r="A29" s="8" t="s">
        <v>11435</v>
      </c>
      <c r="B29" s="8" t="s">
        <v>11535</v>
      </c>
      <c r="C29" s="8" t="s">
        <v>11535</v>
      </c>
      <c r="D29" s="8" t="s">
        <v>11535</v>
      </c>
      <c r="E29" s="8" t="s">
        <v>11535</v>
      </c>
      <c r="F29" s="8" t="s">
        <v>11535</v>
      </c>
      <c r="G29" s="8" t="s">
        <v>11535</v>
      </c>
      <c r="H29" s="8" t="s">
        <v>11535</v>
      </c>
      <c r="I29" s="8" t="s">
        <v>11535</v>
      </c>
      <c r="J29" s="8" t="s">
        <v>11535</v>
      </c>
      <c r="K29" s="8" t="s">
        <v>11535</v>
      </c>
      <c r="L29" s="8" t="s">
        <v>11535</v>
      </c>
      <c r="M29" s="8" t="s">
        <v>11535</v>
      </c>
    </row>
    <row r="30" spans="1:13" ht="21.95" customHeight="1" x14ac:dyDescent="0.15">
      <c r="A30" s="7" t="s">
        <v>11803</v>
      </c>
      <c r="B30" s="7" t="s">
        <v>11643</v>
      </c>
      <c r="C30" s="7" t="s">
        <v>11644</v>
      </c>
      <c r="D30" s="7" t="s">
        <v>11645</v>
      </c>
      <c r="E30" s="7" t="s">
        <v>11646</v>
      </c>
      <c r="F30" s="7" t="s">
        <v>11647</v>
      </c>
      <c r="G30" s="7" t="s">
        <v>11648</v>
      </c>
      <c r="H30" s="7" t="s">
        <v>11649</v>
      </c>
      <c r="I30" s="7" t="s">
        <v>11650</v>
      </c>
      <c r="J30" s="7" t="s">
        <v>11651</v>
      </c>
      <c r="K30" s="7" t="s">
        <v>11652</v>
      </c>
      <c r="L30" s="7" t="s">
        <v>11542</v>
      </c>
      <c r="M30" s="7" t="s">
        <v>11543</v>
      </c>
    </row>
    <row r="31" spans="1:13" ht="21.95" customHeight="1" x14ac:dyDescent="0.15">
      <c r="A31" s="8" t="s">
        <v>11804</v>
      </c>
      <c r="B31" s="8" t="s">
        <v>11643</v>
      </c>
      <c r="C31" s="8" t="s">
        <v>11644</v>
      </c>
      <c r="D31" s="8" t="s">
        <v>11645</v>
      </c>
      <c r="E31" s="8" t="s">
        <v>11646</v>
      </c>
      <c r="F31" s="8" t="s">
        <v>11647</v>
      </c>
      <c r="G31" s="8" t="s">
        <v>11648</v>
      </c>
      <c r="H31" s="8" t="s">
        <v>11649</v>
      </c>
      <c r="I31" s="8" t="s">
        <v>11650</v>
      </c>
      <c r="J31" s="8" t="s">
        <v>11651</v>
      </c>
      <c r="K31" s="8" t="s">
        <v>11652</v>
      </c>
      <c r="L31" s="8" t="s">
        <v>11542</v>
      </c>
      <c r="M31" s="8" t="s">
        <v>11543</v>
      </c>
    </row>
    <row r="32" spans="1:13" ht="21.95" customHeight="1" x14ac:dyDescent="0.15">
      <c r="A32" s="7" t="s">
        <v>11805</v>
      </c>
      <c r="B32" s="7" t="s">
        <v>11806</v>
      </c>
      <c r="C32" s="7" t="s">
        <v>11807</v>
      </c>
      <c r="D32" s="7" t="s">
        <v>11808</v>
      </c>
      <c r="E32" s="7" t="s">
        <v>11809</v>
      </c>
      <c r="F32" s="7" t="s">
        <v>11810</v>
      </c>
      <c r="G32" s="7" t="s">
        <v>11811</v>
      </c>
      <c r="H32" s="7" t="s">
        <v>11812</v>
      </c>
      <c r="I32" s="7" t="s">
        <v>11813</v>
      </c>
      <c r="J32" s="7" t="s">
        <v>11814</v>
      </c>
      <c r="K32" s="7" t="s">
        <v>11815</v>
      </c>
      <c r="L32" s="7" t="s">
        <v>11816</v>
      </c>
      <c r="M32" s="7" t="s">
        <v>11817</v>
      </c>
    </row>
    <row r="33" spans="1:13" ht="21.95" customHeight="1" x14ac:dyDescent="0.15">
      <c r="A33" s="8" t="s">
        <v>11818</v>
      </c>
      <c r="B33" s="8" t="s">
        <v>11356</v>
      </c>
      <c r="C33" s="8" t="s">
        <v>11356</v>
      </c>
      <c r="D33" s="8" t="s">
        <v>11356</v>
      </c>
      <c r="E33" s="8" t="s">
        <v>11356</v>
      </c>
      <c r="F33" s="8" t="s">
        <v>11356</v>
      </c>
      <c r="G33" s="8" t="s">
        <v>11356</v>
      </c>
      <c r="H33" s="8" t="s">
        <v>11356</v>
      </c>
      <c r="I33" s="8" t="s">
        <v>11356</v>
      </c>
      <c r="J33" s="8" t="s">
        <v>11356</v>
      </c>
      <c r="K33" s="8" t="s">
        <v>11356</v>
      </c>
      <c r="L33" s="8" t="s">
        <v>11356</v>
      </c>
      <c r="M33" s="8" t="s">
        <v>11349</v>
      </c>
    </row>
    <row r="34" spans="1:13" ht="21.95" customHeight="1" x14ac:dyDescent="0.15">
      <c r="A34" s="7" t="s">
        <v>11819</v>
      </c>
      <c r="B34" s="7" t="s">
        <v>11820</v>
      </c>
      <c r="C34" s="7" t="s">
        <v>11820</v>
      </c>
      <c r="D34" s="7" t="s">
        <v>11820</v>
      </c>
      <c r="E34" s="7" t="s">
        <v>11820</v>
      </c>
      <c r="F34" s="7" t="s">
        <v>11820</v>
      </c>
      <c r="G34" s="7" t="s">
        <v>11820</v>
      </c>
      <c r="H34" s="7" t="s">
        <v>11820</v>
      </c>
      <c r="I34" s="7" t="s">
        <v>11820</v>
      </c>
      <c r="J34" s="7" t="s">
        <v>11820</v>
      </c>
      <c r="K34" s="7" t="s">
        <v>11820</v>
      </c>
      <c r="L34" s="7" t="s">
        <v>11820</v>
      </c>
      <c r="M34" s="7" t="s">
        <v>11820</v>
      </c>
    </row>
    <row r="35" spans="1:13" ht="8.1" customHeight="1" x14ac:dyDescent="0.15">
      <c r="A35" s="9"/>
      <c r="B35" s="10"/>
      <c r="C35" s="10"/>
      <c r="D35" s="10"/>
      <c r="E35" s="10"/>
      <c r="F35" s="10"/>
      <c r="G35" s="10"/>
      <c r="H35" s="10"/>
      <c r="I35" s="10"/>
      <c r="J35" s="10"/>
      <c r="K35" s="10"/>
      <c r="L35" s="10"/>
      <c r="M35" s="10"/>
    </row>
    <row r="37" spans="1:13" ht="27.95" customHeight="1" x14ac:dyDescent="0.15">
      <c r="A37" s="13" t="s">
        <v>11821</v>
      </c>
      <c r="B37" s="10"/>
      <c r="C37" s="10"/>
      <c r="D37" s="10"/>
      <c r="E37" s="10"/>
      <c r="F37" s="10"/>
      <c r="G37" s="10"/>
      <c r="H37" s="10"/>
      <c r="I37" s="10"/>
      <c r="J37" s="10"/>
      <c r="K37" s="10"/>
      <c r="L37" s="10"/>
      <c r="M37" s="10"/>
    </row>
    <row r="38" spans="1:13" ht="45" customHeight="1" x14ac:dyDescent="0.15">
      <c r="A38" s="12" t="s">
        <v>11822</v>
      </c>
      <c r="B38" s="10"/>
      <c r="C38" s="10"/>
      <c r="D38" s="10"/>
      <c r="E38" s="10"/>
      <c r="F38" s="10"/>
      <c r="G38" s="10"/>
      <c r="H38" s="10"/>
      <c r="I38" s="10"/>
      <c r="J38" s="10"/>
      <c r="K38" s="10"/>
      <c r="L38" s="10"/>
      <c r="M38" s="10"/>
    </row>
    <row r="39" spans="1:13" ht="15" x14ac:dyDescent="0.15">
      <c r="A39" s="6" t="s">
        <v>11329</v>
      </c>
      <c r="B39" s="6" t="s">
        <v>11330</v>
      </c>
      <c r="C39" s="6" t="s">
        <v>11331</v>
      </c>
      <c r="D39" s="6" t="s">
        <v>11332</v>
      </c>
      <c r="E39" s="6" t="s">
        <v>11333</v>
      </c>
      <c r="F39" s="6" t="s">
        <v>11334</v>
      </c>
      <c r="G39" s="6" t="s">
        <v>11335</v>
      </c>
      <c r="H39" s="6" t="s">
        <v>11336</v>
      </c>
      <c r="I39" s="6" t="s">
        <v>11337</v>
      </c>
      <c r="J39" s="6" t="s">
        <v>11338</v>
      </c>
      <c r="K39" s="6" t="s">
        <v>11339</v>
      </c>
      <c r="L39" s="6" t="s">
        <v>11340</v>
      </c>
      <c r="M39" s="6" t="s">
        <v>11341</v>
      </c>
    </row>
    <row r="40" spans="1:13" ht="21.95" customHeight="1" x14ac:dyDescent="0.15">
      <c r="A40" s="7" t="s">
        <v>11435</v>
      </c>
      <c r="B40" s="7" t="s">
        <v>11823</v>
      </c>
      <c r="C40" s="7" t="s">
        <v>11823</v>
      </c>
      <c r="D40" s="7" t="s">
        <v>11823</v>
      </c>
      <c r="E40" s="7" t="s">
        <v>11823</v>
      </c>
      <c r="F40" s="7" t="s">
        <v>11823</v>
      </c>
      <c r="G40" s="7" t="s">
        <v>11823</v>
      </c>
      <c r="H40" s="7" t="s">
        <v>11823</v>
      </c>
      <c r="I40" s="7" t="s">
        <v>11823</v>
      </c>
      <c r="J40" s="7" t="s">
        <v>11823</v>
      </c>
      <c r="K40" s="7" t="s">
        <v>11823</v>
      </c>
      <c r="L40" s="7" t="s">
        <v>11823</v>
      </c>
      <c r="M40" s="7" t="s">
        <v>11824</v>
      </c>
    </row>
    <row r="41" spans="1:13" ht="21.95" customHeight="1" x14ac:dyDescent="0.15">
      <c r="A41" s="8" t="s">
        <v>11416</v>
      </c>
      <c r="B41" s="8" t="s">
        <v>11825</v>
      </c>
      <c r="C41" s="8" t="s">
        <v>11826</v>
      </c>
      <c r="D41" s="8" t="s">
        <v>11827</v>
      </c>
      <c r="E41" s="8" t="s">
        <v>11718</v>
      </c>
      <c r="F41" s="8" t="s">
        <v>11425</v>
      </c>
      <c r="G41" s="8" t="s">
        <v>11426</v>
      </c>
      <c r="H41" s="8" t="s">
        <v>11453</v>
      </c>
      <c r="I41" s="8" t="s">
        <v>11828</v>
      </c>
      <c r="J41" s="8" t="s">
        <v>11723</v>
      </c>
      <c r="K41" s="8" t="s">
        <v>11829</v>
      </c>
      <c r="L41" s="8" t="s">
        <v>11622</v>
      </c>
      <c r="M41" s="8" t="s">
        <v>11830</v>
      </c>
    </row>
    <row r="42" spans="1:13" ht="21.95" customHeight="1" x14ac:dyDescent="0.15">
      <c r="A42" s="7" t="s">
        <v>11429</v>
      </c>
      <c r="B42" s="7" t="s">
        <v>11430</v>
      </c>
      <c r="C42" s="7" t="s">
        <v>11430</v>
      </c>
      <c r="D42" s="7" t="s">
        <v>11430</v>
      </c>
      <c r="E42" s="7" t="s">
        <v>11430</v>
      </c>
      <c r="F42" s="7" t="s">
        <v>11430</v>
      </c>
      <c r="G42" s="7" t="s">
        <v>11430</v>
      </c>
      <c r="H42" s="7" t="s">
        <v>11430</v>
      </c>
      <c r="I42" s="7" t="s">
        <v>11430</v>
      </c>
      <c r="J42" s="7" t="s">
        <v>11430</v>
      </c>
      <c r="K42" s="7" t="s">
        <v>11430</v>
      </c>
      <c r="L42" s="7" t="s">
        <v>11430</v>
      </c>
      <c r="M42" s="7" t="s">
        <v>11430</v>
      </c>
    </row>
    <row r="43" spans="1:13" ht="8.1" customHeight="1" x14ac:dyDescent="0.15">
      <c r="A43" s="9"/>
      <c r="B43" s="10"/>
      <c r="C43" s="10"/>
      <c r="D43" s="10"/>
      <c r="E43" s="10"/>
      <c r="F43" s="10"/>
      <c r="G43" s="10"/>
      <c r="H43" s="10"/>
      <c r="I43" s="10"/>
      <c r="J43" s="10"/>
      <c r="K43" s="10"/>
      <c r="L43" s="10"/>
      <c r="M43" s="10"/>
    </row>
  </sheetData>
  <sheetProtection password="CC26" sheet="1"/>
  <mergeCells count="13">
    <mergeCell ref="A43:M43"/>
    <mergeCell ref="A38:M38"/>
    <mergeCell ref="A16:M16"/>
    <mergeCell ref="A13:M13"/>
    <mergeCell ref="A1:M1"/>
    <mergeCell ref="A23:M23"/>
    <mergeCell ref="A37:M37"/>
    <mergeCell ref="A35:M35"/>
    <mergeCell ref="A4:M4"/>
    <mergeCell ref="A3:M3"/>
    <mergeCell ref="A26:M26"/>
    <mergeCell ref="A15:M15"/>
    <mergeCell ref="A25:M25"/>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22">
    <cfRule type="colorScale" priority="2">
      <colorScale>
        <cfvo type="min"/>
        <cfvo type="percentile" val="50"/>
        <cfvo type="max"/>
        <color rgb="FFFFC7CE"/>
        <color rgb="FFFFEB9C"/>
        <color rgb="FFC6EFCE"/>
      </colorScale>
    </cfRule>
  </conditionalFormatting>
  <conditionalFormatting sqref="B28:M34">
    <cfRule type="colorScale" priority="3">
      <colorScale>
        <cfvo type="min"/>
        <cfvo type="percentile" val="50"/>
        <cfvo type="max"/>
        <color rgb="FFFFC7CE"/>
        <color rgb="FFFFEB9C"/>
        <color rgb="FFC6EFCE"/>
      </colorScale>
    </cfRule>
  </conditionalFormatting>
  <conditionalFormatting sqref="B40:M42">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43"/>
  <sheetViews>
    <sheetView workbookViewId="0"/>
  </sheetViews>
  <sheetFormatPr defaultRowHeight="13.5" x14ac:dyDescent="0.15"/>
  <cols>
    <col min="1" max="1" width="32" customWidth="1"/>
    <col min="2" max="13" width="9" customWidth="1"/>
  </cols>
  <sheetData>
    <row r="1" spans="1:13" ht="35.1" customHeight="1" x14ac:dyDescent="0.15">
      <c r="A1" s="11" t="s">
        <v>11831</v>
      </c>
      <c r="B1" s="10"/>
      <c r="C1" s="10"/>
      <c r="D1" s="10"/>
      <c r="E1" s="10"/>
      <c r="F1" s="10"/>
      <c r="G1" s="10"/>
      <c r="H1" s="10"/>
      <c r="I1" s="10"/>
      <c r="J1" s="10"/>
      <c r="K1" s="10"/>
      <c r="L1" s="10"/>
      <c r="M1" s="10"/>
    </row>
    <row r="3" spans="1:13" ht="27.95" customHeight="1" x14ac:dyDescent="0.15">
      <c r="A3" s="13" t="s">
        <v>11832</v>
      </c>
      <c r="B3" s="10"/>
      <c r="C3" s="10"/>
      <c r="D3" s="10"/>
      <c r="E3" s="10"/>
      <c r="F3" s="10"/>
      <c r="G3" s="10"/>
      <c r="H3" s="10"/>
      <c r="I3" s="10"/>
      <c r="J3" s="10"/>
      <c r="K3" s="10"/>
      <c r="L3" s="10"/>
      <c r="M3" s="10"/>
    </row>
    <row r="4" spans="1:13" ht="45" customHeight="1" x14ac:dyDescent="0.15">
      <c r="A4" s="12" t="s">
        <v>11833</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11649</v>
      </c>
      <c r="C6" s="7" t="s">
        <v>11650</v>
      </c>
      <c r="D6" s="7" t="s">
        <v>11541</v>
      </c>
      <c r="E6" s="7" t="s">
        <v>11652</v>
      </c>
      <c r="F6" s="7" t="s">
        <v>11343</v>
      </c>
      <c r="G6" s="7" t="s">
        <v>11344</v>
      </c>
      <c r="H6" s="7" t="s">
        <v>11544</v>
      </c>
      <c r="I6" s="7" t="s">
        <v>11503</v>
      </c>
      <c r="J6" s="7" t="s">
        <v>11356</v>
      </c>
      <c r="K6" s="7" t="s">
        <v>11347</v>
      </c>
      <c r="L6" s="7" t="s">
        <v>11348</v>
      </c>
      <c r="M6" s="7" t="s">
        <v>11507</v>
      </c>
    </row>
    <row r="7" spans="1:13" ht="21.95" customHeight="1" x14ac:dyDescent="0.15">
      <c r="A7" s="8" t="s">
        <v>11355</v>
      </c>
      <c r="B7" s="8" t="s">
        <v>11542</v>
      </c>
      <c r="C7" s="8" t="s">
        <v>11543</v>
      </c>
      <c r="D7" s="8" t="s">
        <v>11544</v>
      </c>
      <c r="E7" s="8" t="s">
        <v>11503</v>
      </c>
      <c r="F7" s="8" t="s">
        <v>11356</v>
      </c>
      <c r="G7" s="8" t="s">
        <v>11347</v>
      </c>
      <c r="H7" s="8" t="s">
        <v>11348</v>
      </c>
      <c r="I7" s="8" t="s">
        <v>11507</v>
      </c>
      <c r="J7" s="8" t="s">
        <v>11350</v>
      </c>
      <c r="K7" s="8" t="s">
        <v>11351</v>
      </c>
      <c r="L7" s="8" t="s">
        <v>11368</v>
      </c>
      <c r="M7" s="8" t="s">
        <v>11369</v>
      </c>
    </row>
    <row r="8" spans="1:13" ht="21.95" customHeight="1" x14ac:dyDescent="0.15">
      <c r="A8" s="7" t="s">
        <v>11365</v>
      </c>
      <c r="B8" s="7" t="s">
        <v>11652</v>
      </c>
      <c r="C8" s="7" t="s">
        <v>11343</v>
      </c>
      <c r="D8" s="7" t="s">
        <v>11344</v>
      </c>
      <c r="E8" s="7" t="s">
        <v>11345</v>
      </c>
      <c r="F8" s="7" t="s">
        <v>11346</v>
      </c>
      <c r="G8" s="7" t="s">
        <v>11504</v>
      </c>
      <c r="H8" s="7" t="s">
        <v>11366</v>
      </c>
      <c r="I8" s="7" t="s">
        <v>11357</v>
      </c>
      <c r="J8" s="7" t="s">
        <v>11507</v>
      </c>
      <c r="K8" s="7" t="s">
        <v>11350</v>
      </c>
      <c r="L8" s="7" t="s">
        <v>11359</v>
      </c>
      <c r="M8" s="7" t="s">
        <v>11360</v>
      </c>
    </row>
    <row r="9" spans="1:13" ht="21.95" customHeight="1" x14ac:dyDescent="0.15">
      <c r="A9" s="8" t="s">
        <v>11374</v>
      </c>
      <c r="B9" s="8" t="s">
        <v>11356</v>
      </c>
      <c r="C9" s="8" t="s">
        <v>11366</v>
      </c>
      <c r="D9" s="8" t="s">
        <v>11349</v>
      </c>
      <c r="E9" s="8" t="s">
        <v>11350</v>
      </c>
      <c r="F9" s="8" t="s">
        <v>11367</v>
      </c>
      <c r="G9" s="8" t="s">
        <v>11368</v>
      </c>
      <c r="H9" s="8" t="s">
        <v>11369</v>
      </c>
      <c r="I9" s="8" t="s">
        <v>11354</v>
      </c>
      <c r="J9" s="8" t="s">
        <v>11370</v>
      </c>
      <c r="K9" s="8" t="s">
        <v>11371</v>
      </c>
      <c r="L9" s="8" t="s">
        <v>11377</v>
      </c>
      <c r="M9" s="8" t="s">
        <v>11373</v>
      </c>
    </row>
    <row r="10" spans="1:13" ht="21.95" customHeight="1" x14ac:dyDescent="0.15">
      <c r="A10" s="7" t="s">
        <v>11381</v>
      </c>
      <c r="B10" s="7" t="s">
        <v>11545</v>
      </c>
      <c r="C10" s="7" t="s">
        <v>11375</v>
      </c>
      <c r="D10" s="7" t="s">
        <v>11383</v>
      </c>
      <c r="E10" s="7" t="s">
        <v>11567</v>
      </c>
      <c r="F10" s="7" t="s">
        <v>11696</v>
      </c>
      <c r="G10" s="7" t="s">
        <v>11569</v>
      </c>
      <c r="H10" s="7" t="s">
        <v>11402</v>
      </c>
      <c r="I10" s="7" t="s">
        <v>11511</v>
      </c>
      <c r="J10" s="7" t="s">
        <v>11387</v>
      </c>
      <c r="K10" s="7" t="s">
        <v>11404</v>
      </c>
      <c r="L10" s="7" t="s">
        <v>11405</v>
      </c>
      <c r="M10" s="7" t="s">
        <v>11700</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11834</v>
      </c>
      <c r="B15" s="10"/>
      <c r="C15" s="10"/>
      <c r="D15" s="10"/>
      <c r="E15" s="10"/>
      <c r="F15" s="10"/>
      <c r="G15" s="10"/>
      <c r="H15" s="10"/>
      <c r="I15" s="10"/>
      <c r="J15" s="10"/>
      <c r="K15" s="10"/>
      <c r="L15" s="10"/>
      <c r="M15" s="10"/>
    </row>
    <row r="16" spans="1:13" ht="45" customHeight="1" x14ac:dyDescent="0.15">
      <c r="A16" s="12" t="s">
        <v>11835</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11416</v>
      </c>
      <c r="B18" s="7" t="s">
        <v>11378</v>
      </c>
      <c r="C18" s="7" t="s">
        <v>11509</v>
      </c>
      <c r="D18" s="7" t="s">
        <v>11402</v>
      </c>
      <c r="E18" s="7" t="s">
        <v>11658</v>
      </c>
      <c r="F18" s="7" t="s">
        <v>11470</v>
      </c>
      <c r="G18" s="7" t="s">
        <v>11471</v>
      </c>
      <c r="H18" s="7" t="s">
        <v>11599</v>
      </c>
      <c r="I18" s="7" t="s">
        <v>11700</v>
      </c>
      <c r="J18" s="7" t="s">
        <v>11407</v>
      </c>
      <c r="K18" s="7" t="s">
        <v>11408</v>
      </c>
      <c r="L18" s="7" t="s">
        <v>11702</v>
      </c>
      <c r="M18" s="7" t="s">
        <v>11836</v>
      </c>
    </row>
    <row r="19" spans="1:13" ht="21.95" customHeight="1" x14ac:dyDescent="0.15">
      <c r="A19" s="8" t="s">
        <v>11429</v>
      </c>
      <c r="B19" s="8" t="s">
        <v>11484</v>
      </c>
      <c r="C19" s="8" t="s">
        <v>11484</v>
      </c>
      <c r="D19" s="8" t="s">
        <v>11484</v>
      </c>
      <c r="E19" s="8" t="s">
        <v>11484</v>
      </c>
      <c r="F19" s="8" t="s">
        <v>11484</v>
      </c>
      <c r="G19" s="8" t="s">
        <v>11484</v>
      </c>
      <c r="H19" s="8" t="s">
        <v>11484</v>
      </c>
      <c r="I19" s="8" t="s">
        <v>11484</v>
      </c>
      <c r="J19" s="8" t="s">
        <v>11484</v>
      </c>
      <c r="K19" s="8" t="s">
        <v>11484</v>
      </c>
      <c r="L19" s="8" t="s">
        <v>11484</v>
      </c>
      <c r="M19" s="8" t="s">
        <v>11484</v>
      </c>
    </row>
    <row r="20" spans="1:13" ht="21.95" customHeight="1" x14ac:dyDescent="0.15">
      <c r="A20" s="7" t="s">
        <v>11837</v>
      </c>
      <c r="B20" s="7" t="s">
        <v>11569</v>
      </c>
      <c r="C20" s="7" t="s">
        <v>11704</v>
      </c>
      <c r="D20" s="7" t="s">
        <v>11387</v>
      </c>
      <c r="E20" s="7" t="s">
        <v>11838</v>
      </c>
      <c r="F20" s="7" t="s">
        <v>11405</v>
      </c>
      <c r="G20" s="7" t="s">
        <v>11406</v>
      </c>
      <c r="H20" s="7" t="s">
        <v>11701</v>
      </c>
      <c r="I20" s="7" t="s">
        <v>11515</v>
      </c>
      <c r="J20" s="7" t="s">
        <v>11839</v>
      </c>
      <c r="K20" s="7" t="s">
        <v>11410</v>
      </c>
      <c r="L20" s="7" t="s">
        <v>11686</v>
      </c>
      <c r="M20" s="7" t="s">
        <v>11590</v>
      </c>
    </row>
    <row r="21" spans="1:13" ht="21.95" customHeight="1" x14ac:dyDescent="0.15">
      <c r="A21" s="8" t="s">
        <v>11840</v>
      </c>
      <c r="B21" s="8" t="s">
        <v>11484</v>
      </c>
      <c r="C21" s="8" t="s">
        <v>11484</v>
      </c>
      <c r="D21" s="8" t="s">
        <v>11484</v>
      </c>
      <c r="E21" s="8" t="s">
        <v>11484</v>
      </c>
      <c r="F21" s="8" t="s">
        <v>11484</v>
      </c>
      <c r="G21" s="8" t="s">
        <v>11484</v>
      </c>
      <c r="H21" s="8" t="s">
        <v>11484</v>
      </c>
      <c r="I21" s="8" t="s">
        <v>11484</v>
      </c>
      <c r="J21" s="8" t="s">
        <v>11484</v>
      </c>
      <c r="K21" s="8" t="s">
        <v>11484</v>
      </c>
      <c r="L21" s="8" t="s">
        <v>11484</v>
      </c>
      <c r="M21" s="8" t="s">
        <v>11484</v>
      </c>
    </row>
    <row r="22" spans="1:13" ht="21.95" customHeight="1" x14ac:dyDescent="0.15">
      <c r="A22" s="7" t="s">
        <v>11841</v>
      </c>
      <c r="B22" s="7" t="s">
        <v>11591</v>
      </c>
      <c r="C22" s="7" t="s">
        <v>11842</v>
      </c>
      <c r="D22" s="7" t="s">
        <v>11619</v>
      </c>
      <c r="E22" s="7" t="s">
        <v>11843</v>
      </c>
      <c r="F22" s="7" t="s">
        <v>11676</v>
      </c>
      <c r="G22" s="7" t="s">
        <v>11663</v>
      </c>
      <c r="H22" s="7" t="s">
        <v>11844</v>
      </c>
      <c r="I22" s="7" t="s">
        <v>11845</v>
      </c>
      <c r="J22" s="7" t="s">
        <v>11846</v>
      </c>
      <c r="K22" s="7" t="s">
        <v>11847</v>
      </c>
      <c r="L22" s="7" t="s">
        <v>11848</v>
      </c>
      <c r="M22" s="7" t="s">
        <v>11849</v>
      </c>
    </row>
    <row r="23" spans="1:13" ht="21.95" customHeight="1" x14ac:dyDescent="0.15">
      <c r="A23" s="8" t="s">
        <v>11850</v>
      </c>
      <c r="B23" s="8" t="s">
        <v>11430</v>
      </c>
      <c r="C23" s="8" t="s">
        <v>11430</v>
      </c>
      <c r="D23" s="8" t="s">
        <v>11430</v>
      </c>
      <c r="E23" s="8" t="s">
        <v>11430</v>
      </c>
      <c r="F23" s="8" t="s">
        <v>11430</v>
      </c>
      <c r="G23" s="8" t="s">
        <v>11430</v>
      </c>
      <c r="H23" s="8" t="s">
        <v>11430</v>
      </c>
      <c r="I23" s="8" t="s">
        <v>11430</v>
      </c>
      <c r="J23" s="8" t="s">
        <v>11430</v>
      </c>
      <c r="K23" s="8" t="s">
        <v>11430</v>
      </c>
      <c r="L23" s="8" t="s">
        <v>11430</v>
      </c>
      <c r="M23" s="8" t="s">
        <v>11430</v>
      </c>
    </row>
    <row r="24" spans="1:13" ht="8.1" customHeight="1" x14ac:dyDescent="0.15">
      <c r="A24" s="9"/>
      <c r="B24" s="10"/>
      <c r="C24" s="10"/>
      <c r="D24" s="10"/>
      <c r="E24" s="10"/>
      <c r="F24" s="10"/>
      <c r="G24" s="10"/>
      <c r="H24" s="10"/>
      <c r="I24" s="10"/>
      <c r="J24" s="10"/>
      <c r="K24" s="10"/>
      <c r="L24" s="10"/>
      <c r="M24" s="10"/>
    </row>
    <row r="26" spans="1:13" ht="27.95" customHeight="1" x14ac:dyDescent="0.15">
      <c r="A26" s="13" t="s">
        <v>11851</v>
      </c>
      <c r="B26" s="10"/>
      <c r="C26" s="10"/>
      <c r="D26" s="10"/>
      <c r="E26" s="10"/>
      <c r="F26" s="10"/>
      <c r="G26" s="10"/>
      <c r="H26" s="10"/>
      <c r="I26" s="10"/>
      <c r="J26" s="10"/>
      <c r="K26" s="10"/>
      <c r="L26" s="10"/>
      <c r="M26" s="10"/>
    </row>
    <row r="27" spans="1:13" ht="45" customHeight="1" x14ac:dyDescent="0.15">
      <c r="A27" s="12" t="s">
        <v>11852</v>
      </c>
      <c r="B27" s="10"/>
      <c r="C27" s="10"/>
      <c r="D27" s="10"/>
      <c r="E27" s="10"/>
      <c r="F27" s="10"/>
      <c r="G27" s="10"/>
      <c r="H27" s="10"/>
      <c r="I27" s="10"/>
      <c r="J27" s="10"/>
      <c r="K27" s="10"/>
      <c r="L27" s="10"/>
      <c r="M27" s="10"/>
    </row>
    <row r="28" spans="1:13" ht="15" x14ac:dyDescent="0.15">
      <c r="A28" s="6" t="s">
        <v>11329</v>
      </c>
      <c r="B28" s="6" t="s">
        <v>11330</v>
      </c>
      <c r="C28" s="6" t="s">
        <v>11331</v>
      </c>
      <c r="D28" s="6" t="s">
        <v>11332</v>
      </c>
      <c r="E28" s="6" t="s">
        <v>11333</v>
      </c>
      <c r="F28" s="6" t="s">
        <v>11334</v>
      </c>
      <c r="G28" s="6" t="s">
        <v>11335</v>
      </c>
      <c r="H28" s="6" t="s">
        <v>11336</v>
      </c>
      <c r="I28" s="6" t="s">
        <v>11337</v>
      </c>
      <c r="J28" s="6" t="s">
        <v>11338</v>
      </c>
      <c r="K28" s="6" t="s">
        <v>11339</v>
      </c>
      <c r="L28" s="6" t="s">
        <v>11340</v>
      </c>
      <c r="M28" s="6" t="s">
        <v>11341</v>
      </c>
    </row>
    <row r="29" spans="1:13" ht="21.95" customHeight="1" x14ac:dyDescent="0.15">
      <c r="A29" s="7" t="s">
        <v>11433</v>
      </c>
      <c r="B29" s="7" t="s">
        <v>11728</v>
      </c>
      <c r="C29" s="7" t="s">
        <v>11728</v>
      </c>
      <c r="D29" s="7" t="s">
        <v>11728</v>
      </c>
      <c r="E29" s="7" t="s">
        <v>11728</v>
      </c>
      <c r="F29" s="7" t="s">
        <v>11728</v>
      </c>
      <c r="G29" s="7" t="s">
        <v>11728</v>
      </c>
      <c r="H29" s="7" t="s">
        <v>11728</v>
      </c>
      <c r="I29" s="7" t="s">
        <v>11728</v>
      </c>
      <c r="J29" s="7" t="s">
        <v>11728</v>
      </c>
      <c r="K29" s="7" t="s">
        <v>11728</v>
      </c>
      <c r="L29" s="7" t="s">
        <v>11728</v>
      </c>
      <c r="M29" s="7" t="s">
        <v>11728</v>
      </c>
    </row>
    <row r="30" spans="1:13" ht="21.95" customHeight="1" x14ac:dyDescent="0.15">
      <c r="A30" s="8" t="s">
        <v>11435</v>
      </c>
      <c r="B30" s="8" t="s">
        <v>11436</v>
      </c>
      <c r="C30" s="8" t="s">
        <v>11436</v>
      </c>
      <c r="D30" s="8" t="s">
        <v>11436</v>
      </c>
      <c r="E30" s="8" t="s">
        <v>11436</v>
      </c>
      <c r="F30" s="8" t="s">
        <v>11436</v>
      </c>
      <c r="G30" s="8" t="s">
        <v>11436</v>
      </c>
      <c r="H30" s="8" t="s">
        <v>11436</v>
      </c>
      <c r="I30" s="8" t="s">
        <v>11436</v>
      </c>
      <c r="J30" s="8" t="s">
        <v>11436</v>
      </c>
      <c r="K30" s="8" t="s">
        <v>11436</v>
      </c>
      <c r="L30" s="8" t="s">
        <v>11436</v>
      </c>
      <c r="M30" s="8" t="s">
        <v>11436</v>
      </c>
    </row>
    <row r="31" spans="1:13" ht="21.95" customHeight="1" x14ac:dyDescent="0.15">
      <c r="A31" s="7" t="s">
        <v>11416</v>
      </c>
      <c r="B31" s="7" t="s">
        <v>11853</v>
      </c>
      <c r="C31" s="7" t="s">
        <v>11854</v>
      </c>
      <c r="D31" s="7" t="s">
        <v>11681</v>
      </c>
      <c r="E31" s="7" t="s">
        <v>11855</v>
      </c>
      <c r="F31" s="7" t="s">
        <v>11577</v>
      </c>
      <c r="G31" s="7" t="s">
        <v>11856</v>
      </c>
      <c r="H31" s="7" t="s">
        <v>11857</v>
      </c>
      <c r="I31" s="7" t="s">
        <v>11858</v>
      </c>
      <c r="J31" s="7" t="s">
        <v>11859</v>
      </c>
      <c r="K31" s="7" t="s">
        <v>11860</v>
      </c>
      <c r="L31" s="7" t="s">
        <v>11861</v>
      </c>
      <c r="M31" s="7" t="s">
        <v>11862</v>
      </c>
    </row>
    <row r="32" spans="1:13" ht="21.95" customHeight="1" x14ac:dyDescent="0.15">
      <c r="A32" s="8" t="s">
        <v>11429</v>
      </c>
      <c r="B32" s="8" t="s">
        <v>11572</v>
      </c>
      <c r="C32" s="8" t="s">
        <v>11572</v>
      </c>
      <c r="D32" s="8" t="s">
        <v>11572</v>
      </c>
      <c r="E32" s="8" t="s">
        <v>11572</v>
      </c>
      <c r="F32" s="8" t="s">
        <v>11572</v>
      </c>
      <c r="G32" s="8" t="s">
        <v>11572</v>
      </c>
      <c r="H32" s="8" t="s">
        <v>11572</v>
      </c>
      <c r="I32" s="8" t="s">
        <v>11572</v>
      </c>
      <c r="J32" s="8" t="s">
        <v>11572</v>
      </c>
      <c r="K32" s="8" t="s">
        <v>11532</v>
      </c>
      <c r="L32" s="8" t="s">
        <v>11532</v>
      </c>
      <c r="M32" s="8" t="s">
        <v>11532</v>
      </c>
    </row>
    <row r="33" spans="1:13" ht="21.95" customHeight="1" x14ac:dyDescent="0.15">
      <c r="A33" s="7" t="s">
        <v>11863</v>
      </c>
      <c r="B33" s="7" t="s">
        <v>11668</v>
      </c>
      <c r="C33" s="7" t="s">
        <v>11668</v>
      </c>
      <c r="D33" s="7" t="s">
        <v>11668</v>
      </c>
      <c r="E33" s="7" t="s">
        <v>11668</v>
      </c>
      <c r="F33" s="7" t="s">
        <v>11668</v>
      </c>
      <c r="G33" s="7" t="s">
        <v>11668</v>
      </c>
      <c r="H33" s="7" t="s">
        <v>11668</v>
      </c>
      <c r="I33" s="7" t="s">
        <v>11668</v>
      </c>
      <c r="J33" s="7" t="s">
        <v>11668</v>
      </c>
      <c r="K33" s="7" t="s">
        <v>11668</v>
      </c>
      <c r="L33" s="7" t="s">
        <v>11668</v>
      </c>
      <c r="M33" s="7" t="s">
        <v>11668</v>
      </c>
    </row>
    <row r="34" spans="1:13" ht="8.1" customHeight="1" x14ac:dyDescent="0.15">
      <c r="A34" s="9"/>
      <c r="B34" s="10"/>
      <c r="C34" s="10"/>
      <c r="D34" s="10"/>
      <c r="E34" s="10"/>
      <c r="F34" s="10"/>
      <c r="G34" s="10"/>
      <c r="H34" s="10"/>
      <c r="I34" s="10"/>
      <c r="J34" s="10"/>
      <c r="K34" s="10"/>
      <c r="L34" s="10"/>
      <c r="M34" s="10"/>
    </row>
    <row r="36" spans="1:13" ht="27.95" customHeight="1" x14ac:dyDescent="0.15">
      <c r="A36" s="13" t="s">
        <v>11864</v>
      </c>
      <c r="B36" s="10"/>
      <c r="C36" s="10"/>
      <c r="D36" s="10"/>
      <c r="E36" s="10"/>
      <c r="F36" s="10"/>
      <c r="G36" s="10"/>
      <c r="H36" s="10"/>
      <c r="I36" s="10"/>
      <c r="J36" s="10"/>
      <c r="K36" s="10"/>
      <c r="L36" s="10"/>
      <c r="M36" s="10"/>
    </row>
    <row r="37" spans="1:13" ht="45" customHeight="1" x14ac:dyDescent="0.15">
      <c r="A37" s="12" t="s">
        <v>11865</v>
      </c>
      <c r="B37" s="10"/>
      <c r="C37" s="10"/>
      <c r="D37" s="10"/>
      <c r="E37" s="10"/>
      <c r="F37" s="10"/>
      <c r="G37" s="10"/>
      <c r="H37" s="10"/>
      <c r="I37" s="10"/>
      <c r="J37" s="10"/>
      <c r="K37" s="10"/>
      <c r="L37" s="10"/>
      <c r="M37" s="10"/>
    </row>
    <row r="38" spans="1:13" ht="15" x14ac:dyDescent="0.15">
      <c r="A38" s="6" t="s">
        <v>11329</v>
      </c>
      <c r="B38" s="6" t="s">
        <v>11330</v>
      </c>
      <c r="C38" s="6" t="s">
        <v>11331</v>
      </c>
      <c r="D38" s="6" t="s">
        <v>11332</v>
      </c>
      <c r="E38" s="6" t="s">
        <v>11333</v>
      </c>
      <c r="F38" s="6" t="s">
        <v>11334</v>
      </c>
      <c r="G38" s="6" t="s">
        <v>11335</v>
      </c>
      <c r="H38" s="6" t="s">
        <v>11336</v>
      </c>
      <c r="I38" s="6" t="s">
        <v>11337</v>
      </c>
      <c r="J38" s="6" t="s">
        <v>11338</v>
      </c>
      <c r="K38" s="6" t="s">
        <v>11339</v>
      </c>
      <c r="L38" s="6" t="s">
        <v>11340</v>
      </c>
      <c r="M38" s="6" t="s">
        <v>11341</v>
      </c>
    </row>
    <row r="39" spans="1:13" ht="21.95" customHeight="1" x14ac:dyDescent="0.15">
      <c r="A39" s="7" t="s">
        <v>11435</v>
      </c>
      <c r="B39" s="7" t="s">
        <v>11866</v>
      </c>
      <c r="C39" s="7" t="s">
        <v>11866</v>
      </c>
      <c r="D39" s="7" t="s">
        <v>11866</v>
      </c>
      <c r="E39" s="7" t="s">
        <v>11866</v>
      </c>
      <c r="F39" s="7" t="s">
        <v>11866</v>
      </c>
      <c r="G39" s="7" t="s">
        <v>11866</v>
      </c>
      <c r="H39" s="7" t="s">
        <v>11866</v>
      </c>
      <c r="I39" s="7" t="s">
        <v>11866</v>
      </c>
      <c r="J39" s="7" t="s">
        <v>11866</v>
      </c>
      <c r="K39" s="7" t="s">
        <v>11866</v>
      </c>
      <c r="L39" s="7" t="s">
        <v>11866</v>
      </c>
      <c r="M39" s="7" t="s">
        <v>11867</v>
      </c>
    </row>
    <row r="40" spans="1:13" ht="21.95" customHeight="1" x14ac:dyDescent="0.15">
      <c r="A40" s="8" t="s">
        <v>11416</v>
      </c>
      <c r="B40" s="8" t="s">
        <v>11548</v>
      </c>
      <c r="C40" s="8" t="s">
        <v>11549</v>
      </c>
      <c r="D40" s="8" t="s">
        <v>11550</v>
      </c>
      <c r="E40" s="8" t="s">
        <v>11551</v>
      </c>
      <c r="F40" s="8" t="s">
        <v>11552</v>
      </c>
      <c r="G40" s="8" t="s">
        <v>11553</v>
      </c>
      <c r="H40" s="8" t="s">
        <v>11554</v>
      </c>
      <c r="I40" s="8" t="s">
        <v>11555</v>
      </c>
      <c r="J40" s="8" t="s">
        <v>11556</v>
      </c>
      <c r="K40" s="8" t="s">
        <v>11557</v>
      </c>
      <c r="L40" s="8" t="s">
        <v>11428</v>
      </c>
      <c r="M40" s="8" t="s">
        <v>11558</v>
      </c>
    </row>
    <row r="41" spans="1:13" ht="21.95" customHeight="1" x14ac:dyDescent="0.15">
      <c r="A41" s="7" t="s">
        <v>11429</v>
      </c>
      <c r="B41" s="7" t="s">
        <v>11430</v>
      </c>
      <c r="C41" s="7" t="s">
        <v>11430</v>
      </c>
      <c r="D41" s="7" t="s">
        <v>11430</v>
      </c>
      <c r="E41" s="7" t="s">
        <v>11430</v>
      </c>
      <c r="F41" s="7" t="s">
        <v>11430</v>
      </c>
      <c r="G41" s="7" t="s">
        <v>11430</v>
      </c>
      <c r="H41" s="7" t="s">
        <v>11430</v>
      </c>
      <c r="I41" s="7" t="s">
        <v>11430</v>
      </c>
      <c r="J41" s="7" t="s">
        <v>11430</v>
      </c>
      <c r="K41" s="7" t="s">
        <v>11430</v>
      </c>
      <c r="L41" s="7" t="s">
        <v>11430</v>
      </c>
      <c r="M41" s="7" t="s">
        <v>11430</v>
      </c>
    </row>
    <row r="42" spans="1:13" ht="21.95" customHeight="1" x14ac:dyDescent="0.15">
      <c r="A42" s="8" t="s">
        <v>11868</v>
      </c>
      <c r="B42" s="8" t="s">
        <v>11668</v>
      </c>
      <c r="C42" s="8" t="s">
        <v>11668</v>
      </c>
      <c r="D42" s="8" t="s">
        <v>11668</v>
      </c>
      <c r="E42" s="8" t="s">
        <v>11668</v>
      </c>
      <c r="F42" s="8" t="s">
        <v>11668</v>
      </c>
      <c r="G42" s="8" t="s">
        <v>11668</v>
      </c>
      <c r="H42" s="8" t="s">
        <v>11668</v>
      </c>
      <c r="I42" s="8" t="s">
        <v>11668</v>
      </c>
      <c r="J42" s="8" t="s">
        <v>11668</v>
      </c>
      <c r="K42" s="8" t="s">
        <v>11668</v>
      </c>
      <c r="L42" s="8" t="s">
        <v>11668</v>
      </c>
      <c r="M42" s="8" t="s">
        <v>11668</v>
      </c>
    </row>
    <row r="43" spans="1:13" ht="8.1" customHeight="1" x14ac:dyDescent="0.15">
      <c r="A43" s="9"/>
      <c r="B43" s="10"/>
      <c r="C43" s="10"/>
      <c r="D43" s="10"/>
      <c r="E43" s="10"/>
      <c r="F43" s="10"/>
      <c r="G43" s="10"/>
      <c r="H43" s="10"/>
      <c r="I43" s="10"/>
      <c r="J43" s="10"/>
      <c r="K43" s="10"/>
      <c r="L43" s="10"/>
      <c r="M43" s="10"/>
    </row>
  </sheetData>
  <sheetProtection password="CC26" sheet="1"/>
  <mergeCells count="13">
    <mergeCell ref="A43:M43"/>
    <mergeCell ref="A24:M24"/>
    <mergeCell ref="A16:M16"/>
    <mergeCell ref="A13:M13"/>
    <mergeCell ref="A36:M36"/>
    <mergeCell ref="A1:M1"/>
    <mergeCell ref="A37:M37"/>
    <mergeCell ref="A27:M27"/>
    <mergeCell ref="A34:M34"/>
    <mergeCell ref="A4:M4"/>
    <mergeCell ref="A3:M3"/>
    <mergeCell ref="A26:M26"/>
    <mergeCell ref="A15:M15"/>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23">
    <cfRule type="colorScale" priority="2">
      <colorScale>
        <cfvo type="min"/>
        <cfvo type="percentile" val="50"/>
        <cfvo type="max"/>
        <color rgb="FFFFC7CE"/>
        <color rgb="FFFFEB9C"/>
        <color rgb="FFC6EFCE"/>
      </colorScale>
    </cfRule>
  </conditionalFormatting>
  <conditionalFormatting sqref="B29:M33">
    <cfRule type="colorScale" priority="3">
      <colorScale>
        <cfvo type="min"/>
        <cfvo type="percentile" val="50"/>
        <cfvo type="max"/>
        <color rgb="FFFFC7CE"/>
        <color rgb="FFFFEB9C"/>
        <color rgb="FFC6EFCE"/>
      </colorScale>
    </cfRule>
  </conditionalFormatting>
  <conditionalFormatting sqref="B39:M42">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1"/>
  <sheetViews>
    <sheetView workbookViewId="0"/>
  </sheetViews>
  <sheetFormatPr defaultRowHeight="13.5" x14ac:dyDescent="0.15"/>
  <cols>
    <col min="1" max="1" width="32" customWidth="1"/>
    <col min="2" max="13" width="9" customWidth="1"/>
  </cols>
  <sheetData>
    <row r="1" spans="1:13" ht="35.1" customHeight="1" x14ac:dyDescent="0.15">
      <c r="A1" s="11" t="s">
        <v>11869</v>
      </c>
      <c r="B1" s="10"/>
      <c r="C1" s="10"/>
      <c r="D1" s="10"/>
      <c r="E1" s="10"/>
      <c r="F1" s="10"/>
      <c r="G1" s="10"/>
      <c r="H1" s="10"/>
      <c r="I1" s="10"/>
      <c r="J1" s="10"/>
      <c r="K1" s="10"/>
      <c r="L1" s="10"/>
      <c r="M1" s="10"/>
    </row>
    <row r="3" spans="1:13" ht="27.95" customHeight="1" x14ac:dyDescent="0.15">
      <c r="A3" s="13" t="s">
        <v>11870</v>
      </c>
      <c r="B3" s="10"/>
      <c r="C3" s="10"/>
      <c r="D3" s="10"/>
      <c r="E3" s="10"/>
      <c r="F3" s="10"/>
      <c r="G3" s="10"/>
      <c r="H3" s="10"/>
      <c r="I3" s="10"/>
      <c r="J3" s="10"/>
      <c r="K3" s="10"/>
      <c r="L3" s="10"/>
      <c r="M3" s="10"/>
    </row>
    <row r="4" spans="1:13" ht="45" customHeight="1" x14ac:dyDescent="0.15">
      <c r="A4" s="12" t="s">
        <v>11871</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11356</v>
      </c>
      <c r="C6" s="7" t="s">
        <v>11366</v>
      </c>
      <c r="D6" s="7" t="s">
        <v>11349</v>
      </c>
      <c r="E6" s="7" t="s">
        <v>11350</v>
      </c>
      <c r="F6" s="7" t="s">
        <v>11367</v>
      </c>
      <c r="G6" s="7" t="s">
        <v>11368</v>
      </c>
      <c r="H6" s="7" t="s">
        <v>11369</v>
      </c>
      <c r="I6" s="7" t="s">
        <v>11354</v>
      </c>
      <c r="J6" s="7" t="s">
        <v>11370</v>
      </c>
      <c r="K6" s="7" t="s">
        <v>11371</v>
      </c>
      <c r="L6" s="7" t="s">
        <v>11377</v>
      </c>
      <c r="M6" s="7" t="s">
        <v>11373</v>
      </c>
    </row>
    <row r="7" spans="1:13" ht="21.95" customHeight="1" x14ac:dyDescent="0.15">
      <c r="A7" s="8" t="s">
        <v>11355</v>
      </c>
      <c r="B7" s="8" t="s">
        <v>11349</v>
      </c>
      <c r="C7" s="8" t="s">
        <v>11382</v>
      </c>
      <c r="D7" s="8" t="s">
        <v>11359</v>
      </c>
      <c r="E7" s="8" t="s">
        <v>11353</v>
      </c>
      <c r="F7" s="8" t="s">
        <v>11545</v>
      </c>
      <c r="G7" s="8" t="s">
        <v>11370</v>
      </c>
      <c r="H7" s="8" t="s">
        <v>11371</v>
      </c>
      <c r="I7" s="8" t="s">
        <v>11364</v>
      </c>
      <c r="J7" s="8" t="s">
        <v>11567</v>
      </c>
      <c r="K7" s="8" t="s">
        <v>11568</v>
      </c>
      <c r="L7" s="8" t="s">
        <v>11569</v>
      </c>
      <c r="M7" s="8" t="s">
        <v>11570</v>
      </c>
    </row>
    <row r="8" spans="1:13" ht="21.95" customHeight="1" x14ac:dyDescent="0.15">
      <c r="A8" s="7" t="s">
        <v>11365</v>
      </c>
      <c r="B8" s="7" t="s">
        <v>11351</v>
      </c>
      <c r="C8" s="7" t="s">
        <v>11368</v>
      </c>
      <c r="D8" s="7" t="s">
        <v>11361</v>
      </c>
      <c r="E8" s="7" t="s">
        <v>11505</v>
      </c>
      <c r="F8" s="7" t="s">
        <v>11506</v>
      </c>
      <c r="G8" s="7" t="s">
        <v>11364</v>
      </c>
      <c r="H8" s="7" t="s">
        <v>11567</v>
      </c>
      <c r="I8" s="7" t="s">
        <v>11568</v>
      </c>
      <c r="J8" s="7" t="s">
        <v>11509</v>
      </c>
      <c r="K8" s="7" t="s">
        <v>11380</v>
      </c>
      <c r="L8" s="7" t="s">
        <v>11508</v>
      </c>
      <c r="M8" s="7" t="s">
        <v>11653</v>
      </c>
    </row>
    <row r="9" spans="1:13" ht="21.95" customHeight="1" x14ac:dyDescent="0.15">
      <c r="A9" s="8" t="s">
        <v>11374</v>
      </c>
      <c r="B9" s="8" t="s">
        <v>11545</v>
      </c>
      <c r="C9" s="8" t="s">
        <v>11375</v>
      </c>
      <c r="D9" s="8" t="s">
        <v>11383</v>
      </c>
      <c r="E9" s="8" t="s">
        <v>11567</v>
      </c>
      <c r="F9" s="8" t="s">
        <v>11696</v>
      </c>
      <c r="G9" s="8" t="s">
        <v>11569</v>
      </c>
      <c r="H9" s="8" t="s">
        <v>11402</v>
      </c>
      <c r="I9" s="8" t="s">
        <v>11511</v>
      </c>
      <c r="J9" s="8" t="s">
        <v>11387</v>
      </c>
      <c r="K9" s="8" t="s">
        <v>11404</v>
      </c>
      <c r="L9" s="8" t="s">
        <v>11405</v>
      </c>
      <c r="M9" s="8" t="s">
        <v>11406</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11872</v>
      </c>
      <c r="B14" s="10"/>
      <c r="C14" s="10"/>
      <c r="D14" s="10"/>
      <c r="E14" s="10"/>
      <c r="F14" s="10"/>
      <c r="G14" s="10"/>
      <c r="H14" s="10"/>
      <c r="I14" s="10"/>
      <c r="J14" s="10"/>
      <c r="K14" s="10"/>
      <c r="L14" s="10"/>
      <c r="M14" s="10"/>
    </row>
    <row r="15" spans="1:13" ht="45" customHeight="1" x14ac:dyDescent="0.15">
      <c r="A15" s="12" t="s">
        <v>11873</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11874</v>
      </c>
      <c r="B17" s="7" t="s">
        <v>11838</v>
      </c>
      <c r="C17" s="7" t="s">
        <v>11599</v>
      </c>
      <c r="D17" s="7" t="s">
        <v>11514</v>
      </c>
      <c r="E17" s="7" t="s">
        <v>11875</v>
      </c>
      <c r="F17" s="7" t="s">
        <v>11409</v>
      </c>
      <c r="G17" s="7" t="s">
        <v>11876</v>
      </c>
      <c r="H17" s="7" t="s">
        <v>11417</v>
      </c>
      <c r="I17" s="7" t="s">
        <v>11877</v>
      </c>
      <c r="J17" s="7" t="s">
        <v>11878</v>
      </c>
      <c r="K17" s="7" t="s">
        <v>11419</v>
      </c>
      <c r="L17" s="7" t="s">
        <v>11420</v>
      </c>
      <c r="M17" s="7" t="s">
        <v>11551</v>
      </c>
    </row>
    <row r="18" spans="1:13" ht="21.95" customHeight="1" x14ac:dyDescent="0.15">
      <c r="A18" s="8" t="s">
        <v>11879</v>
      </c>
      <c r="B18" s="8" t="s">
        <v>11371</v>
      </c>
      <c r="C18" s="8" t="s">
        <v>11372</v>
      </c>
      <c r="D18" s="8" t="s">
        <v>11568</v>
      </c>
      <c r="E18" s="8" t="s">
        <v>11569</v>
      </c>
      <c r="F18" s="8" t="s">
        <v>11570</v>
      </c>
      <c r="G18" s="8" t="s">
        <v>11469</v>
      </c>
      <c r="H18" s="8" t="s">
        <v>11880</v>
      </c>
      <c r="I18" s="8" t="s">
        <v>11705</v>
      </c>
      <c r="J18" s="8" t="s">
        <v>11405</v>
      </c>
      <c r="K18" s="8" t="s">
        <v>11698</v>
      </c>
      <c r="L18" s="8" t="s">
        <v>11407</v>
      </c>
      <c r="M18" s="8" t="s">
        <v>11607</v>
      </c>
    </row>
    <row r="19" spans="1:13" ht="21.95" customHeight="1" x14ac:dyDescent="0.15">
      <c r="A19" s="7" t="s">
        <v>11881</v>
      </c>
      <c r="B19" s="7" t="s">
        <v>11430</v>
      </c>
      <c r="C19" s="7" t="s">
        <v>11430</v>
      </c>
      <c r="D19" s="7" t="s">
        <v>11430</v>
      </c>
      <c r="E19" s="7" t="s">
        <v>11430</v>
      </c>
      <c r="F19" s="7" t="s">
        <v>11430</v>
      </c>
      <c r="G19" s="7" t="s">
        <v>11430</v>
      </c>
      <c r="H19" s="7" t="s">
        <v>11430</v>
      </c>
      <c r="I19" s="7" t="s">
        <v>11430</v>
      </c>
      <c r="J19" s="7" t="s">
        <v>11430</v>
      </c>
      <c r="K19" s="7" t="s">
        <v>11430</v>
      </c>
      <c r="L19" s="7" t="s">
        <v>11430</v>
      </c>
      <c r="M19" s="7" t="s">
        <v>11430</v>
      </c>
    </row>
    <row r="20" spans="1:13" ht="8.1" customHeight="1" x14ac:dyDescent="0.15">
      <c r="A20" s="9"/>
      <c r="B20" s="10"/>
      <c r="C20" s="10"/>
      <c r="D20" s="10"/>
      <c r="E20" s="10"/>
      <c r="F20" s="10"/>
      <c r="G20" s="10"/>
      <c r="H20" s="10"/>
      <c r="I20" s="10"/>
      <c r="J20" s="10"/>
      <c r="K20" s="10"/>
      <c r="L20" s="10"/>
      <c r="M20" s="10"/>
    </row>
    <row r="22" spans="1:13" ht="27.95" customHeight="1" x14ac:dyDescent="0.15">
      <c r="A22" s="13" t="s">
        <v>11882</v>
      </c>
      <c r="B22" s="10"/>
      <c r="C22" s="10"/>
      <c r="D22" s="10"/>
      <c r="E22" s="10"/>
      <c r="F22" s="10"/>
      <c r="G22" s="10"/>
      <c r="H22" s="10"/>
      <c r="I22" s="10"/>
      <c r="J22" s="10"/>
      <c r="K22" s="10"/>
      <c r="L22" s="10"/>
      <c r="M22" s="10"/>
    </row>
    <row r="23" spans="1:13" ht="45" customHeight="1" x14ac:dyDescent="0.15">
      <c r="A23" s="12" t="s">
        <v>11883</v>
      </c>
      <c r="B23" s="10"/>
      <c r="C23" s="10"/>
      <c r="D23" s="10"/>
      <c r="E23" s="10"/>
      <c r="F23" s="10"/>
      <c r="G23" s="10"/>
      <c r="H23" s="10"/>
      <c r="I23" s="10"/>
      <c r="J23" s="10"/>
      <c r="K23" s="10"/>
      <c r="L23" s="10"/>
      <c r="M23" s="10"/>
    </row>
    <row r="24" spans="1:13" ht="15" x14ac:dyDescent="0.15">
      <c r="A24" s="6" t="s">
        <v>11329</v>
      </c>
      <c r="B24" s="6" t="s">
        <v>11330</v>
      </c>
      <c r="C24" s="6" t="s">
        <v>11331</v>
      </c>
      <c r="D24" s="6" t="s">
        <v>11332</v>
      </c>
      <c r="E24" s="6" t="s">
        <v>11333</v>
      </c>
      <c r="F24" s="6" t="s">
        <v>11334</v>
      </c>
      <c r="G24" s="6" t="s">
        <v>11335</v>
      </c>
      <c r="H24" s="6" t="s">
        <v>11336</v>
      </c>
      <c r="I24" s="6" t="s">
        <v>11337</v>
      </c>
      <c r="J24" s="6" t="s">
        <v>11338</v>
      </c>
      <c r="K24" s="6" t="s">
        <v>11339</v>
      </c>
      <c r="L24" s="6" t="s">
        <v>11340</v>
      </c>
      <c r="M24" s="6" t="s">
        <v>11341</v>
      </c>
    </row>
    <row r="25" spans="1:13" ht="21.95" customHeight="1" x14ac:dyDescent="0.15">
      <c r="A25" s="7" t="s">
        <v>11433</v>
      </c>
      <c r="B25" s="7" t="s">
        <v>11633</v>
      </c>
      <c r="C25" s="7" t="s">
        <v>11633</v>
      </c>
      <c r="D25" s="7" t="s">
        <v>11633</v>
      </c>
      <c r="E25" s="7" t="s">
        <v>11633</v>
      </c>
      <c r="F25" s="7" t="s">
        <v>11633</v>
      </c>
      <c r="G25" s="7" t="s">
        <v>11633</v>
      </c>
      <c r="H25" s="7" t="s">
        <v>11633</v>
      </c>
      <c r="I25" s="7" t="s">
        <v>11633</v>
      </c>
      <c r="J25" s="7" t="s">
        <v>11633</v>
      </c>
      <c r="K25" s="7" t="s">
        <v>11633</v>
      </c>
      <c r="L25" s="7" t="s">
        <v>11633</v>
      </c>
      <c r="M25" s="7" t="s">
        <v>11633</v>
      </c>
    </row>
    <row r="26" spans="1:13" ht="21.95" customHeight="1" x14ac:dyDescent="0.15">
      <c r="A26" s="8" t="s">
        <v>11435</v>
      </c>
      <c r="B26" s="8" t="s">
        <v>11535</v>
      </c>
      <c r="C26" s="8" t="s">
        <v>11535</v>
      </c>
      <c r="D26" s="8" t="s">
        <v>11535</v>
      </c>
      <c r="E26" s="8" t="s">
        <v>11535</v>
      </c>
      <c r="F26" s="8" t="s">
        <v>11535</v>
      </c>
      <c r="G26" s="8" t="s">
        <v>11535</v>
      </c>
      <c r="H26" s="8" t="s">
        <v>11535</v>
      </c>
      <c r="I26" s="8" t="s">
        <v>11535</v>
      </c>
      <c r="J26" s="8" t="s">
        <v>11535</v>
      </c>
      <c r="K26" s="8" t="s">
        <v>11535</v>
      </c>
      <c r="L26" s="8" t="s">
        <v>11535</v>
      </c>
      <c r="M26" s="8" t="s">
        <v>11535</v>
      </c>
    </row>
    <row r="27" spans="1:13" ht="21.95" customHeight="1" x14ac:dyDescent="0.15">
      <c r="A27" s="7" t="s">
        <v>11416</v>
      </c>
      <c r="B27" s="7" t="s">
        <v>11884</v>
      </c>
      <c r="C27" s="7" t="s">
        <v>11679</v>
      </c>
      <c r="D27" s="7" t="s">
        <v>11389</v>
      </c>
      <c r="E27" s="7" t="s">
        <v>11732</v>
      </c>
      <c r="F27" s="7" t="s">
        <v>11885</v>
      </c>
      <c r="G27" s="7" t="s">
        <v>11575</v>
      </c>
      <c r="H27" s="7" t="s">
        <v>11523</v>
      </c>
      <c r="I27" s="7" t="s">
        <v>11886</v>
      </c>
      <c r="J27" s="7" t="s">
        <v>11394</v>
      </c>
      <c r="K27" s="7" t="s">
        <v>11627</v>
      </c>
      <c r="L27" s="7" t="s">
        <v>11887</v>
      </c>
      <c r="M27" s="7" t="s">
        <v>11888</v>
      </c>
    </row>
    <row r="28" spans="1:13" ht="21.95" customHeight="1" x14ac:dyDescent="0.15">
      <c r="A28" s="8" t="s">
        <v>11429</v>
      </c>
      <c r="B28" s="8" t="s">
        <v>11532</v>
      </c>
      <c r="C28" s="8" t="s">
        <v>11532</v>
      </c>
      <c r="D28" s="8" t="s">
        <v>11532</v>
      </c>
      <c r="E28" s="8" t="s">
        <v>11532</v>
      </c>
      <c r="F28" s="8" t="s">
        <v>11532</v>
      </c>
      <c r="G28" s="8" t="s">
        <v>11532</v>
      </c>
      <c r="H28" s="8" t="s">
        <v>11532</v>
      </c>
      <c r="I28" s="8" t="s">
        <v>11532</v>
      </c>
      <c r="J28" s="8" t="s">
        <v>11532</v>
      </c>
      <c r="K28" s="8" t="s">
        <v>11532</v>
      </c>
      <c r="L28" s="8" t="s">
        <v>11532</v>
      </c>
      <c r="M28" s="8" t="s">
        <v>11532</v>
      </c>
    </row>
    <row r="29" spans="1:13" ht="21.95" customHeight="1" x14ac:dyDescent="0.15">
      <c r="A29" s="7" t="s">
        <v>11889</v>
      </c>
      <c r="B29" s="7" t="s">
        <v>11484</v>
      </c>
      <c r="C29" s="7" t="s">
        <v>11484</v>
      </c>
      <c r="D29" s="7" t="s">
        <v>11484</v>
      </c>
      <c r="E29" s="7" t="s">
        <v>11484</v>
      </c>
      <c r="F29" s="7" t="s">
        <v>11484</v>
      </c>
      <c r="G29" s="7" t="s">
        <v>11484</v>
      </c>
      <c r="H29" s="7" t="s">
        <v>11484</v>
      </c>
      <c r="I29" s="7" t="s">
        <v>11484</v>
      </c>
      <c r="J29" s="7" t="s">
        <v>11484</v>
      </c>
      <c r="K29" s="7" t="s">
        <v>11484</v>
      </c>
      <c r="L29" s="7" t="s">
        <v>11484</v>
      </c>
      <c r="M29" s="7" t="s">
        <v>11484</v>
      </c>
    </row>
    <row r="30" spans="1:13" ht="21.95" customHeight="1" x14ac:dyDescent="0.15">
      <c r="A30" s="8" t="s">
        <v>11890</v>
      </c>
      <c r="B30" s="8" t="s">
        <v>11402</v>
      </c>
      <c r="C30" s="8" t="s">
        <v>11402</v>
      </c>
      <c r="D30" s="8" t="s">
        <v>11402</v>
      </c>
      <c r="E30" s="8" t="s">
        <v>11402</v>
      </c>
      <c r="F30" s="8" t="s">
        <v>11402</v>
      </c>
      <c r="G30" s="8" t="s">
        <v>11402</v>
      </c>
      <c r="H30" s="8" t="s">
        <v>11402</v>
      </c>
      <c r="I30" s="8" t="s">
        <v>11402</v>
      </c>
      <c r="J30" s="8" t="s">
        <v>11402</v>
      </c>
      <c r="K30" s="8" t="s">
        <v>11402</v>
      </c>
      <c r="L30" s="8" t="s">
        <v>11402</v>
      </c>
      <c r="M30" s="8" t="s">
        <v>11402</v>
      </c>
    </row>
    <row r="31" spans="1:13" ht="21.95" customHeight="1" x14ac:dyDescent="0.15">
      <c r="A31" s="7" t="s">
        <v>11891</v>
      </c>
      <c r="B31" s="7" t="s">
        <v>11650</v>
      </c>
      <c r="C31" s="7" t="s">
        <v>11650</v>
      </c>
      <c r="D31" s="7" t="s">
        <v>11650</v>
      </c>
      <c r="E31" s="7" t="s">
        <v>11542</v>
      </c>
      <c r="F31" s="7" t="s">
        <v>11542</v>
      </c>
      <c r="G31" s="7" t="s">
        <v>11542</v>
      </c>
      <c r="H31" s="7" t="s">
        <v>11544</v>
      </c>
      <c r="I31" s="7" t="s">
        <v>11544</v>
      </c>
      <c r="J31" s="7" t="s">
        <v>11544</v>
      </c>
      <c r="K31" s="7" t="s">
        <v>11356</v>
      </c>
      <c r="L31" s="7" t="s">
        <v>11356</v>
      </c>
      <c r="M31" s="7" t="s">
        <v>11356</v>
      </c>
    </row>
    <row r="32" spans="1:13" ht="21.95" customHeight="1" x14ac:dyDescent="0.15">
      <c r="A32" s="8" t="s">
        <v>11892</v>
      </c>
      <c r="B32" s="8" t="s">
        <v>11893</v>
      </c>
      <c r="C32" s="8" t="s">
        <v>11893</v>
      </c>
      <c r="D32" s="8" t="s">
        <v>11893</v>
      </c>
      <c r="E32" s="8" t="s">
        <v>11894</v>
      </c>
      <c r="F32" s="8" t="s">
        <v>11894</v>
      </c>
      <c r="G32" s="8" t="s">
        <v>11894</v>
      </c>
      <c r="H32" s="8" t="s">
        <v>11895</v>
      </c>
      <c r="I32" s="8" t="s">
        <v>11895</v>
      </c>
      <c r="J32" s="8" t="s">
        <v>11895</v>
      </c>
      <c r="K32" s="8" t="s">
        <v>11896</v>
      </c>
      <c r="L32" s="8" t="s">
        <v>11896</v>
      </c>
      <c r="M32" s="8" t="s">
        <v>11896</v>
      </c>
    </row>
    <row r="33" spans="1:13" ht="8.1" customHeight="1" x14ac:dyDescent="0.15">
      <c r="A33" s="9"/>
      <c r="B33" s="10"/>
      <c r="C33" s="10"/>
      <c r="D33" s="10"/>
      <c r="E33" s="10"/>
      <c r="F33" s="10"/>
      <c r="G33" s="10"/>
      <c r="H33" s="10"/>
      <c r="I33" s="10"/>
      <c r="J33" s="10"/>
      <c r="K33" s="10"/>
      <c r="L33" s="10"/>
      <c r="M33" s="10"/>
    </row>
    <row r="35" spans="1:13" ht="27.95" customHeight="1" x14ac:dyDescent="0.15">
      <c r="A35" s="13" t="s">
        <v>11897</v>
      </c>
      <c r="B35" s="10"/>
      <c r="C35" s="10"/>
      <c r="D35" s="10"/>
      <c r="E35" s="10"/>
      <c r="F35" s="10"/>
      <c r="G35" s="10"/>
      <c r="H35" s="10"/>
      <c r="I35" s="10"/>
      <c r="J35" s="10"/>
      <c r="K35" s="10"/>
      <c r="L35" s="10"/>
      <c r="M35" s="10"/>
    </row>
    <row r="36" spans="1:13" ht="45" customHeight="1" x14ac:dyDescent="0.15">
      <c r="A36" s="12" t="s">
        <v>11898</v>
      </c>
      <c r="B36" s="10"/>
      <c r="C36" s="10"/>
      <c r="D36" s="10"/>
      <c r="E36" s="10"/>
      <c r="F36" s="10"/>
      <c r="G36" s="10"/>
      <c r="H36" s="10"/>
      <c r="I36" s="10"/>
      <c r="J36" s="10"/>
      <c r="K36" s="10"/>
      <c r="L36" s="10"/>
      <c r="M36" s="10"/>
    </row>
    <row r="37" spans="1:13" ht="15" x14ac:dyDescent="0.15">
      <c r="A37" s="6" t="s">
        <v>11329</v>
      </c>
      <c r="B37" s="6" t="s">
        <v>11330</v>
      </c>
      <c r="C37" s="6" t="s">
        <v>11331</v>
      </c>
      <c r="D37" s="6" t="s">
        <v>11332</v>
      </c>
      <c r="E37" s="6" t="s">
        <v>11333</v>
      </c>
      <c r="F37" s="6" t="s">
        <v>11334</v>
      </c>
      <c r="G37" s="6" t="s">
        <v>11335</v>
      </c>
      <c r="H37" s="6" t="s">
        <v>11336</v>
      </c>
      <c r="I37" s="6" t="s">
        <v>11337</v>
      </c>
      <c r="J37" s="6" t="s">
        <v>11338</v>
      </c>
      <c r="K37" s="6" t="s">
        <v>11339</v>
      </c>
      <c r="L37" s="6" t="s">
        <v>11340</v>
      </c>
      <c r="M37" s="6" t="s">
        <v>11341</v>
      </c>
    </row>
    <row r="38" spans="1:13" ht="21.95" customHeight="1" x14ac:dyDescent="0.15">
      <c r="A38" s="7" t="s">
        <v>11435</v>
      </c>
      <c r="B38" s="7" t="s">
        <v>11535</v>
      </c>
      <c r="C38" s="7" t="s">
        <v>11535</v>
      </c>
      <c r="D38" s="7" t="s">
        <v>11535</v>
      </c>
      <c r="E38" s="7" t="s">
        <v>11535</v>
      </c>
      <c r="F38" s="7" t="s">
        <v>11535</v>
      </c>
      <c r="G38" s="7" t="s">
        <v>11535</v>
      </c>
      <c r="H38" s="7" t="s">
        <v>11535</v>
      </c>
      <c r="I38" s="7" t="s">
        <v>11535</v>
      </c>
      <c r="J38" s="7" t="s">
        <v>11535</v>
      </c>
      <c r="K38" s="7" t="s">
        <v>11535</v>
      </c>
      <c r="L38" s="7" t="s">
        <v>11535</v>
      </c>
      <c r="M38" s="7" t="s">
        <v>11536</v>
      </c>
    </row>
    <row r="39" spans="1:13" ht="21.95" customHeight="1" x14ac:dyDescent="0.15">
      <c r="A39" s="8" t="s">
        <v>11416</v>
      </c>
      <c r="B39" s="8" t="s">
        <v>11608</v>
      </c>
      <c r="C39" s="8" t="s">
        <v>11411</v>
      </c>
      <c r="D39" s="8" t="s">
        <v>11590</v>
      </c>
      <c r="E39" s="8" t="s">
        <v>11899</v>
      </c>
      <c r="F39" s="8" t="s">
        <v>11474</v>
      </c>
      <c r="G39" s="8" t="s">
        <v>11900</v>
      </c>
      <c r="H39" s="8" t="s">
        <v>11901</v>
      </c>
      <c r="I39" s="8" t="s">
        <v>11902</v>
      </c>
      <c r="J39" s="8" t="s">
        <v>11662</v>
      </c>
      <c r="K39" s="8" t="s">
        <v>11554</v>
      </c>
      <c r="L39" s="8" t="s">
        <v>11903</v>
      </c>
      <c r="M39" s="8" t="s">
        <v>11904</v>
      </c>
    </row>
    <row r="40" spans="1:13" ht="21.95" customHeight="1" x14ac:dyDescent="0.15">
      <c r="A40" s="7" t="s">
        <v>11429</v>
      </c>
      <c r="B40" s="7" t="s">
        <v>11484</v>
      </c>
      <c r="C40" s="7" t="s">
        <v>11484</v>
      </c>
      <c r="D40" s="7" t="s">
        <v>11484</v>
      </c>
      <c r="E40" s="7" t="s">
        <v>11484</v>
      </c>
      <c r="F40" s="7" t="s">
        <v>11484</v>
      </c>
      <c r="G40" s="7" t="s">
        <v>11484</v>
      </c>
      <c r="H40" s="7" t="s">
        <v>11484</v>
      </c>
      <c r="I40" s="7" t="s">
        <v>11484</v>
      </c>
      <c r="J40" s="7" t="s">
        <v>11484</v>
      </c>
      <c r="K40" s="7" t="s">
        <v>11484</v>
      </c>
      <c r="L40" s="7" t="s">
        <v>11484</v>
      </c>
      <c r="M40" s="7" t="s">
        <v>11484</v>
      </c>
    </row>
    <row r="41" spans="1:13" ht="8.1" customHeight="1" x14ac:dyDescent="0.15">
      <c r="A41" s="9"/>
      <c r="B41" s="10"/>
      <c r="C41" s="10"/>
      <c r="D41" s="10"/>
      <c r="E41" s="10"/>
      <c r="F41" s="10"/>
      <c r="G41" s="10"/>
      <c r="H41" s="10"/>
      <c r="I41" s="10"/>
      <c r="J41" s="10"/>
      <c r="K41" s="10"/>
      <c r="L41" s="10"/>
      <c r="M41" s="10"/>
    </row>
  </sheetData>
  <sheetProtection password="CC26" sheet="1"/>
  <mergeCells count="13">
    <mergeCell ref="A41:M41"/>
    <mergeCell ref="A33:M33"/>
    <mergeCell ref="A36:M36"/>
    <mergeCell ref="A14:M14"/>
    <mergeCell ref="A1:M1"/>
    <mergeCell ref="A23:M23"/>
    <mergeCell ref="A22:M22"/>
    <mergeCell ref="A12:M12"/>
    <mergeCell ref="A4:M4"/>
    <mergeCell ref="A35:M35"/>
    <mergeCell ref="A3:M3"/>
    <mergeCell ref="A15:M15"/>
    <mergeCell ref="A20:M20"/>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19">
    <cfRule type="colorScale" priority="2">
      <colorScale>
        <cfvo type="min"/>
        <cfvo type="percentile" val="50"/>
        <cfvo type="max"/>
        <color rgb="FFFFC7CE"/>
        <color rgb="FFFFEB9C"/>
        <color rgb="FFC6EFCE"/>
      </colorScale>
    </cfRule>
  </conditionalFormatting>
  <conditionalFormatting sqref="B25:M32">
    <cfRule type="colorScale" priority="3">
      <colorScale>
        <cfvo type="min"/>
        <cfvo type="percentile" val="50"/>
        <cfvo type="max"/>
        <color rgb="FFFFC7CE"/>
        <color rgb="FFFFEB9C"/>
        <color rgb="FFC6EFCE"/>
      </colorScale>
    </cfRule>
  </conditionalFormatting>
  <conditionalFormatting sqref="B38:M40">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44"/>
  <sheetViews>
    <sheetView workbookViewId="0"/>
  </sheetViews>
  <sheetFormatPr defaultRowHeight="13.5" x14ac:dyDescent="0.15"/>
  <cols>
    <col min="1" max="1" width="32" customWidth="1"/>
    <col min="2" max="13" width="9" customWidth="1"/>
  </cols>
  <sheetData>
    <row r="1" spans="1:13" ht="35.1" customHeight="1" x14ac:dyDescent="0.15">
      <c r="A1" s="11" t="s">
        <v>11905</v>
      </c>
      <c r="B1" s="10"/>
      <c r="C1" s="10"/>
      <c r="D1" s="10"/>
      <c r="E1" s="10"/>
      <c r="F1" s="10"/>
      <c r="G1" s="10"/>
      <c r="H1" s="10"/>
      <c r="I1" s="10"/>
      <c r="J1" s="10"/>
      <c r="K1" s="10"/>
      <c r="L1" s="10"/>
      <c r="M1" s="10"/>
    </row>
    <row r="3" spans="1:13" ht="27.95" customHeight="1" x14ac:dyDescent="0.15">
      <c r="A3" s="13" t="s">
        <v>11906</v>
      </c>
      <c r="B3" s="10"/>
      <c r="C3" s="10"/>
      <c r="D3" s="10"/>
      <c r="E3" s="10"/>
      <c r="F3" s="10"/>
      <c r="G3" s="10"/>
      <c r="H3" s="10"/>
      <c r="I3" s="10"/>
      <c r="J3" s="10"/>
      <c r="K3" s="10"/>
      <c r="L3" s="10"/>
      <c r="M3" s="10"/>
    </row>
    <row r="4" spans="1:13" ht="45" customHeight="1" x14ac:dyDescent="0.15">
      <c r="A4" s="12" t="s">
        <v>11907</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11375</v>
      </c>
      <c r="C6" s="7" t="s">
        <v>11364</v>
      </c>
      <c r="D6" s="7" t="s">
        <v>11635</v>
      </c>
      <c r="E6" s="7" t="s">
        <v>11379</v>
      </c>
      <c r="F6" s="7" t="s">
        <v>11385</v>
      </c>
      <c r="G6" s="7" t="s">
        <v>11386</v>
      </c>
      <c r="H6" s="7" t="s">
        <v>11403</v>
      </c>
      <c r="I6" s="7" t="s">
        <v>11598</v>
      </c>
      <c r="J6" s="7" t="s">
        <v>11654</v>
      </c>
      <c r="K6" s="7" t="s">
        <v>11699</v>
      </c>
      <c r="L6" s="7" t="s">
        <v>11706</v>
      </c>
      <c r="M6" s="7" t="s">
        <v>11770</v>
      </c>
    </row>
    <row r="7" spans="1:13" ht="21.95" customHeight="1" x14ac:dyDescent="0.15">
      <c r="A7" s="8" t="s">
        <v>11355</v>
      </c>
      <c r="B7" s="8" t="s">
        <v>11376</v>
      </c>
      <c r="C7" s="8" t="s">
        <v>11384</v>
      </c>
      <c r="D7" s="8" t="s">
        <v>11696</v>
      </c>
      <c r="E7" s="8" t="s">
        <v>11468</v>
      </c>
      <c r="F7" s="8" t="s">
        <v>11704</v>
      </c>
      <c r="G7" s="8" t="s">
        <v>11403</v>
      </c>
      <c r="H7" s="8" t="s">
        <v>11598</v>
      </c>
      <c r="I7" s="8" t="s">
        <v>11654</v>
      </c>
      <c r="J7" s="8" t="s">
        <v>11908</v>
      </c>
      <c r="K7" s="8" t="s">
        <v>11700</v>
      </c>
      <c r="L7" s="8" t="s">
        <v>11909</v>
      </c>
      <c r="M7" s="8" t="s">
        <v>11589</v>
      </c>
    </row>
    <row r="8" spans="1:13" ht="21.95" customHeight="1" x14ac:dyDescent="0.15">
      <c r="A8" s="7" t="s">
        <v>11365</v>
      </c>
      <c r="B8" s="7" t="s">
        <v>11471</v>
      </c>
      <c r="C8" s="7" t="s">
        <v>11910</v>
      </c>
      <c r="D8" s="7" t="s">
        <v>11407</v>
      </c>
      <c r="E8" s="7" t="s">
        <v>11607</v>
      </c>
      <c r="F8" s="7" t="s">
        <v>11608</v>
      </c>
      <c r="G8" s="7" t="s">
        <v>11836</v>
      </c>
      <c r="H8" s="7" t="s">
        <v>11911</v>
      </c>
      <c r="I8" s="7" t="s">
        <v>11912</v>
      </c>
      <c r="J8" s="7" t="s">
        <v>11413</v>
      </c>
      <c r="K8" s="7" t="s">
        <v>11913</v>
      </c>
      <c r="L8" s="7" t="s">
        <v>11715</v>
      </c>
      <c r="M8" s="7" t="s">
        <v>11716</v>
      </c>
    </row>
    <row r="9" spans="1:13" ht="21.95" customHeight="1" x14ac:dyDescent="0.15">
      <c r="A9" s="8" t="s">
        <v>11388</v>
      </c>
      <c r="B9" s="8" t="s">
        <v>11389</v>
      </c>
      <c r="C9" s="8" t="s">
        <v>11390</v>
      </c>
      <c r="D9" s="8" t="s">
        <v>11391</v>
      </c>
      <c r="E9" s="8" t="s">
        <v>11392</v>
      </c>
      <c r="F9" s="8" t="s">
        <v>11393</v>
      </c>
      <c r="G9" s="8" t="s">
        <v>11394</v>
      </c>
      <c r="H9" s="8" t="s">
        <v>11395</v>
      </c>
      <c r="I9" s="8" t="s">
        <v>11396</v>
      </c>
      <c r="J9" s="8" t="s">
        <v>11397</v>
      </c>
      <c r="K9" s="8" t="s">
        <v>11398</v>
      </c>
      <c r="L9" s="8" t="s">
        <v>11399</v>
      </c>
      <c r="M9" s="8" t="s">
        <v>11400</v>
      </c>
    </row>
    <row r="10" spans="1:13" ht="21.95" customHeight="1" x14ac:dyDescent="0.15">
      <c r="A10" s="7" t="s">
        <v>11401</v>
      </c>
      <c r="B10" s="7" t="s">
        <v>11402</v>
      </c>
      <c r="C10" s="7" t="s">
        <v>11403</v>
      </c>
      <c r="D10" s="7" t="s">
        <v>11404</v>
      </c>
      <c r="E10" s="7" t="s">
        <v>11405</v>
      </c>
      <c r="F10" s="7" t="s">
        <v>11406</v>
      </c>
      <c r="G10" s="7" t="s">
        <v>11407</v>
      </c>
      <c r="H10" s="7" t="s">
        <v>11408</v>
      </c>
      <c r="I10" s="7" t="s">
        <v>11409</v>
      </c>
      <c r="J10" s="7" t="s">
        <v>11410</v>
      </c>
      <c r="K10" s="7" t="s">
        <v>11411</v>
      </c>
      <c r="L10" s="7" t="s">
        <v>11412</v>
      </c>
      <c r="M10" s="7" t="s">
        <v>11413</v>
      </c>
    </row>
    <row r="11" spans="1:13" ht="8.1" customHeight="1" x14ac:dyDescent="0.15">
      <c r="A11" s="9"/>
      <c r="B11" s="10"/>
      <c r="C11" s="10"/>
      <c r="D11" s="10"/>
      <c r="E11" s="10"/>
      <c r="F11" s="10"/>
      <c r="G11" s="10"/>
      <c r="H11" s="10"/>
      <c r="I11" s="10"/>
      <c r="J11" s="10"/>
      <c r="K11" s="10"/>
      <c r="L11" s="10"/>
      <c r="M11" s="10"/>
    </row>
    <row r="13" spans="1:13" ht="27.95" customHeight="1" x14ac:dyDescent="0.15">
      <c r="A13" s="13" t="s">
        <v>11914</v>
      </c>
      <c r="B13" s="10"/>
      <c r="C13" s="10"/>
      <c r="D13" s="10"/>
      <c r="E13" s="10"/>
      <c r="F13" s="10"/>
      <c r="G13" s="10"/>
      <c r="H13" s="10"/>
      <c r="I13" s="10"/>
      <c r="J13" s="10"/>
      <c r="K13" s="10"/>
      <c r="L13" s="10"/>
      <c r="M13" s="10"/>
    </row>
    <row r="14" spans="1:13" ht="45" customHeight="1" x14ac:dyDescent="0.15">
      <c r="A14" s="12" t="s">
        <v>11915</v>
      </c>
      <c r="B14" s="10"/>
      <c r="C14" s="10"/>
      <c r="D14" s="10"/>
      <c r="E14" s="10"/>
      <c r="F14" s="10"/>
      <c r="G14" s="10"/>
      <c r="H14" s="10"/>
      <c r="I14" s="10"/>
      <c r="J14" s="10"/>
      <c r="K14" s="10"/>
      <c r="L14" s="10"/>
      <c r="M14" s="10"/>
    </row>
    <row r="15" spans="1:13" ht="15" x14ac:dyDescent="0.15">
      <c r="A15" s="6" t="s">
        <v>11329</v>
      </c>
      <c r="B15" s="6" t="s">
        <v>11330</v>
      </c>
      <c r="C15" s="6" t="s">
        <v>11331</v>
      </c>
      <c r="D15" s="6" t="s">
        <v>11332</v>
      </c>
      <c r="E15" s="6" t="s">
        <v>11333</v>
      </c>
      <c r="F15" s="6" t="s">
        <v>11334</v>
      </c>
      <c r="G15" s="6" t="s">
        <v>11335</v>
      </c>
      <c r="H15" s="6" t="s">
        <v>11336</v>
      </c>
      <c r="I15" s="6" t="s">
        <v>11337</v>
      </c>
      <c r="J15" s="6" t="s">
        <v>11338</v>
      </c>
      <c r="K15" s="6" t="s">
        <v>11339</v>
      </c>
      <c r="L15" s="6" t="s">
        <v>11340</v>
      </c>
      <c r="M15" s="6" t="s">
        <v>11341</v>
      </c>
    </row>
    <row r="16" spans="1:13" ht="21.95" customHeight="1" x14ac:dyDescent="0.15">
      <c r="A16" s="7" t="s">
        <v>11416</v>
      </c>
      <c r="B16" s="7" t="s">
        <v>11825</v>
      </c>
      <c r="C16" s="7" t="s">
        <v>11826</v>
      </c>
      <c r="D16" s="7" t="s">
        <v>11827</v>
      </c>
      <c r="E16" s="7" t="s">
        <v>11718</v>
      </c>
      <c r="F16" s="7" t="s">
        <v>11425</v>
      </c>
      <c r="G16" s="7" t="s">
        <v>11426</v>
      </c>
      <c r="H16" s="7" t="s">
        <v>11453</v>
      </c>
      <c r="I16" s="7" t="s">
        <v>11828</v>
      </c>
      <c r="J16" s="7" t="s">
        <v>11723</v>
      </c>
      <c r="K16" s="7" t="s">
        <v>11829</v>
      </c>
      <c r="L16" s="7" t="s">
        <v>11622</v>
      </c>
      <c r="M16" s="7" t="s">
        <v>11830</v>
      </c>
    </row>
    <row r="17" spans="1:13" ht="21.95" customHeight="1" x14ac:dyDescent="0.15">
      <c r="A17" s="8" t="s">
        <v>11429</v>
      </c>
      <c r="B17" s="8" t="s">
        <v>11532</v>
      </c>
      <c r="C17" s="8" t="s">
        <v>11532</v>
      </c>
      <c r="D17" s="8" t="s">
        <v>11532</v>
      </c>
      <c r="E17" s="8" t="s">
        <v>11532</v>
      </c>
      <c r="F17" s="8" t="s">
        <v>11532</v>
      </c>
      <c r="G17" s="8" t="s">
        <v>11532</v>
      </c>
      <c r="H17" s="8" t="s">
        <v>11532</v>
      </c>
      <c r="I17" s="8" t="s">
        <v>11532</v>
      </c>
      <c r="J17" s="8" t="s">
        <v>11532</v>
      </c>
      <c r="K17" s="8" t="s">
        <v>11532</v>
      </c>
      <c r="L17" s="8" t="s">
        <v>11532</v>
      </c>
      <c r="M17" s="8" t="s">
        <v>11532</v>
      </c>
    </row>
    <row r="18" spans="1:13" ht="21.95" customHeight="1" x14ac:dyDescent="0.15">
      <c r="A18" s="7" t="s">
        <v>11916</v>
      </c>
      <c r="B18" s="7" t="s">
        <v>11387</v>
      </c>
      <c r="C18" s="7" t="s">
        <v>11387</v>
      </c>
      <c r="D18" s="7" t="s">
        <v>11387</v>
      </c>
      <c r="E18" s="7" t="s">
        <v>11387</v>
      </c>
      <c r="F18" s="7" t="s">
        <v>11387</v>
      </c>
      <c r="G18" s="7" t="s">
        <v>11387</v>
      </c>
      <c r="H18" s="7" t="s">
        <v>11387</v>
      </c>
      <c r="I18" s="7" t="s">
        <v>11387</v>
      </c>
      <c r="J18" s="7" t="s">
        <v>11387</v>
      </c>
      <c r="K18" s="7" t="s">
        <v>11387</v>
      </c>
      <c r="L18" s="7" t="s">
        <v>11387</v>
      </c>
      <c r="M18" s="7" t="s">
        <v>11387</v>
      </c>
    </row>
    <row r="19" spans="1:13" ht="21.95" customHeight="1" x14ac:dyDescent="0.15">
      <c r="A19" s="8" t="s">
        <v>11917</v>
      </c>
      <c r="B19" s="8" t="s">
        <v>11668</v>
      </c>
      <c r="C19" s="8" t="s">
        <v>11668</v>
      </c>
      <c r="D19" s="8" t="s">
        <v>11668</v>
      </c>
      <c r="E19" s="8" t="s">
        <v>11668</v>
      </c>
      <c r="F19" s="8" t="s">
        <v>11668</v>
      </c>
      <c r="G19" s="8" t="s">
        <v>11668</v>
      </c>
      <c r="H19" s="8" t="s">
        <v>11668</v>
      </c>
      <c r="I19" s="8" t="s">
        <v>11668</v>
      </c>
      <c r="J19" s="8" t="s">
        <v>11668</v>
      </c>
      <c r="K19" s="8" t="s">
        <v>11668</v>
      </c>
      <c r="L19" s="8" t="s">
        <v>11668</v>
      </c>
      <c r="M19" s="8" t="s">
        <v>11668</v>
      </c>
    </row>
    <row r="20" spans="1:13" ht="8.1" customHeight="1" x14ac:dyDescent="0.15">
      <c r="A20" s="9"/>
      <c r="B20" s="10"/>
      <c r="C20" s="10"/>
      <c r="D20" s="10"/>
      <c r="E20" s="10"/>
      <c r="F20" s="10"/>
      <c r="G20" s="10"/>
      <c r="H20" s="10"/>
      <c r="I20" s="10"/>
      <c r="J20" s="10"/>
      <c r="K20" s="10"/>
      <c r="L20" s="10"/>
      <c r="M20" s="10"/>
    </row>
    <row r="22" spans="1:13" ht="27.95" customHeight="1" x14ac:dyDescent="0.15">
      <c r="A22" s="13" t="s">
        <v>11918</v>
      </c>
      <c r="B22" s="10"/>
      <c r="C22" s="10"/>
      <c r="D22" s="10"/>
      <c r="E22" s="10"/>
      <c r="F22" s="10"/>
      <c r="G22" s="10"/>
      <c r="H22" s="10"/>
      <c r="I22" s="10"/>
      <c r="J22" s="10"/>
      <c r="K22" s="10"/>
      <c r="L22" s="10"/>
      <c r="M22" s="10"/>
    </row>
    <row r="23" spans="1:13" ht="45" customHeight="1" x14ac:dyDescent="0.15">
      <c r="A23" s="12" t="s">
        <v>11919</v>
      </c>
      <c r="B23" s="10"/>
      <c r="C23" s="10"/>
      <c r="D23" s="10"/>
      <c r="E23" s="10"/>
      <c r="F23" s="10"/>
      <c r="G23" s="10"/>
      <c r="H23" s="10"/>
      <c r="I23" s="10"/>
      <c r="J23" s="10"/>
      <c r="K23" s="10"/>
      <c r="L23" s="10"/>
      <c r="M23" s="10"/>
    </row>
    <row r="24" spans="1:13" ht="15" x14ac:dyDescent="0.15">
      <c r="A24" s="6" t="s">
        <v>11329</v>
      </c>
      <c r="B24" s="6" t="s">
        <v>11330</v>
      </c>
      <c r="C24" s="6" t="s">
        <v>11331</v>
      </c>
      <c r="D24" s="6" t="s">
        <v>11332</v>
      </c>
      <c r="E24" s="6" t="s">
        <v>11333</v>
      </c>
      <c r="F24" s="6" t="s">
        <v>11334</v>
      </c>
      <c r="G24" s="6" t="s">
        <v>11335</v>
      </c>
      <c r="H24" s="6" t="s">
        <v>11336</v>
      </c>
      <c r="I24" s="6" t="s">
        <v>11337</v>
      </c>
      <c r="J24" s="6" t="s">
        <v>11338</v>
      </c>
      <c r="K24" s="6" t="s">
        <v>11339</v>
      </c>
      <c r="L24" s="6" t="s">
        <v>11340</v>
      </c>
      <c r="M24" s="6" t="s">
        <v>11341</v>
      </c>
    </row>
    <row r="25" spans="1:13" ht="21.95" customHeight="1" x14ac:dyDescent="0.15">
      <c r="A25" s="7" t="s">
        <v>11433</v>
      </c>
      <c r="B25" s="7" t="s">
        <v>11434</v>
      </c>
      <c r="C25" s="7" t="s">
        <v>11434</v>
      </c>
      <c r="D25" s="7" t="s">
        <v>11434</v>
      </c>
      <c r="E25" s="7" t="s">
        <v>11434</v>
      </c>
      <c r="F25" s="7" t="s">
        <v>11434</v>
      </c>
      <c r="G25" s="7" t="s">
        <v>11434</v>
      </c>
      <c r="H25" s="7" t="s">
        <v>11434</v>
      </c>
      <c r="I25" s="7" t="s">
        <v>11434</v>
      </c>
      <c r="J25" s="7" t="s">
        <v>11434</v>
      </c>
      <c r="K25" s="7" t="s">
        <v>11434</v>
      </c>
      <c r="L25" s="7" t="s">
        <v>11434</v>
      </c>
      <c r="M25" s="7" t="s">
        <v>11434</v>
      </c>
    </row>
    <row r="26" spans="1:13" ht="21.95" customHeight="1" x14ac:dyDescent="0.15">
      <c r="A26" s="8" t="s">
        <v>11435</v>
      </c>
      <c r="B26" s="8" t="s">
        <v>11535</v>
      </c>
      <c r="C26" s="8" t="s">
        <v>11535</v>
      </c>
      <c r="D26" s="8" t="s">
        <v>11535</v>
      </c>
      <c r="E26" s="8" t="s">
        <v>11535</v>
      </c>
      <c r="F26" s="8" t="s">
        <v>11535</v>
      </c>
      <c r="G26" s="8" t="s">
        <v>11535</v>
      </c>
      <c r="H26" s="8" t="s">
        <v>11535</v>
      </c>
      <c r="I26" s="8" t="s">
        <v>11535</v>
      </c>
      <c r="J26" s="8" t="s">
        <v>11535</v>
      </c>
      <c r="K26" s="8" t="s">
        <v>11535</v>
      </c>
      <c r="L26" s="8" t="s">
        <v>11535</v>
      </c>
      <c r="M26" s="8" t="s">
        <v>11535</v>
      </c>
    </row>
    <row r="27" spans="1:13" ht="21.95" customHeight="1" x14ac:dyDescent="0.15">
      <c r="A27" s="7" t="s">
        <v>11879</v>
      </c>
      <c r="B27" s="7" t="s">
        <v>11825</v>
      </c>
      <c r="C27" s="7" t="s">
        <v>11826</v>
      </c>
      <c r="D27" s="7" t="s">
        <v>11827</v>
      </c>
      <c r="E27" s="7" t="s">
        <v>11718</v>
      </c>
      <c r="F27" s="7" t="s">
        <v>11425</v>
      </c>
      <c r="G27" s="7" t="s">
        <v>11426</v>
      </c>
      <c r="H27" s="7" t="s">
        <v>11453</v>
      </c>
      <c r="I27" s="7" t="s">
        <v>11828</v>
      </c>
      <c r="J27" s="7" t="s">
        <v>11723</v>
      </c>
      <c r="K27" s="7" t="s">
        <v>11829</v>
      </c>
      <c r="L27" s="7" t="s">
        <v>11622</v>
      </c>
      <c r="M27" s="7" t="s">
        <v>11830</v>
      </c>
    </row>
    <row r="28" spans="1:13" ht="21.95" customHeight="1" x14ac:dyDescent="0.15">
      <c r="A28" s="8" t="s">
        <v>11429</v>
      </c>
      <c r="B28" s="8" t="s">
        <v>11572</v>
      </c>
      <c r="C28" s="8" t="s">
        <v>11572</v>
      </c>
      <c r="D28" s="8" t="s">
        <v>11572</v>
      </c>
      <c r="E28" s="8" t="s">
        <v>11572</v>
      </c>
      <c r="F28" s="8" t="s">
        <v>11572</v>
      </c>
      <c r="G28" s="8" t="s">
        <v>11572</v>
      </c>
      <c r="H28" s="8" t="s">
        <v>11572</v>
      </c>
      <c r="I28" s="8" t="s">
        <v>11572</v>
      </c>
      <c r="J28" s="8" t="s">
        <v>11572</v>
      </c>
      <c r="K28" s="8" t="s">
        <v>11532</v>
      </c>
      <c r="L28" s="8" t="s">
        <v>11532</v>
      </c>
      <c r="M28" s="8" t="s">
        <v>11532</v>
      </c>
    </row>
    <row r="29" spans="1:13" ht="21.95" customHeight="1" x14ac:dyDescent="0.15">
      <c r="A29" s="7" t="s">
        <v>11920</v>
      </c>
      <c r="B29" s="7" t="s">
        <v>11346</v>
      </c>
      <c r="C29" s="7" t="s">
        <v>11347</v>
      </c>
      <c r="D29" s="7" t="s">
        <v>11357</v>
      </c>
      <c r="E29" s="7" t="s">
        <v>11507</v>
      </c>
      <c r="F29" s="7" t="s">
        <v>11382</v>
      </c>
      <c r="G29" s="7" t="s">
        <v>11359</v>
      </c>
      <c r="H29" s="7" t="s">
        <v>11360</v>
      </c>
      <c r="I29" s="7" t="s">
        <v>11361</v>
      </c>
      <c r="J29" s="7" t="s">
        <v>11362</v>
      </c>
      <c r="K29" s="7" t="s">
        <v>11375</v>
      </c>
      <c r="L29" s="7" t="s">
        <v>11383</v>
      </c>
      <c r="M29" s="7" t="s">
        <v>11567</v>
      </c>
    </row>
    <row r="30" spans="1:13" ht="21.95" customHeight="1" x14ac:dyDescent="0.15">
      <c r="A30" s="8" t="s">
        <v>11921</v>
      </c>
      <c r="B30" s="8" t="s">
        <v>11922</v>
      </c>
      <c r="C30" s="8" t="s">
        <v>11922</v>
      </c>
      <c r="D30" s="8" t="s">
        <v>11922</v>
      </c>
      <c r="E30" s="8" t="s">
        <v>11922</v>
      </c>
      <c r="F30" s="8" t="s">
        <v>11922</v>
      </c>
      <c r="G30" s="8" t="s">
        <v>11922</v>
      </c>
      <c r="H30" s="8" t="s">
        <v>11922</v>
      </c>
      <c r="I30" s="8" t="s">
        <v>11922</v>
      </c>
      <c r="J30" s="8" t="s">
        <v>11922</v>
      </c>
      <c r="K30" s="8" t="s">
        <v>11922</v>
      </c>
      <c r="L30" s="8" t="s">
        <v>11922</v>
      </c>
      <c r="M30" s="8" t="s">
        <v>11922</v>
      </c>
    </row>
    <row r="31" spans="1:13" ht="21.95" customHeight="1" x14ac:dyDescent="0.15">
      <c r="A31" s="7" t="s">
        <v>11819</v>
      </c>
      <c r="B31" s="7" t="s">
        <v>11484</v>
      </c>
      <c r="C31" s="7" t="s">
        <v>11484</v>
      </c>
      <c r="D31" s="7" t="s">
        <v>11484</v>
      </c>
      <c r="E31" s="7" t="s">
        <v>11484</v>
      </c>
      <c r="F31" s="7" t="s">
        <v>11484</v>
      </c>
      <c r="G31" s="7" t="s">
        <v>11484</v>
      </c>
      <c r="H31" s="7" t="s">
        <v>11484</v>
      </c>
      <c r="I31" s="7" t="s">
        <v>11484</v>
      </c>
      <c r="J31" s="7" t="s">
        <v>11484</v>
      </c>
      <c r="K31" s="7" t="s">
        <v>11484</v>
      </c>
      <c r="L31" s="7" t="s">
        <v>11484</v>
      </c>
      <c r="M31" s="7" t="s">
        <v>11484</v>
      </c>
    </row>
    <row r="32" spans="1:13" ht="8.1" customHeight="1" x14ac:dyDescent="0.15">
      <c r="A32" s="9"/>
      <c r="B32" s="10"/>
      <c r="C32" s="10"/>
      <c r="D32" s="10"/>
      <c r="E32" s="10"/>
      <c r="F32" s="10"/>
      <c r="G32" s="10"/>
      <c r="H32" s="10"/>
      <c r="I32" s="10"/>
      <c r="J32" s="10"/>
      <c r="K32" s="10"/>
      <c r="L32" s="10"/>
      <c r="M32" s="10"/>
    </row>
    <row r="34" spans="1:13" ht="27.95" customHeight="1" x14ac:dyDescent="0.15">
      <c r="A34" s="13" t="s">
        <v>11923</v>
      </c>
      <c r="B34" s="10"/>
      <c r="C34" s="10"/>
      <c r="D34" s="10"/>
      <c r="E34" s="10"/>
      <c r="F34" s="10"/>
      <c r="G34" s="10"/>
      <c r="H34" s="10"/>
      <c r="I34" s="10"/>
      <c r="J34" s="10"/>
      <c r="K34" s="10"/>
      <c r="L34" s="10"/>
      <c r="M34" s="10"/>
    </row>
    <row r="35" spans="1:13" ht="45" customHeight="1" x14ac:dyDescent="0.15">
      <c r="A35" s="12" t="s">
        <v>11924</v>
      </c>
      <c r="B35" s="10"/>
      <c r="C35" s="10"/>
      <c r="D35" s="10"/>
      <c r="E35" s="10"/>
      <c r="F35" s="10"/>
      <c r="G35" s="10"/>
      <c r="H35" s="10"/>
      <c r="I35" s="10"/>
      <c r="J35" s="10"/>
      <c r="K35" s="10"/>
      <c r="L35" s="10"/>
      <c r="M35" s="10"/>
    </row>
    <row r="36" spans="1:13" ht="15" x14ac:dyDescent="0.15">
      <c r="A36" s="6" t="s">
        <v>11329</v>
      </c>
      <c r="B36" s="6" t="s">
        <v>11330</v>
      </c>
      <c r="C36" s="6" t="s">
        <v>11331</v>
      </c>
      <c r="D36" s="6" t="s">
        <v>11332</v>
      </c>
      <c r="E36" s="6" t="s">
        <v>11333</v>
      </c>
      <c r="F36" s="6" t="s">
        <v>11334</v>
      </c>
      <c r="G36" s="6" t="s">
        <v>11335</v>
      </c>
      <c r="H36" s="6" t="s">
        <v>11336</v>
      </c>
      <c r="I36" s="6" t="s">
        <v>11337</v>
      </c>
      <c r="J36" s="6" t="s">
        <v>11338</v>
      </c>
      <c r="K36" s="6" t="s">
        <v>11339</v>
      </c>
      <c r="L36" s="6" t="s">
        <v>11340</v>
      </c>
      <c r="M36" s="6" t="s">
        <v>11341</v>
      </c>
    </row>
    <row r="37" spans="1:13" ht="21.95" customHeight="1" x14ac:dyDescent="0.15">
      <c r="A37" s="7" t="s">
        <v>11435</v>
      </c>
      <c r="B37" s="7" t="s">
        <v>11925</v>
      </c>
      <c r="C37" s="7" t="s">
        <v>11925</v>
      </c>
      <c r="D37" s="7" t="s">
        <v>11925</v>
      </c>
      <c r="E37" s="7" t="s">
        <v>11925</v>
      </c>
      <c r="F37" s="7" t="s">
        <v>11925</v>
      </c>
      <c r="G37" s="7" t="s">
        <v>11925</v>
      </c>
      <c r="H37" s="7" t="s">
        <v>11925</v>
      </c>
      <c r="I37" s="7" t="s">
        <v>11925</v>
      </c>
      <c r="J37" s="7" t="s">
        <v>11926</v>
      </c>
      <c r="K37" s="7" t="s">
        <v>11926</v>
      </c>
      <c r="L37" s="7" t="s">
        <v>11926</v>
      </c>
      <c r="M37" s="7" t="s">
        <v>11927</v>
      </c>
    </row>
    <row r="38" spans="1:13" ht="21.95" customHeight="1" x14ac:dyDescent="0.15">
      <c r="A38" s="8" t="s">
        <v>11928</v>
      </c>
      <c r="B38" s="8" t="s">
        <v>11929</v>
      </c>
      <c r="C38" s="8" t="s">
        <v>11930</v>
      </c>
      <c r="D38" s="8" t="s">
        <v>11931</v>
      </c>
      <c r="E38" s="8" t="s">
        <v>11932</v>
      </c>
      <c r="F38" s="8" t="s">
        <v>11933</v>
      </c>
      <c r="G38" s="8" t="s">
        <v>11774</v>
      </c>
      <c r="H38" s="8" t="s">
        <v>11934</v>
      </c>
      <c r="I38" s="8" t="s">
        <v>11935</v>
      </c>
      <c r="J38" s="8" t="s">
        <v>11775</v>
      </c>
      <c r="K38" s="8" t="s">
        <v>11936</v>
      </c>
      <c r="L38" s="8" t="s">
        <v>11937</v>
      </c>
      <c r="M38" s="8" t="s">
        <v>11938</v>
      </c>
    </row>
    <row r="39" spans="1:13" ht="21.95" customHeight="1" x14ac:dyDescent="0.15">
      <c r="A39" s="7" t="s">
        <v>11939</v>
      </c>
      <c r="B39" s="7" t="s">
        <v>11940</v>
      </c>
      <c r="C39" s="7" t="s">
        <v>11941</v>
      </c>
      <c r="D39" s="7" t="s">
        <v>11942</v>
      </c>
      <c r="E39" s="7" t="s">
        <v>11943</v>
      </c>
      <c r="F39" s="7" t="s">
        <v>11944</v>
      </c>
      <c r="G39" s="7" t="s">
        <v>11786</v>
      </c>
      <c r="H39" s="7" t="s">
        <v>11945</v>
      </c>
      <c r="I39" s="7" t="s">
        <v>11946</v>
      </c>
      <c r="J39" s="7" t="s">
        <v>11787</v>
      </c>
      <c r="K39" s="7" t="s">
        <v>11947</v>
      </c>
      <c r="L39" s="7" t="s">
        <v>11948</v>
      </c>
      <c r="M39" s="7" t="s">
        <v>11922</v>
      </c>
    </row>
    <row r="40" spans="1:13" ht="21.95" customHeight="1" x14ac:dyDescent="0.15">
      <c r="A40" s="8" t="s">
        <v>11949</v>
      </c>
      <c r="B40" s="8" t="s">
        <v>11950</v>
      </c>
      <c r="C40" s="8" t="s">
        <v>11951</v>
      </c>
      <c r="D40" s="8" t="s">
        <v>11952</v>
      </c>
      <c r="E40" s="8" t="s">
        <v>11953</v>
      </c>
      <c r="F40" s="8" t="s">
        <v>11954</v>
      </c>
      <c r="G40" s="8" t="s">
        <v>11955</v>
      </c>
      <c r="H40" s="8" t="s">
        <v>11956</v>
      </c>
      <c r="I40" s="8" t="s">
        <v>11957</v>
      </c>
      <c r="J40" s="8" t="s">
        <v>11958</v>
      </c>
      <c r="K40" s="8" t="s">
        <v>11959</v>
      </c>
      <c r="L40" s="8" t="s">
        <v>11960</v>
      </c>
      <c r="M40" s="8" t="s">
        <v>11961</v>
      </c>
    </row>
    <row r="41" spans="1:13" ht="21.95" customHeight="1" x14ac:dyDescent="0.15">
      <c r="A41" s="7" t="s">
        <v>11962</v>
      </c>
      <c r="B41" s="7" t="s">
        <v>11963</v>
      </c>
      <c r="C41" s="7" t="s">
        <v>11964</v>
      </c>
      <c r="D41" s="7" t="s">
        <v>11965</v>
      </c>
      <c r="E41" s="7" t="s">
        <v>11966</v>
      </c>
      <c r="F41" s="7" t="s">
        <v>11967</v>
      </c>
      <c r="G41" s="7" t="s">
        <v>11967</v>
      </c>
      <c r="H41" s="7" t="s">
        <v>11968</v>
      </c>
      <c r="I41" s="7" t="s">
        <v>11968</v>
      </c>
      <c r="J41" s="7" t="s">
        <v>11969</v>
      </c>
      <c r="K41" s="7" t="s">
        <v>11969</v>
      </c>
      <c r="L41" s="7" t="s">
        <v>11969</v>
      </c>
      <c r="M41" s="7" t="s">
        <v>11970</v>
      </c>
    </row>
    <row r="42" spans="1:13" ht="21.95" customHeight="1" x14ac:dyDescent="0.15">
      <c r="A42" s="8" t="s">
        <v>11971</v>
      </c>
      <c r="B42" s="8" t="s">
        <v>11922</v>
      </c>
      <c r="C42" s="8" t="s">
        <v>11922</v>
      </c>
      <c r="D42" s="8" t="s">
        <v>11922</v>
      </c>
      <c r="E42" s="8" t="s">
        <v>11922</v>
      </c>
      <c r="F42" s="8" t="s">
        <v>11922</v>
      </c>
      <c r="G42" s="8" t="s">
        <v>11922</v>
      </c>
      <c r="H42" s="8" t="s">
        <v>11922</v>
      </c>
      <c r="I42" s="8" t="s">
        <v>11922</v>
      </c>
      <c r="J42" s="8" t="s">
        <v>11922</v>
      </c>
      <c r="K42" s="8" t="s">
        <v>11922</v>
      </c>
      <c r="L42" s="8" t="s">
        <v>11922</v>
      </c>
      <c r="M42" s="8" t="s">
        <v>11922</v>
      </c>
    </row>
    <row r="43" spans="1:13" ht="21.95" customHeight="1" x14ac:dyDescent="0.15">
      <c r="A43" s="7" t="s">
        <v>11819</v>
      </c>
      <c r="B43" s="7" t="s">
        <v>11972</v>
      </c>
      <c r="C43" s="7" t="s">
        <v>11972</v>
      </c>
      <c r="D43" s="7" t="s">
        <v>11972</v>
      </c>
      <c r="E43" s="7" t="s">
        <v>11972</v>
      </c>
      <c r="F43" s="7" t="s">
        <v>11972</v>
      </c>
      <c r="G43" s="7" t="s">
        <v>11972</v>
      </c>
      <c r="H43" s="7" t="s">
        <v>11972</v>
      </c>
      <c r="I43" s="7" t="s">
        <v>11972</v>
      </c>
      <c r="J43" s="7" t="s">
        <v>11972</v>
      </c>
      <c r="K43" s="7" t="s">
        <v>11972</v>
      </c>
      <c r="L43" s="7" t="s">
        <v>11972</v>
      </c>
      <c r="M43" s="7" t="s">
        <v>11972</v>
      </c>
    </row>
    <row r="44" spans="1:13" ht="8.1" customHeight="1" x14ac:dyDescent="0.15">
      <c r="A44" s="9"/>
      <c r="B44" s="10"/>
      <c r="C44" s="10"/>
      <c r="D44" s="10"/>
      <c r="E44" s="10"/>
      <c r="F44" s="10"/>
      <c r="G44" s="10"/>
      <c r="H44" s="10"/>
      <c r="I44" s="10"/>
      <c r="J44" s="10"/>
      <c r="K44" s="10"/>
      <c r="L44" s="10"/>
      <c r="M44" s="10"/>
    </row>
  </sheetData>
  <sheetProtection password="CC26" sheet="1"/>
  <mergeCells count="13">
    <mergeCell ref="A13:M13"/>
    <mergeCell ref="A14:M14"/>
    <mergeCell ref="A44:M44"/>
    <mergeCell ref="A1:M1"/>
    <mergeCell ref="A23:M23"/>
    <mergeCell ref="A32:M32"/>
    <mergeCell ref="A22:M22"/>
    <mergeCell ref="A34:M34"/>
    <mergeCell ref="A35:M35"/>
    <mergeCell ref="A4:M4"/>
    <mergeCell ref="A3:M3"/>
    <mergeCell ref="A20:M20"/>
    <mergeCell ref="A11:M11"/>
  </mergeCells>
  <phoneticPr fontId="39" type="noConversion"/>
  <conditionalFormatting sqref="B6:M10">
    <cfRule type="colorScale" priority="1">
      <colorScale>
        <cfvo type="min"/>
        <cfvo type="percentile" val="50"/>
        <cfvo type="max"/>
        <color rgb="FFFFC7CE"/>
        <color rgb="FFFFEB9C"/>
        <color rgb="FFC6EFCE"/>
      </colorScale>
    </cfRule>
  </conditionalFormatting>
  <conditionalFormatting sqref="B16:M19">
    <cfRule type="colorScale" priority="2">
      <colorScale>
        <cfvo type="min"/>
        <cfvo type="percentile" val="50"/>
        <cfvo type="max"/>
        <color rgb="FFFFC7CE"/>
        <color rgb="FFFFEB9C"/>
        <color rgb="FFC6EFCE"/>
      </colorScale>
    </cfRule>
  </conditionalFormatting>
  <conditionalFormatting sqref="B25:M31">
    <cfRule type="colorScale" priority="3">
      <colorScale>
        <cfvo type="min"/>
        <cfvo type="percentile" val="50"/>
        <cfvo type="max"/>
        <color rgb="FFFFC7CE"/>
        <color rgb="FFFFEB9C"/>
        <color rgb="FFC6EFCE"/>
      </colorScale>
    </cfRule>
  </conditionalFormatting>
  <conditionalFormatting sqref="B37:M43">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46"/>
  <sheetViews>
    <sheetView workbookViewId="0"/>
  </sheetViews>
  <sheetFormatPr defaultRowHeight="13.5" x14ac:dyDescent="0.15"/>
  <cols>
    <col min="1" max="1" width="32" customWidth="1"/>
    <col min="2" max="13" width="9" customWidth="1"/>
  </cols>
  <sheetData>
    <row r="1" spans="1:13" ht="35.1" customHeight="1" x14ac:dyDescent="0.15">
      <c r="A1" s="11" t="s">
        <v>11973</v>
      </c>
      <c r="B1" s="10"/>
      <c r="C1" s="10"/>
      <c r="D1" s="10"/>
      <c r="E1" s="10"/>
      <c r="F1" s="10"/>
      <c r="G1" s="10"/>
      <c r="H1" s="10"/>
      <c r="I1" s="10"/>
      <c r="J1" s="10"/>
      <c r="K1" s="10"/>
      <c r="L1" s="10"/>
      <c r="M1" s="10"/>
    </row>
    <row r="3" spans="1:13" ht="27.95" customHeight="1" x14ac:dyDescent="0.15">
      <c r="A3" s="13" t="s">
        <v>11974</v>
      </c>
      <c r="B3" s="10"/>
      <c r="C3" s="10"/>
      <c r="D3" s="10"/>
      <c r="E3" s="10"/>
      <c r="F3" s="10"/>
      <c r="G3" s="10"/>
      <c r="H3" s="10"/>
      <c r="I3" s="10"/>
      <c r="J3" s="10"/>
      <c r="K3" s="10"/>
      <c r="L3" s="10"/>
      <c r="M3" s="10"/>
    </row>
    <row r="4" spans="1:13" ht="45" customHeight="1" x14ac:dyDescent="0.15">
      <c r="A4" s="12" t="s">
        <v>11975</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11543</v>
      </c>
      <c r="C6" s="7" t="s">
        <v>11345</v>
      </c>
      <c r="D6" s="7" t="s">
        <v>11346</v>
      </c>
      <c r="E6" s="7" t="s">
        <v>11347</v>
      </c>
      <c r="F6" s="7" t="s">
        <v>11348</v>
      </c>
      <c r="G6" s="7" t="s">
        <v>11349</v>
      </c>
      <c r="H6" s="7" t="s">
        <v>11350</v>
      </c>
      <c r="I6" s="7" t="s">
        <v>11351</v>
      </c>
      <c r="J6" s="7" t="s">
        <v>11352</v>
      </c>
      <c r="K6" s="7" t="s">
        <v>11353</v>
      </c>
      <c r="L6" s="7" t="s">
        <v>11545</v>
      </c>
      <c r="M6" s="7" t="s">
        <v>11375</v>
      </c>
    </row>
    <row r="7" spans="1:13" ht="21.95" customHeight="1" x14ac:dyDescent="0.15">
      <c r="A7" s="8" t="s">
        <v>11355</v>
      </c>
      <c r="B7" s="8" t="s">
        <v>11346</v>
      </c>
      <c r="C7" s="8" t="s">
        <v>11347</v>
      </c>
      <c r="D7" s="8" t="s">
        <v>11357</v>
      </c>
      <c r="E7" s="8" t="s">
        <v>11358</v>
      </c>
      <c r="F7" s="8" t="s">
        <v>11351</v>
      </c>
      <c r="G7" s="8" t="s">
        <v>11352</v>
      </c>
      <c r="H7" s="8" t="s">
        <v>11353</v>
      </c>
      <c r="I7" s="8" t="s">
        <v>11361</v>
      </c>
      <c r="J7" s="8" t="s">
        <v>11362</v>
      </c>
      <c r="K7" s="8" t="s">
        <v>11363</v>
      </c>
      <c r="L7" s="8" t="s">
        <v>11383</v>
      </c>
      <c r="M7" s="8" t="s">
        <v>11567</v>
      </c>
    </row>
    <row r="8" spans="1:13" ht="21.95" customHeight="1" x14ac:dyDescent="0.15">
      <c r="A8" s="7" t="s">
        <v>11365</v>
      </c>
      <c r="B8" s="7" t="s">
        <v>11357</v>
      </c>
      <c r="C8" s="7" t="s">
        <v>11350</v>
      </c>
      <c r="D8" s="7" t="s">
        <v>11367</v>
      </c>
      <c r="E8" s="7" t="s">
        <v>11360</v>
      </c>
      <c r="F8" s="7" t="s">
        <v>11361</v>
      </c>
      <c r="G8" s="7" t="s">
        <v>11505</v>
      </c>
      <c r="H8" s="7" t="s">
        <v>11363</v>
      </c>
      <c r="I8" s="7" t="s">
        <v>11383</v>
      </c>
      <c r="J8" s="7" t="s">
        <v>11372</v>
      </c>
      <c r="K8" s="7" t="s">
        <v>11378</v>
      </c>
      <c r="L8" s="7" t="s">
        <v>11509</v>
      </c>
      <c r="M8" s="7" t="s">
        <v>11510</v>
      </c>
    </row>
    <row r="9" spans="1:13" ht="21.95" customHeight="1" x14ac:dyDescent="0.15">
      <c r="A9" s="8" t="s">
        <v>11374</v>
      </c>
      <c r="B9" s="8" t="s">
        <v>11373</v>
      </c>
      <c r="C9" s="8" t="s">
        <v>11602</v>
      </c>
      <c r="D9" s="8" t="s">
        <v>11570</v>
      </c>
      <c r="E9" s="8" t="s">
        <v>11403</v>
      </c>
      <c r="F9" s="8" t="s">
        <v>11603</v>
      </c>
      <c r="G9" s="8" t="s">
        <v>11604</v>
      </c>
      <c r="H9" s="8" t="s">
        <v>11605</v>
      </c>
      <c r="I9" s="8" t="s">
        <v>11600</v>
      </c>
      <c r="J9" s="8" t="s">
        <v>11606</v>
      </c>
      <c r="K9" s="8" t="s">
        <v>11607</v>
      </c>
      <c r="L9" s="8" t="s">
        <v>11608</v>
      </c>
      <c r="M9" s="8" t="s">
        <v>11609</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11976</v>
      </c>
      <c r="B14" s="10"/>
      <c r="C14" s="10"/>
      <c r="D14" s="10"/>
      <c r="E14" s="10"/>
      <c r="F14" s="10"/>
      <c r="G14" s="10"/>
      <c r="H14" s="10"/>
      <c r="I14" s="10"/>
      <c r="J14" s="10"/>
      <c r="K14" s="10"/>
      <c r="L14" s="10"/>
      <c r="M14" s="10"/>
    </row>
    <row r="15" spans="1:13" ht="45" customHeight="1" x14ac:dyDescent="0.15">
      <c r="A15" s="12" t="s">
        <v>11977</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11657</v>
      </c>
      <c r="B17" s="7" t="s">
        <v>11358</v>
      </c>
      <c r="C17" s="7" t="s">
        <v>11367</v>
      </c>
      <c r="D17" s="7" t="s">
        <v>11360</v>
      </c>
      <c r="E17" s="7" t="s">
        <v>11545</v>
      </c>
      <c r="F17" s="7" t="s">
        <v>11505</v>
      </c>
      <c r="G17" s="7" t="s">
        <v>11506</v>
      </c>
      <c r="H17" s="7" t="s">
        <v>11364</v>
      </c>
      <c r="I17" s="7" t="s">
        <v>11567</v>
      </c>
      <c r="J17" s="7" t="s">
        <v>11568</v>
      </c>
      <c r="K17" s="7" t="s">
        <v>11509</v>
      </c>
      <c r="L17" s="7" t="s">
        <v>11510</v>
      </c>
      <c r="M17" s="7" t="s">
        <v>11469</v>
      </c>
    </row>
    <row r="18" spans="1:13" ht="21.95" customHeight="1" x14ac:dyDescent="0.15">
      <c r="A18" s="8" t="s">
        <v>11659</v>
      </c>
      <c r="B18" s="8" t="s">
        <v>11358</v>
      </c>
      <c r="C18" s="8" t="s">
        <v>11367</v>
      </c>
      <c r="D18" s="8" t="s">
        <v>11360</v>
      </c>
      <c r="E18" s="8" t="s">
        <v>11545</v>
      </c>
      <c r="F18" s="8" t="s">
        <v>11505</v>
      </c>
      <c r="G18" s="8" t="s">
        <v>11506</v>
      </c>
      <c r="H18" s="8" t="s">
        <v>11364</v>
      </c>
      <c r="I18" s="8" t="s">
        <v>11567</v>
      </c>
      <c r="J18" s="8" t="s">
        <v>11568</v>
      </c>
      <c r="K18" s="8" t="s">
        <v>11509</v>
      </c>
      <c r="L18" s="8" t="s">
        <v>11510</v>
      </c>
      <c r="M18" s="8" t="s">
        <v>11469</v>
      </c>
    </row>
    <row r="19" spans="1:13" ht="21.95" customHeight="1" x14ac:dyDescent="0.15">
      <c r="A19" s="7" t="s">
        <v>11978</v>
      </c>
      <c r="B19" s="7" t="s">
        <v>11701</v>
      </c>
      <c r="C19" s="7" t="s">
        <v>11707</v>
      </c>
      <c r="D19" s="7" t="s">
        <v>11613</v>
      </c>
      <c r="E19" s="7" t="s">
        <v>11686</v>
      </c>
      <c r="F19" s="7" t="s">
        <v>11979</v>
      </c>
      <c r="G19" s="7" t="s">
        <v>11473</v>
      </c>
      <c r="H19" s="7" t="s">
        <v>11980</v>
      </c>
      <c r="I19" s="7" t="s">
        <v>11420</v>
      </c>
      <c r="J19" s="7" t="s">
        <v>11981</v>
      </c>
      <c r="K19" s="7" t="s">
        <v>11982</v>
      </c>
      <c r="L19" s="7" t="s">
        <v>11983</v>
      </c>
      <c r="M19" s="7" t="s">
        <v>11984</v>
      </c>
    </row>
    <row r="20" spans="1:13" ht="21.95" customHeight="1" x14ac:dyDescent="0.15">
      <c r="A20" s="8" t="s">
        <v>11985</v>
      </c>
      <c r="B20" s="8" t="s">
        <v>11430</v>
      </c>
      <c r="C20" s="8" t="s">
        <v>11430</v>
      </c>
      <c r="D20" s="8" t="s">
        <v>11430</v>
      </c>
      <c r="E20" s="8" t="s">
        <v>11430</v>
      </c>
      <c r="F20" s="8" t="s">
        <v>11430</v>
      </c>
      <c r="G20" s="8" t="s">
        <v>11430</v>
      </c>
      <c r="H20" s="8" t="s">
        <v>11430</v>
      </c>
      <c r="I20" s="8" t="s">
        <v>11430</v>
      </c>
      <c r="J20" s="8" t="s">
        <v>11430</v>
      </c>
      <c r="K20" s="8" t="s">
        <v>11430</v>
      </c>
      <c r="L20" s="8" t="s">
        <v>11430</v>
      </c>
      <c r="M20" s="8" t="s">
        <v>11430</v>
      </c>
    </row>
    <row r="21" spans="1:13" ht="21.95" customHeight="1" x14ac:dyDescent="0.15">
      <c r="A21" s="7" t="s">
        <v>11986</v>
      </c>
      <c r="B21" s="7" t="s">
        <v>11987</v>
      </c>
      <c r="C21" s="7" t="s">
        <v>11987</v>
      </c>
      <c r="D21" s="7" t="s">
        <v>11987</v>
      </c>
      <c r="E21" s="7" t="s">
        <v>11987</v>
      </c>
      <c r="F21" s="7" t="s">
        <v>11987</v>
      </c>
      <c r="G21" s="7" t="s">
        <v>11988</v>
      </c>
      <c r="H21" s="7" t="s">
        <v>11988</v>
      </c>
      <c r="I21" s="7" t="s">
        <v>11988</v>
      </c>
      <c r="J21" s="7" t="s">
        <v>11799</v>
      </c>
      <c r="K21" s="7" t="s">
        <v>11642</v>
      </c>
      <c r="L21" s="7" t="s">
        <v>11642</v>
      </c>
      <c r="M21" s="7" t="s">
        <v>11644</v>
      </c>
    </row>
    <row r="22" spans="1:13" ht="21.95" customHeight="1" x14ac:dyDescent="0.15">
      <c r="A22" s="8" t="s">
        <v>11989</v>
      </c>
      <c r="B22" s="8" t="s">
        <v>11820</v>
      </c>
      <c r="C22" s="8" t="s">
        <v>11820</v>
      </c>
      <c r="D22" s="8" t="s">
        <v>11820</v>
      </c>
      <c r="E22" s="8" t="s">
        <v>11820</v>
      </c>
      <c r="F22" s="8" t="s">
        <v>11820</v>
      </c>
      <c r="G22" s="8" t="s">
        <v>11820</v>
      </c>
      <c r="H22" s="8" t="s">
        <v>11820</v>
      </c>
      <c r="I22" s="8" t="s">
        <v>11820</v>
      </c>
      <c r="J22" s="8" t="s">
        <v>11820</v>
      </c>
      <c r="K22" s="8" t="s">
        <v>11820</v>
      </c>
      <c r="L22" s="8" t="s">
        <v>11820</v>
      </c>
      <c r="M22" s="8" t="s">
        <v>11820</v>
      </c>
    </row>
    <row r="23" spans="1:13" ht="8.1" customHeight="1" x14ac:dyDescent="0.15">
      <c r="A23" s="9"/>
      <c r="B23" s="10"/>
      <c r="C23" s="10"/>
      <c r="D23" s="10"/>
      <c r="E23" s="10"/>
      <c r="F23" s="10"/>
      <c r="G23" s="10"/>
      <c r="H23" s="10"/>
      <c r="I23" s="10"/>
      <c r="J23" s="10"/>
      <c r="K23" s="10"/>
      <c r="L23" s="10"/>
      <c r="M23" s="10"/>
    </row>
    <row r="25" spans="1:13" ht="27.95" customHeight="1" x14ac:dyDescent="0.15">
      <c r="A25" s="13" t="s">
        <v>11990</v>
      </c>
      <c r="B25" s="10"/>
      <c r="C25" s="10"/>
      <c r="D25" s="10"/>
      <c r="E25" s="10"/>
      <c r="F25" s="10"/>
      <c r="G25" s="10"/>
      <c r="H25" s="10"/>
      <c r="I25" s="10"/>
      <c r="J25" s="10"/>
      <c r="K25" s="10"/>
      <c r="L25" s="10"/>
      <c r="M25" s="10"/>
    </row>
    <row r="26" spans="1:13" ht="45" customHeight="1" x14ac:dyDescent="0.15">
      <c r="A26" s="12" t="s">
        <v>11991</v>
      </c>
      <c r="B26" s="10"/>
      <c r="C26" s="10"/>
      <c r="D26" s="10"/>
      <c r="E26" s="10"/>
      <c r="F26" s="10"/>
      <c r="G26" s="10"/>
      <c r="H26" s="10"/>
      <c r="I26" s="10"/>
      <c r="J26" s="10"/>
      <c r="K26" s="10"/>
      <c r="L26" s="10"/>
      <c r="M26" s="10"/>
    </row>
    <row r="27" spans="1:13" ht="15" x14ac:dyDescent="0.15">
      <c r="A27" s="6" t="s">
        <v>11329</v>
      </c>
      <c r="B27" s="6" t="s">
        <v>11330</v>
      </c>
      <c r="C27" s="6" t="s">
        <v>11331</v>
      </c>
      <c r="D27" s="6" t="s">
        <v>11332</v>
      </c>
      <c r="E27" s="6" t="s">
        <v>11333</v>
      </c>
      <c r="F27" s="6" t="s">
        <v>11334</v>
      </c>
      <c r="G27" s="6" t="s">
        <v>11335</v>
      </c>
      <c r="H27" s="6" t="s">
        <v>11336</v>
      </c>
      <c r="I27" s="6" t="s">
        <v>11337</v>
      </c>
      <c r="J27" s="6" t="s">
        <v>11338</v>
      </c>
      <c r="K27" s="6" t="s">
        <v>11339</v>
      </c>
      <c r="L27" s="6" t="s">
        <v>11340</v>
      </c>
      <c r="M27" s="6" t="s">
        <v>11341</v>
      </c>
    </row>
    <row r="28" spans="1:13" ht="21.95" customHeight="1" x14ac:dyDescent="0.15">
      <c r="A28" s="7" t="s">
        <v>11433</v>
      </c>
      <c r="B28" s="7" t="s">
        <v>11633</v>
      </c>
      <c r="C28" s="7" t="s">
        <v>11633</v>
      </c>
      <c r="D28" s="7" t="s">
        <v>11633</v>
      </c>
      <c r="E28" s="7" t="s">
        <v>11633</v>
      </c>
      <c r="F28" s="7" t="s">
        <v>11633</v>
      </c>
      <c r="G28" s="7" t="s">
        <v>11633</v>
      </c>
      <c r="H28" s="7" t="s">
        <v>11633</v>
      </c>
      <c r="I28" s="7" t="s">
        <v>11633</v>
      </c>
      <c r="J28" s="7" t="s">
        <v>11633</v>
      </c>
      <c r="K28" s="7" t="s">
        <v>11633</v>
      </c>
      <c r="L28" s="7" t="s">
        <v>11633</v>
      </c>
      <c r="M28" s="7" t="s">
        <v>11633</v>
      </c>
    </row>
    <row r="29" spans="1:13" ht="21.95" customHeight="1" x14ac:dyDescent="0.15">
      <c r="A29" s="8" t="s">
        <v>11435</v>
      </c>
      <c r="B29" s="8" t="s">
        <v>11466</v>
      </c>
      <c r="C29" s="8" t="s">
        <v>11466</v>
      </c>
      <c r="D29" s="8" t="s">
        <v>11466</v>
      </c>
      <c r="E29" s="8" t="s">
        <v>11466</v>
      </c>
      <c r="F29" s="8" t="s">
        <v>11466</v>
      </c>
      <c r="G29" s="8" t="s">
        <v>11466</v>
      </c>
      <c r="H29" s="8" t="s">
        <v>11466</v>
      </c>
      <c r="I29" s="8" t="s">
        <v>11466</v>
      </c>
      <c r="J29" s="8" t="s">
        <v>11466</v>
      </c>
      <c r="K29" s="8" t="s">
        <v>11466</v>
      </c>
      <c r="L29" s="8" t="s">
        <v>11466</v>
      </c>
      <c r="M29" s="8" t="s">
        <v>11466</v>
      </c>
    </row>
    <row r="30" spans="1:13" ht="21.95" customHeight="1" x14ac:dyDescent="0.15">
      <c r="A30" s="7" t="s">
        <v>11657</v>
      </c>
      <c r="B30" s="7" t="s">
        <v>11473</v>
      </c>
      <c r="C30" s="7" t="s">
        <v>11474</v>
      </c>
      <c r="D30" s="7" t="s">
        <v>11475</v>
      </c>
      <c r="E30" s="7" t="s">
        <v>11476</v>
      </c>
      <c r="F30" s="7" t="s">
        <v>11423</v>
      </c>
      <c r="G30" s="7" t="s">
        <v>11451</v>
      </c>
      <c r="H30" s="7" t="s">
        <v>11477</v>
      </c>
      <c r="I30" s="7" t="s">
        <v>11478</v>
      </c>
      <c r="J30" s="7" t="s">
        <v>11453</v>
      </c>
      <c r="K30" s="7" t="s">
        <v>11479</v>
      </c>
      <c r="L30" s="7" t="s">
        <v>11480</v>
      </c>
      <c r="M30" s="7" t="s">
        <v>11389</v>
      </c>
    </row>
    <row r="31" spans="1:13" ht="21.95" customHeight="1" x14ac:dyDescent="0.15">
      <c r="A31" s="8" t="s">
        <v>11673</v>
      </c>
      <c r="B31" s="8" t="s">
        <v>11484</v>
      </c>
      <c r="C31" s="8" t="s">
        <v>11484</v>
      </c>
      <c r="D31" s="8" t="s">
        <v>11484</v>
      </c>
      <c r="E31" s="8" t="s">
        <v>11484</v>
      </c>
      <c r="F31" s="8" t="s">
        <v>11484</v>
      </c>
      <c r="G31" s="8" t="s">
        <v>11484</v>
      </c>
      <c r="H31" s="8" t="s">
        <v>11484</v>
      </c>
      <c r="I31" s="8" t="s">
        <v>11484</v>
      </c>
      <c r="J31" s="8" t="s">
        <v>11484</v>
      </c>
      <c r="K31" s="8" t="s">
        <v>11484</v>
      </c>
      <c r="L31" s="8" t="s">
        <v>11484</v>
      </c>
      <c r="M31" s="8" t="s">
        <v>11484</v>
      </c>
    </row>
    <row r="32" spans="1:13" ht="21.95" customHeight="1" x14ac:dyDescent="0.15">
      <c r="A32" s="7" t="s">
        <v>11659</v>
      </c>
      <c r="B32" s="7" t="s">
        <v>11473</v>
      </c>
      <c r="C32" s="7" t="s">
        <v>11474</v>
      </c>
      <c r="D32" s="7" t="s">
        <v>11475</v>
      </c>
      <c r="E32" s="7" t="s">
        <v>11476</v>
      </c>
      <c r="F32" s="7" t="s">
        <v>11423</v>
      </c>
      <c r="G32" s="7" t="s">
        <v>11451</v>
      </c>
      <c r="H32" s="7" t="s">
        <v>11477</v>
      </c>
      <c r="I32" s="7" t="s">
        <v>11478</v>
      </c>
      <c r="J32" s="7" t="s">
        <v>11453</v>
      </c>
      <c r="K32" s="7" t="s">
        <v>11479</v>
      </c>
      <c r="L32" s="7" t="s">
        <v>11480</v>
      </c>
      <c r="M32" s="7" t="s">
        <v>11389</v>
      </c>
    </row>
    <row r="33" spans="1:13" ht="21.95" customHeight="1" x14ac:dyDescent="0.15">
      <c r="A33" s="8" t="s">
        <v>11660</v>
      </c>
      <c r="B33" s="8" t="s">
        <v>11484</v>
      </c>
      <c r="C33" s="8" t="s">
        <v>11484</v>
      </c>
      <c r="D33" s="8" t="s">
        <v>11484</v>
      </c>
      <c r="E33" s="8" t="s">
        <v>11484</v>
      </c>
      <c r="F33" s="8" t="s">
        <v>11484</v>
      </c>
      <c r="G33" s="8" t="s">
        <v>11484</v>
      </c>
      <c r="H33" s="8" t="s">
        <v>11484</v>
      </c>
      <c r="I33" s="8" t="s">
        <v>11484</v>
      </c>
      <c r="J33" s="8" t="s">
        <v>11484</v>
      </c>
      <c r="K33" s="8" t="s">
        <v>11484</v>
      </c>
      <c r="L33" s="8" t="s">
        <v>11484</v>
      </c>
      <c r="M33" s="8" t="s">
        <v>11484</v>
      </c>
    </row>
    <row r="34" spans="1:13" ht="21.95" customHeight="1" x14ac:dyDescent="0.15">
      <c r="A34" s="7" t="s">
        <v>11620</v>
      </c>
      <c r="B34" s="7" t="s">
        <v>11451</v>
      </c>
      <c r="C34" s="7" t="s">
        <v>11452</v>
      </c>
      <c r="D34" s="7" t="s">
        <v>11453</v>
      </c>
      <c r="E34" s="7" t="s">
        <v>11454</v>
      </c>
      <c r="F34" s="7" t="s">
        <v>11455</v>
      </c>
      <c r="G34" s="7" t="s">
        <v>11389</v>
      </c>
      <c r="H34" s="7" t="s">
        <v>11441</v>
      </c>
      <c r="I34" s="7" t="s">
        <v>11456</v>
      </c>
      <c r="J34" s="7" t="s">
        <v>11391</v>
      </c>
      <c r="K34" s="7" t="s">
        <v>11457</v>
      </c>
      <c r="L34" s="7" t="s">
        <v>11458</v>
      </c>
      <c r="M34" s="7" t="s">
        <v>11394</v>
      </c>
    </row>
    <row r="35" spans="1:13" ht="21.95" customHeight="1" x14ac:dyDescent="0.15">
      <c r="A35" s="8" t="s">
        <v>11630</v>
      </c>
      <c r="B35" s="8" t="s">
        <v>11484</v>
      </c>
      <c r="C35" s="8" t="s">
        <v>11484</v>
      </c>
      <c r="D35" s="8" t="s">
        <v>11484</v>
      </c>
      <c r="E35" s="8" t="s">
        <v>11484</v>
      </c>
      <c r="F35" s="8" t="s">
        <v>11484</v>
      </c>
      <c r="G35" s="8" t="s">
        <v>11484</v>
      </c>
      <c r="H35" s="8" t="s">
        <v>11484</v>
      </c>
      <c r="I35" s="8" t="s">
        <v>11484</v>
      </c>
      <c r="J35" s="8" t="s">
        <v>11484</v>
      </c>
      <c r="K35" s="8" t="s">
        <v>11484</v>
      </c>
      <c r="L35" s="8" t="s">
        <v>11484</v>
      </c>
      <c r="M35" s="8" t="s">
        <v>11484</v>
      </c>
    </row>
    <row r="36" spans="1:13" ht="8.1" customHeight="1" x14ac:dyDescent="0.15">
      <c r="A36" s="9"/>
      <c r="B36" s="10"/>
      <c r="C36" s="10"/>
      <c r="D36" s="10"/>
      <c r="E36" s="10"/>
      <c r="F36" s="10"/>
      <c r="G36" s="10"/>
      <c r="H36" s="10"/>
      <c r="I36" s="10"/>
      <c r="J36" s="10"/>
      <c r="K36" s="10"/>
      <c r="L36" s="10"/>
      <c r="M36" s="10"/>
    </row>
    <row r="38" spans="1:13" ht="27.95" customHeight="1" x14ac:dyDescent="0.15">
      <c r="A38" s="13" t="s">
        <v>11992</v>
      </c>
      <c r="B38" s="10"/>
      <c r="C38" s="10"/>
      <c r="D38" s="10"/>
      <c r="E38" s="10"/>
      <c r="F38" s="10"/>
      <c r="G38" s="10"/>
      <c r="H38" s="10"/>
      <c r="I38" s="10"/>
      <c r="J38" s="10"/>
      <c r="K38" s="10"/>
      <c r="L38" s="10"/>
      <c r="M38" s="10"/>
    </row>
    <row r="39" spans="1:13" ht="45" customHeight="1" x14ac:dyDescent="0.15">
      <c r="A39" s="12" t="s">
        <v>11993</v>
      </c>
      <c r="B39" s="10"/>
      <c r="C39" s="10"/>
      <c r="D39" s="10"/>
      <c r="E39" s="10"/>
      <c r="F39" s="10"/>
      <c r="G39" s="10"/>
      <c r="H39" s="10"/>
      <c r="I39" s="10"/>
      <c r="J39" s="10"/>
      <c r="K39" s="10"/>
      <c r="L39" s="10"/>
      <c r="M39" s="10"/>
    </row>
    <row r="40" spans="1:13" ht="15" x14ac:dyDescent="0.15">
      <c r="A40" s="6" t="s">
        <v>11329</v>
      </c>
      <c r="B40" s="6" t="s">
        <v>11330</v>
      </c>
      <c r="C40" s="6" t="s">
        <v>11331</v>
      </c>
      <c r="D40" s="6" t="s">
        <v>11332</v>
      </c>
      <c r="E40" s="6" t="s">
        <v>11333</v>
      </c>
      <c r="F40" s="6" t="s">
        <v>11334</v>
      </c>
      <c r="G40" s="6" t="s">
        <v>11335</v>
      </c>
      <c r="H40" s="6" t="s">
        <v>11336</v>
      </c>
      <c r="I40" s="6" t="s">
        <v>11337</v>
      </c>
      <c r="J40" s="6" t="s">
        <v>11338</v>
      </c>
      <c r="K40" s="6" t="s">
        <v>11339</v>
      </c>
      <c r="L40" s="6" t="s">
        <v>11340</v>
      </c>
      <c r="M40" s="6" t="s">
        <v>11341</v>
      </c>
    </row>
    <row r="41" spans="1:13" ht="21.95" customHeight="1" x14ac:dyDescent="0.15">
      <c r="A41" s="7" t="s">
        <v>11435</v>
      </c>
      <c r="B41" s="7" t="s">
        <v>11465</v>
      </c>
      <c r="C41" s="7" t="s">
        <v>11465</v>
      </c>
      <c r="D41" s="7" t="s">
        <v>11465</v>
      </c>
      <c r="E41" s="7" t="s">
        <v>11465</v>
      </c>
      <c r="F41" s="7" t="s">
        <v>11465</v>
      </c>
      <c r="G41" s="7" t="s">
        <v>11465</v>
      </c>
      <c r="H41" s="7" t="s">
        <v>11465</v>
      </c>
      <c r="I41" s="7" t="s">
        <v>11465</v>
      </c>
      <c r="J41" s="7" t="s">
        <v>11465</v>
      </c>
      <c r="K41" s="7" t="s">
        <v>11465</v>
      </c>
      <c r="L41" s="7" t="s">
        <v>11465</v>
      </c>
      <c r="M41" s="7" t="s">
        <v>11466</v>
      </c>
    </row>
    <row r="42" spans="1:13" ht="21.95" customHeight="1" x14ac:dyDescent="0.15">
      <c r="A42" s="8" t="s">
        <v>11657</v>
      </c>
      <c r="B42" s="8" t="s">
        <v>11353</v>
      </c>
      <c r="C42" s="8" t="s">
        <v>11354</v>
      </c>
      <c r="D42" s="8" t="s">
        <v>11363</v>
      </c>
      <c r="E42" s="8" t="s">
        <v>11364</v>
      </c>
      <c r="F42" s="8" t="s">
        <v>11567</v>
      </c>
      <c r="G42" s="8" t="s">
        <v>11696</v>
      </c>
      <c r="H42" s="8" t="s">
        <v>11569</v>
      </c>
      <c r="I42" s="8" t="s">
        <v>11510</v>
      </c>
      <c r="J42" s="8" t="s">
        <v>11508</v>
      </c>
      <c r="K42" s="8" t="s">
        <v>11387</v>
      </c>
      <c r="L42" s="8" t="s">
        <v>11838</v>
      </c>
      <c r="M42" s="8" t="s">
        <v>11908</v>
      </c>
    </row>
    <row r="43" spans="1:13" ht="21.95" customHeight="1" x14ac:dyDescent="0.15">
      <c r="A43" s="7" t="s">
        <v>11659</v>
      </c>
      <c r="B43" s="7" t="s">
        <v>11979</v>
      </c>
      <c r="C43" s="7" t="s">
        <v>11994</v>
      </c>
      <c r="D43" s="7" t="s">
        <v>11825</v>
      </c>
      <c r="E43" s="7" t="s">
        <v>11995</v>
      </c>
      <c r="F43" s="7" t="s">
        <v>11687</v>
      </c>
      <c r="G43" s="7" t="s">
        <v>11843</v>
      </c>
      <c r="H43" s="7" t="s">
        <v>11451</v>
      </c>
      <c r="I43" s="7" t="s">
        <v>11996</v>
      </c>
      <c r="J43" s="7" t="s">
        <v>11426</v>
      </c>
      <c r="K43" s="7" t="s">
        <v>11997</v>
      </c>
      <c r="L43" s="7" t="s">
        <v>11846</v>
      </c>
      <c r="M43" s="7" t="s">
        <v>11998</v>
      </c>
    </row>
    <row r="44" spans="1:13" ht="21.95" customHeight="1" x14ac:dyDescent="0.15">
      <c r="A44" s="8" t="s">
        <v>11660</v>
      </c>
      <c r="B44" s="8" t="s">
        <v>11430</v>
      </c>
      <c r="C44" s="8" t="s">
        <v>11430</v>
      </c>
      <c r="D44" s="8" t="s">
        <v>11430</v>
      </c>
      <c r="E44" s="8" t="s">
        <v>11430</v>
      </c>
      <c r="F44" s="8" t="s">
        <v>11430</v>
      </c>
      <c r="G44" s="8" t="s">
        <v>11430</v>
      </c>
      <c r="H44" s="8" t="s">
        <v>11430</v>
      </c>
      <c r="I44" s="8" t="s">
        <v>11430</v>
      </c>
      <c r="J44" s="8" t="s">
        <v>11430</v>
      </c>
      <c r="K44" s="8" t="s">
        <v>11430</v>
      </c>
      <c r="L44" s="8" t="s">
        <v>11430</v>
      </c>
      <c r="M44" s="8" t="s">
        <v>11430</v>
      </c>
    </row>
    <row r="45" spans="1:13" ht="21.95" customHeight="1" x14ac:dyDescent="0.15">
      <c r="A45" s="7" t="s">
        <v>11999</v>
      </c>
      <c r="B45" s="7" t="s">
        <v>11532</v>
      </c>
      <c r="C45" s="7" t="s">
        <v>11532</v>
      </c>
      <c r="D45" s="7" t="s">
        <v>11532</v>
      </c>
      <c r="E45" s="7" t="s">
        <v>11532</v>
      </c>
      <c r="F45" s="7" t="s">
        <v>11532</v>
      </c>
      <c r="G45" s="7" t="s">
        <v>11532</v>
      </c>
      <c r="H45" s="7" t="s">
        <v>11532</v>
      </c>
      <c r="I45" s="7" t="s">
        <v>11532</v>
      </c>
      <c r="J45" s="7" t="s">
        <v>11532</v>
      </c>
      <c r="K45" s="7" t="s">
        <v>11532</v>
      </c>
      <c r="L45" s="7" t="s">
        <v>11532</v>
      </c>
      <c r="M45" s="7" t="s">
        <v>11532</v>
      </c>
    </row>
    <row r="46" spans="1:13" ht="8.1" customHeight="1" x14ac:dyDescent="0.15">
      <c r="A46" s="9"/>
      <c r="B46" s="10"/>
      <c r="C46" s="10"/>
      <c r="D46" s="10"/>
      <c r="E46" s="10"/>
      <c r="F46" s="10"/>
      <c r="G46" s="10"/>
      <c r="H46" s="10"/>
      <c r="I46" s="10"/>
      <c r="J46" s="10"/>
      <c r="K46" s="10"/>
      <c r="L46" s="10"/>
      <c r="M46" s="10"/>
    </row>
  </sheetData>
  <sheetProtection password="CC26" sheet="1"/>
  <mergeCells count="13">
    <mergeCell ref="A46:M46"/>
    <mergeCell ref="A36:M36"/>
    <mergeCell ref="A14:M14"/>
    <mergeCell ref="A1:M1"/>
    <mergeCell ref="A23:M23"/>
    <mergeCell ref="A12:M12"/>
    <mergeCell ref="A4:M4"/>
    <mergeCell ref="A3:M3"/>
    <mergeCell ref="A26:M26"/>
    <mergeCell ref="A39:M39"/>
    <mergeCell ref="A15:M15"/>
    <mergeCell ref="A25:M25"/>
    <mergeCell ref="A38:M38"/>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22">
    <cfRule type="colorScale" priority="2">
      <colorScale>
        <cfvo type="min"/>
        <cfvo type="percentile" val="50"/>
        <cfvo type="max"/>
        <color rgb="FFFFC7CE"/>
        <color rgb="FFFFEB9C"/>
        <color rgb="FFC6EFCE"/>
      </colorScale>
    </cfRule>
  </conditionalFormatting>
  <conditionalFormatting sqref="B28:M35">
    <cfRule type="colorScale" priority="3">
      <colorScale>
        <cfvo type="min"/>
        <cfvo type="percentile" val="50"/>
        <cfvo type="max"/>
        <color rgb="FFFFC7CE"/>
        <color rgb="FFFFEB9C"/>
        <color rgb="FFC6EFCE"/>
      </colorScale>
    </cfRule>
  </conditionalFormatting>
  <conditionalFormatting sqref="B41:M45">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55"/>
  <sheetViews>
    <sheetView workbookViewId="0"/>
  </sheetViews>
  <sheetFormatPr defaultRowHeight="13.5" x14ac:dyDescent="0.15"/>
  <cols>
    <col min="1" max="1" width="32" customWidth="1"/>
    <col min="2" max="13" width="9" customWidth="1"/>
  </cols>
  <sheetData>
    <row r="1" spans="1:13" ht="35.1" customHeight="1" x14ac:dyDescent="0.15">
      <c r="A1" s="11" t="s">
        <v>12000</v>
      </c>
      <c r="B1" s="10"/>
      <c r="C1" s="10"/>
      <c r="D1" s="10"/>
      <c r="E1" s="10"/>
      <c r="F1" s="10"/>
      <c r="G1" s="10"/>
      <c r="H1" s="10"/>
      <c r="I1" s="10"/>
      <c r="J1" s="10"/>
      <c r="K1" s="10"/>
      <c r="L1" s="10"/>
      <c r="M1" s="10"/>
    </row>
    <row r="3" spans="1:13" ht="27.95" customHeight="1" x14ac:dyDescent="0.15">
      <c r="A3" s="13" t="s">
        <v>12001</v>
      </c>
      <c r="B3" s="10"/>
      <c r="C3" s="10"/>
      <c r="D3" s="10"/>
      <c r="E3" s="10"/>
      <c r="F3" s="10"/>
      <c r="G3" s="10"/>
      <c r="H3" s="10"/>
      <c r="I3" s="10"/>
      <c r="J3" s="10"/>
      <c r="K3" s="10"/>
      <c r="L3" s="10"/>
      <c r="M3" s="10"/>
    </row>
    <row r="4" spans="1:13" ht="45" customHeight="1" x14ac:dyDescent="0.15">
      <c r="A4" s="12" t="s">
        <v>12002</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11648</v>
      </c>
      <c r="C6" s="7" t="s">
        <v>11650</v>
      </c>
      <c r="D6" s="7" t="s">
        <v>11651</v>
      </c>
      <c r="E6" s="7" t="s">
        <v>11652</v>
      </c>
      <c r="F6" s="7" t="s">
        <v>11542</v>
      </c>
      <c r="G6" s="7" t="s">
        <v>11543</v>
      </c>
      <c r="H6" s="7" t="s">
        <v>11544</v>
      </c>
      <c r="I6" s="7" t="s">
        <v>11345</v>
      </c>
      <c r="J6" s="7" t="s">
        <v>11346</v>
      </c>
      <c r="K6" s="7" t="s">
        <v>11504</v>
      </c>
      <c r="L6" s="7" t="s">
        <v>11366</v>
      </c>
      <c r="M6" s="7" t="s">
        <v>11349</v>
      </c>
    </row>
    <row r="7" spans="1:13" ht="21.95" customHeight="1" x14ac:dyDescent="0.15">
      <c r="A7" s="8" t="s">
        <v>11355</v>
      </c>
      <c r="B7" s="8" t="s">
        <v>11543</v>
      </c>
      <c r="C7" s="8" t="s">
        <v>11544</v>
      </c>
      <c r="D7" s="8" t="s">
        <v>11346</v>
      </c>
      <c r="E7" s="8" t="s">
        <v>11504</v>
      </c>
      <c r="F7" s="8" t="s">
        <v>11348</v>
      </c>
      <c r="G7" s="8" t="s">
        <v>11349</v>
      </c>
      <c r="H7" s="8" t="s">
        <v>11358</v>
      </c>
      <c r="I7" s="8" t="s">
        <v>11351</v>
      </c>
      <c r="J7" s="8" t="s">
        <v>11359</v>
      </c>
      <c r="K7" s="8" t="s">
        <v>11360</v>
      </c>
      <c r="L7" s="8" t="s">
        <v>11545</v>
      </c>
      <c r="M7" s="8" t="s">
        <v>11370</v>
      </c>
    </row>
    <row r="8" spans="1:13" ht="21.95" customHeight="1" x14ac:dyDescent="0.15">
      <c r="A8" s="7" t="s">
        <v>11365</v>
      </c>
      <c r="B8" s="7" t="s">
        <v>11344</v>
      </c>
      <c r="C8" s="7" t="s">
        <v>11503</v>
      </c>
      <c r="D8" s="7" t="s">
        <v>11356</v>
      </c>
      <c r="E8" s="7" t="s">
        <v>11366</v>
      </c>
      <c r="F8" s="7" t="s">
        <v>11357</v>
      </c>
      <c r="G8" s="7" t="s">
        <v>11358</v>
      </c>
      <c r="H8" s="7" t="s">
        <v>11382</v>
      </c>
      <c r="I8" s="7" t="s">
        <v>11359</v>
      </c>
      <c r="J8" s="7" t="s">
        <v>11368</v>
      </c>
      <c r="K8" s="7" t="s">
        <v>11369</v>
      </c>
      <c r="L8" s="7" t="s">
        <v>11362</v>
      </c>
      <c r="M8" s="7" t="s">
        <v>11363</v>
      </c>
    </row>
    <row r="9" spans="1:13" ht="21.95" customHeight="1" x14ac:dyDescent="0.15">
      <c r="A9" s="8" t="s">
        <v>11374</v>
      </c>
      <c r="B9" s="8" t="s">
        <v>11350</v>
      </c>
      <c r="C9" s="8" t="s">
        <v>11359</v>
      </c>
      <c r="D9" s="8" t="s">
        <v>11353</v>
      </c>
      <c r="E9" s="8" t="s">
        <v>11354</v>
      </c>
      <c r="F9" s="8" t="s">
        <v>11375</v>
      </c>
      <c r="G9" s="8" t="s">
        <v>11376</v>
      </c>
      <c r="H9" s="8" t="s">
        <v>11377</v>
      </c>
      <c r="I9" s="8" t="s">
        <v>11635</v>
      </c>
      <c r="J9" s="8" t="s">
        <v>11696</v>
      </c>
      <c r="K9" s="8" t="s">
        <v>11569</v>
      </c>
      <c r="L9" s="8" t="s">
        <v>11570</v>
      </c>
      <c r="M9" s="8" t="s">
        <v>11403</v>
      </c>
    </row>
    <row r="10" spans="1:13" ht="21.95" customHeight="1" x14ac:dyDescent="0.15">
      <c r="A10" s="7" t="s">
        <v>11381</v>
      </c>
      <c r="B10" s="7" t="s">
        <v>11505</v>
      </c>
      <c r="C10" s="7" t="s">
        <v>11371</v>
      </c>
      <c r="D10" s="7" t="s">
        <v>11384</v>
      </c>
      <c r="E10" s="7" t="s">
        <v>11568</v>
      </c>
      <c r="F10" s="7" t="s">
        <v>11602</v>
      </c>
      <c r="G10" s="7" t="s">
        <v>11402</v>
      </c>
      <c r="H10" s="7" t="s">
        <v>11511</v>
      </c>
      <c r="I10" s="7" t="s">
        <v>11387</v>
      </c>
      <c r="J10" s="7" t="s">
        <v>11603</v>
      </c>
      <c r="K10" s="7" t="s">
        <v>11512</v>
      </c>
      <c r="L10" s="7" t="s">
        <v>11910</v>
      </c>
      <c r="M10" s="7" t="s">
        <v>11701</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12003</v>
      </c>
      <c r="B15" s="10"/>
      <c r="C15" s="10"/>
      <c r="D15" s="10"/>
      <c r="E15" s="10"/>
      <c r="F15" s="10"/>
      <c r="G15" s="10"/>
      <c r="H15" s="10"/>
      <c r="I15" s="10"/>
      <c r="J15" s="10"/>
      <c r="K15" s="10"/>
      <c r="L15" s="10"/>
      <c r="M15" s="10"/>
    </row>
    <row r="16" spans="1:13" ht="45" customHeight="1" x14ac:dyDescent="0.15">
      <c r="A16" s="12" t="s">
        <v>12004</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12005</v>
      </c>
      <c r="B18" s="7" t="s">
        <v>11377</v>
      </c>
      <c r="C18" s="7" t="s">
        <v>11373</v>
      </c>
      <c r="D18" s="7" t="s">
        <v>11569</v>
      </c>
      <c r="E18" s="7" t="s">
        <v>11570</v>
      </c>
      <c r="F18" s="7" t="s">
        <v>11658</v>
      </c>
      <c r="G18" s="7" t="s">
        <v>11470</v>
      </c>
      <c r="H18" s="7" t="s">
        <v>11654</v>
      </c>
      <c r="I18" s="7" t="s">
        <v>11699</v>
      </c>
      <c r="J18" s="7" t="s">
        <v>11406</v>
      </c>
      <c r="K18" s="7" t="s">
        <v>11407</v>
      </c>
      <c r="L18" s="7" t="s">
        <v>12006</v>
      </c>
      <c r="M18" s="7" t="s">
        <v>11608</v>
      </c>
    </row>
    <row r="19" spans="1:13" ht="21.95" customHeight="1" x14ac:dyDescent="0.15">
      <c r="A19" s="8" t="s">
        <v>12007</v>
      </c>
      <c r="B19" s="8" t="s">
        <v>11430</v>
      </c>
      <c r="C19" s="8" t="s">
        <v>11430</v>
      </c>
      <c r="D19" s="8" t="s">
        <v>11430</v>
      </c>
      <c r="E19" s="8" t="s">
        <v>11430</v>
      </c>
      <c r="F19" s="8" t="s">
        <v>11430</v>
      </c>
      <c r="G19" s="8" t="s">
        <v>11430</v>
      </c>
      <c r="H19" s="8" t="s">
        <v>11430</v>
      </c>
      <c r="I19" s="8" t="s">
        <v>11430</v>
      </c>
      <c r="J19" s="8" t="s">
        <v>11430</v>
      </c>
      <c r="K19" s="8" t="s">
        <v>11430</v>
      </c>
      <c r="L19" s="8" t="s">
        <v>11430</v>
      </c>
      <c r="M19" s="8" t="s">
        <v>11430</v>
      </c>
    </row>
    <row r="20" spans="1:13" ht="21.95" customHeight="1" x14ac:dyDescent="0.15">
      <c r="A20" s="7" t="s">
        <v>12008</v>
      </c>
      <c r="B20" s="7" t="s">
        <v>12009</v>
      </c>
      <c r="C20" s="7" t="s">
        <v>11988</v>
      </c>
      <c r="D20" s="7" t="s">
        <v>12010</v>
      </c>
      <c r="E20" s="7" t="s">
        <v>12010</v>
      </c>
      <c r="F20" s="7" t="s">
        <v>11799</v>
      </c>
      <c r="G20" s="7" t="s">
        <v>11799</v>
      </c>
      <c r="H20" s="7" t="s">
        <v>11642</v>
      </c>
      <c r="I20" s="7" t="s">
        <v>11643</v>
      </c>
      <c r="J20" s="7" t="s">
        <v>11643</v>
      </c>
      <c r="K20" s="7" t="s">
        <v>11644</v>
      </c>
      <c r="L20" s="7" t="s">
        <v>11645</v>
      </c>
      <c r="M20" s="7" t="s">
        <v>11646</v>
      </c>
    </row>
    <row r="21" spans="1:13" ht="21.95" customHeight="1" x14ac:dyDescent="0.15">
      <c r="A21" s="8" t="s">
        <v>11620</v>
      </c>
      <c r="B21" s="8" t="s">
        <v>11479</v>
      </c>
      <c r="C21" s="8" t="s">
        <v>11730</v>
      </c>
      <c r="D21" s="8" t="s">
        <v>12011</v>
      </c>
      <c r="E21" s="8" t="s">
        <v>11521</v>
      </c>
      <c r="F21" s="8" t="s">
        <v>12012</v>
      </c>
      <c r="G21" s="8" t="s">
        <v>12013</v>
      </c>
      <c r="H21" s="8" t="s">
        <v>12014</v>
      </c>
      <c r="I21" s="8" t="s">
        <v>12015</v>
      </c>
      <c r="J21" s="8" t="s">
        <v>12016</v>
      </c>
      <c r="K21" s="8" t="s">
        <v>12017</v>
      </c>
      <c r="L21" s="8" t="s">
        <v>12018</v>
      </c>
      <c r="M21" s="8" t="s">
        <v>11398</v>
      </c>
    </row>
    <row r="22" spans="1:13" ht="21.95" customHeight="1" x14ac:dyDescent="0.15">
      <c r="A22" s="7" t="s">
        <v>11630</v>
      </c>
      <c r="B22" s="7" t="s">
        <v>11430</v>
      </c>
      <c r="C22" s="7" t="s">
        <v>11430</v>
      </c>
      <c r="D22" s="7" t="s">
        <v>11430</v>
      </c>
      <c r="E22" s="7" t="s">
        <v>11430</v>
      </c>
      <c r="F22" s="7" t="s">
        <v>11430</v>
      </c>
      <c r="G22" s="7" t="s">
        <v>11430</v>
      </c>
      <c r="H22" s="7" t="s">
        <v>11430</v>
      </c>
      <c r="I22" s="7" t="s">
        <v>11430</v>
      </c>
      <c r="J22" s="7" t="s">
        <v>11430</v>
      </c>
      <c r="K22" s="7" t="s">
        <v>11430</v>
      </c>
      <c r="L22" s="7" t="s">
        <v>11430</v>
      </c>
      <c r="M22" s="7" t="s">
        <v>11430</v>
      </c>
    </row>
    <row r="23" spans="1:13" ht="21.95" customHeight="1" x14ac:dyDescent="0.15">
      <c r="A23" s="8" t="s">
        <v>12019</v>
      </c>
      <c r="B23" s="8" t="s">
        <v>11484</v>
      </c>
      <c r="C23" s="8" t="s">
        <v>11484</v>
      </c>
      <c r="D23" s="8" t="s">
        <v>11484</v>
      </c>
      <c r="E23" s="8" t="s">
        <v>11484</v>
      </c>
      <c r="F23" s="8" t="s">
        <v>11484</v>
      </c>
      <c r="G23" s="8" t="s">
        <v>11484</v>
      </c>
      <c r="H23" s="8" t="s">
        <v>11484</v>
      </c>
      <c r="I23" s="8" t="s">
        <v>11484</v>
      </c>
      <c r="J23" s="8" t="s">
        <v>11484</v>
      </c>
      <c r="K23" s="8" t="s">
        <v>11484</v>
      </c>
      <c r="L23" s="8" t="s">
        <v>11484</v>
      </c>
      <c r="M23" s="8" t="s">
        <v>11484</v>
      </c>
    </row>
    <row r="24" spans="1:13" ht="21.95" customHeight="1" x14ac:dyDescent="0.15">
      <c r="A24" s="7" t="s">
        <v>12020</v>
      </c>
      <c r="B24" s="7" t="s">
        <v>11728</v>
      </c>
      <c r="C24" s="7" t="s">
        <v>11728</v>
      </c>
      <c r="D24" s="7" t="s">
        <v>11728</v>
      </c>
      <c r="E24" s="7" t="s">
        <v>11728</v>
      </c>
      <c r="F24" s="7" t="s">
        <v>11728</v>
      </c>
      <c r="G24" s="7" t="s">
        <v>11728</v>
      </c>
      <c r="H24" s="7" t="s">
        <v>11728</v>
      </c>
      <c r="I24" s="7" t="s">
        <v>11728</v>
      </c>
      <c r="J24" s="7" t="s">
        <v>11728</v>
      </c>
      <c r="K24" s="7" t="s">
        <v>11728</v>
      </c>
      <c r="L24" s="7" t="s">
        <v>11728</v>
      </c>
      <c r="M24" s="7" t="s">
        <v>11728</v>
      </c>
    </row>
    <row r="25" spans="1:13" ht="21.95" customHeight="1" x14ac:dyDescent="0.15">
      <c r="A25" s="8" t="s">
        <v>12021</v>
      </c>
      <c r="B25" s="8" t="s">
        <v>11709</v>
      </c>
      <c r="C25" s="8" t="s">
        <v>12022</v>
      </c>
      <c r="D25" s="8" t="s">
        <v>12023</v>
      </c>
      <c r="E25" s="8" t="s">
        <v>11714</v>
      </c>
      <c r="F25" s="8" t="s">
        <v>12024</v>
      </c>
      <c r="G25" s="8" t="s">
        <v>11826</v>
      </c>
      <c r="H25" s="8" t="s">
        <v>12025</v>
      </c>
      <c r="I25" s="8" t="s">
        <v>11423</v>
      </c>
      <c r="J25" s="8" t="s">
        <v>11688</v>
      </c>
      <c r="K25" s="8" t="s">
        <v>12026</v>
      </c>
      <c r="L25" s="8" t="s">
        <v>11556</v>
      </c>
      <c r="M25" s="8" t="s">
        <v>12027</v>
      </c>
    </row>
    <row r="26" spans="1:13" ht="21.95" customHeight="1" x14ac:dyDescent="0.15">
      <c r="A26" s="7" t="s">
        <v>12028</v>
      </c>
      <c r="B26" s="7" t="s">
        <v>11430</v>
      </c>
      <c r="C26" s="7" t="s">
        <v>11430</v>
      </c>
      <c r="D26" s="7" t="s">
        <v>11430</v>
      </c>
      <c r="E26" s="7" t="s">
        <v>11430</v>
      </c>
      <c r="F26" s="7" t="s">
        <v>11430</v>
      </c>
      <c r="G26" s="7" t="s">
        <v>11430</v>
      </c>
      <c r="H26" s="7" t="s">
        <v>11430</v>
      </c>
      <c r="I26" s="7" t="s">
        <v>11430</v>
      </c>
      <c r="J26" s="7" t="s">
        <v>11430</v>
      </c>
      <c r="K26" s="7" t="s">
        <v>11430</v>
      </c>
      <c r="L26" s="7" t="s">
        <v>11430</v>
      </c>
      <c r="M26" s="7" t="s">
        <v>11430</v>
      </c>
    </row>
    <row r="27" spans="1:13" ht="21.95" customHeight="1" x14ac:dyDescent="0.15">
      <c r="A27" s="8" t="s">
        <v>12029</v>
      </c>
      <c r="B27" s="8" t="s">
        <v>12030</v>
      </c>
      <c r="C27" s="8" t="s">
        <v>12031</v>
      </c>
      <c r="D27" s="8" t="s">
        <v>12032</v>
      </c>
      <c r="E27" s="8" t="s">
        <v>11981</v>
      </c>
      <c r="F27" s="8" t="s">
        <v>11619</v>
      </c>
      <c r="G27" s="8" t="s">
        <v>11983</v>
      </c>
      <c r="H27" s="8" t="s">
        <v>12033</v>
      </c>
      <c r="I27" s="8" t="s">
        <v>12034</v>
      </c>
      <c r="J27" s="8" t="s">
        <v>12035</v>
      </c>
      <c r="K27" s="8" t="s">
        <v>12036</v>
      </c>
      <c r="L27" s="8" t="s">
        <v>12037</v>
      </c>
      <c r="M27" s="8" t="s">
        <v>11847</v>
      </c>
    </row>
    <row r="28" spans="1:13" ht="21.95" customHeight="1" x14ac:dyDescent="0.15">
      <c r="A28" s="7" t="s">
        <v>12038</v>
      </c>
      <c r="B28" s="7" t="s">
        <v>11430</v>
      </c>
      <c r="C28" s="7" t="s">
        <v>11430</v>
      </c>
      <c r="D28" s="7" t="s">
        <v>11430</v>
      </c>
      <c r="E28" s="7" t="s">
        <v>11430</v>
      </c>
      <c r="F28" s="7" t="s">
        <v>11430</v>
      </c>
      <c r="G28" s="7" t="s">
        <v>11430</v>
      </c>
      <c r="H28" s="7" t="s">
        <v>11430</v>
      </c>
      <c r="I28" s="7" t="s">
        <v>11430</v>
      </c>
      <c r="J28" s="7" t="s">
        <v>11430</v>
      </c>
      <c r="K28" s="7" t="s">
        <v>11430</v>
      </c>
      <c r="L28" s="7" t="s">
        <v>11430</v>
      </c>
      <c r="M28" s="7" t="s">
        <v>11430</v>
      </c>
    </row>
    <row r="29" spans="1:13" ht="21.95" customHeight="1" x14ac:dyDescent="0.15">
      <c r="A29" s="8" t="s">
        <v>12039</v>
      </c>
      <c r="B29" s="8" t="s">
        <v>11389</v>
      </c>
      <c r="C29" s="8" t="s">
        <v>11390</v>
      </c>
      <c r="D29" s="8" t="s">
        <v>11391</v>
      </c>
      <c r="E29" s="8" t="s">
        <v>11392</v>
      </c>
      <c r="F29" s="8" t="s">
        <v>11393</v>
      </c>
      <c r="G29" s="8" t="s">
        <v>11394</v>
      </c>
      <c r="H29" s="8" t="s">
        <v>11395</v>
      </c>
      <c r="I29" s="8" t="s">
        <v>11396</v>
      </c>
      <c r="J29" s="8" t="s">
        <v>11397</v>
      </c>
      <c r="K29" s="8" t="s">
        <v>11398</v>
      </c>
      <c r="L29" s="8" t="s">
        <v>11399</v>
      </c>
      <c r="M29" s="8" t="s">
        <v>11400</v>
      </c>
    </row>
    <row r="30" spans="1:13" ht="21.95" customHeight="1" x14ac:dyDescent="0.15">
      <c r="A30" s="7" t="s">
        <v>12040</v>
      </c>
      <c r="B30" s="7" t="s">
        <v>11430</v>
      </c>
      <c r="C30" s="7" t="s">
        <v>11430</v>
      </c>
      <c r="D30" s="7" t="s">
        <v>11430</v>
      </c>
      <c r="E30" s="7" t="s">
        <v>11430</v>
      </c>
      <c r="F30" s="7" t="s">
        <v>11430</v>
      </c>
      <c r="G30" s="7" t="s">
        <v>11430</v>
      </c>
      <c r="H30" s="7" t="s">
        <v>11430</v>
      </c>
      <c r="I30" s="7" t="s">
        <v>11430</v>
      </c>
      <c r="J30" s="7" t="s">
        <v>11430</v>
      </c>
      <c r="K30" s="7" t="s">
        <v>11430</v>
      </c>
      <c r="L30" s="7" t="s">
        <v>11430</v>
      </c>
      <c r="M30" s="7" t="s">
        <v>11430</v>
      </c>
    </row>
    <row r="31" spans="1:13" ht="21.95" customHeight="1" x14ac:dyDescent="0.15">
      <c r="A31" s="8" t="s">
        <v>12041</v>
      </c>
      <c r="B31" s="8" t="s">
        <v>11484</v>
      </c>
      <c r="C31" s="8" t="s">
        <v>11484</v>
      </c>
      <c r="D31" s="8" t="s">
        <v>11484</v>
      </c>
      <c r="E31" s="8" t="s">
        <v>11484</v>
      </c>
      <c r="F31" s="8" t="s">
        <v>11484</v>
      </c>
      <c r="G31" s="8" t="s">
        <v>11484</v>
      </c>
      <c r="H31" s="8" t="s">
        <v>11484</v>
      </c>
      <c r="I31" s="8" t="s">
        <v>11484</v>
      </c>
      <c r="J31" s="8" t="s">
        <v>11484</v>
      </c>
      <c r="K31" s="8" t="s">
        <v>11484</v>
      </c>
      <c r="L31" s="8" t="s">
        <v>11484</v>
      </c>
      <c r="M31" s="8" t="s">
        <v>11484</v>
      </c>
    </row>
    <row r="32" spans="1:13" ht="8.1" customHeight="1" x14ac:dyDescent="0.15">
      <c r="A32" s="9"/>
      <c r="B32" s="10"/>
      <c r="C32" s="10"/>
      <c r="D32" s="10"/>
      <c r="E32" s="10"/>
      <c r="F32" s="10"/>
      <c r="G32" s="10"/>
      <c r="H32" s="10"/>
      <c r="I32" s="10"/>
      <c r="J32" s="10"/>
      <c r="K32" s="10"/>
      <c r="L32" s="10"/>
      <c r="M32" s="10"/>
    </row>
    <row r="34" spans="1:13" ht="27.95" customHeight="1" x14ac:dyDescent="0.15">
      <c r="A34" s="13" t="s">
        <v>12042</v>
      </c>
      <c r="B34" s="10"/>
      <c r="C34" s="10"/>
      <c r="D34" s="10"/>
      <c r="E34" s="10"/>
      <c r="F34" s="10"/>
      <c r="G34" s="10"/>
      <c r="H34" s="10"/>
      <c r="I34" s="10"/>
      <c r="J34" s="10"/>
      <c r="K34" s="10"/>
      <c r="L34" s="10"/>
      <c r="M34" s="10"/>
    </row>
    <row r="35" spans="1:13" ht="45" customHeight="1" x14ac:dyDescent="0.15">
      <c r="A35" s="12" t="s">
        <v>12043</v>
      </c>
      <c r="B35" s="10"/>
      <c r="C35" s="10"/>
      <c r="D35" s="10"/>
      <c r="E35" s="10"/>
      <c r="F35" s="10"/>
      <c r="G35" s="10"/>
      <c r="H35" s="10"/>
      <c r="I35" s="10"/>
      <c r="J35" s="10"/>
      <c r="K35" s="10"/>
      <c r="L35" s="10"/>
      <c r="M35" s="10"/>
    </row>
    <row r="36" spans="1:13" ht="15" x14ac:dyDescent="0.15">
      <c r="A36" s="6" t="s">
        <v>11329</v>
      </c>
      <c r="B36" s="6" t="s">
        <v>11330</v>
      </c>
      <c r="C36" s="6" t="s">
        <v>11331</v>
      </c>
      <c r="D36" s="6" t="s">
        <v>11332</v>
      </c>
      <c r="E36" s="6" t="s">
        <v>11333</v>
      </c>
      <c r="F36" s="6" t="s">
        <v>11334</v>
      </c>
      <c r="G36" s="6" t="s">
        <v>11335</v>
      </c>
      <c r="H36" s="6" t="s">
        <v>11336</v>
      </c>
      <c r="I36" s="6" t="s">
        <v>11337</v>
      </c>
      <c r="J36" s="6" t="s">
        <v>11338</v>
      </c>
      <c r="K36" s="6" t="s">
        <v>11339</v>
      </c>
      <c r="L36" s="6" t="s">
        <v>11340</v>
      </c>
      <c r="M36" s="6" t="s">
        <v>11341</v>
      </c>
    </row>
    <row r="37" spans="1:13" ht="21.95" customHeight="1" x14ac:dyDescent="0.15">
      <c r="A37" s="7" t="s">
        <v>11433</v>
      </c>
      <c r="B37" s="7" t="s">
        <v>11742</v>
      </c>
      <c r="C37" s="7" t="s">
        <v>11742</v>
      </c>
      <c r="D37" s="7" t="s">
        <v>11742</v>
      </c>
      <c r="E37" s="7" t="s">
        <v>11742</v>
      </c>
      <c r="F37" s="7" t="s">
        <v>11742</v>
      </c>
      <c r="G37" s="7" t="s">
        <v>11742</v>
      </c>
      <c r="H37" s="7" t="s">
        <v>11742</v>
      </c>
      <c r="I37" s="7" t="s">
        <v>11742</v>
      </c>
      <c r="J37" s="7" t="s">
        <v>11742</v>
      </c>
      <c r="K37" s="7" t="s">
        <v>11742</v>
      </c>
      <c r="L37" s="7" t="s">
        <v>11742</v>
      </c>
      <c r="M37" s="7" t="s">
        <v>11742</v>
      </c>
    </row>
    <row r="38" spans="1:13" ht="21.95" customHeight="1" x14ac:dyDescent="0.15">
      <c r="A38" s="8" t="s">
        <v>11435</v>
      </c>
      <c r="B38" s="8" t="s">
        <v>11436</v>
      </c>
      <c r="C38" s="8" t="s">
        <v>11436</v>
      </c>
      <c r="D38" s="8" t="s">
        <v>11436</v>
      </c>
      <c r="E38" s="8" t="s">
        <v>11436</v>
      </c>
      <c r="F38" s="8" t="s">
        <v>11436</v>
      </c>
      <c r="G38" s="8" t="s">
        <v>11436</v>
      </c>
      <c r="H38" s="8" t="s">
        <v>11436</v>
      </c>
      <c r="I38" s="8" t="s">
        <v>11436</v>
      </c>
      <c r="J38" s="8" t="s">
        <v>11436</v>
      </c>
      <c r="K38" s="8" t="s">
        <v>11436</v>
      </c>
      <c r="L38" s="8" t="s">
        <v>11436</v>
      </c>
      <c r="M38" s="8" t="s">
        <v>11436</v>
      </c>
    </row>
    <row r="39" spans="1:13" ht="21.95" customHeight="1" x14ac:dyDescent="0.15">
      <c r="A39" s="7" t="s">
        <v>11819</v>
      </c>
      <c r="B39" s="7" t="s">
        <v>11572</v>
      </c>
      <c r="C39" s="7" t="s">
        <v>11572</v>
      </c>
      <c r="D39" s="7" t="s">
        <v>11572</v>
      </c>
      <c r="E39" s="7" t="s">
        <v>11572</v>
      </c>
      <c r="F39" s="7" t="s">
        <v>11572</v>
      </c>
      <c r="G39" s="7" t="s">
        <v>11572</v>
      </c>
      <c r="H39" s="7" t="s">
        <v>11572</v>
      </c>
      <c r="I39" s="7" t="s">
        <v>11572</v>
      </c>
      <c r="J39" s="7" t="s">
        <v>11572</v>
      </c>
      <c r="K39" s="7" t="s">
        <v>11572</v>
      </c>
      <c r="L39" s="7" t="s">
        <v>11572</v>
      </c>
      <c r="M39" s="7" t="s">
        <v>11572</v>
      </c>
    </row>
    <row r="40" spans="1:13" ht="21.95" customHeight="1" x14ac:dyDescent="0.15">
      <c r="A40" s="8" t="s">
        <v>12044</v>
      </c>
      <c r="B40" s="8" t="s">
        <v>11567</v>
      </c>
      <c r="C40" s="8" t="s">
        <v>11467</v>
      </c>
      <c r="D40" s="8" t="s">
        <v>11380</v>
      </c>
      <c r="E40" s="8" t="s">
        <v>11508</v>
      </c>
      <c r="F40" s="8" t="s">
        <v>11653</v>
      </c>
      <c r="G40" s="8" t="s">
        <v>11838</v>
      </c>
      <c r="H40" s="8" t="s">
        <v>11405</v>
      </c>
      <c r="I40" s="8" t="s">
        <v>11910</v>
      </c>
      <c r="J40" s="8" t="s">
        <v>11514</v>
      </c>
      <c r="K40" s="8" t="s">
        <v>11601</v>
      </c>
      <c r="L40" s="8" t="s">
        <v>11839</v>
      </c>
      <c r="M40" s="8" t="s">
        <v>11876</v>
      </c>
    </row>
    <row r="41" spans="1:13" ht="21.95" customHeight="1" x14ac:dyDescent="0.15">
      <c r="A41" s="7" t="s">
        <v>12045</v>
      </c>
      <c r="B41" s="7" t="s">
        <v>11570</v>
      </c>
      <c r="C41" s="7" t="s">
        <v>11597</v>
      </c>
      <c r="D41" s="7" t="s">
        <v>11838</v>
      </c>
      <c r="E41" s="7" t="s">
        <v>11908</v>
      </c>
      <c r="F41" s="7" t="s">
        <v>11700</v>
      </c>
      <c r="G41" s="7" t="s">
        <v>11606</v>
      </c>
      <c r="H41" s="7" t="s">
        <v>11607</v>
      </c>
      <c r="I41" s="7" t="s">
        <v>11702</v>
      </c>
      <c r="J41" s="7" t="s">
        <v>11876</v>
      </c>
      <c r="K41" s="7" t="s">
        <v>11417</v>
      </c>
      <c r="L41" s="7" t="s">
        <v>11590</v>
      </c>
      <c r="M41" s="7" t="s">
        <v>11899</v>
      </c>
    </row>
    <row r="42" spans="1:13" ht="21.95" customHeight="1" x14ac:dyDescent="0.15">
      <c r="A42" s="8" t="s">
        <v>12046</v>
      </c>
      <c r="B42" s="8" t="s">
        <v>11600</v>
      </c>
      <c r="C42" s="8" t="s">
        <v>11515</v>
      </c>
      <c r="D42" s="8" t="s">
        <v>11708</v>
      </c>
      <c r="E42" s="8" t="s">
        <v>11836</v>
      </c>
      <c r="F42" s="8" t="s">
        <v>12047</v>
      </c>
      <c r="G42" s="8" t="s">
        <v>11713</v>
      </c>
      <c r="H42" s="8" t="s">
        <v>12048</v>
      </c>
      <c r="I42" s="8" t="s">
        <v>11474</v>
      </c>
      <c r="J42" s="8" t="s">
        <v>11715</v>
      </c>
      <c r="K42" s="8" t="s">
        <v>12049</v>
      </c>
      <c r="L42" s="8" t="s">
        <v>11827</v>
      </c>
      <c r="M42" s="8" t="s">
        <v>11718</v>
      </c>
    </row>
    <row r="43" spans="1:13" ht="21.95" customHeight="1" x14ac:dyDescent="0.15">
      <c r="A43" s="7" t="s">
        <v>12050</v>
      </c>
      <c r="B43" s="7" t="s">
        <v>11550</v>
      </c>
      <c r="C43" s="7" t="s">
        <v>12051</v>
      </c>
      <c r="D43" s="7" t="s">
        <v>11717</v>
      </c>
      <c r="E43" s="7" t="s">
        <v>12033</v>
      </c>
      <c r="F43" s="7" t="s">
        <v>11477</v>
      </c>
      <c r="G43" s="7" t="s">
        <v>11556</v>
      </c>
      <c r="H43" s="7" t="s">
        <v>11665</v>
      </c>
      <c r="I43" s="7" t="s">
        <v>12052</v>
      </c>
      <c r="J43" s="7" t="s">
        <v>12053</v>
      </c>
      <c r="K43" s="7" t="s">
        <v>11724</v>
      </c>
      <c r="L43" s="7" t="s">
        <v>12054</v>
      </c>
      <c r="M43" s="7" t="s">
        <v>12055</v>
      </c>
    </row>
    <row r="44" spans="1:13" ht="8.1" customHeight="1" x14ac:dyDescent="0.15">
      <c r="A44" s="9"/>
      <c r="B44" s="10"/>
      <c r="C44" s="10"/>
      <c r="D44" s="10"/>
      <c r="E44" s="10"/>
      <c r="F44" s="10"/>
      <c r="G44" s="10"/>
      <c r="H44" s="10"/>
      <c r="I44" s="10"/>
      <c r="J44" s="10"/>
      <c r="K44" s="10"/>
      <c r="L44" s="10"/>
      <c r="M44" s="10"/>
    </row>
    <row r="46" spans="1:13" ht="27.95" customHeight="1" x14ac:dyDescent="0.15">
      <c r="A46" s="13" t="s">
        <v>12056</v>
      </c>
      <c r="B46" s="10"/>
      <c r="C46" s="10"/>
      <c r="D46" s="10"/>
      <c r="E46" s="10"/>
      <c r="F46" s="10"/>
      <c r="G46" s="10"/>
      <c r="H46" s="10"/>
      <c r="I46" s="10"/>
      <c r="J46" s="10"/>
      <c r="K46" s="10"/>
      <c r="L46" s="10"/>
      <c r="M46" s="10"/>
    </row>
    <row r="47" spans="1:13" ht="45" customHeight="1" x14ac:dyDescent="0.15">
      <c r="A47" s="12" t="s">
        <v>12057</v>
      </c>
      <c r="B47" s="10"/>
      <c r="C47" s="10"/>
      <c r="D47" s="10"/>
      <c r="E47" s="10"/>
      <c r="F47" s="10"/>
      <c r="G47" s="10"/>
      <c r="H47" s="10"/>
      <c r="I47" s="10"/>
      <c r="J47" s="10"/>
      <c r="K47" s="10"/>
      <c r="L47" s="10"/>
      <c r="M47" s="10"/>
    </row>
    <row r="48" spans="1:13" ht="15" x14ac:dyDescent="0.15">
      <c r="A48" s="6" t="s">
        <v>11329</v>
      </c>
      <c r="B48" s="6" t="s">
        <v>11330</v>
      </c>
      <c r="C48" s="6" t="s">
        <v>11331</v>
      </c>
      <c r="D48" s="6" t="s">
        <v>11332</v>
      </c>
      <c r="E48" s="6" t="s">
        <v>11333</v>
      </c>
      <c r="F48" s="6" t="s">
        <v>11334</v>
      </c>
      <c r="G48" s="6" t="s">
        <v>11335</v>
      </c>
      <c r="H48" s="6" t="s">
        <v>11336</v>
      </c>
      <c r="I48" s="6" t="s">
        <v>11337</v>
      </c>
      <c r="J48" s="6" t="s">
        <v>11338</v>
      </c>
      <c r="K48" s="6" t="s">
        <v>11339</v>
      </c>
      <c r="L48" s="6" t="s">
        <v>11340</v>
      </c>
      <c r="M48" s="6" t="s">
        <v>11341</v>
      </c>
    </row>
    <row r="49" spans="1:13" ht="21.95" customHeight="1" x14ac:dyDescent="0.15">
      <c r="A49" s="7" t="s">
        <v>11435</v>
      </c>
      <c r="B49" s="7" t="s">
        <v>11436</v>
      </c>
      <c r="C49" s="7" t="s">
        <v>11436</v>
      </c>
      <c r="D49" s="7" t="s">
        <v>11436</v>
      </c>
      <c r="E49" s="7" t="s">
        <v>11436</v>
      </c>
      <c r="F49" s="7" t="s">
        <v>11436</v>
      </c>
      <c r="G49" s="7" t="s">
        <v>11436</v>
      </c>
      <c r="H49" s="7" t="s">
        <v>11436</v>
      </c>
      <c r="I49" s="7" t="s">
        <v>11436</v>
      </c>
      <c r="J49" s="7" t="s">
        <v>11436</v>
      </c>
      <c r="K49" s="7" t="s">
        <v>11436</v>
      </c>
      <c r="L49" s="7" t="s">
        <v>11436</v>
      </c>
      <c r="M49" s="7" t="s">
        <v>12058</v>
      </c>
    </row>
    <row r="50" spans="1:13" ht="21.95" customHeight="1" x14ac:dyDescent="0.15">
      <c r="A50" s="8" t="s">
        <v>11416</v>
      </c>
      <c r="B50" s="8" t="s">
        <v>11827</v>
      </c>
      <c r="C50" s="8" t="s">
        <v>11688</v>
      </c>
      <c r="D50" s="8" t="s">
        <v>11663</v>
      </c>
      <c r="E50" s="8" t="s">
        <v>11721</v>
      </c>
      <c r="F50" s="8" t="s">
        <v>12059</v>
      </c>
      <c r="G50" s="8" t="s">
        <v>11723</v>
      </c>
      <c r="H50" s="8" t="s">
        <v>12060</v>
      </c>
      <c r="I50" s="8" t="s">
        <v>12061</v>
      </c>
      <c r="J50" s="8" t="s">
        <v>11849</v>
      </c>
      <c r="K50" s="8" t="s">
        <v>11442</v>
      </c>
      <c r="L50" s="8" t="s">
        <v>11443</v>
      </c>
      <c r="M50" s="8" t="s">
        <v>12062</v>
      </c>
    </row>
    <row r="51" spans="1:13" ht="21.95" customHeight="1" x14ac:dyDescent="0.15">
      <c r="A51" s="7" t="s">
        <v>11429</v>
      </c>
      <c r="B51" s="7" t="s">
        <v>11430</v>
      </c>
      <c r="C51" s="7" t="s">
        <v>11430</v>
      </c>
      <c r="D51" s="7" t="s">
        <v>11430</v>
      </c>
      <c r="E51" s="7" t="s">
        <v>11430</v>
      </c>
      <c r="F51" s="7" t="s">
        <v>11430</v>
      </c>
      <c r="G51" s="7" t="s">
        <v>11430</v>
      </c>
      <c r="H51" s="7" t="s">
        <v>11430</v>
      </c>
      <c r="I51" s="7" t="s">
        <v>11430</v>
      </c>
      <c r="J51" s="7" t="s">
        <v>11430</v>
      </c>
      <c r="K51" s="7" t="s">
        <v>11430</v>
      </c>
      <c r="L51" s="7" t="s">
        <v>11430</v>
      </c>
      <c r="M51" s="7" t="s">
        <v>11430</v>
      </c>
    </row>
    <row r="52" spans="1:13" ht="21.95" customHeight="1" x14ac:dyDescent="0.15">
      <c r="A52" s="8" t="s">
        <v>12063</v>
      </c>
      <c r="B52" s="8" t="s">
        <v>11459</v>
      </c>
      <c r="C52" s="8" t="s">
        <v>11459</v>
      </c>
      <c r="D52" s="8" t="s">
        <v>11459</v>
      </c>
      <c r="E52" s="8" t="s">
        <v>11459</v>
      </c>
      <c r="F52" s="8" t="s">
        <v>11459</v>
      </c>
      <c r="G52" s="8" t="s">
        <v>11459</v>
      </c>
      <c r="H52" s="8" t="s">
        <v>11459</v>
      </c>
      <c r="I52" s="8" t="s">
        <v>11459</v>
      </c>
      <c r="J52" s="8" t="s">
        <v>11459</v>
      </c>
      <c r="K52" s="8" t="s">
        <v>11459</v>
      </c>
      <c r="L52" s="8" t="s">
        <v>11459</v>
      </c>
      <c r="M52" s="8" t="s">
        <v>11459</v>
      </c>
    </row>
    <row r="53" spans="1:13" ht="21.95" customHeight="1" x14ac:dyDescent="0.15">
      <c r="A53" s="7" t="s">
        <v>12064</v>
      </c>
      <c r="B53" s="7" t="s">
        <v>11668</v>
      </c>
      <c r="C53" s="7" t="s">
        <v>11668</v>
      </c>
      <c r="D53" s="7" t="s">
        <v>11668</v>
      </c>
      <c r="E53" s="7" t="s">
        <v>11668</v>
      </c>
      <c r="F53" s="7" t="s">
        <v>11668</v>
      </c>
      <c r="G53" s="7" t="s">
        <v>11668</v>
      </c>
      <c r="H53" s="7" t="s">
        <v>11668</v>
      </c>
      <c r="I53" s="7" t="s">
        <v>11668</v>
      </c>
      <c r="J53" s="7" t="s">
        <v>11668</v>
      </c>
      <c r="K53" s="7" t="s">
        <v>11668</v>
      </c>
      <c r="L53" s="7" t="s">
        <v>11668</v>
      </c>
      <c r="M53" s="7" t="s">
        <v>11668</v>
      </c>
    </row>
    <row r="54" spans="1:13" ht="21.95" customHeight="1" x14ac:dyDescent="0.15">
      <c r="A54" s="8" t="s">
        <v>12065</v>
      </c>
      <c r="B54" s="8" t="s">
        <v>11669</v>
      </c>
      <c r="C54" s="8" t="s">
        <v>11669</v>
      </c>
      <c r="D54" s="8" t="s">
        <v>11669</v>
      </c>
      <c r="E54" s="8" t="s">
        <v>11669</v>
      </c>
      <c r="F54" s="8" t="s">
        <v>11669</v>
      </c>
      <c r="G54" s="8" t="s">
        <v>11669</v>
      </c>
      <c r="H54" s="8" t="s">
        <v>11669</v>
      </c>
      <c r="I54" s="8" t="s">
        <v>11669</v>
      </c>
      <c r="J54" s="8" t="s">
        <v>11669</v>
      </c>
      <c r="K54" s="8" t="s">
        <v>11669</v>
      </c>
      <c r="L54" s="8" t="s">
        <v>11669</v>
      </c>
      <c r="M54" s="8" t="s">
        <v>11669</v>
      </c>
    </row>
    <row r="55" spans="1:13" ht="8.1" customHeight="1" x14ac:dyDescent="0.15">
      <c r="A55" s="9"/>
      <c r="B55" s="10"/>
      <c r="C55" s="10"/>
      <c r="D55" s="10"/>
      <c r="E55" s="10"/>
      <c r="F55" s="10"/>
      <c r="G55" s="10"/>
      <c r="H55" s="10"/>
      <c r="I55" s="10"/>
      <c r="J55" s="10"/>
      <c r="K55" s="10"/>
      <c r="L55" s="10"/>
      <c r="M55" s="10"/>
    </row>
  </sheetData>
  <sheetProtection password="CC26" sheet="1"/>
  <mergeCells count="13">
    <mergeCell ref="A55:M55"/>
    <mergeCell ref="A15:M15"/>
    <mergeCell ref="A16:M16"/>
    <mergeCell ref="A47:M47"/>
    <mergeCell ref="A46:M46"/>
    <mergeCell ref="A13:M13"/>
    <mergeCell ref="A44:M44"/>
    <mergeCell ref="A1:M1"/>
    <mergeCell ref="A32:M32"/>
    <mergeCell ref="A34:M34"/>
    <mergeCell ref="A35:M35"/>
    <mergeCell ref="A4:M4"/>
    <mergeCell ref="A3:M3"/>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31">
    <cfRule type="colorScale" priority="2">
      <colorScale>
        <cfvo type="min"/>
        <cfvo type="percentile" val="50"/>
        <cfvo type="max"/>
        <color rgb="FFFFC7CE"/>
        <color rgb="FFFFEB9C"/>
        <color rgb="FFC6EFCE"/>
      </colorScale>
    </cfRule>
  </conditionalFormatting>
  <conditionalFormatting sqref="B37:M43">
    <cfRule type="colorScale" priority="3">
      <colorScale>
        <cfvo type="min"/>
        <cfvo type="percentile" val="50"/>
        <cfvo type="max"/>
        <color rgb="FFFFC7CE"/>
        <color rgb="FFFFEB9C"/>
        <color rgb="FFC6EFCE"/>
      </colorScale>
    </cfRule>
  </conditionalFormatting>
  <conditionalFormatting sqref="B49:M54">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51"/>
  <sheetViews>
    <sheetView workbookViewId="0"/>
  </sheetViews>
  <sheetFormatPr defaultRowHeight="13.5" x14ac:dyDescent="0.15"/>
  <cols>
    <col min="1" max="1" width="32" customWidth="1"/>
    <col min="2" max="13" width="9" customWidth="1"/>
  </cols>
  <sheetData>
    <row r="1" spans="1:13" ht="35.1" customHeight="1" x14ac:dyDescent="0.15">
      <c r="A1" s="11" t="s">
        <v>12066</v>
      </c>
      <c r="B1" s="10"/>
      <c r="C1" s="10"/>
      <c r="D1" s="10"/>
      <c r="E1" s="10"/>
      <c r="F1" s="10"/>
      <c r="G1" s="10"/>
      <c r="H1" s="10"/>
      <c r="I1" s="10"/>
      <c r="J1" s="10"/>
      <c r="K1" s="10"/>
      <c r="L1" s="10"/>
      <c r="M1" s="10"/>
    </row>
    <row r="3" spans="1:13" ht="27.95" customHeight="1" x14ac:dyDescent="0.15">
      <c r="A3" s="13" t="s">
        <v>12067</v>
      </c>
      <c r="B3" s="10"/>
      <c r="C3" s="10"/>
      <c r="D3" s="10"/>
      <c r="E3" s="10"/>
      <c r="F3" s="10"/>
      <c r="G3" s="10"/>
      <c r="H3" s="10"/>
      <c r="I3" s="10"/>
      <c r="J3" s="10"/>
      <c r="K3" s="10"/>
      <c r="L3" s="10"/>
      <c r="M3" s="10"/>
    </row>
    <row r="4" spans="1:13" ht="45" customHeight="1" x14ac:dyDescent="0.15">
      <c r="A4" s="12" t="s">
        <v>12068</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11543</v>
      </c>
      <c r="C6" s="7" t="s">
        <v>11544</v>
      </c>
      <c r="D6" s="7" t="s">
        <v>11503</v>
      </c>
      <c r="E6" s="7" t="s">
        <v>11504</v>
      </c>
      <c r="F6" s="7" t="s">
        <v>11366</v>
      </c>
      <c r="G6" s="7" t="s">
        <v>11357</v>
      </c>
      <c r="H6" s="7" t="s">
        <v>11358</v>
      </c>
      <c r="I6" s="7" t="s">
        <v>11382</v>
      </c>
      <c r="J6" s="7" t="s">
        <v>11367</v>
      </c>
      <c r="K6" s="7" t="s">
        <v>11368</v>
      </c>
      <c r="L6" s="7" t="s">
        <v>11361</v>
      </c>
      <c r="M6" s="7" t="s">
        <v>11505</v>
      </c>
    </row>
    <row r="7" spans="1:13" ht="21.95" customHeight="1" x14ac:dyDescent="0.15">
      <c r="A7" s="8" t="s">
        <v>11355</v>
      </c>
      <c r="B7" s="8" t="s">
        <v>11344</v>
      </c>
      <c r="C7" s="8" t="s">
        <v>11503</v>
      </c>
      <c r="D7" s="8" t="s">
        <v>11356</v>
      </c>
      <c r="E7" s="8" t="s">
        <v>11366</v>
      </c>
      <c r="F7" s="8" t="s">
        <v>11357</v>
      </c>
      <c r="G7" s="8" t="s">
        <v>11358</v>
      </c>
      <c r="H7" s="8" t="s">
        <v>11382</v>
      </c>
      <c r="I7" s="8" t="s">
        <v>11359</v>
      </c>
      <c r="J7" s="8" t="s">
        <v>11368</v>
      </c>
      <c r="K7" s="8" t="s">
        <v>11369</v>
      </c>
      <c r="L7" s="8" t="s">
        <v>11362</v>
      </c>
      <c r="M7" s="8" t="s">
        <v>11363</v>
      </c>
    </row>
    <row r="8" spans="1:13" ht="21.95" customHeight="1" x14ac:dyDescent="0.15">
      <c r="A8" s="7" t="s">
        <v>11365</v>
      </c>
      <c r="B8" s="7" t="s">
        <v>11347</v>
      </c>
      <c r="C8" s="7" t="s">
        <v>11357</v>
      </c>
      <c r="D8" s="7" t="s">
        <v>11358</v>
      </c>
      <c r="E8" s="7" t="s">
        <v>11351</v>
      </c>
      <c r="F8" s="7" t="s">
        <v>11352</v>
      </c>
      <c r="G8" s="7" t="s">
        <v>11353</v>
      </c>
      <c r="H8" s="7" t="s">
        <v>11545</v>
      </c>
      <c r="I8" s="7" t="s">
        <v>11370</v>
      </c>
      <c r="J8" s="7" t="s">
        <v>11506</v>
      </c>
      <c r="K8" s="7" t="s">
        <v>11364</v>
      </c>
      <c r="L8" s="7" t="s">
        <v>11567</v>
      </c>
      <c r="M8" s="7" t="s">
        <v>11467</v>
      </c>
    </row>
    <row r="9" spans="1:13" ht="21.95" customHeight="1" x14ac:dyDescent="0.15">
      <c r="A9" s="8" t="s">
        <v>11374</v>
      </c>
      <c r="B9" s="8" t="s">
        <v>11351</v>
      </c>
      <c r="C9" s="8" t="s">
        <v>11368</v>
      </c>
      <c r="D9" s="8" t="s">
        <v>11361</v>
      </c>
      <c r="E9" s="8" t="s">
        <v>11505</v>
      </c>
      <c r="F9" s="8" t="s">
        <v>11371</v>
      </c>
      <c r="G9" s="8" t="s">
        <v>11377</v>
      </c>
      <c r="H9" s="8" t="s">
        <v>11635</v>
      </c>
      <c r="I9" s="8" t="s">
        <v>11696</v>
      </c>
      <c r="J9" s="8" t="s">
        <v>11602</v>
      </c>
      <c r="K9" s="8" t="s">
        <v>11510</v>
      </c>
      <c r="L9" s="8" t="s">
        <v>11511</v>
      </c>
      <c r="M9" s="8" t="s">
        <v>11880</v>
      </c>
    </row>
    <row r="10" spans="1:13" ht="21.95" customHeight="1" x14ac:dyDescent="0.15">
      <c r="A10" s="7" t="s">
        <v>11381</v>
      </c>
      <c r="B10" s="7" t="s">
        <v>11363</v>
      </c>
      <c r="C10" s="7" t="s">
        <v>11377</v>
      </c>
      <c r="D10" s="7" t="s">
        <v>11378</v>
      </c>
      <c r="E10" s="7" t="s">
        <v>11509</v>
      </c>
      <c r="F10" s="7" t="s">
        <v>11510</v>
      </c>
      <c r="G10" s="7" t="s">
        <v>11508</v>
      </c>
      <c r="H10" s="7" t="s">
        <v>11387</v>
      </c>
      <c r="I10" s="7" t="s">
        <v>11404</v>
      </c>
      <c r="J10" s="7" t="s">
        <v>11604</v>
      </c>
      <c r="K10" s="7" t="s">
        <v>11605</v>
      </c>
      <c r="L10" s="7" t="s">
        <v>11514</v>
      </c>
      <c r="M10" s="7" t="s">
        <v>11875</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12069</v>
      </c>
      <c r="B15" s="10"/>
      <c r="C15" s="10"/>
      <c r="D15" s="10"/>
      <c r="E15" s="10"/>
      <c r="F15" s="10"/>
      <c r="G15" s="10"/>
      <c r="H15" s="10"/>
      <c r="I15" s="10"/>
      <c r="J15" s="10"/>
      <c r="K15" s="10"/>
      <c r="L15" s="10"/>
      <c r="M15" s="10"/>
    </row>
    <row r="16" spans="1:13" ht="45" customHeight="1" x14ac:dyDescent="0.15">
      <c r="A16" s="12" t="s">
        <v>12070</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12071</v>
      </c>
      <c r="B18" s="7" t="s">
        <v>11698</v>
      </c>
      <c r="C18" s="7" t="s">
        <v>11606</v>
      </c>
      <c r="D18" s="7" t="s">
        <v>11612</v>
      </c>
      <c r="E18" s="7" t="s">
        <v>11410</v>
      </c>
      <c r="F18" s="7" t="s">
        <v>11686</v>
      </c>
      <c r="G18" s="7" t="s">
        <v>11979</v>
      </c>
      <c r="H18" s="7" t="s">
        <v>11473</v>
      </c>
      <c r="I18" s="7" t="s">
        <v>12072</v>
      </c>
      <c r="J18" s="7" t="s">
        <v>11825</v>
      </c>
      <c r="K18" s="7" t="s">
        <v>11981</v>
      </c>
      <c r="L18" s="7" t="s">
        <v>11619</v>
      </c>
      <c r="M18" s="7" t="s">
        <v>11843</v>
      </c>
    </row>
    <row r="19" spans="1:13" ht="21.95" customHeight="1" x14ac:dyDescent="0.15">
      <c r="A19" s="8" t="s">
        <v>12073</v>
      </c>
      <c r="B19" s="8" t="s">
        <v>11378</v>
      </c>
      <c r="C19" s="8" t="s">
        <v>11509</v>
      </c>
      <c r="D19" s="8" t="s">
        <v>11402</v>
      </c>
      <c r="E19" s="8" t="s">
        <v>11658</v>
      </c>
      <c r="F19" s="8" t="s">
        <v>11470</v>
      </c>
      <c r="G19" s="8" t="s">
        <v>11471</v>
      </c>
      <c r="H19" s="8" t="s">
        <v>11599</v>
      </c>
      <c r="I19" s="8" t="s">
        <v>11700</v>
      </c>
      <c r="J19" s="8" t="s">
        <v>11407</v>
      </c>
      <c r="K19" s="8" t="s">
        <v>11408</v>
      </c>
      <c r="L19" s="8" t="s">
        <v>11702</v>
      </c>
      <c r="M19" s="8" t="s">
        <v>11836</v>
      </c>
    </row>
    <row r="20" spans="1:13" ht="21.95" customHeight="1" x14ac:dyDescent="0.15">
      <c r="A20" s="7" t="s">
        <v>12074</v>
      </c>
      <c r="B20" s="7" t="s">
        <v>11597</v>
      </c>
      <c r="C20" s="7" t="s">
        <v>11705</v>
      </c>
      <c r="D20" s="7" t="s">
        <v>11599</v>
      </c>
      <c r="E20" s="7" t="s">
        <v>11638</v>
      </c>
      <c r="F20" s="7" t="s">
        <v>11770</v>
      </c>
      <c r="G20" s="7" t="s">
        <v>11612</v>
      </c>
      <c r="H20" s="7" t="s">
        <v>12075</v>
      </c>
      <c r="I20" s="7" t="s">
        <v>12076</v>
      </c>
      <c r="J20" s="7" t="s">
        <v>11911</v>
      </c>
      <c r="K20" s="7" t="s">
        <v>11418</v>
      </c>
      <c r="L20" s="7" t="s">
        <v>12048</v>
      </c>
      <c r="M20" s="7" t="s">
        <v>11825</v>
      </c>
    </row>
    <row r="21" spans="1:13" ht="21.95" customHeight="1" x14ac:dyDescent="0.15">
      <c r="A21" s="8" t="s">
        <v>11429</v>
      </c>
      <c r="B21" s="8" t="s">
        <v>11430</v>
      </c>
      <c r="C21" s="8" t="s">
        <v>11430</v>
      </c>
      <c r="D21" s="8" t="s">
        <v>11430</v>
      </c>
      <c r="E21" s="8" t="s">
        <v>11430</v>
      </c>
      <c r="F21" s="8" t="s">
        <v>11430</v>
      </c>
      <c r="G21" s="8" t="s">
        <v>11430</v>
      </c>
      <c r="H21" s="8" t="s">
        <v>11430</v>
      </c>
      <c r="I21" s="8" t="s">
        <v>11430</v>
      </c>
      <c r="J21" s="8" t="s">
        <v>11430</v>
      </c>
      <c r="K21" s="8" t="s">
        <v>11430</v>
      </c>
      <c r="L21" s="8" t="s">
        <v>11430</v>
      </c>
      <c r="M21" s="8" t="s">
        <v>11430</v>
      </c>
    </row>
    <row r="22" spans="1:13" ht="21.95" customHeight="1" x14ac:dyDescent="0.15">
      <c r="A22" s="7" t="s">
        <v>12077</v>
      </c>
      <c r="B22" s="7" t="s">
        <v>11430</v>
      </c>
      <c r="C22" s="7" t="s">
        <v>11430</v>
      </c>
      <c r="D22" s="7" t="s">
        <v>11430</v>
      </c>
      <c r="E22" s="7" t="s">
        <v>11430</v>
      </c>
      <c r="F22" s="7" t="s">
        <v>11430</v>
      </c>
      <c r="G22" s="7" t="s">
        <v>11430</v>
      </c>
      <c r="H22" s="7" t="s">
        <v>11430</v>
      </c>
      <c r="I22" s="7" t="s">
        <v>11430</v>
      </c>
      <c r="J22" s="7" t="s">
        <v>11430</v>
      </c>
      <c r="K22" s="7" t="s">
        <v>11430</v>
      </c>
      <c r="L22" s="7" t="s">
        <v>11430</v>
      </c>
      <c r="M22" s="7" t="s">
        <v>11430</v>
      </c>
    </row>
    <row r="23" spans="1:13" ht="21.95" customHeight="1" x14ac:dyDescent="0.15">
      <c r="A23" s="8" t="s">
        <v>12078</v>
      </c>
      <c r="B23" s="8" t="s">
        <v>11668</v>
      </c>
      <c r="C23" s="8" t="s">
        <v>11668</v>
      </c>
      <c r="D23" s="8" t="s">
        <v>11668</v>
      </c>
      <c r="E23" s="8" t="s">
        <v>11668</v>
      </c>
      <c r="F23" s="8" t="s">
        <v>11668</v>
      </c>
      <c r="G23" s="8" t="s">
        <v>11668</v>
      </c>
      <c r="H23" s="8" t="s">
        <v>11668</v>
      </c>
      <c r="I23" s="8" t="s">
        <v>11668</v>
      </c>
      <c r="J23" s="8" t="s">
        <v>11668</v>
      </c>
      <c r="K23" s="8" t="s">
        <v>11668</v>
      </c>
      <c r="L23" s="8" t="s">
        <v>11668</v>
      </c>
      <c r="M23" s="8" t="s">
        <v>11668</v>
      </c>
    </row>
    <row r="24" spans="1:13" ht="8.1" customHeight="1" x14ac:dyDescent="0.15">
      <c r="A24" s="9"/>
      <c r="B24" s="10"/>
      <c r="C24" s="10"/>
      <c r="D24" s="10"/>
      <c r="E24" s="10"/>
      <c r="F24" s="10"/>
      <c r="G24" s="10"/>
      <c r="H24" s="10"/>
      <c r="I24" s="10"/>
      <c r="J24" s="10"/>
      <c r="K24" s="10"/>
      <c r="L24" s="10"/>
      <c r="M24" s="10"/>
    </row>
    <row r="26" spans="1:13" ht="27.95" customHeight="1" x14ac:dyDescent="0.15">
      <c r="A26" s="13" t="s">
        <v>12079</v>
      </c>
      <c r="B26" s="10"/>
      <c r="C26" s="10"/>
      <c r="D26" s="10"/>
      <c r="E26" s="10"/>
      <c r="F26" s="10"/>
      <c r="G26" s="10"/>
      <c r="H26" s="10"/>
      <c r="I26" s="10"/>
      <c r="J26" s="10"/>
      <c r="K26" s="10"/>
      <c r="L26" s="10"/>
      <c r="M26" s="10"/>
    </row>
    <row r="27" spans="1:13" ht="45" customHeight="1" x14ac:dyDescent="0.15">
      <c r="A27" s="12" t="s">
        <v>12080</v>
      </c>
      <c r="B27" s="10"/>
      <c r="C27" s="10"/>
      <c r="D27" s="10"/>
      <c r="E27" s="10"/>
      <c r="F27" s="10"/>
      <c r="G27" s="10"/>
      <c r="H27" s="10"/>
      <c r="I27" s="10"/>
      <c r="J27" s="10"/>
      <c r="K27" s="10"/>
      <c r="L27" s="10"/>
      <c r="M27" s="10"/>
    </row>
    <row r="28" spans="1:13" ht="15" x14ac:dyDescent="0.15">
      <c r="A28" s="6" t="s">
        <v>11329</v>
      </c>
      <c r="B28" s="6" t="s">
        <v>11330</v>
      </c>
      <c r="C28" s="6" t="s">
        <v>11331</v>
      </c>
      <c r="D28" s="6" t="s">
        <v>11332</v>
      </c>
      <c r="E28" s="6" t="s">
        <v>11333</v>
      </c>
      <c r="F28" s="6" t="s">
        <v>11334</v>
      </c>
      <c r="G28" s="6" t="s">
        <v>11335</v>
      </c>
      <c r="H28" s="6" t="s">
        <v>11336</v>
      </c>
      <c r="I28" s="6" t="s">
        <v>11337</v>
      </c>
      <c r="J28" s="6" t="s">
        <v>11338</v>
      </c>
      <c r="K28" s="6" t="s">
        <v>11339</v>
      </c>
      <c r="L28" s="6" t="s">
        <v>11340</v>
      </c>
      <c r="M28" s="6" t="s">
        <v>11341</v>
      </c>
    </row>
    <row r="29" spans="1:13" ht="21.95" customHeight="1" x14ac:dyDescent="0.15">
      <c r="A29" s="7" t="s">
        <v>11433</v>
      </c>
      <c r="B29" s="7" t="s">
        <v>12081</v>
      </c>
      <c r="C29" s="7" t="s">
        <v>12081</v>
      </c>
      <c r="D29" s="7" t="s">
        <v>12081</v>
      </c>
      <c r="E29" s="7" t="s">
        <v>12081</v>
      </c>
      <c r="F29" s="7" t="s">
        <v>12081</v>
      </c>
      <c r="G29" s="7" t="s">
        <v>12081</v>
      </c>
      <c r="H29" s="7" t="s">
        <v>12081</v>
      </c>
      <c r="I29" s="7" t="s">
        <v>12081</v>
      </c>
      <c r="J29" s="7" t="s">
        <v>12081</v>
      </c>
      <c r="K29" s="7" t="s">
        <v>12081</v>
      </c>
      <c r="L29" s="7" t="s">
        <v>12081</v>
      </c>
      <c r="M29" s="7" t="s">
        <v>12081</v>
      </c>
    </row>
    <row r="30" spans="1:13" ht="21.95" customHeight="1" x14ac:dyDescent="0.15">
      <c r="A30" s="8" t="s">
        <v>11435</v>
      </c>
      <c r="B30" s="8" t="s">
        <v>11436</v>
      </c>
      <c r="C30" s="8" t="s">
        <v>11436</v>
      </c>
      <c r="D30" s="8" t="s">
        <v>11436</v>
      </c>
      <c r="E30" s="8" t="s">
        <v>11436</v>
      </c>
      <c r="F30" s="8" t="s">
        <v>11436</v>
      </c>
      <c r="G30" s="8" t="s">
        <v>11436</v>
      </c>
      <c r="H30" s="8" t="s">
        <v>11436</v>
      </c>
      <c r="I30" s="8" t="s">
        <v>11436</v>
      </c>
      <c r="J30" s="8" t="s">
        <v>11436</v>
      </c>
      <c r="K30" s="8" t="s">
        <v>11436</v>
      </c>
      <c r="L30" s="8" t="s">
        <v>11436</v>
      </c>
      <c r="M30" s="8" t="s">
        <v>11436</v>
      </c>
    </row>
    <row r="31" spans="1:13" ht="21.95" customHeight="1" x14ac:dyDescent="0.15">
      <c r="A31" s="7" t="s">
        <v>11819</v>
      </c>
      <c r="B31" s="7" t="s">
        <v>11674</v>
      </c>
      <c r="C31" s="7" t="s">
        <v>11674</v>
      </c>
      <c r="D31" s="7" t="s">
        <v>11674</v>
      </c>
      <c r="E31" s="7" t="s">
        <v>11674</v>
      </c>
      <c r="F31" s="7" t="s">
        <v>11674</v>
      </c>
      <c r="G31" s="7" t="s">
        <v>11674</v>
      </c>
      <c r="H31" s="7" t="s">
        <v>11674</v>
      </c>
      <c r="I31" s="7" t="s">
        <v>11674</v>
      </c>
      <c r="J31" s="7" t="s">
        <v>11674</v>
      </c>
      <c r="K31" s="7" t="s">
        <v>11674</v>
      </c>
      <c r="L31" s="7" t="s">
        <v>11674</v>
      </c>
      <c r="M31" s="7" t="s">
        <v>11674</v>
      </c>
    </row>
    <row r="32" spans="1:13" ht="21.95" customHeight="1" x14ac:dyDescent="0.15">
      <c r="A32" s="8" t="s">
        <v>12082</v>
      </c>
      <c r="B32" s="8" t="s">
        <v>12083</v>
      </c>
      <c r="C32" s="8" t="s">
        <v>12084</v>
      </c>
      <c r="D32" s="8" t="s">
        <v>12085</v>
      </c>
      <c r="E32" s="8" t="s">
        <v>12086</v>
      </c>
      <c r="F32" s="8" t="s">
        <v>12087</v>
      </c>
      <c r="G32" s="8" t="s">
        <v>12088</v>
      </c>
      <c r="H32" s="8" t="s">
        <v>12089</v>
      </c>
      <c r="I32" s="8" t="s">
        <v>12090</v>
      </c>
      <c r="J32" s="8" t="s">
        <v>11648</v>
      </c>
      <c r="K32" s="8" t="s">
        <v>12091</v>
      </c>
      <c r="L32" s="8" t="s">
        <v>12092</v>
      </c>
      <c r="M32" s="8" t="s">
        <v>11541</v>
      </c>
    </row>
    <row r="33" spans="1:13" ht="21.95" customHeight="1" x14ac:dyDescent="0.15">
      <c r="A33" s="7" t="s">
        <v>12093</v>
      </c>
      <c r="B33" s="7" t="s">
        <v>11612</v>
      </c>
      <c r="C33" s="7" t="s">
        <v>11709</v>
      </c>
      <c r="D33" s="7" t="s">
        <v>11911</v>
      </c>
      <c r="E33" s="7" t="s">
        <v>11713</v>
      </c>
      <c r="F33" s="7" t="s">
        <v>11549</v>
      </c>
      <c r="G33" s="7" t="s">
        <v>11825</v>
      </c>
      <c r="H33" s="7" t="s">
        <v>11475</v>
      </c>
      <c r="I33" s="7" t="s">
        <v>12094</v>
      </c>
      <c r="J33" s="7" t="s">
        <v>11827</v>
      </c>
      <c r="K33" s="7" t="s">
        <v>12095</v>
      </c>
      <c r="L33" s="7" t="s">
        <v>12096</v>
      </c>
      <c r="M33" s="7" t="s">
        <v>11426</v>
      </c>
    </row>
    <row r="34" spans="1:13" ht="21.95" customHeight="1" x14ac:dyDescent="0.15">
      <c r="A34" s="8" t="s">
        <v>12097</v>
      </c>
      <c r="B34" s="8" t="s">
        <v>11451</v>
      </c>
      <c r="C34" s="8" t="s">
        <v>11452</v>
      </c>
      <c r="D34" s="8" t="s">
        <v>11453</v>
      </c>
      <c r="E34" s="8" t="s">
        <v>11454</v>
      </c>
      <c r="F34" s="8" t="s">
        <v>11455</v>
      </c>
      <c r="G34" s="8" t="s">
        <v>11389</v>
      </c>
      <c r="H34" s="8" t="s">
        <v>11441</v>
      </c>
      <c r="I34" s="8" t="s">
        <v>11456</v>
      </c>
      <c r="J34" s="8" t="s">
        <v>11391</v>
      </c>
      <c r="K34" s="8" t="s">
        <v>11457</v>
      </c>
      <c r="L34" s="8" t="s">
        <v>11458</v>
      </c>
      <c r="M34" s="8" t="s">
        <v>11394</v>
      </c>
    </row>
    <row r="35" spans="1:13" ht="21.95" customHeight="1" x14ac:dyDescent="0.15">
      <c r="A35" s="7" t="s">
        <v>12098</v>
      </c>
      <c r="B35" s="7" t="s">
        <v>11532</v>
      </c>
      <c r="C35" s="7" t="s">
        <v>11532</v>
      </c>
      <c r="D35" s="7" t="s">
        <v>11532</v>
      </c>
      <c r="E35" s="7" t="s">
        <v>11532</v>
      </c>
      <c r="F35" s="7" t="s">
        <v>11532</v>
      </c>
      <c r="G35" s="7" t="s">
        <v>11532</v>
      </c>
      <c r="H35" s="7" t="s">
        <v>11532</v>
      </c>
      <c r="I35" s="7" t="s">
        <v>11532</v>
      </c>
      <c r="J35" s="7" t="s">
        <v>11532</v>
      </c>
      <c r="K35" s="7" t="s">
        <v>11532</v>
      </c>
      <c r="L35" s="7" t="s">
        <v>11532</v>
      </c>
      <c r="M35" s="7" t="s">
        <v>11532</v>
      </c>
    </row>
    <row r="36" spans="1:13" ht="21.95" customHeight="1" x14ac:dyDescent="0.15">
      <c r="A36" s="8" t="s">
        <v>12099</v>
      </c>
      <c r="B36" s="8" t="s">
        <v>11430</v>
      </c>
      <c r="C36" s="8" t="s">
        <v>11430</v>
      </c>
      <c r="D36" s="8" t="s">
        <v>11430</v>
      </c>
      <c r="E36" s="8" t="s">
        <v>11430</v>
      </c>
      <c r="F36" s="8" t="s">
        <v>11430</v>
      </c>
      <c r="G36" s="8" t="s">
        <v>11430</v>
      </c>
      <c r="H36" s="8" t="s">
        <v>11430</v>
      </c>
      <c r="I36" s="8" t="s">
        <v>11430</v>
      </c>
      <c r="J36" s="8" t="s">
        <v>11430</v>
      </c>
      <c r="K36" s="8" t="s">
        <v>11430</v>
      </c>
      <c r="L36" s="8" t="s">
        <v>11430</v>
      </c>
      <c r="M36" s="8" t="s">
        <v>11430</v>
      </c>
    </row>
    <row r="37" spans="1:13" ht="21.95" customHeight="1" x14ac:dyDescent="0.15">
      <c r="A37" s="7" t="s">
        <v>12100</v>
      </c>
      <c r="B37" s="7" t="s">
        <v>11896</v>
      </c>
      <c r="C37" s="7" t="s">
        <v>11896</v>
      </c>
      <c r="D37" s="7" t="s">
        <v>11896</v>
      </c>
      <c r="E37" s="7" t="s">
        <v>11896</v>
      </c>
      <c r="F37" s="7" t="s">
        <v>11896</v>
      </c>
      <c r="G37" s="7" t="s">
        <v>11896</v>
      </c>
      <c r="H37" s="7" t="s">
        <v>11896</v>
      </c>
      <c r="I37" s="7" t="s">
        <v>11896</v>
      </c>
      <c r="J37" s="7" t="s">
        <v>11896</v>
      </c>
      <c r="K37" s="7" t="s">
        <v>11896</v>
      </c>
      <c r="L37" s="7" t="s">
        <v>11896</v>
      </c>
      <c r="M37" s="7" t="s">
        <v>11896</v>
      </c>
    </row>
    <row r="38" spans="1:13" ht="21.95" customHeight="1" x14ac:dyDescent="0.15">
      <c r="A38" s="8" t="s">
        <v>12101</v>
      </c>
      <c r="B38" s="8" t="s">
        <v>11383</v>
      </c>
      <c r="C38" s="8" t="s">
        <v>11383</v>
      </c>
      <c r="D38" s="8" t="s">
        <v>11383</v>
      </c>
      <c r="E38" s="8" t="s">
        <v>11383</v>
      </c>
      <c r="F38" s="8" t="s">
        <v>11383</v>
      </c>
      <c r="G38" s="8" t="s">
        <v>11383</v>
      </c>
      <c r="H38" s="8" t="s">
        <v>11383</v>
      </c>
      <c r="I38" s="8" t="s">
        <v>11383</v>
      </c>
      <c r="J38" s="8" t="s">
        <v>11383</v>
      </c>
      <c r="K38" s="8" t="s">
        <v>11383</v>
      </c>
      <c r="L38" s="8" t="s">
        <v>11383</v>
      </c>
      <c r="M38" s="8" t="s">
        <v>11383</v>
      </c>
    </row>
    <row r="39" spans="1:13" ht="8.1" customHeight="1" x14ac:dyDescent="0.15">
      <c r="A39" s="9"/>
      <c r="B39" s="10"/>
      <c r="C39" s="10"/>
      <c r="D39" s="10"/>
      <c r="E39" s="10"/>
      <c r="F39" s="10"/>
      <c r="G39" s="10"/>
      <c r="H39" s="10"/>
      <c r="I39" s="10"/>
      <c r="J39" s="10"/>
      <c r="K39" s="10"/>
      <c r="L39" s="10"/>
      <c r="M39" s="10"/>
    </row>
    <row r="41" spans="1:13" ht="27.95" customHeight="1" x14ac:dyDescent="0.15">
      <c r="A41" s="13" t="s">
        <v>12102</v>
      </c>
      <c r="B41" s="10"/>
      <c r="C41" s="10"/>
      <c r="D41" s="10"/>
      <c r="E41" s="10"/>
      <c r="F41" s="10"/>
      <c r="G41" s="10"/>
      <c r="H41" s="10"/>
      <c r="I41" s="10"/>
      <c r="J41" s="10"/>
      <c r="K41" s="10"/>
      <c r="L41" s="10"/>
      <c r="M41" s="10"/>
    </row>
    <row r="42" spans="1:13" ht="45" customHeight="1" x14ac:dyDescent="0.15">
      <c r="A42" s="12" t="s">
        <v>12103</v>
      </c>
      <c r="B42" s="10"/>
      <c r="C42" s="10"/>
      <c r="D42" s="10"/>
      <c r="E42" s="10"/>
      <c r="F42" s="10"/>
      <c r="G42" s="10"/>
      <c r="H42" s="10"/>
      <c r="I42" s="10"/>
      <c r="J42" s="10"/>
      <c r="K42" s="10"/>
      <c r="L42" s="10"/>
      <c r="M42" s="10"/>
    </row>
    <row r="43" spans="1:13" ht="15" x14ac:dyDescent="0.15">
      <c r="A43" s="6" t="s">
        <v>11329</v>
      </c>
      <c r="B43" s="6" t="s">
        <v>11330</v>
      </c>
      <c r="C43" s="6" t="s">
        <v>11331</v>
      </c>
      <c r="D43" s="6" t="s">
        <v>11332</v>
      </c>
      <c r="E43" s="6" t="s">
        <v>11333</v>
      </c>
      <c r="F43" s="6" t="s">
        <v>11334</v>
      </c>
      <c r="G43" s="6" t="s">
        <v>11335</v>
      </c>
      <c r="H43" s="6" t="s">
        <v>11336</v>
      </c>
      <c r="I43" s="6" t="s">
        <v>11337</v>
      </c>
      <c r="J43" s="6" t="s">
        <v>11338</v>
      </c>
      <c r="K43" s="6" t="s">
        <v>11339</v>
      </c>
      <c r="L43" s="6" t="s">
        <v>11340</v>
      </c>
      <c r="M43" s="6" t="s">
        <v>11341</v>
      </c>
    </row>
    <row r="44" spans="1:13" ht="21.95" customHeight="1" x14ac:dyDescent="0.15">
      <c r="A44" s="7" t="s">
        <v>11435</v>
      </c>
      <c r="B44" s="7" t="s">
        <v>11535</v>
      </c>
      <c r="C44" s="7" t="s">
        <v>11535</v>
      </c>
      <c r="D44" s="7" t="s">
        <v>11535</v>
      </c>
      <c r="E44" s="7" t="s">
        <v>11535</v>
      </c>
      <c r="F44" s="7" t="s">
        <v>11535</v>
      </c>
      <c r="G44" s="7" t="s">
        <v>11535</v>
      </c>
      <c r="H44" s="7" t="s">
        <v>11535</v>
      </c>
      <c r="I44" s="7" t="s">
        <v>11535</v>
      </c>
      <c r="J44" s="7" t="s">
        <v>11536</v>
      </c>
      <c r="K44" s="7" t="s">
        <v>11536</v>
      </c>
      <c r="L44" s="7" t="s">
        <v>11536</v>
      </c>
      <c r="M44" s="7" t="s">
        <v>11740</v>
      </c>
    </row>
    <row r="45" spans="1:13" ht="21.95" customHeight="1" x14ac:dyDescent="0.15">
      <c r="A45" s="8" t="s">
        <v>11819</v>
      </c>
      <c r="B45" s="8" t="s">
        <v>11972</v>
      </c>
      <c r="C45" s="8" t="s">
        <v>11972</v>
      </c>
      <c r="D45" s="8" t="s">
        <v>11972</v>
      </c>
      <c r="E45" s="8" t="s">
        <v>11972</v>
      </c>
      <c r="F45" s="8" t="s">
        <v>11972</v>
      </c>
      <c r="G45" s="8" t="s">
        <v>11972</v>
      </c>
      <c r="H45" s="8" t="s">
        <v>11972</v>
      </c>
      <c r="I45" s="8" t="s">
        <v>11972</v>
      </c>
      <c r="J45" s="8" t="s">
        <v>11972</v>
      </c>
      <c r="K45" s="8" t="s">
        <v>11972</v>
      </c>
      <c r="L45" s="8" t="s">
        <v>11972</v>
      </c>
      <c r="M45" s="8" t="s">
        <v>11972</v>
      </c>
    </row>
    <row r="46" spans="1:13" ht="21.95" customHeight="1" x14ac:dyDescent="0.15">
      <c r="A46" s="7" t="s">
        <v>12104</v>
      </c>
      <c r="B46" s="7" t="s">
        <v>11482</v>
      </c>
      <c r="C46" s="7" t="s">
        <v>11482</v>
      </c>
      <c r="D46" s="7" t="s">
        <v>11482</v>
      </c>
      <c r="E46" s="7" t="s">
        <v>11482</v>
      </c>
      <c r="F46" s="7" t="s">
        <v>11482</v>
      </c>
      <c r="G46" s="7" t="s">
        <v>11482</v>
      </c>
      <c r="H46" s="7" t="s">
        <v>11482</v>
      </c>
      <c r="I46" s="7" t="s">
        <v>11482</v>
      </c>
      <c r="J46" s="7" t="s">
        <v>11482</v>
      </c>
      <c r="K46" s="7" t="s">
        <v>11482</v>
      </c>
      <c r="L46" s="7" t="s">
        <v>11482</v>
      </c>
      <c r="M46" s="7" t="s">
        <v>11482</v>
      </c>
    </row>
    <row r="47" spans="1:13" ht="21.95" customHeight="1" x14ac:dyDescent="0.15">
      <c r="A47" s="8" t="s">
        <v>12105</v>
      </c>
      <c r="B47" s="8" t="s">
        <v>11368</v>
      </c>
      <c r="C47" s="8" t="s">
        <v>11361</v>
      </c>
      <c r="D47" s="8" t="s">
        <v>11370</v>
      </c>
      <c r="E47" s="8" t="s">
        <v>11371</v>
      </c>
      <c r="F47" s="8" t="s">
        <v>11377</v>
      </c>
      <c r="G47" s="8" t="s">
        <v>11378</v>
      </c>
      <c r="H47" s="8" t="s">
        <v>11467</v>
      </c>
      <c r="I47" s="8" t="s">
        <v>11468</v>
      </c>
      <c r="J47" s="8" t="s">
        <v>11402</v>
      </c>
      <c r="K47" s="8" t="s">
        <v>11469</v>
      </c>
      <c r="L47" s="8" t="s">
        <v>11470</v>
      </c>
      <c r="M47" s="8" t="s">
        <v>11471</v>
      </c>
    </row>
    <row r="48" spans="1:13" ht="21.95" customHeight="1" x14ac:dyDescent="0.15">
      <c r="A48" s="7" t="s">
        <v>11879</v>
      </c>
      <c r="B48" s="7" t="s">
        <v>11597</v>
      </c>
      <c r="C48" s="7" t="s">
        <v>11705</v>
      </c>
      <c r="D48" s="7" t="s">
        <v>11599</v>
      </c>
      <c r="E48" s="7" t="s">
        <v>11638</v>
      </c>
      <c r="F48" s="7" t="s">
        <v>11601</v>
      </c>
      <c r="G48" s="7" t="s">
        <v>11839</v>
      </c>
      <c r="H48" s="7" t="s">
        <v>12075</v>
      </c>
      <c r="I48" s="7" t="s">
        <v>12076</v>
      </c>
      <c r="J48" s="7" t="s">
        <v>11911</v>
      </c>
      <c r="K48" s="7" t="s">
        <v>11418</v>
      </c>
      <c r="L48" s="7" t="s">
        <v>12048</v>
      </c>
      <c r="M48" s="7" t="s">
        <v>11825</v>
      </c>
    </row>
    <row r="49" spans="1:13" ht="21.95" customHeight="1" x14ac:dyDescent="0.15">
      <c r="A49" s="8" t="s">
        <v>11881</v>
      </c>
      <c r="B49" s="8" t="s">
        <v>11430</v>
      </c>
      <c r="C49" s="8" t="s">
        <v>11430</v>
      </c>
      <c r="D49" s="8" t="s">
        <v>11430</v>
      </c>
      <c r="E49" s="8" t="s">
        <v>11430</v>
      </c>
      <c r="F49" s="8" t="s">
        <v>11430</v>
      </c>
      <c r="G49" s="8" t="s">
        <v>11430</v>
      </c>
      <c r="H49" s="8" t="s">
        <v>11430</v>
      </c>
      <c r="I49" s="8" t="s">
        <v>11430</v>
      </c>
      <c r="J49" s="8" t="s">
        <v>11430</v>
      </c>
      <c r="K49" s="8" t="s">
        <v>11430</v>
      </c>
      <c r="L49" s="8" t="s">
        <v>11430</v>
      </c>
      <c r="M49" s="8" t="s">
        <v>11430</v>
      </c>
    </row>
    <row r="50" spans="1:13" ht="21.95" customHeight="1" x14ac:dyDescent="0.15">
      <c r="A50" s="7" t="s">
        <v>12106</v>
      </c>
      <c r="B50" s="7" t="s">
        <v>11430</v>
      </c>
      <c r="C50" s="7" t="s">
        <v>11430</v>
      </c>
      <c r="D50" s="7" t="s">
        <v>11430</v>
      </c>
      <c r="E50" s="7" t="s">
        <v>11430</v>
      </c>
      <c r="F50" s="7" t="s">
        <v>11430</v>
      </c>
      <c r="G50" s="7" t="s">
        <v>11430</v>
      </c>
      <c r="H50" s="7" t="s">
        <v>11430</v>
      </c>
      <c r="I50" s="7" t="s">
        <v>11430</v>
      </c>
      <c r="J50" s="7" t="s">
        <v>11430</v>
      </c>
      <c r="K50" s="7" t="s">
        <v>11430</v>
      </c>
      <c r="L50" s="7" t="s">
        <v>11430</v>
      </c>
      <c r="M50" s="7" t="s">
        <v>11430</v>
      </c>
    </row>
    <row r="51" spans="1:13" ht="8.1" customHeight="1" x14ac:dyDescent="0.15">
      <c r="A51" s="9"/>
      <c r="B51" s="10"/>
      <c r="C51" s="10"/>
      <c r="D51" s="10"/>
      <c r="E51" s="10"/>
      <c r="F51" s="10"/>
      <c r="G51" s="10"/>
      <c r="H51" s="10"/>
      <c r="I51" s="10"/>
      <c r="J51" s="10"/>
      <c r="K51" s="10"/>
      <c r="L51" s="10"/>
      <c r="M51" s="10"/>
    </row>
  </sheetData>
  <sheetProtection password="CC26" sheet="1"/>
  <mergeCells count="13">
    <mergeCell ref="A51:M51"/>
    <mergeCell ref="A42:M42"/>
    <mergeCell ref="A39:M39"/>
    <mergeCell ref="A41:M41"/>
    <mergeCell ref="A15:M15"/>
    <mergeCell ref="A24:M24"/>
    <mergeCell ref="A16:M16"/>
    <mergeCell ref="A13:M13"/>
    <mergeCell ref="A1:M1"/>
    <mergeCell ref="A27:M27"/>
    <mergeCell ref="A4:M4"/>
    <mergeCell ref="A3:M3"/>
    <mergeCell ref="A26:M26"/>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23">
    <cfRule type="colorScale" priority="2">
      <colorScale>
        <cfvo type="min"/>
        <cfvo type="percentile" val="50"/>
        <cfvo type="max"/>
        <color rgb="FFFFC7CE"/>
        <color rgb="FFFFEB9C"/>
        <color rgb="FFC6EFCE"/>
      </colorScale>
    </cfRule>
  </conditionalFormatting>
  <conditionalFormatting sqref="B29:M38">
    <cfRule type="colorScale" priority="3">
      <colorScale>
        <cfvo type="min"/>
        <cfvo type="percentile" val="50"/>
        <cfvo type="max"/>
        <color rgb="FFFFC7CE"/>
        <color rgb="FFFFEB9C"/>
        <color rgb="FFC6EFCE"/>
      </colorScale>
    </cfRule>
  </conditionalFormatting>
  <conditionalFormatting sqref="B44:M50">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38"/>
  <sheetViews>
    <sheetView workbookViewId="0"/>
  </sheetViews>
  <sheetFormatPr defaultRowHeight="13.5" x14ac:dyDescent="0.15"/>
  <cols>
    <col min="1" max="1" width="32" customWidth="1"/>
    <col min="2" max="13" width="9" customWidth="1"/>
  </cols>
  <sheetData>
    <row r="1" spans="1:13" ht="35.1" customHeight="1" x14ac:dyDescent="0.15">
      <c r="A1" s="11" t="s">
        <v>12107</v>
      </c>
      <c r="B1" s="10"/>
      <c r="C1" s="10"/>
      <c r="D1" s="10"/>
      <c r="E1" s="10"/>
      <c r="F1" s="10"/>
      <c r="G1" s="10"/>
      <c r="H1" s="10"/>
      <c r="I1" s="10"/>
      <c r="J1" s="10"/>
      <c r="K1" s="10"/>
      <c r="L1" s="10"/>
      <c r="M1" s="10"/>
    </row>
    <row r="3" spans="1:13" ht="27.95" customHeight="1" x14ac:dyDescent="0.15">
      <c r="A3" s="13" t="s">
        <v>12108</v>
      </c>
      <c r="B3" s="10"/>
      <c r="C3" s="10"/>
      <c r="D3" s="10"/>
      <c r="E3" s="10"/>
      <c r="F3" s="10"/>
      <c r="G3" s="10"/>
      <c r="H3" s="10"/>
      <c r="I3" s="10"/>
      <c r="J3" s="10"/>
      <c r="K3" s="10"/>
      <c r="L3" s="10"/>
      <c r="M3" s="10"/>
    </row>
    <row r="4" spans="1:13" ht="45" customHeight="1" x14ac:dyDescent="0.15">
      <c r="A4" s="12" t="s">
        <v>12109</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11503</v>
      </c>
      <c r="C6" s="7" t="s">
        <v>11504</v>
      </c>
      <c r="D6" s="7" t="s">
        <v>11348</v>
      </c>
      <c r="E6" s="7" t="s">
        <v>11507</v>
      </c>
      <c r="F6" s="7" t="s">
        <v>11350</v>
      </c>
      <c r="G6" s="7" t="s">
        <v>11367</v>
      </c>
      <c r="H6" s="7" t="s">
        <v>11368</v>
      </c>
      <c r="I6" s="7" t="s">
        <v>11369</v>
      </c>
      <c r="J6" s="7" t="s">
        <v>11354</v>
      </c>
      <c r="K6" s="7" t="s">
        <v>11370</v>
      </c>
      <c r="L6" s="7" t="s">
        <v>11371</v>
      </c>
      <c r="M6" s="7" t="s">
        <v>11372</v>
      </c>
    </row>
    <row r="7" spans="1:13" ht="21.95" customHeight="1" x14ac:dyDescent="0.15">
      <c r="A7" s="8" t="s">
        <v>11355</v>
      </c>
      <c r="B7" s="8" t="s">
        <v>11348</v>
      </c>
      <c r="C7" s="8" t="s">
        <v>11507</v>
      </c>
      <c r="D7" s="8" t="s">
        <v>11382</v>
      </c>
      <c r="E7" s="8" t="s">
        <v>11352</v>
      </c>
      <c r="F7" s="8" t="s">
        <v>11353</v>
      </c>
      <c r="G7" s="8" t="s">
        <v>11545</v>
      </c>
      <c r="H7" s="8" t="s">
        <v>11370</v>
      </c>
      <c r="I7" s="8" t="s">
        <v>11506</v>
      </c>
      <c r="J7" s="8" t="s">
        <v>11383</v>
      </c>
      <c r="K7" s="8" t="s">
        <v>11384</v>
      </c>
      <c r="L7" s="8" t="s">
        <v>11696</v>
      </c>
      <c r="M7" s="8" t="s">
        <v>11569</v>
      </c>
    </row>
    <row r="8" spans="1:13" ht="21.95" customHeight="1" x14ac:dyDescent="0.15">
      <c r="A8" s="7" t="s">
        <v>11365</v>
      </c>
      <c r="B8" s="7" t="s">
        <v>11545</v>
      </c>
      <c r="C8" s="7" t="s">
        <v>11375</v>
      </c>
      <c r="D8" s="7" t="s">
        <v>11383</v>
      </c>
      <c r="E8" s="7" t="s">
        <v>11567</v>
      </c>
      <c r="F8" s="7" t="s">
        <v>11696</v>
      </c>
      <c r="G8" s="7" t="s">
        <v>11569</v>
      </c>
      <c r="H8" s="7" t="s">
        <v>11402</v>
      </c>
      <c r="I8" s="7" t="s">
        <v>11511</v>
      </c>
      <c r="J8" s="7" t="s">
        <v>11387</v>
      </c>
      <c r="K8" s="7" t="s">
        <v>11838</v>
      </c>
      <c r="L8" s="7" t="s">
        <v>11405</v>
      </c>
      <c r="M8" s="7" t="s">
        <v>11700</v>
      </c>
    </row>
    <row r="9" spans="1:13" ht="21.95" customHeight="1" x14ac:dyDescent="0.15">
      <c r="A9" s="8" t="s">
        <v>11374</v>
      </c>
      <c r="B9" s="8" t="s">
        <v>11383</v>
      </c>
      <c r="C9" s="8" t="s">
        <v>11635</v>
      </c>
      <c r="D9" s="8" t="s">
        <v>11379</v>
      </c>
      <c r="E9" s="8" t="s">
        <v>11380</v>
      </c>
      <c r="F9" s="8" t="s">
        <v>11508</v>
      </c>
      <c r="G9" s="8" t="s">
        <v>11387</v>
      </c>
      <c r="H9" s="8" t="s">
        <v>11404</v>
      </c>
      <c r="I9" s="8" t="s">
        <v>11697</v>
      </c>
      <c r="J9" s="8" t="s">
        <v>11513</v>
      </c>
      <c r="K9" s="8" t="s">
        <v>11638</v>
      </c>
      <c r="L9" s="8" t="s">
        <v>11601</v>
      </c>
      <c r="M9" s="8" t="s">
        <v>11409</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12110</v>
      </c>
      <c r="B14" s="10"/>
      <c r="C14" s="10"/>
      <c r="D14" s="10"/>
      <c r="E14" s="10"/>
      <c r="F14" s="10"/>
      <c r="G14" s="10"/>
      <c r="H14" s="10"/>
      <c r="I14" s="10"/>
      <c r="J14" s="10"/>
      <c r="K14" s="10"/>
      <c r="L14" s="10"/>
      <c r="M14" s="10"/>
    </row>
    <row r="15" spans="1:13" ht="45" customHeight="1" x14ac:dyDescent="0.15">
      <c r="A15" s="12" t="s">
        <v>12111</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11416</v>
      </c>
      <c r="B17" s="7" t="s">
        <v>11612</v>
      </c>
      <c r="C17" s="7" t="s">
        <v>11709</v>
      </c>
      <c r="D17" s="7" t="s">
        <v>11911</v>
      </c>
      <c r="E17" s="7" t="s">
        <v>11713</v>
      </c>
      <c r="F17" s="7" t="s">
        <v>11549</v>
      </c>
      <c r="G17" s="7" t="s">
        <v>11825</v>
      </c>
      <c r="H17" s="7" t="s">
        <v>11475</v>
      </c>
      <c r="I17" s="7" t="s">
        <v>12094</v>
      </c>
      <c r="J17" s="7" t="s">
        <v>11827</v>
      </c>
      <c r="K17" s="7" t="s">
        <v>12095</v>
      </c>
      <c r="L17" s="7" t="s">
        <v>12096</v>
      </c>
      <c r="M17" s="7" t="s">
        <v>11426</v>
      </c>
    </row>
    <row r="18" spans="1:13" ht="21.95" customHeight="1" x14ac:dyDescent="0.15">
      <c r="A18" s="8" t="s">
        <v>11429</v>
      </c>
      <c r="B18" s="8" t="s">
        <v>11430</v>
      </c>
      <c r="C18" s="8" t="s">
        <v>11430</v>
      </c>
      <c r="D18" s="8" t="s">
        <v>11430</v>
      </c>
      <c r="E18" s="8" t="s">
        <v>11430</v>
      </c>
      <c r="F18" s="8" t="s">
        <v>11430</v>
      </c>
      <c r="G18" s="8" t="s">
        <v>11430</v>
      </c>
      <c r="H18" s="8" t="s">
        <v>11430</v>
      </c>
      <c r="I18" s="8" t="s">
        <v>11430</v>
      </c>
      <c r="J18" s="8" t="s">
        <v>11430</v>
      </c>
      <c r="K18" s="8" t="s">
        <v>11430</v>
      </c>
      <c r="L18" s="8" t="s">
        <v>11430</v>
      </c>
      <c r="M18" s="8" t="s">
        <v>11430</v>
      </c>
    </row>
    <row r="19" spans="1:13" ht="21.95" customHeight="1" x14ac:dyDescent="0.15">
      <c r="A19" s="7" t="s">
        <v>11559</v>
      </c>
      <c r="B19" s="7" t="s">
        <v>12112</v>
      </c>
      <c r="C19" s="7" t="s">
        <v>12112</v>
      </c>
      <c r="D19" s="7" t="s">
        <v>12112</v>
      </c>
      <c r="E19" s="7" t="s">
        <v>12112</v>
      </c>
      <c r="F19" s="7" t="s">
        <v>12112</v>
      </c>
      <c r="G19" s="7" t="s">
        <v>12112</v>
      </c>
      <c r="H19" s="7" t="s">
        <v>12112</v>
      </c>
      <c r="I19" s="7" t="s">
        <v>12112</v>
      </c>
      <c r="J19" s="7" t="s">
        <v>12112</v>
      </c>
      <c r="K19" s="7" t="s">
        <v>12112</v>
      </c>
      <c r="L19" s="7" t="s">
        <v>12112</v>
      </c>
      <c r="M19" s="7" t="s">
        <v>12112</v>
      </c>
    </row>
    <row r="20" spans="1:13" ht="8.1" customHeight="1" x14ac:dyDescent="0.15">
      <c r="A20" s="9"/>
      <c r="B20" s="10"/>
      <c r="C20" s="10"/>
      <c r="D20" s="10"/>
      <c r="E20" s="10"/>
      <c r="F20" s="10"/>
      <c r="G20" s="10"/>
      <c r="H20" s="10"/>
      <c r="I20" s="10"/>
      <c r="J20" s="10"/>
      <c r="K20" s="10"/>
      <c r="L20" s="10"/>
      <c r="M20" s="10"/>
    </row>
    <row r="22" spans="1:13" ht="27.95" customHeight="1" x14ac:dyDescent="0.15">
      <c r="A22" s="13" t="s">
        <v>12113</v>
      </c>
      <c r="B22" s="10"/>
      <c r="C22" s="10"/>
      <c r="D22" s="10"/>
      <c r="E22" s="10"/>
      <c r="F22" s="10"/>
      <c r="G22" s="10"/>
      <c r="H22" s="10"/>
      <c r="I22" s="10"/>
      <c r="J22" s="10"/>
      <c r="K22" s="10"/>
      <c r="L22" s="10"/>
      <c r="M22" s="10"/>
    </row>
    <row r="23" spans="1:13" ht="45" customHeight="1" x14ac:dyDescent="0.15">
      <c r="A23" s="12" t="s">
        <v>12114</v>
      </c>
      <c r="B23" s="10"/>
      <c r="C23" s="10"/>
      <c r="D23" s="10"/>
      <c r="E23" s="10"/>
      <c r="F23" s="10"/>
      <c r="G23" s="10"/>
      <c r="H23" s="10"/>
      <c r="I23" s="10"/>
      <c r="J23" s="10"/>
      <c r="K23" s="10"/>
      <c r="L23" s="10"/>
      <c r="M23" s="10"/>
    </row>
    <row r="24" spans="1:13" ht="15" x14ac:dyDescent="0.15">
      <c r="A24" s="6" t="s">
        <v>11329</v>
      </c>
      <c r="B24" s="6" t="s">
        <v>11330</v>
      </c>
      <c r="C24" s="6" t="s">
        <v>11331</v>
      </c>
      <c r="D24" s="6" t="s">
        <v>11332</v>
      </c>
      <c r="E24" s="6" t="s">
        <v>11333</v>
      </c>
      <c r="F24" s="6" t="s">
        <v>11334</v>
      </c>
      <c r="G24" s="6" t="s">
        <v>11335</v>
      </c>
      <c r="H24" s="6" t="s">
        <v>11336</v>
      </c>
      <c r="I24" s="6" t="s">
        <v>11337</v>
      </c>
      <c r="J24" s="6" t="s">
        <v>11338</v>
      </c>
      <c r="K24" s="6" t="s">
        <v>11339</v>
      </c>
      <c r="L24" s="6" t="s">
        <v>11340</v>
      </c>
      <c r="M24" s="6" t="s">
        <v>11341</v>
      </c>
    </row>
    <row r="25" spans="1:13" ht="21.95" customHeight="1" x14ac:dyDescent="0.15">
      <c r="A25" s="7" t="s">
        <v>11433</v>
      </c>
      <c r="B25" s="7" t="s">
        <v>11633</v>
      </c>
      <c r="C25" s="7" t="s">
        <v>11633</v>
      </c>
      <c r="D25" s="7" t="s">
        <v>11633</v>
      </c>
      <c r="E25" s="7" t="s">
        <v>11633</v>
      </c>
      <c r="F25" s="7" t="s">
        <v>11633</v>
      </c>
      <c r="G25" s="7" t="s">
        <v>11633</v>
      </c>
      <c r="H25" s="7" t="s">
        <v>11633</v>
      </c>
      <c r="I25" s="7" t="s">
        <v>11633</v>
      </c>
      <c r="J25" s="7" t="s">
        <v>11633</v>
      </c>
      <c r="K25" s="7" t="s">
        <v>11633</v>
      </c>
      <c r="L25" s="7" t="s">
        <v>11633</v>
      </c>
      <c r="M25" s="7" t="s">
        <v>11633</v>
      </c>
    </row>
    <row r="26" spans="1:13" ht="21.95" customHeight="1" x14ac:dyDescent="0.15">
      <c r="A26" s="8" t="s">
        <v>11435</v>
      </c>
      <c r="B26" s="8" t="s">
        <v>11466</v>
      </c>
      <c r="C26" s="8" t="s">
        <v>11466</v>
      </c>
      <c r="D26" s="8" t="s">
        <v>11466</v>
      </c>
      <c r="E26" s="8" t="s">
        <v>11466</v>
      </c>
      <c r="F26" s="8" t="s">
        <v>11466</v>
      </c>
      <c r="G26" s="8" t="s">
        <v>11466</v>
      </c>
      <c r="H26" s="8" t="s">
        <v>11466</v>
      </c>
      <c r="I26" s="8" t="s">
        <v>11466</v>
      </c>
      <c r="J26" s="8" t="s">
        <v>11466</v>
      </c>
      <c r="K26" s="8" t="s">
        <v>11466</v>
      </c>
      <c r="L26" s="8" t="s">
        <v>11466</v>
      </c>
      <c r="M26" s="8" t="s">
        <v>11466</v>
      </c>
    </row>
    <row r="27" spans="1:13" ht="21.95" customHeight="1" x14ac:dyDescent="0.15">
      <c r="A27" s="7" t="s">
        <v>12115</v>
      </c>
      <c r="B27" s="7" t="s">
        <v>11542</v>
      </c>
      <c r="C27" s="7" t="s">
        <v>11543</v>
      </c>
      <c r="D27" s="7" t="s">
        <v>11544</v>
      </c>
      <c r="E27" s="7" t="s">
        <v>11346</v>
      </c>
      <c r="F27" s="7" t="s">
        <v>11504</v>
      </c>
      <c r="G27" s="7" t="s">
        <v>11366</v>
      </c>
      <c r="H27" s="7" t="s">
        <v>11357</v>
      </c>
      <c r="I27" s="7" t="s">
        <v>11507</v>
      </c>
      <c r="J27" s="7" t="s">
        <v>11382</v>
      </c>
      <c r="K27" s="7" t="s">
        <v>11367</v>
      </c>
      <c r="L27" s="7" t="s">
        <v>11360</v>
      </c>
      <c r="M27" s="7" t="s">
        <v>11545</v>
      </c>
    </row>
    <row r="28" spans="1:13" ht="21.95" customHeight="1" x14ac:dyDescent="0.15">
      <c r="A28" s="8" t="s">
        <v>12116</v>
      </c>
      <c r="B28" s="8" t="s">
        <v>11473</v>
      </c>
      <c r="C28" s="8" t="s">
        <v>11474</v>
      </c>
      <c r="D28" s="8" t="s">
        <v>11475</v>
      </c>
      <c r="E28" s="8" t="s">
        <v>11476</v>
      </c>
      <c r="F28" s="8" t="s">
        <v>11423</v>
      </c>
      <c r="G28" s="8" t="s">
        <v>11451</v>
      </c>
      <c r="H28" s="8" t="s">
        <v>11477</v>
      </c>
      <c r="I28" s="8" t="s">
        <v>11478</v>
      </c>
      <c r="J28" s="8" t="s">
        <v>11453</v>
      </c>
      <c r="K28" s="8" t="s">
        <v>11479</v>
      </c>
      <c r="L28" s="8" t="s">
        <v>11480</v>
      </c>
      <c r="M28" s="8" t="s">
        <v>11389</v>
      </c>
    </row>
    <row r="29" spans="1:13" ht="8.1" customHeight="1" x14ac:dyDescent="0.15">
      <c r="A29" s="9"/>
      <c r="B29" s="10"/>
      <c r="C29" s="10"/>
      <c r="D29" s="10"/>
      <c r="E29" s="10"/>
      <c r="F29" s="10"/>
      <c r="G29" s="10"/>
      <c r="H29" s="10"/>
      <c r="I29" s="10"/>
      <c r="J29" s="10"/>
      <c r="K29" s="10"/>
      <c r="L29" s="10"/>
      <c r="M29" s="10"/>
    </row>
    <row r="31" spans="1:13" ht="27.95" customHeight="1" x14ac:dyDescent="0.15">
      <c r="A31" s="13" t="s">
        <v>12117</v>
      </c>
      <c r="B31" s="10"/>
      <c r="C31" s="10"/>
      <c r="D31" s="10"/>
      <c r="E31" s="10"/>
      <c r="F31" s="10"/>
      <c r="G31" s="10"/>
      <c r="H31" s="10"/>
      <c r="I31" s="10"/>
      <c r="J31" s="10"/>
      <c r="K31" s="10"/>
      <c r="L31" s="10"/>
      <c r="M31" s="10"/>
    </row>
    <row r="32" spans="1:13" ht="45" customHeight="1" x14ac:dyDescent="0.15">
      <c r="A32" s="12" t="s">
        <v>12118</v>
      </c>
      <c r="B32" s="10"/>
      <c r="C32" s="10"/>
      <c r="D32" s="10"/>
      <c r="E32" s="10"/>
      <c r="F32" s="10"/>
      <c r="G32" s="10"/>
      <c r="H32" s="10"/>
      <c r="I32" s="10"/>
      <c r="J32" s="10"/>
      <c r="K32" s="10"/>
      <c r="L32" s="10"/>
      <c r="M32" s="10"/>
    </row>
    <row r="33" spans="1:13" ht="15" x14ac:dyDescent="0.15">
      <c r="A33" s="6" t="s">
        <v>11329</v>
      </c>
      <c r="B33" s="6" t="s">
        <v>11330</v>
      </c>
      <c r="C33" s="6" t="s">
        <v>11331</v>
      </c>
      <c r="D33" s="6" t="s">
        <v>11332</v>
      </c>
      <c r="E33" s="6" t="s">
        <v>11333</v>
      </c>
      <c r="F33" s="6" t="s">
        <v>11334</v>
      </c>
      <c r="G33" s="6" t="s">
        <v>11335</v>
      </c>
      <c r="H33" s="6" t="s">
        <v>11336</v>
      </c>
      <c r="I33" s="6" t="s">
        <v>11337</v>
      </c>
      <c r="J33" s="6" t="s">
        <v>11338</v>
      </c>
      <c r="K33" s="6" t="s">
        <v>11339</v>
      </c>
      <c r="L33" s="6" t="s">
        <v>11340</v>
      </c>
      <c r="M33" s="6" t="s">
        <v>11341</v>
      </c>
    </row>
    <row r="34" spans="1:13" ht="21.95" customHeight="1" x14ac:dyDescent="0.15">
      <c r="A34" s="7" t="s">
        <v>11435</v>
      </c>
      <c r="B34" s="7" t="s">
        <v>11535</v>
      </c>
      <c r="C34" s="7" t="s">
        <v>11535</v>
      </c>
      <c r="D34" s="7" t="s">
        <v>11535</v>
      </c>
      <c r="E34" s="7" t="s">
        <v>11535</v>
      </c>
      <c r="F34" s="7" t="s">
        <v>11535</v>
      </c>
      <c r="G34" s="7" t="s">
        <v>11535</v>
      </c>
      <c r="H34" s="7" t="s">
        <v>11535</v>
      </c>
      <c r="I34" s="7" t="s">
        <v>11535</v>
      </c>
      <c r="J34" s="7" t="s">
        <v>11535</v>
      </c>
      <c r="K34" s="7" t="s">
        <v>11535</v>
      </c>
      <c r="L34" s="7" t="s">
        <v>11535</v>
      </c>
      <c r="M34" s="7" t="s">
        <v>11536</v>
      </c>
    </row>
    <row r="35" spans="1:13" ht="21.95" customHeight="1" x14ac:dyDescent="0.15">
      <c r="A35" s="8" t="s">
        <v>11416</v>
      </c>
      <c r="B35" s="8" t="s">
        <v>11729</v>
      </c>
      <c r="C35" s="8" t="s">
        <v>11678</v>
      </c>
      <c r="D35" s="8" t="s">
        <v>11454</v>
      </c>
      <c r="E35" s="8" t="s">
        <v>11998</v>
      </c>
      <c r="F35" s="8" t="s">
        <v>11731</v>
      </c>
      <c r="G35" s="8" t="s">
        <v>11732</v>
      </c>
      <c r="H35" s="8" t="s">
        <v>11442</v>
      </c>
      <c r="I35" s="8" t="s">
        <v>11624</v>
      </c>
      <c r="J35" s="8" t="s">
        <v>11392</v>
      </c>
      <c r="K35" s="8" t="s">
        <v>11733</v>
      </c>
      <c r="L35" s="8" t="s">
        <v>11734</v>
      </c>
      <c r="M35" s="8" t="s">
        <v>11735</v>
      </c>
    </row>
    <row r="36" spans="1:13" ht="21.95" customHeight="1" x14ac:dyDescent="0.15">
      <c r="A36" s="7" t="s">
        <v>11429</v>
      </c>
      <c r="B36" s="7" t="s">
        <v>11572</v>
      </c>
      <c r="C36" s="7" t="s">
        <v>11572</v>
      </c>
      <c r="D36" s="7" t="s">
        <v>11572</v>
      </c>
      <c r="E36" s="7" t="s">
        <v>11572</v>
      </c>
      <c r="F36" s="7" t="s">
        <v>11572</v>
      </c>
      <c r="G36" s="7" t="s">
        <v>11572</v>
      </c>
      <c r="H36" s="7" t="s">
        <v>11572</v>
      </c>
      <c r="I36" s="7" t="s">
        <v>11572</v>
      </c>
      <c r="J36" s="7" t="s">
        <v>11572</v>
      </c>
      <c r="K36" s="7" t="s">
        <v>11572</v>
      </c>
      <c r="L36" s="7" t="s">
        <v>11572</v>
      </c>
      <c r="M36" s="7" t="s">
        <v>11572</v>
      </c>
    </row>
    <row r="37" spans="1:13" ht="21.95" customHeight="1" x14ac:dyDescent="0.15">
      <c r="A37" s="8" t="s">
        <v>12119</v>
      </c>
      <c r="B37" s="8" t="s">
        <v>11642</v>
      </c>
      <c r="C37" s="8" t="s">
        <v>11642</v>
      </c>
      <c r="D37" s="8" t="s">
        <v>11642</v>
      </c>
      <c r="E37" s="8" t="s">
        <v>11642</v>
      </c>
      <c r="F37" s="8" t="s">
        <v>11642</v>
      </c>
      <c r="G37" s="8" t="s">
        <v>11642</v>
      </c>
      <c r="H37" s="8" t="s">
        <v>11642</v>
      </c>
      <c r="I37" s="8" t="s">
        <v>11642</v>
      </c>
      <c r="J37" s="8" t="s">
        <v>11647</v>
      </c>
      <c r="K37" s="8" t="s">
        <v>11647</v>
      </c>
      <c r="L37" s="8" t="s">
        <v>11647</v>
      </c>
      <c r="M37" s="8" t="s">
        <v>11541</v>
      </c>
    </row>
    <row r="38" spans="1:13" ht="8.1" customHeight="1" x14ac:dyDescent="0.15">
      <c r="A38" s="9"/>
      <c r="B38" s="10"/>
      <c r="C38" s="10"/>
      <c r="D38" s="10"/>
      <c r="E38" s="10"/>
      <c r="F38" s="10"/>
      <c r="G38" s="10"/>
      <c r="H38" s="10"/>
      <c r="I38" s="10"/>
      <c r="J38" s="10"/>
      <c r="K38" s="10"/>
      <c r="L38" s="10"/>
      <c r="M38" s="10"/>
    </row>
  </sheetData>
  <sheetProtection password="CC26" sheet="1"/>
  <mergeCells count="13">
    <mergeCell ref="A38:M38"/>
    <mergeCell ref="A14:M14"/>
    <mergeCell ref="A1:M1"/>
    <mergeCell ref="A23:M23"/>
    <mergeCell ref="A32:M32"/>
    <mergeCell ref="A31:M31"/>
    <mergeCell ref="A22:M22"/>
    <mergeCell ref="A12:M12"/>
    <mergeCell ref="A4:M4"/>
    <mergeCell ref="A3:M3"/>
    <mergeCell ref="A15:M15"/>
    <mergeCell ref="A29:M29"/>
    <mergeCell ref="A20:M20"/>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19">
    <cfRule type="colorScale" priority="2">
      <colorScale>
        <cfvo type="min"/>
        <cfvo type="percentile" val="50"/>
        <cfvo type="max"/>
        <color rgb="FFFFC7CE"/>
        <color rgb="FFFFEB9C"/>
        <color rgb="FFC6EFCE"/>
      </colorScale>
    </cfRule>
  </conditionalFormatting>
  <conditionalFormatting sqref="B25:M28">
    <cfRule type="colorScale" priority="3">
      <colorScale>
        <cfvo type="min"/>
        <cfvo type="percentile" val="50"/>
        <cfvo type="max"/>
        <color rgb="FFFFC7CE"/>
        <color rgb="FFFFEB9C"/>
        <color rgb="FFC6EFCE"/>
      </colorScale>
    </cfRule>
  </conditionalFormatting>
  <conditionalFormatting sqref="B34:M37">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36"/>
  <sheetViews>
    <sheetView workbookViewId="0"/>
  </sheetViews>
  <sheetFormatPr defaultRowHeight="13.5" x14ac:dyDescent="0.15"/>
  <cols>
    <col min="1" max="1" width="32" customWidth="1"/>
    <col min="2" max="13" width="9" customWidth="1"/>
  </cols>
  <sheetData>
    <row r="1" spans="1:13" ht="35.1" customHeight="1" x14ac:dyDescent="0.15">
      <c r="A1" s="11" t="s">
        <v>12120</v>
      </c>
      <c r="B1" s="10"/>
      <c r="C1" s="10"/>
      <c r="D1" s="10"/>
      <c r="E1" s="10"/>
      <c r="F1" s="10"/>
      <c r="G1" s="10"/>
      <c r="H1" s="10"/>
      <c r="I1" s="10"/>
      <c r="J1" s="10"/>
      <c r="K1" s="10"/>
      <c r="L1" s="10"/>
      <c r="M1" s="10"/>
    </row>
    <row r="3" spans="1:13" ht="27.95" customHeight="1" x14ac:dyDescent="0.15">
      <c r="A3" s="13" t="s">
        <v>12121</v>
      </c>
      <c r="B3" s="10"/>
      <c r="C3" s="10"/>
      <c r="D3" s="10"/>
      <c r="E3" s="10"/>
      <c r="F3" s="10"/>
      <c r="G3" s="10"/>
      <c r="H3" s="10"/>
      <c r="I3" s="10"/>
      <c r="J3" s="10"/>
      <c r="K3" s="10"/>
      <c r="L3" s="10"/>
      <c r="M3" s="10"/>
    </row>
    <row r="4" spans="1:13" ht="45" customHeight="1" x14ac:dyDescent="0.15">
      <c r="A4" s="12" t="s">
        <v>12122</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11541</v>
      </c>
      <c r="C6" s="7" t="s">
        <v>11542</v>
      </c>
      <c r="D6" s="7" t="s">
        <v>11543</v>
      </c>
      <c r="E6" s="7" t="s">
        <v>11544</v>
      </c>
      <c r="F6" s="7" t="s">
        <v>11503</v>
      </c>
      <c r="G6" s="7" t="s">
        <v>11356</v>
      </c>
      <c r="H6" s="7" t="s">
        <v>11347</v>
      </c>
      <c r="I6" s="7" t="s">
        <v>11348</v>
      </c>
      <c r="J6" s="7" t="s">
        <v>11349</v>
      </c>
      <c r="K6" s="7" t="s">
        <v>11350</v>
      </c>
      <c r="L6" s="7" t="s">
        <v>11367</v>
      </c>
      <c r="M6" s="7" t="s">
        <v>11368</v>
      </c>
    </row>
    <row r="7" spans="1:13" ht="21.95" customHeight="1" x14ac:dyDescent="0.15">
      <c r="A7" s="8" t="s">
        <v>11355</v>
      </c>
      <c r="B7" s="8" t="s">
        <v>11503</v>
      </c>
      <c r="C7" s="8" t="s">
        <v>11356</v>
      </c>
      <c r="D7" s="8" t="s">
        <v>11366</v>
      </c>
      <c r="E7" s="8" t="s">
        <v>11349</v>
      </c>
      <c r="F7" s="8" t="s">
        <v>11350</v>
      </c>
      <c r="G7" s="8" t="s">
        <v>11351</v>
      </c>
      <c r="H7" s="8" t="s">
        <v>11352</v>
      </c>
      <c r="I7" s="8" t="s">
        <v>11353</v>
      </c>
      <c r="J7" s="8" t="s">
        <v>11545</v>
      </c>
      <c r="K7" s="8" t="s">
        <v>11505</v>
      </c>
      <c r="L7" s="8" t="s">
        <v>11506</v>
      </c>
      <c r="M7" s="8" t="s">
        <v>11377</v>
      </c>
    </row>
    <row r="8" spans="1:13" ht="21.95" customHeight="1" x14ac:dyDescent="0.15">
      <c r="A8" s="7" t="s">
        <v>11365</v>
      </c>
      <c r="B8" s="7" t="s">
        <v>11366</v>
      </c>
      <c r="C8" s="7" t="s">
        <v>11349</v>
      </c>
      <c r="D8" s="7" t="s">
        <v>11350</v>
      </c>
      <c r="E8" s="7" t="s">
        <v>11367</v>
      </c>
      <c r="F8" s="7" t="s">
        <v>11360</v>
      </c>
      <c r="G8" s="7" t="s">
        <v>11361</v>
      </c>
      <c r="H8" s="7" t="s">
        <v>11362</v>
      </c>
      <c r="I8" s="7" t="s">
        <v>11375</v>
      </c>
      <c r="J8" s="7" t="s">
        <v>11376</v>
      </c>
      <c r="K8" s="7" t="s">
        <v>11372</v>
      </c>
      <c r="L8" s="7" t="s">
        <v>11378</v>
      </c>
      <c r="M8" s="7" t="s">
        <v>11509</v>
      </c>
    </row>
    <row r="9" spans="1:13" ht="21.95" customHeight="1" x14ac:dyDescent="0.15">
      <c r="A9" s="8" t="s">
        <v>11374</v>
      </c>
      <c r="B9" s="8" t="s">
        <v>11545</v>
      </c>
      <c r="C9" s="8" t="s">
        <v>11370</v>
      </c>
      <c r="D9" s="8" t="s">
        <v>11376</v>
      </c>
      <c r="E9" s="8" t="s">
        <v>11384</v>
      </c>
      <c r="F9" s="8" t="s">
        <v>11568</v>
      </c>
      <c r="G9" s="8" t="s">
        <v>11602</v>
      </c>
      <c r="H9" s="8" t="s">
        <v>11510</v>
      </c>
      <c r="I9" s="8" t="s">
        <v>11508</v>
      </c>
      <c r="J9" s="8" t="s">
        <v>11597</v>
      </c>
      <c r="K9" s="8" t="s">
        <v>11603</v>
      </c>
      <c r="L9" s="8" t="s">
        <v>11697</v>
      </c>
      <c r="M9" s="8" t="s">
        <v>11698</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12123</v>
      </c>
      <c r="B14" s="10"/>
      <c r="C14" s="10"/>
      <c r="D14" s="10"/>
      <c r="E14" s="10"/>
      <c r="F14" s="10"/>
      <c r="G14" s="10"/>
      <c r="H14" s="10"/>
      <c r="I14" s="10"/>
      <c r="J14" s="10"/>
      <c r="K14" s="10"/>
      <c r="L14" s="10"/>
      <c r="M14" s="10"/>
    </row>
    <row r="15" spans="1:13" ht="45" customHeight="1" x14ac:dyDescent="0.15">
      <c r="A15" s="12" t="s">
        <v>12124</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11416</v>
      </c>
      <c r="B17" s="7" t="s">
        <v>12075</v>
      </c>
      <c r="C17" s="7" t="s">
        <v>11417</v>
      </c>
      <c r="D17" s="7" t="s">
        <v>11418</v>
      </c>
      <c r="E17" s="7" t="s">
        <v>12048</v>
      </c>
      <c r="F17" s="7" t="s">
        <v>12125</v>
      </c>
      <c r="G17" s="7" t="s">
        <v>11475</v>
      </c>
      <c r="H17" s="7" t="s">
        <v>12126</v>
      </c>
      <c r="I17" s="7" t="s">
        <v>12127</v>
      </c>
      <c r="J17" s="7" t="s">
        <v>12095</v>
      </c>
      <c r="K17" s="7" t="s">
        <v>12128</v>
      </c>
      <c r="L17" s="7" t="s">
        <v>11720</v>
      </c>
      <c r="M17" s="7" t="s">
        <v>11453</v>
      </c>
    </row>
    <row r="18" spans="1:13" ht="21.95" customHeight="1" x14ac:dyDescent="0.15">
      <c r="A18" s="8" t="s">
        <v>11429</v>
      </c>
      <c r="B18" s="8" t="s">
        <v>11430</v>
      </c>
      <c r="C18" s="8" t="s">
        <v>11430</v>
      </c>
      <c r="D18" s="8" t="s">
        <v>11430</v>
      </c>
      <c r="E18" s="8" t="s">
        <v>11430</v>
      </c>
      <c r="F18" s="8" t="s">
        <v>11430</v>
      </c>
      <c r="G18" s="8" t="s">
        <v>11430</v>
      </c>
      <c r="H18" s="8" t="s">
        <v>11430</v>
      </c>
      <c r="I18" s="8" t="s">
        <v>11430</v>
      </c>
      <c r="J18" s="8" t="s">
        <v>11430</v>
      </c>
      <c r="K18" s="8" t="s">
        <v>11430</v>
      </c>
      <c r="L18" s="8" t="s">
        <v>11430</v>
      </c>
      <c r="M18" s="8" t="s">
        <v>11430</v>
      </c>
    </row>
    <row r="19" spans="1:13" ht="8.1" customHeight="1" x14ac:dyDescent="0.15">
      <c r="A19" s="9"/>
      <c r="B19" s="10"/>
      <c r="C19" s="10"/>
      <c r="D19" s="10"/>
      <c r="E19" s="10"/>
      <c r="F19" s="10"/>
      <c r="G19" s="10"/>
      <c r="H19" s="10"/>
      <c r="I19" s="10"/>
      <c r="J19" s="10"/>
      <c r="K19" s="10"/>
      <c r="L19" s="10"/>
      <c r="M19" s="10"/>
    </row>
    <row r="21" spans="1:13" ht="27.95" customHeight="1" x14ac:dyDescent="0.15">
      <c r="A21" s="13" t="s">
        <v>12129</v>
      </c>
      <c r="B21" s="10"/>
      <c r="C21" s="10"/>
      <c r="D21" s="10"/>
      <c r="E21" s="10"/>
      <c r="F21" s="10"/>
      <c r="G21" s="10"/>
      <c r="H21" s="10"/>
      <c r="I21" s="10"/>
      <c r="J21" s="10"/>
      <c r="K21" s="10"/>
      <c r="L21" s="10"/>
      <c r="M21" s="10"/>
    </row>
    <row r="22" spans="1:13" ht="45" customHeight="1" x14ac:dyDescent="0.15">
      <c r="A22" s="12" t="s">
        <v>12130</v>
      </c>
      <c r="B22" s="10"/>
      <c r="C22" s="10"/>
      <c r="D22" s="10"/>
      <c r="E22" s="10"/>
      <c r="F22" s="10"/>
      <c r="G22" s="10"/>
      <c r="H22" s="10"/>
      <c r="I22" s="10"/>
      <c r="J22" s="10"/>
      <c r="K22" s="10"/>
      <c r="L22" s="10"/>
      <c r="M22" s="10"/>
    </row>
    <row r="23" spans="1:13" ht="15" x14ac:dyDescent="0.15">
      <c r="A23" s="6" t="s">
        <v>11329</v>
      </c>
      <c r="B23" s="6" t="s">
        <v>11330</v>
      </c>
      <c r="C23" s="6" t="s">
        <v>11331</v>
      </c>
      <c r="D23" s="6" t="s">
        <v>11332</v>
      </c>
      <c r="E23" s="6" t="s">
        <v>11333</v>
      </c>
      <c r="F23" s="6" t="s">
        <v>11334</v>
      </c>
      <c r="G23" s="6" t="s">
        <v>11335</v>
      </c>
      <c r="H23" s="6" t="s">
        <v>11336</v>
      </c>
      <c r="I23" s="6" t="s">
        <v>11337</v>
      </c>
      <c r="J23" s="6" t="s">
        <v>11338</v>
      </c>
      <c r="K23" s="6" t="s">
        <v>11339</v>
      </c>
      <c r="L23" s="6" t="s">
        <v>11340</v>
      </c>
      <c r="M23" s="6" t="s">
        <v>11341</v>
      </c>
    </row>
    <row r="24" spans="1:13" ht="21.95" customHeight="1" x14ac:dyDescent="0.15">
      <c r="A24" s="7" t="s">
        <v>11433</v>
      </c>
      <c r="B24" s="7" t="s">
        <v>12131</v>
      </c>
      <c r="C24" s="7" t="s">
        <v>12131</v>
      </c>
      <c r="D24" s="7" t="s">
        <v>12131</v>
      </c>
      <c r="E24" s="7" t="s">
        <v>12131</v>
      </c>
      <c r="F24" s="7" t="s">
        <v>12131</v>
      </c>
      <c r="G24" s="7" t="s">
        <v>12131</v>
      </c>
      <c r="H24" s="7" t="s">
        <v>12131</v>
      </c>
      <c r="I24" s="7" t="s">
        <v>12131</v>
      </c>
      <c r="J24" s="7" t="s">
        <v>12131</v>
      </c>
      <c r="K24" s="7" t="s">
        <v>12131</v>
      </c>
      <c r="L24" s="7" t="s">
        <v>12131</v>
      </c>
      <c r="M24" s="7" t="s">
        <v>12131</v>
      </c>
    </row>
    <row r="25" spans="1:13" ht="21.95" customHeight="1" x14ac:dyDescent="0.15">
      <c r="A25" s="8" t="s">
        <v>11435</v>
      </c>
      <c r="B25" s="8" t="s">
        <v>11535</v>
      </c>
      <c r="C25" s="8" t="s">
        <v>11535</v>
      </c>
      <c r="D25" s="8" t="s">
        <v>11535</v>
      </c>
      <c r="E25" s="8" t="s">
        <v>11535</v>
      </c>
      <c r="F25" s="8" t="s">
        <v>11535</v>
      </c>
      <c r="G25" s="8" t="s">
        <v>11535</v>
      </c>
      <c r="H25" s="8" t="s">
        <v>11535</v>
      </c>
      <c r="I25" s="8" t="s">
        <v>11535</v>
      </c>
      <c r="J25" s="8" t="s">
        <v>11535</v>
      </c>
      <c r="K25" s="8" t="s">
        <v>11535</v>
      </c>
      <c r="L25" s="8" t="s">
        <v>11535</v>
      </c>
      <c r="M25" s="8" t="s">
        <v>11535</v>
      </c>
    </row>
    <row r="26" spans="1:13" ht="21.95" customHeight="1" x14ac:dyDescent="0.15">
      <c r="A26" s="7" t="s">
        <v>11667</v>
      </c>
      <c r="B26" s="7" t="s">
        <v>12132</v>
      </c>
      <c r="C26" s="7" t="s">
        <v>12133</v>
      </c>
      <c r="D26" s="7" t="s">
        <v>12134</v>
      </c>
      <c r="E26" s="7" t="s">
        <v>12135</v>
      </c>
      <c r="F26" s="7" t="s">
        <v>12136</v>
      </c>
      <c r="G26" s="7" t="s">
        <v>12137</v>
      </c>
      <c r="H26" s="7" t="s">
        <v>11565</v>
      </c>
      <c r="I26" s="7" t="s">
        <v>12138</v>
      </c>
      <c r="J26" s="7" t="s">
        <v>12139</v>
      </c>
      <c r="K26" s="7" t="s">
        <v>12140</v>
      </c>
      <c r="L26" s="7" t="s">
        <v>12141</v>
      </c>
      <c r="M26" s="7" t="s">
        <v>11434</v>
      </c>
    </row>
    <row r="27" spans="1:13" ht="8.1" customHeight="1" x14ac:dyDescent="0.15">
      <c r="A27" s="9"/>
      <c r="B27" s="10"/>
      <c r="C27" s="10"/>
      <c r="D27" s="10"/>
      <c r="E27" s="10"/>
      <c r="F27" s="10"/>
      <c r="G27" s="10"/>
      <c r="H27" s="10"/>
      <c r="I27" s="10"/>
      <c r="J27" s="10"/>
      <c r="K27" s="10"/>
      <c r="L27" s="10"/>
      <c r="M27" s="10"/>
    </row>
    <row r="29" spans="1:13" ht="27.95" customHeight="1" x14ac:dyDescent="0.15">
      <c r="A29" s="13" t="s">
        <v>12142</v>
      </c>
      <c r="B29" s="10"/>
      <c r="C29" s="10"/>
      <c r="D29" s="10"/>
      <c r="E29" s="10"/>
      <c r="F29" s="10"/>
      <c r="G29" s="10"/>
      <c r="H29" s="10"/>
      <c r="I29" s="10"/>
      <c r="J29" s="10"/>
      <c r="K29" s="10"/>
      <c r="L29" s="10"/>
      <c r="M29" s="10"/>
    </row>
    <row r="30" spans="1:13" ht="45" customHeight="1" x14ac:dyDescent="0.15">
      <c r="A30" s="12" t="s">
        <v>12143</v>
      </c>
      <c r="B30" s="10"/>
      <c r="C30" s="10"/>
      <c r="D30" s="10"/>
      <c r="E30" s="10"/>
      <c r="F30" s="10"/>
      <c r="G30" s="10"/>
      <c r="H30" s="10"/>
      <c r="I30" s="10"/>
      <c r="J30" s="10"/>
      <c r="K30" s="10"/>
      <c r="L30" s="10"/>
      <c r="M30" s="10"/>
    </row>
    <row r="31" spans="1:13" ht="15" x14ac:dyDescent="0.15">
      <c r="A31" s="6" t="s">
        <v>11329</v>
      </c>
      <c r="B31" s="6" t="s">
        <v>11330</v>
      </c>
      <c r="C31" s="6" t="s">
        <v>11331</v>
      </c>
      <c r="D31" s="6" t="s">
        <v>11332</v>
      </c>
      <c r="E31" s="6" t="s">
        <v>11333</v>
      </c>
      <c r="F31" s="6" t="s">
        <v>11334</v>
      </c>
      <c r="G31" s="6" t="s">
        <v>11335</v>
      </c>
      <c r="H31" s="6" t="s">
        <v>11336</v>
      </c>
      <c r="I31" s="6" t="s">
        <v>11337</v>
      </c>
      <c r="J31" s="6" t="s">
        <v>11338</v>
      </c>
      <c r="K31" s="6" t="s">
        <v>11339</v>
      </c>
      <c r="L31" s="6" t="s">
        <v>11340</v>
      </c>
      <c r="M31" s="6" t="s">
        <v>11341</v>
      </c>
    </row>
    <row r="32" spans="1:13" ht="21.95" customHeight="1" x14ac:dyDescent="0.15">
      <c r="A32" s="7" t="s">
        <v>11435</v>
      </c>
      <c r="B32" s="7" t="s">
        <v>11436</v>
      </c>
      <c r="C32" s="7" t="s">
        <v>11436</v>
      </c>
      <c r="D32" s="7" t="s">
        <v>11436</v>
      </c>
      <c r="E32" s="7" t="s">
        <v>11436</v>
      </c>
      <c r="F32" s="7" t="s">
        <v>11436</v>
      </c>
      <c r="G32" s="7" t="s">
        <v>11436</v>
      </c>
      <c r="H32" s="7" t="s">
        <v>11436</v>
      </c>
      <c r="I32" s="7" t="s">
        <v>11436</v>
      </c>
      <c r="J32" s="7" t="s">
        <v>11436</v>
      </c>
      <c r="K32" s="7" t="s">
        <v>11436</v>
      </c>
      <c r="L32" s="7" t="s">
        <v>11436</v>
      </c>
      <c r="M32" s="7" t="s">
        <v>12058</v>
      </c>
    </row>
    <row r="33" spans="1:13" ht="21.95" customHeight="1" x14ac:dyDescent="0.15">
      <c r="A33" s="8" t="s">
        <v>11634</v>
      </c>
      <c r="B33" s="8" t="s">
        <v>11402</v>
      </c>
      <c r="C33" s="8" t="s">
        <v>11403</v>
      </c>
      <c r="D33" s="8" t="s">
        <v>11404</v>
      </c>
      <c r="E33" s="8" t="s">
        <v>11405</v>
      </c>
      <c r="F33" s="8" t="s">
        <v>11406</v>
      </c>
      <c r="G33" s="8" t="s">
        <v>11407</v>
      </c>
      <c r="H33" s="8" t="s">
        <v>11408</v>
      </c>
      <c r="I33" s="8" t="s">
        <v>11409</v>
      </c>
      <c r="J33" s="8" t="s">
        <v>11410</v>
      </c>
      <c r="K33" s="8" t="s">
        <v>11411</v>
      </c>
      <c r="L33" s="8" t="s">
        <v>11412</v>
      </c>
      <c r="M33" s="8" t="s">
        <v>11413</v>
      </c>
    </row>
    <row r="34" spans="1:13" ht="21.95" customHeight="1" x14ac:dyDescent="0.15">
      <c r="A34" s="7" t="s">
        <v>12144</v>
      </c>
      <c r="B34" s="7" t="s">
        <v>11484</v>
      </c>
      <c r="C34" s="7" t="s">
        <v>11484</v>
      </c>
      <c r="D34" s="7" t="s">
        <v>11484</v>
      </c>
      <c r="E34" s="7" t="s">
        <v>11484</v>
      </c>
      <c r="F34" s="7" t="s">
        <v>11484</v>
      </c>
      <c r="G34" s="7" t="s">
        <v>11484</v>
      </c>
      <c r="H34" s="7" t="s">
        <v>11484</v>
      </c>
      <c r="I34" s="7" t="s">
        <v>11484</v>
      </c>
      <c r="J34" s="7" t="s">
        <v>11484</v>
      </c>
      <c r="K34" s="7" t="s">
        <v>11484</v>
      </c>
      <c r="L34" s="7" t="s">
        <v>11484</v>
      </c>
      <c r="M34" s="7" t="s">
        <v>11484</v>
      </c>
    </row>
    <row r="35" spans="1:13" ht="21.95" customHeight="1" x14ac:dyDescent="0.15">
      <c r="A35" s="8" t="s">
        <v>12145</v>
      </c>
      <c r="B35" s="8" t="s">
        <v>12146</v>
      </c>
      <c r="C35" s="8" t="s">
        <v>12146</v>
      </c>
      <c r="D35" s="8" t="s">
        <v>12146</v>
      </c>
      <c r="E35" s="8" t="s">
        <v>12146</v>
      </c>
      <c r="F35" s="8" t="s">
        <v>12146</v>
      </c>
      <c r="G35" s="8" t="s">
        <v>12146</v>
      </c>
      <c r="H35" s="8" t="s">
        <v>12146</v>
      </c>
      <c r="I35" s="8" t="s">
        <v>12146</v>
      </c>
      <c r="J35" s="8" t="s">
        <v>12146</v>
      </c>
      <c r="K35" s="8" t="s">
        <v>12146</v>
      </c>
      <c r="L35" s="8" t="s">
        <v>12146</v>
      </c>
      <c r="M35" s="8" t="s">
        <v>12146</v>
      </c>
    </row>
    <row r="36" spans="1:13" ht="8.1" customHeight="1" x14ac:dyDescent="0.15">
      <c r="A36" s="9"/>
      <c r="B36" s="10"/>
      <c r="C36" s="10"/>
      <c r="D36" s="10"/>
      <c r="E36" s="10"/>
      <c r="F36" s="10"/>
      <c r="G36" s="10"/>
      <c r="H36" s="10"/>
      <c r="I36" s="10"/>
      <c r="J36" s="10"/>
      <c r="K36" s="10"/>
      <c r="L36" s="10"/>
      <c r="M36" s="10"/>
    </row>
  </sheetData>
  <sheetProtection password="CC26" sheet="1"/>
  <mergeCells count="13">
    <mergeCell ref="A19:M19"/>
    <mergeCell ref="A14:M14"/>
    <mergeCell ref="A36:M36"/>
    <mergeCell ref="A1:M1"/>
    <mergeCell ref="A27:M27"/>
    <mergeCell ref="A22:M22"/>
    <mergeCell ref="A12:M12"/>
    <mergeCell ref="A4:M4"/>
    <mergeCell ref="A3:M3"/>
    <mergeCell ref="A21:M21"/>
    <mergeCell ref="A30:M30"/>
    <mergeCell ref="A15:M15"/>
    <mergeCell ref="A29:M29"/>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18">
    <cfRule type="colorScale" priority="2">
      <colorScale>
        <cfvo type="min"/>
        <cfvo type="percentile" val="50"/>
        <cfvo type="max"/>
        <color rgb="FFFFC7CE"/>
        <color rgb="FFFFEB9C"/>
        <color rgb="FFC6EFCE"/>
      </colorScale>
    </cfRule>
  </conditionalFormatting>
  <conditionalFormatting sqref="B24:M26">
    <cfRule type="colorScale" priority="3">
      <colorScale>
        <cfvo type="min"/>
        <cfvo type="percentile" val="50"/>
        <cfvo type="max"/>
        <color rgb="FFFFC7CE"/>
        <color rgb="FFFFEB9C"/>
        <color rgb="FFC6EFCE"/>
      </colorScale>
    </cfRule>
  </conditionalFormatting>
  <conditionalFormatting sqref="B32:M35">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48"/>
  <sheetViews>
    <sheetView workbookViewId="0"/>
  </sheetViews>
  <sheetFormatPr defaultRowHeight="13.5" x14ac:dyDescent="0.15"/>
  <cols>
    <col min="1" max="1" width="32" customWidth="1"/>
    <col min="2" max="13" width="9" customWidth="1"/>
  </cols>
  <sheetData>
    <row r="1" spans="1:13" ht="35.1" customHeight="1" x14ac:dyDescent="0.15">
      <c r="A1" s="11" t="s">
        <v>12147</v>
      </c>
      <c r="B1" s="10"/>
      <c r="C1" s="10"/>
      <c r="D1" s="10"/>
      <c r="E1" s="10"/>
      <c r="F1" s="10"/>
      <c r="G1" s="10"/>
      <c r="H1" s="10"/>
      <c r="I1" s="10"/>
      <c r="J1" s="10"/>
      <c r="K1" s="10"/>
      <c r="L1" s="10"/>
      <c r="M1" s="10"/>
    </row>
    <row r="3" spans="1:13" ht="27.95" customHeight="1" x14ac:dyDescent="0.15">
      <c r="A3" s="13" t="s">
        <v>12148</v>
      </c>
      <c r="B3" s="10"/>
      <c r="C3" s="10"/>
      <c r="D3" s="10"/>
      <c r="E3" s="10"/>
      <c r="F3" s="10"/>
      <c r="G3" s="10"/>
      <c r="H3" s="10"/>
      <c r="I3" s="10"/>
      <c r="J3" s="10"/>
      <c r="K3" s="10"/>
      <c r="L3" s="10"/>
      <c r="M3" s="10"/>
    </row>
    <row r="4" spans="1:13" ht="45" customHeight="1" x14ac:dyDescent="0.15">
      <c r="A4" s="12" t="s">
        <v>12149</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11357</v>
      </c>
      <c r="C6" s="7" t="s">
        <v>11350</v>
      </c>
      <c r="D6" s="7" t="s">
        <v>11367</v>
      </c>
      <c r="E6" s="7" t="s">
        <v>11360</v>
      </c>
      <c r="F6" s="7" t="s">
        <v>11361</v>
      </c>
      <c r="G6" s="7" t="s">
        <v>11505</v>
      </c>
      <c r="H6" s="7" t="s">
        <v>11363</v>
      </c>
      <c r="I6" s="7" t="s">
        <v>11383</v>
      </c>
      <c r="J6" s="7" t="s">
        <v>11372</v>
      </c>
      <c r="K6" s="7" t="s">
        <v>11378</v>
      </c>
      <c r="L6" s="7" t="s">
        <v>11509</v>
      </c>
      <c r="M6" s="7" t="s">
        <v>11510</v>
      </c>
    </row>
    <row r="7" spans="1:13" ht="21.95" customHeight="1" x14ac:dyDescent="0.15">
      <c r="A7" s="8" t="s">
        <v>11355</v>
      </c>
      <c r="B7" s="8" t="s">
        <v>11350</v>
      </c>
      <c r="C7" s="8" t="s">
        <v>11367</v>
      </c>
      <c r="D7" s="8" t="s">
        <v>11360</v>
      </c>
      <c r="E7" s="8" t="s">
        <v>11545</v>
      </c>
      <c r="F7" s="8" t="s">
        <v>11370</v>
      </c>
      <c r="G7" s="8" t="s">
        <v>11371</v>
      </c>
      <c r="H7" s="8" t="s">
        <v>11377</v>
      </c>
      <c r="I7" s="8" t="s">
        <v>11567</v>
      </c>
      <c r="J7" s="8" t="s">
        <v>11568</v>
      </c>
      <c r="K7" s="8" t="s">
        <v>11602</v>
      </c>
      <c r="L7" s="8" t="s">
        <v>11402</v>
      </c>
      <c r="M7" s="8" t="s">
        <v>11658</v>
      </c>
    </row>
    <row r="8" spans="1:13" ht="21.95" customHeight="1" x14ac:dyDescent="0.15">
      <c r="A8" s="7" t="s">
        <v>11365</v>
      </c>
      <c r="B8" s="7" t="s">
        <v>11370</v>
      </c>
      <c r="C8" s="7" t="s">
        <v>11376</v>
      </c>
      <c r="D8" s="7" t="s">
        <v>11567</v>
      </c>
      <c r="E8" s="7" t="s">
        <v>11696</v>
      </c>
      <c r="F8" s="7" t="s">
        <v>11468</v>
      </c>
      <c r="G8" s="7" t="s">
        <v>11570</v>
      </c>
      <c r="H8" s="7" t="s">
        <v>11469</v>
      </c>
      <c r="I8" s="7" t="s">
        <v>11880</v>
      </c>
      <c r="J8" s="7" t="s">
        <v>11838</v>
      </c>
      <c r="K8" s="7" t="s">
        <v>11405</v>
      </c>
      <c r="L8" s="7" t="s">
        <v>11406</v>
      </c>
      <c r="M8" s="7" t="s">
        <v>11606</v>
      </c>
    </row>
    <row r="9" spans="1:13" ht="21.95" customHeight="1" x14ac:dyDescent="0.15">
      <c r="A9" s="8" t="s">
        <v>11374</v>
      </c>
      <c r="B9" s="8" t="s">
        <v>11467</v>
      </c>
      <c r="C9" s="8" t="s">
        <v>11380</v>
      </c>
      <c r="D9" s="8" t="s">
        <v>11511</v>
      </c>
      <c r="E9" s="8" t="s">
        <v>11880</v>
      </c>
      <c r="F9" s="8" t="s">
        <v>11654</v>
      </c>
      <c r="G9" s="8" t="s">
        <v>11599</v>
      </c>
      <c r="H9" s="8" t="s">
        <v>11706</v>
      </c>
      <c r="I9" s="8" t="s">
        <v>11909</v>
      </c>
      <c r="J9" s="8" t="s">
        <v>11408</v>
      </c>
      <c r="K9" s="8" t="s">
        <v>12150</v>
      </c>
      <c r="L9" s="8" t="s">
        <v>11709</v>
      </c>
      <c r="M9" s="8" t="s">
        <v>11911</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12151</v>
      </c>
      <c r="B14" s="10"/>
      <c r="C14" s="10"/>
      <c r="D14" s="10"/>
      <c r="E14" s="10"/>
      <c r="F14" s="10"/>
      <c r="G14" s="10"/>
      <c r="H14" s="10"/>
      <c r="I14" s="10"/>
      <c r="J14" s="10"/>
      <c r="K14" s="10"/>
      <c r="L14" s="10"/>
      <c r="M14" s="10"/>
    </row>
    <row r="15" spans="1:13" ht="45" customHeight="1" x14ac:dyDescent="0.15">
      <c r="A15" s="12" t="s">
        <v>12152</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11416</v>
      </c>
      <c r="B17" s="7" t="s">
        <v>11473</v>
      </c>
      <c r="C17" s="7" t="s">
        <v>11474</v>
      </c>
      <c r="D17" s="7" t="s">
        <v>11475</v>
      </c>
      <c r="E17" s="7" t="s">
        <v>11476</v>
      </c>
      <c r="F17" s="7" t="s">
        <v>11423</v>
      </c>
      <c r="G17" s="7" t="s">
        <v>11451</v>
      </c>
      <c r="H17" s="7" t="s">
        <v>11518</v>
      </c>
      <c r="I17" s="7" t="s">
        <v>11478</v>
      </c>
      <c r="J17" s="7" t="s">
        <v>11453</v>
      </c>
      <c r="K17" s="7" t="s">
        <v>11479</v>
      </c>
      <c r="L17" s="7" t="s">
        <v>11480</v>
      </c>
      <c r="M17" s="7" t="s">
        <v>11389</v>
      </c>
    </row>
    <row r="18" spans="1:13" ht="21.95" customHeight="1" x14ac:dyDescent="0.15">
      <c r="A18" s="8" t="s">
        <v>11429</v>
      </c>
      <c r="B18" s="8" t="s">
        <v>11532</v>
      </c>
      <c r="C18" s="8" t="s">
        <v>11532</v>
      </c>
      <c r="D18" s="8" t="s">
        <v>11532</v>
      </c>
      <c r="E18" s="8" t="s">
        <v>11532</v>
      </c>
      <c r="F18" s="8" t="s">
        <v>11532</v>
      </c>
      <c r="G18" s="8" t="s">
        <v>11532</v>
      </c>
      <c r="H18" s="8" t="s">
        <v>11532</v>
      </c>
      <c r="I18" s="8" t="s">
        <v>11532</v>
      </c>
      <c r="J18" s="8" t="s">
        <v>11532</v>
      </c>
      <c r="K18" s="8" t="s">
        <v>11532</v>
      </c>
      <c r="L18" s="8" t="s">
        <v>11532</v>
      </c>
      <c r="M18" s="8" t="s">
        <v>11532</v>
      </c>
    </row>
    <row r="19" spans="1:13" ht="21.95" customHeight="1" x14ac:dyDescent="0.15">
      <c r="A19" s="7" t="s">
        <v>11916</v>
      </c>
      <c r="B19" s="7" t="s">
        <v>11387</v>
      </c>
      <c r="C19" s="7" t="s">
        <v>11387</v>
      </c>
      <c r="D19" s="7" t="s">
        <v>11387</v>
      </c>
      <c r="E19" s="7" t="s">
        <v>11387</v>
      </c>
      <c r="F19" s="7" t="s">
        <v>11387</v>
      </c>
      <c r="G19" s="7" t="s">
        <v>11387</v>
      </c>
      <c r="H19" s="7" t="s">
        <v>11387</v>
      </c>
      <c r="I19" s="7" t="s">
        <v>11387</v>
      </c>
      <c r="J19" s="7" t="s">
        <v>11387</v>
      </c>
      <c r="K19" s="7" t="s">
        <v>11387</v>
      </c>
      <c r="L19" s="7" t="s">
        <v>11387</v>
      </c>
      <c r="M19" s="7" t="s">
        <v>11387</v>
      </c>
    </row>
    <row r="20" spans="1:13" ht="21.95" customHeight="1" x14ac:dyDescent="0.15">
      <c r="A20" s="8" t="s">
        <v>11917</v>
      </c>
      <c r="B20" s="8" t="s">
        <v>11668</v>
      </c>
      <c r="C20" s="8" t="s">
        <v>11668</v>
      </c>
      <c r="D20" s="8" t="s">
        <v>11668</v>
      </c>
      <c r="E20" s="8" t="s">
        <v>11668</v>
      </c>
      <c r="F20" s="8" t="s">
        <v>11668</v>
      </c>
      <c r="G20" s="8" t="s">
        <v>11668</v>
      </c>
      <c r="H20" s="8" t="s">
        <v>11668</v>
      </c>
      <c r="I20" s="8" t="s">
        <v>11668</v>
      </c>
      <c r="J20" s="8" t="s">
        <v>11668</v>
      </c>
      <c r="K20" s="8" t="s">
        <v>11668</v>
      </c>
      <c r="L20" s="8" t="s">
        <v>11668</v>
      </c>
      <c r="M20" s="8" t="s">
        <v>11668</v>
      </c>
    </row>
    <row r="21" spans="1:13" ht="8.1" customHeight="1" x14ac:dyDescent="0.15">
      <c r="A21" s="9"/>
      <c r="B21" s="10"/>
      <c r="C21" s="10"/>
      <c r="D21" s="10"/>
      <c r="E21" s="10"/>
      <c r="F21" s="10"/>
      <c r="G21" s="10"/>
      <c r="H21" s="10"/>
      <c r="I21" s="10"/>
      <c r="J21" s="10"/>
      <c r="K21" s="10"/>
      <c r="L21" s="10"/>
      <c r="M21" s="10"/>
    </row>
    <row r="23" spans="1:13" ht="27.95" customHeight="1" x14ac:dyDescent="0.15">
      <c r="A23" s="13" t="s">
        <v>12153</v>
      </c>
      <c r="B23" s="10"/>
      <c r="C23" s="10"/>
      <c r="D23" s="10"/>
      <c r="E23" s="10"/>
      <c r="F23" s="10"/>
      <c r="G23" s="10"/>
      <c r="H23" s="10"/>
      <c r="I23" s="10"/>
      <c r="J23" s="10"/>
      <c r="K23" s="10"/>
      <c r="L23" s="10"/>
      <c r="M23" s="10"/>
    </row>
    <row r="24" spans="1:13" ht="45" customHeight="1" x14ac:dyDescent="0.15">
      <c r="A24" s="12" t="s">
        <v>12154</v>
      </c>
      <c r="B24" s="10"/>
      <c r="C24" s="10"/>
      <c r="D24" s="10"/>
      <c r="E24" s="10"/>
      <c r="F24" s="10"/>
      <c r="G24" s="10"/>
      <c r="H24" s="10"/>
      <c r="I24" s="10"/>
      <c r="J24" s="10"/>
      <c r="K24" s="10"/>
      <c r="L24" s="10"/>
      <c r="M24" s="10"/>
    </row>
    <row r="25" spans="1:13" ht="15" x14ac:dyDescent="0.15">
      <c r="A25" s="6" t="s">
        <v>11329</v>
      </c>
      <c r="B25" s="6" t="s">
        <v>11330</v>
      </c>
      <c r="C25" s="6" t="s">
        <v>11331</v>
      </c>
      <c r="D25" s="6" t="s">
        <v>11332</v>
      </c>
      <c r="E25" s="6" t="s">
        <v>11333</v>
      </c>
      <c r="F25" s="6" t="s">
        <v>11334</v>
      </c>
      <c r="G25" s="6" t="s">
        <v>11335</v>
      </c>
      <c r="H25" s="6" t="s">
        <v>11336</v>
      </c>
      <c r="I25" s="6" t="s">
        <v>11337</v>
      </c>
      <c r="J25" s="6" t="s">
        <v>11338</v>
      </c>
      <c r="K25" s="6" t="s">
        <v>11339</v>
      </c>
      <c r="L25" s="6" t="s">
        <v>11340</v>
      </c>
      <c r="M25" s="6" t="s">
        <v>11341</v>
      </c>
    </row>
    <row r="26" spans="1:13" ht="21.95" customHeight="1" x14ac:dyDescent="0.15">
      <c r="A26" s="7" t="s">
        <v>11433</v>
      </c>
      <c r="B26" s="7" t="s">
        <v>11434</v>
      </c>
      <c r="C26" s="7" t="s">
        <v>11434</v>
      </c>
      <c r="D26" s="7" t="s">
        <v>11434</v>
      </c>
      <c r="E26" s="7" t="s">
        <v>11434</v>
      </c>
      <c r="F26" s="7" t="s">
        <v>11434</v>
      </c>
      <c r="G26" s="7" t="s">
        <v>11434</v>
      </c>
      <c r="H26" s="7" t="s">
        <v>11434</v>
      </c>
      <c r="I26" s="7" t="s">
        <v>11434</v>
      </c>
      <c r="J26" s="7" t="s">
        <v>11434</v>
      </c>
      <c r="K26" s="7" t="s">
        <v>11434</v>
      </c>
      <c r="L26" s="7" t="s">
        <v>11434</v>
      </c>
      <c r="M26" s="7" t="s">
        <v>11434</v>
      </c>
    </row>
    <row r="27" spans="1:13" ht="21.95" customHeight="1" x14ac:dyDescent="0.15">
      <c r="A27" s="8" t="s">
        <v>11435</v>
      </c>
      <c r="B27" s="8" t="s">
        <v>11466</v>
      </c>
      <c r="C27" s="8" t="s">
        <v>11466</v>
      </c>
      <c r="D27" s="8" t="s">
        <v>11466</v>
      </c>
      <c r="E27" s="8" t="s">
        <v>11466</v>
      </c>
      <c r="F27" s="8" t="s">
        <v>11466</v>
      </c>
      <c r="G27" s="8" t="s">
        <v>11466</v>
      </c>
      <c r="H27" s="8" t="s">
        <v>11466</v>
      </c>
      <c r="I27" s="8" t="s">
        <v>11466</v>
      </c>
      <c r="J27" s="8" t="s">
        <v>11466</v>
      </c>
      <c r="K27" s="8" t="s">
        <v>11466</v>
      </c>
      <c r="L27" s="8" t="s">
        <v>11466</v>
      </c>
      <c r="M27" s="8" t="s">
        <v>11466</v>
      </c>
    </row>
    <row r="28" spans="1:13" ht="21.95" customHeight="1" x14ac:dyDescent="0.15">
      <c r="A28" s="7" t="s">
        <v>11657</v>
      </c>
      <c r="B28" s="7" t="s">
        <v>11597</v>
      </c>
      <c r="C28" s="7" t="s">
        <v>11705</v>
      </c>
      <c r="D28" s="7" t="s">
        <v>11599</v>
      </c>
      <c r="E28" s="7" t="s">
        <v>11638</v>
      </c>
      <c r="F28" s="7" t="s">
        <v>11601</v>
      </c>
      <c r="G28" s="7" t="s">
        <v>11839</v>
      </c>
      <c r="H28" s="7" t="s">
        <v>11613</v>
      </c>
      <c r="I28" s="7" t="s">
        <v>12076</v>
      </c>
      <c r="J28" s="7" t="s">
        <v>11911</v>
      </c>
      <c r="K28" s="7" t="s">
        <v>12155</v>
      </c>
      <c r="L28" s="7" t="s">
        <v>12048</v>
      </c>
      <c r="M28" s="7" t="s">
        <v>11825</v>
      </c>
    </row>
    <row r="29" spans="1:13" ht="21.95" customHeight="1" x14ac:dyDescent="0.15">
      <c r="A29" s="8" t="s">
        <v>11673</v>
      </c>
      <c r="B29" s="8" t="s">
        <v>11484</v>
      </c>
      <c r="C29" s="8" t="s">
        <v>11484</v>
      </c>
      <c r="D29" s="8" t="s">
        <v>11484</v>
      </c>
      <c r="E29" s="8" t="s">
        <v>11484</v>
      </c>
      <c r="F29" s="8" t="s">
        <v>11484</v>
      </c>
      <c r="G29" s="8" t="s">
        <v>11484</v>
      </c>
      <c r="H29" s="8" t="s">
        <v>11484</v>
      </c>
      <c r="I29" s="8" t="s">
        <v>11484</v>
      </c>
      <c r="J29" s="8" t="s">
        <v>11484</v>
      </c>
      <c r="K29" s="8" t="s">
        <v>11484</v>
      </c>
      <c r="L29" s="8" t="s">
        <v>11484</v>
      </c>
      <c r="M29" s="8" t="s">
        <v>11484</v>
      </c>
    </row>
    <row r="30" spans="1:13" ht="21.95" customHeight="1" x14ac:dyDescent="0.15">
      <c r="A30" s="7" t="s">
        <v>11659</v>
      </c>
      <c r="B30" s="7" t="s">
        <v>11407</v>
      </c>
      <c r="C30" s="7" t="s">
        <v>11589</v>
      </c>
      <c r="D30" s="7" t="s">
        <v>11410</v>
      </c>
      <c r="E30" s="7" t="s">
        <v>11417</v>
      </c>
      <c r="F30" s="7" t="s">
        <v>11590</v>
      </c>
      <c r="G30" s="7" t="s">
        <v>11413</v>
      </c>
      <c r="H30" s="7" t="s">
        <v>11591</v>
      </c>
      <c r="I30" s="7" t="s">
        <v>11592</v>
      </c>
      <c r="J30" s="7" t="s">
        <v>11593</v>
      </c>
      <c r="K30" s="7" t="s">
        <v>11476</v>
      </c>
      <c r="L30" s="7" t="s">
        <v>11423</v>
      </c>
      <c r="M30" s="7" t="s">
        <v>11554</v>
      </c>
    </row>
    <row r="31" spans="1:13" ht="21.95" customHeight="1" x14ac:dyDescent="0.15">
      <c r="A31" s="8" t="s">
        <v>11660</v>
      </c>
      <c r="B31" s="8" t="s">
        <v>11484</v>
      </c>
      <c r="C31" s="8" t="s">
        <v>11484</v>
      </c>
      <c r="D31" s="8" t="s">
        <v>11484</v>
      </c>
      <c r="E31" s="8" t="s">
        <v>11484</v>
      </c>
      <c r="F31" s="8" t="s">
        <v>11484</v>
      </c>
      <c r="G31" s="8" t="s">
        <v>11484</v>
      </c>
      <c r="H31" s="8" t="s">
        <v>11484</v>
      </c>
      <c r="I31" s="8" t="s">
        <v>11484</v>
      </c>
      <c r="J31" s="8" t="s">
        <v>11484</v>
      </c>
      <c r="K31" s="8" t="s">
        <v>11484</v>
      </c>
      <c r="L31" s="8" t="s">
        <v>11484</v>
      </c>
      <c r="M31" s="8" t="s">
        <v>11484</v>
      </c>
    </row>
    <row r="32" spans="1:13" ht="21.95" customHeight="1" x14ac:dyDescent="0.15">
      <c r="A32" s="7" t="s">
        <v>11978</v>
      </c>
      <c r="B32" s="7" t="s">
        <v>11473</v>
      </c>
      <c r="C32" s="7" t="s">
        <v>11474</v>
      </c>
      <c r="D32" s="7" t="s">
        <v>11475</v>
      </c>
      <c r="E32" s="7" t="s">
        <v>11476</v>
      </c>
      <c r="F32" s="7" t="s">
        <v>11423</v>
      </c>
      <c r="G32" s="7" t="s">
        <v>11451</v>
      </c>
      <c r="H32" s="7" t="s">
        <v>11477</v>
      </c>
      <c r="I32" s="7" t="s">
        <v>11478</v>
      </c>
      <c r="J32" s="7" t="s">
        <v>11453</v>
      </c>
      <c r="K32" s="7" t="s">
        <v>11479</v>
      </c>
      <c r="L32" s="7" t="s">
        <v>11480</v>
      </c>
      <c r="M32" s="7" t="s">
        <v>11389</v>
      </c>
    </row>
    <row r="33" spans="1:13" ht="21.95" customHeight="1" x14ac:dyDescent="0.15">
      <c r="A33" s="8" t="s">
        <v>11985</v>
      </c>
      <c r="B33" s="8" t="s">
        <v>11430</v>
      </c>
      <c r="C33" s="8" t="s">
        <v>11430</v>
      </c>
      <c r="D33" s="8" t="s">
        <v>11430</v>
      </c>
      <c r="E33" s="8" t="s">
        <v>11430</v>
      </c>
      <c r="F33" s="8" t="s">
        <v>11430</v>
      </c>
      <c r="G33" s="8" t="s">
        <v>11430</v>
      </c>
      <c r="H33" s="8" t="s">
        <v>11430</v>
      </c>
      <c r="I33" s="8" t="s">
        <v>11430</v>
      </c>
      <c r="J33" s="8" t="s">
        <v>11430</v>
      </c>
      <c r="K33" s="8" t="s">
        <v>11430</v>
      </c>
      <c r="L33" s="8" t="s">
        <v>11430</v>
      </c>
      <c r="M33" s="8" t="s">
        <v>11430</v>
      </c>
    </row>
    <row r="34" spans="1:13" ht="21.95" customHeight="1" x14ac:dyDescent="0.15">
      <c r="A34" s="7" t="s">
        <v>12156</v>
      </c>
      <c r="B34" s="7" t="s">
        <v>11541</v>
      </c>
      <c r="C34" s="7" t="s">
        <v>11541</v>
      </c>
      <c r="D34" s="7" t="s">
        <v>11541</v>
      </c>
      <c r="E34" s="7" t="s">
        <v>11541</v>
      </c>
      <c r="F34" s="7" t="s">
        <v>11541</v>
      </c>
      <c r="G34" s="7" t="s">
        <v>11344</v>
      </c>
      <c r="H34" s="7" t="s">
        <v>11344</v>
      </c>
      <c r="I34" s="7" t="s">
        <v>11344</v>
      </c>
      <c r="J34" s="7" t="s">
        <v>11344</v>
      </c>
      <c r="K34" s="7" t="s">
        <v>11356</v>
      </c>
      <c r="L34" s="7" t="s">
        <v>11356</v>
      </c>
      <c r="M34" s="7" t="s">
        <v>11356</v>
      </c>
    </row>
    <row r="35" spans="1:13" ht="21.95" customHeight="1" x14ac:dyDescent="0.15">
      <c r="A35" s="8" t="s">
        <v>12157</v>
      </c>
      <c r="B35" s="8" t="s">
        <v>11691</v>
      </c>
      <c r="C35" s="8" t="s">
        <v>11691</v>
      </c>
      <c r="D35" s="8" t="s">
        <v>11691</v>
      </c>
      <c r="E35" s="8" t="s">
        <v>11691</v>
      </c>
      <c r="F35" s="8" t="s">
        <v>11691</v>
      </c>
      <c r="G35" s="8" t="s">
        <v>11691</v>
      </c>
      <c r="H35" s="8" t="s">
        <v>11691</v>
      </c>
      <c r="I35" s="8" t="s">
        <v>11691</v>
      </c>
      <c r="J35" s="8" t="s">
        <v>11691</v>
      </c>
      <c r="K35" s="8" t="s">
        <v>11691</v>
      </c>
      <c r="L35" s="8" t="s">
        <v>11691</v>
      </c>
      <c r="M35" s="8" t="s">
        <v>11691</v>
      </c>
    </row>
    <row r="36" spans="1:13" ht="8.1" customHeight="1" x14ac:dyDescent="0.15">
      <c r="A36" s="9"/>
      <c r="B36" s="10"/>
      <c r="C36" s="10"/>
      <c r="D36" s="10"/>
      <c r="E36" s="10"/>
      <c r="F36" s="10"/>
      <c r="G36" s="10"/>
      <c r="H36" s="10"/>
      <c r="I36" s="10"/>
      <c r="J36" s="10"/>
      <c r="K36" s="10"/>
      <c r="L36" s="10"/>
      <c r="M36" s="10"/>
    </row>
    <row r="38" spans="1:13" ht="27.95" customHeight="1" x14ac:dyDescent="0.15">
      <c r="A38" s="13" t="s">
        <v>12158</v>
      </c>
      <c r="B38" s="10"/>
      <c r="C38" s="10"/>
      <c r="D38" s="10"/>
      <c r="E38" s="10"/>
      <c r="F38" s="10"/>
      <c r="G38" s="10"/>
      <c r="H38" s="10"/>
      <c r="I38" s="10"/>
      <c r="J38" s="10"/>
      <c r="K38" s="10"/>
      <c r="L38" s="10"/>
      <c r="M38" s="10"/>
    </row>
    <row r="39" spans="1:13" ht="45" customHeight="1" x14ac:dyDescent="0.15">
      <c r="A39" s="12" t="s">
        <v>12159</v>
      </c>
      <c r="B39" s="10"/>
      <c r="C39" s="10"/>
      <c r="D39" s="10"/>
      <c r="E39" s="10"/>
      <c r="F39" s="10"/>
      <c r="G39" s="10"/>
      <c r="H39" s="10"/>
      <c r="I39" s="10"/>
      <c r="J39" s="10"/>
      <c r="K39" s="10"/>
      <c r="L39" s="10"/>
      <c r="M39" s="10"/>
    </row>
    <row r="40" spans="1:13" ht="15" x14ac:dyDescent="0.15">
      <c r="A40" s="6" t="s">
        <v>11329</v>
      </c>
      <c r="B40" s="6" t="s">
        <v>11330</v>
      </c>
      <c r="C40" s="6" t="s">
        <v>11331</v>
      </c>
      <c r="D40" s="6" t="s">
        <v>11332</v>
      </c>
      <c r="E40" s="6" t="s">
        <v>11333</v>
      </c>
      <c r="F40" s="6" t="s">
        <v>11334</v>
      </c>
      <c r="G40" s="6" t="s">
        <v>11335</v>
      </c>
      <c r="H40" s="6" t="s">
        <v>11336</v>
      </c>
      <c r="I40" s="6" t="s">
        <v>11337</v>
      </c>
      <c r="J40" s="6" t="s">
        <v>11338</v>
      </c>
      <c r="K40" s="6" t="s">
        <v>11339</v>
      </c>
      <c r="L40" s="6" t="s">
        <v>11340</v>
      </c>
      <c r="M40" s="6" t="s">
        <v>11341</v>
      </c>
    </row>
    <row r="41" spans="1:13" ht="21.95" customHeight="1" x14ac:dyDescent="0.15">
      <c r="A41" s="7" t="s">
        <v>11435</v>
      </c>
      <c r="B41" s="7" t="s">
        <v>12160</v>
      </c>
      <c r="C41" s="7" t="s">
        <v>12160</v>
      </c>
      <c r="D41" s="7" t="s">
        <v>12160</v>
      </c>
      <c r="E41" s="7" t="s">
        <v>12160</v>
      </c>
      <c r="F41" s="7" t="s">
        <v>12160</v>
      </c>
      <c r="G41" s="7" t="s">
        <v>12160</v>
      </c>
      <c r="H41" s="7" t="s">
        <v>12160</v>
      </c>
      <c r="I41" s="7" t="s">
        <v>12160</v>
      </c>
      <c r="J41" s="7" t="s">
        <v>12160</v>
      </c>
      <c r="K41" s="7" t="s">
        <v>12160</v>
      </c>
      <c r="L41" s="7" t="s">
        <v>12160</v>
      </c>
      <c r="M41" s="7" t="s">
        <v>12161</v>
      </c>
    </row>
    <row r="42" spans="1:13" ht="21.95" customHeight="1" x14ac:dyDescent="0.15">
      <c r="A42" s="8" t="s">
        <v>11657</v>
      </c>
      <c r="B42" s="8" t="s">
        <v>11344</v>
      </c>
      <c r="C42" s="8" t="s">
        <v>11345</v>
      </c>
      <c r="D42" s="8" t="s">
        <v>11356</v>
      </c>
      <c r="E42" s="8" t="s">
        <v>11347</v>
      </c>
      <c r="F42" s="8" t="s">
        <v>11348</v>
      </c>
      <c r="G42" s="8" t="s">
        <v>11507</v>
      </c>
      <c r="H42" s="8" t="s">
        <v>11350</v>
      </c>
      <c r="I42" s="8" t="s">
        <v>11367</v>
      </c>
      <c r="J42" s="8" t="s">
        <v>11352</v>
      </c>
      <c r="K42" s="8" t="s">
        <v>11353</v>
      </c>
      <c r="L42" s="8" t="s">
        <v>11354</v>
      </c>
      <c r="M42" s="8" t="s">
        <v>11375</v>
      </c>
    </row>
    <row r="43" spans="1:13" ht="21.95" customHeight="1" x14ac:dyDescent="0.15">
      <c r="A43" s="7" t="s">
        <v>11659</v>
      </c>
      <c r="B43" s="7" t="s">
        <v>11471</v>
      </c>
      <c r="C43" s="7" t="s">
        <v>11910</v>
      </c>
      <c r="D43" s="7" t="s">
        <v>11407</v>
      </c>
      <c r="E43" s="7" t="s">
        <v>11607</v>
      </c>
      <c r="F43" s="7" t="s">
        <v>11608</v>
      </c>
      <c r="G43" s="7" t="s">
        <v>11836</v>
      </c>
      <c r="H43" s="7" t="s">
        <v>11911</v>
      </c>
      <c r="I43" s="7" t="s">
        <v>11912</v>
      </c>
      <c r="J43" s="7" t="s">
        <v>11413</v>
      </c>
      <c r="K43" s="7" t="s">
        <v>11913</v>
      </c>
      <c r="L43" s="7" t="s">
        <v>11715</v>
      </c>
      <c r="M43" s="7" t="s">
        <v>11716</v>
      </c>
    </row>
    <row r="44" spans="1:13" ht="21.95" customHeight="1" x14ac:dyDescent="0.15">
      <c r="A44" s="8" t="s">
        <v>11429</v>
      </c>
      <c r="B44" s="8" t="s">
        <v>11430</v>
      </c>
      <c r="C44" s="8" t="s">
        <v>11430</v>
      </c>
      <c r="D44" s="8" t="s">
        <v>11430</v>
      </c>
      <c r="E44" s="8" t="s">
        <v>11430</v>
      </c>
      <c r="F44" s="8" t="s">
        <v>11430</v>
      </c>
      <c r="G44" s="8" t="s">
        <v>11430</v>
      </c>
      <c r="H44" s="8" t="s">
        <v>11430</v>
      </c>
      <c r="I44" s="8" t="s">
        <v>11430</v>
      </c>
      <c r="J44" s="8" t="s">
        <v>11430</v>
      </c>
      <c r="K44" s="8" t="s">
        <v>11430</v>
      </c>
      <c r="L44" s="8" t="s">
        <v>11430</v>
      </c>
      <c r="M44" s="8" t="s">
        <v>11430</v>
      </c>
    </row>
    <row r="45" spans="1:13" ht="21.95" customHeight="1" x14ac:dyDescent="0.15">
      <c r="A45" s="7" t="s">
        <v>12162</v>
      </c>
      <c r="B45" s="7" t="s">
        <v>11743</v>
      </c>
      <c r="C45" s="7" t="s">
        <v>12163</v>
      </c>
      <c r="D45" s="7" t="s">
        <v>12164</v>
      </c>
      <c r="E45" s="7" t="s">
        <v>12165</v>
      </c>
      <c r="F45" s="7" t="s">
        <v>12166</v>
      </c>
      <c r="G45" s="7" t="s">
        <v>12167</v>
      </c>
      <c r="H45" s="7" t="s">
        <v>12168</v>
      </c>
      <c r="I45" s="7" t="s">
        <v>12169</v>
      </c>
      <c r="J45" s="7" t="s">
        <v>12170</v>
      </c>
      <c r="K45" s="7" t="s">
        <v>12171</v>
      </c>
      <c r="L45" s="7" t="s">
        <v>12172</v>
      </c>
      <c r="M45" s="7" t="s">
        <v>12173</v>
      </c>
    </row>
    <row r="46" spans="1:13" ht="21.95" customHeight="1" x14ac:dyDescent="0.15">
      <c r="A46" s="8" t="s">
        <v>12174</v>
      </c>
      <c r="B46" s="8" t="s">
        <v>12175</v>
      </c>
      <c r="C46" s="8" t="s">
        <v>12176</v>
      </c>
      <c r="D46" s="8" t="s">
        <v>12177</v>
      </c>
      <c r="E46" s="8" t="s">
        <v>12178</v>
      </c>
      <c r="F46" s="8" t="s">
        <v>12179</v>
      </c>
      <c r="G46" s="8" t="s">
        <v>12180</v>
      </c>
      <c r="H46" s="8" t="s">
        <v>12181</v>
      </c>
      <c r="I46" s="8" t="s">
        <v>11483</v>
      </c>
      <c r="J46" s="8" t="s">
        <v>12182</v>
      </c>
      <c r="K46" s="8" t="s">
        <v>12183</v>
      </c>
      <c r="L46" s="8" t="s">
        <v>12184</v>
      </c>
      <c r="M46" s="8" t="s">
        <v>12185</v>
      </c>
    </row>
    <row r="47" spans="1:13" ht="21.95" customHeight="1" x14ac:dyDescent="0.15">
      <c r="A47" s="7" t="s">
        <v>11737</v>
      </c>
      <c r="B47" s="7" t="s">
        <v>11430</v>
      </c>
      <c r="C47" s="7" t="s">
        <v>11430</v>
      </c>
      <c r="D47" s="7" t="s">
        <v>11430</v>
      </c>
      <c r="E47" s="7" t="s">
        <v>11430</v>
      </c>
      <c r="F47" s="7" t="s">
        <v>11430</v>
      </c>
      <c r="G47" s="7" t="s">
        <v>11430</v>
      </c>
      <c r="H47" s="7" t="s">
        <v>11430</v>
      </c>
      <c r="I47" s="7" t="s">
        <v>11430</v>
      </c>
      <c r="J47" s="7" t="s">
        <v>11430</v>
      </c>
      <c r="K47" s="7" t="s">
        <v>11430</v>
      </c>
      <c r="L47" s="7" t="s">
        <v>11430</v>
      </c>
      <c r="M47" s="7" t="s">
        <v>11430</v>
      </c>
    </row>
    <row r="48" spans="1:13" ht="8.1" customHeight="1" x14ac:dyDescent="0.15">
      <c r="A48" s="9"/>
      <c r="B48" s="10"/>
      <c r="C48" s="10"/>
      <c r="D48" s="10"/>
      <c r="E48" s="10"/>
      <c r="F48" s="10"/>
      <c r="G48" s="10"/>
      <c r="H48" s="10"/>
      <c r="I48" s="10"/>
      <c r="J48" s="10"/>
      <c r="K48" s="10"/>
      <c r="L48" s="10"/>
      <c r="M48" s="10"/>
    </row>
  </sheetData>
  <sheetProtection password="CC26" sheet="1"/>
  <mergeCells count="13">
    <mergeCell ref="A48:M48"/>
    <mergeCell ref="A3:M3"/>
    <mergeCell ref="A21:M21"/>
    <mergeCell ref="A39:M39"/>
    <mergeCell ref="A15:M15"/>
    <mergeCell ref="A24:M24"/>
    <mergeCell ref="A36:M36"/>
    <mergeCell ref="A14:M14"/>
    <mergeCell ref="A38:M38"/>
    <mergeCell ref="A1:M1"/>
    <mergeCell ref="A23:M23"/>
    <mergeCell ref="A12:M12"/>
    <mergeCell ref="A4:M4"/>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20">
    <cfRule type="colorScale" priority="2">
      <colorScale>
        <cfvo type="min"/>
        <cfvo type="percentile" val="50"/>
        <cfvo type="max"/>
        <color rgb="FFFFC7CE"/>
        <color rgb="FFFFEB9C"/>
        <color rgb="FFC6EFCE"/>
      </colorScale>
    </cfRule>
  </conditionalFormatting>
  <conditionalFormatting sqref="B26:M35">
    <cfRule type="colorScale" priority="3">
      <colorScale>
        <cfvo type="min"/>
        <cfvo type="percentile" val="50"/>
        <cfvo type="max"/>
        <color rgb="FFFFC7CE"/>
        <color rgb="FFFFEB9C"/>
        <color rgb="FFC6EFCE"/>
      </colorScale>
    </cfRule>
  </conditionalFormatting>
  <conditionalFormatting sqref="B41:M47">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39"/>
  <sheetViews>
    <sheetView workbookViewId="0"/>
  </sheetViews>
  <sheetFormatPr defaultRowHeight="13.5" x14ac:dyDescent="0.15"/>
  <cols>
    <col min="1" max="1" width="32" customWidth="1"/>
    <col min="2" max="13" width="9" customWidth="1"/>
  </cols>
  <sheetData>
    <row r="1" spans="1:13" ht="35.1" customHeight="1" x14ac:dyDescent="0.15">
      <c r="A1" s="11" t="s">
        <v>12186</v>
      </c>
      <c r="B1" s="10"/>
      <c r="C1" s="10"/>
      <c r="D1" s="10"/>
      <c r="E1" s="10"/>
      <c r="F1" s="10"/>
      <c r="G1" s="10"/>
      <c r="H1" s="10"/>
      <c r="I1" s="10"/>
      <c r="J1" s="10"/>
      <c r="K1" s="10"/>
      <c r="L1" s="10"/>
      <c r="M1" s="10"/>
    </row>
    <row r="3" spans="1:13" ht="27.95" customHeight="1" x14ac:dyDescent="0.15">
      <c r="A3" s="13" t="s">
        <v>12187</v>
      </c>
      <c r="B3" s="10"/>
      <c r="C3" s="10"/>
      <c r="D3" s="10"/>
      <c r="E3" s="10"/>
      <c r="F3" s="10"/>
      <c r="G3" s="10"/>
      <c r="H3" s="10"/>
      <c r="I3" s="10"/>
      <c r="J3" s="10"/>
      <c r="K3" s="10"/>
      <c r="L3" s="10"/>
      <c r="M3" s="10"/>
    </row>
    <row r="4" spans="1:13" ht="45" customHeight="1" x14ac:dyDescent="0.15">
      <c r="A4" s="12" t="s">
        <v>12122</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11344</v>
      </c>
      <c r="C6" s="7" t="s">
        <v>11503</v>
      </c>
      <c r="D6" s="7" t="s">
        <v>11356</v>
      </c>
      <c r="E6" s="7" t="s">
        <v>11366</v>
      </c>
      <c r="F6" s="7" t="s">
        <v>11357</v>
      </c>
      <c r="G6" s="7" t="s">
        <v>11358</v>
      </c>
      <c r="H6" s="7" t="s">
        <v>11382</v>
      </c>
      <c r="I6" s="7" t="s">
        <v>11359</v>
      </c>
      <c r="J6" s="7" t="s">
        <v>11368</v>
      </c>
      <c r="K6" s="7" t="s">
        <v>11369</v>
      </c>
      <c r="L6" s="7" t="s">
        <v>11362</v>
      </c>
      <c r="M6" s="7" t="s">
        <v>11363</v>
      </c>
    </row>
    <row r="7" spans="1:13" ht="21.95" customHeight="1" x14ac:dyDescent="0.15">
      <c r="A7" s="8" t="s">
        <v>11355</v>
      </c>
      <c r="B7" s="8" t="s">
        <v>11356</v>
      </c>
      <c r="C7" s="8" t="s">
        <v>11366</v>
      </c>
      <c r="D7" s="8" t="s">
        <v>11349</v>
      </c>
      <c r="E7" s="8" t="s">
        <v>11350</v>
      </c>
      <c r="F7" s="8" t="s">
        <v>11367</v>
      </c>
      <c r="G7" s="8" t="s">
        <v>11368</v>
      </c>
      <c r="H7" s="8" t="s">
        <v>11369</v>
      </c>
      <c r="I7" s="8" t="s">
        <v>11354</v>
      </c>
      <c r="J7" s="8" t="s">
        <v>11370</v>
      </c>
      <c r="K7" s="8" t="s">
        <v>11371</v>
      </c>
      <c r="L7" s="8" t="s">
        <v>11377</v>
      </c>
      <c r="M7" s="8" t="s">
        <v>11373</v>
      </c>
    </row>
    <row r="8" spans="1:13" ht="21.95" customHeight="1" x14ac:dyDescent="0.15">
      <c r="A8" s="7" t="s">
        <v>11365</v>
      </c>
      <c r="B8" s="7" t="s">
        <v>11357</v>
      </c>
      <c r="C8" s="7" t="s">
        <v>11350</v>
      </c>
      <c r="D8" s="7" t="s">
        <v>11367</v>
      </c>
      <c r="E8" s="7" t="s">
        <v>11360</v>
      </c>
      <c r="F8" s="7" t="s">
        <v>11361</v>
      </c>
      <c r="G8" s="7" t="s">
        <v>11505</v>
      </c>
      <c r="H8" s="7" t="s">
        <v>11363</v>
      </c>
      <c r="I8" s="7" t="s">
        <v>11383</v>
      </c>
      <c r="J8" s="7" t="s">
        <v>11372</v>
      </c>
      <c r="K8" s="7" t="s">
        <v>11378</v>
      </c>
      <c r="L8" s="7" t="s">
        <v>11509</v>
      </c>
      <c r="M8" s="7" t="s">
        <v>11510</v>
      </c>
    </row>
    <row r="9" spans="1:13" ht="21.95" customHeight="1" x14ac:dyDescent="0.15">
      <c r="A9" s="8" t="s">
        <v>11374</v>
      </c>
      <c r="B9" s="8" t="s">
        <v>11382</v>
      </c>
      <c r="C9" s="8" t="s">
        <v>11352</v>
      </c>
      <c r="D9" s="8" t="s">
        <v>11369</v>
      </c>
      <c r="E9" s="8" t="s">
        <v>11362</v>
      </c>
      <c r="F9" s="8" t="s">
        <v>11363</v>
      </c>
      <c r="G9" s="8" t="s">
        <v>11383</v>
      </c>
      <c r="H9" s="8" t="s">
        <v>11384</v>
      </c>
      <c r="I9" s="8" t="s">
        <v>11373</v>
      </c>
      <c r="J9" s="8" t="s">
        <v>11379</v>
      </c>
      <c r="K9" s="8" t="s">
        <v>11385</v>
      </c>
      <c r="L9" s="8" t="s">
        <v>11386</v>
      </c>
      <c r="M9" s="8" t="s">
        <v>11387</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12188</v>
      </c>
      <c r="B14" s="10"/>
      <c r="C14" s="10"/>
      <c r="D14" s="10"/>
      <c r="E14" s="10"/>
      <c r="F14" s="10"/>
      <c r="G14" s="10"/>
      <c r="H14" s="10"/>
      <c r="I14" s="10"/>
      <c r="J14" s="10"/>
      <c r="K14" s="10"/>
      <c r="L14" s="10"/>
      <c r="M14" s="10"/>
    </row>
    <row r="15" spans="1:13" ht="45" customHeight="1" x14ac:dyDescent="0.15">
      <c r="A15" s="12" t="s">
        <v>12189</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11416</v>
      </c>
      <c r="B17" s="7" t="s">
        <v>11417</v>
      </c>
      <c r="C17" s="7" t="s">
        <v>11418</v>
      </c>
      <c r="D17" s="7" t="s">
        <v>11419</v>
      </c>
      <c r="E17" s="7" t="s">
        <v>11420</v>
      </c>
      <c r="F17" s="7" t="s">
        <v>11421</v>
      </c>
      <c r="G17" s="7" t="s">
        <v>11422</v>
      </c>
      <c r="H17" s="7" t="s">
        <v>11423</v>
      </c>
      <c r="I17" s="7" t="s">
        <v>11424</v>
      </c>
      <c r="J17" s="7" t="s">
        <v>11425</v>
      </c>
      <c r="K17" s="7" t="s">
        <v>11426</v>
      </c>
      <c r="L17" s="7" t="s">
        <v>11427</v>
      </c>
      <c r="M17" s="7" t="s">
        <v>11428</v>
      </c>
    </row>
    <row r="18" spans="1:13" ht="21.95" customHeight="1" x14ac:dyDescent="0.15">
      <c r="A18" s="8" t="s">
        <v>11429</v>
      </c>
      <c r="B18" s="8" t="s">
        <v>11430</v>
      </c>
      <c r="C18" s="8" t="s">
        <v>11430</v>
      </c>
      <c r="D18" s="8" t="s">
        <v>11430</v>
      </c>
      <c r="E18" s="8" t="s">
        <v>11430</v>
      </c>
      <c r="F18" s="8" t="s">
        <v>11430</v>
      </c>
      <c r="G18" s="8" t="s">
        <v>11430</v>
      </c>
      <c r="H18" s="8" t="s">
        <v>11430</v>
      </c>
      <c r="I18" s="8" t="s">
        <v>11430</v>
      </c>
      <c r="J18" s="8" t="s">
        <v>11430</v>
      </c>
      <c r="K18" s="8" t="s">
        <v>11430</v>
      </c>
      <c r="L18" s="8" t="s">
        <v>11430</v>
      </c>
      <c r="M18" s="8" t="s">
        <v>11430</v>
      </c>
    </row>
    <row r="19" spans="1:13" ht="8.1" customHeight="1" x14ac:dyDescent="0.15">
      <c r="A19" s="9"/>
      <c r="B19" s="10"/>
      <c r="C19" s="10"/>
      <c r="D19" s="10"/>
      <c r="E19" s="10"/>
      <c r="F19" s="10"/>
      <c r="G19" s="10"/>
      <c r="H19" s="10"/>
      <c r="I19" s="10"/>
      <c r="J19" s="10"/>
      <c r="K19" s="10"/>
      <c r="L19" s="10"/>
      <c r="M19" s="10"/>
    </row>
    <row r="21" spans="1:13" ht="27.95" customHeight="1" x14ac:dyDescent="0.15">
      <c r="A21" s="13" t="s">
        <v>12190</v>
      </c>
      <c r="B21" s="10"/>
      <c r="C21" s="10"/>
      <c r="D21" s="10"/>
      <c r="E21" s="10"/>
      <c r="F21" s="10"/>
      <c r="G21" s="10"/>
      <c r="H21" s="10"/>
      <c r="I21" s="10"/>
      <c r="J21" s="10"/>
      <c r="K21" s="10"/>
      <c r="L21" s="10"/>
      <c r="M21" s="10"/>
    </row>
    <row r="22" spans="1:13" ht="45" customHeight="1" x14ac:dyDescent="0.15">
      <c r="A22" s="12" t="s">
        <v>12191</v>
      </c>
      <c r="B22" s="10"/>
      <c r="C22" s="10"/>
      <c r="D22" s="10"/>
      <c r="E22" s="10"/>
      <c r="F22" s="10"/>
      <c r="G22" s="10"/>
      <c r="H22" s="10"/>
      <c r="I22" s="10"/>
      <c r="J22" s="10"/>
      <c r="K22" s="10"/>
      <c r="L22" s="10"/>
      <c r="M22" s="10"/>
    </row>
    <row r="23" spans="1:13" ht="15" x14ac:dyDescent="0.15">
      <c r="A23" s="6" t="s">
        <v>11329</v>
      </c>
      <c r="B23" s="6" t="s">
        <v>11330</v>
      </c>
      <c r="C23" s="6" t="s">
        <v>11331</v>
      </c>
      <c r="D23" s="6" t="s">
        <v>11332</v>
      </c>
      <c r="E23" s="6" t="s">
        <v>11333</v>
      </c>
      <c r="F23" s="6" t="s">
        <v>11334</v>
      </c>
      <c r="G23" s="6" t="s">
        <v>11335</v>
      </c>
      <c r="H23" s="6" t="s">
        <v>11336</v>
      </c>
      <c r="I23" s="6" t="s">
        <v>11337</v>
      </c>
      <c r="J23" s="6" t="s">
        <v>11338</v>
      </c>
      <c r="K23" s="6" t="s">
        <v>11339</v>
      </c>
      <c r="L23" s="6" t="s">
        <v>11340</v>
      </c>
      <c r="M23" s="6" t="s">
        <v>11341</v>
      </c>
    </row>
    <row r="24" spans="1:13" ht="21.95" customHeight="1" x14ac:dyDescent="0.15">
      <c r="A24" s="7" t="s">
        <v>11433</v>
      </c>
      <c r="B24" s="7" t="s">
        <v>11565</v>
      </c>
      <c r="C24" s="7" t="s">
        <v>11565</v>
      </c>
      <c r="D24" s="7" t="s">
        <v>11565</v>
      </c>
      <c r="E24" s="7" t="s">
        <v>11565</v>
      </c>
      <c r="F24" s="7" t="s">
        <v>11565</v>
      </c>
      <c r="G24" s="7" t="s">
        <v>11565</v>
      </c>
      <c r="H24" s="7" t="s">
        <v>11565</v>
      </c>
      <c r="I24" s="7" t="s">
        <v>11565</v>
      </c>
      <c r="J24" s="7" t="s">
        <v>11565</v>
      </c>
      <c r="K24" s="7" t="s">
        <v>11565</v>
      </c>
      <c r="L24" s="7" t="s">
        <v>11565</v>
      </c>
      <c r="M24" s="7" t="s">
        <v>11565</v>
      </c>
    </row>
    <row r="25" spans="1:13" ht="21.95" customHeight="1" x14ac:dyDescent="0.15">
      <c r="A25" s="8" t="s">
        <v>11435</v>
      </c>
      <c r="B25" s="8" t="s">
        <v>11436</v>
      </c>
      <c r="C25" s="8" t="s">
        <v>11436</v>
      </c>
      <c r="D25" s="8" t="s">
        <v>11436</v>
      </c>
      <c r="E25" s="8" t="s">
        <v>11436</v>
      </c>
      <c r="F25" s="8" t="s">
        <v>11436</v>
      </c>
      <c r="G25" s="8" t="s">
        <v>11436</v>
      </c>
      <c r="H25" s="8" t="s">
        <v>11436</v>
      </c>
      <c r="I25" s="8" t="s">
        <v>11436</v>
      </c>
      <c r="J25" s="8" t="s">
        <v>11436</v>
      </c>
      <c r="K25" s="8" t="s">
        <v>11436</v>
      </c>
      <c r="L25" s="8" t="s">
        <v>11436</v>
      </c>
      <c r="M25" s="8" t="s">
        <v>11436</v>
      </c>
    </row>
    <row r="26" spans="1:13" ht="21.95" customHeight="1" x14ac:dyDescent="0.15">
      <c r="A26" s="7" t="s">
        <v>11416</v>
      </c>
      <c r="B26" s="7" t="s">
        <v>11522</v>
      </c>
      <c r="C26" s="7" t="s">
        <v>12192</v>
      </c>
      <c r="D26" s="7" t="s">
        <v>12193</v>
      </c>
      <c r="E26" s="7" t="s">
        <v>12194</v>
      </c>
      <c r="F26" s="7" t="s">
        <v>11447</v>
      </c>
      <c r="G26" s="7" t="s">
        <v>12195</v>
      </c>
      <c r="H26" s="7" t="s">
        <v>12196</v>
      </c>
      <c r="I26" s="7" t="s">
        <v>12197</v>
      </c>
      <c r="J26" s="7" t="s">
        <v>12198</v>
      </c>
      <c r="K26" s="7" t="s">
        <v>12199</v>
      </c>
      <c r="L26" s="7" t="s">
        <v>12200</v>
      </c>
      <c r="M26" s="7" t="s">
        <v>12201</v>
      </c>
    </row>
    <row r="27" spans="1:13" ht="21.95" customHeight="1" x14ac:dyDescent="0.15">
      <c r="A27" s="8" t="s">
        <v>11429</v>
      </c>
      <c r="B27" s="8" t="s">
        <v>11572</v>
      </c>
      <c r="C27" s="8" t="s">
        <v>11572</v>
      </c>
      <c r="D27" s="8" t="s">
        <v>11572</v>
      </c>
      <c r="E27" s="8" t="s">
        <v>11572</v>
      </c>
      <c r="F27" s="8" t="s">
        <v>11572</v>
      </c>
      <c r="G27" s="8" t="s">
        <v>11572</v>
      </c>
      <c r="H27" s="8" t="s">
        <v>11572</v>
      </c>
      <c r="I27" s="8" t="s">
        <v>11572</v>
      </c>
      <c r="J27" s="8" t="s">
        <v>11572</v>
      </c>
      <c r="K27" s="8" t="s">
        <v>11532</v>
      </c>
      <c r="L27" s="8" t="s">
        <v>11532</v>
      </c>
      <c r="M27" s="8" t="s">
        <v>11532</v>
      </c>
    </row>
    <row r="28" spans="1:13" ht="8.1" customHeight="1" x14ac:dyDescent="0.15">
      <c r="A28" s="9"/>
      <c r="B28" s="10"/>
      <c r="C28" s="10"/>
      <c r="D28" s="10"/>
      <c r="E28" s="10"/>
      <c r="F28" s="10"/>
      <c r="G28" s="10"/>
      <c r="H28" s="10"/>
      <c r="I28" s="10"/>
      <c r="J28" s="10"/>
      <c r="K28" s="10"/>
      <c r="L28" s="10"/>
      <c r="M28" s="10"/>
    </row>
    <row r="30" spans="1:13" ht="27.95" customHeight="1" x14ac:dyDescent="0.15">
      <c r="A30" s="13" t="s">
        <v>12202</v>
      </c>
      <c r="B30" s="10"/>
      <c r="C30" s="10"/>
      <c r="D30" s="10"/>
      <c r="E30" s="10"/>
      <c r="F30" s="10"/>
      <c r="G30" s="10"/>
      <c r="H30" s="10"/>
      <c r="I30" s="10"/>
      <c r="J30" s="10"/>
      <c r="K30" s="10"/>
      <c r="L30" s="10"/>
      <c r="M30" s="10"/>
    </row>
    <row r="31" spans="1:13" ht="45" customHeight="1" x14ac:dyDescent="0.15">
      <c r="A31" s="12" t="s">
        <v>12203</v>
      </c>
      <c r="B31" s="10"/>
      <c r="C31" s="10"/>
      <c r="D31" s="10"/>
      <c r="E31" s="10"/>
      <c r="F31" s="10"/>
      <c r="G31" s="10"/>
      <c r="H31" s="10"/>
      <c r="I31" s="10"/>
      <c r="J31" s="10"/>
      <c r="K31" s="10"/>
      <c r="L31" s="10"/>
      <c r="M31" s="10"/>
    </row>
    <row r="32" spans="1:13" ht="15" x14ac:dyDescent="0.15">
      <c r="A32" s="6" t="s">
        <v>11329</v>
      </c>
      <c r="B32" s="6" t="s">
        <v>11330</v>
      </c>
      <c r="C32" s="6" t="s">
        <v>11331</v>
      </c>
      <c r="D32" s="6" t="s">
        <v>11332</v>
      </c>
      <c r="E32" s="6" t="s">
        <v>11333</v>
      </c>
      <c r="F32" s="6" t="s">
        <v>11334</v>
      </c>
      <c r="G32" s="6" t="s">
        <v>11335</v>
      </c>
      <c r="H32" s="6" t="s">
        <v>11336</v>
      </c>
      <c r="I32" s="6" t="s">
        <v>11337</v>
      </c>
      <c r="J32" s="6" t="s">
        <v>11338</v>
      </c>
      <c r="K32" s="6" t="s">
        <v>11339</v>
      </c>
      <c r="L32" s="6" t="s">
        <v>11340</v>
      </c>
      <c r="M32" s="6" t="s">
        <v>11341</v>
      </c>
    </row>
    <row r="33" spans="1:13" ht="21.95" customHeight="1" x14ac:dyDescent="0.15">
      <c r="A33" s="7" t="s">
        <v>11435</v>
      </c>
      <c r="B33" s="7" t="s">
        <v>11740</v>
      </c>
      <c r="C33" s="7" t="s">
        <v>11740</v>
      </c>
      <c r="D33" s="7" t="s">
        <v>11740</v>
      </c>
      <c r="E33" s="7" t="s">
        <v>11740</v>
      </c>
      <c r="F33" s="7" t="s">
        <v>11740</v>
      </c>
      <c r="G33" s="7" t="s">
        <v>11740</v>
      </c>
      <c r="H33" s="7" t="s">
        <v>11740</v>
      </c>
      <c r="I33" s="7" t="s">
        <v>11740</v>
      </c>
      <c r="J33" s="7" t="s">
        <v>11740</v>
      </c>
      <c r="K33" s="7" t="s">
        <v>11740</v>
      </c>
      <c r="L33" s="7" t="s">
        <v>11740</v>
      </c>
      <c r="M33" s="7" t="s">
        <v>12204</v>
      </c>
    </row>
    <row r="34" spans="1:13" ht="21.95" customHeight="1" x14ac:dyDescent="0.15">
      <c r="A34" s="8" t="s">
        <v>12205</v>
      </c>
      <c r="B34" s="8" t="s">
        <v>11911</v>
      </c>
      <c r="C34" s="8" t="s">
        <v>12023</v>
      </c>
      <c r="D34" s="8" t="s">
        <v>11591</v>
      </c>
      <c r="E34" s="8" t="s">
        <v>11715</v>
      </c>
      <c r="F34" s="8" t="s">
        <v>11901</v>
      </c>
      <c r="G34" s="8" t="s">
        <v>11827</v>
      </c>
      <c r="H34" s="8" t="s">
        <v>12095</v>
      </c>
      <c r="I34" s="8" t="s">
        <v>12206</v>
      </c>
      <c r="J34" s="8" t="s">
        <v>11663</v>
      </c>
      <c r="K34" s="8" t="s">
        <v>12207</v>
      </c>
      <c r="L34" s="8" t="s">
        <v>12208</v>
      </c>
      <c r="M34" s="8" t="s">
        <v>11723</v>
      </c>
    </row>
    <row r="35" spans="1:13" ht="21.95" customHeight="1" x14ac:dyDescent="0.15">
      <c r="A35" s="7" t="s">
        <v>12209</v>
      </c>
      <c r="B35" s="7" t="s">
        <v>11425</v>
      </c>
      <c r="C35" s="7" t="s">
        <v>12207</v>
      </c>
      <c r="D35" s="7" t="s">
        <v>12059</v>
      </c>
      <c r="E35" s="7" t="s">
        <v>12210</v>
      </c>
      <c r="F35" s="7" t="s">
        <v>12211</v>
      </c>
      <c r="G35" s="7" t="s">
        <v>12054</v>
      </c>
      <c r="H35" s="7" t="s">
        <v>12212</v>
      </c>
      <c r="I35" s="7" t="s">
        <v>12213</v>
      </c>
      <c r="J35" s="7" t="s">
        <v>12214</v>
      </c>
      <c r="K35" s="7" t="s">
        <v>12215</v>
      </c>
      <c r="L35" s="7" t="s">
        <v>12015</v>
      </c>
      <c r="M35" s="7" t="s">
        <v>12216</v>
      </c>
    </row>
    <row r="36" spans="1:13" ht="21.95" customHeight="1" x14ac:dyDescent="0.15">
      <c r="A36" s="8" t="s">
        <v>11429</v>
      </c>
      <c r="B36" s="8" t="s">
        <v>11430</v>
      </c>
      <c r="C36" s="8" t="s">
        <v>11430</v>
      </c>
      <c r="D36" s="8" t="s">
        <v>11430</v>
      </c>
      <c r="E36" s="8" t="s">
        <v>11430</v>
      </c>
      <c r="F36" s="8" t="s">
        <v>11430</v>
      </c>
      <c r="G36" s="8" t="s">
        <v>11430</v>
      </c>
      <c r="H36" s="8" t="s">
        <v>11430</v>
      </c>
      <c r="I36" s="8" t="s">
        <v>11430</v>
      </c>
      <c r="J36" s="8" t="s">
        <v>11430</v>
      </c>
      <c r="K36" s="8" t="s">
        <v>11430</v>
      </c>
      <c r="L36" s="8" t="s">
        <v>11430</v>
      </c>
      <c r="M36" s="8" t="s">
        <v>11430</v>
      </c>
    </row>
    <row r="37" spans="1:13" ht="21.95" customHeight="1" x14ac:dyDescent="0.15">
      <c r="A37" s="7" t="s">
        <v>12217</v>
      </c>
      <c r="B37" s="7" t="s">
        <v>11642</v>
      </c>
      <c r="C37" s="7" t="s">
        <v>11642</v>
      </c>
      <c r="D37" s="7" t="s">
        <v>11642</v>
      </c>
      <c r="E37" s="7" t="s">
        <v>11642</v>
      </c>
      <c r="F37" s="7" t="s">
        <v>11642</v>
      </c>
      <c r="G37" s="7" t="s">
        <v>11642</v>
      </c>
      <c r="H37" s="7" t="s">
        <v>11642</v>
      </c>
      <c r="I37" s="7" t="s">
        <v>11642</v>
      </c>
      <c r="J37" s="7" t="s">
        <v>11642</v>
      </c>
      <c r="K37" s="7" t="s">
        <v>11647</v>
      </c>
      <c r="L37" s="7" t="s">
        <v>11647</v>
      </c>
      <c r="M37" s="7" t="s">
        <v>11647</v>
      </c>
    </row>
    <row r="38" spans="1:13" ht="21.95" customHeight="1" x14ac:dyDescent="0.15">
      <c r="A38" s="8" t="s">
        <v>12218</v>
      </c>
      <c r="B38" s="8" t="s">
        <v>12219</v>
      </c>
      <c r="C38" s="8" t="s">
        <v>12219</v>
      </c>
      <c r="D38" s="8" t="s">
        <v>12219</v>
      </c>
      <c r="E38" s="8" t="s">
        <v>12219</v>
      </c>
      <c r="F38" s="8" t="s">
        <v>12219</v>
      </c>
      <c r="G38" s="8" t="s">
        <v>12219</v>
      </c>
      <c r="H38" s="8" t="s">
        <v>12219</v>
      </c>
      <c r="I38" s="8" t="s">
        <v>12219</v>
      </c>
      <c r="J38" s="8" t="s">
        <v>12219</v>
      </c>
      <c r="K38" s="8" t="s">
        <v>12219</v>
      </c>
      <c r="L38" s="8" t="s">
        <v>12219</v>
      </c>
      <c r="M38" s="8" t="s">
        <v>12219</v>
      </c>
    </row>
    <row r="39" spans="1:13" ht="8.1" customHeight="1" x14ac:dyDescent="0.15">
      <c r="A39" s="9"/>
      <c r="B39" s="10"/>
      <c r="C39" s="10"/>
      <c r="D39" s="10"/>
      <c r="E39" s="10"/>
      <c r="F39" s="10"/>
      <c r="G39" s="10"/>
      <c r="H39" s="10"/>
      <c r="I39" s="10"/>
      <c r="J39" s="10"/>
      <c r="K39" s="10"/>
      <c r="L39" s="10"/>
      <c r="M39" s="10"/>
    </row>
  </sheetData>
  <sheetProtection password="CC26" sheet="1"/>
  <mergeCells count="13">
    <mergeCell ref="A39:M39"/>
    <mergeCell ref="A15:M15"/>
    <mergeCell ref="A28:M28"/>
    <mergeCell ref="A19:M19"/>
    <mergeCell ref="A14:M14"/>
    <mergeCell ref="A1:M1"/>
    <mergeCell ref="A31:M31"/>
    <mergeCell ref="A22:M22"/>
    <mergeCell ref="A12:M12"/>
    <mergeCell ref="A4:M4"/>
    <mergeCell ref="A3:M3"/>
    <mergeCell ref="A21:M21"/>
    <mergeCell ref="A30:M30"/>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18">
    <cfRule type="colorScale" priority="2">
      <colorScale>
        <cfvo type="min"/>
        <cfvo type="percentile" val="50"/>
        <cfvo type="max"/>
        <color rgb="FFFFC7CE"/>
        <color rgb="FFFFEB9C"/>
        <color rgb="FFC6EFCE"/>
      </colorScale>
    </cfRule>
  </conditionalFormatting>
  <conditionalFormatting sqref="B24:M27">
    <cfRule type="colorScale" priority="3">
      <colorScale>
        <cfvo type="min"/>
        <cfvo type="percentile" val="50"/>
        <cfvo type="max"/>
        <color rgb="FFFFC7CE"/>
        <color rgb="FFFFEB9C"/>
        <color rgb="FFC6EFCE"/>
      </colorScale>
    </cfRule>
  </conditionalFormatting>
  <conditionalFormatting sqref="B33:M38">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42"/>
  <sheetViews>
    <sheetView workbookViewId="0"/>
  </sheetViews>
  <sheetFormatPr defaultRowHeight="13.5" x14ac:dyDescent="0.15"/>
  <cols>
    <col min="1" max="1" width="32" customWidth="1"/>
    <col min="2" max="13" width="9" customWidth="1"/>
  </cols>
  <sheetData>
    <row r="1" spans="1:13" ht="35.1" customHeight="1" x14ac:dyDescent="0.15">
      <c r="A1" s="11" t="s">
        <v>12220</v>
      </c>
      <c r="B1" s="10"/>
      <c r="C1" s="10"/>
      <c r="D1" s="10"/>
      <c r="E1" s="10"/>
      <c r="F1" s="10"/>
      <c r="G1" s="10"/>
      <c r="H1" s="10"/>
      <c r="I1" s="10"/>
      <c r="J1" s="10"/>
      <c r="K1" s="10"/>
      <c r="L1" s="10"/>
      <c r="M1" s="10"/>
    </row>
    <row r="3" spans="1:13" ht="27.95" customHeight="1" x14ac:dyDescent="0.15">
      <c r="A3" s="13" t="s">
        <v>12221</v>
      </c>
      <c r="B3" s="10"/>
      <c r="C3" s="10"/>
      <c r="D3" s="10"/>
      <c r="E3" s="10"/>
      <c r="F3" s="10"/>
      <c r="G3" s="10"/>
      <c r="H3" s="10"/>
      <c r="I3" s="10"/>
      <c r="J3" s="10"/>
      <c r="K3" s="10"/>
      <c r="L3" s="10"/>
      <c r="M3" s="10"/>
    </row>
    <row r="4" spans="1:13" ht="45" customHeight="1" x14ac:dyDescent="0.15">
      <c r="A4" s="12" t="s">
        <v>12222</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11344</v>
      </c>
      <c r="C6" s="7" t="s">
        <v>11503</v>
      </c>
      <c r="D6" s="7" t="s">
        <v>11356</v>
      </c>
      <c r="E6" s="7" t="s">
        <v>11366</v>
      </c>
      <c r="F6" s="7" t="s">
        <v>11357</v>
      </c>
      <c r="G6" s="7" t="s">
        <v>11358</v>
      </c>
      <c r="H6" s="7" t="s">
        <v>11382</v>
      </c>
      <c r="I6" s="7" t="s">
        <v>11359</v>
      </c>
      <c r="J6" s="7" t="s">
        <v>11368</v>
      </c>
      <c r="K6" s="7" t="s">
        <v>11369</v>
      </c>
      <c r="L6" s="7" t="s">
        <v>11362</v>
      </c>
      <c r="M6" s="7" t="s">
        <v>11363</v>
      </c>
    </row>
    <row r="7" spans="1:13" ht="21.95" customHeight="1" x14ac:dyDescent="0.15">
      <c r="A7" s="8" t="s">
        <v>11355</v>
      </c>
      <c r="B7" s="8" t="s">
        <v>11366</v>
      </c>
      <c r="C7" s="8" t="s">
        <v>11349</v>
      </c>
      <c r="D7" s="8" t="s">
        <v>11350</v>
      </c>
      <c r="E7" s="8" t="s">
        <v>11367</v>
      </c>
      <c r="F7" s="8" t="s">
        <v>11360</v>
      </c>
      <c r="G7" s="8" t="s">
        <v>11361</v>
      </c>
      <c r="H7" s="8" t="s">
        <v>11362</v>
      </c>
      <c r="I7" s="8" t="s">
        <v>11375</v>
      </c>
      <c r="J7" s="8" t="s">
        <v>11376</v>
      </c>
      <c r="K7" s="8" t="s">
        <v>11372</v>
      </c>
      <c r="L7" s="8" t="s">
        <v>11378</v>
      </c>
      <c r="M7" s="8" t="s">
        <v>11509</v>
      </c>
    </row>
    <row r="8" spans="1:13" ht="21.95" customHeight="1" x14ac:dyDescent="0.15">
      <c r="A8" s="7" t="s">
        <v>11365</v>
      </c>
      <c r="B8" s="7" t="s">
        <v>11544</v>
      </c>
      <c r="C8" s="7" t="s">
        <v>11503</v>
      </c>
      <c r="D8" s="7" t="s">
        <v>11504</v>
      </c>
      <c r="E8" s="7" t="s">
        <v>11366</v>
      </c>
      <c r="F8" s="7" t="s">
        <v>11349</v>
      </c>
      <c r="G8" s="7" t="s">
        <v>11358</v>
      </c>
      <c r="H8" s="7" t="s">
        <v>11351</v>
      </c>
      <c r="I8" s="7" t="s">
        <v>11359</v>
      </c>
      <c r="J8" s="7" t="s">
        <v>11360</v>
      </c>
      <c r="K8" s="7" t="s">
        <v>11361</v>
      </c>
      <c r="L8" s="7" t="s">
        <v>11505</v>
      </c>
      <c r="M8" s="7" t="s">
        <v>11506</v>
      </c>
    </row>
    <row r="9" spans="1:13" ht="21.95" customHeight="1" x14ac:dyDescent="0.15">
      <c r="A9" s="8" t="s">
        <v>11374</v>
      </c>
      <c r="B9" s="8" t="s">
        <v>11383</v>
      </c>
      <c r="C9" s="8" t="s">
        <v>11635</v>
      </c>
      <c r="D9" s="8" t="s">
        <v>11379</v>
      </c>
      <c r="E9" s="8" t="s">
        <v>11380</v>
      </c>
      <c r="F9" s="8" t="s">
        <v>11508</v>
      </c>
      <c r="G9" s="8" t="s">
        <v>11387</v>
      </c>
      <c r="H9" s="8" t="s">
        <v>11404</v>
      </c>
      <c r="I9" s="8" t="s">
        <v>11512</v>
      </c>
      <c r="J9" s="8" t="s">
        <v>11605</v>
      </c>
      <c r="K9" s="8" t="s">
        <v>11638</v>
      </c>
      <c r="L9" s="8" t="s">
        <v>11601</v>
      </c>
      <c r="M9" s="8" t="s">
        <v>11639</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12223</v>
      </c>
      <c r="B14" s="10"/>
      <c r="C14" s="10"/>
      <c r="D14" s="10"/>
      <c r="E14" s="10"/>
      <c r="F14" s="10"/>
      <c r="G14" s="10"/>
      <c r="H14" s="10"/>
      <c r="I14" s="10"/>
      <c r="J14" s="10"/>
      <c r="K14" s="10"/>
      <c r="L14" s="10"/>
      <c r="M14" s="10"/>
    </row>
    <row r="15" spans="1:13" ht="45" customHeight="1" x14ac:dyDescent="0.15">
      <c r="A15" s="12" t="s">
        <v>12224</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11416</v>
      </c>
      <c r="B17" s="7" t="s">
        <v>11419</v>
      </c>
      <c r="C17" s="7" t="s">
        <v>12225</v>
      </c>
      <c r="D17" s="7" t="s">
        <v>11901</v>
      </c>
      <c r="E17" s="7" t="s">
        <v>11717</v>
      </c>
      <c r="F17" s="7" t="s">
        <v>12226</v>
      </c>
      <c r="G17" s="7" t="s">
        <v>11425</v>
      </c>
      <c r="H17" s="7" t="s">
        <v>11689</v>
      </c>
      <c r="I17" s="7" t="s">
        <v>11678</v>
      </c>
      <c r="J17" s="7" t="s">
        <v>12059</v>
      </c>
      <c r="K17" s="7" t="s">
        <v>11723</v>
      </c>
      <c r="L17" s="7" t="s">
        <v>12227</v>
      </c>
      <c r="M17" s="7" t="s">
        <v>12054</v>
      </c>
    </row>
    <row r="18" spans="1:13" ht="21.95" customHeight="1" x14ac:dyDescent="0.15">
      <c r="A18" s="8" t="s">
        <v>11429</v>
      </c>
      <c r="B18" s="8" t="s">
        <v>11430</v>
      </c>
      <c r="C18" s="8" t="s">
        <v>11430</v>
      </c>
      <c r="D18" s="8" t="s">
        <v>11430</v>
      </c>
      <c r="E18" s="8" t="s">
        <v>11430</v>
      </c>
      <c r="F18" s="8" t="s">
        <v>11430</v>
      </c>
      <c r="G18" s="8" t="s">
        <v>11430</v>
      </c>
      <c r="H18" s="8" t="s">
        <v>11430</v>
      </c>
      <c r="I18" s="8" t="s">
        <v>11430</v>
      </c>
      <c r="J18" s="8" t="s">
        <v>11430</v>
      </c>
      <c r="K18" s="8" t="s">
        <v>11430</v>
      </c>
      <c r="L18" s="8" t="s">
        <v>11430</v>
      </c>
      <c r="M18" s="8" t="s">
        <v>11430</v>
      </c>
    </row>
    <row r="19" spans="1:13" ht="21.95" customHeight="1" x14ac:dyDescent="0.15">
      <c r="A19" s="7" t="s">
        <v>11890</v>
      </c>
      <c r="B19" s="7" t="s">
        <v>11356</v>
      </c>
      <c r="C19" s="7" t="s">
        <v>11356</v>
      </c>
      <c r="D19" s="7" t="s">
        <v>11356</v>
      </c>
      <c r="E19" s="7" t="s">
        <v>11356</v>
      </c>
      <c r="F19" s="7" t="s">
        <v>11356</v>
      </c>
      <c r="G19" s="7" t="s">
        <v>11356</v>
      </c>
      <c r="H19" s="7" t="s">
        <v>11356</v>
      </c>
      <c r="I19" s="7" t="s">
        <v>11356</v>
      </c>
      <c r="J19" s="7" t="s">
        <v>11356</v>
      </c>
      <c r="K19" s="7" t="s">
        <v>11356</v>
      </c>
      <c r="L19" s="7" t="s">
        <v>11356</v>
      </c>
      <c r="M19" s="7" t="s">
        <v>11356</v>
      </c>
    </row>
    <row r="20" spans="1:13" ht="8.1" customHeight="1" x14ac:dyDescent="0.15">
      <c r="A20" s="9"/>
      <c r="B20" s="10"/>
      <c r="C20" s="10"/>
      <c r="D20" s="10"/>
      <c r="E20" s="10"/>
      <c r="F20" s="10"/>
      <c r="G20" s="10"/>
      <c r="H20" s="10"/>
      <c r="I20" s="10"/>
      <c r="J20" s="10"/>
      <c r="K20" s="10"/>
      <c r="L20" s="10"/>
      <c r="M20" s="10"/>
    </row>
    <row r="22" spans="1:13" ht="27.95" customHeight="1" x14ac:dyDescent="0.15">
      <c r="A22" s="13" t="s">
        <v>12228</v>
      </c>
      <c r="B22" s="10"/>
      <c r="C22" s="10"/>
      <c r="D22" s="10"/>
      <c r="E22" s="10"/>
      <c r="F22" s="10"/>
      <c r="G22" s="10"/>
      <c r="H22" s="10"/>
      <c r="I22" s="10"/>
      <c r="J22" s="10"/>
      <c r="K22" s="10"/>
      <c r="L22" s="10"/>
      <c r="M22" s="10"/>
    </row>
    <row r="23" spans="1:13" ht="45" customHeight="1" x14ac:dyDescent="0.15">
      <c r="A23" s="12" t="s">
        <v>12229</v>
      </c>
      <c r="B23" s="10"/>
      <c r="C23" s="10"/>
      <c r="D23" s="10"/>
      <c r="E23" s="10"/>
      <c r="F23" s="10"/>
      <c r="G23" s="10"/>
      <c r="H23" s="10"/>
      <c r="I23" s="10"/>
      <c r="J23" s="10"/>
      <c r="K23" s="10"/>
      <c r="L23" s="10"/>
      <c r="M23" s="10"/>
    </row>
    <row r="24" spans="1:13" ht="15" x14ac:dyDescent="0.15">
      <c r="A24" s="6" t="s">
        <v>11329</v>
      </c>
      <c r="B24" s="6" t="s">
        <v>11330</v>
      </c>
      <c r="C24" s="6" t="s">
        <v>11331</v>
      </c>
      <c r="D24" s="6" t="s">
        <v>11332</v>
      </c>
      <c r="E24" s="6" t="s">
        <v>11333</v>
      </c>
      <c r="F24" s="6" t="s">
        <v>11334</v>
      </c>
      <c r="G24" s="6" t="s">
        <v>11335</v>
      </c>
      <c r="H24" s="6" t="s">
        <v>11336</v>
      </c>
      <c r="I24" s="6" t="s">
        <v>11337</v>
      </c>
      <c r="J24" s="6" t="s">
        <v>11338</v>
      </c>
      <c r="K24" s="6" t="s">
        <v>11339</v>
      </c>
      <c r="L24" s="6" t="s">
        <v>11340</v>
      </c>
      <c r="M24" s="6" t="s">
        <v>11341</v>
      </c>
    </row>
    <row r="25" spans="1:13" ht="21.95" customHeight="1" x14ac:dyDescent="0.15">
      <c r="A25" s="7" t="s">
        <v>11433</v>
      </c>
      <c r="B25" s="7" t="s">
        <v>11728</v>
      </c>
      <c r="C25" s="7" t="s">
        <v>11728</v>
      </c>
      <c r="D25" s="7" t="s">
        <v>11728</v>
      </c>
      <c r="E25" s="7" t="s">
        <v>11728</v>
      </c>
      <c r="F25" s="7" t="s">
        <v>11728</v>
      </c>
      <c r="G25" s="7" t="s">
        <v>11728</v>
      </c>
      <c r="H25" s="7" t="s">
        <v>11728</v>
      </c>
      <c r="I25" s="7" t="s">
        <v>11728</v>
      </c>
      <c r="J25" s="7" t="s">
        <v>11728</v>
      </c>
      <c r="K25" s="7" t="s">
        <v>11728</v>
      </c>
      <c r="L25" s="7" t="s">
        <v>11728</v>
      </c>
      <c r="M25" s="7" t="s">
        <v>11728</v>
      </c>
    </row>
    <row r="26" spans="1:13" ht="21.95" customHeight="1" x14ac:dyDescent="0.15">
      <c r="A26" s="8" t="s">
        <v>11435</v>
      </c>
      <c r="B26" s="8" t="s">
        <v>11436</v>
      </c>
      <c r="C26" s="8" t="s">
        <v>11436</v>
      </c>
      <c r="D26" s="8" t="s">
        <v>11436</v>
      </c>
      <c r="E26" s="8" t="s">
        <v>11436</v>
      </c>
      <c r="F26" s="8" t="s">
        <v>11436</v>
      </c>
      <c r="G26" s="8" t="s">
        <v>11436</v>
      </c>
      <c r="H26" s="8" t="s">
        <v>11436</v>
      </c>
      <c r="I26" s="8" t="s">
        <v>11436</v>
      </c>
      <c r="J26" s="8" t="s">
        <v>11436</v>
      </c>
      <c r="K26" s="8" t="s">
        <v>11436</v>
      </c>
      <c r="L26" s="8" t="s">
        <v>11436</v>
      </c>
      <c r="M26" s="8" t="s">
        <v>11436</v>
      </c>
    </row>
    <row r="27" spans="1:13" ht="21.95" customHeight="1" x14ac:dyDescent="0.15">
      <c r="A27" s="7" t="s">
        <v>11657</v>
      </c>
      <c r="B27" s="7" t="s">
        <v>11698</v>
      </c>
      <c r="C27" s="7" t="s">
        <v>11606</v>
      </c>
      <c r="D27" s="7" t="s">
        <v>11612</v>
      </c>
      <c r="E27" s="7" t="s">
        <v>11410</v>
      </c>
      <c r="F27" s="7" t="s">
        <v>11417</v>
      </c>
      <c r="G27" s="7" t="s">
        <v>11979</v>
      </c>
      <c r="H27" s="7" t="s">
        <v>11473</v>
      </c>
      <c r="I27" s="7" t="s">
        <v>12072</v>
      </c>
      <c r="J27" s="7" t="s">
        <v>11825</v>
      </c>
      <c r="K27" s="7" t="s">
        <v>11981</v>
      </c>
      <c r="L27" s="7" t="s">
        <v>11476</v>
      </c>
      <c r="M27" s="7" t="s">
        <v>11843</v>
      </c>
    </row>
    <row r="28" spans="1:13" ht="21.95" customHeight="1" x14ac:dyDescent="0.15">
      <c r="A28" s="8" t="s">
        <v>11659</v>
      </c>
      <c r="B28" s="8" t="s">
        <v>11698</v>
      </c>
      <c r="C28" s="8" t="s">
        <v>11606</v>
      </c>
      <c r="D28" s="8" t="s">
        <v>11612</v>
      </c>
      <c r="E28" s="8" t="s">
        <v>11410</v>
      </c>
      <c r="F28" s="8" t="s">
        <v>11417</v>
      </c>
      <c r="G28" s="8" t="s">
        <v>11979</v>
      </c>
      <c r="H28" s="8" t="s">
        <v>11473</v>
      </c>
      <c r="I28" s="8" t="s">
        <v>12072</v>
      </c>
      <c r="J28" s="8" t="s">
        <v>11825</v>
      </c>
      <c r="K28" s="8" t="s">
        <v>11981</v>
      </c>
      <c r="L28" s="8" t="s">
        <v>11476</v>
      </c>
      <c r="M28" s="8" t="s">
        <v>11843</v>
      </c>
    </row>
    <row r="29" spans="1:13" ht="21.95" customHeight="1" x14ac:dyDescent="0.15">
      <c r="A29" s="7" t="s">
        <v>11978</v>
      </c>
      <c r="B29" s="7" t="s">
        <v>11698</v>
      </c>
      <c r="C29" s="7" t="s">
        <v>11606</v>
      </c>
      <c r="D29" s="7" t="s">
        <v>11612</v>
      </c>
      <c r="E29" s="7" t="s">
        <v>11410</v>
      </c>
      <c r="F29" s="7" t="s">
        <v>11417</v>
      </c>
      <c r="G29" s="7" t="s">
        <v>11979</v>
      </c>
      <c r="H29" s="7" t="s">
        <v>11473</v>
      </c>
      <c r="I29" s="7" t="s">
        <v>12072</v>
      </c>
      <c r="J29" s="7" t="s">
        <v>11825</v>
      </c>
      <c r="K29" s="7" t="s">
        <v>11981</v>
      </c>
      <c r="L29" s="7" t="s">
        <v>11476</v>
      </c>
      <c r="M29" s="7" t="s">
        <v>11843</v>
      </c>
    </row>
    <row r="30" spans="1:13" ht="21.95" customHeight="1" x14ac:dyDescent="0.15">
      <c r="A30" s="8" t="s">
        <v>12230</v>
      </c>
      <c r="B30" s="8" t="s">
        <v>11698</v>
      </c>
      <c r="C30" s="8" t="s">
        <v>11606</v>
      </c>
      <c r="D30" s="8" t="s">
        <v>11612</v>
      </c>
      <c r="E30" s="8" t="s">
        <v>11410</v>
      </c>
      <c r="F30" s="8" t="s">
        <v>11417</v>
      </c>
      <c r="G30" s="8" t="s">
        <v>11979</v>
      </c>
      <c r="H30" s="8" t="s">
        <v>11473</v>
      </c>
      <c r="I30" s="8" t="s">
        <v>12072</v>
      </c>
      <c r="J30" s="8" t="s">
        <v>11825</v>
      </c>
      <c r="K30" s="8" t="s">
        <v>11981</v>
      </c>
      <c r="L30" s="8" t="s">
        <v>11476</v>
      </c>
      <c r="M30" s="8" t="s">
        <v>11843</v>
      </c>
    </row>
    <row r="31" spans="1:13" ht="21.95" customHeight="1" x14ac:dyDescent="0.15">
      <c r="A31" s="7" t="s">
        <v>12231</v>
      </c>
      <c r="B31" s="7" t="s">
        <v>11356</v>
      </c>
      <c r="C31" s="7" t="s">
        <v>11356</v>
      </c>
      <c r="D31" s="7" t="s">
        <v>11356</v>
      </c>
      <c r="E31" s="7" t="s">
        <v>11356</v>
      </c>
      <c r="F31" s="7" t="s">
        <v>11356</v>
      </c>
      <c r="G31" s="7" t="s">
        <v>11356</v>
      </c>
      <c r="H31" s="7" t="s">
        <v>11356</v>
      </c>
      <c r="I31" s="7" t="s">
        <v>11356</v>
      </c>
      <c r="J31" s="7" t="s">
        <v>11356</v>
      </c>
      <c r="K31" s="7" t="s">
        <v>11356</v>
      </c>
      <c r="L31" s="7" t="s">
        <v>11356</v>
      </c>
      <c r="M31" s="7" t="s">
        <v>11356</v>
      </c>
    </row>
    <row r="32" spans="1:13" ht="21.95" customHeight="1" x14ac:dyDescent="0.15">
      <c r="A32" s="8" t="s">
        <v>12232</v>
      </c>
      <c r="B32" s="8" t="s">
        <v>11356</v>
      </c>
      <c r="C32" s="8" t="s">
        <v>11356</v>
      </c>
      <c r="D32" s="8" t="s">
        <v>11356</v>
      </c>
      <c r="E32" s="8" t="s">
        <v>11356</v>
      </c>
      <c r="F32" s="8" t="s">
        <v>11356</v>
      </c>
      <c r="G32" s="8" t="s">
        <v>11356</v>
      </c>
      <c r="H32" s="8" t="s">
        <v>11356</v>
      </c>
      <c r="I32" s="8" t="s">
        <v>11356</v>
      </c>
      <c r="J32" s="8" t="s">
        <v>11356</v>
      </c>
      <c r="K32" s="8" t="s">
        <v>11356</v>
      </c>
      <c r="L32" s="8" t="s">
        <v>11356</v>
      </c>
      <c r="M32" s="8" t="s">
        <v>11356</v>
      </c>
    </row>
    <row r="33" spans="1:13" ht="21.95" customHeight="1" x14ac:dyDescent="0.15">
      <c r="A33" s="7" t="s">
        <v>11429</v>
      </c>
      <c r="B33" s="7" t="s">
        <v>11532</v>
      </c>
      <c r="C33" s="7" t="s">
        <v>11532</v>
      </c>
      <c r="D33" s="7" t="s">
        <v>11532</v>
      </c>
      <c r="E33" s="7" t="s">
        <v>11532</v>
      </c>
      <c r="F33" s="7" t="s">
        <v>11532</v>
      </c>
      <c r="G33" s="7" t="s">
        <v>11532</v>
      </c>
      <c r="H33" s="7" t="s">
        <v>11532</v>
      </c>
      <c r="I33" s="7" t="s">
        <v>11532</v>
      </c>
      <c r="J33" s="7" t="s">
        <v>11532</v>
      </c>
      <c r="K33" s="7" t="s">
        <v>11532</v>
      </c>
      <c r="L33" s="7" t="s">
        <v>11532</v>
      </c>
      <c r="M33" s="7" t="s">
        <v>11532</v>
      </c>
    </row>
    <row r="34" spans="1:13" ht="8.1" customHeight="1" x14ac:dyDescent="0.15">
      <c r="A34" s="9"/>
      <c r="B34" s="10"/>
      <c r="C34" s="10"/>
      <c r="D34" s="10"/>
      <c r="E34" s="10"/>
      <c r="F34" s="10"/>
      <c r="G34" s="10"/>
      <c r="H34" s="10"/>
      <c r="I34" s="10"/>
      <c r="J34" s="10"/>
      <c r="K34" s="10"/>
      <c r="L34" s="10"/>
      <c r="M34" s="10"/>
    </row>
    <row r="36" spans="1:13" ht="27.95" customHeight="1" x14ac:dyDescent="0.15">
      <c r="A36" s="13" t="s">
        <v>12233</v>
      </c>
      <c r="B36" s="10"/>
      <c r="C36" s="10"/>
      <c r="D36" s="10"/>
      <c r="E36" s="10"/>
      <c r="F36" s="10"/>
      <c r="G36" s="10"/>
      <c r="H36" s="10"/>
      <c r="I36" s="10"/>
      <c r="J36" s="10"/>
      <c r="K36" s="10"/>
      <c r="L36" s="10"/>
      <c r="M36" s="10"/>
    </row>
    <row r="37" spans="1:13" ht="45" customHeight="1" x14ac:dyDescent="0.15">
      <c r="A37" s="12" t="s">
        <v>12234</v>
      </c>
      <c r="B37" s="10"/>
      <c r="C37" s="10"/>
      <c r="D37" s="10"/>
      <c r="E37" s="10"/>
      <c r="F37" s="10"/>
      <c r="G37" s="10"/>
      <c r="H37" s="10"/>
      <c r="I37" s="10"/>
      <c r="J37" s="10"/>
      <c r="K37" s="10"/>
      <c r="L37" s="10"/>
      <c r="M37" s="10"/>
    </row>
    <row r="38" spans="1:13" ht="15" x14ac:dyDescent="0.15">
      <c r="A38" s="6" t="s">
        <v>11329</v>
      </c>
      <c r="B38" s="6" t="s">
        <v>11330</v>
      </c>
      <c r="C38" s="6" t="s">
        <v>11331</v>
      </c>
      <c r="D38" s="6" t="s">
        <v>11332</v>
      </c>
      <c r="E38" s="6" t="s">
        <v>11333</v>
      </c>
      <c r="F38" s="6" t="s">
        <v>11334</v>
      </c>
      <c r="G38" s="6" t="s">
        <v>11335</v>
      </c>
      <c r="H38" s="6" t="s">
        <v>11336</v>
      </c>
      <c r="I38" s="6" t="s">
        <v>11337</v>
      </c>
      <c r="J38" s="6" t="s">
        <v>11338</v>
      </c>
      <c r="K38" s="6" t="s">
        <v>11339</v>
      </c>
      <c r="L38" s="6" t="s">
        <v>11340</v>
      </c>
      <c r="M38" s="6" t="s">
        <v>11341</v>
      </c>
    </row>
    <row r="39" spans="1:13" ht="21.95" customHeight="1" x14ac:dyDescent="0.15">
      <c r="A39" s="7" t="s">
        <v>11435</v>
      </c>
      <c r="B39" s="7" t="s">
        <v>12235</v>
      </c>
      <c r="C39" s="7" t="s">
        <v>12235</v>
      </c>
      <c r="D39" s="7" t="s">
        <v>12235</v>
      </c>
      <c r="E39" s="7" t="s">
        <v>12235</v>
      </c>
      <c r="F39" s="7" t="s">
        <v>12235</v>
      </c>
      <c r="G39" s="7" t="s">
        <v>12235</v>
      </c>
      <c r="H39" s="7" t="s">
        <v>12235</v>
      </c>
      <c r="I39" s="7" t="s">
        <v>12235</v>
      </c>
      <c r="J39" s="7" t="s">
        <v>12235</v>
      </c>
      <c r="K39" s="7" t="s">
        <v>12235</v>
      </c>
      <c r="L39" s="7" t="s">
        <v>12235</v>
      </c>
      <c r="M39" s="7" t="s">
        <v>12236</v>
      </c>
    </row>
    <row r="40" spans="1:13" ht="21.95" customHeight="1" x14ac:dyDescent="0.15">
      <c r="A40" s="8" t="s">
        <v>11416</v>
      </c>
      <c r="B40" s="8" t="s">
        <v>11548</v>
      </c>
      <c r="C40" s="8" t="s">
        <v>11549</v>
      </c>
      <c r="D40" s="8" t="s">
        <v>11550</v>
      </c>
      <c r="E40" s="8" t="s">
        <v>11826</v>
      </c>
      <c r="F40" s="8" t="s">
        <v>12237</v>
      </c>
      <c r="G40" s="8" t="s">
        <v>12238</v>
      </c>
      <c r="H40" s="8" t="s">
        <v>11554</v>
      </c>
      <c r="I40" s="8" t="s">
        <v>11555</v>
      </c>
      <c r="J40" s="8" t="s">
        <v>11556</v>
      </c>
      <c r="K40" s="8" t="s">
        <v>11557</v>
      </c>
      <c r="L40" s="8" t="s">
        <v>12239</v>
      </c>
      <c r="M40" s="8" t="s">
        <v>11558</v>
      </c>
    </row>
    <row r="41" spans="1:13" ht="21.95" customHeight="1" x14ac:dyDescent="0.15">
      <c r="A41" s="7" t="s">
        <v>11429</v>
      </c>
      <c r="B41" s="7" t="s">
        <v>11430</v>
      </c>
      <c r="C41" s="7" t="s">
        <v>11430</v>
      </c>
      <c r="D41" s="7" t="s">
        <v>11430</v>
      </c>
      <c r="E41" s="7" t="s">
        <v>11430</v>
      </c>
      <c r="F41" s="7" t="s">
        <v>11430</v>
      </c>
      <c r="G41" s="7" t="s">
        <v>11430</v>
      </c>
      <c r="H41" s="7" t="s">
        <v>11430</v>
      </c>
      <c r="I41" s="7" t="s">
        <v>11430</v>
      </c>
      <c r="J41" s="7" t="s">
        <v>11430</v>
      </c>
      <c r="K41" s="7" t="s">
        <v>11430</v>
      </c>
      <c r="L41" s="7" t="s">
        <v>11430</v>
      </c>
      <c r="M41" s="7" t="s">
        <v>11430</v>
      </c>
    </row>
    <row r="42" spans="1:13" ht="8.1" customHeight="1" x14ac:dyDescent="0.15">
      <c r="A42" s="9"/>
      <c r="B42" s="10"/>
      <c r="C42" s="10"/>
      <c r="D42" s="10"/>
      <c r="E42" s="10"/>
      <c r="F42" s="10"/>
      <c r="G42" s="10"/>
      <c r="H42" s="10"/>
      <c r="I42" s="10"/>
      <c r="J42" s="10"/>
      <c r="K42" s="10"/>
      <c r="L42" s="10"/>
      <c r="M42" s="10"/>
    </row>
  </sheetData>
  <sheetProtection password="CC26" sheet="1"/>
  <mergeCells count="13">
    <mergeCell ref="A42:M42"/>
    <mergeCell ref="A36:M36"/>
    <mergeCell ref="A14:M14"/>
    <mergeCell ref="A1:M1"/>
    <mergeCell ref="A23:M23"/>
    <mergeCell ref="A37:M37"/>
    <mergeCell ref="A22:M22"/>
    <mergeCell ref="A34:M34"/>
    <mergeCell ref="A12:M12"/>
    <mergeCell ref="A4:M4"/>
    <mergeCell ref="A3:M3"/>
    <mergeCell ref="A15:M15"/>
    <mergeCell ref="A20:M20"/>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19">
    <cfRule type="colorScale" priority="2">
      <colorScale>
        <cfvo type="min"/>
        <cfvo type="percentile" val="50"/>
        <cfvo type="max"/>
        <color rgb="FFFFC7CE"/>
        <color rgb="FFFFEB9C"/>
        <color rgb="FFC6EFCE"/>
      </colorScale>
    </cfRule>
  </conditionalFormatting>
  <conditionalFormatting sqref="B25:M33">
    <cfRule type="colorScale" priority="3">
      <colorScale>
        <cfvo type="min"/>
        <cfvo type="percentile" val="50"/>
        <cfvo type="max"/>
        <color rgb="FFFFC7CE"/>
        <color rgb="FFFFEB9C"/>
        <color rgb="FFC6EFCE"/>
      </colorScale>
    </cfRule>
  </conditionalFormatting>
  <conditionalFormatting sqref="B39:M41">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9"/>
  <sheetViews>
    <sheetView workbookViewId="0"/>
  </sheetViews>
  <sheetFormatPr defaultRowHeight="13.5" x14ac:dyDescent="0.15"/>
  <cols>
    <col min="1" max="1" width="32" customWidth="1"/>
    <col min="2" max="13" width="9" customWidth="1"/>
  </cols>
  <sheetData>
    <row r="1" spans="1:13" ht="35.1" customHeight="1" x14ac:dyDescent="0.15">
      <c r="A1" s="11" t="s">
        <v>12240</v>
      </c>
      <c r="B1" s="10"/>
      <c r="C1" s="10"/>
      <c r="D1" s="10"/>
      <c r="E1" s="10"/>
      <c r="F1" s="10"/>
      <c r="G1" s="10"/>
      <c r="H1" s="10"/>
      <c r="I1" s="10"/>
      <c r="J1" s="10"/>
      <c r="K1" s="10"/>
      <c r="L1" s="10"/>
      <c r="M1" s="10"/>
    </row>
    <row r="3" spans="1:13" ht="27.95" customHeight="1" x14ac:dyDescent="0.15">
      <c r="A3" s="13" t="s">
        <v>12241</v>
      </c>
      <c r="B3" s="10"/>
      <c r="C3" s="10"/>
      <c r="D3" s="10"/>
      <c r="E3" s="10"/>
      <c r="F3" s="10"/>
      <c r="G3" s="10"/>
      <c r="H3" s="10"/>
      <c r="I3" s="10"/>
      <c r="J3" s="10"/>
      <c r="K3" s="10"/>
      <c r="L3" s="10"/>
      <c r="M3" s="10"/>
    </row>
    <row r="4" spans="1:13" ht="45" customHeight="1" x14ac:dyDescent="0.15">
      <c r="A4" s="12" t="s">
        <v>11502</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11343</v>
      </c>
      <c r="C6" s="7" t="s">
        <v>11344</v>
      </c>
      <c r="D6" s="7" t="s">
        <v>11503</v>
      </c>
      <c r="E6" s="7" t="s">
        <v>11356</v>
      </c>
      <c r="F6" s="7" t="s">
        <v>11347</v>
      </c>
      <c r="G6" s="7" t="s">
        <v>11357</v>
      </c>
      <c r="H6" s="7" t="s">
        <v>11507</v>
      </c>
      <c r="I6" s="7" t="s">
        <v>11350</v>
      </c>
      <c r="J6" s="7" t="s">
        <v>11351</v>
      </c>
      <c r="K6" s="7" t="s">
        <v>11352</v>
      </c>
      <c r="L6" s="7" t="s">
        <v>11369</v>
      </c>
      <c r="M6" s="7" t="s">
        <v>11362</v>
      </c>
    </row>
    <row r="7" spans="1:13" ht="21.95" customHeight="1" x14ac:dyDescent="0.15">
      <c r="A7" s="8" t="s">
        <v>11355</v>
      </c>
      <c r="B7" s="8" t="s">
        <v>11503</v>
      </c>
      <c r="C7" s="8" t="s">
        <v>11504</v>
      </c>
      <c r="D7" s="8" t="s">
        <v>11348</v>
      </c>
      <c r="E7" s="8" t="s">
        <v>11349</v>
      </c>
      <c r="F7" s="8" t="s">
        <v>11350</v>
      </c>
      <c r="G7" s="8" t="s">
        <v>11367</v>
      </c>
      <c r="H7" s="8" t="s">
        <v>11368</v>
      </c>
      <c r="I7" s="8" t="s">
        <v>11369</v>
      </c>
      <c r="J7" s="8" t="s">
        <v>11545</v>
      </c>
      <c r="K7" s="8" t="s">
        <v>11370</v>
      </c>
      <c r="L7" s="8" t="s">
        <v>11371</v>
      </c>
      <c r="M7" s="8" t="s">
        <v>11372</v>
      </c>
    </row>
    <row r="8" spans="1:13" ht="21.95" customHeight="1" x14ac:dyDescent="0.15">
      <c r="A8" s="7" t="s">
        <v>11365</v>
      </c>
      <c r="B8" s="7" t="s">
        <v>11348</v>
      </c>
      <c r="C8" s="7" t="s">
        <v>11507</v>
      </c>
      <c r="D8" s="7" t="s">
        <v>11351</v>
      </c>
      <c r="E8" s="7" t="s">
        <v>11352</v>
      </c>
      <c r="F8" s="7" t="s">
        <v>11369</v>
      </c>
      <c r="G8" s="7" t="s">
        <v>11354</v>
      </c>
      <c r="H8" s="7" t="s">
        <v>11370</v>
      </c>
      <c r="I8" s="7" t="s">
        <v>11371</v>
      </c>
      <c r="J8" s="7" t="s">
        <v>11364</v>
      </c>
      <c r="K8" s="7" t="s">
        <v>11567</v>
      </c>
      <c r="L8" s="7" t="s">
        <v>11467</v>
      </c>
      <c r="M8" s="7" t="s">
        <v>11385</v>
      </c>
    </row>
    <row r="9" spans="1:13" ht="21.95" customHeight="1" x14ac:dyDescent="0.15">
      <c r="A9" s="8" t="s">
        <v>11374</v>
      </c>
      <c r="B9" s="8" t="s">
        <v>11354</v>
      </c>
      <c r="C9" s="8" t="s">
        <v>11363</v>
      </c>
      <c r="D9" s="8" t="s">
        <v>11364</v>
      </c>
      <c r="E9" s="8" t="s">
        <v>11635</v>
      </c>
      <c r="F9" s="8" t="s">
        <v>11467</v>
      </c>
      <c r="G9" s="8" t="s">
        <v>11385</v>
      </c>
      <c r="H9" s="8" t="s">
        <v>11704</v>
      </c>
      <c r="I9" s="8" t="s">
        <v>11658</v>
      </c>
      <c r="J9" s="8" t="s">
        <v>11880</v>
      </c>
      <c r="K9" s="8" t="s">
        <v>11705</v>
      </c>
      <c r="L9" s="8" t="s">
        <v>11699</v>
      </c>
      <c r="M9" s="8" t="s">
        <v>11600</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12242</v>
      </c>
      <c r="B14" s="10"/>
      <c r="C14" s="10"/>
      <c r="D14" s="10"/>
      <c r="E14" s="10"/>
      <c r="F14" s="10"/>
      <c r="G14" s="10"/>
      <c r="H14" s="10"/>
      <c r="I14" s="10"/>
      <c r="J14" s="10"/>
      <c r="K14" s="10"/>
      <c r="L14" s="10"/>
      <c r="M14" s="10"/>
    </row>
    <row r="15" spans="1:13" ht="45" customHeight="1" x14ac:dyDescent="0.15">
      <c r="A15" s="12" t="s">
        <v>12243</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11416</v>
      </c>
      <c r="B17" s="7" t="s">
        <v>11597</v>
      </c>
      <c r="C17" s="7" t="s">
        <v>11705</v>
      </c>
      <c r="D17" s="7" t="s">
        <v>11599</v>
      </c>
      <c r="E17" s="7" t="s">
        <v>11638</v>
      </c>
      <c r="F17" s="7" t="s">
        <v>11770</v>
      </c>
      <c r="G17" s="7" t="s">
        <v>11612</v>
      </c>
      <c r="H17" s="7" t="s">
        <v>12075</v>
      </c>
      <c r="I17" s="7" t="s">
        <v>12076</v>
      </c>
      <c r="J17" s="7" t="s">
        <v>11911</v>
      </c>
      <c r="K17" s="7" t="s">
        <v>11418</v>
      </c>
      <c r="L17" s="7" t="s">
        <v>12048</v>
      </c>
      <c r="M17" s="7" t="s">
        <v>11825</v>
      </c>
    </row>
    <row r="18" spans="1:13" ht="21.95" customHeight="1" x14ac:dyDescent="0.15">
      <c r="A18" s="8" t="s">
        <v>11819</v>
      </c>
      <c r="B18" s="8" t="s">
        <v>12133</v>
      </c>
      <c r="C18" s="8" t="s">
        <v>12133</v>
      </c>
      <c r="D18" s="8" t="s">
        <v>12133</v>
      </c>
      <c r="E18" s="8" t="s">
        <v>12133</v>
      </c>
      <c r="F18" s="8" t="s">
        <v>12133</v>
      </c>
      <c r="G18" s="8" t="s">
        <v>12133</v>
      </c>
      <c r="H18" s="8" t="s">
        <v>12133</v>
      </c>
      <c r="I18" s="8" t="s">
        <v>12133</v>
      </c>
      <c r="J18" s="8" t="s">
        <v>12133</v>
      </c>
      <c r="K18" s="8" t="s">
        <v>12133</v>
      </c>
      <c r="L18" s="8" t="s">
        <v>12133</v>
      </c>
      <c r="M18" s="8" t="s">
        <v>12133</v>
      </c>
    </row>
    <row r="19" spans="1:13" ht="21.95" customHeight="1" x14ac:dyDescent="0.15">
      <c r="A19" s="7" t="s">
        <v>12244</v>
      </c>
      <c r="B19" s="7" t="s">
        <v>11987</v>
      </c>
      <c r="C19" s="7" t="s">
        <v>11987</v>
      </c>
      <c r="D19" s="7" t="s">
        <v>12009</v>
      </c>
      <c r="E19" s="7" t="s">
        <v>12009</v>
      </c>
      <c r="F19" s="7" t="s">
        <v>11988</v>
      </c>
      <c r="G19" s="7" t="s">
        <v>11988</v>
      </c>
      <c r="H19" s="7" t="s">
        <v>12010</v>
      </c>
      <c r="I19" s="7" t="s">
        <v>12010</v>
      </c>
      <c r="J19" s="7" t="s">
        <v>12010</v>
      </c>
      <c r="K19" s="7" t="s">
        <v>11799</v>
      </c>
      <c r="L19" s="7" t="s">
        <v>11799</v>
      </c>
      <c r="M19" s="7" t="s">
        <v>11642</v>
      </c>
    </row>
    <row r="20" spans="1:13" ht="21.95" customHeight="1" x14ac:dyDescent="0.15">
      <c r="A20" s="8" t="s">
        <v>12245</v>
      </c>
      <c r="B20" s="8" t="s">
        <v>11987</v>
      </c>
      <c r="C20" s="8" t="s">
        <v>11987</v>
      </c>
      <c r="D20" s="8" t="s">
        <v>12009</v>
      </c>
      <c r="E20" s="8" t="s">
        <v>12009</v>
      </c>
      <c r="F20" s="8" t="s">
        <v>11988</v>
      </c>
      <c r="G20" s="8" t="s">
        <v>11988</v>
      </c>
      <c r="H20" s="8" t="s">
        <v>12010</v>
      </c>
      <c r="I20" s="8" t="s">
        <v>12010</v>
      </c>
      <c r="J20" s="8" t="s">
        <v>12010</v>
      </c>
      <c r="K20" s="8" t="s">
        <v>11799</v>
      </c>
      <c r="L20" s="8" t="s">
        <v>11799</v>
      </c>
      <c r="M20" s="8" t="s">
        <v>11642</v>
      </c>
    </row>
    <row r="21" spans="1:13" ht="8.1" customHeight="1" x14ac:dyDescent="0.15">
      <c r="A21" s="9"/>
      <c r="B21" s="10"/>
      <c r="C21" s="10"/>
      <c r="D21" s="10"/>
      <c r="E21" s="10"/>
      <c r="F21" s="10"/>
      <c r="G21" s="10"/>
      <c r="H21" s="10"/>
      <c r="I21" s="10"/>
      <c r="J21" s="10"/>
      <c r="K21" s="10"/>
      <c r="L21" s="10"/>
      <c r="M21" s="10"/>
    </row>
    <row r="23" spans="1:13" ht="27.95" customHeight="1" x14ac:dyDescent="0.15">
      <c r="A23" s="13" t="s">
        <v>12246</v>
      </c>
      <c r="B23" s="10"/>
      <c r="C23" s="10"/>
      <c r="D23" s="10"/>
      <c r="E23" s="10"/>
      <c r="F23" s="10"/>
      <c r="G23" s="10"/>
      <c r="H23" s="10"/>
      <c r="I23" s="10"/>
      <c r="J23" s="10"/>
      <c r="K23" s="10"/>
      <c r="L23" s="10"/>
      <c r="M23" s="10"/>
    </row>
    <row r="24" spans="1:13" ht="45" customHeight="1" x14ac:dyDescent="0.15">
      <c r="A24" s="12" t="s">
        <v>12247</v>
      </c>
      <c r="B24" s="10"/>
      <c r="C24" s="10"/>
      <c r="D24" s="10"/>
      <c r="E24" s="10"/>
      <c r="F24" s="10"/>
      <c r="G24" s="10"/>
      <c r="H24" s="10"/>
      <c r="I24" s="10"/>
      <c r="J24" s="10"/>
      <c r="K24" s="10"/>
      <c r="L24" s="10"/>
      <c r="M24" s="10"/>
    </row>
    <row r="25" spans="1:13" ht="15" x14ac:dyDescent="0.15">
      <c r="A25" s="6" t="s">
        <v>11329</v>
      </c>
      <c r="B25" s="6" t="s">
        <v>11330</v>
      </c>
      <c r="C25" s="6" t="s">
        <v>11331</v>
      </c>
      <c r="D25" s="6" t="s">
        <v>11332</v>
      </c>
      <c r="E25" s="6" t="s">
        <v>11333</v>
      </c>
      <c r="F25" s="6" t="s">
        <v>11334</v>
      </c>
      <c r="G25" s="6" t="s">
        <v>11335</v>
      </c>
      <c r="H25" s="6" t="s">
        <v>11336</v>
      </c>
      <c r="I25" s="6" t="s">
        <v>11337</v>
      </c>
      <c r="J25" s="6" t="s">
        <v>11338</v>
      </c>
      <c r="K25" s="6" t="s">
        <v>11339</v>
      </c>
      <c r="L25" s="6" t="s">
        <v>11340</v>
      </c>
      <c r="M25" s="6" t="s">
        <v>11341</v>
      </c>
    </row>
    <row r="26" spans="1:13" ht="21.95" customHeight="1" x14ac:dyDescent="0.15">
      <c r="A26" s="7" t="s">
        <v>11433</v>
      </c>
      <c r="B26" s="7" t="s">
        <v>11728</v>
      </c>
      <c r="C26" s="7" t="s">
        <v>11728</v>
      </c>
      <c r="D26" s="7" t="s">
        <v>11728</v>
      </c>
      <c r="E26" s="7" t="s">
        <v>11728</v>
      </c>
      <c r="F26" s="7" t="s">
        <v>11728</v>
      </c>
      <c r="G26" s="7" t="s">
        <v>11728</v>
      </c>
      <c r="H26" s="7" t="s">
        <v>11728</v>
      </c>
      <c r="I26" s="7" t="s">
        <v>11728</v>
      </c>
      <c r="J26" s="7" t="s">
        <v>11728</v>
      </c>
      <c r="K26" s="7" t="s">
        <v>11728</v>
      </c>
      <c r="L26" s="7" t="s">
        <v>11728</v>
      </c>
      <c r="M26" s="7" t="s">
        <v>11728</v>
      </c>
    </row>
    <row r="27" spans="1:13" ht="21.95" customHeight="1" x14ac:dyDescent="0.15">
      <c r="A27" s="8" t="s">
        <v>11435</v>
      </c>
      <c r="B27" s="8" t="s">
        <v>11535</v>
      </c>
      <c r="C27" s="8" t="s">
        <v>11535</v>
      </c>
      <c r="D27" s="8" t="s">
        <v>11535</v>
      </c>
      <c r="E27" s="8" t="s">
        <v>11535</v>
      </c>
      <c r="F27" s="8" t="s">
        <v>11535</v>
      </c>
      <c r="G27" s="8" t="s">
        <v>11535</v>
      </c>
      <c r="H27" s="8" t="s">
        <v>11535</v>
      </c>
      <c r="I27" s="8" t="s">
        <v>11535</v>
      </c>
      <c r="J27" s="8" t="s">
        <v>11535</v>
      </c>
      <c r="K27" s="8" t="s">
        <v>11535</v>
      </c>
      <c r="L27" s="8" t="s">
        <v>11535</v>
      </c>
      <c r="M27" s="8" t="s">
        <v>11535</v>
      </c>
    </row>
    <row r="28" spans="1:13" ht="21.95" customHeight="1" x14ac:dyDescent="0.15">
      <c r="A28" s="7" t="s">
        <v>12248</v>
      </c>
      <c r="B28" s="7" t="s">
        <v>12010</v>
      </c>
      <c r="C28" s="7" t="s">
        <v>11799</v>
      </c>
      <c r="D28" s="7" t="s">
        <v>11642</v>
      </c>
      <c r="E28" s="7" t="s">
        <v>11643</v>
      </c>
      <c r="F28" s="7" t="s">
        <v>11644</v>
      </c>
      <c r="G28" s="7" t="s">
        <v>11645</v>
      </c>
      <c r="H28" s="7" t="s">
        <v>11646</v>
      </c>
      <c r="I28" s="7" t="s">
        <v>11647</v>
      </c>
      <c r="J28" s="7" t="s">
        <v>11648</v>
      </c>
      <c r="K28" s="7" t="s">
        <v>11649</v>
      </c>
      <c r="L28" s="7" t="s">
        <v>11650</v>
      </c>
      <c r="M28" s="7" t="s">
        <v>11541</v>
      </c>
    </row>
    <row r="29" spans="1:13" ht="21.95" customHeight="1" x14ac:dyDescent="0.15">
      <c r="A29" s="8" t="s">
        <v>12249</v>
      </c>
      <c r="B29" s="8" t="s">
        <v>12010</v>
      </c>
      <c r="C29" s="8" t="s">
        <v>11799</v>
      </c>
      <c r="D29" s="8" t="s">
        <v>11642</v>
      </c>
      <c r="E29" s="8" t="s">
        <v>11643</v>
      </c>
      <c r="F29" s="8" t="s">
        <v>11644</v>
      </c>
      <c r="G29" s="8" t="s">
        <v>11645</v>
      </c>
      <c r="H29" s="8" t="s">
        <v>11646</v>
      </c>
      <c r="I29" s="8" t="s">
        <v>11647</v>
      </c>
      <c r="J29" s="8" t="s">
        <v>11648</v>
      </c>
      <c r="K29" s="8" t="s">
        <v>11649</v>
      </c>
      <c r="L29" s="8" t="s">
        <v>11650</v>
      </c>
      <c r="M29" s="8" t="s">
        <v>11541</v>
      </c>
    </row>
    <row r="30" spans="1:13" ht="21.95" customHeight="1" x14ac:dyDescent="0.15">
      <c r="A30" s="7" t="s">
        <v>11819</v>
      </c>
      <c r="B30" s="7" t="s">
        <v>11820</v>
      </c>
      <c r="C30" s="7" t="s">
        <v>11820</v>
      </c>
      <c r="D30" s="7" t="s">
        <v>11820</v>
      </c>
      <c r="E30" s="7" t="s">
        <v>11820</v>
      </c>
      <c r="F30" s="7" t="s">
        <v>11820</v>
      </c>
      <c r="G30" s="7" t="s">
        <v>11820</v>
      </c>
      <c r="H30" s="7" t="s">
        <v>11820</v>
      </c>
      <c r="I30" s="7" t="s">
        <v>11820</v>
      </c>
      <c r="J30" s="7" t="s">
        <v>11820</v>
      </c>
      <c r="K30" s="7" t="s">
        <v>11820</v>
      </c>
      <c r="L30" s="7" t="s">
        <v>11820</v>
      </c>
      <c r="M30" s="7" t="s">
        <v>11820</v>
      </c>
    </row>
    <row r="31" spans="1:13" ht="8.1" customHeight="1" x14ac:dyDescent="0.15">
      <c r="A31" s="9"/>
      <c r="B31" s="10"/>
      <c r="C31" s="10"/>
      <c r="D31" s="10"/>
      <c r="E31" s="10"/>
      <c r="F31" s="10"/>
      <c r="G31" s="10"/>
      <c r="H31" s="10"/>
      <c r="I31" s="10"/>
      <c r="J31" s="10"/>
      <c r="K31" s="10"/>
      <c r="L31" s="10"/>
      <c r="M31" s="10"/>
    </row>
    <row r="33" spans="1:13" ht="27.95" customHeight="1" x14ac:dyDescent="0.15">
      <c r="A33" s="13" t="s">
        <v>12250</v>
      </c>
      <c r="B33" s="10"/>
      <c r="C33" s="10"/>
      <c r="D33" s="10"/>
      <c r="E33" s="10"/>
      <c r="F33" s="10"/>
      <c r="G33" s="10"/>
      <c r="H33" s="10"/>
      <c r="I33" s="10"/>
      <c r="J33" s="10"/>
      <c r="K33" s="10"/>
      <c r="L33" s="10"/>
      <c r="M33" s="10"/>
    </row>
    <row r="34" spans="1:13" ht="45" customHeight="1" x14ac:dyDescent="0.15">
      <c r="A34" s="12" t="s">
        <v>12251</v>
      </c>
      <c r="B34" s="10"/>
      <c r="C34" s="10"/>
      <c r="D34" s="10"/>
      <c r="E34" s="10"/>
      <c r="F34" s="10"/>
      <c r="G34" s="10"/>
      <c r="H34" s="10"/>
      <c r="I34" s="10"/>
      <c r="J34" s="10"/>
      <c r="K34" s="10"/>
      <c r="L34" s="10"/>
      <c r="M34" s="10"/>
    </row>
    <row r="35" spans="1:13" ht="15" x14ac:dyDescent="0.15">
      <c r="A35" s="6" t="s">
        <v>11329</v>
      </c>
      <c r="B35" s="6" t="s">
        <v>11330</v>
      </c>
      <c r="C35" s="6" t="s">
        <v>11331</v>
      </c>
      <c r="D35" s="6" t="s">
        <v>11332</v>
      </c>
      <c r="E35" s="6" t="s">
        <v>11333</v>
      </c>
      <c r="F35" s="6" t="s">
        <v>11334</v>
      </c>
      <c r="G35" s="6" t="s">
        <v>11335</v>
      </c>
      <c r="H35" s="6" t="s">
        <v>11336</v>
      </c>
      <c r="I35" s="6" t="s">
        <v>11337</v>
      </c>
      <c r="J35" s="6" t="s">
        <v>11338</v>
      </c>
      <c r="K35" s="6" t="s">
        <v>11339</v>
      </c>
      <c r="L35" s="6" t="s">
        <v>11340</v>
      </c>
      <c r="M35" s="6" t="s">
        <v>11341</v>
      </c>
    </row>
    <row r="36" spans="1:13" ht="21.95" customHeight="1" x14ac:dyDescent="0.15">
      <c r="A36" s="7" t="s">
        <v>11435</v>
      </c>
      <c r="B36" s="7" t="s">
        <v>11925</v>
      </c>
      <c r="C36" s="7" t="s">
        <v>11925</v>
      </c>
      <c r="D36" s="7" t="s">
        <v>11925</v>
      </c>
      <c r="E36" s="7" t="s">
        <v>11925</v>
      </c>
      <c r="F36" s="7" t="s">
        <v>11925</v>
      </c>
      <c r="G36" s="7" t="s">
        <v>11925</v>
      </c>
      <c r="H36" s="7" t="s">
        <v>11925</v>
      </c>
      <c r="I36" s="7" t="s">
        <v>11925</v>
      </c>
      <c r="J36" s="7" t="s">
        <v>11925</v>
      </c>
      <c r="K36" s="7" t="s">
        <v>11925</v>
      </c>
      <c r="L36" s="7" t="s">
        <v>11925</v>
      </c>
      <c r="M36" s="7" t="s">
        <v>11926</v>
      </c>
    </row>
    <row r="37" spans="1:13" ht="21.95" customHeight="1" x14ac:dyDescent="0.15">
      <c r="A37" s="8" t="s">
        <v>11416</v>
      </c>
      <c r="B37" s="8" t="s">
        <v>12076</v>
      </c>
      <c r="C37" s="8" t="s">
        <v>11412</v>
      </c>
      <c r="D37" s="8" t="s">
        <v>12031</v>
      </c>
      <c r="E37" s="8" t="s">
        <v>11474</v>
      </c>
      <c r="F37" s="8" t="s">
        <v>11842</v>
      </c>
      <c r="G37" s="8" t="s">
        <v>12252</v>
      </c>
      <c r="H37" s="8" t="s">
        <v>12127</v>
      </c>
      <c r="I37" s="8" t="s">
        <v>12253</v>
      </c>
      <c r="J37" s="8" t="s">
        <v>12206</v>
      </c>
      <c r="K37" s="8" t="s">
        <v>11903</v>
      </c>
      <c r="L37" s="8" t="s">
        <v>12254</v>
      </c>
      <c r="M37" s="8" t="s">
        <v>11828</v>
      </c>
    </row>
    <row r="38" spans="1:13" ht="21.95" customHeight="1" x14ac:dyDescent="0.15">
      <c r="A38" s="7" t="s">
        <v>11429</v>
      </c>
      <c r="B38" s="7" t="s">
        <v>11430</v>
      </c>
      <c r="C38" s="7" t="s">
        <v>11430</v>
      </c>
      <c r="D38" s="7" t="s">
        <v>11430</v>
      </c>
      <c r="E38" s="7" t="s">
        <v>11430</v>
      </c>
      <c r="F38" s="7" t="s">
        <v>11430</v>
      </c>
      <c r="G38" s="7" t="s">
        <v>11430</v>
      </c>
      <c r="H38" s="7" t="s">
        <v>11430</v>
      </c>
      <c r="I38" s="7" t="s">
        <v>11430</v>
      </c>
      <c r="J38" s="7" t="s">
        <v>11430</v>
      </c>
      <c r="K38" s="7" t="s">
        <v>11430</v>
      </c>
      <c r="L38" s="7" t="s">
        <v>11430</v>
      </c>
      <c r="M38" s="7" t="s">
        <v>11430</v>
      </c>
    </row>
    <row r="39" spans="1:13" ht="8.1" customHeight="1" x14ac:dyDescent="0.15">
      <c r="A39" s="9"/>
      <c r="B39" s="10"/>
      <c r="C39" s="10"/>
      <c r="D39" s="10"/>
      <c r="E39" s="10"/>
      <c r="F39" s="10"/>
      <c r="G39" s="10"/>
      <c r="H39" s="10"/>
      <c r="I39" s="10"/>
      <c r="J39" s="10"/>
      <c r="K39" s="10"/>
      <c r="L39" s="10"/>
      <c r="M39" s="10"/>
    </row>
  </sheetData>
  <sheetProtection password="CC26" sheet="1"/>
  <mergeCells count="13">
    <mergeCell ref="A39:M39"/>
    <mergeCell ref="A15:M15"/>
    <mergeCell ref="A24:M24"/>
    <mergeCell ref="A33:M33"/>
    <mergeCell ref="A14:M14"/>
    <mergeCell ref="A1:M1"/>
    <mergeCell ref="A23:M23"/>
    <mergeCell ref="A31:M31"/>
    <mergeCell ref="A34:M34"/>
    <mergeCell ref="A12:M12"/>
    <mergeCell ref="A4:M4"/>
    <mergeCell ref="A3:M3"/>
    <mergeCell ref="A21:M21"/>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20">
    <cfRule type="colorScale" priority="2">
      <colorScale>
        <cfvo type="min"/>
        <cfvo type="percentile" val="50"/>
        <cfvo type="max"/>
        <color rgb="FFFFC7CE"/>
        <color rgb="FFFFEB9C"/>
        <color rgb="FFC6EFCE"/>
      </colorScale>
    </cfRule>
  </conditionalFormatting>
  <conditionalFormatting sqref="B26:M30">
    <cfRule type="colorScale" priority="3">
      <colorScale>
        <cfvo type="min"/>
        <cfvo type="percentile" val="50"/>
        <cfvo type="max"/>
        <color rgb="FFFFC7CE"/>
        <color rgb="FFFFEB9C"/>
        <color rgb="FFC6EFCE"/>
      </colorScale>
    </cfRule>
  </conditionalFormatting>
  <conditionalFormatting sqref="B36:M38">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48"/>
  <sheetViews>
    <sheetView workbookViewId="0"/>
  </sheetViews>
  <sheetFormatPr defaultRowHeight="13.5" x14ac:dyDescent="0.15"/>
  <cols>
    <col min="1" max="1" width="32" customWidth="1"/>
    <col min="2" max="13" width="9" customWidth="1"/>
  </cols>
  <sheetData>
    <row r="1" spans="1:13" ht="35.1" customHeight="1" x14ac:dyDescent="0.15">
      <c r="A1" s="11" t="s">
        <v>12255</v>
      </c>
      <c r="B1" s="10"/>
      <c r="C1" s="10"/>
      <c r="D1" s="10"/>
      <c r="E1" s="10"/>
      <c r="F1" s="10"/>
      <c r="G1" s="10"/>
      <c r="H1" s="10"/>
      <c r="I1" s="10"/>
      <c r="J1" s="10"/>
      <c r="K1" s="10"/>
      <c r="L1" s="10"/>
      <c r="M1" s="10"/>
    </row>
    <row r="3" spans="1:13" ht="27.95" customHeight="1" x14ac:dyDescent="0.15">
      <c r="A3" s="13" t="s">
        <v>12256</v>
      </c>
      <c r="B3" s="10"/>
      <c r="C3" s="10"/>
      <c r="D3" s="10"/>
      <c r="E3" s="10"/>
      <c r="F3" s="10"/>
      <c r="G3" s="10"/>
      <c r="H3" s="10"/>
      <c r="I3" s="10"/>
      <c r="J3" s="10"/>
      <c r="K3" s="10"/>
      <c r="L3" s="10"/>
      <c r="M3" s="10"/>
    </row>
    <row r="4" spans="1:13" ht="45" customHeight="1" x14ac:dyDescent="0.15">
      <c r="A4" s="12" t="s">
        <v>11833</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11650</v>
      </c>
      <c r="C6" s="7" t="s">
        <v>11651</v>
      </c>
      <c r="D6" s="7" t="s">
        <v>11652</v>
      </c>
      <c r="E6" s="7" t="s">
        <v>11343</v>
      </c>
      <c r="F6" s="7" t="s">
        <v>11344</v>
      </c>
      <c r="G6" s="7" t="s">
        <v>11544</v>
      </c>
      <c r="H6" s="7" t="s">
        <v>11503</v>
      </c>
      <c r="I6" s="7" t="s">
        <v>11356</v>
      </c>
      <c r="J6" s="7" t="s">
        <v>11347</v>
      </c>
      <c r="K6" s="7" t="s">
        <v>11348</v>
      </c>
      <c r="L6" s="7" t="s">
        <v>11349</v>
      </c>
      <c r="M6" s="7" t="s">
        <v>11350</v>
      </c>
    </row>
    <row r="7" spans="1:13" ht="21.95" customHeight="1" x14ac:dyDescent="0.15">
      <c r="A7" s="8" t="s">
        <v>11355</v>
      </c>
      <c r="B7" s="8" t="s">
        <v>11642</v>
      </c>
      <c r="C7" s="8" t="s">
        <v>11643</v>
      </c>
      <c r="D7" s="8" t="s">
        <v>11644</v>
      </c>
      <c r="E7" s="8" t="s">
        <v>11645</v>
      </c>
      <c r="F7" s="8" t="s">
        <v>11646</v>
      </c>
      <c r="G7" s="8" t="s">
        <v>11647</v>
      </c>
      <c r="H7" s="8" t="s">
        <v>11648</v>
      </c>
      <c r="I7" s="8" t="s">
        <v>11649</v>
      </c>
      <c r="J7" s="8" t="s">
        <v>11650</v>
      </c>
      <c r="K7" s="8" t="s">
        <v>11651</v>
      </c>
      <c r="L7" s="8" t="s">
        <v>11652</v>
      </c>
      <c r="M7" s="8" t="s">
        <v>11343</v>
      </c>
    </row>
    <row r="8" spans="1:13" ht="21.95" customHeight="1" x14ac:dyDescent="0.15">
      <c r="A8" s="7" t="s">
        <v>11365</v>
      </c>
      <c r="B8" s="7" t="s">
        <v>11503</v>
      </c>
      <c r="C8" s="7" t="s">
        <v>11356</v>
      </c>
      <c r="D8" s="7" t="s">
        <v>11366</v>
      </c>
      <c r="E8" s="7" t="s">
        <v>11349</v>
      </c>
      <c r="F8" s="7" t="s">
        <v>11350</v>
      </c>
      <c r="G8" s="7" t="s">
        <v>11351</v>
      </c>
      <c r="H8" s="7" t="s">
        <v>11352</v>
      </c>
      <c r="I8" s="7" t="s">
        <v>11353</v>
      </c>
      <c r="J8" s="7" t="s">
        <v>11545</v>
      </c>
      <c r="K8" s="7" t="s">
        <v>11505</v>
      </c>
      <c r="L8" s="7" t="s">
        <v>11506</v>
      </c>
      <c r="M8" s="7" t="s">
        <v>11377</v>
      </c>
    </row>
    <row r="9" spans="1:13" ht="21.95" customHeight="1" x14ac:dyDescent="0.15">
      <c r="A9" s="8" t="s">
        <v>11374</v>
      </c>
      <c r="B9" s="8" t="s">
        <v>11503</v>
      </c>
      <c r="C9" s="8" t="s">
        <v>11356</v>
      </c>
      <c r="D9" s="8" t="s">
        <v>11366</v>
      </c>
      <c r="E9" s="8" t="s">
        <v>11349</v>
      </c>
      <c r="F9" s="8" t="s">
        <v>11350</v>
      </c>
      <c r="G9" s="8" t="s">
        <v>11351</v>
      </c>
      <c r="H9" s="8" t="s">
        <v>11352</v>
      </c>
      <c r="I9" s="8" t="s">
        <v>11353</v>
      </c>
      <c r="J9" s="8" t="s">
        <v>11545</v>
      </c>
      <c r="K9" s="8" t="s">
        <v>11505</v>
      </c>
      <c r="L9" s="8" t="s">
        <v>11506</v>
      </c>
      <c r="M9" s="8" t="s">
        <v>11377</v>
      </c>
    </row>
    <row r="10" spans="1:13" ht="21.95" customHeight="1" x14ac:dyDescent="0.15">
      <c r="A10" s="7" t="s">
        <v>11381</v>
      </c>
      <c r="B10" s="7" t="s">
        <v>11375</v>
      </c>
      <c r="C10" s="7" t="s">
        <v>11364</v>
      </c>
      <c r="D10" s="7" t="s">
        <v>11635</v>
      </c>
      <c r="E10" s="7" t="s">
        <v>11379</v>
      </c>
      <c r="F10" s="7" t="s">
        <v>11385</v>
      </c>
      <c r="G10" s="7" t="s">
        <v>11386</v>
      </c>
      <c r="H10" s="7" t="s">
        <v>11403</v>
      </c>
      <c r="I10" s="7" t="s">
        <v>11598</v>
      </c>
      <c r="J10" s="7" t="s">
        <v>11654</v>
      </c>
      <c r="K10" s="7" t="s">
        <v>11699</v>
      </c>
      <c r="L10" s="7" t="s">
        <v>11706</v>
      </c>
      <c r="M10" s="7" t="s">
        <v>11770</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12257</v>
      </c>
      <c r="B15" s="10"/>
      <c r="C15" s="10"/>
      <c r="D15" s="10"/>
      <c r="E15" s="10"/>
      <c r="F15" s="10"/>
      <c r="G15" s="10"/>
      <c r="H15" s="10"/>
      <c r="I15" s="10"/>
      <c r="J15" s="10"/>
      <c r="K15" s="10"/>
      <c r="L15" s="10"/>
      <c r="M15" s="10"/>
    </row>
    <row r="16" spans="1:13" ht="45" customHeight="1" x14ac:dyDescent="0.15">
      <c r="A16" s="12" t="s">
        <v>12258</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11416</v>
      </c>
      <c r="B18" s="7" t="s">
        <v>11825</v>
      </c>
      <c r="C18" s="7" t="s">
        <v>11826</v>
      </c>
      <c r="D18" s="7" t="s">
        <v>11827</v>
      </c>
      <c r="E18" s="7" t="s">
        <v>11718</v>
      </c>
      <c r="F18" s="7" t="s">
        <v>11425</v>
      </c>
      <c r="G18" s="7" t="s">
        <v>11426</v>
      </c>
      <c r="H18" s="7" t="s">
        <v>11453</v>
      </c>
      <c r="I18" s="7" t="s">
        <v>11828</v>
      </c>
      <c r="J18" s="7" t="s">
        <v>11723</v>
      </c>
      <c r="K18" s="7" t="s">
        <v>11829</v>
      </c>
      <c r="L18" s="7" t="s">
        <v>11622</v>
      </c>
      <c r="M18" s="7" t="s">
        <v>11830</v>
      </c>
    </row>
    <row r="19" spans="1:13" ht="21.95" customHeight="1" x14ac:dyDescent="0.15">
      <c r="A19" s="8" t="s">
        <v>12259</v>
      </c>
      <c r="B19" s="8" t="s">
        <v>11430</v>
      </c>
      <c r="C19" s="8" t="s">
        <v>11430</v>
      </c>
      <c r="D19" s="8" t="s">
        <v>11430</v>
      </c>
      <c r="E19" s="8" t="s">
        <v>11430</v>
      </c>
      <c r="F19" s="8" t="s">
        <v>11430</v>
      </c>
      <c r="G19" s="8" t="s">
        <v>11430</v>
      </c>
      <c r="H19" s="8" t="s">
        <v>11430</v>
      </c>
      <c r="I19" s="8" t="s">
        <v>11430</v>
      </c>
      <c r="J19" s="8" t="s">
        <v>11430</v>
      </c>
      <c r="K19" s="8" t="s">
        <v>11572</v>
      </c>
      <c r="L19" s="8" t="s">
        <v>11572</v>
      </c>
      <c r="M19" s="8" t="s">
        <v>11572</v>
      </c>
    </row>
    <row r="20" spans="1:13" ht="21.95" customHeight="1" x14ac:dyDescent="0.15">
      <c r="A20" s="7" t="s">
        <v>12260</v>
      </c>
      <c r="B20" s="7" t="s">
        <v>11532</v>
      </c>
      <c r="C20" s="7" t="s">
        <v>11532</v>
      </c>
      <c r="D20" s="7" t="s">
        <v>11532</v>
      </c>
      <c r="E20" s="7" t="s">
        <v>11532</v>
      </c>
      <c r="F20" s="7" t="s">
        <v>11532</v>
      </c>
      <c r="G20" s="7" t="s">
        <v>11532</v>
      </c>
      <c r="H20" s="7" t="s">
        <v>11532</v>
      </c>
      <c r="I20" s="7" t="s">
        <v>11532</v>
      </c>
      <c r="J20" s="7" t="s">
        <v>11532</v>
      </c>
      <c r="K20" s="7" t="s">
        <v>11459</v>
      </c>
      <c r="L20" s="7" t="s">
        <v>11459</v>
      </c>
      <c r="M20" s="7" t="s">
        <v>11459</v>
      </c>
    </row>
    <row r="21" spans="1:13" ht="21.95" customHeight="1" x14ac:dyDescent="0.15">
      <c r="A21" s="8" t="s">
        <v>12261</v>
      </c>
      <c r="B21" s="8" t="s">
        <v>11668</v>
      </c>
      <c r="C21" s="8" t="s">
        <v>11668</v>
      </c>
      <c r="D21" s="8" t="s">
        <v>11668</v>
      </c>
      <c r="E21" s="8" t="s">
        <v>11668</v>
      </c>
      <c r="F21" s="8" t="s">
        <v>11668</v>
      </c>
      <c r="G21" s="8" t="s">
        <v>11668</v>
      </c>
      <c r="H21" s="8" t="s">
        <v>11668</v>
      </c>
      <c r="I21" s="8" t="s">
        <v>11668</v>
      </c>
      <c r="J21" s="8" t="s">
        <v>11668</v>
      </c>
      <c r="K21" s="8" t="s">
        <v>11669</v>
      </c>
      <c r="L21" s="8" t="s">
        <v>11669</v>
      </c>
      <c r="M21" s="8" t="s">
        <v>11669</v>
      </c>
    </row>
    <row r="22" spans="1:13" ht="21.95" customHeight="1" x14ac:dyDescent="0.15">
      <c r="A22" s="7" t="s">
        <v>12262</v>
      </c>
      <c r="B22" s="7" t="s">
        <v>11670</v>
      </c>
      <c r="C22" s="7" t="s">
        <v>11670</v>
      </c>
      <c r="D22" s="7" t="s">
        <v>11670</v>
      </c>
      <c r="E22" s="7" t="s">
        <v>11670</v>
      </c>
      <c r="F22" s="7" t="s">
        <v>11670</v>
      </c>
      <c r="G22" s="7" t="s">
        <v>11670</v>
      </c>
      <c r="H22" s="7" t="s">
        <v>11670</v>
      </c>
      <c r="I22" s="7" t="s">
        <v>11670</v>
      </c>
      <c r="J22" s="7" t="s">
        <v>11670</v>
      </c>
      <c r="K22" s="7" t="s">
        <v>12263</v>
      </c>
      <c r="L22" s="7" t="s">
        <v>12263</v>
      </c>
      <c r="M22" s="7" t="s">
        <v>12263</v>
      </c>
    </row>
    <row r="23" spans="1:13" ht="21.95" customHeight="1" x14ac:dyDescent="0.15">
      <c r="A23" s="8" t="s">
        <v>11429</v>
      </c>
      <c r="B23" s="8" t="s">
        <v>11430</v>
      </c>
      <c r="C23" s="8" t="s">
        <v>11430</v>
      </c>
      <c r="D23" s="8" t="s">
        <v>11430</v>
      </c>
      <c r="E23" s="8" t="s">
        <v>11430</v>
      </c>
      <c r="F23" s="8" t="s">
        <v>11430</v>
      </c>
      <c r="G23" s="8" t="s">
        <v>11430</v>
      </c>
      <c r="H23" s="8" t="s">
        <v>11430</v>
      </c>
      <c r="I23" s="8" t="s">
        <v>11430</v>
      </c>
      <c r="J23" s="8" t="s">
        <v>11430</v>
      </c>
      <c r="K23" s="8" t="s">
        <v>11430</v>
      </c>
      <c r="L23" s="8" t="s">
        <v>11430</v>
      </c>
      <c r="M23" s="8" t="s">
        <v>11430</v>
      </c>
    </row>
    <row r="24" spans="1:13" ht="8.1" customHeight="1" x14ac:dyDescent="0.15">
      <c r="A24" s="9"/>
      <c r="B24" s="10"/>
      <c r="C24" s="10"/>
      <c r="D24" s="10"/>
      <c r="E24" s="10"/>
      <c r="F24" s="10"/>
      <c r="G24" s="10"/>
      <c r="H24" s="10"/>
      <c r="I24" s="10"/>
      <c r="J24" s="10"/>
      <c r="K24" s="10"/>
      <c r="L24" s="10"/>
      <c r="M24" s="10"/>
    </row>
    <row r="26" spans="1:13" ht="27.95" customHeight="1" x14ac:dyDescent="0.15">
      <c r="A26" s="13" t="s">
        <v>12264</v>
      </c>
      <c r="B26" s="10"/>
      <c r="C26" s="10"/>
      <c r="D26" s="10"/>
      <c r="E26" s="10"/>
      <c r="F26" s="10"/>
      <c r="G26" s="10"/>
      <c r="H26" s="10"/>
      <c r="I26" s="10"/>
      <c r="J26" s="10"/>
      <c r="K26" s="10"/>
      <c r="L26" s="10"/>
      <c r="M26" s="10"/>
    </row>
    <row r="27" spans="1:13" ht="45" customHeight="1" x14ac:dyDescent="0.15">
      <c r="A27" s="12" t="s">
        <v>12265</v>
      </c>
      <c r="B27" s="10"/>
      <c r="C27" s="10"/>
      <c r="D27" s="10"/>
      <c r="E27" s="10"/>
      <c r="F27" s="10"/>
      <c r="G27" s="10"/>
      <c r="H27" s="10"/>
      <c r="I27" s="10"/>
      <c r="J27" s="10"/>
      <c r="K27" s="10"/>
      <c r="L27" s="10"/>
      <c r="M27" s="10"/>
    </row>
    <row r="28" spans="1:13" ht="15" x14ac:dyDescent="0.15">
      <c r="A28" s="6" t="s">
        <v>11329</v>
      </c>
      <c r="B28" s="6" t="s">
        <v>11330</v>
      </c>
      <c r="C28" s="6" t="s">
        <v>11331</v>
      </c>
      <c r="D28" s="6" t="s">
        <v>11332</v>
      </c>
      <c r="E28" s="6" t="s">
        <v>11333</v>
      </c>
      <c r="F28" s="6" t="s">
        <v>11334</v>
      </c>
      <c r="G28" s="6" t="s">
        <v>11335</v>
      </c>
      <c r="H28" s="6" t="s">
        <v>11336</v>
      </c>
      <c r="I28" s="6" t="s">
        <v>11337</v>
      </c>
      <c r="J28" s="6" t="s">
        <v>11338</v>
      </c>
      <c r="K28" s="6" t="s">
        <v>11339</v>
      </c>
      <c r="L28" s="6" t="s">
        <v>11340</v>
      </c>
      <c r="M28" s="6" t="s">
        <v>11341</v>
      </c>
    </row>
    <row r="29" spans="1:13" ht="21.95" customHeight="1" x14ac:dyDescent="0.15">
      <c r="A29" s="7" t="s">
        <v>11433</v>
      </c>
      <c r="B29" s="7" t="s">
        <v>11728</v>
      </c>
      <c r="C29" s="7" t="s">
        <v>11728</v>
      </c>
      <c r="D29" s="7" t="s">
        <v>11728</v>
      </c>
      <c r="E29" s="7" t="s">
        <v>11728</v>
      </c>
      <c r="F29" s="7" t="s">
        <v>11728</v>
      </c>
      <c r="G29" s="7" t="s">
        <v>11728</v>
      </c>
      <c r="H29" s="7" t="s">
        <v>11728</v>
      </c>
      <c r="I29" s="7" t="s">
        <v>11728</v>
      </c>
      <c r="J29" s="7" t="s">
        <v>11728</v>
      </c>
      <c r="K29" s="7" t="s">
        <v>11728</v>
      </c>
      <c r="L29" s="7" t="s">
        <v>11728</v>
      </c>
      <c r="M29" s="7" t="s">
        <v>11728</v>
      </c>
    </row>
    <row r="30" spans="1:13" ht="21.95" customHeight="1" x14ac:dyDescent="0.15">
      <c r="A30" s="8" t="s">
        <v>11435</v>
      </c>
      <c r="B30" s="8" t="s">
        <v>11535</v>
      </c>
      <c r="C30" s="8" t="s">
        <v>11535</v>
      </c>
      <c r="D30" s="8" t="s">
        <v>11535</v>
      </c>
      <c r="E30" s="8" t="s">
        <v>11535</v>
      </c>
      <c r="F30" s="8" t="s">
        <v>11535</v>
      </c>
      <c r="G30" s="8" t="s">
        <v>11535</v>
      </c>
      <c r="H30" s="8" t="s">
        <v>11535</v>
      </c>
      <c r="I30" s="8" t="s">
        <v>11535</v>
      </c>
      <c r="J30" s="8" t="s">
        <v>11535</v>
      </c>
      <c r="K30" s="8" t="s">
        <v>11535</v>
      </c>
      <c r="L30" s="8" t="s">
        <v>11535</v>
      </c>
      <c r="M30" s="8" t="s">
        <v>11535</v>
      </c>
    </row>
    <row r="31" spans="1:13" ht="21.95" customHeight="1" x14ac:dyDescent="0.15">
      <c r="A31" s="7" t="s">
        <v>12116</v>
      </c>
      <c r="B31" s="7" t="s">
        <v>12266</v>
      </c>
      <c r="C31" s="7" t="s">
        <v>12012</v>
      </c>
      <c r="D31" s="7" t="s">
        <v>12267</v>
      </c>
      <c r="E31" s="7" t="s">
        <v>11626</v>
      </c>
      <c r="F31" s="7" t="s">
        <v>12268</v>
      </c>
      <c r="G31" s="7" t="s">
        <v>12269</v>
      </c>
      <c r="H31" s="7" t="s">
        <v>12270</v>
      </c>
      <c r="I31" s="7" t="s">
        <v>12271</v>
      </c>
      <c r="J31" s="7" t="s">
        <v>11628</v>
      </c>
      <c r="K31" s="7" t="s">
        <v>12272</v>
      </c>
      <c r="L31" s="7" t="s">
        <v>12273</v>
      </c>
      <c r="M31" s="7" t="s">
        <v>12274</v>
      </c>
    </row>
    <row r="32" spans="1:13" ht="21.95" customHeight="1" x14ac:dyDescent="0.15">
      <c r="A32" s="8" t="s">
        <v>12275</v>
      </c>
      <c r="B32" s="8" t="s">
        <v>11532</v>
      </c>
      <c r="C32" s="8" t="s">
        <v>11532</v>
      </c>
      <c r="D32" s="8" t="s">
        <v>11532</v>
      </c>
      <c r="E32" s="8" t="s">
        <v>11532</v>
      </c>
      <c r="F32" s="8" t="s">
        <v>11532</v>
      </c>
      <c r="G32" s="8" t="s">
        <v>11532</v>
      </c>
      <c r="H32" s="8" t="s">
        <v>11532</v>
      </c>
      <c r="I32" s="8" t="s">
        <v>11532</v>
      </c>
      <c r="J32" s="8" t="s">
        <v>11532</v>
      </c>
      <c r="K32" s="8" t="s">
        <v>11459</v>
      </c>
      <c r="L32" s="8" t="s">
        <v>11459</v>
      </c>
      <c r="M32" s="8" t="s">
        <v>11459</v>
      </c>
    </row>
    <row r="33" spans="1:13" ht="21.95" customHeight="1" x14ac:dyDescent="0.15">
      <c r="A33" s="7" t="s">
        <v>12276</v>
      </c>
      <c r="B33" s="7" t="s">
        <v>11820</v>
      </c>
      <c r="C33" s="7" t="s">
        <v>11820</v>
      </c>
      <c r="D33" s="7" t="s">
        <v>11820</v>
      </c>
      <c r="E33" s="7" t="s">
        <v>11820</v>
      </c>
      <c r="F33" s="7" t="s">
        <v>11820</v>
      </c>
      <c r="G33" s="7" t="s">
        <v>11820</v>
      </c>
      <c r="H33" s="7" t="s">
        <v>11820</v>
      </c>
      <c r="I33" s="7" t="s">
        <v>11820</v>
      </c>
      <c r="J33" s="7" t="s">
        <v>11820</v>
      </c>
      <c r="K33" s="7" t="s">
        <v>11572</v>
      </c>
      <c r="L33" s="7" t="s">
        <v>11572</v>
      </c>
      <c r="M33" s="7" t="s">
        <v>11572</v>
      </c>
    </row>
    <row r="34" spans="1:13" ht="21.95" customHeight="1" x14ac:dyDescent="0.15">
      <c r="A34" s="8" t="s">
        <v>12277</v>
      </c>
      <c r="B34" s="8" t="s">
        <v>11728</v>
      </c>
      <c r="C34" s="8" t="s">
        <v>11728</v>
      </c>
      <c r="D34" s="8" t="s">
        <v>11728</v>
      </c>
      <c r="E34" s="8" t="s">
        <v>11728</v>
      </c>
      <c r="F34" s="8" t="s">
        <v>11728</v>
      </c>
      <c r="G34" s="8" t="s">
        <v>11728</v>
      </c>
      <c r="H34" s="8" t="s">
        <v>11728</v>
      </c>
      <c r="I34" s="8" t="s">
        <v>11728</v>
      </c>
      <c r="J34" s="8" t="s">
        <v>11728</v>
      </c>
      <c r="K34" s="8" t="s">
        <v>11728</v>
      </c>
      <c r="L34" s="8" t="s">
        <v>11728</v>
      </c>
      <c r="M34" s="8" t="s">
        <v>11728</v>
      </c>
    </row>
    <row r="35" spans="1:13" ht="21.95" customHeight="1" x14ac:dyDescent="0.15">
      <c r="A35" s="7" t="s">
        <v>11429</v>
      </c>
      <c r="B35" s="7" t="s">
        <v>11532</v>
      </c>
      <c r="C35" s="7" t="s">
        <v>11532</v>
      </c>
      <c r="D35" s="7" t="s">
        <v>11532</v>
      </c>
      <c r="E35" s="7" t="s">
        <v>11532</v>
      </c>
      <c r="F35" s="7" t="s">
        <v>11532</v>
      </c>
      <c r="G35" s="7" t="s">
        <v>11532</v>
      </c>
      <c r="H35" s="7" t="s">
        <v>11532</v>
      </c>
      <c r="I35" s="7" t="s">
        <v>11532</v>
      </c>
      <c r="J35" s="7" t="s">
        <v>11532</v>
      </c>
      <c r="K35" s="7" t="s">
        <v>11532</v>
      </c>
      <c r="L35" s="7" t="s">
        <v>11532</v>
      </c>
      <c r="M35" s="7" t="s">
        <v>11532</v>
      </c>
    </row>
    <row r="36" spans="1:13" ht="8.1" customHeight="1" x14ac:dyDescent="0.15">
      <c r="A36" s="9"/>
      <c r="B36" s="10"/>
      <c r="C36" s="10"/>
      <c r="D36" s="10"/>
      <c r="E36" s="10"/>
      <c r="F36" s="10"/>
      <c r="G36" s="10"/>
      <c r="H36" s="10"/>
      <c r="I36" s="10"/>
      <c r="J36" s="10"/>
      <c r="K36" s="10"/>
      <c r="L36" s="10"/>
      <c r="M36" s="10"/>
    </row>
    <row r="38" spans="1:13" ht="27.95" customHeight="1" x14ac:dyDescent="0.15">
      <c r="A38" s="13" t="s">
        <v>12278</v>
      </c>
      <c r="B38" s="10"/>
      <c r="C38" s="10"/>
      <c r="D38" s="10"/>
      <c r="E38" s="10"/>
      <c r="F38" s="10"/>
      <c r="G38" s="10"/>
      <c r="H38" s="10"/>
      <c r="I38" s="10"/>
      <c r="J38" s="10"/>
      <c r="K38" s="10"/>
      <c r="L38" s="10"/>
      <c r="M38" s="10"/>
    </row>
    <row r="39" spans="1:13" ht="45" customHeight="1" x14ac:dyDescent="0.15">
      <c r="A39" s="12" t="s">
        <v>12279</v>
      </c>
      <c r="B39" s="10"/>
      <c r="C39" s="10"/>
      <c r="D39" s="10"/>
      <c r="E39" s="10"/>
      <c r="F39" s="10"/>
      <c r="G39" s="10"/>
      <c r="H39" s="10"/>
      <c r="I39" s="10"/>
      <c r="J39" s="10"/>
      <c r="K39" s="10"/>
      <c r="L39" s="10"/>
      <c r="M39" s="10"/>
    </row>
    <row r="40" spans="1:13" ht="15" x14ac:dyDescent="0.15">
      <c r="A40" s="6" t="s">
        <v>11329</v>
      </c>
      <c r="B40" s="6" t="s">
        <v>11330</v>
      </c>
      <c r="C40" s="6" t="s">
        <v>11331</v>
      </c>
      <c r="D40" s="6" t="s">
        <v>11332</v>
      </c>
      <c r="E40" s="6" t="s">
        <v>11333</v>
      </c>
      <c r="F40" s="6" t="s">
        <v>11334</v>
      </c>
      <c r="G40" s="6" t="s">
        <v>11335</v>
      </c>
      <c r="H40" s="6" t="s">
        <v>11336</v>
      </c>
      <c r="I40" s="6" t="s">
        <v>11337</v>
      </c>
      <c r="J40" s="6" t="s">
        <v>11338</v>
      </c>
      <c r="K40" s="6" t="s">
        <v>11339</v>
      </c>
      <c r="L40" s="6" t="s">
        <v>11340</v>
      </c>
      <c r="M40" s="6" t="s">
        <v>11341</v>
      </c>
    </row>
    <row r="41" spans="1:13" ht="21.95" customHeight="1" x14ac:dyDescent="0.15">
      <c r="A41" s="7" t="s">
        <v>11435</v>
      </c>
      <c r="B41" s="7" t="s">
        <v>12058</v>
      </c>
      <c r="C41" s="7" t="s">
        <v>12058</v>
      </c>
      <c r="D41" s="7" t="s">
        <v>12058</v>
      </c>
      <c r="E41" s="7" t="s">
        <v>12058</v>
      </c>
      <c r="F41" s="7" t="s">
        <v>12058</v>
      </c>
      <c r="G41" s="7" t="s">
        <v>12058</v>
      </c>
      <c r="H41" s="7" t="s">
        <v>12058</v>
      </c>
      <c r="I41" s="7" t="s">
        <v>12058</v>
      </c>
      <c r="J41" s="7" t="s">
        <v>12058</v>
      </c>
      <c r="K41" s="7" t="s">
        <v>12058</v>
      </c>
      <c r="L41" s="7" t="s">
        <v>12058</v>
      </c>
      <c r="M41" s="7" t="s">
        <v>11823</v>
      </c>
    </row>
    <row r="42" spans="1:13" ht="21.95" customHeight="1" x14ac:dyDescent="0.15">
      <c r="A42" s="8" t="s">
        <v>11416</v>
      </c>
      <c r="B42" s="8" t="s">
        <v>11612</v>
      </c>
      <c r="C42" s="8" t="s">
        <v>11709</v>
      </c>
      <c r="D42" s="8" t="s">
        <v>11911</v>
      </c>
      <c r="E42" s="8" t="s">
        <v>11713</v>
      </c>
      <c r="F42" s="8" t="s">
        <v>11419</v>
      </c>
      <c r="G42" s="8" t="s">
        <v>11825</v>
      </c>
      <c r="H42" s="8" t="s">
        <v>11475</v>
      </c>
      <c r="I42" s="8" t="s">
        <v>12252</v>
      </c>
      <c r="J42" s="8" t="s">
        <v>11827</v>
      </c>
      <c r="K42" s="8" t="s">
        <v>12253</v>
      </c>
      <c r="L42" s="8" t="s">
        <v>11719</v>
      </c>
      <c r="M42" s="8" t="s">
        <v>11426</v>
      </c>
    </row>
    <row r="43" spans="1:13" ht="21.95" customHeight="1" x14ac:dyDescent="0.15">
      <c r="A43" s="7" t="s">
        <v>12280</v>
      </c>
      <c r="B43" s="7" t="s">
        <v>11642</v>
      </c>
      <c r="C43" s="7" t="s">
        <v>11642</v>
      </c>
      <c r="D43" s="7" t="s">
        <v>11642</v>
      </c>
      <c r="E43" s="7" t="s">
        <v>11642</v>
      </c>
      <c r="F43" s="7" t="s">
        <v>11642</v>
      </c>
      <c r="G43" s="7" t="s">
        <v>11642</v>
      </c>
      <c r="H43" s="7" t="s">
        <v>11642</v>
      </c>
      <c r="I43" s="7" t="s">
        <v>11642</v>
      </c>
      <c r="J43" s="7" t="s">
        <v>11642</v>
      </c>
      <c r="K43" s="7" t="s">
        <v>11642</v>
      </c>
      <c r="L43" s="7" t="s">
        <v>11642</v>
      </c>
      <c r="M43" s="7" t="s">
        <v>11642</v>
      </c>
    </row>
    <row r="44" spans="1:13" ht="21.95" customHeight="1" x14ac:dyDescent="0.15">
      <c r="A44" s="8" t="s">
        <v>12281</v>
      </c>
      <c r="B44" s="8" t="s">
        <v>11475</v>
      </c>
      <c r="C44" s="8" t="s">
        <v>12025</v>
      </c>
      <c r="D44" s="8" t="s">
        <v>12095</v>
      </c>
      <c r="E44" s="8" t="s">
        <v>11719</v>
      </c>
      <c r="F44" s="8" t="s">
        <v>11689</v>
      </c>
      <c r="G44" s="8" t="s">
        <v>11453</v>
      </c>
      <c r="H44" s="8" t="s">
        <v>12037</v>
      </c>
      <c r="I44" s="8" t="s">
        <v>12282</v>
      </c>
      <c r="J44" s="8" t="s">
        <v>12060</v>
      </c>
      <c r="K44" s="8" t="s">
        <v>12283</v>
      </c>
      <c r="L44" s="8" t="s">
        <v>12284</v>
      </c>
      <c r="M44" s="8" t="s">
        <v>11391</v>
      </c>
    </row>
    <row r="45" spans="1:13" ht="21.95" customHeight="1" x14ac:dyDescent="0.15">
      <c r="A45" s="7" t="s">
        <v>12285</v>
      </c>
      <c r="B45" s="7" t="s">
        <v>11430</v>
      </c>
      <c r="C45" s="7" t="s">
        <v>11430</v>
      </c>
      <c r="D45" s="7" t="s">
        <v>11430</v>
      </c>
      <c r="E45" s="7" t="s">
        <v>11430</v>
      </c>
      <c r="F45" s="7" t="s">
        <v>11430</v>
      </c>
      <c r="G45" s="7" t="s">
        <v>11820</v>
      </c>
      <c r="H45" s="7" t="s">
        <v>11820</v>
      </c>
      <c r="I45" s="7" t="s">
        <v>11820</v>
      </c>
      <c r="J45" s="7" t="s">
        <v>11820</v>
      </c>
      <c r="K45" s="7" t="s">
        <v>12286</v>
      </c>
      <c r="L45" s="7" t="s">
        <v>12286</v>
      </c>
      <c r="M45" s="7" t="s">
        <v>11572</v>
      </c>
    </row>
    <row r="46" spans="1:13" ht="21.95" customHeight="1" x14ac:dyDescent="0.15">
      <c r="A46" s="8" t="s">
        <v>12287</v>
      </c>
      <c r="B46" s="8" t="s">
        <v>11430</v>
      </c>
      <c r="C46" s="8" t="s">
        <v>11430</v>
      </c>
      <c r="D46" s="8" t="s">
        <v>11430</v>
      </c>
      <c r="E46" s="8" t="s">
        <v>11430</v>
      </c>
      <c r="F46" s="8" t="s">
        <v>11430</v>
      </c>
      <c r="G46" s="8" t="s">
        <v>11430</v>
      </c>
      <c r="H46" s="8" t="s">
        <v>11430</v>
      </c>
      <c r="I46" s="8" t="s">
        <v>11430</v>
      </c>
      <c r="J46" s="8" t="s">
        <v>11430</v>
      </c>
      <c r="K46" s="8" t="s">
        <v>11430</v>
      </c>
      <c r="L46" s="8" t="s">
        <v>11430</v>
      </c>
      <c r="M46" s="8" t="s">
        <v>11430</v>
      </c>
    </row>
    <row r="47" spans="1:13" ht="21.95" customHeight="1" x14ac:dyDescent="0.15">
      <c r="A47" s="7" t="s">
        <v>11429</v>
      </c>
      <c r="B47" s="7" t="s">
        <v>11430</v>
      </c>
      <c r="C47" s="7" t="s">
        <v>11430</v>
      </c>
      <c r="D47" s="7" t="s">
        <v>11430</v>
      </c>
      <c r="E47" s="7" t="s">
        <v>11430</v>
      </c>
      <c r="F47" s="7" t="s">
        <v>11430</v>
      </c>
      <c r="G47" s="7" t="s">
        <v>11430</v>
      </c>
      <c r="H47" s="7" t="s">
        <v>11430</v>
      </c>
      <c r="I47" s="7" t="s">
        <v>11430</v>
      </c>
      <c r="J47" s="7" t="s">
        <v>11430</v>
      </c>
      <c r="K47" s="7" t="s">
        <v>11430</v>
      </c>
      <c r="L47" s="7" t="s">
        <v>11430</v>
      </c>
      <c r="M47" s="7" t="s">
        <v>11430</v>
      </c>
    </row>
    <row r="48" spans="1:13" ht="8.1" customHeight="1" x14ac:dyDescent="0.15">
      <c r="A48" s="9"/>
      <c r="B48" s="10"/>
      <c r="C48" s="10"/>
      <c r="D48" s="10"/>
      <c r="E48" s="10"/>
      <c r="F48" s="10"/>
      <c r="G48" s="10"/>
      <c r="H48" s="10"/>
      <c r="I48" s="10"/>
      <c r="J48" s="10"/>
      <c r="K48" s="10"/>
      <c r="L48" s="10"/>
      <c r="M48" s="10"/>
    </row>
  </sheetData>
  <sheetProtection password="CC26" sheet="1"/>
  <mergeCells count="13">
    <mergeCell ref="A48:M48"/>
    <mergeCell ref="A3:M3"/>
    <mergeCell ref="A26:M26"/>
    <mergeCell ref="A39:M39"/>
    <mergeCell ref="A15:M15"/>
    <mergeCell ref="A24:M24"/>
    <mergeCell ref="A16:M16"/>
    <mergeCell ref="A13:M13"/>
    <mergeCell ref="A36:M36"/>
    <mergeCell ref="A38:M38"/>
    <mergeCell ref="A1:M1"/>
    <mergeCell ref="A27:M27"/>
    <mergeCell ref="A4:M4"/>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23">
    <cfRule type="colorScale" priority="2">
      <colorScale>
        <cfvo type="min"/>
        <cfvo type="percentile" val="50"/>
        <cfvo type="max"/>
        <color rgb="FFFFC7CE"/>
        <color rgb="FFFFEB9C"/>
        <color rgb="FFC6EFCE"/>
      </colorScale>
    </cfRule>
  </conditionalFormatting>
  <conditionalFormatting sqref="B29:M35">
    <cfRule type="colorScale" priority="3">
      <colorScale>
        <cfvo type="min"/>
        <cfvo type="percentile" val="50"/>
        <cfvo type="max"/>
        <color rgb="FFFFC7CE"/>
        <color rgb="FFFFEB9C"/>
        <color rgb="FFC6EFCE"/>
      </colorScale>
    </cfRule>
  </conditionalFormatting>
  <conditionalFormatting sqref="B41:M47">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41"/>
  <sheetViews>
    <sheetView workbookViewId="0"/>
  </sheetViews>
  <sheetFormatPr defaultRowHeight="13.5" x14ac:dyDescent="0.15"/>
  <cols>
    <col min="1" max="1" width="32" customWidth="1"/>
    <col min="2" max="13" width="9" customWidth="1"/>
  </cols>
  <sheetData>
    <row r="1" spans="1:13" ht="35.1" customHeight="1" x14ac:dyDescent="0.15">
      <c r="A1" s="11" t="s">
        <v>12288</v>
      </c>
      <c r="B1" s="10"/>
      <c r="C1" s="10"/>
      <c r="D1" s="10"/>
      <c r="E1" s="10"/>
      <c r="F1" s="10"/>
      <c r="G1" s="10"/>
      <c r="H1" s="10"/>
      <c r="I1" s="10"/>
      <c r="J1" s="10"/>
      <c r="K1" s="10"/>
      <c r="L1" s="10"/>
      <c r="M1" s="10"/>
    </row>
    <row r="3" spans="1:13" ht="27.95" customHeight="1" x14ac:dyDescent="0.15">
      <c r="A3" s="13" t="s">
        <v>12289</v>
      </c>
      <c r="B3" s="10"/>
      <c r="C3" s="10"/>
      <c r="D3" s="10"/>
      <c r="E3" s="10"/>
      <c r="F3" s="10"/>
      <c r="G3" s="10"/>
      <c r="H3" s="10"/>
      <c r="I3" s="10"/>
      <c r="J3" s="10"/>
      <c r="K3" s="10"/>
      <c r="L3" s="10"/>
      <c r="M3" s="10"/>
    </row>
    <row r="4" spans="1:13" ht="45" customHeight="1" x14ac:dyDescent="0.15">
      <c r="A4" s="12" t="s">
        <v>12290</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11356</v>
      </c>
      <c r="C6" s="7" t="s">
        <v>11366</v>
      </c>
      <c r="D6" s="7" t="s">
        <v>11349</v>
      </c>
      <c r="E6" s="7" t="s">
        <v>11350</v>
      </c>
      <c r="F6" s="7" t="s">
        <v>11367</v>
      </c>
      <c r="G6" s="7" t="s">
        <v>11368</v>
      </c>
      <c r="H6" s="7" t="s">
        <v>11369</v>
      </c>
      <c r="I6" s="7" t="s">
        <v>11354</v>
      </c>
      <c r="J6" s="7" t="s">
        <v>11370</v>
      </c>
      <c r="K6" s="7" t="s">
        <v>11371</v>
      </c>
      <c r="L6" s="7" t="s">
        <v>11377</v>
      </c>
      <c r="M6" s="7" t="s">
        <v>11373</v>
      </c>
    </row>
    <row r="7" spans="1:13" ht="21.95" customHeight="1" x14ac:dyDescent="0.15">
      <c r="A7" s="8" t="s">
        <v>11355</v>
      </c>
      <c r="B7" s="8" t="s">
        <v>11382</v>
      </c>
      <c r="C7" s="8" t="s">
        <v>11352</v>
      </c>
      <c r="D7" s="8" t="s">
        <v>11369</v>
      </c>
      <c r="E7" s="8" t="s">
        <v>11362</v>
      </c>
      <c r="F7" s="8" t="s">
        <v>11363</v>
      </c>
      <c r="G7" s="8" t="s">
        <v>11383</v>
      </c>
      <c r="H7" s="8" t="s">
        <v>11384</v>
      </c>
      <c r="I7" s="8" t="s">
        <v>11373</v>
      </c>
      <c r="J7" s="8" t="s">
        <v>11379</v>
      </c>
      <c r="K7" s="8" t="s">
        <v>11385</v>
      </c>
      <c r="L7" s="8" t="s">
        <v>11386</v>
      </c>
      <c r="M7" s="8" t="s">
        <v>11387</v>
      </c>
    </row>
    <row r="8" spans="1:13" ht="21.95" customHeight="1" x14ac:dyDescent="0.15">
      <c r="A8" s="7" t="s">
        <v>11365</v>
      </c>
      <c r="B8" s="7" t="s">
        <v>11505</v>
      </c>
      <c r="C8" s="7" t="s">
        <v>11371</v>
      </c>
      <c r="D8" s="7" t="s">
        <v>11372</v>
      </c>
      <c r="E8" s="7" t="s">
        <v>11373</v>
      </c>
      <c r="F8" s="7" t="s">
        <v>11602</v>
      </c>
      <c r="G8" s="7" t="s">
        <v>11510</v>
      </c>
      <c r="H8" s="7" t="s">
        <v>11508</v>
      </c>
      <c r="I8" s="7" t="s">
        <v>11597</v>
      </c>
      <c r="J8" s="7" t="s">
        <v>11603</v>
      </c>
      <c r="K8" s="7" t="s">
        <v>11604</v>
      </c>
      <c r="L8" s="7" t="s">
        <v>11513</v>
      </c>
      <c r="M8" s="7" t="s">
        <v>12291</v>
      </c>
    </row>
    <row r="9" spans="1:13" ht="21.95" customHeight="1" x14ac:dyDescent="0.15">
      <c r="A9" s="8" t="s">
        <v>11374</v>
      </c>
      <c r="B9" s="8" t="s">
        <v>11375</v>
      </c>
      <c r="C9" s="8" t="s">
        <v>11364</v>
      </c>
      <c r="D9" s="8" t="s">
        <v>11635</v>
      </c>
      <c r="E9" s="8" t="s">
        <v>11379</v>
      </c>
      <c r="F9" s="8" t="s">
        <v>11385</v>
      </c>
      <c r="G9" s="8" t="s">
        <v>11386</v>
      </c>
      <c r="H9" s="8" t="s">
        <v>11403</v>
      </c>
      <c r="I9" s="8" t="s">
        <v>11598</v>
      </c>
      <c r="J9" s="8" t="s">
        <v>11654</v>
      </c>
      <c r="K9" s="8" t="s">
        <v>11699</v>
      </c>
      <c r="L9" s="8" t="s">
        <v>11706</v>
      </c>
      <c r="M9" s="8" t="s">
        <v>11770</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12292</v>
      </c>
      <c r="B14" s="10"/>
      <c r="C14" s="10"/>
      <c r="D14" s="10"/>
      <c r="E14" s="10"/>
      <c r="F14" s="10"/>
      <c r="G14" s="10"/>
      <c r="H14" s="10"/>
      <c r="I14" s="10"/>
      <c r="J14" s="10"/>
      <c r="K14" s="10"/>
      <c r="L14" s="10"/>
      <c r="M14" s="10"/>
    </row>
    <row r="15" spans="1:13" ht="45" customHeight="1" x14ac:dyDescent="0.15">
      <c r="A15" s="12" t="s">
        <v>12293</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11416</v>
      </c>
      <c r="B17" s="7" t="s">
        <v>12075</v>
      </c>
      <c r="C17" s="7" t="s">
        <v>11417</v>
      </c>
      <c r="D17" s="7" t="s">
        <v>11418</v>
      </c>
      <c r="E17" s="7" t="s">
        <v>12048</v>
      </c>
      <c r="F17" s="7" t="s">
        <v>12125</v>
      </c>
      <c r="G17" s="7" t="s">
        <v>11475</v>
      </c>
      <c r="H17" s="7" t="s">
        <v>12126</v>
      </c>
      <c r="I17" s="7" t="s">
        <v>12127</v>
      </c>
      <c r="J17" s="7" t="s">
        <v>12095</v>
      </c>
      <c r="K17" s="7" t="s">
        <v>12128</v>
      </c>
      <c r="L17" s="7" t="s">
        <v>11720</v>
      </c>
      <c r="M17" s="7" t="s">
        <v>11453</v>
      </c>
    </row>
    <row r="18" spans="1:13" ht="21.95" customHeight="1" x14ac:dyDescent="0.15">
      <c r="A18" s="8" t="s">
        <v>11429</v>
      </c>
      <c r="B18" s="8" t="s">
        <v>11430</v>
      </c>
      <c r="C18" s="8" t="s">
        <v>11430</v>
      </c>
      <c r="D18" s="8" t="s">
        <v>11430</v>
      </c>
      <c r="E18" s="8" t="s">
        <v>11430</v>
      </c>
      <c r="F18" s="8" t="s">
        <v>11430</v>
      </c>
      <c r="G18" s="8" t="s">
        <v>11430</v>
      </c>
      <c r="H18" s="8" t="s">
        <v>11430</v>
      </c>
      <c r="I18" s="8" t="s">
        <v>11430</v>
      </c>
      <c r="J18" s="8" t="s">
        <v>11430</v>
      </c>
      <c r="K18" s="8" t="s">
        <v>11430</v>
      </c>
      <c r="L18" s="8" t="s">
        <v>11430</v>
      </c>
      <c r="M18" s="8" t="s">
        <v>11430</v>
      </c>
    </row>
    <row r="19" spans="1:13" ht="21.95" customHeight="1" x14ac:dyDescent="0.15">
      <c r="A19" s="7" t="s">
        <v>12294</v>
      </c>
      <c r="B19" s="7" t="s">
        <v>11644</v>
      </c>
      <c r="C19" s="7" t="s">
        <v>11644</v>
      </c>
      <c r="D19" s="7" t="s">
        <v>11644</v>
      </c>
      <c r="E19" s="7" t="s">
        <v>11645</v>
      </c>
      <c r="F19" s="7" t="s">
        <v>11645</v>
      </c>
      <c r="G19" s="7" t="s">
        <v>11645</v>
      </c>
      <c r="H19" s="7" t="s">
        <v>11646</v>
      </c>
      <c r="I19" s="7" t="s">
        <v>11646</v>
      </c>
      <c r="J19" s="7" t="s">
        <v>11648</v>
      </c>
      <c r="K19" s="7" t="s">
        <v>11649</v>
      </c>
      <c r="L19" s="7" t="s">
        <v>11650</v>
      </c>
      <c r="M19" s="7" t="s">
        <v>11541</v>
      </c>
    </row>
    <row r="20" spans="1:13" ht="21.95" customHeight="1" x14ac:dyDescent="0.15">
      <c r="A20" s="8" t="s">
        <v>12295</v>
      </c>
      <c r="B20" s="8" t="s">
        <v>11668</v>
      </c>
      <c r="C20" s="8" t="s">
        <v>11668</v>
      </c>
      <c r="D20" s="8" t="s">
        <v>11668</v>
      </c>
      <c r="E20" s="8" t="s">
        <v>11668</v>
      </c>
      <c r="F20" s="8" t="s">
        <v>11668</v>
      </c>
      <c r="G20" s="8" t="s">
        <v>11668</v>
      </c>
      <c r="H20" s="8" t="s">
        <v>11668</v>
      </c>
      <c r="I20" s="8" t="s">
        <v>11668</v>
      </c>
      <c r="J20" s="8" t="s">
        <v>11668</v>
      </c>
      <c r="K20" s="8" t="s">
        <v>11668</v>
      </c>
      <c r="L20" s="8" t="s">
        <v>11668</v>
      </c>
      <c r="M20" s="8" t="s">
        <v>11668</v>
      </c>
    </row>
    <row r="21" spans="1:13" ht="8.1" customHeight="1" x14ac:dyDescent="0.15">
      <c r="A21" s="9"/>
      <c r="B21" s="10"/>
      <c r="C21" s="10"/>
      <c r="D21" s="10"/>
      <c r="E21" s="10"/>
      <c r="F21" s="10"/>
      <c r="G21" s="10"/>
      <c r="H21" s="10"/>
      <c r="I21" s="10"/>
      <c r="J21" s="10"/>
      <c r="K21" s="10"/>
      <c r="L21" s="10"/>
      <c r="M21" s="10"/>
    </row>
    <row r="23" spans="1:13" ht="27.95" customHeight="1" x14ac:dyDescent="0.15">
      <c r="A23" s="13" t="s">
        <v>12296</v>
      </c>
      <c r="B23" s="10"/>
      <c r="C23" s="10"/>
      <c r="D23" s="10"/>
      <c r="E23" s="10"/>
      <c r="F23" s="10"/>
      <c r="G23" s="10"/>
      <c r="H23" s="10"/>
      <c r="I23" s="10"/>
      <c r="J23" s="10"/>
      <c r="K23" s="10"/>
      <c r="L23" s="10"/>
      <c r="M23" s="10"/>
    </row>
    <row r="24" spans="1:13" ht="45" customHeight="1" x14ac:dyDescent="0.15">
      <c r="A24" s="12" t="s">
        <v>12297</v>
      </c>
      <c r="B24" s="10"/>
      <c r="C24" s="10"/>
      <c r="D24" s="10"/>
      <c r="E24" s="10"/>
      <c r="F24" s="10"/>
      <c r="G24" s="10"/>
      <c r="H24" s="10"/>
      <c r="I24" s="10"/>
      <c r="J24" s="10"/>
      <c r="K24" s="10"/>
      <c r="L24" s="10"/>
      <c r="M24" s="10"/>
    </row>
    <row r="25" spans="1:13" ht="15" x14ac:dyDescent="0.15">
      <c r="A25" s="6" t="s">
        <v>11329</v>
      </c>
      <c r="B25" s="6" t="s">
        <v>11330</v>
      </c>
      <c r="C25" s="6" t="s">
        <v>11331</v>
      </c>
      <c r="D25" s="6" t="s">
        <v>11332</v>
      </c>
      <c r="E25" s="6" t="s">
        <v>11333</v>
      </c>
      <c r="F25" s="6" t="s">
        <v>11334</v>
      </c>
      <c r="G25" s="6" t="s">
        <v>11335</v>
      </c>
      <c r="H25" s="6" t="s">
        <v>11336</v>
      </c>
      <c r="I25" s="6" t="s">
        <v>11337</v>
      </c>
      <c r="J25" s="6" t="s">
        <v>11338</v>
      </c>
      <c r="K25" s="6" t="s">
        <v>11339</v>
      </c>
      <c r="L25" s="6" t="s">
        <v>11340</v>
      </c>
      <c r="M25" s="6" t="s">
        <v>11341</v>
      </c>
    </row>
    <row r="26" spans="1:13" ht="21.95" customHeight="1" x14ac:dyDescent="0.15">
      <c r="A26" s="7" t="s">
        <v>11433</v>
      </c>
      <c r="B26" s="7" t="s">
        <v>11633</v>
      </c>
      <c r="C26" s="7" t="s">
        <v>11633</v>
      </c>
      <c r="D26" s="7" t="s">
        <v>11633</v>
      </c>
      <c r="E26" s="7" t="s">
        <v>11633</v>
      </c>
      <c r="F26" s="7" t="s">
        <v>11633</v>
      </c>
      <c r="G26" s="7" t="s">
        <v>11633</v>
      </c>
      <c r="H26" s="7" t="s">
        <v>11633</v>
      </c>
      <c r="I26" s="7" t="s">
        <v>11633</v>
      </c>
      <c r="J26" s="7" t="s">
        <v>11633</v>
      </c>
      <c r="K26" s="7" t="s">
        <v>11633</v>
      </c>
      <c r="L26" s="7" t="s">
        <v>11633</v>
      </c>
      <c r="M26" s="7" t="s">
        <v>11633</v>
      </c>
    </row>
    <row r="27" spans="1:13" ht="21.95" customHeight="1" x14ac:dyDescent="0.15">
      <c r="A27" s="8" t="s">
        <v>11435</v>
      </c>
      <c r="B27" s="8" t="s">
        <v>11466</v>
      </c>
      <c r="C27" s="8" t="s">
        <v>11466</v>
      </c>
      <c r="D27" s="8" t="s">
        <v>11466</v>
      </c>
      <c r="E27" s="8" t="s">
        <v>11466</v>
      </c>
      <c r="F27" s="8" t="s">
        <v>11466</v>
      </c>
      <c r="G27" s="8" t="s">
        <v>11466</v>
      </c>
      <c r="H27" s="8" t="s">
        <v>11466</v>
      </c>
      <c r="I27" s="8" t="s">
        <v>11466</v>
      </c>
      <c r="J27" s="8" t="s">
        <v>11466</v>
      </c>
      <c r="K27" s="8" t="s">
        <v>11466</v>
      </c>
      <c r="L27" s="8" t="s">
        <v>11466</v>
      </c>
      <c r="M27" s="8" t="s">
        <v>11466</v>
      </c>
    </row>
    <row r="28" spans="1:13" ht="21.95" customHeight="1" x14ac:dyDescent="0.15">
      <c r="A28" s="7" t="s">
        <v>11416</v>
      </c>
      <c r="B28" s="7" t="s">
        <v>11509</v>
      </c>
      <c r="C28" s="7" t="s">
        <v>11570</v>
      </c>
      <c r="D28" s="7" t="s">
        <v>11403</v>
      </c>
      <c r="E28" s="7" t="s">
        <v>11603</v>
      </c>
      <c r="F28" s="7" t="s">
        <v>11697</v>
      </c>
      <c r="G28" s="7" t="s">
        <v>11910</v>
      </c>
      <c r="H28" s="7" t="s">
        <v>11514</v>
      </c>
      <c r="I28" s="7" t="s">
        <v>11601</v>
      </c>
      <c r="J28" s="7" t="s">
        <v>11589</v>
      </c>
      <c r="K28" s="7" t="s">
        <v>12298</v>
      </c>
      <c r="L28" s="7" t="s">
        <v>11609</v>
      </c>
      <c r="M28" s="7" t="s">
        <v>11877</v>
      </c>
    </row>
    <row r="29" spans="1:13" ht="21.95" customHeight="1" x14ac:dyDescent="0.15">
      <c r="A29" s="8" t="s">
        <v>11429</v>
      </c>
      <c r="B29" s="8" t="s">
        <v>11561</v>
      </c>
      <c r="C29" s="8" t="s">
        <v>11561</v>
      </c>
      <c r="D29" s="8" t="s">
        <v>11561</v>
      </c>
      <c r="E29" s="8" t="s">
        <v>11561</v>
      </c>
      <c r="F29" s="8" t="s">
        <v>11561</v>
      </c>
      <c r="G29" s="8" t="s">
        <v>11561</v>
      </c>
      <c r="H29" s="8" t="s">
        <v>11561</v>
      </c>
      <c r="I29" s="8" t="s">
        <v>11561</v>
      </c>
      <c r="J29" s="8" t="s">
        <v>11561</v>
      </c>
      <c r="K29" s="8" t="s">
        <v>11972</v>
      </c>
      <c r="L29" s="8" t="s">
        <v>11972</v>
      </c>
      <c r="M29" s="8" t="s">
        <v>11972</v>
      </c>
    </row>
    <row r="30" spans="1:13" ht="21.95" customHeight="1" x14ac:dyDescent="0.15">
      <c r="A30" s="7" t="s">
        <v>11819</v>
      </c>
      <c r="B30" s="7" t="s">
        <v>11972</v>
      </c>
      <c r="C30" s="7" t="s">
        <v>11972</v>
      </c>
      <c r="D30" s="7" t="s">
        <v>11972</v>
      </c>
      <c r="E30" s="7" t="s">
        <v>11972</v>
      </c>
      <c r="F30" s="7" t="s">
        <v>11972</v>
      </c>
      <c r="G30" s="7" t="s">
        <v>11972</v>
      </c>
      <c r="H30" s="7" t="s">
        <v>11972</v>
      </c>
      <c r="I30" s="7" t="s">
        <v>11972</v>
      </c>
      <c r="J30" s="7" t="s">
        <v>11972</v>
      </c>
      <c r="K30" s="7" t="s">
        <v>11972</v>
      </c>
      <c r="L30" s="7" t="s">
        <v>11972</v>
      </c>
      <c r="M30" s="7" t="s">
        <v>11972</v>
      </c>
    </row>
    <row r="31" spans="1:13" ht="8.1" customHeight="1" x14ac:dyDescent="0.15">
      <c r="A31" s="9"/>
      <c r="B31" s="10"/>
      <c r="C31" s="10"/>
      <c r="D31" s="10"/>
      <c r="E31" s="10"/>
      <c r="F31" s="10"/>
      <c r="G31" s="10"/>
      <c r="H31" s="10"/>
      <c r="I31" s="10"/>
      <c r="J31" s="10"/>
      <c r="K31" s="10"/>
      <c r="L31" s="10"/>
      <c r="M31" s="10"/>
    </row>
    <row r="33" spans="1:13" ht="27.95" customHeight="1" x14ac:dyDescent="0.15">
      <c r="A33" s="13" t="s">
        <v>12299</v>
      </c>
      <c r="B33" s="10"/>
      <c r="C33" s="10"/>
      <c r="D33" s="10"/>
      <c r="E33" s="10"/>
      <c r="F33" s="10"/>
      <c r="G33" s="10"/>
      <c r="H33" s="10"/>
      <c r="I33" s="10"/>
      <c r="J33" s="10"/>
      <c r="K33" s="10"/>
      <c r="L33" s="10"/>
      <c r="M33" s="10"/>
    </row>
    <row r="34" spans="1:13" ht="45" customHeight="1" x14ac:dyDescent="0.15">
      <c r="A34" s="12" t="s">
        <v>12300</v>
      </c>
      <c r="B34" s="10"/>
      <c r="C34" s="10"/>
      <c r="D34" s="10"/>
      <c r="E34" s="10"/>
      <c r="F34" s="10"/>
      <c r="G34" s="10"/>
      <c r="H34" s="10"/>
      <c r="I34" s="10"/>
      <c r="J34" s="10"/>
      <c r="K34" s="10"/>
      <c r="L34" s="10"/>
      <c r="M34" s="10"/>
    </row>
    <row r="35" spans="1:13" ht="15" x14ac:dyDescent="0.15">
      <c r="A35" s="6" t="s">
        <v>11329</v>
      </c>
      <c r="B35" s="6" t="s">
        <v>11330</v>
      </c>
      <c r="C35" s="6" t="s">
        <v>11331</v>
      </c>
      <c r="D35" s="6" t="s">
        <v>11332</v>
      </c>
      <c r="E35" s="6" t="s">
        <v>11333</v>
      </c>
      <c r="F35" s="6" t="s">
        <v>11334</v>
      </c>
      <c r="G35" s="6" t="s">
        <v>11335</v>
      </c>
      <c r="H35" s="6" t="s">
        <v>11336</v>
      </c>
      <c r="I35" s="6" t="s">
        <v>11337</v>
      </c>
      <c r="J35" s="6" t="s">
        <v>11338</v>
      </c>
      <c r="K35" s="6" t="s">
        <v>11339</v>
      </c>
      <c r="L35" s="6" t="s">
        <v>11340</v>
      </c>
      <c r="M35" s="6" t="s">
        <v>11341</v>
      </c>
    </row>
    <row r="36" spans="1:13" ht="21.95" customHeight="1" x14ac:dyDescent="0.15">
      <c r="A36" s="7" t="s">
        <v>11435</v>
      </c>
      <c r="B36" s="7" t="s">
        <v>11740</v>
      </c>
      <c r="C36" s="7" t="s">
        <v>11740</v>
      </c>
      <c r="D36" s="7" t="s">
        <v>11740</v>
      </c>
      <c r="E36" s="7" t="s">
        <v>11740</v>
      </c>
      <c r="F36" s="7" t="s">
        <v>11740</v>
      </c>
      <c r="G36" s="7" t="s">
        <v>11740</v>
      </c>
      <c r="H36" s="7" t="s">
        <v>11740</v>
      </c>
      <c r="I36" s="7" t="s">
        <v>11740</v>
      </c>
      <c r="J36" s="7" t="s">
        <v>11740</v>
      </c>
      <c r="K36" s="7" t="s">
        <v>11740</v>
      </c>
      <c r="L36" s="7" t="s">
        <v>11740</v>
      </c>
      <c r="M36" s="7" t="s">
        <v>12204</v>
      </c>
    </row>
    <row r="37" spans="1:13" ht="21.95" customHeight="1" x14ac:dyDescent="0.15">
      <c r="A37" s="8" t="s">
        <v>11416</v>
      </c>
      <c r="B37" s="8" t="s">
        <v>11368</v>
      </c>
      <c r="C37" s="8" t="s">
        <v>11361</v>
      </c>
      <c r="D37" s="8" t="s">
        <v>11370</v>
      </c>
      <c r="E37" s="8" t="s">
        <v>11371</v>
      </c>
      <c r="F37" s="8" t="s">
        <v>11377</v>
      </c>
      <c r="G37" s="8" t="s">
        <v>11378</v>
      </c>
      <c r="H37" s="8" t="s">
        <v>11467</v>
      </c>
      <c r="I37" s="8" t="s">
        <v>11468</v>
      </c>
      <c r="J37" s="8" t="s">
        <v>11402</v>
      </c>
      <c r="K37" s="8" t="s">
        <v>11469</v>
      </c>
      <c r="L37" s="8" t="s">
        <v>11470</v>
      </c>
      <c r="M37" s="8" t="s">
        <v>11471</v>
      </c>
    </row>
    <row r="38" spans="1:13" ht="21.95" customHeight="1" x14ac:dyDescent="0.15">
      <c r="A38" s="7" t="s">
        <v>11879</v>
      </c>
      <c r="B38" s="7" t="s">
        <v>11698</v>
      </c>
      <c r="C38" s="7" t="s">
        <v>11606</v>
      </c>
      <c r="D38" s="7" t="s">
        <v>11612</v>
      </c>
      <c r="E38" s="7" t="s">
        <v>11410</v>
      </c>
      <c r="F38" s="7" t="s">
        <v>11686</v>
      </c>
      <c r="G38" s="7" t="s">
        <v>11979</v>
      </c>
      <c r="H38" s="7" t="s">
        <v>11473</v>
      </c>
      <c r="I38" s="7" t="s">
        <v>12072</v>
      </c>
      <c r="J38" s="7" t="s">
        <v>11825</v>
      </c>
      <c r="K38" s="7" t="s">
        <v>11981</v>
      </c>
      <c r="L38" s="7" t="s">
        <v>11619</v>
      </c>
      <c r="M38" s="7" t="s">
        <v>11843</v>
      </c>
    </row>
    <row r="39" spans="1:13" ht="21.95" customHeight="1" x14ac:dyDescent="0.15">
      <c r="A39" s="8" t="s">
        <v>11429</v>
      </c>
      <c r="B39" s="8" t="s">
        <v>11430</v>
      </c>
      <c r="C39" s="8" t="s">
        <v>11430</v>
      </c>
      <c r="D39" s="8" t="s">
        <v>11430</v>
      </c>
      <c r="E39" s="8" t="s">
        <v>11430</v>
      </c>
      <c r="F39" s="8" t="s">
        <v>11430</v>
      </c>
      <c r="G39" s="8" t="s">
        <v>11430</v>
      </c>
      <c r="H39" s="8" t="s">
        <v>11430</v>
      </c>
      <c r="I39" s="8" t="s">
        <v>11430</v>
      </c>
      <c r="J39" s="8" t="s">
        <v>11430</v>
      </c>
      <c r="K39" s="8" t="s">
        <v>11430</v>
      </c>
      <c r="L39" s="8" t="s">
        <v>11430</v>
      </c>
      <c r="M39" s="8" t="s">
        <v>11430</v>
      </c>
    </row>
    <row r="40" spans="1:13" ht="21.95" customHeight="1" x14ac:dyDescent="0.15">
      <c r="A40" s="7" t="s">
        <v>12301</v>
      </c>
      <c r="B40" s="7" t="s">
        <v>11674</v>
      </c>
      <c r="C40" s="7" t="s">
        <v>11674</v>
      </c>
      <c r="D40" s="7" t="s">
        <v>11674</v>
      </c>
      <c r="E40" s="7" t="s">
        <v>11674</v>
      </c>
      <c r="F40" s="7" t="s">
        <v>11674</v>
      </c>
      <c r="G40" s="7" t="s">
        <v>11674</v>
      </c>
      <c r="H40" s="7" t="s">
        <v>11674</v>
      </c>
      <c r="I40" s="7" t="s">
        <v>11674</v>
      </c>
      <c r="J40" s="7" t="s">
        <v>11674</v>
      </c>
      <c r="K40" s="7" t="s">
        <v>11674</v>
      </c>
      <c r="L40" s="7" t="s">
        <v>11674</v>
      </c>
      <c r="M40" s="7" t="s">
        <v>11674</v>
      </c>
    </row>
    <row r="41" spans="1:13" ht="8.1" customHeight="1" x14ac:dyDescent="0.15">
      <c r="A41" s="9"/>
      <c r="B41" s="10"/>
      <c r="C41" s="10"/>
      <c r="D41" s="10"/>
      <c r="E41" s="10"/>
      <c r="F41" s="10"/>
      <c r="G41" s="10"/>
      <c r="H41" s="10"/>
      <c r="I41" s="10"/>
      <c r="J41" s="10"/>
      <c r="K41" s="10"/>
      <c r="L41" s="10"/>
      <c r="M41" s="10"/>
    </row>
  </sheetData>
  <sheetProtection password="CC26" sheet="1"/>
  <mergeCells count="13">
    <mergeCell ref="A41:M41"/>
    <mergeCell ref="A15:M15"/>
    <mergeCell ref="A24:M24"/>
    <mergeCell ref="A33:M33"/>
    <mergeCell ref="A14:M14"/>
    <mergeCell ref="A1:M1"/>
    <mergeCell ref="A23:M23"/>
    <mergeCell ref="A31:M31"/>
    <mergeCell ref="A34:M34"/>
    <mergeCell ref="A12:M12"/>
    <mergeCell ref="A4:M4"/>
    <mergeCell ref="A3:M3"/>
    <mergeCell ref="A21:M21"/>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20">
    <cfRule type="colorScale" priority="2">
      <colorScale>
        <cfvo type="min"/>
        <cfvo type="percentile" val="50"/>
        <cfvo type="max"/>
        <color rgb="FFFFC7CE"/>
        <color rgb="FFFFEB9C"/>
        <color rgb="FFC6EFCE"/>
      </colorScale>
    </cfRule>
  </conditionalFormatting>
  <conditionalFormatting sqref="B26:M30">
    <cfRule type="colorScale" priority="3">
      <colorScale>
        <cfvo type="min"/>
        <cfvo type="percentile" val="50"/>
        <cfvo type="max"/>
        <color rgb="FFFFC7CE"/>
        <color rgb="FFFFEB9C"/>
        <color rgb="FFC6EFCE"/>
      </colorScale>
    </cfRule>
  </conditionalFormatting>
  <conditionalFormatting sqref="B36:M40">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46"/>
  <sheetViews>
    <sheetView workbookViewId="0"/>
  </sheetViews>
  <sheetFormatPr defaultRowHeight="13.5" x14ac:dyDescent="0.15"/>
  <cols>
    <col min="1" max="1" width="32" customWidth="1"/>
    <col min="2" max="13" width="9" customWidth="1"/>
  </cols>
  <sheetData>
    <row r="1" spans="1:13" ht="35.1" customHeight="1" x14ac:dyDescent="0.15">
      <c r="A1" s="11" t="s">
        <v>12302</v>
      </c>
      <c r="B1" s="10"/>
      <c r="C1" s="10"/>
      <c r="D1" s="10"/>
      <c r="E1" s="10"/>
      <c r="F1" s="10"/>
      <c r="G1" s="10"/>
      <c r="H1" s="10"/>
      <c r="I1" s="10"/>
      <c r="J1" s="10"/>
      <c r="K1" s="10"/>
      <c r="L1" s="10"/>
      <c r="M1" s="10"/>
    </row>
    <row r="3" spans="1:13" ht="27.95" customHeight="1" x14ac:dyDescent="0.15">
      <c r="A3" s="13" t="s">
        <v>12303</v>
      </c>
      <c r="B3" s="10"/>
      <c r="C3" s="10"/>
      <c r="D3" s="10"/>
      <c r="E3" s="10"/>
      <c r="F3" s="10"/>
      <c r="G3" s="10"/>
      <c r="H3" s="10"/>
      <c r="I3" s="10"/>
      <c r="J3" s="10"/>
      <c r="K3" s="10"/>
      <c r="L3" s="10"/>
      <c r="M3" s="10"/>
    </row>
    <row r="4" spans="1:13" ht="45" customHeight="1" x14ac:dyDescent="0.15">
      <c r="A4" s="12" t="s">
        <v>12304</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11356</v>
      </c>
      <c r="C6" s="7" t="s">
        <v>11366</v>
      </c>
      <c r="D6" s="7" t="s">
        <v>11349</v>
      </c>
      <c r="E6" s="7" t="s">
        <v>11350</v>
      </c>
      <c r="F6" s="7" t="s">
        <v>11367</v>
      </c>
      <c r="G6" s="7" t="s">
        <v>11368</v>
      </c>
      <c r="H6" s="7" t="s">
        <v>11369</v>
      </c>
      <c r="I6" s="7" t="s">
        <v>11354</v>
      </c>
      <c r="J6" s="7" t="s">
        <v>11370</v>
      </c>
      <c r="K6" s="7" t="s">
        <v>11371</v>
      </c>
      <c r="L6" s="7" t="s">
        <v>11377</v>
      </c>
      <c r="M6" s="7" t="s">
        <v>11373</v>
      </c>
    </row>
    <row r="7" spans="1:13" ht="21.95" customHeight="1" x14ac:dyDescent="0.15">
      <c r="A7" s="8" t="s">
        <v>11355</v>
      </c>
      <c r="B7" s="8" t="s">
        <v>11375</v>
      </c>
      <c r="C7" s="8" t="s">
        <v>11364</v>
      </c>
      <c r="D7" s="8" t="s">
        <v>11635</v>
      </c>
      <c r="E7" s="8" t="s">
        <v>11379</v>
      </c>
      <c r="F7" s="8" t="s">
        <v>11385</v>
      </c>
      <c r="G7" s="8" t="s">
        <v>11386</v>
      </c>
      <c r="H7" s="8" t="s">
        <v>11403</v>
      </c>
      <c r="I7" s="8" t="s">
        <v>11598</v>
      </c>
      <c r="J7" s="8" t="s">
        <v>11654</v>
      </c>
      <c r="K7" s="8" t="s">
        <v>11699</v>
      </c>
      <c r="L7" s="8" t="s">
        <v>11706</v>
      </c>
      <c r="M7" s="8" t="s">
        <v>11770</v>
      </c>
    </row>
    <row r="8" spans="1:13" ht="21.95" customHeight="1" x14ac:dyDescent="0.15">
      <c r="A8" s="7" t="s">
        <v>11365</v>
      </c>
      <c r="B8" s="7" t="s">
        <v>11373</v>
      </c>
      <c r="C8" s="7" t="s">
        <v>11569</v>
      </c>
      <c r="D8" s="7" t="s">
        <v>11704</v>
      </c>
      <c r="E8" s="7" t="s">
        <v>11403</v>
      </c>
      <c r="F8" s="7" t="s">
        <v>11603</v>
      </c>
      <c r="G8" s="7" t="s">
        <v>11512</v>
      </c>
      <c r="H8" s="7" t="s">
        <v>11513</v>
      </c>
      <c r="I8" s="7" t="s">
        <v>11638</v>
      </c>
      <c r="J8" s="7" t="s">
        <v>11606</v>
      </c>
      <c r="K8" s="7" t="s">
        <v>11707</v>
      </c>
      <c r="L8" s="7" t="s">
        <v>12298</v>
      </c>
      <c r="M8" s="7" t="s">
        <v>11614</v>
      </c>
    </row>
    <row r="9" spans="1:13" ht="21.95" customHeight="1" x14ac:dyDescent="0.15">
      <c r="A9" s="8" t="s">
        <v>11374</v>
      </c>
      <c r="B9" s="8" t="s">
        <v>11387</v>
      </c>
      <c r="C9" s="8" t="s">
        <v>11654</v>
      </c>
      <c r="D9" s="8" t="s">
        <v>11605</v>
      </c>
      <c r="E9" s="8" t="s">
        <v>11514</v>
      </c>
      <c r="F9" s="8" t="s">
        <v>11875</v>
      </c>
      <c r="G9" s="8" t="s">
        <v>11639</v>
      </c>
      <c r="H9" s="8" t="s">
        <v>11410</v>
      </c>
      <c r="I9" s="8" t="s">
        <v>11614</v>
      </c>
      <c r="J9" s="8" t="s">
        <v>12047</v>
      </c>
      <c r="K9" s="8" t="s">
        <v>11713</v>
      </c>
      <c r="L9" s="8" t="s">
        <v>11419</v>
      </c>
      <c r="M9" s="8" t="s">
        <v>11550</v>
      </c>
    </row>
    <row r="10" spans="1:13" ht="21.95" customHeight="1" x14ac:dyDescent="0.15">
      <c r="A10" s="7" t="s">
        <v>11388</v>
      </c>
      <c r="B10" s="7" t="s">
        <v>11389</v>
      </c>
      <c r="C10" s="7" t="s">
        <v>11390</v>
      </c>
      <c r="D10" s="7" t="s">
        <v>11391</v>
      </c>
      <c r="E10" s="7" t="s">
        <v>11392</v>
      </c>
      <c r="F10" s="7" t="s">
        <v>11393</v>
      </c>
      <c r="G10" s="7" t="s">
        <v>11394</v>
      </c>
      <c r="H10" s="7" t="s">
        <v>11395</v>
      </c>
      <c r="I10" s="7" t="s">
        <v>11396</v>
      </c>
      <c r="J10" s="7" t="s">
        <v>11397</v>
      </c>
      <c r="K10" s="7" t="s">
        <v>11398</v>
      </c>
      <c r="L10" s="7" t="s">
        <v>11399</v>
      </c>
      <c r="M10" s="7" t="s">
        <v>11400</v>
      </c>
    </row>
    <row r="11" spans="1:13" ht="21.95" customHeight="1" x14ac:dyDescent="0.15">
      <c r="A11" s="8" t="s">
        <v>11401</v>
      </c>
      <c r="B11" s="8" t="s">
        <v>11402</v>
      </c>
      <c r="C11" s="8" t="s">
        <v>11403</v>
      </c>
      <c r="D11" s="8" t="s">
        <v>11404</v>
      </c>
      <c r="E11" s="8" t="s">
        <v>11405</v>
      </c>
      <c r="F11" s="8" t="s">
        <v>11406</v>
      </c>
      <c r="G11" s="8" t="s">
        <v>11407</v>
      </c>
      <c r="H11" s="8" t="s">
        <v>11408</v>
      </c>
      <c r="I11" s="8" t="s">
        <v>11409</v>
      </c>
      <c r="J11" s="8" t="s">
        <v>11410</v>
      </c>
      <c r="K11" s="8" t="s">
        <v>11411</v>
      </c>
      <c r="L11" s="8" t="s">
        <v>11412</v>
      </c>
      <c r="M11" s="8" t="s">
        <v>11413</v>
      </c>
    </row>
    <row r="12" spans="1:13" ht="8.1" customHeight="1" x14ac:dyDescent="0.15">
      <c r="A12" s="9"/>
      <c r="B12" s="10"/>
      <c r="C12" s="10"/>
      <c r="D12" s="10"/>
      <c r="E12" s="10"/>
      <c r="F12" s="10"/>
      <c r="G12" s="10"/>
      <c r="H12" s="10"/>
      <c r="I12" s="10"/>
      <c r="J12" s="10"/>
      <c r="K12" s="10"/>
      <c r="L12" s="10"/>
      <c r="M12" s="10"/>
    </row>
    <row r="14" spans="1:13" ht="27.95" customHeight="1" x14ac:dyDescent="0.15">
      <c r="A14" s="13" t="s">
        <v>12305</v>
      </c>
      <c r="B14" s="10"/>
      <c r="C14" s="10"/>
      <c r="D14" s="10"/>
      <c r="E14" s="10"/>
      <c r="F14" s="10"/>
      <c r="G14" s="10"/>
      <c r="H14" s="10"/>
      <c r="I14" s="10"/>
      <c r="J14" s="10"/>
      <c r="K14" s="10"/>
      <c r="L14" s="10"/>
      <c r="M14" s="10"/>
    </row>
    <row r="15" spans="1:13" ht="45" customHeight="1" x14ac:dyDescent="0.15">
      <c r="A15" s="12" t="s">
        <v>12306</v>
      </c>
      <c r="B15" s="10"/>
      <c r="C15" s="10"/>
      <c r="D15" s="10"/>
      <c r="E15" s="10"/>
      <c r="F15" s="10"/>
      <c r="G15" s="10"/>
      <c r="H15" s="10"/>
      <c r="I15" s="10"/>
      <c r="J15" s="10"/>
      <c r="K15" s="10"/>
      <c r="L15" s="10"/>
      <c r="M15" s="10"/>
    </row>
    <row r="16" spans="1:13" ht="15" x14ac:dyDescent="0.15">
      <c r="A16" s="6" t="s">
        <v>11329</v>
      </c>
      <c r="B16" s="6" t="s">
        <v>11330</v>
      </c>
      <c r="C16" s="6" t="s">
        <v>11331</v>
      </c>
      <c r="D16" s="6" t="s">
        <v>11332</v>
      </c>
      <c r="E16" s="6" t="s">
        <v>11333</v>
      </c>
      <c r="F16" s="6" t="s">
        <v>11334</v>
      </c>
      <c r="G16" s="6" t="s">
        <v>11335</v>
      </c>
      <c r="H16" s="6" t="s">
        <v>11336</v>
      </c>
      <c r="I16" s="6" t="s">
        <v>11337</v>
      </c>
      <c r="J16" s="6" t="s">
        <v>11338</v>
      </c>
      <c r="K16" s="6" t="s">
        <v>11339</v>
      </c>
      <c r="L16" s="6" t="s">
        <v>11340</v>
      </c>
      <c r="M16" s="6" t="s">
        <v>11341</v>
      </c>
    </row>
    <row r="17" spans="1:13" ht="21.95" customHeight="1" x14ac:dyDescent="0.15">
      <c r="A17" s="7" t="s">
        <v>12307</v>
      </c>
      <c r="B17" s="7" t="s">
        <v>12075</v>
      </c>
      <c r="C17" s="7" t="s">
        <v>11417</v>
      </c>
      <c r="D17" s="7" t="s">
        <v>11418</v>
      </c>
      <c r="E17" s="7" t="s">
        <v>12048</v>
      </c>
      <c r="F17" s="7" t="s">
        <v>12125</v>
      </c>
      <c r="G17" s="7" t="s">
        <v>11475</v>
      </c>
      <c r="H17" s="7" t="s">
        <v>12126</v>
      </c>
      <c r="I17" s="7" t="s">
        <v>12127</v>
      </c>
      <c r="J17" s="7" t="s">
        <v>12095</v>
      </c>
      <c r="K17" s="7" t="s">
        <v>12128</v>
      </c>
      <c r="L17" s="7" t="s">
        <v>11720</v>
      </c>
      <c r="M17" s="7" t="s">
        <v>11453</v>
      </c>
    </row>
    <row r="18" spans="1:13" ht="21.95" customHeight="1" x14ac:dyDescent="0.15">
      <c r="A18" s="8" t="s">
        <v>11917</v>
      </c>
      <c r="B18" s="8" t="s">
        <v>11668</v>
      </c>
      <c r="C18" s="8" t="s">
        <v>11668</v>
      </c>
      <c r="D18" s="8" t="s">
        <v>11668</v>
      </c>
      <c r="E18" s="8" t="s">
        <v>11668</v>
      </c>
      <c r="F18" s="8" t="s">
        <v>11668</v>
      </c>
      <c r="G18" s="8" t="s">
        <v>11668</v>
      </c>
      <c r="H18" s="8" t="s">
        <v>11668</v>
      </c>
      <c r="I18" s="8" t="s">
        <v>11668</v>
      </c>
      <c r="J18" s="8" t="s">
        <v>11668</v>
      </c>
      <c r="K18" s="8" t="s">
        <v>11668</v>
      </c>
      <c r="L18" s="8" t="s">
        <v>11668</v>
      </c>
      <c r="M18" s="8" t="s">
        <v>11668</v>
      </c>
    </row>
    <row r="19" spans="1:13" ht="21.95" customHeight="1" x14ac:dyDescent="0.15">
      <c r="A19" s="7" t="s">
        <v>11819</v>
      </c>
      <c r="B19" s="7" t="s">
        <v>11572</v>
      </c>
      <c r="C19" s="7" t="s">
        <v>11572</v>
      </c>
      <c r="D19" s="7" t="s">
        <v>11572</v>
      </c>
      <c r="E19" s="7" t="s">
        <v>11572</v>
      </c>
      <c r="F19" s="7" t="s">
        <v>11572</v>
      </c>
      <c r="G19" s="7" t="s">
        <v>11572</v>
      </c>
      <c r="H19" s="7" t="s">
        <v>11572</v>
      </c>
      <c r="I19" s="7" t="s">
        <v>11572</v>
      </c>
      <c r="J19" s="7" t="s">
        <v>11572</v>
      </c>
      <c r="K19" s="7" t="s">
        <v>11572</v>
      </c>
      <c r="L19" s="7" t="s">
        <v>11572</v>
      </c>
      <c r="M19" s="7" t="s">
        <v>11572</v>
      </c>
    </row>
    <row r="20" spans="1:13" ht="21.95" customHeight="1" x14ac:dyDescent="0.15">
      <c r="A20" s="8" t="s">
        <v>12308</v>
      </c>
      <c r="B20" s="8" t="s">
        <v>12309</v>
      </c>
      <c r="C20" s="8" t="s">
        <v>12309</v>
      </c>
      <c r="D20" s="8" t="s">
        <v>12309</v>
      </c>
      <c r="E20" s="8" t="s">
        <v>12309</v>
      </c>
      <c r="F20" s="8" t="s">
        <v>12309</v>
      </c>
      <c r="G20" s="8" t="s">
        <v>12309</v>
      </c>
      <c r="H20" s="8" t="s">
        <v>12309</v>
      </c>
      <c r="I20" s="8" t="s">
        <v>12309</v>
      </c>
      <c r="J20" s="8" t="s">
        <v>12309</v>
      </c>
      <c r="K20" s="8" t="s">
        <v>12309</v>
      </c>
      <c r="L20" s="8" t="s">
        <v>12309</v>
      </c>
      <c r="M20" s="8" t="s">
        <v>12309</v>
      </c>
    </row>
    <row r="21" spans="1:13" ht="8.1" customHeight="1" x14ac:dyDescent="0.15">
      <c r="A21" s="9"/>
      <c r="B21" s="10"/>
      <c r="C21" s="10"/>
      <c r="D21" s="10"/>
      <c r="E21" s="10"/>
      <c r="F21" s="10"/>
      <c r="G21" s="10"/>
      <c r="H21" s="10"/>
      <c r="I21" s="10"/>
      <c r="J21" s="10"/>
      <c r="K21" s="10"/>
      <c r="L21" s="10"/>
      <c r="M21" s="10"/>
    </row>
    <row r="23" spans="1:13" ht="27.95" customHeight="1" x14ac:dyDescent="0.15">
      <c r="A23" s="13" t="s">
        <v>12310</v>
      </c>
      <c r="B23" s="10"/>
      <c r="C23" s="10"/>
      <c r="D23" s="10"/>
      <c r="E23" s="10"/>
      <c r="F23" s="10"/>
      <c r="G23" s="10"/>
      <c r="H23" s="10"/>
      <c r="I23" s="10"/>
      <c r="J23" s="10"/>
      <c r="K23" s="10"/>
      <c r="L23" s="10"/>
      <c r="M23" s="10"/>
    </row>
    <row r="24" spans="1:13" ht="45" customHeight="1" x14ac:dyDescent="0.15">
      <c r="A24" s="12" t="s">
        <v>12311</v>
      </c>
      <c r="B24" s="10"/>
      <c r="C24" s="10"/>
      <c r="D24" s="10"/>
      <c r="E24" s="10"/>
      <c r="F24" s="10"/>
      <c r="G24" s="10"/>
      <c r="H24" s="10"/>
      <c r="I24" s="10"/>
      <c r="J24" s="10"/>
      <c r="K24" s="10"/>
      <c r="L24" s="10"/>
      <c r="M24" s="10"/>
    </row>
    <row r="25" spans="1:13" ht="15" x14ac:dyDescent="0.15">
      <c r="A25" s="6" t="s">
        <v>11329</v>
      </c>
      <c r="B25" s="6" t="s">
        <v>11330</v>
      </c>
      <c r="C25" s="6" t="s">
        <v>11331</v>
      </c>
      <c r="D25" s="6" t="s">
        <v>11332</v>
      </c>
      <c r="E25" s="6" t="s">
        <v>11333</v>
      </c>
      <c r="F25" s="6" t="s">
        <v>11334</v>
      </c>
      <c r="G25" s="6" t="s">
        <v>11335</v>
      </c>
      <c r="H25" s="6" t="s">
        <v>11336</v>
      </c>
      <c r="I25" s="6" t="s">
        <v>11337</v>
      </c>
      <c r="J25" s="6" t="s">
        <v>11338</v>
      </c>
      <c r="K25" s="6" t="s">
        <v>11339</v>
      </c>
      <c r="L25" s="6" t="s">
        <v>11340</v>
      </c>
      <c r="M25" s="6" t="s">
        <v>11341</v>
      </c>
    </row>
    <row r="26" spans="1:13" ht="21.95" customHeight="1" x14ac:dyDescent="0.15">
      <c r="A26" s="7" t="s">
        <v>11433</v>
      </c>
      <c r="B26" s="7" t="s">
        <v>12312</v>
      </c>
      <c r="C26" s="7" t="s">
        <v>12312</v>
      </c>
      <c r="D26" s="7" t="s">
        <v>12312</v>
      </c>
      <c r="E26" s="7" t="s">
        <v>12312</v>
      </c>
      <c r="F26" s="7" t="s">
        <v>12312</v>
      </c>
      <c r="G26" s="7" t="s">
        <v>12312</v>
      </c>
      <c r="H26" s="7" t="s">
        <v>12312</v>
      </c>
      <c r="I26" s="7" t="s">
        <v>12312</v>
      </c>
      <c r="J26" s="7" t="s">
        <v>12312</v>
      </c>
      <c r="K26" s="7" t="s">
        <v>12312</v>
      </c>
      <c r="L26" s="7" t="s">
        <v>12312</v>
      </c>
      <c r="M26" s="7" t="s">
        <v>12312</v>
      </c>
    </row>
    <row r="27" spans="1:13" ht="21.95" customHeight="1" x14ac:dyDescent="0.15">
      <c r="A27" s="8" t="s">
        <v>11435</v>
      </c>
      <c r="B27" s="8" t="s">
        <v>11535</v>
      </c>
      <c r="C27" s="8" t="s">
        <v>11535</v>
      </c>
      <c r="D27" s="8" t="s">
        <v>11535</v>
      </c>
      <c r="E27" s="8" t="s">
        <v>11535</v>
      </c>
      <c r="F27" s="8" t="s">
        <v>11535</v>
      </c>
      <c r="G27" s="8" t="s">
        <v>11535</v>
      </c>
      <c r="H27" s="8" t="s">
        <v>11535</v>
      </c>
      <c r="I27" s="8" t="s">
        <v>11535</v>
      </c>
      <c r="J27" s="8" t="s">
        <v>11535</v>
      </c>
      <c r="K27" s="8" t="s">
        <v>11535</v>
      </c>
      <c r="L27" s="8" t="s">
        <v>11535</v>
      </c>
      <c r="M27" s="8" t="s">
        <v>11535</v>
      </c>
    </row>
    <row r="28" spans="1:13" ht="21.95" customHeight="1" x14ac:dyDescent="0.15">
      <c r="A28" s="7" t="s">
        <v>11657</v>
      </c>
      <c r="B28" s="7" t="s">
        <v>11473</v>
      </c>
      <c r="C28" s="7" t="s">
        <v>11474</v>
      </c>
      <c r="D28" s="7" t="s">
        <v>11475</v>
      </c>
      <c r="E28" s="7" t="s">
        <v>11476</v>
      </c>
      <c r="F28" s="7" t="s">
        <v>11423</v>
      </c>
      <c r="G28" s="7" t="s">
        <v>11451</v>
      </c>
      <c r="H28" s="7" t="s">
        <v>11477</v>
      </c>
      <c r="I28" s="7" t="s">
        <v>11478</v>
      </c>
      <c r="J28" s="7" t="s">
        <v>11453</v>
      </c>
      <c r="K28" s="7" t="s">
        <v>11479</v>
      </c>
      <c r="L28" s="7" t="s">
        <v>11480</v>
      </c>
      <c r="M28" s="7" t="s">
        <v>11389</v>
      </c>
    </row>
    <row r="29" spans="1:13" ht="21.95" customHeight="1" x14ac:dyDescent="0.15">
      <c r="A29" s="8" t="s">
        <v>11673</v>
      </c>
      <c r="B29" s="8" t="s">
        <v>11484</v>
      </c>
      <c r="C29" s="8" t="s">
        <v>11484</v>
      </c>
      <c r="D29" s="8" t="s">
        <v>11484</v>
      </c>
      <c r="E29" s="8" t="s">
        <v>11484</v>
      </c>
      <c r="F29" s="8" t="s">
        <v>11484</v>
      </c>
      <c r="G29" s="8" t="s">
        <v>11484</v>
      </c>
      <c r="H29" s="8" t="s">
        <v>11484</v>
      </c>
      <c r="I29" s="8" t="s">
        <v>11484</v>
      </c>
      <c r="J29" s="8" t="s">
        <v>11484</v>
      </c>
      <c r="K29" s="8" t="s">
        <v>11484</v>
      </c>
      <c r="L29" s="8" t="s">
        <v>11484</v>
      </c>
      <c r="M29" s="8" t="s">
        <v>11484</v>
      </c>
    </row>
    <row r="30" spans="1:13" ht="21.95" customHeight="1" x14ac:dyDescent="0.15">
      <c r="A30" s="7" t="s">
        <v>11659</v>
      </c>
      <c r="B30" s="7" t="s">
        <v>11473</v>
      </c>
      <c r="C30" s="7" t="s">
        <v>11474</v>
      </c>
      <c r="D30" s="7" t="s">
        <v>11475</v>
      </c>
      <c r="E30" s="7" t="s">
        <v>11476</v>
      </c>
      <c r="F30" s="7" t="s">
        <v>11423</v>
      </c>
      <c r="G30" s="7" t="s">
        <v>11451</v>
      </c>
      <c r="H30" s="7" t="s">
        <v>11477</v>
      </c>
      <c r="I30" s="7" t="s">
        <v>11478</v>
      </c>
      <c r="J30" s="7" t="s">
        <v>11453</v>
      </c>
      <c r="K30" s="7" t="s">
        <v>11479</v>
      </c>
      <c r="L30" s="7" t="s">
        <v>11480</v>
      </c>
      <c r="M30" s="7" t="s">
        <v>11389</v>
      </c>
    </row>
    <row r="31" spans="1:13" ht="21.95" customHeight="1" x14ac:dyDescent="0.15">
      <c r="A31" s="8" t="s">
        <v>11660</v>
      </c>
      <c r="B31" s="8" t="s">
        <v>11484</v>
      </c>
      <c r="C31" s="8" t="s">
        <v>11484</v>
      </c>
      <c r="D31" s="8" t="s">
        <v>11484</v>
      </c>
      <c r="E31" s="8" t="s">
        <v>11484</v>
      </c>
      <c r="F31" s="8" t="s">
        <v>11484</v>
      </c>
      <c r="G31" s="8" t="s">
        <v>11484</v>
      </c>
      <c r="H31" s="8" t="s">
        <v>11484</v>
      </c>
      <c r="I31" s="8" t="s">
        <v>11484</v>
      </c>
      <c r="J31" s="8" t="s">
        <v>11484</v>
      </c>
      <c r="K31" s="8" t="s">
        <v>11484</v>
      </c>
      <c r="L31" s="8" t="s">
        <v>11484</v>
      </c>
      <c r="M31" s="8" t="s">
        <v>11484</v>
      </c>
    </row>
    <row r="32" spans="1:13" ht="21.95" customHeight="1" x14ac:dyDescent="0.15">
      <c r="A32" s="7" t="s">
        <v>11978</v>
      </c>
      <c r="B32" s="7" t="s">
        <v>11439</v>
      </c>
      <c r="C32" s="7" t="s">
        <v>11440</v>
      </c>
      <c r="D32" s="7" t="s">
        <v>11441</v>
      </c>
      <c r="E32" s="7" t="s">
        <v>11442</v>
      </c>
      <c r="F32" s="7" t="s">
        <v>11443</v>
      </c>
      <c r="G32" s="7" t="s">
        <v>11444</v>
      </c>
      <c r="H32" s="7" t="s">
        <v>11445</v>
      </c>
      <c r="I32" s="7" t="s">
        <v>11446</v>
      </c>
      <c r="J32" s="7" t="s">
        <v>11395</v>
      </c>
      <c r="K32" s="7" t="s">
        <v>11447</v>
      </c>
      <c r="L32" s="7" t="s">
        <v>11448</v>
      </c>
      <c r="M32" s="7" t="s">
        <v>11449</v>
      </c>
    </row>
    <row r="33" spans="1:13" ht="21.95" customHeight="1" x14ac:dyDescent="0.15">
      <c r="A33" s="8" t="s">
        <v>11985</v>
      </c>
      <c r="B33" s="8" t="s">
        <v>11430</v>
      </c>
      <c r="C33" s="8" t="s">
        <v>11430</v>
      </c>
      <c r="D33" s="8" t="s">
        <v>11430</v>
      </c>
      <c r="E33" s="8" t="s">
        <v>11430</v>
      </c>
      <c r="F33" s="8" t="s">
        <v>11430</v>
      </c>
      <c r="G33" s="8" t="s">
        <v>11430</v>
      </c>
      <c r="H33" s="8" t="s">
        <v>11430</v>
      </c>
      <c r="I33" s="8" t="s">
        <v>11430</v>
      </c>
      <c r="J33" s="8" t="s">
        <v>11430</v>
      </c>
      <c r="K33" s="8" t="s">
        <v>11430</v>
      </c>
      <c r="L33" s="8" t="s">
        <v>11430</v>
      </c>
      <c r="M33" s="8" t="s">
        <v>11430</v>
      </c>
    </row>
    <row r="34" spans="1:13" ht="8.1" customHeight="1" x14ac:dyDescent="0.15">
      <c r="A34" s="9"/>
      <c r="B34" s="10"/>
      <c r="C34" s="10"/>
      <c r="D34" s="10"/>
      <c r="E34" s="10"/>
      <c r="F34" s="10"/>
      <c r="G34" s="10"/>
      <c r="H34" s="10"/>
      <c r="I34" s="10"/>
      <c r="J34" s="10"/>
      <c r="K34" s="10"/>
      <c r="L34" s="10"/>
      <c r="M34" s="10"/>
    </row>
    <row r="36" spans="1:13" ht="27.95" customHeight="1" x14ac:dyDescent="0.15">
      <c r="A36" s="13" t="s">
        <v>12313</v>
      </c>
      <c r="B36" s="10"/>
      <c r="C36" s="10"/>
      <c r="D36" s="10"/>
      <c r="E36" s="10"/>
      <c r="F36" s="10"/>
      <c r="G36" s="10"/>
      <c r="H36" s="10"/>
      <c r="I36" s="10"/>
      <c r="J36" s="10"/>
      <c r="K36" s="10"/>
      <c r="L36" s="10"/>
      <c r="M36" s="10"/>
    </row>
    <row r="37" spans="1:13" ht="45" customHeight="1" x14ac:dyDescent="0.15">
      <c r="A37" s="12" t="s">
        <v>12314</v>
      </c>
      <c r="B37" s="10"/>
      <c r="C37" s="10"/>
      <c r="D37" s="10"/>
      <c r="E37" s="10"/>
      <c r="F37" s="10"/>
      <c r="G37" s="10"/>
      <c r="H37" s="10"/>
      <c r="I37" s="10"/>
      <c r="J37" s="10"/>
      <c r="K37" s="10"/>
      <c r="L37" s="10"/>
      <c r="M37" s="10"/>
    </row>
    <row r="38" spans="1:13" ht="15" x14ac:dyDescent="0.15">
      <c r="A38" s="6" t="s">
        <v>11329</v>
      </c>
      <c r="B38" s="6" t="s">
        <v>11330</v>
      </c>
      <c r="C38" s="6" t="s">
        <v>11331</v>
      </c>
      <c r="D38" s="6" t="s">
        <v>11332</v>
      </c>
      <c r="E38" s="6" t="s">
        <v>11333</v>
      </c>
      <c r="F38" s="6" t="s">
        <v>11334</v>
      </c>
      <c r="G38" s="6" t="s">
        <v>11335</v>
      </c>
      <c r="H38" s="6" t="s">
        <v>11336</v>
      </c>
      <c r="I38" s="6" t="s">
        <v>11337</v>
      </c>
      <c r="J38" s="6" t="s">
        <v>11338</v>
      </c>
      <c r="K38" s="6" t="s">
        <v>11339</v>
      </c>
      <c r="L38" s="6" t="s">
        <v>11340</v>
      </c>
      <c r="M38" s="6" t="s">
        <v>11341</v>
      </c>
    </row>
    <row r="39" spans="1:13" ht="21.95" customHeight="1" x14ac:dyDescent="0.15">
      <c r="A39" s="7" t="s">
        <v>11435</v>
      </c>
      <c r="B39" s="7" t="s">
        <v>12058</v>
      </c>
      <c r="C39" s="7" t="s">
        <v>12058</v>
      </c>
      <c r="D39" s="7" t="s">
        <v>12058</v>
      </c>
      <c r="E39" s="7" t="s">
        <v>12058</v>
      </c>
      <c r="F39" s="7" t="s">
        <v>12058</v>
      </c>
      <c r="G39" s="7" t="s">
        <v>12058</v>
      </c>
      <c r="H39" s="7" t="s">
        <v>12058</v>
      </c>
      <c r="I39" s="7" t="s">
        <v>12058</v>
      </c>
      <c r="J39" s="7" t="s">
        <v>12058</v>
      </c>
      <c r="K39" s="7" t="s">
        <v>12058</v>
      </c>
      <c r="L39" s="7" t="s">
        <v>12058</v>
      </c>
      <c r="M39" s="7" t="s">
        <v>11823</v>
      </c>
    </row>
    <row r="40" spans="1:13" ht="21.95" customHeight="1" x14ac:dyDescent="0.15">
      <c r="A40" s="8" t="s">
        <v>12315</v>
      </c>
      <c r="B40" s="8" t="s">
        <v>11467</v>
      </c>
      <c r="C40" s="8" t="s">
        <v>11380</v>
      </c>
      <c r="D40" s="8" t="s">
        <v>11511</v>
      </c>
      <c r="E40" s="8" t="s">
        <v>11880</v>
      </c>
      <c r="F40" s="8" t="s">
        <v>11654</v>
      </c>
      <c r="G40" s="8" t="s">
        <v>11599</v>
      </c>
      <c r="H40" s="8" t="s">
        <v>11706</v>
      </c>
      <c r="I40" s="8" t="s">
        <v>11909</v>
      </c>
      <c r="J40" s="8" t="s">
        <v>11408</v>
      </c>
      <c r="K40" s="8" t="s">
        <v>12150</v>
      </c>
      <c r="L40" s="8" t="s">
        <v>11709</v>
      </c>
      <c r="M40" s="8" t="s">
        <v>11911</v>
      </c>
    </row>
    <row r="41" spans="1:13" ht="21.95" customHeight="1" x14ac:dyDescent="0.15">
      <c r="A41" s="7" t="s">
        <v>12316</v>
      </c>
      <c r="B41" s="7" t="s">
        <v>11467</v>
      </c>
      <c r="C41" s="7" t="s">
        <v>11380</v>
      </c>
      <c r="D41" s="7" t="s">
        <v>11511</v>
      </c>
      <c r="E41" s="7" t="s">
        <v>11880</v>
      </c>
      <c r="F41" s="7" t="s">
        <v>11654</v>
      </c>
      <c r="G41" s="7" t="s">
        <v>11599</v>
      </c>
      <c r="H41" s="7" t="s">
        <v>11706</v>
      </c>
      <c r="I41" s="7" t="s">
        <v>11909</v>
      </c>
      <c r="J41" s="7" t="s">
        <v>11408</v>
      </c>
      <c r="K41" s="7" t="s">
        <v>12150</v>
      </c>
      <c r="L41" s="7" t="s">
        <v>11709</v>
      </c>
      <c r="M41" s="7" t="s">
        <v>11911</v>
      </c>
    </row>
    <row r="42" spans="1:13" ht="21.95" customHeight="1" x14ac:dyDescent="0.15">
      <c r="A42" s="8" t="s">
        <v>12317</v>
      </c>
      <c r="B42" s="8" t="s">
        <v>11572</v>
      </c>
      <c r="C42" s="8" t="s">
        <v>11572</v>
      </c>
      <c r="D42" s="8" t="s">
        <v>11572</v>
      </c>
      <c r="E42" s="8" t="s">
        <v>11572</v>
      </c>
      <c r="F42" s="8" t="s">
        <v>11572</v>
      </c>
      <c r="G42" s="8" t="s">
        <v>11572</v>
      </c>
      <c r="H42" s="8" t="s">
        <v>11572</v>
      </c>
      <c r="I42" s="8" t="s">
        <v>11572</v>
      </c>
      <c r="J42" s="8" t="s">
        <v>11572</v>
      </c>
      <c r="K42" s="8" t="s">
        <v>11572</v>
      </c>
      <c r="L42" s="8" t="s">
        <v>11572</v>
      </c>
      <c r="M42" s="8" t="s">
        <v>11572</v>
      </c>
    </row>
    <row r="43" spans="1:13" ht="21.95" customHeight="1" x14ac:dyDescent="0.15">
      <c r="A43" s="7" t="s">
        <v>12074</v>
      </c>
      <c r="B43" s="7" t="s">
        <v>11599</v>
      </c>
      <c r="C43" s="7" t="s">
        <v>11514</v>
      </c>
      <c r="D43" s="7" t="s">
        <v>11408</v>
      </c>
      <c r="E43" s="7" t="s">
        <v>11708</v>
      </c>
      <c r="F43" s="7" t="s">
        <v>11703</v>
      </c>
      <c r="G43" s="7" t="s">
        <v>11911</v>
      </c>
      <c r="H43" s="7" t="s">
        <v>11418</v>
      </c>
      <c r="I43" s="7" t="s">
        <v>12031</v>
      </c>
      <c r="J43" s="7" t="s">
        <v>11591</v>
      </c>
      <c r="K43" s="7" t="s">
        <v>12024</v>
      </c>
      <c r="L43" s="7" t="s">
        <v>12318</v>
      </c>
      <c r="M43" s="7" t="s">
        <v>11827</v>
      </c>
    </row>
    <row r="44" spans="1:13" ht="21.95" customHeight="1" x14ac:dyDescent="0.15">
      <c r="A44" s="8" t="s">
        <v>12319</v>
      </c>
      <c r="B44" s="8" t="s">
        <v>11670</v>
      </c>
      <c r="C44" s="8" t="s">
        <v>11670</v>
      </c>
      <c r="D44" s="8" t="s">
        <v>11670</v>
      </c>
      <c r="E44" s="8" t="s">
        <v>11670</v>
      </c>
      <c r="F44" s="8" t="s">
        <v>11670</v>
      </c>
      <c r="G44" s="8" t="s">
        <v>11670</v>
      </c>
      <c r="H44" s="8" t="s">
        <v>11670</v>
      </c>
      <c r="I44" s="8" t="s">
        <v>11670</v>
      </c>
      <c r="J44" s="8" t="s">
        <v>11670</v>
      </c>
      <c r="K44" s="8" t="s">
        <v>11670</v>
      </c>
      <c r="L44" s="8" t="s">
        <v>11670</v>
      </c>
      <c r="M44" s="8" t="s">
        <v>11670</v>
      </c>
    </row>
    <row r="45" spans="1:13" ht="21.95" customHeight="1" x14ac:dyDescent="0.15">
      <c r="A45" s="7" t="s">
        <v>12078</v>
      </c>
      <c r="B45" s="7" t="s">
        <v>11572</v>
      </c>
      <c r="C45" s="7" t="s">
        <v>11572</v>
      </c>
      <c r="D45" s="7" t="s">
        <v>11572</v>
      </c>
      <c r="E45" s="7" t="s">
        <v>11572</v>
      </c>
      <c r="F45" s="7" t="s">
        <v>11572</v>
      </c>
      <c r="G45" s="7" t="s">
        <v>11572</v>
      </c>
      <c r="H45" s="7" t="s">
        <v>11572</v>
      </c>
      <c r="I45" s="7" t="s">
        <v>11572</v>
      </c>
      <c r="J45" s="7" t="s">
        <v>11572</v>
      </c>
      <c r="K45" s="7" t="s">
        <v>11572</v>
      </c>
      <c r="L45" s="7" t="s">
        <v>11572</v>
      </c>
      <c r="M45" s="7" t="s">
        <v>11572</v>
      </c>
    </row>
    <row r="46" spans="1:13" ht="8.1" customHeight="1" x14ac:dyDescent="0.15">
      <c r="A46" s="9"/>
      <c r="B46" s="10"/>
      <c r="C46" s="10"/>
      <c r="D46" s="10"/>
      <c r="E46" s="10"/>
      <c r="F46" s="10"/>
      <c r="G46" s="10"/>
      <c r="H46" s="10"/>
      <c r="I46" s="10"/>
      <c r="J46" s="10"/>
      <c r="K46" s="10"/>
      <c r="L46" s="10"/>
      <c r="M46" s="10"/>
    </row>
  </sheetData>
  <sheetProtection password="CC26" sheet="1"/>
  <mergeCells count="13">
    <mergeCell ref="A46:M46"/>
    <mergeCell ref="A36:M36"/>
    <mergeCell ref="A14:M14"/>
    <mergeCell ref="A1:M1"/>
    <mergeCell ref="A23:M23"/>
    <mergeCell ref="A37:M37"/>
    <mergeCell ref="A34:M34"/>
    <mergeCell ref="A12:M12"/>
    <mergeCell ref="A4:M4"/>
    <mergeCell ref="A3:M3"/>
    <mergeCell ref="A21:M21"/>
    <mergeCell ref="A15:M15"/>
    <mergeCell ref="A24:M24"/>
  </mergeCells>
  <phoneticPr fontId="39" type="noConversion"/>
  <conditionalFormatting sqref="B6:M11">
    <cfRule type="colorScale" priority="1">
      <colorScale>
        <cfvo type="min"/>
        <cfvo type="percentile" val="50"/>
        <cfvo type="max"/>
        <color rgb="FFFFC7CE"/>
        <color rgb="FFFFEB9C"/>
        <color rgb="FFC6EFCE"/>
      </colorScale>
    </cfRule>
  </conditionalFormatting>
  <conditionalFormatting sqref="B17:M20">
    <cfRule type="colorScale" priority="2">
      <colorScale>
        <cfvo type="min"/>
        <cfvo type="percentile" val="50"/>
        <cfvo type="max"/>
        <color rgb="FFFFC7CE"/>
        <color rgb="FFFFEB9C"/>
        <color rgb="FFC6EFCE"/>
      </colorScale>
    </cfRule>
  </conditionalFormatting>
  <conditionalFormatting sqref="B26:M33">
    <cfRule type="colorScale" priority="3">
      <colorScale>
        <cfvo type="min"/>
        <cfvo type="percentile" val="50"/>
        <cfvo type="max"/>
        <color rgb="FFFFC7CE"/>
        <color rgb="FFFFEB9C"/>
        <color rgb="FFC6EFCE"/>
      </colorScale>
    </cfRule>
  </conditionalFormatting>
  <conditionalFormatting sqref="B39:M45">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59"/>
  <sheetViews>
    <sheetView workbookViewId="0"/>
  </sheetViews>
  <sheetFormatPr defaultRowHeight="13.5" x14ac:dyDescent="0.15"/>
  <cols>
    <col min="1" max="1" width="32" customWidth="1"/>
    <col min="2" max="13" width="9" customWidth="1"/>
  </cols>
  <sheetData>
    <row r="1" spans="1:13" ht="35.1" customHeight="1" x14ac:dyDescent="0.15">
      <c r="A1" s="11" t="s">
        <v>12320</v>
      </c>
      <c r="B1" s="10"/>
      <c r="C1" s="10"/>
      <c r="D1" s="10"/>
      <c r="E1" s="10"/>
      <c r="F1" s="10"/>
      <c r="G1" s="10"/>
      <c r="H1" s="10"/>
      <c r="I1" s="10"/>
      <c r="J1" s="10"/>
      <c r="K1" s="10"/>
      <c r="L1" s="10"/>
      <c r="M1" s="10"/>
    </row>
    <row r="3" spans="1:13" ht="27.95" customHeight="1" x14ac:dyDescent="0.15">
      <c r="A3" s="13" t="s">
        <v>12321</v>
      </c>
      <c r="B3" s="10"/>
      <c r="C3" s="10"/>
      <c r="D3" s="10"/>
      <c r="E3" s="10"/>
      <c r="F3" s="10"/>
      <c r="G3" s="10"/>
      <c r="H3" s="10"/>
      <c r="I3" s="10"/>
      <c r="J3" s="10"/>
      <c r="K3" s="10"/>
      <c r="L3" s="10"/>
      <c r="M3" s="10"/>
    </row>
    <row r="4" spans="1:13" ht="45" customHeight="1" x14ac:dyDescent="0.15">
      <c r="A4" s="12" t="s">
        <v>11328</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11343</v>
      </c>
      <c r="C6" s="7" t="s">
        <v>11344</v>
      </c>
      <c r="D6" s="7" t="s">
        <v>11503</v>
      </c>
      <c r="E6" s="7" t="s">
        <v>11356</v>
      </c>
      <c r="F6" s="7" t="s">
        <v>11347</v>
      </c>
      <c r="G6" s="7" t="s">
        <v>11357</v>
      </c>
      <c r="H6" s="7" t="s">
        <v>11507</v>
      </c>
      <c r="I6" s="7" t="s">
        <v>11350</v>
      </c>
      <c r="J6" s="7" t="s">
        <v>11351</v>
      </c>
      <c r="K6" s="7" t="s">
        <v>11352</v>
      </c>
      <c r="L6" s="7" t="s">
        <v>11369</v>
      </c>
      <c r="M6" s="7" t="s">
        <v>11362</v>
      </c>
    </row>
    <row r="7" spans="1:13" ht="21.95" customHeight="1" x14ac:dyDescent="0.15">
      <c r="A7" s="8" t="s">
        <v>11355</v>
      </c>
      <c r="B7" s="8" t="s">
        <v>11503</v>
      </c>
      <c r="C7" s="8" t="s">
        <v>11504</v>
      </c>
      <c r="D7" s="8" t="s">
        <v>11348</v>
      </c>
      <c r="E7" s="8" t="s">
        <v>11349</v>
      </c>
      <c r="F7" s="8" t="s">
        <v>11350</v>
      </c>
      <c r="G7" s="8" t="s">
        <v>11367</v>
      </c>
      <c r="H7" s="8" t="s">
        <v>11368</v>
      </c>
      <c r="I7" s="8" t="s">
        <v>11369</v>
      </c>
      <c r="J7" s="8" t="s">
        <v>11545</v>
      </c>
      <c r="K7" s="8" t="s">
        <v>11370</v>
      </c>
      <c r="L7" s="8" t="s">
        <v>11371</v>
      </c>
      <c r="M7" s="8" t="s">
        <v>11372</v>
      </c>
    </row>
    <row r="8" spans="1:13" ht="21.95" customHeight="1" x14ac:dyDescent="0.15">
      <c r="A8" s="7" t="s">
        <v>11365</v>
      </c>
      <c r="B8" s="7" t="s">
        <v>11366</v>
      </c>
      <c r="C8" s="7" t="s">
        <v>11349</v>
      </c>
      <c r="D8" s="7" t="s">
        <v>11382</v>
      </c>
      <c r="E8" s="7" t="s">
        <v>11359</v>
      </c>
      <c r="F8" s="7" t="s">
        <v>11360</v>
      </c>
      <c r="G8" s="7" t="s">
        <v>11545</v>
      </c>
      <c r="H8" s="7" t="s">
        <v>11505</v>
      </c>
      <c r="I8" s="7" t="s">
        <v>11363</v>
      </c>
      <c r="J8" s="7" t="s">
        <v>11376</v>
      </c>
      <c r="K8" s="7" t="s">
        <v>11384</v>
      </c>
      <c r="L8" s="7" t="s">
        <v>11373</v>
      </c>
      <c r="M8" s="7" t="s">
        <v>11602</v>
      </c>
    </row>
    <row r="9" spans="1:13" ht="21.95" customHeight="1" x14ac:dyDescent="0.15">
      <c r="A9" s="8" t="s">
        <v>11374</v>
      </c>
      <c r="B9" s="8" t="s">
        <v>11358</v>
      </c>
      <c r="C9" s="8" t="s">
        <v>11367</v>
      </c>
      <c r="D9" s="8" t="s">
        <v>11360</v>
      </c>
      <c r="E9" s="8" t="s">
        <v>11545</v>
      </c>
      <c r="F9" s="8" t="s">
        <v>11505</v>
      </c>
      <c r="G9" s="8" t="s">
        <v>11506</v>
      </c>
      <c r="H9" s="8" t="s">
        <v>11364</v>
      </c>
      <c r="I9" s="8" t="s">
        <v>11567</v>
      </c>
      <c r="J9" s="8" t="s">
        <v>11568</v>
      </c>
      <c r="K9" s="8" t="s">
        <v>11509</v>
      </c>
      <c r="L9" s="8" t="s">
        <v>11510</v>
      </c>
      <c r="M9" s="8" t="s">
        <v>11469</v>
      </c>
    </row>
    <row r="10" spans="1:13" ht="21.95" customHeight="1" x14ac:dyDescent="0.15">
      <c r="A10" s="7" t="s">
        <v>11381</v>
      </c>
      <c r="B10" s="7" t="s">
        <v>11359</v>
      </c>
      <c r="C10" s="7" t="s">
        <v>11353</v>
      </c>
      <c r="D10" s="7" t="s">
        <v>11362</v>
      </c>
      <c r="E10" s="7" t="s">
        <v>11363</v>
      </c>
      <c r="F10" s="7" t="s">
        <v>11383</v>
      </c>
      <c r="G10" s="7" t="s">
        <v>11567</v>
      </c>
      <c r="H10" s="7" t="s">
        <v>11568</v>
      </c>
      <c r="I10" s="7" t="s">
        <v>11509</v>
      </c>
      <c r="J10" s="7" t="s">
        <v>11385</v>
      </c>
      <c r="K10" s="7" t="s">
        <v>11386</v>
      </c>
      <c r="L10" s="7" t="s">
        <v>11597</v>
      </c>
      <c r="M10" s="7" t="s">
        <v>11838</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12322</v>
      </c>
      <c r="B15" s="10"/>
      <c r="C15" s="10"/>
      <c r="D15" s="10"/>
      <c r="E15" s="10"/>
      <c r="F15" s="10"/>
      <c r="G15" s="10"/>
      <c r="H15" s="10"/>
      <c r="I15" s="10"/>
      <c r="J15" s="10"/>
      <c r="K15" s="10"/>
      <c r="L15" s="10"/>
      <c r="M15" s="10"/>
    </row>
    <row r="16" spans="1:13" ht="45" customHeight="1" x14ac:dyDescent="0.15">
      <c r="A16" s="12" t="s">
        <v>12323</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11657</v>
      </c>
      <c r="B18" s="7" t="s">
        <v>11469</v>
      </c>
      <c r="C18" s="7" t="s">
        <v>11598</v>
      </c>
      <c r="D18" s="7" t="s">
        <v>11697</v>
      </c>
      <c r="E18" s="7" t="s">
        <v>11698</v>
      </c>
      <c r="F18" s="7" t="s">
        <v>11407</v>
      </c>
      <c r="G18" s="7" t="s">
        <v>11408</v>
      </c>
      <c r="H18" s="7" t="s">
        <v>12150</v>
      </c>
      <c r="I18" s="7" t="s">
        <v>12324</v>
      </c>
      <c r="J18" s="7" t="s">
        <v>11411</v>
      </c>
      <c r="K18" s="7" t="s">
        <v>11877</v>
      </c>
      <c r="L18" s="7" t="s">
        <v>12325</v>
      </c>
      <c r="M18" s="7" t="s">
        <v>11591</v>
      </c>
    </row>
    <row r="19" spans="1:13" ht="21.95" customHeight="1" x14ac:dyDescent="0.15">
      <c r="A19" s="8" t="s">
        <v>11673</v>
      </c>
      <c r="B19" s="8" t="s">
        <v>11484</v>
      </c>
      <c r="C19" s="8" t="s">
        <v>11484</v>
      </c>
      <c r="D19" s="8" t="s">
        <v>11484</v>
      </c>
      <c r="E19" s="8" t="s">
        <v>11484</v>
      </c>
      <c r="F19" s="8" t="s">
        <v>11484</v>
      </c>
      <c r="G19" s="8" t="s">
        <v>11484</v>
      </c>
      <c r="H19" s="8" t="s">
        <v>11484</v>
      </c>
      <c r="I19" s="8" t="s">
        <v>11484</v>
      </c>
      <c r="J19" s="8" t="s">
        <v>11484</v>
      </c>
      <c r="K19" s="8" t="s">
        <v>11484</v>
      </c>
      <c r="L19" s="8" t="s">
        <v>11484</v>
      </c>
      <c r="M19" s="8" t="s">
        <v>11484</v>
      </c>
    </row>
    <row r="20" spans="1:13" ht="21.95" customHeight="1" x14ac:dyDescent="0.15">
      <c r="A20" s="7" t="s">
        <v>11659</v>
      </c>
      <c r="B20" s="7" t="s">
        <v>11699</v>
      </c>
      <c r="C20" s="7" t="s">
        <v>11638</v>
      </c>
      <c r="D20" s="7" t="s">
        <v>11515</v>
      </c>
      <c r="E20" s="7" t="s">
        <v>12150</v>
      </c>
      <c r="F20" s="7" t="s">
        <v>12326</v>
      </c>
      <c r="G20" s="7" t="s">
        <v>12327</v>
      </c>
      <c r="H20" s="7" t="s">
        <v>11548</v>
      </c>
      <c r="I20" s="7" t="s">
        <v>11413</v>
      </c>
      <c r="J20" s="7" t="s">
        <v>11980</v>
      </c>
      <c r="K20" s="7" t="s">
        <v>11550</v>
      </c>
      <c r="L20" s="7" t="s">
        <v>11551</v>
      </c>
      <c r="M20" s="7" t="s">
        <v>11902</v>
      </c>
    </row>
    <row r="21" spans="1:13" ht="21.95" customHeight="1" x14ac:dyDescent="0.15">
      <c r="A21" s="8" t="s">
        <v>11660</v>
      </c>
      <c r="B21" s="8" t="s">
        <v>11484</v>
      </c>
      <c r="C21" s="8" t="s">
        <v>11484</v>
      </c>
      <c r="D21" s="8" t="s">
        <v>11484</v>
      </c>
      <c r="E21" s="8" t="s">
        <v>11484</v>
      </c>
      <c r="F21" s="8" t="s">
        <v>11484</v>
      </c>
      <c r="G21" s="8" t="s">
        <v>11484</v>
      </c>
      <c r="H21" s="8" t="s">
        <v>11484</v>
      </c>
      <c r="I21" s="8" t="s">
        <v>11484</v>
      </c>
      <c r="J21" s="8" t="s">
        <v>11484</v>
      </c>
      <c r="K21" s="8" t="s">
        <v>11484</v>
      </c>
      <c r="L21" s="8" t="s">
        <v>11484</v>
      </c>
      <c r="M21" s="8" t="s">
        <v>11484</v>
      </c>
    </row>
    <row r="22" spans="1:13" ht="21.95" customHeight="1" x14ac:dyDescent="0.15">
      <c r="A22" s="7" t="s">
        <v>12328</v>
      </c>
      <c r="B22" s="7" t="s">
        <v>11484</v>
      </c>
      <c r="C22" s="7" t="s">
        <v>11484</v>
      </c>
      <c r="D22" s="7" t="s">
        <v>11484</v>
      </c>
      <c r="E22" s="7" t="s">
        <v>11484</v>
      </c>
      <c r="F22" s="7" t="s">
        <v>11484</v>
      </c>
      <c r="G22" s="7" t="s">
        <v>11484</v>
      </c>
      <c r="H22" s="7" t="s">
        <v>11484</v>
      </c>
      <c r="I22" s="7" t="s">
        <v>11484</v>
      </c>
      <c r="J22" s="7" t="s">
        <v>11484</v>
      </c>
      <c r="K22" s="7" t="s">
        <v>11484</v>
      </c>
      <c r="L22" s="7" t="s">
        <v>11484</v>
      </c>
      <c r="M22" s="7" t="s">
        <v>11484</v>
      </c>
    </row>
    <row r="23" spans="1:13" ht="21.95" customHeight="1" x14ac:dyDescent="0.15">
      <c r="A23" s="8" t="s">
        <v>12329</v>
      </c>
      <c r="B23" s="8" t="s">
        <v>11430</v>
      </c>
      <c r="C23" s="8" t="s">
        <v>11430</v>
      </c>
      <c r="D23" s="8" t="s">
        <v>11430</v>
      </c>
      <c r="E23" s="8" t="s">
        <v>11430</v>
      </c>
      <c r="F23" s="8" t="s">
        <v>11430</v>
      </c>
      <c r="G23" s="8" t="s">
        <v>11430</v>
      </c>
      <c r="H23" s="8" t="s">
        <v>11430</v>
      </c>
      <c r="I23" s="8" t="s">
        <v>11430</v>
      </c>
      <c r="J23" s="8" t="s">
        <v>11430</v>
      </c>
      <c r="K23" s="8" t="s">
        <v>11572</v>
      </c>
      <c r="L23" s="8" t="s">
        <v>11572</v>
      </c>
      <c r="M23" s="8" t="s">
        <v>11572</v>
      </c>
    </row>
    <row r="24" spans="1:13" ht="21.95" customHeight="1" x14ac:dyDescent="0.15">
      <c r="A24" s="7" t="s">
        <v>12330</v>
      </c>
      <c r="B24" s="7" t="s">
        <v>11532</v>
      </c>
      <c r="C24" s="7" t="s">
        <v>11532</v>
      </c>
      <c r="D24" s="7" t="s">
        <v>11532</v>
      </c>
      <c r="E24" s="7" t="s">
        <v>11532</v>
      </c>
      <c r="F24" s="7" t="s">
        <v>11532</v>
      </c>
      <c r="G24" s="7" t="s">
        <v>11532</v>
      </c>
      <c r="H24" s="7" t="s">
        <v>11532</v>
      </c>
      <c r="I24" s="7" t="s">
        <v>11532</v>
      </c>
      <c r="J24" s="7" t="s">
        <v>11532</v>
      </c>
      <c r="K24" s="7" t="s">
        <v>11459</v>
      </c>
      <c r="L24" s="7" t="s">
        <v>11459</v>
      </c>
      <c r="M24" s="7" t="s">
        <v>11459</v>
      </c>
    </row>
    <row r="25" spans="1:13" ht="21.95" customHeight="1" x14ac:dyDescent="0.15">
      <c r="A25" s="8" t="s">
        <v>12331</v>
      </c>
      <c r="B25" s="8" t="s">
        <v>11668</v>
      </c>
      <c r="C25" s="8" t="s">
        <v>11668</v>
      </c>
      <c r="D25" s="8" t="s">
        <v>11668</v>
      </c>
      <c r="E25" s="8" t="s">
        <v>11668</v>
      </c>
      <c r="F25" s="8" t="s">
        <v>11668</v>
      </c>
      <c r="G25" s="8" t="s">
        <v>11668</v>
      </c>
      <c r="H25" s="8" t="s">
        <v>11668</v>
      </c>
      <c r="I25" s="8" t="s">
        <v>11668</v>
      </c>
      <c r="J25" s="8" t="s">
        <v>11668</v>
      </c>
      <c r="K25" s="8" t="s">
        <v>11669</v>
      </c>
      <c r="L25" s="8" t="s">
        <v>11669</v>
      </c>
      <c r="M25" s="8" t="s">
        <v>11669</v>
      </c>
    </row>
    <row r="26" spans="1:13" ht="8.1" customHeight="1" x14ac:dyDescent="0.15">
      <c r="A26" s="9"/>
      <c r="B26" s="10"/>
      <c r="C26" s="10"/>
      <c r="D26" s="10"/>
      <c r="E26" s="10"/>
      <c r="F26" s="10"/>
      <c r="G26" s="10"/>
      <c r="H26" s="10"/>
      <c r="I26" s="10"/>
      <c r="J26" s="10"/>
      <c r="K26" s="10"/>
      <c r="L26" s="10"/>
      <c r="M26" s="10"/>
    </row>
    <row r="28" spans="1:13" ht="27.95" customHeight="1" x14ac:dyDescent="0.15">
      <c r="A28" s="13" t="s">
        <v>12332</v>
      </c>
      <c r="B28" s="10"/>
      <c r="C28" s="10"/>
      <c r="D28" s="10"/>
      <c r="E28" s="10"/>
      <c r="F28" s="10"/>
      <c r="G28" s="10"/>
      <c r="H28" s="10"/>
      <c r="I28" s="10"/>
      <c r="J28" s="10"/>
      <c r="K28" s="10"/>
      <c r="L28" s="10"/>
      <c r="M28" s="10"/>
    </row>
    <row r="29" spans="1:13" ht="45" customHeight="1" x14ac:dyDescent="0.15">
      <c r="A29" s="12" t="s">
        <v>12333</v>
      </c>
      <c r="B29" s="10"/>
      <c r="C29" s="10"/>
      <c r="D29" s="10"/>
      <c r="E29" s="10"/>
      <c r="F29" s="10"/>
      <c r="G29" s="10"/>
      <c r="H29" s="10"/>
      <c r="I29" s="10"/>
      <c r="J29" s="10"/>
      <c r="K29" s="10"/>
      <c r="L29" s="10"/>
      <c r="M29" s="10"/>
    </row>
    <row r="30" spans="1:13" ht="15" x14ac:dyDescent="0.15">
      <c r="A30" s="6" t="s">
        <v>11329</v>
      </c>
      <c r="B30" s="6" t="s">
        <v>11330</v>
      </c>
      <c r="C30" s="6" t="s">
        <v>11331</v>
      </c>
      <c r="D30" s="6" t="s">
        <v>11332</v>
      </c>
      <c r="E30" s="6" t="s">
        <v>11333</v>
      </c>
      <c r="F30" s="6" t="s">
        <v>11334</v>
      </c>
      <c r="G30" s="6" t="s">
        <v>11335</v>
      </c>
      <c r="H30" s="6" t="s">
        <v>11336</v>
      </c>
      <c r="I30" s="6" t="s">
        <v>11337</v>
      </c>
      <c r="J30" s="6" t="s">
        <v>11338</v>
      </c>
      <c r="K30" s="6" t="s">
        <v>11339</v>
      </c>
      <c r="L30" s="6" t="s">
        <v>11340</v>
      </c>
      <c r="M30" s="6" t="s">
        <v>11341</v>
      </c>
    </row>
    <row r="31" spans="1:13" ht="21.95" customHeight="1" x14ac:dyDescent="0.15">
      <c r="A31" s="7" t="s">
        <v>11433</v>
      </c>
      <c r="B31" s="7" t="s">
        <v>11633</v>
      </c>
      <c r="C31" s="7" t="s">
        <v>11633</v>
      </c>
      <c r="D31" s="7" t="s">
        <v>11633</v>
      </c>
      <c r="E31" s="7" t="s">
        <v>11633</v>
      </c>
      <c r="F31" s="7" t="s">
        <v>11633</v>
      </c>
      <c r="G31" s="7" t="s">
        <v>11633</v>
      </c>
      <c r="H31" s="7" t="s">
        <v>11633</v>
      </c>
      <c r="I31" s="7" t="s">
        <v>11633</v>
      </c>
      <c r="J31" s="7" t="s">
        <v>11633</v>
      </c>
      <c r="K31" s="7" t="s">
        <v>11633</v>
      </c>
      <c r="L31" s="7" t="s">
        <v>11633</v>
      </c>
      <c r="M31" s="7" t="s">
        <v>11633</v>
      </c>
    </row>
    <row r="32" spans="1:13" ht="21.95" customHeight="1" x14ac:dyDescent="0.15">
      <c r="A32" s="8" t="s">
        <v>11435</v>
      </c>
      <c r="B32" s="8" t="s">
        <v>11436</v>
      </c>
      <c r="C32" s="8" t="s">
        <v>11436</v>
      </c>
      <c r="D32" s="8" t="s">
        <v>11436</v>
      </c>
      <c r="E32" s="8" t="s">
        <v>11436</v>
      </c>
      <c r="F32" s="8" t="s">
        <v>11436</v>
      </c>
      <c r="G32" s="8" t="s">
        <v>11436</v>
      </c>
      <c r="H32" s="8" t="s">
        <v>11436</v>
      </c>
      <c r="I32" s="8" t="s">
        <v>11436</v>
      </c>
      <c r="J32" s="8" t="s">
        <v>11436</v>
      </c>
      <c r="K32" s="8" t="s">
        <v>11436</v>
      </c>
      <c r="L32" s="8" t="s">
        <v>11436</v>
      </c>
      <c r="M32" s="8" t="s">
        <v>11436</v>
      </c>
    </row>
    <row r="33" spans="1:13" ht="21.95" customHeight="1" x14ac:dyDescent="0.15">
      <c r="A33" s="7" t="s">
        <v>12334</v>
      </c>
      <c r="B33" s="7" t="s">
        <v>11668</v>
      </c>
      <c r="C33" s="7" t="s">
        <v>11668</v>
      </c>
      <c r="D33" s="7" t="s">
        <v>11668</v>
      </c>
      <c r="E33" s="7" t="s">
        <v>11668</v>
      </c>
      <c r="F33" s="7" t="s">
        <v>11668</v>
      </c>
      <c r="G33" s="7" t="s">
        <v>11668</v>
      </c>
      <c r="H33" s="7" t="s">
        <v>11668</v>
      </c>
      <c r="I33" s="7" t="s">
        <v>11668</v>
      </c>
      <c r="J33" s="7" t="s">
        <v>11668</v>
      </c>
      <c r="K33" s="7" t="s">
        <v>11668</v>
      </c>
      <c r="L33" s="7" t="s">
        <v>11668</v>
      </c>
      <c r="M33" s="7" t="s">
        <v>11668</v>
      </c>
    </row>
    <row r="34" spans="1:13" ht="21.95" customHeight="1" x14ac:dyDescent="0.15">
      <c r="A34" s="8" t="s">
        <v>12335</v>
      </c>
      <c r="B34" s="8" t="s">
        <v>11612</v>
      </c>
      <c r="C34" s="8" t="s">
        <v>11709</v>
      </c>
      <c r="D34" s="8" t="s">
        <v>11911</v>
      </c>
      <c r="E34" s="8" t="s">
        <v>11713</v>
      </c>
      <c r="F34" s="8" t="s">
        <v>11549</v>
      </c>
      <c r="G34" s="8" t="s">
        <v>11825</v>
      </c>
      <c r="H34" s="8" t="s">
        <v>11475</v>
      </c>
      <c r="I34" s="8" t="s">
        <v>12094</v>
      </c>
      <c r="J34" s="8" t="s">
        <v>11827</v>
      </c>
      <c r="K34" s="8" t="s">
        <v>12095</v>
      </c>
      <c r="L34" s="8" t="s">
        <v>12096</v>
      </c>
      <c r="M34" s="8" t="s">
        <v>11426</v>
      </c>
    </row>
    <row r="35" spans="1:13" ht="21.95" customHeight="1" x14ac:dyDescent="0.15">
      <c r="A35" s="7" t="s">
        <v>12336</v>
      </c>
      <c r="B35" s="7" t="s">
        <v>11430</v>
      </c>
      <c r="C35" s="7" t="s">
        <v>11430</v>
      </c>
      <c r="D35" s="7" t="s">
        <v>11430</v>
      </c>
      <c r="E35" s="7" t="s">
        <v>11430</v>
      </c>
      <c r="F35" s="7" t="s">
        <v>11430</v>
      </c>
      <c r="G35" s="7" t="s">
        <v>11430</v>
      </c>
      <c r="H35" s="7" t="s">
        <v>11430</v>
      </c>
      <c r="I35" s="7" t="s">
        <v>11430</v>
      </c>
      <c r="J35" s="7" t="s">
        <v>11430</v>
      </c>
      <c r="K35" s="7" t="s">
        <v>11430</v>
      </c>
      <c r="L35" s="7" t="s">
        <v>11430</v>
      </c>
      <c r="M35" s="7" t="s">
        <v>11430</v>
      </c>
    </row>
    <row r="36" spans="1:13" ht="21.95" customHeight="1" x14ac:dyDescent="0.15">
      <c r="A36" s="8" t="s">
        <v>12337</v>
      </c>
      <c r="B36" s="8" t="s">
        <v>11368</v>
      </c>
      <c r="C36" s="8" t="s">
        <v>11361</v>
      </c>
      <c r="D36" s="8" t="s">
        <v>11505</v>
      </c>
      <c r="E36" s="8" t="s">
        <v>11371</v>
      </c>
      <c r="F36" s="8" t="s">
        <v>11377</v>
      </c>
      <c r="G36" s="8" t="s">
        <v>11378</v>
      </c>
      <c r="H36" s="8" t="s">
        <v>11467</v>
      </c>
      <c r="I36" s="8" t="s">
        <v>11468</v>
      </c>
      <c r="J36" s="8" t="s">
        <v>11402</v>
      </c>
      <c r="K36" s="8" t="s">
        <v>11469</v>
      </c>
      <c r="L36" s="8" t="s">
        <v>11880</v>
      </c>
      <c r="M36" s="8" t="s">
        <v>11471</v>
      </c>
    </row>
    <row r="37" spans="1:13" ht="21.95" customHeight="1" x14ac:dyDescent="0.15">
      <c r="A37" s="7" t="s">
        <v>12338</v>
      </c>
      <c r="B37" s="7" t="s">
        <v>12146</v>
      </c>
      <c r="C37" s="7" t="s">
        <v>12146</v>
      </c>
      <c r="D37" s="7" t="s">
        <v>12146</v>
      </c>
      <c r="E37" s="7" t="s">
        <v>12146</v>
      </c>
      <c r="F37" s="7" t="s">
        <v>12146</v>
      </c>
      <c r="G37" s="7" t="s">
        <v>12146</v>
      </c>
      <c r="H37" s="7" t="s">
        <v>12146</v>
      </c>
      <c r="I37" s="7" t="s">
        <v>12146</v>
      </c>
      <c r="J37" s="7" t="s">
        <v>12146</v>
      </c>
      <c r="K37" s="7" t="s">
        <v>11430</v>
      </c>
      <c r="L37" s="7" t="s">
        <v>11430</v>
      </c>
      <c r="M37" s="7" t="s">
        <v>11430</v>
      </c>
    </row>
    <row r="38" spans="1:13" ht="21.95" customHeight="1" x14ac:dyDescent="0.15">
      <c r="A38" s="8" t="s">
        <v>12339</v>
      </c>
      <c r="B38" s="8" t="s">
        <v>11825</v>
      </c>
      <c r="C38" s="8" t="s">
        <v>11826</v>
      </c>
      <c r="D38" s="8" t="s">
        <v>11827</v>
      </c>
      <c r="E38" s="8" t="s">
        <v>11718</v>
      </c>
      <c r="F38" s="8" t="s">
        <v>11425</v>
      </c>
      <c r="G38" s="8" t="s">
        <v>11426</v>
      </c>
      <c r="H38" s="8" t="s">
        <v>11453</v>
      </c>
      <c r="I38" s="8" t="s">
        <v>11828</v>
      </c>
      <c r="J38" s="8" t="s">
        <v>11723</v>
      </c>
      <c r="K38" s="8" t="s">
        <v>11829</v>
      </c>
      <c r="L38" s="8" t="s">
        <v>11622</v>
      </c>
      <c r="M38" s="8" t="s">
        <v>11830</v>
      </c>
    </row>
    <row r="39" spans="1:13" ht="21.95" customHeight="1" x14ac:dyDescent="0.15">
      <c r="A39" s="7" t="s">
        <v>12340</v>
      </c>
      <c r="B39" s="7" t="s">
        <v>11572</v>
      </c>
      <c r="C39" s="7" t="s">
        <v>11572</v>
      </c>
      <c r="D39" s="7" t="s">
        <v>11572</v>
      </c>
      <c r="E39" s="7" t="s">
        <v>11572</v>
      </c>
      <c r="F39" s="7" t="s">
        <v>11572</v>
      </c>
      <c r="G39" s="7" t="s">
        <v>11572</v>
      </c>
      <c r="H39" s="7" t="s">
        <v>11572</v>
      </c>
      <c r="I39" s="7" t="s">
        <v>11572</v>
      </c>
      <c r="J39" s="7" t="s">
        <v>11572</v>
      </c>
      <c r="K39" s="7" t="s">
        <v>11572</v>
      </c>
      <c r="L39" s="7" t="s">
        <v>11572</v>
      </c>
      <c r="M39" s="7" t="s">
        <v>11572</v>
      </c>
    </row>
    <row r="40" spans="1:13" ht="21.95" customHeight="1" x14ac:dyDescent="0.15">
      <c r="A40" s="8" t="s">
        <v>12341</v>
      </c>
      <c r="B40" s="8" t="s">
        <v>11668</v>
      </c>
      <c r="C40" s="8" t="s">
        <v>11668</v>
      </c>
      <c r="D40" s="8" t="s">
        <v>11668</v>
      </c>
      <c r="E40" s="8" t="s">
        <v>11668</v>
      </c>
      <c r="F40" s="8" t="s">
        <v>11668</v>
      </c>
      <c r="G40" s="8" t="s">
        <v>11668</v>
      </c>
      <c r="H40" s="8" t="s">
        <v>11668</v>
      </c>
      <c r="I40" s="8" t="s">
        <v>11668</v>
      </c>
      <c r="J40" s="8" t="s">
        <v>11668</v>
      </c>
      <c r="K40" s="8" t="s">
        <v>11670</v>
      </c>
      <c r="L40" s="8" t="s">
        <v>11670</v>
      </c>
      <c r="M40" s="8" t="s">
        <v>11670</v>
      </c>
    </row>
    <row r="41" spans="1:13" ht="8.1" customHeight="1" x14ac:dyDescent="0.15">
      <c r="A41" s="9"/>
      <c r="B41" s="10"/>
      <c r="C41" s="10"/>
      <c r="D41" s="10"/>
      <c r="E41" s="10"/>
      <c r="F41" s="10"/>
      <c r="G41" s="10"/>
      <c r="H41" s="10"/>
      <c r="I41" s="10"/>
      <c r="J41" s="10"/>
      <c r="K41" s="10"/>
      <c r="L41" s="10"/>
      <c r="M41" s="10"/>
    </row>
    <row r="43" spans="1:13" ht="27.95" customHeight="1" x14ac:dyDescent="0.15">
      <c r="A43" s="13" t="s">
        <v>12342</v>
      </c>
      <c r="B43" s="10"/>
      <c r="C43" s="10"/>
      <c r="D43" s="10"/>
      <c r="E43" s="10"/>
      <c r="F43" s="10"/>
      <c r="G43" s="10"/>
      <c r="H43" s="10"/>
      <c r="I43" s="10"/>
      <c r="J43" s="10"/>
      <c r="K43" s="10"/>
      <c r="L43" s="10"/>
      <c r="M43" s="10"/>
    </row>
    <row r="44" spans="1:13" ht="45" customHeight="1" x14ac:dyDescent="0.15">
      <c r="A44" s="12" t="s">
        <v>12343</v>
      </c>
      <c r="B44" s="10"/>
      <c r="C44" s="10"/>
      <c r="D44" s="10"/>
      <c r="E44" s="10"/>
      <c r="F44" s="10"/>
      <c r="G44" s="10"/>
      <c r="H44" s="10"/>
      <c r="I44" s="10"/>
      <c r="J44" s="10"/>
      <c r="K44" s="10"/>
      <c r="L44" s="10"/>
      <c r="M44" s="10"/>
    </row>
    <row r="45" spans="1:13" ht="15" x14ac:dyDescent="0.15">
      <c r="A45" s="6" t="s">
        <v>11329</v>
      </c>
      <c r="B45" s="6" t="s">
        <v>11330</v>
      </c>
      <c r="C45" s="6" t="s">
        <v>11331</v>
      </c>
      <c r="D45" s="6" t="s">
        <v>11332</v>
      </c>
      <c r="E45" s="6" t="s">
        <v>11333</v>
      </c>
      <c r="F45" s="6" t="s">
        <v>11334</v>
      </c>
      <c r="G45" s="6" t="s">
        <v>11335</v>
      </c>
      <c r="H45" s="6" t="s">
        <v>11336</v>
      </c>
      <c r="I45" s="6" t="s">
        <v>11337</v>
      </c>
      <c r="J45" s="6" t="s">
        <v>11338</v>
      </c>
      <c r="K45" s="6" t="s">
        <v>11339</v>
      </c>
      <c r="L45" s="6" t="s">
        <v>11340</v>
      </c>
      <c r="M45" s="6" t="s">
        <v>11341</v>
      </c>
    </row>
    <row r="46" spans="1:13" ht="21.95" customHeight="1" x14ac:dyDescent="0.15">
      <c r="A46" s="7" t="s">
        <v>11435</v>
      </c>
      <c r="B46" s="7" t="s">
        <v>11740</v>
      </c>
      <c r="C46" s="7" t="s">
        <v>11740</v>
      </c>
      <c r="D46" s="7" t="s">
        <v>11740</v>
      </c>
      <c r="E46" s="7" t="s">
        <v>11740</v>
      </c>
      <c r="F46" s="7" t="s">
        <v>11740</v>
      </c>
      <c r="G46" s="7" t="s">
        <v>11740</v>
      </c>
      <c r="H46" s="7" t="s">
        <v>11740</v>
      </c>
      <c r="I46" s="7" t="s">
        <v>11740</v>
      </c>
      <c r="J46" s="7" t="s">
        <v>11740</v>
      </c>
      <c r="K46" s="7" t="s">
        <v>11740</v>
      </c>
      <c r="L46" s="7" t="s">
        <v>11740</v>
      </c>
      <c r="M46" s="7" t="s">
        <v>12204</v>
      </c>
    </row>
    <row r="47" spans="1:13" ht="21.95" customHeight="1" x14ac:dyDescent="0.15">
      <c r="A47" s="8" t="s">
        <v>11657</v>
      </c>
      <c r="B47" s="8" t="s">
        <v>11367</v>
      </c>
      <c r="C47" s="8" t="s">
        <v>11360</v>
      </c>
      <c r="D47" s="8" t="s">
        <v>11545</v>
      </c>
      <c r="E47" s="8" t="s">
        <v>11375</v>
      </c>
      <c r="F47" s="8" t="s">
        <v>11376</v>
      </c>
      <c r="G47" s="8" t="s">
        <v>11372</v>
      </c>
      <c r="H47" s="8" t="s">
        <v>11378</v>
      </c>
      <c r="I47" s="8" t="s">
        <v>11467</v>
      </c>
      <c r="J47" s="8" t="s">
        <v>11468</v>
      </c>
      <c r="K47" s="8" t="s">
        <v>11570</v>
      </c>
      <c r="L47" s="8" t="s">
        <v>11658</v>
      </c>
      <c r="M47" s="8" t="s">
        <v>11603</v>
      </c>
    </row>
    <row r="48" spans="1:13" ht="21.95" customHeight="1" x14ac:dyDescent="0.15">
      <c r="A48" s="7" t="s">
        <v>11673</v>
      </c>
      <c r="B48" s="7" t="s">
        <v>11972</v>
      </c>
      <c r="C48" s="7" t="s">
        <v>11972</v>
      </c>
      <c r="D48" s="7" t="s">
        <v>11972</v>
      </c>
      <c r="E48" s="7" t="s">
        <v>11972</v>
      </c>
      <c r="F48" s="7" t="s">
        <v>11972</v>
      </c>
      <c r="G48" s="7" t="s">
        <v>11972</v>
      </c>
      <c r="H48" s="7" t="s">
        <v>11972</v>
      </c>
      <c r="I48" s="7" t="s">
        <v>11972</v>
      </c>
      <c r="J48" s="7" t="s">
        <v>11972</v>
      </c>
      <c r="K48" s="7" t="s">
        <v>11972</v>
      </c>
      <c r="L48" s="7" t="s">
        <v>11972</v>
      </c>
      <c r="M48" s="7" t="s">
        <v>11972</v>
      </c>
    </row>
    <row r="49" spans="1:13" ht="21.95" customHeight="1" x14ac:dyDescent="0.15">
      <c r="A49" s="8" t="s">
        <v>12344</v>
      </c>
      <c r="B49" s="8" t="s">
        <v>11484</v>
      </c>
      <c r="C49" s="8" t="s">
        <v>11484</v>
      </c>
      <c r="D49" s="8" t="s">
        <v>11484</v>
      </c>
      <c r="E49" s="8" t="s">
        <v>11484</v>
      </c>
      <c r="F49" s="8" t="s">
        <v>11484</v>
      </c>
      <c r="G49" s="8" t="s">
        <v>11484</v>
      </c>
      <c r="H49" s="8" t="s">
        <v>11484</v>
      </c>
      <c r="I49" s="8" t="s">
        <v>11484</v>
      </c>
      <c r="J49" s="8" t="s">
        <v>11484</v>
      </c>
      <c r="K49" s="8" t="s">
        <v>11484</v>
      </c>
      <c r="L49" s="8" t="s">
        <v>11484</v>
      </c>
      <c r="M49" s="8" t="s">
        <v>11484</v>
      </c>
    </row>
    <row r="50" spans="1:13" ht="21.95" customHeight="1" x14ac:dyDescent="0.15">
      <c r="A50" s="7" t="s">
        <v>11659</v>
      </c>
      <c r="B50" s="7" t="s">
        <v>11370</v>
      </c>
      <c r="C50" s="7" t="s">
        <v>11376</v>
      </c>
      <c r="D50" s="7" t="s">
        <v>11567</v>
      </c>
      <c r="E50" s="7" t="s">
        <v>11696</v>
      </c>
      <c r="F50" s="7" t="s">
        <v>11468</v>
      </c>
      <c r="G50" s="7" t="s">
        <v>11570</v>
      </c>
      <c r="H50" s="7" t="s">
        <v>11469</v>
      </c>
      <c r="I50" s="7" t="s">
        <v>11880</v>
      </c>
      <c r="J50" s="7" t="s">
        <v>11838</v>
      </c>
      <c r="K50" s="7" t="s">
        <v>11405</v>
      </c>
      <c r="L50" s="7" t="s">
        <v>11406</v>
      </c>
      <c r="M50" s="7" t="s">
        <v>11606</v>
      </c>
    </row>
    <row r="51" spans="1:13" ht="21.95" customHeight="1" x14ac:dyDescent="0.15">
      <c r="A51" s="8" t="s">
        <v>11660</v>
      </c>
      <c r="B51" s="8" t="s">
        <v>11972</v>
      </c>
      <c r="C51" s="8" t="s">
        <v>11972</v>
      </c>
      <c r="D51" s="8" t="s">
        <v>11972</v>
      </c>
      <c r="E51" s="8" t="s">
        <v>11972</v>
      </c>
      <c r="F51" s="8" t="s">
        <v>11972</v>
      </c>
      <c r="G51" s="8" t="s">
        <v>11972</v>
      </c>
      <c r="H51" s="8" t="s">
        <v>11972</v>
      </c>
      <c r="I51" s="8" t="s">
        <v>11972</v>
      </c>
      <c r="J51" s="8" t="s">
        <v>11972</v>
      </c>
      <c r="K51" s="8" t="s">
        <v>11972</v>
      </c>
      <c r="L51" s="8" t="s">
        <v>11972</v>
      </c>
      <c r="M51" s="8" t="s">
        <v>11972</v>
      </c>
    </row>
    <row r="52" spans="1:13" ht="21.95" customHeight="1" x14ac:dyDescent="0.15">
      <c r="A52" s="7" t="s">
        <v>12345</v>
      </c>
      <c r="B52" s="7" t="s">
        <v>11674</v>
      </c>
      <c r="C52" s="7" t="s">
        <v>11674</v>
      </c>
      <c r="D52" s="7" t="s">
        <v>11674</v>
      </c>
      <c r="E52" s="7" t="s">
        <v>11674</v>
      </c>
      <c r="F52" s="7" t="s">
        <v>11674</v>
      </c>
      <c r="G52" s="7" t="s">
        <v>11674</v>
      </c>
      <c r="H52" s="7" t="s">
        <v>11674</v>
      </c>
      <c r="I52" s="7" t="s">
        <v>11674</v>
      </c>
      <c r="J52" s="7" t="s">
        <v>11674</v>
      </c>
      <c r="K52" s="7" t="s">
        <v>11674</v>
      </c>
      <c r="L52" s="7" t="s">
        <v>11674</v>
      </c>
      <c r="M52" s="7" t="s">
        <v>11674</v>
      </c>
    </row>
    <row r="53" spans="1:13" ht="21.95" customHeight="1" x14ac:dyDescent="0.15">
      <c r="A53" s="8" t="s">
        <v>11978</v>
      </c>
      <c r="B53" s="8" t="s">
        <v>11635</v>
      </c>
      <c r="C53" s="8" t="s">
        <v>11509</v>
      </c>
      <c r="D53" s="8" t="s">
        <v>11510</v>
      </c>
      <c r="E53" s="8" t="s">
        <v>11469</v>
      </c>
      <c r="F53" s="8" t="s">
        <v>11880</v>
      </c>
      <c r="G53" s="8" t="s">
        <v>11654</v>
      </c>
      <c r="H53" s="8" t="s">
        <v>11699</v>
      </c>
      <c r="I53" s="8" t="s">
        <v>11406</v>
      </c>
      <c r="J53" s="8" t="s">
        <v>11701</v>
      </c>
      <c r="K53" s="8" t="s">
        <v>11515</v>
      </c>
      <c r="L53" s="8" t="s">
        <v>12150</v>
      </c>
      <c r="M53" s="8" t="s">
        <v>11703</v>
      </c>
    </row>
    <row r="54" spans="1:13" ht="21.95" customHeight="1" x14ac:dyDescent="0.15">
      <c r="A54" s="7" t="s">
        <v>11985</v>
      </c>
      <c r="B54" s="7" t="s">
        <v>11482</v>
      </c>
      <c r="C54" s="7" t="s">
        <v>11482</v>
      </c>
      <c r="D54" s="7" t="s">
        <v>11482</v>
      </c>
      <c r="E54" s="7" t="s">
        <v>11482</v>
      </c>
      <c r="F54" s="7" t="s">
        <v>11482</v>
      </c>
      <c r="G54" s="7" t="s">
        <v>11482</v>
      </c>
      <c r="H54" s="7" t="s">
        <v>11482</v>
      </c>
      <c r="I54" s="7" t="s">
        <v>11482</v>
      </c>
      <c r="J54" s="7" t="s">
        <v>11482</v>
      </c>
      <c r="K54" s="7" t="s">
        <v>11482</v>
      </c>
      <c r="L54" s="7" t="s">
        <v>11482</v>
      </c>
      <c r="M54" s="7" t="s">
        <v>11482</v>
      </c>
    </row>
    <row r="55" spans="1:13" ht="21.95" customHeight="1" x14ac:dyDescent="0.15">
      <c r="A55" s="8" t="s">
        <v>12346</v>
      </c>
      <c r="B55" s="8" t="s">
        <v>12286</v>
      </c>
      <c r="C55" s="8" t="s">
        <v>12286</v>
      </c>
      <c r="D55" s="8" t="s">
        <v>12286</v>
      </c>
      <c r="E55" s="8" t="s">
        <v>12286</v>
      </c>
      <c r="F55" s="8" t="s">
        <v>12286</v>
      </c>
      <c r="G55" s="8" t="s">
        <v>12286</v>
      </c>
      <c r="H55" s="8" t="s">
        <v>12286</v>
      </c>
      <c r="I55" s="8" t="s">
        <v>12286</v>
      </c>
      <c r="J55" s="8" t="s">
        <v>12286</v>
      </c>
      <c r="K55" s="8" t="s">
        <v>12286</v>
      </c>
      <c r="L55" s="8" t="s">
        <v>12286</v>
      </c>
      <c r="M55" s="8" t="s">
        <v>12286</v>
      </c>
    </row>
    <row r="56" spans="1:13" ht="21.95" customHeight="1" x14ac:dyDescent="0.15">
      <c r="A56" s="7" t="s">
        <v>12347</v>
      </c>
      <c r="B56" s="7" t="s">
        <v>11589</v>
      </c>
      <c r="C56" s="7" t="s">
        <v>12324</v>
      </c>
      <c r="D56" s="7" t="s">
        <v>12327</v>
      </c>
      <c r="E56" s="7" t="s">
        <v>12155</v>
      </c>
      <c r="F56" s="7" t="s">
        <v>12048</v>
      </c>
      <c r="G56" s="7" t="s">
        <v>11661</v>
      </c>
      <c r="H56" s="7" t="s">
        <v>11842</v>
      </c>
      <c r="I56" s="7" t="s">
        <v>11901</v>
      </c>
      <c r="J56" s="7" t="s">
        <v>11902</v>
      </c>
      <c r="K56" s="7" t="s">
        <v>12238</v>
      </c>
      <c r="L56" s="7" t="s">
        <v>12128</v>
      </c>
      <c r="M56" s="7" t="s">
        <v>12348</v>
      </c>
    </row>
    <row r="57" spans="1:13" ht="21.95" customHeight="1" x14ac:dyDescent="0.15">
      <c r="A57" s="8" t="s">
        <v>12349</v>
      </c>
      <c r="B57" s="8" t="s">
        <v>11692</v>
      </c>
      <c r="C57" s="8" t="s">
        <v>11692</v>
      </c>
      <c r="D57" s="8" t="s">
        <v>11692</v>
      </c>
      <c r="E57" s="8" t="s">
        <v>11692</v>
      </c>
      <c r="F57" s="8" t="s">
        <v>11692</v>
      </c>
      <c r="G57" s="8" t="s">
        <v>11692</v>
      </c>
      <c r="H57" s="8" t="s">
        <v>11692</v>
      </c>
      <c r="I57" s="8" t="s">
        <v>11692</v>
      </c>
      <c r="J57" s="8" t="s">
        <v>11692</v>
      </c>
      <c r="K57" s="8" t="s">
        <v>11692</v>
      </c>
      <c r="L57" s="8" t="s">
        <v>11692</v>
      </c>
      <c r="M57" s="8" t="s">
        <v>11692</v>
      </c>
    </row>
    <row r="58" spans="1:13" ht="21.95" customHeight="1" x14ac:dyDescent="0.15">
      <c r="A58" s="7" t="s">
        <v>12350</v>
      </c>
      <c r="B58" s="7" t="s">
        <v>12351</v>
      </c>
      <c r="C58" s="7" t="s">
        <v>12351</v>
      </c>
      <c r="D58" s="7" t="s">
        <v>12351</v>
      </c>
      <c r="E58" s="7" t="s">
        <v>12351</v>
      </c>
      <c r="F58" s="7" t="s">
        <v>12351</v>
      </c>
      <c r="G58" s="7" t="s">
        <v>12351</v>
      </c>
      <c r="H58" s="7" t="s">
        <v>12351</v>
      </c>
      <c r="I58" s="7" t="s">
        <v>12351</v>
      </c>
      <c r="J58" s="7" t="s">
        <v>12351</v>
      </c>
      <c r="K58" s="7" t="s">
        <v>12351</v>
      </c>
      <c r="L58" s="7" t="s">
        <v>12351</v>
      </c>
      <c r="M58" s="7" t="s">
        <v>12351</v>
      </c>
    </row>
    <row r="59" spans="1:13" ht="8.1" customHeight="1" x14ac:dyDescent="0.15">
      <c r="A59" s="9"/>
      <c r="B59" s="10"/>
      <c r="C59" s="10"/>
      <c r="D59" s="10"/>
      <c r="E59" s="10"/>
      <c r="F59" s="10"/>
      <c r="G59" s="10"/>
      <c r="H59" s="10"/>
      <c r="I59" s="10"/>
      <c r="J59" s="10"/>
      <c r="K59" s="10"/>
      <c r="L59" s="10"/>
      <c r="M59" s="10"/>
    </row>
  </sheetData>
  <sheetProtection password="CC26" sheet="1"/>
  <mergeCells count="13">
    <mergeCell ref="A59:M59"/>
    <mergeCell ref="A28:M28"/>
    <mergeCell ref="A13:M13"/>
    <mergeCell ref="A44:M44"/>
    <mergeCell ref="A1:M1"/>
    <mergeCell ref="A4:M4"/>
    <mergeCell ref="A3:M3"/>
    <mergeCell ref="A26:M26"/>
    <mergeCell ref="A15:M15"/>
    <mergeCell ref="A29:M29"/>
    <mergeCell ref="A43:M43"/>
    <mergeCell ref="A41:M41"/>
    <mergeCell ref="A16:M16"/>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25">
    <cfRule type="colorScale" priority="2">
      <colorScale>
        <cfvo type="min"/>
        <cfvo type="percentile" val="50"/>
        <cfvo type="max"/>
        <color rgb="FFFFC7CE"/>
        <color rgb="FFFFEB9C"/>
        <color rgb="FFC6EFCE"/>
      </colorScale>
    </cfRule>
  </conditionalFormatting>
  <conditionalFormatting sqref="B31:M40">
    <cfRule type="colorScale" priority="3">
      <colorScale>
        <cfvo type="min"/>
        <cfvo type="percentile" val="50"/>
        <cfvo type="max"/>
        <color rgb="FFFFC7CE"/>
        <color rgb="FFFFEB9C"/>
        <color rgb="FFC6EFCE"/>
      </colorScale>
    </cfRule>
  </conditionalFormatting>
  <conditionalFormatting sqref="B46:M58">
    <cfRule type="colorScale" priority="4">
      <colorScale>
        <cfvo type="min"/>
        <cfvo type="percentile" val="50"/>
        <cfvo type="max"/>
        <color rgb="FFFFC7CE"/>
        <color rgb="FFFFEB9C"/>
        <color rgb="FFC6EFCE"/>
      </colorScale>
    </cfRule>
  </conditionalFormatting>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48"/>
  <sheetViews>
    <sheetView workbookViewId="0"/>
  </sheetViews>
  <sheetFormatPr defaultRowHeight="13.5" x14ac:dyDescent="0.15"/>
  <cols>
    <col min="1" max="1" width="32" customWidth="1"/>
    <col min="2" max="13" width="9" customWidth="1"/>
  </cols>
  <sheetData>
    <row r="1" spans="1:13" ht="35.1" customHeight="1" x14ac:dyDescent="0.15">
      <c r="A1" s="11" t="s">
        <v>12352</v>
      </c>
      <c r="B1" s="10"/>
      <c r="C1" s="10"/>
      <c r="D1" s="10"/>
      <c r="E1" s="10"/>
      <c r="F1" s="10"/>
      <c r="G1" s="10"/>
      <c r="H1" s="10"/>
      <c r="I1" s="10"/>
      <c r="J1" s="10"/>
      <c r="K1" s="10"/>
      <c r="L1" s="10"/>
      <c r="M1" s="10"/>
    </row>
    <row r="3" spans="1:13" ht="27.95" customHeight="1" x14ac:dyDescent="0.15">
      <c r="A3" s="13" t="s">
        <v>12353</v>
      </c>
      <c r="B3" s="10"/>
      <c r="C3" s="10"/>
      <c r="D3" s="10"/>
      <c r="E3" s="10"/>
      <c r="F3" s="10"/>
      <c r="G3" s="10"/>
      <c r="H3" s="10"/>
      <c r="I3" s="10"/>
      <c r="J3" s="10"/>
      <c r="K3" s="10"/>
      <c r="L3" s="10"/>
      <c r="M3" s="10"/>
    </row>
    <row r="4" spans="1:13" ht="45" customHeight="1" x14ac:dyDescent="0.15">
      <c r="A4" s="12" t="s">
        <v>12354</v>
      </c>
      <c r="B4" s="10"/>
      <c r="C4" s="10"/>
      <c r="D4" s="10"/>
      <c r="E4" s="10"/>
      <c r="F4" s="10"/>
      <c r="G4" s="10"/>
      <c r="H4" s="10"/>
      <c r="I4" s="10"/>
      <c r="J4" s="10"/>
      <c r="K4" s="10"/>
      <c r="L4" s="10"/>
      <c r="M4" s="10"/>
    </row>
    <row r="5" spans="1:13" ht="15" x14ac:dyDescent="0.15">
      <c r="A5" s="6" t="s">
        <v>11329</v>
      </c>
      <c r="B5" s="6" t="s">
        <v>11330</v>
      </c>
      <c r="C5" s="6" t="s">
        <v>11331</v>
      </c>
      <c r="D5" s="6" t="s">
        <v>11332</v>
      </c>
      <c r="E5" s="6" t="s">
        <v>11333</v>
      </c>
      <c r="F5" s="6" t="s">
        <v>11334</v>
      </c>
      <c r="G5" s="6" t="s">
        <v>11335</v>
      </c>
      <c r="H5" s="6" t="s">
        <v>11336</v>
      </c>
      <c r="I5" s="6" t="s">
        <v>11337</v>
      </c>
      <c r="J5" s="6" t="s">
        <v>11338</v>
      </c>
      <c r="K5" s="6" t="s">
        <v>11339</v>
      </c>
      <c r="L5" s="6" t="s">
        <v>11340</v>
      </c>
      <c r="M5" s="6" t="s">
        <v>11341</v>
      </c>
    </row>
    <row r="6" spans="1:13" ht="21.95" customHeight="1" x14ac:dyDescent="0.15">
      <c r="A6" s="7" t="s">
        <v>11342</v>
      </c>
      <c r="B6" s="7" t="s">
        <v>11343</v>
      </c>
      <c r="C6" s="7" t="s">
        <v>11344</v>
      </c>
      <c r="D6" s="7" t="s">
        <v>11345</v>
      </c>
      <c r="E6" s="7" t="s">
        <v>11346</v>
      </c>
      <c r="F6" s="7" t="s">
        <v>11347</v>
      </c>
      <c r="G6" s="7" t="s">
        <v>11348</v>
      </c>
      <c r="H6" s="7" t="s">
        <v>11349</v>
      </c>
      <c r="I6" s="7" t="s">
        <v>11350</v>
      </c>
      <c r="J6" s="7" t="s">
        <v>11351</v>
      </c>
      <c r="K6" s="7" t="s">
        <v>11352</v>
      </c>
      <c r="L6" s="7" t="s">
        <v>11353</v>
      </c>
      <c r="M6" s="7" t="s">
        <v>11354</v>
      </c>
    </row>
    <row r="7" spans="1:13" ht="21.95" customHeight="1" x14ac:dyDescent="0.15">
      <c r="A7" s="8" t="s">
        <v>11355</v>
      </c>
      <c r="B7" s="8" t="s">
        <v>11344</v>
      </c>
      <c r="C7" s="8" t="s">
        <v>11503</v>
      </c>
      <c r="D7" s="8" t="s">
        <v>11356</v>
      </c>
      <c r="E7" s="8" t="s">
        <v>11366</v>
      </c>
      <c r="F7" s="8" t="s">
        <v>11357</v>
      </c>
      <c r="G7" s="8" t="s">
        <v>11358</v>
      </c>
      <c r="H7" s="8" t="s">
        <v>11382</v>
      </c>
      <c r="I7" s="8" t="s">
        <v>11359</v>
      </c>
      <c r="J7" s="8" t="s">
        <v>11368</v>
      </c>
      <c r="K7" s="8" t="s">
        <v>11369</v>
      </c>
      <c r="L7" s="8" t="s">
        <v>11362</v>
      </c>
      <c r="M7" s="8" t="s">
        <v>11363</v>
      </c>
    </row>
    <row r="8" spans="1:13" ht="21.95" customHeight="1" x14ac:dyDescent="0.15">
      <c r="A8" s="7" t="s">
        <v>11365</v>
      </c>
      <c r="B8" s="7" t="s">
        <v>11357</v>
      </c>
      <c r="C8" s="7" t="s">
        <v>11350</v>
      </c>
      <c r="D8" s="7" t="s">
        <v>11367</v>
      </c>
      <c r="E8" s="7" t="s">
        <v>11360</v>
      </c>
      <c r="F8" s="7" t="s">
        <v>11361</v>
      </c>
      <c r="G8" s="7" t="s">
        <v>11505</v>
      </c>
      <c r="H8" s="7" t="s">
        <v>11363</v>
      </c>
      <c r="I8" s="7" t="s">
        <v>11383</v>
      </c>
      <c r="J8" s="7" t="s">
        <v>11372</v>
      </c>
      <c r="K8" s="7" t="s">
        <v>11378</v>
      </c>
      <c r="L8" s="7" t="s">
        <v>11509</v>
      </c>
      <c r="M8" s="7" t="s">
        <v>11510</v>
      </c>
    </row>
    <row r="9" spans="1:13" ht="21.95" customHeight="1" x14ac:dyDescent="0.15">
      <c r="A9" s="8" t="s">
        <v>11374</v>
      </c>
      <c r="B9" s="8" t="s">
        <v>11507</v>
      </c>
      <c r="C9" s="8" t="s">
        <v>11382</v>
      </c>
      <c r="D9" s="8" t="s">
        <v>11352</v>
      </c>
      <c r="E9" s="8" t="s">
        <v>11353</v>
      </c>
      <c r="F9" s="8" t="s">
        <v>11354</v>
      </c>
      <c r="G9" s="8" t="s">
        <v>11375</v>
      </c>
      <c r="H9" s="8" t="s">
        <v>11371</v>
      </c>
      <c r="I9" s="8" t="s">
        <v>11377</v>
      </c>
      <c r="J9" s="8" t="s">
        <v>11635</v>
      </c>
      <c r="K9" s="8" t="s">
        <v>11696</v>
      </c>
      <c r="L9" s="8" t="s">
        <v>11468</v>
      </c>
      <c r="M9" s="8" t="s">
        <v>11704</v>
      </c>
    </row>
    <row r="10" spans="1:13" ht="21.95" customHeight="1" x14ac:dyDescent="0.15">
      <c r="A10" s="7" t="s">
        <v>11381</v>
      </c>
      <c r="B10" s="7" t="s">
        <v>11545</v>
      </c>
      <c r="C10" s="7" t="s">
        <v>11375</v>
      </c>
      <c r="D10" s="7" t="s">
        <v>11383</v>
      </c>
      <c r="E10" s="7" t="s">
        <v>11567</v>
      </c>
      <c r="F10" s="7" t="s">
        <v>11696</v>
      </c>
      <c r="G10" s="7" t="s">
        <v>11569</v>
      </c>
      <c r="H10" s="7" t="s">
        <v>11402</v>
      </c>
      <c r="I10" s="7" t="s">
        <v>11511</v>
      </c>
      <c r="J10" s="7" t="s">
        <v>11387</v>
      </c>
      <c r="K10" s="7" t="s">
        <v>11404</v>
      </c>
      <c r="L10" s="7" t="s">
        <v>11405</v>
      </c>
      <c r="M10" s="7" t="s">
        <v>11700</v>
      </c>
    </row>
    <row r="11" spans="1:13" ht="21.95" customHeight="1" x14ac:dyDescent="0.15">
      <c r="A11" s="8" t="s">
        <v>11388</v>
      </c>
      <c r="B11" s="8" t="s">
        <v>11389</v>
      </c>
      <c r="C11" s="8" t="s">
        <v>11390</v>
      </c>
      <c r="D11" s="8" t="s">
        <v>11391</v>
      </c>
      <c r="E11" s="8" t="s">
        <v>11392</v>
      </c>
      <c r="F11" s="8" t="s">
        <v>11393</v>
      </c>
      <c r="G11" s="8" t="s">
        <v>11394</v>
      </c>
      <c r="H11" s="8" t="s">
        <v>11395</v>
      </c>
      <c r="I11" s="8" t="s">
        <v>11396</v>
      </c>
      <c r="J11" s="8" t="s">
        <v>11397</v>
      </c>
      <c r="K11" s="8" t="s">
        <v>11398</v>
      </c>
      <c r="L11" s="8" t="s">
        <v>11399</v>
      </c>
      <c r="M11" s="8" t="s">
        <v>11400</v>
      </c>
    </row>
    <row r="12" spans="1:13" ht="21.95" customHeight="1" x14ac:dyDescent="0.15">
      <c r="A12" s="7" t="s">
        <v>11401</v>
      </c>
      <c r="B12" s="7" t="s">
        <v>11402</v>
      </c>
      <c r="C12" s="7" t="s">
        <v>11403</v>
      </c>
      <c r="D12" s="7" t="s">
        <v>11404</v>
      </c>
      <c r="E12" s="7" t="s">
        <v>11405</v>
      </c>
      <c r="F12" s="7" t="s">
        <v>11406</v>
      </c>
      <c r="G12" s="7" t="s">
        <v>11407</v>
      </c>
      <c r="H12" s="7" t="s">
        <v>11408</v>
      </c>
      <c r="I12" s="7" t="s">
        <v>11409</v>
      </c>
      <c r="J12" s="7" t="s">
        <v>11410</v>
      </c>
      <c r="K12" s="7" t="s">
        <v>11411</v>
      </c>
      <c r="L12" s="7" t="s">
        <v>11412</v>
      </c>
      <c r="M12" s="7" t="s">
        <v>11413</v>
      </c>
    </row>
    <row r="13" spans="1:13" ht="8.1" customHeight="1" x14ac:dyDescent="0.15">
      <c r="A13" s="9"/>
      <c r="B13" s="10"/>
      <c r="C13" s="10"/>
      <c r="D13" s="10"/>
      <c r="E13" s="10"/>
      <c r="F13" s="10"/>
      <c r="G13" s="10"/>
      <c r="H13" s="10"/>
      <c r="I13" s="10"/>
      <c r="J13" s="10"/>
      <c r="K13" s="10"/>
      <c r="L13" s="10"/>
      <c r="M13" s="10"/>
    </row>
    <row r="15" spans="1:13" ht="27.95" customHeight="1" x14ac:dyDescent="0.15">
      <c r="A15" s="13" t="s">
        <v>12355</v>
      </c>
      <c r="B15" s="10"/>
      <c r="C15" s="10"/>
      <c r="D15" s="10"/>
      <c r="E15" s="10"/>
      <c r="F15" s="10"/>
      <c r="G15" s="10"/>
      <c r="H15" s="10"/>
      <c r="I15" s="10"/>
      <c r="J15" s="10"/>
      <c r="K15" s="10"/>
      <c r="L15" s="10"/>
      <c r="M15" s="10"/>
    </row>
    <row r="16" spans="1:13" ht="45" customHeight="1" x14ac:dyDescent="0.15">
      <c r="A16" s="12" t="s">
        <v>12356</v>
      </c>
      <c r="B16" s="10"/>
      <c r="C16" s="10"/>
      <c r="D16" s="10"/>
      <c r="E16" s="10"/>
      <c r="F16" s="10"/>
      <c r="G16" s="10"/>
      <c r="H16" s="10"/>
      <c r="I16" s="10"/>
      <c r="J16" s="10"/>
      <c r="K16" s="10"/>
      <c r="L16" s="10"/>
      <c r="M16" s="10"/>
    </row>
    <row r="17" spans="1:13" ht="15" x14ac:dyDescent="0.15">
      <c r="A17" s="6" t="s">
        <v>11329</v>
      </c>
      <c r="B17" s="6" t="s">
        <v>11330</v>
      </c>
      <c r="C17" s="6" t="s">
        <v>11331</v>
      </c>
      <c r="D17" s="6" t="s">
        <v>11332</v>
      </c>
      <c r="E17" s="6" t="s">
        <v>11333</v>
      </c>
      <c r="F17" s="6" t="s">
        <v>11334</v>
      </c>
      <c r="G17" s="6" t="s">
        <v>11335</v>
      </c>
      <c r="H17" s="6" t="s">
        <v>11336</v>
      </c>
      <c r="I17" s="6" t="s">
        <v>11337</v>
      </c>
      <c r="J17" s="6" t="s">
        <v>11338</v>
      </c>
      <c r="K17" s="6" t="s">
        <v>11339</v>
      </c>
      <c r="L17" s="6" t="s">
        <v>11340</v>
      </c>
      <c r="M17" s="6" t="s">
        <v>11341</v>
      </c>
    </row>
    <row r="18" spans="1:13" ht="21.95" customHeight="1" x14ac:dyDescent="0.15">
      <c r="A18" s="7" t="s">
        <v>12357</v>
      </c>
      <c r="B18" s="7" t="s">
        <v>11402</v>
      </c>
      <c r="C18" s="7" t="s">
        <v>11403</v>
      </c>
      <c r="D18" s="7" t="s">
        <v>11404</v>
      </c>
      <c r="E18" s="7" t="s">
        <v>11405</v>
      </c>
      <c r="F18" s="7" t="s">
        <v>11406</v>
      </c>
      <c r="G18" s="7" t="s">
        <v>11407</v>
      </c>
      <c r="H18" s="7" t="s">
        <v>11408</v>
      </c>
      <c r="I18" s="7" t="s">
        <v>11409</v>
      </c>
      <c r="J18" s="7" t="s">
        <v>11410</v>
      </c>
      <c r="K18" s="7" t="s">
        <v>11411</v>
      </c>
      <c r="L18" s="7" t="s">
        <v>11412</v>
      </c>
      <c r="M18" s="7" t="s">
        <v>11413</v>
      </c>
    </row>
    <row r="19" spans="1:13" ht="21.95" customHeight="1" x14ac:dyDescent="0.15">
      <c r="A19" s="8" t="s">
        <v>12358</v>
      </c>
      <c r="B19" s="8" t="s">
        <v>11430</v>
      </c>
      <c r="C19" s="8" t="s">
        <v>11430</v>
      </c>
      <c r="D19" s="8" t="s">
        <v>11430</v>
      </c>
      <c r="E19" s="8" t="s">
        <v>11430</v>
      </c>
      <c r="F19" s="8" t="s">
        <v>11430</v>
      </c>
      <c r="G19" s="8" t="s">
        <v>11430</v>
      </c>
      <c r="H19" s="8" t="s">
        <v>11430</v>
      </c>
      <c r="I19" s="8" t="s">
        <v>11430</v>
      </c>
      <c r="J19" s="8" t="s">
        <v>11430</v>
      </c>
      <c r="K19" s="8" t="s">
        <v>11430</v>
      </c>
      <c r="L19" s="8" t="s">
        <v>11430</v>
      </c>
      <c r="M19" s="8" t="s">
        <v>11430</v>
      </c>
    </row>
    <row r="20" spans="1:13" ht="21.95" customHeight="1" x14ac:dyDescent="0.15">
      <c r="A20" s="7" t="s">
        <v>12359</v>
      </c>
      <c r="B20" s="7" t="s">
        <v>11612</v>
      </c>
      <c r="C20" s="7" t="s">
        <v>11709</v>
      </c>
      <c r="D20" s="7" t="s">
        <v>11911</v>
      </c>
      <c r="E20" s="7" t="s">
        <v>11616</v>
      </c>
      <c r="F20" s="7" t="s">
        <v>11419</v>
      </c>
      <c r="G20" s="7" t="s">
        <v>11825</v>
      </c>
      <c r="H20" s="7" t="s">
        <v>11981</v>
      </c>
      <c r="I20" s="7" t="s">
        <v>12252</v>
      </c>
      <c r="J20" s="7" t="s">
        <v>11827</v>
      </c>
      <c r="K20" s="7" t="s">
        <v>12253</v>
      </c>
      <c r="L20" s="7" t="s">
        <v>11719</v>
      </c>
      <c r="M20" s="7" t="s">
        <v>11426</v>
      </c>
    </row>
    <row r="21" spans="1:13" ht="21.95" customHeight="1" x14ac:dyDescent="0.15">
      <c r="A21" s="8" t="s">
        <v>12360</v>
      </c>
      <c r="B21" s="8" t="s">
        <v>11972</v>
      </c>
      <c r="C21" s="8" t="s">
        <v>11972</v>
      </c>
      <c r="D21" s="8" t="s">
        <v>11972</v>
      </c>
      <c r="E21" s="8" t="s">
        <v>11972</v>
      </c>
      <c r="F21" s="8" t="s">
        <v>11972</v>
      </c>
      <c r="G21" s="8" t="s">
        <v>11972</v>
      </c>
      <c r="H21" s="8" t="s">
        <v>11972</v>
      </c>
      <c r="I21" s="8" t="s">
        <v>11972</v>
      </c>
      <c r="J21" s="8" t="s">
        <v>11972</v>
      </c>
      <c r="K21" s="8" t="s">
        <v>11972</v>
      </c>
      <c r="L21" s="8" t="s">
        <v>11972</v>
      </c>
      <c r="M21" s="8" t="s">
        <v>11972</v>
      </c>
    </row>
    <row r="22" spans="1:13" ht="21.95" customHeight="1" x14ac:dyDescent="0.15">
      <c r="A22" s="7" t="s">
        <v>12361</v>
      </c>
      <c r="B22" s="7" t="s">
        <v>11532</v>
      </c>
      <c r="C22" s="7" t="s">
        <v>11532</v>
      </c>
      <c r="D22" s="7" t="s">
        <v>11532</v>
      </c>
      <c r="E22" s="7" t="s">
        <v>11532</v>
      </c>
      <c r="F22" s="7" t="s">
        <v>11532</v>
      </c>
      <c r="G22" s="7" t="s">
        <v>11532</v>
      </c>
      <c r="H22" s="7" t="s">
        <v>11532</v>
      </c>
      <c r="I22" s="7" t="s">
        <v>11532</v>
      </c>
      <c r="J22" s="7" t="s">
        <v>11532</v>
      </c>
      <c r="K22" s="7" t="s">
        <v>11532</v>
      </c>
      <c r="L22" s="7" t="s">
        <v>11532</v>
      </c>
      <c r="M22" s="7" t="s">
        <v>11532</v>
      </c>
    </row>
    <row r="23" spans="1:13" ht="21.95" customHeight="1" x14ac:dyDescent="0.15">
      <c r="A23" s="8" t="s">
        <v>12362</v>
      </c>
      <c r="B23" s="8" t="s">
        <v>11896</v>
      </c>
      <c r="C23" s="8" t="s">
        <v>11896</v>
      </c>
      <c r="D23" s="8" t="s">
        <v>11896</v>
      </c>
      <c r="E23" s="8" t="s">
        <v>12363</v>
      </c>
      <c r="F23" s="8" t="s">
        <v>12363</v>
      </c>
      <c r="G23" s="8" t="s">
        <v>12363</v>
      </c>
      <c r="H23" s="8" t="s">
        <v>12364</v>
      </c>
      <c r="I23" s="8" t="s">
        <v>12364</v>
      </c>
      <c r="J23" s="8" t="s">
        <v>12364</v>
      </c>
      <c r="K23" s="8" t="s">
        <v>12365</v>
      </c>
      <c r="L23" s="8" t="s">
        <v>12365</v>
      </c>
      <c r="M23" s="8" t="s">
        <v>11987</v>
      </c>
    </row>
    <row r="24" spans="1:13" ht="21.95" customHeight="1" x14ac:dyDescent="0.15">
      <c r="A24" s="7" t="s">
        <v>12366</v>
      </c>
      <c r="B24" s="7" t="s">
        <v>12009</v>
      </c>
      <c r="C24" s="7" t="s">
        <v>12009</v>
      </c>
      <c r="D24" s="7" t="s">
        <v>12009</v>
      </c>
      <c r="E24" s="7" t="s">
        <v>11988</v>
      </c>
      <c r="F24" s="7" t="s">
        <v>11988</v>
      </c>
      <c r="G24" s="7" t="s">
        <v>11988</v>
      </c>
      <c r="H24" s="7" t="s">
        <v>12010</v>
      </c>
      <c r="I24" s="7" t="s">
        <v>12010</v>
      </c>
      <c r="J24" s="7" t="s">
        <v>12010</v>
      </c>
      <c r="K24" s="7" t="s">
        <v>11799</v>
      </c>
      <c r="L24" s="7" t="s">
        <v>11799</v>
      </c>
      <c r="M24" s="7" t="s">
        <v>11642</v>
      </c>
    </row>
    <row r="25" spans="1:13" ht="21.95" customHeight="1" x14ac:dyDescent="0.15">
      <c r="A25" s="8" t="s">
        <v>12367</v>
      </c>
      <c r="B25" s="8" t="s">
        <v>11572</v>
      </c>
      <c r="C25" s="8" t="s">
        <v>11572</v>
      </c>
      <c r="D25" s="8" t="s">
        <v>11572</v>
      </c>
      <c r="E25" s="8" t="s">
        <v>11572</v>
      </c>
      <c r="F25" s="8" t="s">
        <v>11572</v>
      </c>
      <c r="G25" s="8" t="s">
        <v>11572</v>
      </c>
      <c r="H25" s="8" t="s">
        <v>11572</v>
      </c>
      <c r="I25" s="8" t="s">
        <v>11572</v>
      </c>
      <c r="J25" s="8" t="s">
        <v>11572</v>
      </c>
      <c r="K25" s="8" t="s">
        <v>11572</v>
      </c>
      <c r="L25" s="8" t="s">
        <v>11572</v>
      </c>
      <c r="M25" s="8" t="s">
        <v>11572</v>
      </c>
    </row>
    <row r="26" spans="1:13" ht="8.1" customHeight="1" x14ac:dyDescent="0.15">
      <c r="A26" s="9"/>
      <c r="B26" s="10"/>
      <c r="C26" s="10"/>
      <c r="D26" s="10"/>
      <c r="E26" s="10"/>
      <c r="F26" s="10"/>
      <c r="G26" s="10"/>
      <c r="H26" s="10"/>
      <c r="I26" s="10"/>
      <c r="J26" s="10"/>
      <c r="K26" s="10"/>
      <c r="L26" s="10"/>
      <c r="M26" s="10"/>
    </row>
    <row r="28" spans="1:13" ht="27.95" customHeight="1" x14ac:dyDescent="0.15">
      <c r="A28" s="13" t="s">
        <v>12368</v>
      </c>
      <c r="B28" s="10"/>
      <c r="C28" s="10"/>
      <c r="D28" s="10"/>
      <c r="E28" s="10"/>
      <c r="F28" s="10"/>
      <c r="G28" s="10"/>
      <c r="H28" s="10"/>
      <c r="I28" s="10"/>
      <c r="J28" s="10"/>
      <c r="K28" s="10"/>
      <c r="L28" s="10"/>
      <c r="M28" s="10"/>
    </row>
    <row r="29" spans="1:13" ht="45" customHeight="1" x14ac:dyDescent="0.15">
      <c r="A29" s="12" t="s">
        <v>12369</v>
      </c>
      <c r="B29" s="10"/>
      <c r="C29" s="10"/>
      <c r="D29" s="10"/>
      <c r="E29" s="10"/>
      <c r="F29" s="10"/>
      <c r="G29" s="10"/>
      <c r="H29" s="10"/>
      <c r="I29" s="10"/>
      <c r="J29" s="10"/>
      <c r="K29" s="10"/>
      <c r="L29" s="10"/>
      <c r="M29" s="10"/>
    </row>
    <row r="30" spans="1:13" ht="15" x14ac:dyDescent="0.15">
      <c r="A30" s="6" t="s">
        <v>11329</v>
      </c>
      <c r="B30" s="6" t="s">
        <v>11330</v>
      </c>
      <c r="C30" s="6" t="s">
        <v>11331</v>
      </c>
      <c r="D30" s="6" t="s">
        <v>11332</v>
      </c>
      <c r="E30" s="6" t="s">
        <v>11333</v>
      </c>
      <c r="F30" s="6" t="s">
        <v>11334</v>
      </c>
      <c r="G30" s="6" t="s">
        <v>11335</v>
      </c>
      <c r="H30" s="6" t="s">
        <v>11336</v>
      </c>
      <c r="I30" s="6" t="s">
        <v>11337</v>
      </c>
      <c r="J30" s="6" t="s">
        <v>11338</v>
      </c>
      <c r="K30" s="6" t="s">
        <v>11339</v>
      </c>
      <c r="L30" s="6" t="s">
        <v>11340</v>
      </c>
      <c r="M30" s="6" t="s">
        <v>11341</v>
      </c>
    </row>
    <row r="31" spans="1:13" ht="21.95" customHeight="1" x14ac:dyDescent="0.15">
      <c r="A31" s="7" t="s">
        <v>11433</v>
      </c>
      <c r="B31" s="7" t="s">
        <v>11633</v>
      </c>
      <c r="C31" s="7" t="s">
        <v>11633</v>
      </c>
      <c r="D31" s="7" t="s">
        <v>11633</v>
      </c>
      <c r="E31" s="7" t="s">
        <v>11633</v>
      </c>
      <c r="F31" s="7" t="s">
        <v>11633</v>
      </c>
      <c r="G31" s="7" t="s">
        <v>11633</v>
      </c>
      <c r="H31" s="7" t="s">
        <v>11633</v>
      </c>
      <c r="I31" s="7" t="s">
        <v>11633</v>
      </c>
      <c r="J31" s="7" t="s">
        <v>11633</v>
      </c>
      <c r="K31" s="7" t="s">
        <v>11633</v>
      </c>
      <c r="L31" s="7" t="s">
        <v>11633</v>
      </c>
      <c r="M31" s="7" t="s">
        <v>11633</v>
      </c>
    </row>
    <row r="32" spans="1:13" ht="21.95" customHeight="1" x14ac:dyDescent="0.15">
      <c r="A32" s="8" t="s">
        <v>11435</v>
      </c>
      <c r="B32" s="8" t="s">
        <v>11535</v>
      </c>
      <c r="C32" s="8" t="s">
        <v>11535</v>
      </c>
      <c r="D32" s="8" t="s">
        <v>11535</v>
      </c>
      <c r="E32" s="8" t="s">
        <v>11535</v>
      </c>
      <c r="F32" s="8" t="s">
        <v>11535</v>
      </c>
      <c r="G32" s="8" t="s">
        <v>11535</v>
      </c>
      <c r="H32" s="8" t="s">
        <v>11535</v>
      </c>
      <c r="I32" s="8" t="s">
        <v>11535</v>
      </c>
      <c r="J32" s="8" t="s">
        <v>11535</v>
      </c>
      <c r="K32" s="8" t="s">
        <v>11535</v>
      </c>
      <c r="L32" s="8" t="s">
        <v>11535</v>
      </c>
      <c r="M32" s="8" t="s">
        <v>11535</v>
      </c>
    </row>
    <row r="33" spans="1:13" ht="21.95" customHeight="1" x14ac:dyDescent="0.15">
      <c r="A33" s="7" t="s">
        <v>12370</v>
      </c>
      <c r="B33" s="7" t="s">
        <v>12075</v>
      </c>
      <c r="C33" s="7" t="s">
        <v>11417</v>
      </c>
      <c r="D33" s="7" t="s">
        <v>11418</v>
      </c>
      <c r="E33" s="7" t="s">
        <v>12048</v>
      </c>
      <c r="F33" s="7" t="s">
        <v>12125</v>
      </c>
      <c r="G33" s="7" t="s">
        <v>11475</v>
      </c>
      <c r="H33" s="7" t="s">
        <v>12126</v>
      </c>
      <c r="I33" s="7" t="s">
        <v>12127</v>
      </c>
      <c r="J33" s="7" t="s">
        <v>12095</v>
      </c>
      <c r="K33" s="7" t="s">
        <v>12128</v>
      </c>
      <c r="L33" s="7" t="s">
        <v>11720</v>
      </c>
      <c r="M33" s="7" t="s">
        <v>11453</v>
      </c>
    </row>
    <row r="34" spans="1:13" ht="21.95" customHeight="1" x14ac:dyDescent="0.15">
      <c r="A34" s="8" t="s">
        <v>12371</v>
      </c>
      <c r="B34" s="8" t="s">
        <v>11482</v>
      </c>
      <c r="C34" s="8" t="s">
        <v>11482</v>
      </c>
      <c r="D34" s="8" t="s">
        <v>11482</v>
      </c>
      <c r="E34" s="8" t="s">
        <v>11482</v>
      </c>
      <c r="F34" s="8" t="s">
        <v>11482</v>
      </c>
      <c r="G34" s="8" t="s">
        <v>11482</v>
      </c>
      <c r="H34" s="8" t="s">
        <v>11482</v>
      </c>
      <c r="I34" s="8" t="s">
        <v>11482</v>
      </c>
      <c r="J34" s="8" t="s">
        <v>11482</v>
      </c>
      <c r="K34" s="8" t="s">
        <v>11482</v>
      </c>
      <c r="L34" s="8" t="s">
        <v>11482</v>
      </c>
      <c r="M34" s="8" t="s">
        <v>11482</v>
      </c>
    </row>
    <row r="35" spans="1:13" ht="21.95" customHeight="1" x14ac:dyDescent="0.15">
      <c r="A35" s="7" t="s">
        <v>12372</v>
      </c>
      <c r="B35" s="7" t="s">
        <v>11473</v>
      </c>
      <c r="C35" s="7" t="s">
        <v>11474</v>
      </c>
      <c r="D35" s="7" t="s">
        <v>11475</v>
      </c>
      <c r="E35" s="7" t="s">
        <v>11476</v>
      </c>
      <c r="F35" s="7" t="s">
        <v>11423</v>
      </c>
      <c r="G35" s="7" t="s">
        <v>11451</v>
      </c>
      <c r="H35" s="7" t="s">
        <v>11477</v>
      </c>
      <c r="I35" s="7" t="s">
        <v>11478</v>
      </c>
      <c r="J35" s="7" t="s">
        <v>11453</v>
      </c>
      <c r="K35" s="7" t="s">
        <v>11479</v>
      </c>
      <c r="L35" s="7" t="s">
        <v>11480</v>
      </c>
      <c r="M35" s="7" t="s">
        <v>11389</v>
      </c>
    </row>
    <row r="36" spans="1:13" ht="21.95" customHeight="1" x14ac:dyDescent="0.15">
      <c r="A36" s="8" t="s">
        <v>12373</v>
      </c>
      <c r="B36" s="8" t="s">
        <v>12374</v>
      </c>
      <c r="C36" s="8" t="s">
        <v>11479</v>
      </c>
      <c r="D36" s="8" t="s">
        <v>12375</v>
      </c>
      <c r="E36" s="8" t="s">
        <v>11731</v>
      </c>
      <c r="F36" s="8" t="s">
        <v>12266</v>
      </c>
      <c r="G36" s="8" t="s">
        <v>11885</v>
      </c>
      <c r="H36" s="8" t="s">
        <v>11443</v>
      </c>
      <c r="I36" s="8" t="s">
        <v>11625</v>
      </c>
      <c r="J36" s="8" t="s">
        <v>11393</v>
      </c>
      <c r="K36" s="8" t="s">
        <v>11734</v>
      </c>
      <c r="L36" s="8" t="s">
        <v>12376</v>
      </c>
      <c r="M36" s="8" t="s">
        <v>12377</v>
      </c>
    </row>
    <row r="37" spans="1:13" ht="21.95" customHeight="1" x14ac:dyDescent="0.15">
      <c r="A37" s="7" t="s">
        <v>12378</v>
      </c>
      <c r="B37" s="7" t="s">
        <v>11572</v>
      </c>
      <c r="C37" s="7" t="s">
        <v>11572</v>
      </c>
      <c r="D37" s="7" t="s">
        <v>11572</v>
      </c>
      <c r="E37" s="7" t="s">
        <v>11572</v>
      </c>
      <c r="F37" s="7" t="s">
        <v>11572</v>
      </c>
      <c r="G37" s="7" t="s">
        <v>11572</v>
      </c>
      <c r="H37" s="7" t="s">
        <v>11572</v>
      </c>
      <c r="I37" s="7" t="s">
        <v>11572</v>
      </c>
      <c r="J37" s="7" t="s">
        <v>11572</v>
      </c>
      <c r="K37" s="7" t="s">
        <v>11572</v>
      </c>
      <c r="L37" s="7" t="s">
        <v>11572</v>
      </c>
      <c r="M37" s="7" t="s">
        <v>11572</v>
      </c>
    </row>
    <row r="38" spans="1:13" ht="21.95" customHeight="1" x14ac:dyDescent="0.15">
      <c r="A38" s="8" t="s">
        <v>12379</v>
      </c>
      <c r="B38" s="8" t="s">
        <v>11532</v>
      </c>
      <c r="C38" s="8" t="s">
        <v>11532</v>
      </c>
      <c r="D38" s="8" t="s">
        <v>11532</v>
      </c>
      <c r="E38" s="8" t="s">
        <v>11532</v>
      </c>
      <c r="F38" s="8" t="s">
        <v>11532</v>
      </c>
      <c r="G38" s="8" t="s">
        <v>11532</v>
      </c>
      <c r="H38" s="8" t="s">
        <v>11532</v>
      </c>
      <c r="I38" s="8" t="s">
        <v>11532</v>
      </c>
      <c r="J38" s="8" t="s">
        <v>11532</v>
      </c>
      <c r="K38" s="8" t="s">
        <v>11532</v>
      </c>
      <c r="L38" s="8" t="s">
        <v>11532</v>
      </c>
      <c r="M38" s="8" t="s">
        <v>11532</v>
      </c>
    </row>
    <row r="39" spans="1:13" ht="8.1" customHeight="1" x14ac:dyDescent="0.15">
      <c r="A39" s="9"/>
      <c r="B39" s="10"/>
      <c r="C39" s="10"/>
      <c r="D39" s="10"/>
      <c r="E39" s="10"/>
      <c r="F39" s="10"/>
      <c r="G39" s="10"/>
      <c r="H39" s="10"/>
      <c r="I39" s="10"/>
      <c r="J39" s="10"/>
      <c r="K39" s="10"/>
      <c r="L39" s="10"/>
      <c r="M39" s="10"/>
    </row>
    <row r="41" spans="1:13" ht="27.95" customHeight="1" x14ac:dyDescent="0.15">
      <c r="A41" s="13" t="s">
        <v>12380</v>
      </c>
      <c r="B41" s="10"/>
      <c r="C41" s="10"/>
      <c r="D41" s="10"/>
      <c r="E41" s="10"/>
      <c r="F41" s="10"/>
      <c r="G41" s="10"/>
      <c r="H41" s="10"/>
      <c r="I41" s="10"/>
      <c r="J41" s="10"/>
      <c r="K41" s="10"/>
      <c r="L41" s="10"/>
      <c r="M41" s="10"/>
    </row>
    <row r="42" spans="1:13" ht="45" customHeight="1" x14ac:dyDescent="0.15">
      <c r="A42" s="12" t="s">
        <v>12381</v>
      </c>
      <c r="B42" s="10"/>
      <c r="C42" s="10"/>
      <c r="D42" s="10"/>
      <c r="E42" s="10"/>
      <c r="F42" s="10"/>
      <c r="G42" s="10"/>
      <c r="H42" s="10"/>
      <c r="I42" s="10"/>
      <c r="J42" s="10"/>
      <c r="K42" s="10"/>
      <c r="L42" s="10"/>
      <c r="M42" s="10"/>
    </row>
    <row r="43" spans="1:13" ht="15" x14ac:dyDescent="0.15">
      <c r="A43" s="6" t="s">
        <v>11329</v>
      </c>
      <c r="B43" s="6" t="s">
        <v>11330</v>
      </c>
      <c r="C43" s="6" t="s">
        <v>11331</v>
      </c>
      <c r="D43" s="6" t="s">
        <v>11332</v>
      </c>
      <c r="E43" s="6" t="s">
        <v>11333</v>
      </c>
      <c r="F43" s="6" t="s">
        <v>11334</v>
      </c>
      <c r="G43" s="6" t="s">
        <v>11335</v>
      </c>
      <c r="H43" s="6" t="s">
        <v>11336</v>
      </c>
      <c r="I43" s="6" t="s">
        <v>11337</v>
      </c>
      <c r="J43" s="6" t="s">
        <v>11338</v>
      </c>
      <c r="K43" s="6" t="s">
        <v>11339</v>
      </c>
      <c r="L43" s="6" t="s">
        <v>11340</v>
      </c>
      <c r="M43" s="6" t="s">
        <v>11341</v>
      </c>
    </row>
    <row r="44" spans="1:13" ht="21.95" customHeight="1" x14ac:dyDescent="0.15">
      <c r="A44" s="7" t="s">
        <v>11435</v>
      </c>
      <c r="B44" s="7" t="s">
        <v>12382</v>
      </c>
      <c r="C44" s="7" t="s">
        <v>12382</v>
      </c>
      <c r="D44" s="7" t="s">
        <v>12382</v>
      </c>
      <c r="E44" s="7" t="s">
        <v>12382</v>
      </c>
      <c r="F44" s="7" t="s">
        <v>12382</v>
      </c>
      <c r="G44" s="7" t="s">
        <v>12382</v>
      </c>
      <c r="H44" s="7" t="s">
        <v>12382</v>
      </c>
      <c r="I44" s="7" t="s">
        <v>12382</v>
      </c>
      <c r="J44" s="7" t="s">
        <v>11866</v>
      </c>
      <c r="K44" s="7" t="s">
        <v>11866</v>
      </c>
      <c r="L44" s="7" t="s">
        <v>11866</v>
      </c>
      <c r="M44" s="7" t="s">
        <v>11867</v>
      </c>
    </row>
    <row r="45" spans="1:13" ht="21.95" customHeight="1" x14ac:dyDescent="0.15">
      <c r="A45" s="8" t="s">
        <v>11416</v>
      </c>
      <c r="B45" s="8" t="s">
        <v>11599</v>
      </c>
      <c r="C45" s="8" t="s">
        <v>11514</v>
      </c>
      <c r="D45" s="8" t="s">
        <v>11408</v>
      </c>
      <c r="E45" s="8" t="s">
        <v>11708</v>
      </c>
      <c r="F45" s="8" t="s">
        <v>11703</v>
      </c>
      <c r="G45" s="8" t="s">
        <v>11911</v>
      </c>
      <c r="H45" s="8" t="s">
        <v>11418</v>
      </c>
      <c r="I45" s="8" t="s">
        <v>12031</v>
      </c>
      <c r="J45" s="8" t="s">
        <v>11591</v>
      </c>
      <c r="K45" s="8" t="s">
        <v>12024</v>
      </c>
      <c r="L45" s="8" t="s">
        <v>12318</v>
      </c>
      <c r="M45" s="8" t="s">
        <v>11827</v>
      </c>
    </row>
    <row r="46" spans="1:13" ht="21.95" customHeight="1" x14ac:dyDescent="0.15">
      <c r="A46" s="7" t="s">
        <v>11429</v>
      </c>
      <c r="B46" s="7" t="s">
        <v>11430</v>
      </c>
      <c r="C46" s="7" t="s">
        <v>11430</v>
      </c>
      <c r="D46" s="7" t="s">
        <v>11430</v>
      </c>
      <c r="E46" s="7" t="s">
        <v>11430</v>
      </c>
      <c r="F46" s="7" t="s">
        <v>11430</v>
      </c>
      <c r="G46" s="7" t="s">
        <v>11430</v>
      </c>
      <c r="H46" s="7" t="s">
        <v>11430</v>
      </c>
      <c r="I46" s="7" t="s">
        <v>11430</v>
      </c>
      <c r="J46" s="7" t="s">
        <v>11430</v>
      </c>
      <c r="K46" s="7" t="s">
        <v>11430</v>
      </c>
      <c r="L46" s="7" t="s">
        <v>11430</v>
      </c>
      <c r="M46" s="7" t="s">
        <v>11430</v>
      </c>
    </row>
    <row r="47" spans="1:13" ht="21.95" customHeight="1" x14ac:dyDescent="0.15">
      <c r="A47" s="8" t="s">
        <v>12383</v>
      </c>
      <c r="B47" s="8" t="s">
        <v>11668</v>
      </c>
      <c r="C47" s="8" t="s">
        <v>11668</v>
      </c>
      <c r="D47" s="8" t="s">
        <v>11668</v>
      </c>
      <c r="E47" s="8" t="s">
        <v>11668</v>
      </c>
      <c r="F47" s="8" t="s">
        <v>11668</v>
      </c>
      <c r="G47" s="8" t="s">
        <v>11668</v>
      </c>
      <c r="H47" s="8" t="s">
        <v>11668</v>
      </c>
      <c r="I47" s="8" t="s">
        <v>11668</v>
      </c>
      <c r="J47" s="8" t="s">
        <v>11668</v>
      </c>
      <c r="K47" s="8" t="s">
        <v>11668</v>
      </c>
      <c r="L47" s="8" t="s">
        <v>11668</v>
      </c>
      <c r="M47" s="8" t="s">
        <v>11668</v>
      </c>
    </row>
    <row r="48" spans="1:13" ht="8.1" customHeight="1" x14ac:dyDescent="0.15">
      <c r="A48" s="9"/>
      <c r="B48" s="10"/>
      <c r="C48" s="10"/>
      <c r="D48" s="10"/>
      <c r="E48" s="10"/>
      <c r="F48" s="10"/>
      <c r="G48" s="10"/>
      <c r="H48" s="10"/>
      <c r="I48" s="10"/>
      <c r="J48" s="10"/>
      <c r="K48" s="10"/>
      <c r="L48" s="10"/>
      <c r="M48" s="10"/>
    </row>
  </sheetData>
  <sheetProtection password="CC26" sheet="1"/>
  <mergeCells count="13">
    <mergeCell ref="A48:M48"/>
    <mergeCell ref="A15:M15"/>
    <mergeCell ref="A29:M29"/>
    <mergeCell ref="A41:M41"/>
    <mergeCell ref="A16:M16"/>
    <mergeCell ref="A28:M28"/>
    <mergeCell ref="A13:M13"/>
    <mergeCell ref="A1:M1"/>
    <mergeCell ref="A4:M4"/>
    <mergeCell ref="A42:M42"/>
    <mergeCell ref="A3:M3"/>
    <mergeCell ref="A26:M26"/>
    <mergeCell ref="A39:M39"/>
  </mergeCells>
  <phoneticPr fontId="39" type="noConversion"/>
  <conditionalFormatting sqref="B6:M12">
    <cfRule type="colorScale" priority="1">
      <colorScale>
        <cfvo type="min"/>
        <cfvo type="percentile" val="50"/>
        <cfvo type="max"/>
        <color rgb="FFFFC7CE"/>
        <color rgb="FFFFEB9C"/>
        <color rgb="FFC6EFCE"/>
      </colorScale>
    </cfRule>
  </conditionalFormatting>
  <conditionalFormatting sqref="B18:M25">
    <cfRule type="colorScale" priority="2">
      <colorScale>
        <cfvo type="min"/>
        <cfvo type="percentile" val="50"/>
        <cfvo type="max"/>
        <color rgb="FFFFC7CE"/>
        <color rgb="FFFFEB9C"/>
        <color rgb="FFC6EFCE"/>
      </colorScale>
    </cfRule>
  </conditionalFormatting>
  <conditionalFormatting sqref="B31:M38">
    <cfRule type="colorScale" priority="3">
      <colorScale>
        <cfvo type="min"/>
        <cfvo type="percentile" val="50"/>
        <cfvo type="max"/>
        <color rgb="FFFFC7CE"/>
        <color rgb="FFFFEB9C"/>
        <color rgb="FFC6EFCE"/>
      </colorScale>
    </cfRule>
  </conditionalFormatting>
  <conditionalFormatting sqref="B44:M47">
    <cfRule type="colorScale" priority="4">
      <colorScale>
        <cfvo type="min"/>
        <cfvo type="percentile" val="50"/>
        <cfvo type="max"/>
        <color rgb="FFFFC7CE"/>
        <color rgb="FFFFEB9C"/>
        <color rgb="FFC6EFCE"/>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vt:i4>
      </vt:variant>
    </vt:vector>
  </HeadingPairs>
  <TitlesOfParts>
    <vt:vector size="29" baseType="lpstr">
      <vt:lpstr>DataSource</vt:lpstr>
      <vt:lpstr>终末地干员数据</vt:lpstr>
      <vt:lpstr>管理员_技能</vt:lpstr>
      <vt:lpstr>管理员(男)_技能</vt:lpstr>
      <vt:lpstr>管理员(女)_技能</vt:lpstr>
      <vt:lpstr>佩丽卡_技能</vt:lpstr>
      <vt:lpstr>陈千语_技能</vt:lpstr>
      <vt:lpstr>狼卫_技能</vt:lpstr>
      <vt:lpstr>弧光_技能</vt:lpstr>
      <vt:lpstr>余烬_技能</vt:lpstr>
      <vt:lpstr>赛希_技能</vt:lpstr>
      <vt:lpstr>艾维文娜_技能</vt:lpstr>
      <vt:lpstr>洁尔佩塔_技能</vt:lpstr>
      <vt:lpstr>昼雪_技能</vt:lpstr>
      <vt:lpstr>黎风_技能</vt:lpstr>
      <vt:lpstr>莱万汀_技能</vt:lpstr>
      <vt:lpstr>伊冯_技能</vt:lpstr>
      <vt:lpstr>大潘_技能</vt:lpstr>
      <vt:lpstr>秋栗_技能</vt:lpstr>
      <vt:lpstr>卡契尔_技能</vt:lpstr>
      <vt:lpstr>埃特拉_技能</vt:lpstr>
      <vt:lpstr>萤石_技能</vt:lpstr>
      <vt:lpstr>安塔尔_技能</vt:lpstr>
      <vt:lpstr>阿列什_技能</vt:lpstr>
      <vt:lpstr>艾尔黛拉_技能</vt:lpstr>
      <vt:lpstr>别礼_技能</vt:lpstr>
      <vt:lpstr>骏卫_技能</vt:lpstr>
      <vt:lpstr>汤汤_技能</vt:lpstr>
      <vt:lpstr>终末地干员数据!Print_Titles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 s</cp:lastModifiedBy>
  <dcterms:created xsi:type="dcterms:W3CDTF">2026-03-20T17:00:46Z</dcterms:created>
  <dcterms:modified xsi:type="dcterms:W3CDTF">2026-03-21T15:22:53Z</dcterms:modified>
</cp:coreProperties>
</file>